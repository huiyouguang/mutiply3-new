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tabRatio="892" firstSheet="2" activeTab="12"/>
  </bookViews>
  <sheets>
    <sheet name="薪酬预算校准表" sheetId="9" r:id="rId1"/>
    <sheet name="人力资源数据汇总" sheetId="25" r:id="rId2"/>
    <sheet name="薪酬明细" sheetId="24" r:id="rId3"/>
    <sheet name="社保明细" sheetId="26" r:id="rId4"/>
    <sheet name="福利费明细" sheetId="27" r:id="rId5"/>
    <sheet name="培训费明细" sheetId="28" r:id="rId6"/>
    <sheet name="招聘费明细" sheetId="29" r:id="rId7"/>
    <sheet name="人员状况" sheetId="18" r:id="rId8"/>
    <sheet name="预计变动" sheetId="17" r:id="rId9"/>
    <sheet name="人力资源规划一览表" sheetId="5" r:id="rId10"/>
    <sheet name="招聘计划" sheetId="20" r:id="rId11"/>
    <sheet name="招聘管理费预算表" sheetId="12" r:id="rId12"/>
    <sheet name="学习培训费预算表" sheetId="13" r:id="rId13"/>
  </sheets>
  <definedNames>
    <definedName name="_xlnm._FilterDatabase" localSheetId="2" hidden="1">薪酬明细!$A$3:$M$2631</definedName>
    <definedName name="_xlnm._FilterDatabase" localSheetId="7" hidden="1">人员状况!$A$3:$J$76</definedName>
    <definedName name="_xlnm.Print_Area" localSheetId="9">人力资源规划一览表!$B$2:$AF$36</definedName>
    <definedName name="_xlnm.Print_Area" localSheetId="0">薪酬预算校准表!$B$2:$O$35</definedName>
  </definedNames>
  <calcPr calcId="144525" fullPrecision="0"/>
  <pivotCaches>
    <pivotCache cacheId="0" r:id="rId19"/>
  </pivotCaches>
</workbook>
</file>

<file path=xl/connections.xml><?xml version="1.0" encoding="utf-8"?>
<connections xmlns="http://schemas.openxmlformats.org/spreadsheetml/2006/main">
  <connection id="1" name="查询 - 百家姓" description="与工作簿中“百家姓”查询的连接。" type="5" background="1" refreshedVersion="2" saveData="1">
    <dbPr connection="Provider=Microsoft.Mashup.OleDb.1;Data Source=$Workbook$;Location=百家姓;Extended Properties=&quot;&quot;" command="SELECT * FROM [百家姓]" commandType="2"/>
  </connection>
</connections>
</file>

<file path=xl/sharedStrings.xml><?xml version="1.0" encoding="utf-8"?>
<sst xmlns="http://schemas.openxmlformats.org/spreadsheetml/2006/main" count="39106" uniqueCount="379">
  <si>
    <t>薪酬预算校准表</t>
  </si>
  <si>
    <t>当年实际截止月份</t>
  </si>
  <si>
    <t>预算科目</t>
  </si>
  <si>
    <t>校准状态</t>
  </si>
  <si>
    <t>说明</t>
  </si>
  <si>
    <t>(大帐)</t>
  </si>
  <si>
    <t>(细账)</t>
  </si>
  <si>
    <t>变动额</t>
  </si>
  <si>
    <t>%</t>
  </si>
  <si>
    <t>分析</t>
  </si>
  <si>
    <t>营业收入</t>
  </si>
  <si>
    <t>①</t>
  </si>
  <si>
    <t>依据公司、责任中心OTR填写</t>
  </si>
  <si>
    <t>毛利率</t>
  </si>
  <si>
    <t>②</t>
  </si>
  <si>
    <t>依据公司、责任中心OTR选择填写</t>
  </si>
  <si>
    <t>毛利额</t>
  </si>
  <si>
    <t>③</t>
  </si>
  <si>
    <r>
      <rPr>
        <sz val="10"/>
        <color theme="1"/>
        <rFont val="微软雅黑"/>
        <charset val="134"/>
      </rPr>
      <t>③=①</t>
    </r>
    <r>
      <rPr>
        <sz val="10"/>
        <color theme="1"/>
        <rFont val="Calibri"/>
        <charset val="134"/>
      </rPr>
      <t>*</t>
    </r>
    <r>
      <rPr>
        <sz val="10"/>
        <color theme="1"/>
        <rFont val="微软雅黑"/>
        <charset val="134"/>
      </rPr>
      <t>②</t>
    </r>
  </si>
  <si>
    <t>薪酬总包分配率</t>
  </si>
  <si>
    <t>④</t>
  </si>
  <si>
    <t>1.薪酬总包占毛利的比率。
2.毛利扣除所有管理成本后，为股东和劳动者共有剩余利润，薪酬总包分配率实质是劳动者与股东的分配比率。
3.应参照行业范围确认。</t>
  </si>
  <si>
    <t>薪酬总包金额</t>
  </si>
  <si>
    <t>⑤</t>
  </si>
  <si>
    <t>⑤=③*④</t>
  </si>
  <si>
    <t>固定薪酬总额</t>
  </si>
  <si>
    <t>⑥</t>
  </si>
  <si>
    <t>根据各岗位人数和固定薪资标准计算</t>
  </si>
  <si>
    <t>固定薪酬/营业收入</t>
  </si>
  <si>
    <t>⑦</t>
  </si>
  <si>
    <t>占收入总额的比值</t>
  </si>
  <si>
    <t>变动薪酬金额</t>
  </si>
  <si>
    <t>⑧</t>
  </si>
  <si>
    <t>⑧=⑤-⑥-⑩</t>
  </si>
  <si>
    <t>变动薪酬/营业收入</t>
  </si>
  <si>
    <t>⑨</t>
  </si>
  <si>
    <t>其他薪酬金额</t>
  </si>
  <si>
    <t>⑩</t>
  </si>
  <si>
    <t>根据各岗位人数和其他薪资标准（如补贴等）计算</t>
  </si>
  <si>
    <t>其他薪酬/营业收入</t>
  </si>
  <si>
    <t>⑪</t>
  </si>
  <si>
    <t>五险一金金额</t>
  </si>
  <si>
    <t>公司所承担的员工五险一金或其他法定保险占薪酬总额的比例</t>
  </si>
  <si>
    <t>五险一金/薪酬总包</t>
  </si>
  <si>
    <t>福利费总额</t>
  </si>
  <si>
    <t>集体福利费用，如集体食堂</t>
  </si>
  <si>
    <t>福利费/薪酬总包</t>
  </si>
  <si>
    <t>福利费占薪酬总包的比例</t>
  </si>
  <si>
    <t>招聘费用总额</t>
  </si>
  <si>
    <t>招聘的各种开支</t>
  </si>
  <si>
    <t>招聘费/薪酬总包</t>
  </si>
  <si>
    <t>招聘开支占薪酬总包的比例</t>
  </si>
  <si>
    <t>培训费用总额</t>
  </si>
  <si>
    <t>用于团队学习成长的各种开支</t>
  </si>
  <si>
    <t>培训费/薪酬总包</t>
  </si>
  <si>
    <t>学习培训成本占薪酬总包的比例</t>
  </si>
  <si>
    <t>平均员工人数</t>
  </si>
  <si>
    <t>年人数总和/12</t>
  </si>
  <si>
    <t>年均人效</t>
  </si>
  <si>
    <t>年销售额/年人数总和</t>
  </si>
  <si>
    <t>年均薪酬</t>
  </si>
  <si>
    <t>年薪酬总额/年人数总和</t>
  </si>
  <si>
    <t>人效工资比</t>
  </si>
  <si>
    <t>年均人效/年均薪酬</t>
  </si>
  <si>
    <t>A:实际数  E:估计数  B:预算数   YTD：从年初到当年实际截止日   YTG：当年实际截止日次日到年底</t>
  </si>
  <si>
    <t>需要手工填入数据</t>
  </si>
  <si>
    <t>需要手工填入分析说明</t>
  </si>
  <si>
    <t>可接受</t>
  </si>
  <si>
    <t>上级预算与下级预算未校准，但差异不影响战略落地。可接受</t>
  </si>
  <si>
    <t>未校准</t>
  </si>
  <si>
    <t>上级预算与下级预算的差异幅度超过可接受幅度，需要调整预算</t>
  </si>
  <si>
    <t>已校准</t>
  </si>
  <si>
    <t>上级预算与下级预算的差异幅度在可接受幅度范围内。</t>
  </si>
  <si>
    <t>人力资源分类汇总表</t>
  </si>
  <si>
    <t>金额单位：万元</t>
  </si>
  <si>
    <t>其中：</t>
  </si>
  <si>
    <t>合计</t>
  </si>
  <si>
    <t>注册人数</t>
  </si>
  <si>
    <t>*</t>
  </si>
  <si>
    <t>流程中心</t>
  </si>
  <si>
    <t>销售中心</t>
  </si>
  <si>
    <t>制造中心</t>
  </si>
  <si>
    <t>创新中心</t>
  </si>
  <si>
    <t>产品
研发部</t>
  </si>
  <si>
    <t>XX
试验室</t>
  </si>
  <si>
    <t>XX
孵化业务</t>
  </si>
  <si>
    <t>支持中心</t>
  </si>
  <si>
    <t>财务部</t>
  </si>
  <si>
    <t>人力资源部</t>
  </si>
  <si>
    <t>IT部</t>
  </si>
  <si>
    <t>总经办</t>
  </si>
  <si>
    <t>平均人数</t>
  </si>
  <si>
    <t>固定工资</t>
  </si>
  <si>
    <t>变动薪酬</t>
  </si>
  <si>
    <t>其他薪酬</t>
  </si>
  <si>
    <t>薪酬合计</t>
  </si>
  <si>
    <t>社保</t>
  </si>
  <si>
    <t>福利费</t>
  </si>
  <si>
    <t>培训费</t>
  </si>
  <si>
    <t>招聘费</t>
  </si>
  <si>
    <t xml:space="preserve">A:实际数  E:估计数  B:预算数 </t>
  </si>
  <si>
    <t>把明细数据往本表空白行中复制即可。注意不要重复。  估计数和预算数可以填写汇总到部门、岗位级、月份的数据，不必一定明细到个人。</t>
  </si>
  <si>
    <t>数据类型</t>
  </si>
  <si>
    <t>员工编号</t>
  </si>
  <si>
    <t>员工姓名</t>
  </si>
  <si>
    <t>责任中心</t>
  </si>
  <si>
    <t>部门</t>
  </si>
  <si>
    <t>职级</t>
  </si>
  <si>
    <t>岗位</t>
  </si>
  <si>
    <t>受薪月份</t>
  </si>
  <si>
    <t>实际出勤天数</t>
  </si>
  <si>
    <t>应出勤天数</t>
  </si>
  <si>
    <t>薪资合计</t>
  </si>
  <si>
    <t>A</t>
  </si>
  <si>
    <t>P00001</t>
  </si>
  <si>
    <t>赵一</t>
  </si>
  <si>
    <t>专业级8</t>
  </si>
  <si>
    <t>销售工程师</t>
  </si>
  <si>
    <t>P00002</t>
  </si>
  <si>
    <t>钱二</t>
  </si>
  <si>
    <t>专业级7</t>
  </si>
  <si>
    <t>P00003</t>
  </si>
  <si>
    <t>孙三</t>
  </si>
  <si>
    <t>专业级6</t>
  </si>
  <si>
    <t>P00004</t>
  </si>
  <si>
    <t>李四</t>
  </si>
  <si>
    <t>P00005</t>
  </si>
  <si>
    <t>周五</t>
  </si>
  <si>
    <t>P00006</t>
  </si>
  <si>
    <t>吴六</t>
  </si>
  <si>
    <t>P00007</t>
  </si>
  <si>
    <t>郑一</t>
  </si>
  <si>
    <t>P00008</t>
  </si>
  <si>
    <t>王二</t>
  </si>
  <si>
    <t>P00009</t>
  </si>
  <si>
    <t>冯三</t>
  </si>
  <si>
    <t>P00010</t>
  </si>
  <si>
    <t>陈四</t>
  </si>
  <si>
    <t>技术工程师</t>
  </si>
  <si>
    <t>P00011</t>
  </si>
  <si>
    <t>褚五</t>
  </si>
  <si>
    <t>P00012</t>
  </si>
  <si>
    <t>卫六</t>
  </si>
  <si>
    <t>P00013</t>
  </si>
  <si>
    <t>蒋一</t>
  </si>
  <si>
    <t>管理级19</t>
  </si>
  <si>
    <t>销售总监</t>
  </si>
  <si>
    <t>P00014</t>
  </si>
  <si>
    <t>沈二</t>
  </si>
  <si>
    <t>管理级17</t>
  </si>
  <si>
    <t>区域销售总监</t>
  </si>
  <si>
    <t>P00015</t>
  </si>
  <si>
    <t>韩三</t>
  </si>
  <si>
    <t>车间经理</t>
  </si>
  <si>
    <t>P00016</t>
  </si>
  <si>
    <t>杨四</t>
  </si>
  <si>
    <t>专业级5</t>
  </si>
  <si>
    <t>技术员</t>
  </si>
  <si>
    <t>P00017</t>
  </si>
  <si>
    <t>朱五</t>
  </si>
  <si>
    <t>专业级4</t>
  </si>
  <si>
    <t>QC</t>
  </si>
  <si>
    <t>P00018</t>
  </si>
  <si>
    <t>秦六</t>
  </si>
  <si>
    <t>P00019</t>
  </si>
  <si>
    <t>尤一</t>
  </si>
  <si>
    <t>P00020</t>
  </si>
  <si>
    <t>许二</t>
  </si>
  <si>
    <t>P00021</t>
  </si>
  <si>
    <t>何三</t>
  </si>
  <si>
    <t>P00022</t>
  </si>
  <si>
    <t>吕四</t>
  </si>
  <si>
    <t>P00023</t>
  </si>
  <si>
    <t>施五</t>
  </si>
  <si>
    <t>P00024</t>
  </si>
  <si>
    <t>张六</t>
  </si>
  <si>
    <t>专业级3</t>
  </si>
  <si>
    <t>工人</t>
  </si>
  <si>
    <t>P00025</t>
  </si>
  <si>
    <t>孔一</t>
  </si>
  <si>
    <t>专业级2</t>
  </si>
  <si>
    <t>P00026</t>
  </si>
  <si>
    <t>曹二</t>
  </si>
  <si>
    <t>专业级1</t>
  </si>
  <si>
    <t>P00027</t>
  </si>
  <si>
    <t>严三</t>
  </si>
  <si>
    <t>P00028</t>
  </si>
  <si>
    <t>华四</t>
  </si>
  <si>
    <t>P00029</t>
  </si>
  <si>
    <t>金五</t>
  </si>
  <si>
    <t>P00030</t>
  </si>
  <si>
    <t>魏六</t>
  </si>
  <si>
    <t>P00031</t>
  </si>
  <si>
    <t>陶一</t>
  </si>
  <si>
    <t>P00032</t>
  </si>
  <si>
    <t>姜二</t>
  </si>
  <si>
    <t>P00033</t>
  </si>
  <si>
    <t>戚三</t>
  </si>
  <si>
    <t>P00034</t>
  </si>
  <si>
    <t>谢四</t>
  </si>
  <si>
    <t>P00035</t>
  </si>
  <si>
    <t>邹五</t>
  </si>
  <si>
    <t>P00036</t>
  </si>
  <si>
    <t>喻六</t>
  </si>
  <si>
    <t>管理级18</t>
  </si>
  <si>
    <t>制造总监</t>
  </si>
  <si>
    <t>P00037</t>
  </si>
  <si>
    <t>柏一</t>
  </si>
  <si>
    <t>专业级9</t>
  </si>
  <si>
    <t>研发工程师</t>
  </si>
  <si>
    <t>P00038</t>
  </si>
  <si>
    <t>水二</t>
  </si>
  <si>
    <t>P00039</t>
  </si>
  <si>
    <t>窦三</t>
  </si>
  <si>
    <t>P00040</t>
  </si>
  <si>
    <t>章四</t>
  </si>
  <si>
    <t>P00041</t>
  </si>
  <si>
    <t>云五</t>
  </si>
  <si>
    <t>专业级11</t>
  </si>
  <si>
    <t>主任</t>
  </si>
  <si>
    <t>P00042</t>
  </si>
  <si>
    <t>苏六</t>
  </si>
  <si>
    <t>研发总监</t>
  </si>
  <si>
    <t>P00043</t>
  </si>
  <si>
    <t>潘一</t>
  </si>
  <si>
    <t>专业级10</t>
  </si>
  <si>
    <t>P00044</t>
  </si>
  <si>
    <t>葛二</t>
  </si>
  <si>
    <t>P00045</t>
  </si>
  <si>
    <t>奚三</t>
  </si>
  <si>
    <t>P00046</t>
  </si>
  <si>
    <t>范四</t>
  </si>
  <si>
    <t>P00047</t>
  </si>
  <si>
    <t>彭五</t>
  </si>
  <si>
    <t>P00048</t>
  </si>
  <si>
    <t>郎六</t>
  </si>
  <si>
    <t>P00049</t>
  </si>
  <si>
    <t>鲁一</t>
  </si>
  <si>
    <t>P00050</t>
  </si>
  <si>
    <t>韦二</t>
  </si>
  <si>
    <t>财务总监</t>
  </si>
  <si>
    <t>P00051</t>
  </si>
  <si>
    <t>昌三</t>
  </si>
  <si>
    <t>管理级13</t>
  </si>
  <si>
    <t>财务经理</t>
  </si>
  <si>
    <t>P00052</t>
  </si>
  <si>
    <t>马四</t>
  </si>
  <si>
    <t>管理级12</t>
  </si>
  <si>
    <t>总账</t>
  </si>
  <si>
    <t>P00053</t>
  </si>
  <si>
    <t>苗五</t>
  </si>
  <si>
    <t>管理级11</t>
  </si>
  <si>
    <t>会计</t>
  </si>
  <si>
    <t>P00054</t>
  </si>
  <si>
    <t>凤六</t>
  </si>
  <si>
    <t>管理级10</t>
  </si>
  <si>
    <t>P00055</t>
  </si>
  <si>
    <t>花一</t>
  </si>
  <si>
    <t>管理级9</t>
  </si>
  <si>
    <t>P00056</t>
  </si>
  <si>
    <t>方二</t>
  </si>
  <si>
    <t>管理级8</t>
  </si>
  <si>
    <t>出纳</t>
  </si>
  <si>
    <t>P00057</t>
  </si>
  <si>
    <t>俞三</t>
  </si>
  <si>
    <t>人力资源总监</t>
  </si>
  <si>
    <t>P00058</t>
  </si>
  <si>
    <t>任四</t>
  </si>
  <si>
    <t>职员</t>
  </si>
  <si>
    <t>P00059</t>
  </si>
  <si>
    <t>袁五</t>
  </si>
  <si>
    <t>P00060</t>
  </si>
  <si>
    <t>柳六</t>
  </si>
  <si>
    <t>P00061</t>
  </si>
  <si>
    <t>酆一</t>
  </si>
  <si>
    <t>P00062</t>
  </si>
  <si>
    <t>鲍二</t>
  </si>
  <si>
    <t>P00063</t>
  </si>
  <si>
    <t>史三</t>
  </si>
  <si>
    <t>管理级15</t>
  </si>
  <si>
    <t>IT经理</t>
  </si>
  <si>
    <t>P00064</t>
  </si>
  <si>
    <t>唐四</t>
  </si>
  <si>
    <t>IT工程师</t>
  </si>
  <si>
    <t>P00065</t>
  </si>
  <si>
    <t>费五</t>
  </si>
  <si>
    <t>P00066</t>
  </si>
  <si>
    <t>廉六</t>
  </si>
  <si>
    <t>专业级12</t>
  </si>
  <si>
    <t>工程师</t>
  </si>
  <si>
    <t>P00067</t>
  </si>
  <si>
    <t>岑一</t>
  </si>
  <si>
    <t>P00068</t>
  </si>
  <si>
    <t>薛二</t>
  </si>
  <si>
    <t>P00069</t>
  </si>
  <si>
    <t>雷三</t>
  </si>
  <si>
    <t>P00070</t>
  </si>
  <si>
    <t>贺四</t>
  </si>
  <si>
    <t>P00071</t>
  </si>
  <si>
    <t>倪五</t>
  </si>
  <si>
    <t>技术专家</t>
  </si>
  <si>
    <t>P00072</t>
  </si>
  <si>
    <t>汤六</t>
  </si>
  <si>
    <t>项目总监</t>
  </si>
  <si>
    <t>P00073</t>
  </si>
  <si>
    <t>郑老板</t>
  </si>
  <si>
    <t>管理级20</t>
  </si>
  <si>
    <t>老板</t>
  </si>
  <si>
    <t>E</t>
  </si>
  <si>
    <t>B</t>
  </si>
  <si>
    <t>发生月份</t>
  </si>
  <si>
    <t>社保总额</t>
  </si>
  <si>
    <t>企业承担部分</t>
  </si>
  <si>
    <t>个人承担部分</t>
  </si>
  <si>
    <t>福利项目</t>
  </si>
  <si>
    <t>金额</t>
  </si>
  <si>
    <t>集体食堂支出</t>
  </si>
  <si>
    <t>培训费项目</t>
  </si>
  <si>
    <t>具体费用描述</t>
  </si>
  <si>
    <t>课程报名费</t>
  </si>
  <si>
    <t>招聘费项目</t>
  </si>
  <si>
    <t>Boss直聘</t>
  </si>
  <si>
    <t>省外校园招聘</t>
  </si>
  <si>
    <t>省内校园招聘</t>
  </si>
  <si>
    <t>内部推荐招聘</t>
  </si>
  <si>
    <t>入职日期</t>
  </si>
  <si>
    <t>离职日期</t>
  </si>
  <si>
    <t>固定薪酬标准(年）</t>
  </si>
  <si>
    <t>异动原因</t>
  </si>
  <si>
    <t>人数（增+减-）</t>
  </si>
  <si>
    <t>固定薪酬金额</t>
  </si>
  <si>
    <t>预计异动日期</t>
  </si>
  <si>
    <t>来源</t>
  </si>
  <si>
    <t>入职</t>
  </si>
  <si>
    <t>招聘</t>
  </si>
  <si>
    <t>离职</t>
  </si>
  <si>
    <t>自然流失</t>
  </si>
  <si>
    <t>升职</t>
  </si>
  <si>
    <t>晋升</t>
  </si>
  <si>
    <t>人力资源规划一览表</t>
  </si>
  <si>
    <t>check</t>
  </si>
  <si>
    <t>管理级16</t>
  </si>
  <si>
    <t>管理级14</t>
  </si>
  <si>
    <t>人数</t>
  </si>
  <si>
    <t>期间</t>
  </si>
  <si>
    <t>2021年</t>
  </si>
  <si>
    <t>2021年 汇总</t>
  </si>
  <si>
    <t>2022年</t>
  </si>
  <si>
    <t>2022年 汇总</t>
  </si>
  <si>
    <t>总计</t>
  </si>
  <si>
    <t>第四季</t>
  </si>
  <si>
    <t>第一季</t>
  </si>
  <si>
    <t>第二季</t>
  </si>
  <si>
    <t>责任中心/部门/岗位</t>
  </si>
  <si>
    <t>XX年度招聘管理费预算表</t>
  </si>
  <si>
    <t>项目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</si>
  <si>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</si>
  <si>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</si>
  <si>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</si>
  <si>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</si>
  <si>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</si>
  <si>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</si>
  <si>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</si>
  <si>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</si>
  <si>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</si>
  <si>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</si>
  <si>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</si>
  <si>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</si>
  <si>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合计数</t>
  </si>
  <si>
    <t>上年数</t>
  </si>
  <si>
    <t>增减变动率</t>
  </si>
  <si>
    <t>XX年度人力成本预算表——XX部门</t>
  </si>
  <si>
    <t>本年人均</t>
  </si>
  <si>
    <t>上年人均</t>
  </si>
  <si>
    <t>全员集中学习</t>
  </si>
  <si>
    <t>小组集中学习</t>
  </si>
  <si>
    <t>外部委培</t>
  </si>
  <si>
    <t>外聘讲师内训</t>
  </si>
  <si>
    <t xml:space="preserve"> 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</si>
</sst>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* #,##0.0_ ;_ * \-#,##0.0_ ;_ * &quot;-&quot;??_ ;_ @_ "/>
    <numFmt numFmtId="178" formatCode="0.0%"/>
    <numFmt numFmtId="179" formatCode="_ * #,##0_ ;_ * \-#,##0_ ;_ * &quot;-&quot;?_ ;_ @_ "/>
  </numFmts>
  <fonts count="44">
    <font>
      <sz val="11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sz val="8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color theme="1"/>
      <name val="微软雅黑"/>
      <charset val="134"/>
    </font>
    <font>
      <b/>
      <sz val="18"/>
      <color theme="1"/>
      <name val="微软雅黑"/>
      <charset val="134"/>
    </font>
    <font>
      <sz val="10"/>
      <color theme="0"/>
      <name val="微软雅黑"/>
      <charset val="134"/>
    </font>
    <font>
      <sz val="8"/>
      <color theme="0" tint="-0.149998474074526"/>
      <name val="宋体"/>
      <charset val="134"/>
      <scheme val="minor"/>
    </font>
    <font>
      <b/>
      <sz val="8"/>
      <color theme="0" tint="-0.149998474074526"/>
      <name val="宋体"/>
      <charset val="134"/>
      <scheme val="minor"/>
    </font>
    <font>
      <b/>
      <sz val="8"/>
      <color theme="0" tint="-0.149998474074526"/>
      <name val="微软雅黑"/>
      <charset val="134"/>
    </font>
    <font>
      <b/>
      <sz val="10"/>
      <color theme="0"/>
      <name val="微软雅黑"/>
      <charset val="134"/>
    </font>
    <font>
      <sz val="8"/>
      <color theme="0" tint="-0.149998474074526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微软雅黑"/>
      <charset val="134"/>
    </font>
    <font>
      <b/>
      <sz val="20"/>
      <color theme="1"/>
      <name val="微软雅黑"/>
      <charset val="134"/>
    </font>
    <font>
      <sz val="10"/>
      <color theme="1"/>
      <name val="Calibri"/>
      <charset val="134"/>
    </font>
    <font>
      <b/>
      <sz val="10"/>
      <color theme="1"/>
      <name val="Microsoft YaHei Light"/>
      <charset val="134"/>
    </font>
    <font>
      <b/>
      <sz val="10"/>
      <color theme="1"/>
      <name val="等线"/>
      <charset val="134"/>
    </font>
    <font>
      <b/>
      <sz val="14"/>
      <color theme="1"/>
      <name val="Microsoft YaHei Light"/>
      <charset val="134"/>
    </font>
    <font>
      <sz val="10"/>
      <color theme="1"/>
      <name val="等线"/>
      <charset val="134"/>
    </font>
    <font>
      <sz val="10"/>
      <color theme="1"/>
      <name val="Microsoft YaHei Light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4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9" borderId="48" applyNumberFormat="0" applyFon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9" applyNumberFormat="0" applyFill="0" applyAlignment="0" applyProtection="0">
      <alignment vertical="center"/>
    </xf>
    <xf numFmtId="0" fontId="36" fillId="0" borderId="49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1" fillId="0" borderId="50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7" fillId="18" borderId="51" applyNumberFormat="0" applyAlignment="0" applyProtection="0">
      <alignment vertical="center"/>
    </xf>
    <xf numFmtId="0" fontId="38" fillId="18" borderId="47" applyNumberFormat="0" applyAlignment="0" applyProtection="0">
      <alignment vertical="center"/>
    </xf>
    <xf numFmtId="0" fontId="39" fillId="19" borderId="52" applyNumberFormat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40" fillId="0" borderId="53" applyNumberFormat="0" applyFill="0" applyAlignment="0" applyProtection="0">
      <alignment vertical="center"/>
    </xf>
    <xf numFmtId="0" fontId="41" fillId="0" borderId="54" applyNumberFormat="0" applyFill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centerContinuous" vertical="center" wrapText="1"/>
    </xf>
    <xf numFmtId="0" fontId="1" fillId="0" borderId="1" xfId="0" applyFont="1" applyBorder="1" applyAlignment="1">
      <alignment horizontal="centerContinuous" vertical="center" wrapText="1"/>
    </xf>
    <xf numFmtId="0" fontId="1" fillId="0" borderId="2" xfId="0" applyFont="1" applyBorder="1" applyAlignment="1">
      <alignment horizontal="centerContinuous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Continuous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NumberFormat="1" applyFont="1">
      <alignment vertical="center"/>
    </xf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indent="2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Continuous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centerContinuous" vertical="center"/>
    </xf>
    <xf numFmtId="14" fontId="8" fillId="0" borderId="26" xfId="0" applyNumberFormat="1" applyFont="1" applyBorder="1" applyAlignment="1">
      <alignment horizontal="left" vertical="center"/>
    </xf>
    <xf numFmtId="0" fontId="6" fillId="3" borderId="27" xfId="0" applyFont="1" applyFill="1" applyBorder="1" applyAlignment="1">
      <alignment horizontal="center" vertical="center" wrapText="1"/>
    </xf>
    <xf numFmtId="14" fontId="10" fillId="4" borderId="8" xfId="0" applyNumberFormat="1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left" vertical="center"/>
    </xf>
    <xf numFmtId="0" fontId="10" fillId="4" borderId="29" xfId="0" applyFont="1" applyFill="1" applyBorder="1" applyAlignment="1">
      <alignment horizontal="centerContinuous" vertical="center"/>
    </xf>
    <xf numFmtId="0" fontId="6" fillId="3" borderId="1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/>
    </xf>
    <xf numFmtId="37" fontId="8" fillId="0" borderId="8" xfId="0" applyNumberFormat="1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0" borderId="8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0" fillId="4" borderId="31" xfId="0" applyFont="1" applyFill="1" applyBorder="1" applyAlignment="1">
      <alignment horizontal="centerContinuous" vertical="center"/>
    </xf>
    <xf numFmtId="0" fontId="6" fillId="3" borderId="32" xfId="0" applyFont="1" applyFill="1" applyBorder="1" applyAlignment="1">
      <alignment horizontal="center" vertical="center" wrapText="1"/>
    </xf>
    <xf numFmtId="37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0" xfId="0" applyFont="1" applyFill="1" applyBorder="1" applyAlignment="1" applyProtection="1">
      <alignment vertical="center"/>
      <protection locked="0"/>
    </xf>
    <xf numFmtId="0" fontId="8" fillId="0" borderId="0" xfId="0" applyFont="1" applyBorder="1" applyAlignment="1" applyProtection="1">
      <alignment horizontal="center" vertical="center" wrapText="1"/>
      <protection locked="0"/>
    </xf>
    <xf numFmtId="14" fontId="8" fillId="0" borderId="0" xfId="8" applyNumberFormat="1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center" vertical="center" wrapText="1"/>
    </xf>
    <xf numFmtId="0" fontId="2" fillId="0" borderId="0" xfId="0" applyFont="1" applyBorder="1" applyProtection="1">
      <alignment vertical="center"/>
    </xf>
    <xf numFmtId="0" fontId="5" fillId="0" borderId="0" xfId="0" applyFont="1" applyFill="1" applyBorder="1" applyAlignment="1" applyProtection="1">
      <alignment vertical="center"/>
    </xf>
    <xf numFmtId="0" fontId="6" fillId="2" borderId="0" xfId="0" applyFont="1" applyFill="1" applyBorder="1" applyAlignment="1" applyProtection="1">
      <alignment horizontal="center" vertical="center" wrapText="1"/>
    </xf>
    <xf numFmtId="0" fontId="6" fillId="2" borderId="0" xfId="0" applyFont="1" applyFill="1" applyBorder="1" applyAlignment="1" applyProtection="1">
      <alignment horizontal="center" vertical="center"/>
    </xf>
    <xf numFmtId="14" fontId="8" fillId="0" borderId="0" xfId="8" applyNumberFormat="1" applyFont="1" applyBorder="1" applyAlignment="1" applyProtection="1">
      <alignment horizontal="center" vertical="center" wrapText="1"/>
    </xf>
    <xf numFmtId="14" fontId="6" fillId="2" borderId="0" xfId="8" applyNumberFormat="1" applyFont="1" applyFill="1" applyBorder="1" applyAlignment="1" applyProtection="1">
      <alignment horizontal="center" vertical="center" wrapText="1"/>
    </xf>
    <xf numFmtId="43" fontId="8" fillId="0" borderId="0" xfId="8" applyFont="1" applyBorder="1" applyAlignment="1" applyProtection="1">
      <alignment horizontal="center" vertical="center" wrapText="1"/>
      <protection locked="0"/>
    </xf>
    <xf numFmtId="0" fontId="8" fillId="2" borderId="0" xfId="0" applyFont="1" applyFill="1" applyBorder="1" applyAlignment="1" applyProtection="1">
      <alignment horizontal="center" vertical="center"/>
    </xf>
    <xf numFmtId="0" fontId="8" fillId="0" borderId="0" xfId="0" applyFont="1" applyFill="1" applyBorder="1" applyAlignment="1" applyProtection="1">
      <alignment horizontal="center" vertical="center"/>
      <protection locked="0"/>
    </xf>
    <xf numFmtId="14" fontId="5" fillId="0" borderId="0" xfId="0" applyNumberFormat="1" applyFont="1" applyFill="1" applyBorder="1" applyAlignment="1" applyProtection="1">
      <alignment vertical="center"/>
      <protection locked="0"/>
    </xf>
    <xf numFmtId="0" fontId="8" fillId="0" borderId="0" xfId="0" applyFont="1" applyFill="1" applyBorder="1" applyAlignment="1" applyProtection="1">
      <alignment vertical="center"/>
      <protection locked="0"/>
    </xf>
    <xf numFmtId="43" fontId="5" fillId="0" borderId="0" xfId="8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Protection="1">
      <alignment vertical="center"/>
    </xf>
    <xf numFmtId="0" fontId="5" fillId="2" borderId="0" xfId="0" applyFont="1" applyFill="1" applyBorder="1" applyAlignment="1" applyProtection="1">
      <alignment vertical="center"/>
    </xf>
    <xf numFmtId="0" fontId="5" fillId="0" borderId="0" xfId="0" applyFont="1" applyProtection="1">
      <alignment vertical="center"/>
      <protection locked="0"/>
    </xf>
    <xf numFmtId="43" fontId="0" fillId="0" borderId="0" xfId="0" applyNumberFormat="1" applyProtection="1">
      <alignment vertical="center"/>
      <protection locked="0"/>
    </xf>
    <xf numFmtId="0" fontId="2" fillId="0" borderId="0" xfId="0" applyFont="1" applyBorder="1">
      <alignment vertical="center"/>
    </xf>
    <xf numFmtId="43" fontId="8" fillId="2" borderId="0" xfId="8" applyFont="1" applyFill="1" applyBorder="1" applyAlignment="1" applyProtection="1">
      <alignment horizontal="center" vertical="center"/>
    </xf>
    <xf numFmtId="43" fontId="5" fillId="2" borderId="0" xfId="8" applyFont="1" applyFill="1" applyBorder="1" applyAlignment="1" applyProtection="1">
      <alignment vertical="center"/>
    </xf>
    <xf numFmtId="176" fontId="5" fillId="0" borderId="0" xfId="8" applyNumberFormat="1" applyFont="1" applyFill="1" applyBorder="1" applyAlignment="1" applyProtection="1">
      <alignment vertical="center"/>
      <protection locked="0"/>
    </xf>
    <xf numFmtId="0" fontId="0" fillId="0" borderId="0" xfId="0" applyBorder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6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14" fontId="8" fillId="0" borderId="0" xfId="0" applyNumberFormat="1" applyFont="1" applyBorder="1" applyAlignment="1">
      <alignment vertical="center"/>
    </xf>
    <xf numFmtId="0" fontId="14" fillId="5" borderId="0" xfId="0" applyFont="1" applyFill="1" applyBorder="1" applyAlignment="1">
      <alignment horizontal="center" vertical="center" wrapText="1"/>
    </xf>
    <xf numFmtId="0" fontId="14" fillId="5" borderId="27" xfId="0" applyFont="1" applyFill="1" applyBorder="1" applyAlignment="1">
      <alignment horizontal="center" vertical="center" wrapText="1"/>
    </xf>
    <xf numFmtId="14" fontId="14" fillId="5" borderId="8" xfId="0" applyNumberFormat="1" applyFont="1" applyFill="1" applyBorder="1" applyAlignment="1">
      <alignment horizontal="center" vertical="center"/>
    </xf>
    <xf numFmtId="14" fontId="14" fillId="5" borderId="28" xfId="0" applyNumberFormat="1" applyFont="1" applyFill="1" applyBorder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14" fontId="14" fillId="5" borderId="32" xfId="0" applyNumberFormat="1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 wrapText="1"/>
    </xf>
    <xf numFmtId="0" fontId="14" fillId="5" borderId="32" xfId="8" applyNumberFormat="1" applyFont="1" applyFill="1" applyBorder="1" applyAlignment="1">
      <alignment horizontal="center" vertical="center" wrapText="1"/>
    </xf>
    <xf numFmtId="0" fontId="14" fillId="5" borderId="6" xfId="0" applyFont="1" applyFill="1" applyBorder="1" applyAlignment="1">
      <alignment horizontal="center" vertical="center" wrapText="1"/>
    </xf>
    <xf numFmtId="0" fontId="14" fillId="5" borderId="32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14" fontId="15" fillId="0" borderId="0" xfId="0" applyNumberFormat="1" applyFont="1">
      <alignment vertical="center"/>
    </xf>
    <xf numFmtId="0" fontId="3" fillId="0" borderId="0" xfId="0" applyFont="1">
      <alignment vertical="center"/>
    </xf>
    <xf numFmtId="0" fontId="13" fillId="0" borderId="0" xfId="0" applyFont="1">
      <alignment vertical="center"/>
    </xf>
    <xf numFmtId="177" fontId="4" fillId="0" borderId="0" xfId="8" applyNumberFormat="1" applyFont="1">
      <alignment vertical="center"/>
    </xf>
    <xf numFmtId="177" fontId="5" fillId="0" borderId="0" xfId="8" applyNumberFormat="1" applyFont="1">
      <alignment vertical="center"/>
    </xf>
    <xf numFmtId="14" fontId="14" fillId="5" borderId="29" xfId="0" applyNumberFormat="1" applyFont="1" applyFill="1" applyBorder="1" applyAlignment="1">
      <alignment horizontal="left" vertical="center"/>
    </xf>
    <xf numFmtId="14" fontId="14" fillId="5" borderId="31" xfId="0" applyNumberFormat="1" applyFont="1" applyFill="1" applyBorder="1" applyAlignment="1">
      <alignment horizontal="left" vertical="center"/>
    </xf>
    <xf numFmtId="43" fontId="4" fillId="0" borderId="0" xfId="0" applyNumberFormat="1" applyFont="1">
      <alignment vertical="center"/>
    </xf>
    <xf numFmtId="43" fontId="5" fillId="0" borderId="0" xfId="0" applyNumberFormat="1" applyFont="1">
      <alignment vertical="center"/>
    </xf>
    <xf numFmtId="0" fontId="16" fillId="0" borderId="0" xfId="0" applyFont="1">
      <alignment vertical="center"/>
    </xf>
    <xf numFmtId="0" fontId="16" fillId="0" borderId="0" xfId="0" applyFont="1" applyBorder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Fill="1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8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6" borderId="0" xfId="0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14" fontId="8" fillId="7" borderId="0" xfId="0" applyNumberFormat="1" applyFont="1" applyFill="1" applyBorder="1" applyAlignment="1" applyProtection="1">
      <alignment horizontal="left" vertical="center"/>
      <protection locked="0"/>
    </xf>
    <xf numFmtId="0" fontId="14" fillId="8" borderId="33" xfId="0" applyFont="1" applyFill="1" applyBorder="1" applyAlignment="1">
      <alignment horizontal="center" vertical="center" wrapText="1"/>
    </xf>
    <xf numFmtId="0" fontId="14" fillId="8" borderId="34" xfId="0" applyFont="1" applyFill="1" applyBorder="1" applyAlignment="1">
      <alignment horizontal="center" vertical="center" wrapText="1"/>
    </xf>
    <xf numFmtId="0" fontId="14" fillId="8" borderId="35" xfId="0" applyNumberFormat="1" applyFont="1" applyFill="1" applyBorder="1" applyAlignment="1">
      <alignment horizontal="center" vertical="center" wrapText="1"/>
    </xf>
    <xf numFmtId="0" fontId="14" fillId="8" borderId="35" xfId="0" applyFont="1" applyFill="1" applyBorder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37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 wrapText="1"/>
    </xf>
    <xf numFmtId="0" fontId="10" fillId="8" borderId="39" xfId="0" applyNumberFormat="1" applyFont="1" applyFill="1" applyBorder="1" applyAlignment="1">
      <alignment horizontal="center" vertical="center" wrapText="1"/>
    </xf>
    <xf numFmtId="0" fontId="14" fillId="8" borderId="39" xfId="0" applyNumberFormat="1" applyFont="1" applyFill="1" applyBorder="1" applyAlignment="1">
      <alignment horizontal="center" vertical="center" wrapText="1"/>
    </xf>
    <xf numFmtId="0" fontId="10" fillId="8" borderId="39" xfId="0" applyFont="1" applyFill="1" applyBorder="1" applyAlignment="1">
      <alignment horizontal="center" vertical="center" wrapText="1"/>
    </xf>
    <xf numFmtId="0" fontId="10" fillId="8" borderId="40" xfId="0" applyFont="1" applyFill="1" applyBorder="1" applyAlignment="1">
      <alignment horizontal="center" vertical="center" wrapText="1"/>
    </xf>
    <xf numFmtId="0" fontId="10" fillId="8" borderId="40" xfId="0" applyNumberFormat="1" applyFont="1" applyFill="1" applyBorder="1" applyAlignment="1">
      <alignment horizontal="center" vertical="center" wrapText="1"/>
    </xf>
    <xf numFmtId="0" fontId="8" fillId="0" borderId="24" xfId="0" applyFont="1" applyBorder="1">
      <alignment vertical="center"/>
    </xf>
    <xf numFmtId="0" fontId="19" fillId="6" borderId="30" xfId="0" applyFont="1" applyFill="1" applyBorder="1" applyAlignment="1">
      <alignment horizontal="center" vertical="center"/>
    </xf>
    <xf numFmtId="176" fontId="8" fillId="7" borderId="6" xfId="8" applyNumberFormat="1" applyFont="1" applyFill="1" applyBorder="1" applyAlignment="1" applyProtection="1">
      <alignment horizontal="right" vertical="center"/>
      <protection locked="0"/>
    </xf>
    <xf numFmtId="176" fontId="20" fillId="6" borderId="6" xfId="8" applyNumberFormat="1" applyFont="1" applyFill="1" applyBorder="1" applyAlignment="1">
      <alignment horizontal="center" vertical="center"/>
    </xf>
    <xf numFmtId="176" fontId="8" fillId="2" borderId="6" xfId="8" applyNumberFormat="1" applyFont="1" applyFill="1" applyBorder="1" applyAlignment="1">
      <alignment horizontal="right" vertical="center"/>
    </xf>
    <xf numFmtId="0" fontId="8" fillId="0" borderId="25" xfId="0" applyFont="1" applyBorder="1">
      <alignment vertical="center"/>
    </xf>
    <xf numFmtId="0" fontId="19" fillId="6" borderId="31" xfId="0" applyFont="1" applyFill="1" applyBorder="1" applyAlignment="1">
      <alignment horizontal="center" vertical="center"/>
    </xf>
    <xf numFmtId="9" fontId="8" fillId="7" borderId="8" xfId="0" applyNumberFormat="1" applyFont="1" applyFill="1" applyBorder="1" applyAlignment="1" applyProtection="1">
      <alignment horizontal="right" vertical="center"/>
      <protection locked="0"/>
    </xf>
    <xf numFmtId="9" fontId="21" fillId="6" borderId="8" xfId="0" applyNumberFormat="1" applyFont="1" applyFill="1" applyBorder="1" applyAlignment="1">
      <alignment horizontal="center" vertical="center"/>
    </xf>
    <xf numFmtId="9" fontId="8" fillId="2" borderId="8" xfId="0" applyNumberFormat="1" applyFont="1" applyFill="1" applyBorder="1" applyAlignment="1">
      <alignment horizontal="right" vertical="center"/>
    </xf>
    <xf numFmtId="0" fontId="8" fillId="0" borderId="41" xfId="0" applyFont="1" applyFill="1" applyBorder="1">
      <alignment vertical="center"/>
    </xf>
    <xf numFmtId="0" fontId="19" fillId="6" borderId="42" xfId="0" applyFont="1" applyFill="1" applyBorder="1" applyAlignment="1">
      <alignment horizontal="center" vertical="center"/>
    </xf>
    <xf numFmtId="176" fontId="8" fillId="2" borderId="12" xfId="0" applyNumberFormat="1" applyFont="1" applyFill="1" applyBorder="1" applyAlignment="1">
      <alignment horizontal="right" vertical="center"/>
    </xf>
    <xf numFmtId="176" fontId="20" fillId="6" borderId="12" xfId="8" applyNumberFormat="1" applyFont="1" applyFill="1" applyBorder="1" applyAlignment="1">
      <alignment horizontal="center" vertical="center"/>
    </xf>
    <xf numFmtId="176" fontId="8" fillId="2" borderId="12" xfId="8" applyNumberFormat="1" applyFont="1" applyFill="1" applyBorder="1" applyAlignment="1">
      <alignment horizontal="right" vertical="center"/>
    </xf>
    <xf numFmtId="0" fontId="8" fillId="0" borderId="0" xfId="0" applyFont="1" applyFill="1" applyBorder="1">
      <alignment vertical="center"/>
    </xf>
    <xf numFmtId="0" fontId="19" fillId="0" borderId="0" xfId="0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right" vertical="center"/>
    </xf>
    <xf numFmtId="176" fontId="22" fillId="0" borderId="0" xfId="8" applyNumberFormat="1" applyFont="1" applyFill="1" applyBorder="1" applyAlignment="1">
      <alignment horizontal="center" vertical="center"/>
    </xf>
    <xf numFmtId="176" fontId="8" fillId="0" borderId="0" xfId="8" applyNumberFormat="1" applyFont="1" applyFill="1" applyBorder="1" applyAlignment="1">
      <alignment horizontal="right" vertical="center"/>
    </xf>
    <xf numFmtId="0" fontId="8" fillId="0" borderId="43" xfId="0" applyFont="1" applyBorder="1">
      <alignment vertical="center"/>
    </xf>
    <xf numFmtId="0" fontId="19" fillId="6" borderId="44" xfId="0" applyFont="1" applyFill="1" applyBorder="1" applyAlignment="1">
      <alignment horizontal="center" vertical="center"/>
    </xf>
    <xf numFmtId="9" fontId="8" fillId="7" borderId="4" xfId="0" applyNumberFormat="1" applyFont="1" applyFill="1" applyBorder="1" applyAlignment="1" applyProtection="1">
      <alignment horizontal="right" vertical="center"/>
      <protection locked="0"/>
    </xf>
    <xf numFmtId="9" fontId="20" fillId="6" borderId="4" xfId="0" applyNumberFormat="1" applyFont="1" applyFill="1" applyBorder="1" applyAlignment="1">
      <alignment horizontal="center" vertical="center"/>
    </xf>
    <xf numFmtId="9" fontId="8" fillId="2" borderId="4" xfId="0" applyNumberFormat="1" applyFont="1" applyFill="1" applyBorder="1" applyAlignment="1">
      <alignment horizontal="right" vertical="center"/>
    </xf>
    <xf numFmtId="0" fontId="8" fillId="6" borderId="41" xfId="0" applyFont="1" applyFill="1" applyBorder="1">
      <alignment vertical="center"/>
    </xf>
    <xf numFmtId="176" fontId="8" fillId="2" borderId="22" xfId="8" applyNumberFormat="1" applyFont="1" applyFill="1" applyBorder="1" applyAlignment="1">
      <alignment horizontal="right" vertical="center"/>
    </xf>
    <xf numFmtId="176" fontId="20" fillId="6" borderId="22" xfId="8" applyNumberFormat="1" applyFont="1" applyFill="1" applyBorder="1" applyAlignment="1">
      <alignment horizontal="center" vertical="center"/>
    </xf>
    <xf numFmtId="0" fontId="8" fillId="6" borderId="43" xfId="0" applyFont="1" applyFill="1" applyBorder="1">
      <alignment vertical="center"/>
    </xf>
    <xf numFmtId="0" fontId="23" fillId="6" borderId="44" xfId="0" applyFont="1" applyFill="1" applyBorder="1" applyAlignment="1">
      <alignment horizontal="center" vertical="center"/>
    </xf>
    <xf numFmtId="176" fontId="8" fillId="7" borderId="4" xfId="8" applyNumberFormat="1" applyFont="1" applyFill="1" applyBorder="1" applyAlignment="1" applyProtection="1">
      <alignment horizontal="right" vertical="center"/>
      <protection locked="0"/>
    </xf>
    <xf numFmtId="176" fontId="20" fillId="6" borderId="4" xfId="8" applyNumberFormat="1" applyFont="1" applyFill="1" applyBorder="1" applyAlignment="1">
      <alignment horizontal="center" vertical="center"/>
    </xf>
    <xf numFmtId="176" fontId="8" fillId="2" borderId="4" xfId="8" applyNumberFormat="1" applyFont="1" applyFill="1" applyBorder="1" applyAlignment="1">
      <alignment horizontal="right" vertical="center"/>
    </xf>
    <xf numFmtId="0" fontId="8" fillId="6" borderId="25" xfId="0" applyFont="1" applyFill="1" applyBorder="1">
      <alignment vertical="center"/>
    </xf>
    <xf numFmtId="178" fontId="8" fillId="2" borderId="8" xfId="11" applyNumberFormat="1" applyFont="1" applyFill="1" applyBorder="1" applyAlignment="1">
      <alignment horizontal="right" vertical="center"/>
    </xf>
    <xf numFmtId="178" fontId="24" fillId="6" borderId="8" xfId="11" applyNumberFormat="1" applyFont="1" applyFill="1" applyBorder="1" applyAlignment="1">
      <alignment horizontal="right" vertical="center"/>
    </xf>
    <xf numFmtId="176" fontId="8" fillId="2" borderId="8" xfId="0" applyNumberFormat="1" applyFont="1" applyFill="1" applyBorder="1" applyAlignment="1">
      <alignment horizontal="right" vertical="center"/>
    </xf>
    <xf numFmtId="176" fontId="22" fillId="6" borderId="8" xfId="8" applyNumberFormat="1" applyFont="1" applyFill="1" applyBorder="1" applyAlignment="1">
      <alignment horizontal="center" vertical="center"/>
    </xf>
    <xf numFmtId="176" fontId="8" fillId="2" borderId="8" xfId="8" applyNumberFormat="1" applyFont="1" applyFill="1" applyBorder="1" applyAlignment="1">
      <alignment horizontal="right" vertical="center"/>
    </xf>
    <xf numFmtId="176" fontId="20" fillId="6" borderId="8" xfId="8" applyNumberFormat="1" applyFont="1" applyFill="1" applyBorder="1" applyAlignment="1">
      <alignment horizontal="center" vertical="center"/>
    </xf>
    <xf numFmtId="176" fontId="8" fillId="7" borderId="8" xfId="8" applyNumberFormat="1" applyFont="1" applyFill="1" applyBorder="1" applyAlignment="1" applyProtection="1">
      <alignment horizontal="right" vertical="center"/>
      <protection locked="0"/>
    </xf>
    <xf numFmtId="0" fontId="8" fillId="0" borderId="41" xfId="0" applyFont="1" applyBorder="1">
      <alignment vertical="center"/>
    </xf>
    <xf numFmtId="178" fontId="8" fillId="2" borderId="12" xfId="11" applyNumberFormat="1" applyFont="1" applyFill="1" applyBorder="1" applyAlignment="1">
      <alignment horizontal="right" vertical="center"/>
    </xf>
    <xf numFmtId="178" fontId="24" fillId="6" borderId="12" xfId="11" applyNumberFormat="1" applyFont="1" applyFill="1" applyBorder="1" applyAlignment="1">
      <alignment horizontal="right" vertical="center"/>
    </xf>
    <xf numFmtId="178" fontId="8" fillId="0" borderId="0" xfId="11" applyNumberFormat="1" applyFont="1" applyFill="1" applyBorder="1" applyAlignment="1">
      <alignment horizontal="right" vertical="center"/>
    </xf>
    <xf numFmtId="178" fontId="24" fillId="0" borderId="0" xfId="11" applyNumberFormat="1" applyFont="1" applyFill="1" applyBorder="1" applyAlignment="1">
      <alignment horizontal="right" vertical="center"/>
    </xf>
    <xf numFmtId="0" fontId="19" fillId="0" borderId="44" xfId="0" applyFont="1" applyBorder="1" applyAlignment="1">
      <alignment horizontal="center" vertical="center"/>
    </xf>
    <xf numFmtId="176" fontId="8" fillId="2" borderId="4" xfId="0" applyNumberFormat="1" applyFont="1" applyFill="1" applyBorder="1" applyAlignment="1">
      <alignment horizontal="right" vertical="center"/>
    </xf>
    <xf numFmtId="0" fontId="19" fillId="0" borderId="31" xfId="0" applyFont="1" applyBorder="1" applyAlignment="1">
      <alignment horizontal="center" vertical="center"/>
    </xf>
    <xf numFmtId="9" fontId="24" fillId="6" borderId="8" xfId="0" applyNumberFormat="1" applyFont="1" applyFill="1" applyBorder="1" applyAlignment="1">
      <alignment horizontal="right" vertical="center"/>
    </xf>
    <xf numFmtId="178" fontId="8" fillId="2" borderId="8" xfId="0" applyNumberFormat="1" applyFont="1" applyFill="1" applyBorder="1" applyAlignment="1">
      <alignment horizontal="right" vertical="center"/>
    </xf>
    <xf numFmtId="0" fontId="8" fillId="0" borderId="25" xfId="0" applyFont="1" applyFill="1" applyBorder="1">
      <alignment vertical="center"/>
    </xf>
    <xf numFmtId="0" fontId="19" fillId="0" borderId="31" xfId="0" applyFont="1" applyFill="1" applyBorder="1" applyAlignment="1">
      <alignment horizontal="center" vertical="center"/>
    </xf>
    <xf numFmtId="179" fontId="8" fillId="7" borderId="8" xfId="0" applyNumberFormat="1" applyFont="1" applyFill="1" applyBorder="1" applyAlignment="1" applyProtection="1">
      <alignment horizontal="right" vertical="center"/>
      <protection locked="0"/>
    </xf>
    <xf numFmtId="178" fontId="24" fillId="6" borderId="8" xfId="0" applyNumberFormat="1" applyFont="1" applyFill="1" applyBorder="1" applyAlignment="1">
      <alignment horizontal="right" vertical="center"/>
    </xf>
    <xf numFmtId="0" fontId="19" fillId="0" borderId="42" xfId="0" applyFont="1" applyFill="1" applyBorder="1" applyAlignment="1">
      <alignment horizontal="center" vertical="center"/>
    </xf>
    <xf numFmtId="178" fontId="8" fillId="2" borderId="12" xfId="0" applyNumberFormat="1" applyFont="1" applyFill="1" applyBorder="1" applyAlignment="1">
      <alignment horizontal="right" vertical="center"/>
    </xf>
    <xf numFmtId="178" fontId="24" fillId="6" borderId="12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43" xfId="0" applyFont="1" applyFill="1" applyBorder="1">
      <alignment vertical="center"/>
    </xf>
    <xf numFmtId="0" fontId="19" fillId="0" borderId="4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77" fontId="8" fillId="2" borderId="12" xfId="8" applyNumberFormat="1" applyFont="1" applyFill="1" applyBorder="1" applyAlignment="1">
      <alignment horizontal="right" vertical="center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9" borderId="8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14" fillId="8" borderId="45" xfId="0" applyFont="1" applyFill="1" applyBorder="1" applyAlignment="1">
      <alignment horizontal="center" vertical="center" wrapText="1"/>
    </xf>
    <xf numFmtId="0" fontId="14" fillId="8" borderId="46" xfId="0" applyFont="1" applyFill="1" applyBorder="1" applyAlignment="1">
      <alignment horizontal="center" vertical="center" wrapText="1"/>
    </xf>
    <xf numFmtId="178" fontId="8" fillId="2" borderId="6" xfId="11" applyNumberFormat="1" applyFont="1" applyFill="1" applyBorder="1">
      <alignment vertical="center"/>
    </xf>
    <xf numFmtId="0" fontId="8" fillId="9" borderId="6" xfId="0" applyFont="1" applyFill="1" applyBorder="1" applyAlignment="1" applyProtection="1">
      <alignment horizontal="center" vertical="center"/>
      <protection locked="0"/>
    </xf>
    <xf numFmtId="0" fontId="8" fillId="0" borderId="16" xfId="0" applyFont="1" applyBorder="1">
      <alignment vertical="center"/>
    </xf>
    <xf numFmtId="178" fontId="8" fillId="2" borderId="8" xfId="11" applyNumberFormat="1" applyFont="1" applyFill="1" applyBorder="1">
      <alignment vertical="center"/>
    </xf>
    <xf numFmtId="0" fontId="8" fillId="0" borderId="17" xfId="0" applyFont="1" applyBorder="1">
      <alignment vertical="center"/>
    </xf>
    <xf numFmtId="178" fontId="8" fillId="2" borderId="12" xfId="11" applyNumberFormat="1" applyFont="1" applyFill="1" applyBorder="1">
      <alignment vertical="center"/>
    </xf>
    <xf numFmtId="0" fontId="8" fillId="9" borderId="12" xfId="0" applyFont="1" applyFill="1" applyBorder="1" applyAlignment="1" applyProtection="1">
      <alignment horizontal="center" vertical="center"/>
      <protection locked="0"/>
    </xf>
    <xf numFmtId="0" fontId="8" fillId="0" borderId="21" xfId="0" applyFont="1" applyFill="1" applyBorder="1">
      <alignment vertical="center"/>
    </xf>
    <xf numFmtId="178" fontId="8" fillId="0" borderId="0" xfId="11" applyNumberFormat="1" applyFont="1" applyFill="1" applyBorder="1">
      <alignment vertical="center"/>
    </xf>
    <xf numFmtId="178" fontId="8" fillId="2" borderId="4" xfId="11" applyNumberFormat="1" applyFont="1" applyFill="1" applyBorder="1">
      <alignment vertical="center"/>
    </xf>
    <xf numFmtId="0" fontId="8" fillId="9" borderId="4" xfId="0" applyFont="1" applyFill="1" applyBorder="1" applyAlignment="1" applyProtection="1">
      <alignment horizontal="center" vertical="center"/>
      <protection locked="0"/>
    </xf>
    <xf numFmtId="0" fontId="8" fillId="0" borderId="15" xfId="0" applyFont="1" applyBorder="1" applyAlignment="1">
      <alignment vertical="center" wrapText="1"/>
    </xf>
    <xf numFmtId="0" fontId="19" fillId="2" borderId="21" xfId="0" applyFont="1" applyFill="1" applyBorder="1">
      <alignment vertical="center"/>
    </xf>
    <xf numFmtId="0" fontId="19" fillId="0" borderId="0" xfId="0" applyFont="1" applyFill="1" applyBorder="1">
      <alignment vertical="center"/>
    </xf>
    <xf numFmtId="0" fontId="8" fillId="2" borderId="15" xfId="0" applyFont="1" applyFill="1" applyBorder="1">
      <alignment vertical="center"/>
    </xf>
    <xf numFmtId="0" fontId="8" fillId="0" borderId="21" xfId="0" applyFont="1" applyBorder="1">
      <alignment vertical="center"/>
    </xf>
    <xf numFmtId="0" fontId="8" fillId="0" borderId="15" xfId="0" applyFont="1" applyBorder="1">
      <alignment vertical="center"/>
    </xf>
    <xf numFmtId="176" fontId="8" fillId="2" borderId="8" xfId="11" applyNumberFormat="1" applyFont="1" applyFill="1" applyBorder="1">
      <alignment vertical="center"/>
    </xf>
    <xf numFmtId="176" fontId="8" fillId="9" borderId="8" xfId="0" applyNumberFormat="1" applyFont="1" applyFill="1" applyBorder="1" applyAlignment="1" applyProtection="1">
      <alignment horizontal="center" vertical="center"/>
      <protection locked="0"/>
    </xf>
    <xf numFmtId="0" fontId="8" fillId="0" borderId="17" xfId="0" applyFont="1" applyFill="1" applyBorder="1">
      <alignment vertical="center"/>
    </xf>
    <xf numFmtId="179" fontId="8" fillId="2" borderId="8" xfId="0" applyNumberFormat="1" applyFont="1" applyFill="1" applyBorder="1" applyAlignment="1">
      <alignment horizontal="right" vertical="center"/>
    </xf>
    <xf numFmtId="176" fontId="8" fillId="2" borderId="4" xfId="11" applyNumberFormat="1" applyFont="1" applyFill="1" applyBorder="1">
      <alignment vertical="center"/>
    </xf>
    <xf numFmtId="179" fontId="8" fillId="2" borderId="4" xfId="0" applyNumberFormat="1" applyFont="1" applyFill="1" applyBorder="1" applyAlignment="1">
      <alignment horizontal="right" vertical="center"/>
    </xf>
    <xf numFmtId="0" fontId="8" fillId="0" borderId="15" xfId="0" applyFont="1" applyFill="1" applyBorder="1">
      <alignment vertical="center"/>
    </xf>
    <xf numFmtId="176" fontId="8" fillId="2" borderId="12" xfId="11" applyNumberFormat="1" applyFont="1" applyFill="1" applyBorder="1">
      <alignment vertical="center"/>
    </xf>
    <xf numFmtId="177" fontId="8" fillId="9" borderId="12" xfId="0" applyNumberFormat="1" applyFont="1" applyFill="1" applyBorder="1" applyAlignment="1" applyProtection="1">
      <alignment horizontal="center" vertical="center"/>
      <protection locked="0"/>
    </xf>
    <xf numFmtId="179" fontId="8" fillId="2" borderId="12" xfId="0" applyNumberFormat="1" applyFont="1" applyFill="1" applyBorder="1" applyAlignment="1">
      <alignment horizontal="righ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35"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name val="微软雅黑"/>
        <scheme val="none"/>
        <family val="2"/>
      </font>
    </dxf>
    <dxf>
      <font>
        <b val="1"/>
        <i val="0"/>
        <color rgb="FFFF0000"/>
      </font>
      <fill>
        <patternFill patternType="none"/>
      </fill>
    </dxf>
    <dxf>
      <font>
        <b val="1"/>
        <i val="0"/>
        <color rgb="FF0070C0"/>
      </font>
      <fill>
        <patternFill patternType="solid">
          <bgColor theme="0"/>
        </patternFill>
      </fill>
    </dxf>
    <dxf>
      <font>
        <color rgb="FF00B050"/>
      </font>
      <fill>
        <patternFill patternType="solid">
          <bgColor theme="0"/>
        </patternFill>
      </fill>
    </dxf>
    <dxf>
      <font>
        <b val="1"/>
        <i val="0"/>
        <color theme="9"/>
      </font>
      <fill>
        <patternFill patternType="solid">
          <bgColor theme="0"/>
        </patternFill>
      </fill>
    </dxf>
    <dxf>
      <font>
        <color rgb="FFFF0000"/>
      </font>
    </dxf>
    <dxf>
      <font>
        <color theme="0"/>
      </font>
    </dxf>
  </dxfs>
  <tableStyles count="0" defaultTableStyle="TableStyleMedium2" defaultPivotStyle="PivotStyleLight16"/>
  <colors>
    <mruColors>
      <color rgb="00FFFFCC"/>
      <color rgb="00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haredStrings" Target="sharedStrings.xml"/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4.xml"/><Relationship Id="rId17" Type="http://schemas.openxmlformats.org/officeDocument/2006/relationships/customXml" Target="../customXml/item3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schemas.openxmlformats.org/officeDocument/2006/relationships/connections" Target="connections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4472.8085828704" refreshedBy="作者" recordCount="44">
  <cacheSource type="worksheet">
    <worksheetSource ref="A1:J1048576" sheet="预计变动"/>
  </cacheSource>
  <cacheFields count="12">
    <cacheField name="责任中心" numFmtId="0">
      <sharedItems containsBlank="1" count="2">
        <s v="流程中心"/>
        <m/>
      </sharedItems>
    </cacheField>
    <cacheField name="部门" numFmtId="0">
      <sharedItems containsBlank="1" count="3">
        <s v="制造中心"/>
        <s v="销售中心"/>
        <m/>
      </sharedItems>
    </cacheField>
    <cacheField name="职级" numFmtId="0"/>
    <cacheField name="岗位" numFmtId="0">
      <sharedItems containsBlank="1" count="4">
        <s v="车间经理"/>
        <s v="工人"/>
        <s v="销售工程师"/>
        <m/>
      </sharedItems>
    </cacheField>
    <cacheField name="异动原因" numFmtId="0">
      <sharedItems containsBlank="1" count="4">
        <s v="入职"/>
        <s v="离职"/>
        <s v="升职"/>
        <m/>
      </sharedItems>
    </cacheField>
    <cacheField name="人数（增+减-）" numFmtId="0"/>
    <cacheField name="预计异动日期" numFmtId="14">
      <sharedItems containsString="0" containsBlank="1" containsNonDate="0" containsDate="1" minDate="2021-11-30T00:00:00" maxDate="2022-05-31T00:00:00" count="5">
        <d v="2021-11-30T00:00:00"/>
        <d v="2022-03-31T00:00:00"/>
        <d v="2022-05-31T00:00:00"/>
        <d v="2021-12-15T00:00:00"/>
        <m/>
      </sharedItems>
      <fieldGroup base="6">
        <rangePr groupBy="months" startDate="2021-11-30T00:00:00" endDate="2022-05-31T00:00:00" groupInterval="1"/>
        <groupItems count="14">
          <s v="(空白)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2-6-1"/>
        </groupItems>
      </fieldGroup>
    </cacheField>
    <cacheField name="来源" numFmtId="0">
      <sharedItems containsBlank="1" count="4">
        <s v="招聘"/>
        <s v="自然流失"/>
        <s v="晋升"/>
        <m/>
      </sharedItems>
    </cacheField>
    <cacheField name="季度" numFmtId="0" databaseField="0">
      <fieldGroup base="6">
        <rangePr groupBy="quarters" startDate="2021-11-30T00:00:00" endDate="2022-06-01T00:00:00" groupInterval="1"/>
        <groupItems count="6">
          <s v="&lt;2021-11-30"/>
          <s v="第一季"/>
          <s v="第二季"/>
          <s v="第三季"/>
          <s v="第四季"/>
          <s v="&gt;2022-6-1"/>
        </groupItems>
      </fieldGroup>
    </cacheField>
    <cacheField name="年" numFmtId="0" databaseField="0">
      <fieldGroup base="6">
        <rangePr groupBy="years" startDate="2021-11-30T00:00:00" endDate="2022-06-01T00:00:00" groupInterval="1"/>
        <groupItems count="4">
          <s v="&lt;2021-11-30"/>
          <s v="2021年"/>
          <s v="2022年"/>
          <s v="&gt;2022-6-1"/>
        </groupItems>
      </fieldGroup>
    </cacheField>
    <cacheField name="增加" numFmtId="0" formula="IF('人数（增+减-）'&gt;0,'人数（增+减-）',0)" databaseField="0"/>
    <cacheField name="减少" numFmtId="0" formula="IF('人数（增+减-）'&lt;0,-'人数（增+减-）',0)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x v="0"/>
    <s v="专业级5"/>
    <x v="0"/>
    <x v="0"/>
    <n v="1"/>
    <x v="0"/>
    <x v="0"/>
  </r>
  <r>
    <x v="0"/>
    <x v="0"/>
    <s v="专业级3"/>
    <x v="1"/>
    <x v="0"/>
    <n v="5"/>
    <x v="1"/>
    <x v="0"/>
  </r>
  <r>
    <x v="0"/>
    <x v="1"/>
    <s v="专业级7"/>
    <x v="2"/>
    <x v="0"/>
    <n v="3"/>
    <x v="2"/>
    <x v="0"/>
  </r>
  <r>
    <x v="0"/>
    <x v="0"/>
    <s v="专业级4"/>
    <x v="1"/>
    <x v="1"/>
    <n v="-2"/>
    <x v="3"/>
    <x v="1"/>
  </r>
  <r>
    <x v="0"/>
    <x v="1"/>
    <s v="专业级8"/>
    <x v="2"/>
    <x v="1"/>
    <n v="-2"/>
    <x v="2"/>
    <x v="1"/>
  </r>
  <r>
    <x v="0"/>
    <x v="1"/>
    <s v="专业级8"/>
    <x v="2"/>
    <x v="2"/>
    <n v="2"/>
    <x v="2"/>
    <x v="2"/>
  </r>
  <r>
    <x v="0"/>
    <x v="1"/>
    <s v="专业级7"/>
    <x v="2"/>
    <x v="2"/>
    <n v="-2"/>
    <x v="2"/>
    <x v="2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  <r>
    <x v="1"/>
    <x v="2"/>
    <m/>
    <x v="3"/>
    <x v="3"/>
    <m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7" minRefreshableVersion="3" createdVersion="7" useAutoFormatting="1" indent="0" outline="1" outlineData="1" showDrill="1" multipleFieldFilters="0" rowHeaderCaption="责任中心/部门/岗位" colHeaderCaption="期间">
  <location ref="A4:G14" firstHeaderRow="1" firstDataRow="4" firstDataCol="1" rowPageCount="1" colPageCount="1"/>
  <pivotFields count="12">
    <pivotField axis="axisRow"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dataField="1"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5">
        <item x="2"/>
        <item x="0"/>
        <item x="1"/>
        <item x="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sd="0" x="0"/>
        <item x="1"/>
        <item x="2"/>
        <item sd="0" x="3"/>
        <item t="default"/>
      </items>
    </pivotField>
    <pivotField dragToCol="0" dragToPage="0" dragToRow="0" defaultSubtotal="0" showAll="0"/>
    <pivotField dragToCol="0" dragToPage="0" dragToRow="0" defaultSubtotal="0" showAll="0"/>
  </pivotFields>
  <rowFields count="3">
    <field x="0"/>
    <field x="1"/>
    <field x="3"/>
  </rowFields>
  <rowItems count="7">
    <i>
      <x/>
    </i>
    <i r="1">
      <x/>
    </i>
    <i r="2">
      <x v="2"/>
    </i>
    <i r="1">
      <x v="1"/>
    </i>
    <i r="2">
      <x/>
    </i>
    <i r="2">
      <x v="1"/>
    </i>
    <i t="grand">
      <x/>
    </i>
  </rowItems>
  <colFields count="3">
    <field x="9"/>
    <field x="8"/>
    <field x="6"/>
  </colFields>
  <colItems count="6">
    <i>
      <x v="1"/>
      <x v="4"/>
    </i>
    <i t="default">
      <x v="1"/>
    </i>
    <i>
      <x v="2"/>
      <x v="1"/>
    </i>
    <i r="1">
      <x v="2"/>
    </i>
    <i t="default">
      <x v="2"/>
    </i>
    <i t="grand">
      <x/>
    </i>
  </colItems>
  <pageFields count="1">
    <pageField fld="7" item="1"/>
  </pageFields>
  <dataFields count="1">
    <dataField name="人数" fld="5" baseField="0" baseItem="0"/>
  </dataFields>
  <formats count="29">
    <format dxfId="0">
      <pivotArea type="origin" dataOnly="0" labelOnly="1" outline="0" fieldPosition="0"/>
    </format>
    <format dxfId="1">
      <pivotArea field="9" type="button" dataOnly="0" labelOnly="1" outline="0" fieldPosition="0"/>
    </format>
    <format dxfId="2">
      <pivotArea field="8" type="button" dataOnly="0" labelOnly="1" outline="0" fieldPosition="0"/>
    </format>
    <format dxfId="3">
      <pivotArea field="6" type="button" dataOnly="0" labelOnly="1" outline="0" fieldPosition="0"/>
    </format>
    <format dxfId="4">
      <pivotArea type="topRight" dataOnly="0" labelOnly="1" outline="0" fieldPosition="0"/>
    </format>
    <format dxfId="5">
      <pivotArea field="0" type="button" dataOnly="0" labelOnly="1" outline="0" fieldPosition="0"/>
    </format>
    <format dxfId="6">
      <pivotArea dataOnly="0" labelOnly="1" fieldPosition="0">
        <references count="1">
          <reference field="9" count="2">
            <x v="1"/>
            <x v="2"/>
          </reference>
        </references>
      </pivotArea>
    </format>
    <format dxfId="7">
      <pivotArea dataOnly="0" labelOnly="1" fieldPosition="0">
        <references count="1">
          <reference field="9" count="2" defaultSubtotal="1">
            <x v="1"/>
            <x v="2"/>
          </reference>
        </references>
      </pivotArea>
    </format>
    <format dxfId="8">
      <pivotArea dataOnly="0" labelOnly="1" grandCol="1" outline="0" fieldPosition="0"/>
    </format>
    <format dxfId="9">
      <pivotArea dataOnly="0" labelOnly="1" fieldPosition="0">
        <references count="2">
          <reference field="8" count="1">
            <x v="4"/>
          </reference>
          <reference field="9" count="1" selected="0">
            <x v="1"/>
          </reference>
        </references>
      </pivotArea>
    </format>
    <format dxfId="10">
      <pivotArea dataOnly="0" labelOnly="1" fieldPosition="0">
        <references count="2">
          <reference field="8" count="2">
            <x v="1"/>
            <x v="2"/>
          </reference>
          <reference field="9" count="1" selected="0">
            <x v="2"/>
          </reference>
        </references>
      </pivotArea>
    </format>
    <format dxfId="11">
      <pivotArea type="all" dataOnly="0" outline="0" fieldPosition="0"/>
    </format>
    <format dxfId="12">
      <pivotArea outline="0" collapsedLevelsAreSubtotals="1" fieldPosition="0"/>
    </format>
    <format dxfId="13">
      <pivotArea type="origin" dataOnly="0" labelOnly="1" outline="0" fieldPosition="0"/>
    </format>
    <format dxfId="14">
      <pivotArea field="9" type="button" dataOnly="0" labelOnly="1" outline="0" fieldPosition="0"/>
    </format>
    <format dxfId="15">
      <pivotArea field="8" type="button" dataOnly="0" labelOnly="1" outline="0" fieldPosition="0"/>
    </format>
    <format dxfId="16">
      <pivotArea field="6" type="button" dataOnly="0" labelOnly="1" outline="0" fieldPosition="0"/>
    </format>
    <format dxfId="17">
      <pivotArea type="topRight" dataOnly="0" labelOnly="1" outline="0" fieldPosition="0"/>
    </format>
    <format dxfId="18">
      <pivotArea field="0" type="button" dataOnly="0" labelOnly="1" outline="0" fieldPosition="0"/>
    </format>
    <format dxfId="19">
      <pivotArea dataOnly="0" labelOnly="1" fieldPosition="0">
        <references count="1">
          <reference field="0" count="1">
            <x v="0"/>
          </reference>
        </references>
      </pivotArea>
    </format>
    <format dxfId="20">
      <pivotArea dataOnly="0" labelOnly="1" grandRow="1" outline="0" fieldPosition="0"/>
    </format>
    <format dxfId="21">
      <pivotArea dataOnly="0" labelOnly="1" fieldPosition="0">
        <references count="2">
          <reference field="0" count="1" selected="0">
            <x v="0"/>
          </reference>
          <reference field="1" count="2">
            <x v="0"/>
            <x v="1"/>
          </reference>
        </references>
      </pivotArea>
    </format>
    <format dxfId="22">
      <pivotArea dataOnly="0" labelOnly="1" fieldPosition="0">
        <references count="3">
          <reference field="0" count="1" selected="0">
            <x v="0"/>
          </reference>
          <reference field="1" count="1" selected="0">
            <x v="0"/>
          </reference>
          <reference field="3" count="1">
            <x v="2"/>
          </reference>
        </references>
      </pivotArea>
    </format>
    <format dxfId="23">
      <pivotArea dataOnly="0" labelOnly="1" fieldPosition="0">
        <references count="3">
          <reference field="0" count="1" selected="0">
            <x v="0"/>
          </reference>
          <reference field="1" count="1" selected="0">
            <x v="1"/>
          </reference>
          <reference field="3" count="2">
            <x v="0"/>
            <x v="1"/>
          </reference>
        </references>
      </pivotArea>
    </format>
    <format dxfId="24">
      <pivotArea dataOnly="0" labelOnly="1" fieldPosition="0">
        <references count="1">
          <reference field="9" count="2">
            <x v="1"/>
            <x v="2"/>
          </reference>
        </references>
      </pivotArea>
    </format>
    <format dxfId="25">
      <pivotArea dataOnly="0" labelOnly="1" fieldPosition="0">
        <references count="1">
          <reference field="9" count="2" defaultSubtotal="1">
            <x v="1"/>
            <x v="2"/>
          </reference>
        </references>
      </pivotArea>
    </format>
    <format dxfId="26">
      <pivotArea dataOnly="0" labelOnly="1" grandCol="1" outline="0" fieldPosition="0"/>
    </format>
    <format dxfId="27">
      <pivotArea dataOnly="0" labelOnly="1" fieldPosition="0">
        <references count="2">
          <reference field="8" count="1">
            <x v="4"/>
          </reference>
          <reference field="9" count="1" selected="0">
            <x v="1"/>
          </reference>
        </references>
      </pivotArea>
    </format>
    <format dxfId="28">
      <pivotArea dataOnly="0" labelOnly="1" fieldPosition="0">
        <references count="2">
          <reference field="8" count="2">
            <x v="1"/>
            <x v="2"/>
          </reference>
          <reference field="9" count="1" selected="0">
            <x v="2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  <pageSetUpPr fitToPage="1"/>
  </sheetPr>
  <dimension ref="B1:W42"/>
  <sheetViews>
    <sheetView showGridLines="0" workbookViewId="0">
      <pane xSplit="3" ySplit="7" topLeftCell="D8" activePane="bottomRight" state="frozen"/>
      <selection/>
      <selection pane="topRight"/>
      <selection pane="bottomLeft"/>
      <selection pane="bottomRight" activeCell="I39" sqref="I39"/>
    </sheetView>
  </sheetViews>
  <sheetFormatPr defaultColWidth="8.77777777777778" defaultRowHeight="13.2"/>
  <cols>
    <col min="1" max="1" width="2.77777777777778" style="131" customWidth="1"/>
    <col min="2" max="2" width="20.5555555555556" style="131" customWidth="1"/>
    <col min="3" max="3" width="5.66666666666667" style="132" customWidth="1"/>
    <col min="4" max="4" width="15.5555555555556" style="132" customWidth="1"/>
    <col min="5" max="5" width="11.1111111111111" style="133" customWidth="1"/>
    <col min="6" max="6" width="14.3333333333333" style="131" customWidth="1"/>
    <col min="7" max="7" width="12.6666666666667" style="131" customWidth="1"/>
    <col min="8" max="8" width="7.22222222222222" style="131" customWidth="1" outlineLevel="1"/>
    <col min="9" max="9" width="8.11111111111111" style="131" customWidth="1" outlineLevel="1"/>
    <col min="10" max="10" width="19.4444444444444" style="132" customWidth="1" outlineLevel="1"/>
    <col min="11" max="11" width="15.5555555555556" style="132" customWidth="1" collapsed="1"/>
    <col min="12" max="12" width="7.22222222222222" style="132" hidden="1" customWidth="1" outlineLevel="1"/>
    <col min="13" max="13" width="4.44444444444444" style="131" hidden="1" customWidth="1" outlineLevel="1"/>
    <col min="14" max="14" width="18.8888888888889" style="132" hidden="1" customWidth="1" outlineLevel="1"/>
    <col min="15" max="15" width="66.1111111111111" style="131" customWidth="1"/>
    <col min="16" max="16384" width="8.77777777777778" style="131"/>
  </cols>
  <sheetData>
    <row r="1" ht="5.55" customHeight="1"/>
    <row r="2" spans="2:12">
      <c r="B2" s="134"/>
      <c r="C2" s="135"/>
      <c r="D2" s="135"/>
      <c r="E2" s="136"/>
      <c r="K2" s="135"/>
      <c r="L2" s="135"/>
    </row>
    <row r="3" s="126" customFormat="1" ht="19.5" customHeight="1" spans="2:15">
      <c r="B3" s="137" t="s">
        <v>0</v>
      </c>
      <c r="C3" s="138"/>
      <c r="D3" s="138"/>
      <c r="E3" s="139"/>
      <c r="F3" s="138"/>
      <c r="G3" s="138"/>
      <c r="H3" s="138"/>
      <c r="I3" s="138"/>
      <c r="J3" s="138"/>
      <c r="K3" s="138"/>
      <c r="L3" s="138"/>
      <c r="M3" s="138"/>
      <c r="N3" s="138"/>
      <c r="O3" s="138"/>
    </row>
    <row r="4" s="127" customFormat="1" ht="10.2" customHeight="1" spans="2:15">
      <c r="B4" s="140"/>
      <c r="C4" s="140"/>
      <c r="D4" s="140"/>
      <c r="E4" s="141"/>
      <c r="F4" s="140"/>
      <c r="G4" s="140"/>
      <c r="H4" s="140"/>
      <c r="I4" s="140"/>
      <c r="J4" s="140"/>
      <c r="K4" s="140"/>
      <c r="L4" s="140"/>
      <c r="M4" s="140"/>
      <c r="N4" s="140"/>
      <c r="O4" s="140"/>
    </row>
    <row r="5" s="126" customFormat="1" ht="19.5" customHeight="1" spans="2:23">
      <c r="B5" s="51" t="s">
        <v>1</v>
      </c>
      <c r="C5" s="142">
        <f>人力资源规划一览表!C4</f>
        <v>44469</v>
      </c>
      <c r="D5" s="142"/>
      <c r="E5" s="142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</row>
    <row r="6" s="128" customFormat="1" ht="34.5" customHeight="1" spans="2:15">
      <c r="B6" s="143" t="s">
        <v>2</v>
      </c>
      <c r="C6" s="144"/>
      <c r="D6" s="145" t="str">
        <f>"B"&amp;YEAR($C$5)+1</f>
        <v>B2022</v>
      </c>
      <c r="E6" s="145" t="s">
        <v>3</v>
      </c>
      <c r="F6" s="146" t="str">
        <f>"A"&amp;YEAR($C$5)-1</f>
        <v>A2020</v>
      </c>
      <c r="G6" s="147" t="str">
        <f>"E"&amp;YEAR($C$5)</f>
        <v>E2021</v>
      </c>
      <c r="H6" s="147" t="str">
        <f>"E"&amp;YEAR($C$5)&amp;"/A"&amp;YEAR($C$5)</f>
        <v>E2021/A2021</v>
      </c>
      <c r="I6" s="147"/>
      <c r="J6" s="147"/>
      <c r="K6" s="146" t="str">
        <f>"B"&amp;YEAR($C$5)+1</f>
        <v>B2022</v>
      </c>
      <c r="L6" s="147" t="str">
        <f>"B"&amp;YEAR($C$5)+1&amp;"/E"&amp;YEAR($C$5)</f>
        <v>B2022/E2021</v>
      </c>
      <c r="M6" s="147"/>
      <c r="N6" s="147"/>
      <c r="O6" s="226" t="s">
        <v>4</v>
      </c>
    </row>
    <row r="7" s="128" customFormat="1" ht="15.75" spans="2:15">
      <c r="B7" s="148"/>
      <c r="C7" s="149"/>
      <c r="D7" s="150" t="s">
        <v>5</v>
      </c>
      <c r="E7" s="151"/>
      <c r="F7" s="152" t="s">
        <v>6</v>
      </c>
      <c r="G7" s="153" t="s">
        <v>6</v>
      </c>
      <c r="H7" s="154" t="s">
        <v>7</v>
      </c>
      <c r="I7" s="153" t="s">
        <v>8</v>
      </c>
      <c r="J7" s="153" t="s">
        <v>9</v>
      </c>
      <c r="K7" s="152" t="s">
        <v>6</v>
      </c>
      <c r="L7" s="154" t="s">
        <v>7</v>
      </c>
      <c r="M7" s="153" t="s">
        <v>8</v>
      </c>
      <c r="N7" s="153" t="s">
        <v>9</v>
      </c>
      <c r="O7" s="227"/>
    </row>
    <row r="8" ht="18" customHeight="1" spans="2:15">
      <c r="B8" s="155" t="s">
        <v>10</v>
      </c>
      <c r="C8" s="156" t="s">
        <v>11</v>
      </c>
      <c r="D8" s="157">
        <v>9300</v>
      </c>
      <c r="E8" s="158" t="str">
        <f>IF(AND(K8&gt;=D8,K8/D8&lt;=1.2),"已校准",IF(K8&lt;D8,"未校准","可接受"))</f>
        <v>未校准</v>
      </c>
      <c r="F8" s="157">
        <v>8700</v>
      </c>
      <c r="G8" s="157">
        <v>8900</v>
      </c>
      <c r="H8" s="159">
        <f>G8-F8</f>
        <v>200</v>
      </c>
      <c r="I8" s="228">
        <f>IFERROR(G8/F8-1,"NA")</f>
        <v>0.023</v>
      </c>
      <c r="J8" s="229"/>
      <c r="K8" s="157">
        <v>9000</v>
      </c>
      <c r="L8" s="159">
        <f>K8-G8</f>
        <v>100</v>
      </c>
      <c r="M8" s="228" t="str">
        <f>IFERROR(K8/J8-1,"NA")</f>
        <v>NA</v>
      </c>
      <c r="N8" s="229"/>
      <c r="O8" s="230" t="s">
        <v>12</v>
      </c>
    </row>
    <row r="9" ht="18" customHeight="1" spans="2:15">
      <c r="B9" s="160" t="s">
        <v>13</v>
      </c>
      <c r="C9" s="161" t="s">
        <v>14</v>
      </c>
      <c r="D9" s="162">
        <v>0.33</v>
      </c>
      <c r="E9" s="163"/>
      <c r="F9" s="162">
        <v>0.34</v>
      </c>
      <c r="G9" s="162">
        <v>0.36</v>
      </c>
      <c r="H9" s="164">
        <f t="shared" ref="H9:H29" si="0">G9-F9</f>
        <v>0.02</v>
      </c>
      <c r="I9" s="231">
        <f>IFERROR(G9/F9-1,"NA")</f>
        <v>0.059</v>
      </c>
      <c r="J9" s="224"/>
      <c r="K9" s="162">
        <v>0.35</v>
      </c>
      <c r="L9" s="164">
        <f t="shared" ref="L9:L29" si="1">K9-G9</f>
        <v>-0.01</v>
      </c>
      <c r="M9" s="231" t="str">
        <f>IFERROR(K9/J9-1,"NA")</f>
        <v>NA</v>
      </c>
      <c r="N9" s="224"/>
      <c r="O9" s="232" t="s">
        <v>15</v>
      </c>
    </row>
    <row r="10" s="129" customFormat="1" ht="18" customHeight="1" spans="2:15">
      <c r="B10" s="165" t="s">
        <v>16</v>
      </c>
      <c r="C10" s="166" t="s">
        <v>17</v>
      </c>
      <c r="D10" s="167">
        <f>D8*D9</f>
        <v>3069</v>
      </c>
      <c r="E10" s="168" t="str">
        <f>IF(AND(K10&gt;=D10,K10/D10&lt;=1.2),"已校准",IF(K10&lt;D10,"未校准","可接受"))</f>
        <v>已校准</v>
      </c>
      <c r="F10" s="169">
        <f>F8*F9</f>
        <v>2958</v>
      </c>
      <c r="G10" s="169">
        <f>G8*G9</f>
        <v>3204</v>
      </c>
      <c r="H10" s="169">
        <f t="shared" si="0"/>
        <v>246</v>
      </c>
      <c r="I10" s="233">
        <f>IFERROR(G10/F10-1,"NA")</f>
        <v>0.083</v>
      </c>
      <c r="J10" s="234"/>
      <c r="K10" s="167">
        <f>K8*K9</f>
        <v>3150</v>
      </c>
      <c r="L10" s="169">
        <f t="shared" si="1"/>
        <v>-54</v>
      </c>
      <c r="M10" s="233" t="str">
        <f>IFERROR(K10/J10-1,"NA")</f>
        <v>NA</v>
      </c>
      <c r="N10" s="234"/>
      <c r="O10" s="235" t="s">
        <v>18</v>
      </c>
    </row>
    <row r="11" s="130" customFormat="1" ht="7.8" customHeight="1" spans="2:15">
      <c r="B11" s="170"/>
      <c r="C11" s="171"/>
      <c r="D11" s="172"/>
      <c r="E11" s="173"/>
      <c r="F11" s="174"/>
      <c r="G11" s="174"/>
      <c r="H11" s="174"/>
      <c r="I11" s="236"/>
      <c r="J11" s="86"/>
      <c r="K11" s="172"/>
      <c r="L11" s="174"/>
      <c r="M11" s="236"/>
      <c r="N11" s="86"/>
      <c r="O11" s="170"/>
    </row>
    <row r="12" ht="66" customHeight="1" spans="2:15">
      <c r="B12" s="175" t="s">
        <v>19</v>
      </c>
      <c r="C12" s="176" t="s">
        <v>20</v>
      </c>
      <c r="D12" s="177">
        <v>0.37</v>
      </c>
      <c r="E12" s="178"/>
      <c r="F12" s="179">
        <f>F13/F10</f>
        <v>0.36</v>
      </c>
      <c r="G12" s="179">
        <f>G13/G10</f>
        <v>0.33</v>
      </c>
      <c r="H12" s="179">
        <f t="shared" si="0"/>
        <v>-0.03</v>
      </c>
      <c r="I12" s="237">
        <f>IFERROR(G12/F12-1,"NA")</f>
        <v>-0.083</v>
      </c>
      <c r="J12" s="238"/>
      <c r="K12" s="179">
        <f>K13/K10</f>
        <v>0.34</v>
      </c>
      <c r="L12" s="179">
        <f t="shared" si="1"/>
        <v>0.01</v>
      </c>
      <c r="M12" s="237" t="str">
        <f>IFERROR(K12/J12-1,"NA")</f>
        <v>NA</v>
      </c>
      <c r="N12" s="238"/>
      <c r="O12" s="239" t="s">
        <v>21</v>
      </c>
    </row>
    <row r="13" ht="18" customHeight="1" spans="2:15">
      <c r="B13" s="180" t="s">
        <v>22</v>
      </c>
      <c r="C13" s="166" t="s">
        <v>23</v>
      </c>
      <c r="D13" s="181">
        <f>D10*D12</f>
        <v>1136</v>
      </c>
      <c r="E13" s="182" t="str">
        <f>IF(AND(K13&lt;=D13,D13/K13&lt;=1.2),"已校准",IF(K13&gt;D13,"未校准","可接受"))</f>
        <v>已校准</v>
      </c>
      <c r="F13" s="169">
        <f>SUMIFS(薪酬明细!$O:$O,薪酬明细!$H:$H,"&gt;="&amp;DATE(YEAR($C$5)-1,1,1),薪酬明细!$H:$H,"&lt;="&amp;EOMONTH(DATE(YEAR($C$5)-1,12,31),0),薪酬明细!$A:$A,"A")/10000</f>
        <v>1062</v>
      </c>
      <c r="G13" s="169">
        <f>SUMIFS(薪酬明细!$O:$O,薪酬明细!$H:$H,"&gt;="&amp;DATE(YEAR($C$5),1,1),薪酬明细!$H:$H,"&lt;="&amp;EOMONTH(DATE(YEAR($C$5),MONTH($C$5),1),0),薪酬明细!A:A,"A")/10000+SUMIFS(薪酬明细!$O:$O,薪酬明细!$H:$H,"&gt;="&amp;DATE(YEAR($C$5),MONTH($C$5)+1,1),薪酬明细!$H:$H,"&lt;="&amp;EOMONTH(DATE(YEAR($C$5),12,31),0),薪酬明细!A:A,"E")/10000</f>
        <v>1062</v>
      </c>
      <c r="H13" s="169">
        <f t="shared" si="0"/>
        <v>0</v>
      </c>
      <c r="I13" s="233">
        <f>IFERROR(G13/F13-1,"NA")</f>
        <v>0</v>
      </c>
      <c r="J13" s="234"/>
      <c r="K13" s="169">
        <f>SUMIFS(薪酬明细!$O:$O,薪酬明细!$H:$H,"&gt;="&amp;DATE(YEAR($C$5)+1,1,1),薪酬明细!$H:$H,"&lt;="&amp;EOMONTH(DATE(YEAR($C$5)+1,12,31),0),薪酬明细!$A:$A,"B")/10000</f>
        <v>1062</v>
      </c>
      <c r="L13" s="169">
        <f t="shared" si="1"/>
        <v>0</v>
      </c>
      <c r="M13" s="233" t="str">
        <f>IFERROR(K13/J13-1,"NA")</f>
        <v>NA</v>
      </c>
      <c r="N13" s="234"/>
      <c r="O13" s="240" t="s">
        <v>24</v>
      </c>
    </row>
    <row r="14" s="130" customFormat="1" ht="7.2" customHeight="1" spans="2:15">
      <c r="B14" s="170"/>
      <c r="C14" s="171"/>
      <c r="D14" s="174"/>
      <c r="E14" s="173"/>
      <c r="F14" s="174"/>
      <c r="G14" s="174"/>
      <c r="H14" s="174"/>
      <c r="I14" s="236"/>
      <c r="J14" s="86"/>
      <c r="K14" s="174"/>
      <c r="L14" s="174"/>
      <c r="M14" s="236"/>
      <c r="N14" s="86"/>
      <c r="O14" s="241"/>
    </row>
    <row r="15" ht="18" customHeight="1" spans="2:15">
      <c r="B15" s="183" t="s">
        <v>25</v>
      </c>
      <c r="C15" s="184" t="s">
        <v>26</v>
      </c>
      <c r="D15" s="185">
        <v>720</v>
      </c>
      <c r="E15" s="186" t="str">
        <f>IF(AND(K15&lt;=D15,D15/K15&lt;=1.2),"已校准",IF(K15&gt;D15,"未校准","可接受"))</f>
        <v>已校准</v>
      </c>
      <c r="F15" s="187">
        <f>SUMIFS(薪酬明细!$L:$L,薪酬明细!$H:$H,"&gt;="&amp;DATE(YEAR($C$5)-1,1,1),薪酬明细!$H:$H,"&lt;="&amp;EOMONTH(DATE(YEAR($C$5)-1,12,31),0),薪酬明细!$A:$A,"A")/10000</f>
        <v>710</v>
      </c>
      <c r="G15" s="187">
        <f>SUMIFS(薪酬明细!$L:$L,薪酬明细!$H:$H,"&gt;="&amp;DATE(YEAR($C$5),1,1),薪酬明细!$H:$H,"&lt;="&amp;EOMONTH(DATE(YEAR($C$5),MONTH($C$5),1),0),薪酬明细!A:A,"A")/10000+SUMIFS(薪酬明细!$L:$L,薪酬明细!$H:$H,"&gt;="&amp;DATE(YEAR($C$5),MONTH($C$5)+1,1),薪酬明细!$H:$H,"&lt;="&amp;EOMONTH(DATE(YEAR($C$5),12,31),0),薪酬明细!A:A,"E")/10000</f>
        <v>710</v>
      </c>
      <c r="H15" s="187">
        <f t="shared" si="0"/>
        <v>0</v>
      </c>
      <c r="I15" s="237">
        <f t="shared" ref="I15:I20" si="2">IFERROR(G15/F15-1,"NA")</f>
        <v>0</v>
      </c>
      <c r="J15" s="238"/>
      <c r="K15" s="187">
        <f>SUMIFS(薪酬明细!$L:$L,薪酬明细!$H:$H,"&gt;="&amp;DATE(YEAR($C$5)+1,1,1),薪酬明细!$H:$H,"&lt;="&amp;EOMONTH(DATE(YEAR($C$5)+1,12,31),0),薪酬明细!$A:$A,"B")/10000</f>
        <v>710</v>
      </c>
      <c r="L15" s="187">
        <f t="shared" si="1"/>
        <v>0</v>
      </c>
      <c r="M15" s="237" t="str">
        <f t="shared" ref="M15:M20" si="3">IFERROR(K15/J15-1,"NA")</f>
        <v>NA</v>
      </c>
      <c r="N15" s="238"/>
      <c r="O15" s="242" t="s">
        <v>27</v>
      </c>
    </row>
    <row r="16" ht="18" customHeight="1" spans="2:15">
      <c r="B16" s="188" t="s">
        <v>28</v>
      </c>
      <c r="C16" s="161" t="s">
        <v>29</v>
      </c>
      <c r="D16" s="189">
        <f>IFERROR(D15/D$8,"NA")</f>
        <v>0.077</v>
      </c>
      <c r="E16" s="190"/>
      <c r="F16" s="189">
        <f t="shared" ref="F16:G16" si="4">IFERROR(F15/F$8,"NA")</f>
        <v>0.082</v>
      </c>
      <c r="G16" s="189">
        <f t="shared" si="4"/>
        <v>0.08</v>
      </c>
      <c r="H16" s="189">
        <f t="shared" si="0"/>
        <v>-0.002</v>
      </c>
      <c r="I16" s="231">
        <f t="shared" si="2"/>
        <v>-0.024</v>
      </c>
      <c r="J16" s="224"/>
      <c r="K16" s="189">
        <f>IFERROR(K15/K$8,"NA")</f>
        <v>0.079</v>
      </c>
      <c r="L16" s="189">
        <f t="shared" si="1"/>
        <v>-0.001</v>
      </c>
      <c r="M16" s="231" t="str">
        <f t="shared" si="3"/>
        <v>NA</v>
      </c>
      <c r="N16" s="224"/>
      <c r="O16" s="232" t="s">
        <v>30</v>
      </c>
    </row>
    <row r="17" ht="18" customHeight="1" spans="2:15">
      <c r="B17" s="188" t="s">
        <v>31</v>
      </c>
      <c r="C17" s="161" t="s">
        <v>32</v>
      </c>
      <c r="D17" s="191">
        <f>D13-D15-D19</f>
        <v>341</v>
      </c>
      <c r="E17" s="192"/>
      <c r="F17" s="193">
        <f>SUMIFS(薪酬明细!$M:$M,薪酬明细!$H:$H,"&gt;="&amp;DATE(YEAR($C$5)-1,1,1),薪酬明细!$H:$H,"&lt;="&amp;EOMONTH(DATE(YEAR($C$5)-1,12,31),0),薪酬明细!$A:$A,"A")/10000</f>
        <v>276</v>
      </c>
      <c r="G17" s="193">
        <f>SUMIFS(薪酬明细!$M:$M,薪酬明细!$H:$H,"&gt;="&amp;DATE(YEAR($C$5),1,1),薪酬明细!$H:$H,"&lt;="&amp;EOMONTH(DATE(YEAR($C$5),MONTH($C$5),1),0),薪酬明细!A:A,"A")/10000+SUMIFS(薪酬明细!$M:$M,薪酬明细!$H:$H,"&gt;="&amp;DATE(YEAR($C$5),MONTH($C$5)+1,1),薪酬明细!$H:$H,"&lt;="&amp;EOMONTH(DATE(YEAR($C$5),12,31),0),薪酬明细!A:A,"E")/10000</f>
        <v>276</v>
      </c>
      <c r="H17" s="193">
        <f t="shared" si="0"/>
        <v>0</v>
      </c>
      <c r="I17" s="231">
        <f t="shared" si="2"/>
        <v>0</v>
      </c>
      <c r="J17" s="224"/>
      <c r="K17" s="193">
        <f>SUMIFS(薪酬明细!$M:$M,薪酬明细!$H:$H,"&gt;="&amp;DATE(YEAR($C$5)+1,1,1),薪酬明细!$H:$H,"&lt;="&amp;EOMONTH(DATE(YEAR($C$5)+1,12,31),0),薪酬明细!$A:$A,"B")/10000</f>
        <v>275</v>
      </c>
      <c r="L17" s="193">
        <f t="shared" si="1"/>
        <v>-1</v>
      </c>
      <c r="M17" s="231" t="str">
        <f t="shared" si="3"/>
        <v>NA</v>
      </c>
      <c r="N17" s="224"/>
      <c r="O17" s="232" t="s">
        <v>33</v>
      </c>
    </row>
    <row r="18" ht="18" customHeight="1" spans="2:15">
      <c r="B18" s="188" t="s">
        <v>34</v>
      </c>
      <c r="C18" s="161" t="s">
        <v>35</v>
      </c>
      <c r="D18" s="189">
        <f>D17/D$8</f>
        <v>0.037</v>
      </c>
      <c r="E18" s="194" t="str">
        <f>IF(AND(K18&lt;=D18,D18/K18&lt;=1.2),"已校准",IF(K18&gt;D18,"未校准","可接受"))</f>
        <v>已校准</v>
      </c>
      <c r="F18" s="189">
        <f>F17/F$8</f>
        <v>0.032</v>
      </c>
      <c r="G18" s="189">
        <f>G17/G$8</f>
        <v>0.031</v>
      </c>
      <c r="H18" s="189">
        <f t="shared" si="0"/>
        <v>-0.001</v>
      </c>
      <c r="I18" s="231">
        <f t="shared" si="2"/>
        <v>-0.031</v>
      </c>
      <c r="J18" s="224"/>
      <c r="K18" s="189">
        <f>K17/K$8</f>
        <v>0.031</v>
      </c>
      <c r="L18" s="189">
        <f t="shared" si="1"/>
        <v>0</v>
      </c>
      <c r="M18" s="231" t="str">
        <f t="shared" si="3"/>
        <v>NA</v>
      </c>
      <c r="N18" s="224"/>
      <c r="O18" s="232" t="s">
        <v>30</v>
      </c>
    </row>
    <row r="19" ht="18" customHeight="1" spans="2:15">
      <c r="B19" s="160" t="s">
        <v>36</v>
      </c>
      <c r="C19" s="161" t="s">
        <v>37</v>
      </c>
      <c r="D19" s="195">
        <v>75</v>
      </c>
      <c r="E19" s="158" t="str">
        <f>IF(AND(K19&lt;=D19,D19/K19&lt;=1.2),"已校准",IF(K19&gt;D19,"未校准","可接受"))</f>
        <v>未校准</v>
      </c>
      <c r="F19" s="193">
        <f>SUMIFS(薪酬明细!$N:$N,薪酬明细!$H:$H,"&gt;="&amp;DATE(YEAR($C$5)-1,1,1),薪酬明细!$H:$H,"&lt;="&amp;EOMONTH(DATE(YEAR($C$5)-1,12,31),0),薪酬明细!$A:$A,"A")/10000</f>
        <v>76</v>
      </c>
      <c r="G19" s="193">
        <f>SUMIFS(薪酬明细!$N:$N,薪酬明细!$H:$H,"&gt;="&amp;DATE(YEAR($C$5),1,1),薪酬明细!$H:$H,"&lt;="&amp;EOMONTH(DATE(YEAR($C$5),MONTH($C$5),1),0),薪酬明细!A:A,"A")/10000+SUMIFS(薪酬明细!$N:$N,薪酬明细!$H:$H,"&gt;="&amp;DATE(YEAR($C$5),MONTH($C$5)+1,1),薪酬明细!$H:$H,"&lt;="&amp;EOMONTH(DATE(YEAR($C$5),12,31),0),薪酬明细!A:A,"E")/10000</f>
        <v>76</v>
      </c>
      <c r="H19" s="193">
        <f t="shared" si="0"/>
        <v>0</v>
      </c>
      <c r="I19" s="231">
        <f t="shared" si="2"/>
        <v>0</v>
      </c>
      <c r="J19" s="224"/>
      <c r="K19" s="193">
        <f>SUMIFS(薪酬明细!$N:$N,薪酬明细!$H:$H,"&gt;="&amp;DATE(YEAR($C$5)+1,1,1),薪酬明细!$H:$H,"&lt;="&amp;EOMONTH(DATE(YEAR($C$5)+1,12,31),0),薪酬明细!$A:$A,"B")/10000</f>
        <v>76</v>
      </c>
      <c r="L19" s="193">
        <f t="shared" si="1"/>
        <v>0</v>
      </c>
      <c r="M19" s="231" t="str">
        <f t="shared" si="3"/>
        <v>NA</v>
      </c>
      <c r="N19" s="224"/>
      <c r="O19" s="232" t="s">
        <v>38</v>
      </c>
    </row>
    <row r="20" ht="18" customHeight="1" spans="2:15">
      <c r="B20" s="196" t="s">
        <v>39</v>
      </c>
      <c r="C20" s="166" t="s">
        <v>40</v>
      </c>
      <c r="D20" s="197">
        <f>D19/D$8</f>
        <v>0.008</v>
      </c>
      <c r="E20" s="198"/>
      <c r="F20" s="197">
        <f>F19/F$8</f>
        <v>0.009</v>
      </c>
      <c r="G20" s="197">
        <f>G19/G$8</f>
        <v>0.009</v>
      </c>
      <c r="H20" s="197">
        <f t="shared" si="0"/>
        <v>0</v>
      </c>
      <c r="I20" s="233">
        <f t="shared" si="2"/>
        <v>0</v>
      </c>
      <c r="J20" s="234"/>
      <c r="K20" s="197">
        <f>K19/K$8</f>
        <v>0.008</v>
      </c>
      <c r="L20" s="197">
        <f t="shared" si="1"/>
        <v>-0.001</v>
      </c>
      <c r="M20" s="233" t="str">
        <f t="shared" si="3"/>
        <v>NA</v>
      </c>
      <c r="N20" s="234"/>
      <c r="O20" s="243" t="s">
        <v>30</v>
      </c>
    </row>
    <row r="21" s="130" customFormat="1" ht="6.6" customHeight="1" spans="2:15">
      <c r="B21" s="170"/>
      <c r="C21" s="171"/>
      <c r="D21" s="199"/>
      <c r="E21" s="200"/>
      <c r="F21" s="199"/>
      <c r="G21" s="199"/>
      <c r="H21" s="199"/>
      <c r="I21" s="236"/>
      <c r="J21" s="86"/>
      <c r="K21" s="199"/>
      <c r="L21" s="199"/>
      <c r="M21" s="236"/>
      <c r="N21" s="86"/>
      <c r="O21" s="170"/>
    </row>
    <row r="22" ht="18" customHeight="1" spans="2:15">
      <c r="B22" s="175" t="s">
        <v>41</v>
      </c>
      <c r="C22" s="201"/>
      <c r="D22" s="202">
        <f>D13*D23</f>
        <v>341</v>
      </c>
      <c r="E22" s="186" t="str">
        <f>IF(AND(K22&lt;=D22,D22/K22&lt;=1.2),"已校准",IF(K22&gt;D22,"未校准","可接受"))</f>
        <v>可接受</v>
      </c>
      <c r="F22" s="187">
        <f>SUMIFS(社保明细!$J:$J,社保明细!$H:$H,"&gt;="&amp;DATE(YEAR($C$5)-1,1,1),社保明细!$H:$H,"&lt;="&amp;EOMONTH(DATE(YEAR($C$5)-1,12,31),0),社保明细!$A:$A,"A")/10000</f>
        <v>208</v>
      </c>
      <c r="G22" s="187">
        <f>SUMIFS(社保明细!J:J,社保明细!$H:$H,"&gt;="&amp;DATE(YEAR($C$5),1,1),社保明细!$H:$H,"&lt;="&amp;EOMONTH(DATE(YEAR($C$5),MONTH($C$5),1),0),社保明细!$A:$A,"A")/10000+SUMIFS(社保明细!J:J,社保明细!$H:$H,"&gt;="&amp;DATE(YEAR($C$5),MONTH($C$5)+1,1),社保明细!$H:$H,"&lt;="&amp;EOMONTH(DATE(YEAR($C$5),12,31),0),社保明细!$A:$A,"E")/10000</f>
        <v>208</v>
      </c>
      <c r="H22" s="202">
        <f t="shared" si="0"/>
        <v>0</v>
      </c>
      <c r="I22" s="237">
        <f t="shared" ref="I22:I29" si="5">IFERROR(G22/F22-1,"NA")</f>
        <v>0</v>
      </c>
      <c r="J22" s="238"/>
      <c r="K22" s="187">
        <f>SUMIFS(社保明细!$J:$J,社保明细!$H:$H,"&gt;="&amp;DATE(YEAR($C$5)+1,1,1),社保明细!$H:$H,"&lt;="&amp;EOMONTH(DATE(YEAR($C$5)+1,12,31),0),社保明细!$A:$A,"B")/10000</f>
        <v>208</v>
      </c>
      <c r="L22" s="202">
        <f t="shared" si="1"/>
        <v>0</v>
      </c>
      <c r="M22" s="237" t="str">
        <f t="shared" ref="M22:M29" si="6">IFERROR(K22/J22-1,"NA")</f>
        <v>NA</v>
      </c>
      <c r="N22" s="238"/>
      <c r="O22" s="244" t="s">
        <v>42</v>
      </c>
    </row>
    <row r="23" ht="18" customHeight="1" spans="2:15">
      <c r="B23" s="160" t="s">
        <v>43</v>
      </c>
      <c r="C23" s="203"/>
      <c r="D23" s="162">
        <v>0.3</v>
      </c>
      <c r="E23" s="204"/>
      <c r="F23" s="205">
        <f>F22/F13</f>
        <v>0.196</v>
      </c>
      <c r="G23" s="205">
        <f>G22/G13</f>
        <v>0.196</v>
      </c>
      <c r="H23" s="205">
        <f t="shared" si="0"/>
        <v>0</v>
      </c>
      <c r="I23" s="231">
        <f t="shared" si="5"/>
        <v>0</v>
      </c>
      <c r="J23" s="224"/>
      <c r="K23" s="205">
        <f>K22/K13</f>
        <v>0.196</v>
      </c>
      <c r="L23" s="205">
        <f t="shared" si="1"/>
        <v>0</v>
      </c>
      <c r="M23" s="231" t="str">
        <f t="shared" si="6"/>
        <v>NA</v>
      </c>
      <c r="N23" s="224"/>
      <c r="O23" s="232" t="s">
        <v>42</v>
      </c>
    </row>
    <row r="24" ht="18" customHeight="1" spans="2:15">
      <c r="B24" s="206" t="s">
        <v>44</v>
      </c>
      <c r="C24" s="207"/>
      <c r="D24" s="193">
        <f>D13*D25</f>
        <v>159</v>
      </c>
      <c r="E24" s="194" t="str">
        <f>IF(AND(K24&lt;=D24,D24/K24&lt;=1.2),"已校准",IF(K24&gt;D24,"未校准","可接受"))</f>
        <v>可接受</v>
      </c>
      <c r="F24" s="193">
        <f>SUMIFS(福利费明细!$F:$F,福利费明细!$E:$E,"&gt;="&amp;DATE(YEAR($C$5)-1,1,1),福利费明细!$E:$E,"&lt;="&amp;EOMONTH(DATE(YEAR($C$5)-1,12,31),0),福利费明细!$A:$A,"A")/10000</f>
        <v>50</v>
      </c>
      <c r="G24" s="193">
        <f>SUMIFS(福利费明细!$F:$F,福利费明细!$E:$E,"&gt;="&amp;DATE(YEAR($C$5),1,1),福利费明细!$E:$E,"&lt;="&amp;EOMONTH(DATE(YEAR($C$5),MONTH($C$5),1),0),福利费明细!$A:$A,"A")/10000+SUMIFS(福利费明细!$F:$F,福利费明细!$E:$E,"&gt;="&amp;DATE(YEAR($C$5),MONTH($C$5)+1,1),福利费明细!$E:$E,"&lt;="&amp;EOMONTH(DATE(YEAR($C$5),12,31),0),福利费明细!$A:$A,"E")/10000</f>
        <v>50</v>
      </c>
      <c r="H24" s="193">
        <f t="shared" si="0"/>
        <v>0</v>
      </c>
      <c r="I24" s="245">
        <f t="shared" si="5"/>
        <v>0</v>
      </c>
      <c r="J24" s="246"/>
      <c r="K24" s="193">
        <f>SUMIFS(福利费明细!$F:$F,福利费明细!$E:$E,"&gt;="&amp;DATE(YEAR($C$5)+1,1,1),福利费明细!$E:$E,"&lt;="&amp;EOMONTH(DATE(YEAR($C$5)+1,12,31),0),福利费明细!$A:$A,"B")/10000</f>
        <v>50</v>
      </c>
      <c r="L24" s="193">
        <f t="shared" si="1"/>
        <v>0</v>
      </c>
      <c r="M24" s="231" t="str">
        <f t="shared" si="6"/>
        <v>NA</v>
      </c>
      <c r="N24" s="224"/>
      <c r="O24" s="247" t="s">
        <v>45</v>
      </c>
    </row>
    <row r="25" ht="18" customHeight="1" spans="2:15">
      <c r="B25" s="206" t="s">
        <v>46</v>
      </c>
      <c r="C25" s="207"/>
      <c r="D25" s="162">
        <v>0.14</v>
      </c>
      <c r="E25" s="204"/>
      <c r="F25" s="164">
        <f>F24/F13</f>
        <v>0.05</v>
      </c>
      <c r="G25" s="164">
        <f>G24/G13</f>
        <v>0.05</v>
      </c>
      <c r="H25" s="164">
        <f t="shared" si="0"/>
        <v>0</v>
      </c>
      <c r="I25" s="231">
        <f t="shared" si="5"/>
        <v>0</v>
      </c>
      <c r="J25" s="224"/>
      <c r="K25" s="164">
        <f>K24/K13</f>
        <v>0.05</v>
      </c>
      <c r="L25" s="164">
        <f t="shared" si="1"/>
        <v>0</v>
      </c>
      <c r="M25" s="231" t="str">
        <f t="shared" si="6"/>
        <v>NA</v>
      </c>
      <c r="N25" s="224"/>
      <c r="O25" s="247" t="s">
        <v>47</v>
      </c>
    </row>
    <row r="26" ht="18" customHeight="1" spans="2:15">
      <c r="B26" s="206" t="s">
        <v>48</v>
      </c>
      <c r="C26" s="207"/>
      <c r="D26" s="208">
        <v>11</v>
      </c>
      <c r="E26" s="194" t="str">
        <f>IF(AND(K26&lt;=D26,D26/K26&lt;=1.2),"已校准",IF(K26&gt;D26,"未校准","可接受"))</f>
        <v>未校准</v>
      </c>
      <c r="F26" s="193">
        <f>SUMIFS(招聘费明细!$G:$G,招聘费明细!$F:$F,"&gt;="&amp;DATE(YEAR($C$5)-1,1,1),招聘费明细!$F:$F,"&lt;="&amp;EOMONTH(DATE(YEAR($C$5)-1,12,31),0),招聘费明细!$A:$A,"A")/10000</f>
        <v>11</v>
      </c>
      <c r="G26" s="193">
        <f>SUMIFS(招聘费明细!$G:$G,招聘费明细!$F:$F,"&gt;="&amp;DATE(YEAR($C$5),1,1),招聘费明细!$F:$F,"&lt;="&amp;EOMONTH(DATE(YEAR($C$5),MONTH($C$5),1),0),招聘费明细!$A:$A,"A")/10000+SUMIFS(招聘费明细!$G:$G,招聘费明细!$F:$F,"&gt;="&amp;DATE(YEAR($C$5),MONTH($C$5)+1,1),招聘费明细!$F:$F,"&lt;="&amp;EOMONTH(DATE(YEAR($C$5),12,31),0),招聘费明细!$A:$A,"E")/10000</f>
        <v>7</v>
      </c>
      <c r="H26" s="193">
        <f t="shared" si="0"/>
        <v>-4</v>
      </c>
      <c r="I26" s="245">
        <f t="shared" si="5"/>
        <v>0</v>
      </c>
      <c r="J26" s="246"/>
      <c r="K26" s="193">
        <f>SUMIFS(招聘费明细!$G:$G,招聘费明细!$F:$F,"&gt;="&amp;DATE(YEAR($C$5)+1,1,1),招聘费明细!$F:$F,"&lt;="&amp;EOMONTH(DATE(YEAR($C$5)+1,12,31),0),招聘费明细!$A:$A,"B")/10000</f>
        <v>12</v>
      </c>
      <c r="L26" s="248">
        <f t="shared" ref="L26:L27" si="7">K26-G26</f>
        <v>5</v>
      </c>
      <c r="M26" s="231" t="str">
        <f t="shared" ref="M26:M27" si="8">IFERROR(K26/J26-1,"NA")</f>
        <v>NA</v>
      </c>
      <c r="N26" s="224"/>
      <c r="O26" s="247" t="s">
        <v>49</v>
      </c>
    </row>
    <row r="27" ht="18" customHeight="1" spans="2:15">
      <c r="B27" s="206" t="s">
        <v>50</v>
      </c>
      <c r="C27" s="207"/>
      <c r="D27" s="205">
        <f>D26/D$13</f>
        <v>0.01</v>
      </c>
      <c r="E27" s="209"/>
      <c r="F27" s="205">
        <f>F26/F$13</f>
        <v>0.01</v>
      </c>
      <c r="G27" s="205">
        <f t="shared" ref="G27" si="9">G26/G$13</f>
        <v>0.007</v>
      </c>
      <c r="H27" s="164">
        <f t="shared" ref="H27" si="10">G27-F27</f>
        <v>0</v>
      </c>
      <c r="I27" s="231">
        <f t="shared" ref="I27" si="11">IFERROR(G27/F27-1,"NA")</f>
        <v>-0.3</v>
      </c>
      <c r="J27" s="224"/>
      <c r="K27" s="205">
        <f>K26/K$13</f>
        <v>0.011</v>
      </c>
      <c r="L27" s="205">
        <f t="shared" si="7"/>
        <v>0.004</v>
      </c>
      <c r="M27" s="231" t="str">
        <f t="shared" si="8"/>
        <v>NA</v>
      </c>
      <c r="N27" s="224"/>
      <c r="O27" s="247" t="s">
        <v>51</v>
      </c>
    </row>
    <row r="28" ht="18" customHeight="1" spans="2:15">
      <c r="B28" s="206" t="s">
        <v>52</v>
      </c>
      <c r="C28" s="207"/>
      <c r="D28" s="208">
        <f>D13*D29</f>
        <v>17</v>
      </c>
      <c r="E28" s="158" t="str">
        <f>IF(AND(K28&lt;=D28,D28/K28&lt;=1.2),"已校准",IF(K28&gt;D28,"未校准","可接受"))</f>
        <v>未校准</v>
      </c>
      <c r="F28" s="193">
        <f>SUMIFS(培训费明细!$G:$G,培训费明细!$F:$F,"&gt;="&amp;DATE(YEAR($C$5)-1,1,1),培训费明细!$F:$F,"&lt;="&amp;EOMONTH(DATE(YEAR($C$5)-1,12,31),0),培训费明细!$A:$A,"A")/10000</f>
        <v>3</v>
      </c>
      <c r="G28" s="193">
        <f>SUMIFS(培训费明细!$G:$G,培训费明细!$F:$F,"&gt;="&amp;DATE(YEAR($C$5),1,1),培训费明细!$F:$F,"&lt;="&amp;EOMONTH(DATE(YEAR($C$5),MONTH($C$5),1),0),培训费明细!$A:$A,"A")/10000+SUMIFS(培训费明细!$G:$G,培训费明细!$F:$F,"&gt;="&amp;DATE(YEAR($C$5),MONTH($C$5)+1,1),培训费明细!$F:$F,"&lt;="&amp;EOMONTH(DATE(YEAR($C$5),12,31),0),培训费明细!$A:$A,"E")/10000</f>
        <v>22</v>
      </c>
      <c r="H28" s="193">
        <f t="shared" ref="H28" si="12">G28-F28</f>
        <v>19</v>
      </c>
      <c r="I28" s="245">
        <f t="shared" ref="I28" si="13">IFERROR(G28/F28-1,"NA")</f>
        <v>6</v>
      </c>
      <c r="J28" s="246"/>
      <c r="K28" s="193">
        <f>SUMIFS(培训费明细!$G:$G,培训费明细!$F:$F,"&gt;="&amp;DATE(YEAR($C$5)+1,1,1),培训费明细!$F:$F,"&lt;="&amp;EOMONTH(DATE(YEAR($C$5)+1,12,31),0),培训费明细!$A:$A,"B")/10000</f>
        <v>30</v>
      </c>
      <c r="L28" s="248">
        <f t="shared" si="1"/>
        <v>8</v>
      </c>
      <c r="M28" s="231" t="str">
        <f t="shared" si="6"/>
        <v>NA</v>
      </c>
      <c r="N28" s="224"/>
      <c r="O28" s="247" t="s">
        <v>53</v>
      </c>
    </row>
    <row r="29" ht="18" customHeight="1" spans="2:15">
      <c r="B29" s="165" t="s">
        <v>54</v>
      </c>
      <c r="C29" s="210"/>
      <c r="D29" s="211">
        <v>0.015</v>
      </c>
      <c r="E29" s="212"/>
      <c r="F29" s="211">
        <f>F28/F13</f>
        <v>0.003</v>
      </c>
      <c r="G29" s="211">
        <f>G28/G13</f>
        <v>0.021</v>
      </c>
      <c r="H29" s="211">
        <f t="shared" si="0"/>
        <v>0.018</v>
      </c>
      <c r="I29" s="233">
        <f t="shared" si="5"/>
        <v>6</v>
      </c>
      <c r="J29" s="234"/>
      <c r="K29" s="211">
        <f>K28/K13</f>
        <v>0.028</v>
      </c>
      <c r="L29" s="211">
        <f t="shared" si="1"/>
        <v>0.007</v>
      </c>
      <c r="M29" s="233" t="str">
        <f t="shared" si="6"/>
        <v>NA</v>
      </c>
      <c r="N29" s="234"/>
      <c r="O29" s="235" t="s">
        <v>55</v>
      </c>
    </row>
    <row r="30" s="130" customFormat="1" ht="5.4" customHeight="1" spans="2:15">
      <c r="B30" s="170"/>
      <c r="C30" s="171"/>
      <c r="D30" s="213"/>
      <c r="E30" s="213"/>
      <c r="F30" s="170"/>
      <c r="G30" s="170"/>
      <c r="H30" s="170"/>
      <c r="I30" s="170"/>
      <c r="J30" s="86"/>
      <c r="K30" s="213"/>
      <c r="L30" s="213"/>
      <c r="M30" s="170"/>
      <c r="N30" s="86"/>
      <c r="O30" s="170"/>
    </row>
    <row r="31" s="95" customFormat="1" ht="18" customHeight="1" spans="2:15">
      <c r="B31" s="214" t="s">
        <v>56</v>
      </c>
      <c r="C31" s="215"/>
      <c r="D31" s="187">
        <f>SUMIFS(薪酬明细!$K:$K,薪酬明细!$H:$H,"&gt;="&amp;DATE(YEAR($C$5)-1,1,1),薪酬明细!$H:$H,"&lt;="&amp;EOMONTH(DATE(YEAR($C$5)-1,12,31),0),薪酬明细!$A:$A,"A")/12</f>
        <v>73</v>
      </c>
      <c r="E31" s="216"/>
      <c r="F31" s="187">
        <f>SUMIFS(薪酬明细!$K:$K,薪酬明细!$H:$H,"&gt;="&amp;DATE(YEAR($C$5)-1,1,1),薪酬明细!$H:$H,"&lt;="&amp;EOMONTH(DATE(YEAR($C$5)-1,12,31),0),薪酬明细!$A:$A,"A")/12</f>
        <v>73</v>
      </c>
      <c r="G31" s="187">
        <f>SUMIFS(薪酬明细!$K:$K,薪酬明细!$H:$H,"&gt;="&amp;DATE(YEAR($C$5)-1,1,1),薪酬明细!$H:$H,"&lt;="&amp;EOMONTH(DATE(YEAR($C$5)-1,12,31),0),薪酬明细!$A:$A,"A")/12</f>
        <v>73</v>
      </c>
      <c r="H31" s="187">
        <f t="shared" ref="H31:H34" si="14">G31-F31</f>
        <v>0</v>
      </c>
      <c r="I31" s="249">
        <f t="shared" ref="I31:I34" si="15">IFERROR(G31/F31-1,"NA")</f>
        <v>0</v>
      </c>
      <c r="J31" s="238"/>
      <c r="K31" s="187">
        <f>SUMIFS(薪酬明细!$K:$K,薪酬明细!$H:$H,"&gt;="&amp;DATE(YEAR($C$5)-1,1,1),薪酬明细!$H:$H,"&lt;="&amp;EOMONTH(DATE(YEAR($C$5)-1,12,31),0),薪酬明细!$A:$A,"A")/12</f>
        <v>73</v>
      </c>
      <c r="L31" s="250">
        <f t="shared" ref="L31:L34" si="16">K31-G31</f>
        <v>0</v>
      </c>
      <c r="M31" s="237" t="str">
        <f t="shared" ref="M31:M34" si="17">IFERROR(K31/J31-1,"NA")</f>
        <v>NA</v>
      </c>
      <c r="N31" s="238"/>
      <c r="O31" s="251" t="s">
        <v>57</v>
      </c>
    </row>
    <row r="32" s="95" customFormat="1" ht="18" customHeight="1" spans="2:15">
      <c r="B32" s="206" t="s">
        <v>58</v>
      </c>
      <c r="C32" s="207"/>
      <c r="D32" s="193">
        <f>D8/D31</f>
        <v>127</v>
      </c>
      <c r="E32" s="194" t="str">
        <f>IF(AND(K32&gt;=D32,K32/D32&lt;=1.2),"已校准",IF(K32&lt;D32,"未校准","可接受"))</f>
        <v>未校准</v>
      </c>
      <c r="F32" s="193">
        <f>F8/F31</f>
        <v>119</v>
      </c>
      <c r="G32" s="193">
        <f>G8/G31</f>
        <v>122</v>
      </c>
      <c r="H32" s="193">
        <f t="shared" si="14"/>
        <v>3</v>
      </c>
      <c r="I32" s="245">
        <f t="shared" si="15"/>
        <v>0</v>
      </c>
      <c r="J32" s="224"/>
      <c r="K32" s="193">
        <f>K8/K31</f>
        <v>123</v>
      </c>
      <c r="L32" s="248">
        <f t="shared" si="16"/>
        <v>1</v>
      </c>
      <c r="M32" s="231" t="str">
        <f t="shared" si="17"/>
        <v>NA</v>
      </c>
      <c r="N32" s="224"/>
      <c r="O32" s="247" t="s">
        <v>59</v>
      </c>
    </row>
    <row r="33" s="95" customFormat="1" ht="18" customHeight="1" spans="2:15">
      <c r="B33" s="206" t="s">
        <v>60</v>
      </c>
      <c r="C33" s="207"/>
      <c r="D33" s="193">
        <f>D13/D31</f>
        <v>16</v>
      </c>
      <c r="E33" s="194"/>
      <c r="F33" s="193">
        <f>F13/F31</f>
        <v>15</v>
      </c>
      <c r="G33" s="193">
        <f>G13/G31</f>
        <v>15</v>
      </c>
      <c r="H33" s="193">
        <f t="shared" si="14"/>
        <v>0</v>
      </c>
      <c r="I33" s="245">
        <f t="shared" si="15"/>
        <v>0</v>
      </c>
      <c r="J33" s="224"/>
      <c r="K33" s="193">
        <f>K13/K31</f>
        <v>15</v>
      </c>
      <c r="L33" s="248">
        <f t="shared" si="16"/>
        <v>0</v>
      </c>
      <c r="M33" s="231" t="str">
        <f t="shared" si="17"/>
        <v>NA</v>
      </c>
      <c r="N33" s="224"/>
      <c r="O33" s="247" t="s">
        <v>61</v>
      </c>
    </row>
    <row r="34" s="95" customFormat="1" ht="18" customHeight="1" spans="2:15">
      <c r="B34" s="165" t="s">
        <v>62</v>
      </c>
      <c r="C34" s="210"/>
      <c r="D34" s="217">
        <f>D32/D33</f>
        <v>7.9</v>
      </c>
      <c r="E34" s="168" t="str">
        <f>IF(AND(K34&gt;=D34,K34/D34&lt;=1.2),"已校准",IF(K34&lt;D34,"未校准","可接受"))</f>
        <v>已校准</v>
      </c>
      <c r="F34" s="217">
        <f>F32/F33</f>
        <v>7.9</v>
      </c>
      <c r="G34" s="217">
        <f>G32/G33</f>
        <v>8.1</v>
      </c>
      <c r="H34" s="169">
        <f t="shared" si="14"/>
        <v>0</v>
      </c>
      <c r="I34" s="252">
        <f t="shared" si="15"/>
        <v>0</v>
      </c>
      <c r="J34" s="253"/>
      <c r="K34" s="217">
        <f>K32/K33</f>
        <v>8.2</v>
      </c>
      <c r="L34" s="254">
        <f t="shared" si="16"/>
        <v>0</v>
      </c>
      <c r="M34" s="233" t="str">
        <f t="shared" si="17"/>
        <v>NA</v>
      </c>
      <c r="N34" s="234"/>
      <c r="O34" s="235" t="s">
        <v>63</v>
      </c>
    </row>
    <row r="35" s="95" customFormat="1" ht="18" customHeight="1" spans="2:15">
      <c r="B35" s="218"/>
      <c r="C35" s="219"/>
      <c r="D35" s="219"/>
      <c r="E35" s="220"/>
      <c r="F35" s="218"/>
      <c r="G35" s="218"/>
      <c r="H35" s="218"/>
      <c r="I35" s="218"/>
      <c r="J35" s="219"/>
      <c r="K35" s="219"/>
      <c r="L35" s="219"/>
      <c r="M35" s="218"/>
      <c r="N35" s="219"/>
      <c r="O35" s="218"/>
    </row>
    <row r="36" s="95" customFormat="1" ht="23.55" customHeight="1" spans="2:14">
      <c r="B36" s="95" t="s">
        <v>64</v>
      </c>
      <c r="C36" s="221"/>
      <c r="D36" s="221"/>
      <c r="E36" s="222"/>
      <c r="J36" s="221"/>
      <c r="K36" s="221"/>
      <c r="L36" s="221"/>
      <c r="N36" s="221"/>
    </row>
    <row r="37" s="95" customFormat="1" ht="15" spans="2:14">
      <c r="B37" s="208"/>
      <c r="C37" s="223" t="s">
        <v>65</v>
      </c>
      <c r="D37" s="221"/>
      <c r="E37" s="222"/>
      <c r="J37" s="221"/>
      <c r="K37" s="221"/>
      <c r="L37" s="221"/>
      <c r="N37" s="221"/>
    </row>
    <row r="38" s="95" customFormat="1" ht="15.45" customHeight="1" spans="2:14">
      <c r="B38" s="224"/>
      <c r="C38" s="223" t="s">
        <v>66</v>
      </c>
      <c r="D38" s="221"/>
      <c r="E38" s="222"/>
      <c r="J38" s="221"/>
      <c r="K38" s="221"/>
      <c r="L38" s="221"/>
      <c r="N38" s="221"/>
    </row>
    <row r="39" ht="15.45" customHeight="1" spans="3:3">
      <c r="C39" s="221"/>
    </row>
    <row r="40" ht="15.45" customHeight="1" spans="2:3">
      <c r="B40" s="194" t="s">
        <v>67</v>
      </c>
      <c r="C40" s="225" t="s">
        <v>68</v>
      </c>
    </row>
    <row r="41" ht="15.45" customHeight="1" spans="2:3">
      <c r="B41" s="194" t="s">
        <v>69</v>
      </c>
      <c r="C41" s="225" t="s">
        <v>70</v>
      </c>
    </row>
    <row r="42" ht="15.75" spans="2:3">
      <c r="B42" s="168" t="s">
        <v>71</v>
      </c>
      <c r="C42" s="225" t="s">
        <v>72</v>
      </c>
    </row>
  </sheetData>
  <sheetProtection algorithmName="SHA-512" hashValue="FvInvBmH7CmxZY8zIqKWZUWahtFf988TmxGkiOkpGaOb3/0UprbfVf1KLAERalfszn85RpucKQx/A/xOkO73jg==" saltValue="A0XvyU127TkFgFWtqO64HQ==" spinCount="100000" sheet="1" formatCells="0" formatColumns="0" formatRows="0" insertRows="0" insertColumns="0" autoFilter="0" objects="1" scenarios="1"/>
  <mergeCells count="7">
    <mergeCell ref="C5:E5"/>
    <mergeCell ref="H6:J6"/>
    <mergeCell ref="L6:N6"/>
    <mergeCell ref="B6:B7"/>
    <mergeCell ref="C6:C7"/>
    <mergeCell ref="E6:E7"/>
    <mergeCell ref="O6:O7"/>
  </mergeCells>
  <conditionalFormatting sqref="E8">
    <cfRule type="cellIs" dxfId="29" priority="88" operator="equal">
      <formula>"未校准"</formula>
    </cfRule>
    <cfRule type="cellIs" dxfId="30" priority="89" operator="equal">
      <formula>"可接受"</formula>
    </cfRule>
    <cfRule type="cellIs" dxfId="31" priority="90" operator="equal">
      <formula>"已校准"</formula>
    </cfRule>
  </conditionalFormatting>
  <conditionalFormatting sqref="E10">
    <cfRule type="cellIs" dxfId="29" priority="43" operator="equal">
      <formula>"未校准"</formula>
    </cfRule>
    <cfRule type="cellIs" dxfId="30" priority="44" operator="equal">
      <formula>"可接受"</formula>
    </cfRule>
    <cfRule type="cellIs" dxfId="31" priority="45" operator="equal">
      <formula>"已校准"</formula>
    </cfRule>
  </conditionalFormatting>
  <conditionalFormatting sqref="E11">
    <cfRule type="cellIs" dxfId="29" priority="82" operator="equal">
      <formula>"◎"</formula>
    </cfRule>
    <cfRule type="cellIs" dxfId="32" priority="83" operator="equal">
      <formula>"△"</formula>
    </cfRule>
    <cfRule type="cellIs" dxfId="31" priority="84" operator="equal">
      <formula>"●"</formula>
    </cfRule>
  </conditionalFormatting>
  <conditionalFormatting sqref="E13">
    <cfRule type="cellIs" dxfId="29" priority="40" operator="equal">
      <formula>"未校准"</formula>
    </cfRule>
    <cfRule type="cellIs" dxfId="30" priority="41" operator="equal">
      <formula>"可接受"</formula>
    </cfRule>
    <cfRule type="cellIs" dxfId="31" priority="42" operator="equal">
      <formula>"已校准"</formula>
    </cfRule>
  </conditionalFormatting>
  <conditionalFormatting sqref="E14">
    <cfRule type="cellIs" dxfId="29" priority="79" operator="equal">
      <formula>"◎"</formula>
    </cfRule>
    <cfRule type="cellIs" dxfId="30" priority="80" operator="equal">
      <formula>"△"</formula>
    </cfRule>
    <cfRule type="cellIs" dxfId="31" priority="81" operator="equal">
      <formula>"●"</formula>
    </cfRule>
  </conditionalFormatting>
  <conditionalFormatting sqref="E15">
    <cfRule type="cellIs" dxfId="29" priority="37" operator="equal">
      <formula>"未校准"</formula>
    </cfRule>
    <cfRule type="cellIs" dxfId="30" priority="38" operator="equal">
      <formula>"可接受"</formula>
    </cfRule>
    <cfRule type="cellIs" dxfId="31" priority="39" operator="equal">
      <formula>"已校准"</formula>
    </cfRule>
  </conditionalFormatting>
  <conditionalFormatting sqref="E17">
    <cfRule type="cellIs" dxfId="29" priority="70" operator="equal">
      <formula>"◎"</formula>
    </cfRule>
    <cfRule type="cellIs" dxfId="30" priority="71" operator="equal">
      <formula>"△"</formula>
    </cfRule>
    <cfRule type="cellIs" dxfId="31" priority="72" operator="equal">
      <formula>"●"</formula>
    </cfRule>
  </conditionalFormatting>
  <conditionalFormatting sqref="E18">
    <cfRule type="cellIs" dxfId="29" priority="34" operator="equal">
      <formula>"未校准"</formula>
    </cfRule>
    <cfRule type="cellIs" dxfId="30" priority="35" operator="equal">
      <formula>"可接受"</formula>
    </cfRule>
    <cfRule type="cellIs" dxfId="31" priority="36" operator="equal">
      <formula>"已校准"</formula>
    </cfRule>
  </conditionalFormatting>
  <conditionalFormatting sqref="E19">
    <cfRule type="cellIs" dxfId="29" priority="31" operator="equal">
      <formula>"未校准"</formula>
    </cfRule>
    <cfRule type="cellIs" dxfId="30" priority="32" operator="equal">
      <formula>"可接受"</formula>
    </cfRule>
    <cfRule type="cellIs" dxfId="31" priority="33" operator="equal">
      <formula>"已校准"</formula>
    </cfRule>
  </conditionalFormatting>
  <conditionalFormatting sqref="E22">
    <cfRule type="cellIs" dxfId="29" priority="28" operator="equal">
      <formula>"未校准"</formula>
    </cfRule>
    <cfRule type="cellIs" dxfId="30" priority="29" operator="equal">
      <formula>"可接受"</formula>
    </cfRule>
    <cfRule type="cellIs" dxfId="31" priority="30" operator="equal">
      <formula>"已校准"</formula>
    </cfRule>
  </conditionalFormatting>
  <conditionalFormatting sqref="E24">
    <cfRule type="cellIs" dxfId="29" priority="25" operator="equal">
      <formula>"未校准"</formula>
    </cfRule>
    <cfRule type="cellIs" dxfId="30" priority="26" operator="equal">
      <formula>"可接受"</formula>
    </cfRule>
    <cfRule type="cellIs" dxfId="31" priority="27" operator="equal">
      <formula>"已校准"</formula>
    </cfRule>
  </conditionalFormatting>
  <conditionalFormatting sqref="E26">
    <cfRule type="cellIs" dxfId="29" priority="22" operator="equal">
      <formula>"未校准"</formula>
    </cfRule>
    <cfRule type="cellIs" dxfId="30" priority="23" operator="equal">
      <formula>"可接受"</formula>
    </cfRule>
    <cfRule type="cellIs" dxfId="31" priority="24" operator="equal">
      <formula>"已校准"</formula>
    </cfRule>
  </conditionalFormatting>
  <conditionalFormatting sqref="E28">
    <cfRule type="cellIs" dxfId="29" priority="19" operator="equal">
      <formula>"未校准"</formula>
    </cfRule>
    <cfRule type="cellIs" dxfId="30" priority="20" operator="equal">
      <formula>"可接受"</formula>
    </cfRule>
    <cfRule type="cellIs" dxfId="31" priority="21" operator="equal">
      <formula>"已校准"</formula>
    </cfRule>
  </conditionalFormatting>
  <conditionalFormatting sqref="E32">
    <cfRule type="cellIs" dxfId="29" priority="16" operator="equal">
      <formula>"未校准"</formula>
    </cfRule>
    <cfRule type="cellIs" dxfId="30" priority="17" operator="equal">
      <formula>"可接受"</formula>
    </cfRule>
    <cfRule type="cellIs" dxfId="31" priority="18" operator="equal">
      <formula>"已校准"</formula>
    </cfRule>
  </conditionalFormatting>
  <conditionalFormatting sqref="E33">
    <cfRule type="cellIs" dxfId="29" priority="13" operator="equal">
      <formula>"未校准"</formula>
    </cfRule>
    <cfRule type="cellIs" dxfId="30" priority="14" operator="equal">
      <formula>"可接受"</formula>
    </cfRule>
    <cfRule type="cellIs" dxfId="31" priority="15" operator="equal">
      <formula>"已校准"</formula>
    </cfRule>
  </conditionalFormatting>
  <conditionalFormatting sqref="E34">
    <cfRule type="cellIs" dxfId="29" priority="10" operator="equal">
      <formula>"未校准"</formula>
    </cfRule>
    <cfRule type="cellIs" dxfId="30" priority="11" operator="equal">
      <formula>"可接受"</formula>
    </cfRule>
    <cfRule type="cellIs" dxfId="31" priority="12" operator="equal">
      <formula>"已校准"</formula>
    </cfRule>
  </conditionalFormatting>
  <conditionalFormatting sqref="B40">
    <cfRule type="cellIs" dxfId="29" priority="7" operator="equal">
      <formula>"未校准"</formula>
    </cfRule>
    <cfRule type="cellIs" dxfId="30" priority="8" operator="equal">
      <formula>"可接受"</formula>
    </cfRule>
    <cfRule type="cellIs" dxfId="31" priority="9" operator="equal">
      <formula>"已校准"</formula>
    </cfRule>
  </conditionalFormatting>
  <conditionalFormatting sqref="B41">
    <cfRule type="cellIs" dxfId="29" priority="4" operator="equal">
      <formula>"未校准"</formula>
    </cfRule>
    <cfRule type="cellIs" dxfId="30" priority="5" operator="equal">
      <formula>"可接受"</formula>
    </cfRule>
    <cfRule type="cellIs" dxfId="31" priority="6" operator="equal">
      <formula>"已校准"</formula>
    </cfRule>
  </conditionalFormatting>
  <conditionalFormatting sqref="B42">
    <cfRule type="cellIs" dxfId="29" priority="1" operator="equal">
      <formula>"未校准"</formula>
    </cfRule>
    <cfRule type="cellIs" dxfId="30" priority="2" operator="equal">
      <formula>"可接受"</formula>
    </cfRule>
    <cfRule type="cellIs" dxfId="31" priority="3" operator="equal">
      <formula>"已校准"</formula>
    </cfRule>
  </conditionalFormatting>
  <printOptions horizontalCentered="1"/>
  <pageMargins left="0.708661417322835" right="0.31496062992126" top="0.748031496062992" bottom="0.748031496062992" header="0.31496062992126" footer="0.31496062992126"/>
  <pageSetup paperSize="9" scale="83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</sheetPr>
  <dimension ref="B2:BK159"/>
  <sheetViews>
    <sheetView showGridLines="0" workbookViewId="0">
      <pane xSplit="6" ySplit="10" topLeftCell="G11" activePane="bottomRight" state="frozen"/>
      <selection/>
      <selection pane="topRight"/>
      <selection pane="bottomLeft"/>
      <selection pane="bottomRight" activeCell="BK84" sqref="BK84"/>
    </sheetView>
  </sheetViews>
  <sheetFormatPr defaultColWidth="9" defaultRowHeight="14.4"/>
  <cols>
    <col min="2" max="2" width="2.77777777777778" customWidth="1"/>
    <col min="3" max="3" width="3.88888888888889" customWidth="1"/>
    <col min="4" max="4" width="11.5555555555556" customWidth="1"/>
    <col min="5" max="6" width="2" style="100" customWidth="1"/>
    <col min="7" max="7" width="13.4444444444444" customWidth="1" collapsed="1"/>
    <col min="8" max="16" width="12.1111111111111" hidden="1" customWidth="1" outlineLevel="1"/>
    <col min="17" max="19" width="13.4444444444444" hidden="1" customWidth="1" outlineLevel="1"/>
    <col min="20" max="20" width="13.4444444444444" customWidth="1"/>
    <col min="21" max="21" width="13.7777777777778" customWidth="1" outlineLevel="1" collapsed="1"/>
    <col min="22" max="30" width="12.1111111111111" hidden="1" customWidth="1" outlineLevel="2"/>
    <col min="31" max="33" width="13.4444444444444" hidden="1" customWidth="1" outlineLevel="2"/>
    <col min="34" max="34" width="11.4444444444444" customWidth="1" outlineLevel="1" collapsed="1"/>
    <col min="35" max="43" width="12.1111111111111" hidden="1" customWidth="1" outlineLevel="2"/>
    <col min="44" max="46" width="13.4444444444444" hidden="1" customWidth="1" outlineLevel="2"/>
    <col min="47" max="47" width="13.4444444444444" customWidth="1" collapsed="1"/>
    <col min="48" max="56" width="12.1111111111111" hidden="1" customWidth="1" outlineLevel="1"/>
    <col min="57" max="59" width="13.4444444444444" hidden="1" customWidth="1" outlineLevel="1"/>
  </cols>
  <sheetData>
    <row r="2" ht="25.8" spans="2:2">
      <c r="B2" s="52" t="s">
        <v>73</v>
      </c>
    </row>
    <row r="3" s="99" customFormat="1" ht="15.6" spans="3:63">
      <c r="C3" s="102" t="s">
        <v>1</v>
      </c>
      <c r="D3" s="102"/>
      <c r="E3" s="103"/>
      <c r="F3" s="103"/>
      <c r="G3" s="104">
        <v>44469</v>
      </c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4"/>
      <c r="AQ3" s="104"/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4"/>
      <c r="BF3" s="104"/>
      <c r="BG3" s="104"/>
      <c r="BH3" s="104"/>
      <c r="BI3" s="104"/>
      <c r="BJ3" s="104"/>
      <c r="BK3" s="104"/>
    </row>
    <row r="5" s="50" customFormat="1" ht="25.2" customHeight="1" spans="2:59">
      <c r="B5" s="105" t="s">
        <v>74</v>
      </c>
      <c r="C5" s="105"/>
      <c r="D5" s="105"/>
      <c r="E5" s="105"/>
      <c r="F5" s="106"/>
      <c r="G5" s="107" t="str">
        <f>"A"&amp;YEAR($G$3)-1&amp;"FY"</f>
        <v>A2020FY</v>
      </c>
      <c r="H5" s="108" t="s">
        <v>75</v>
      </c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3"/>
      <c r="T5" s="107" t="str">
        <f>"E"&amp;YEAR($G$3)&amp;"FY"</f>
        <v>E2021FY</v>
      </c>
      <c r="U5" s="107" t="str">
        <f>"A"&amp;YEAR($G$3)&amp;TEXT(MONTH($G$3),"00")&amp;"YTD"</f>
        <v>A202109YTD</v>
      </c>
      <c r="V5" s="108" t="s">
        <v>75</v>
      </c>
      <c r="W5" s="122"/>
      <c r="X5" s="122"/>
      <c r="Y5" s="122"/>
      <c r="Z5" s="122"/>
      <c r="AA5" s="122"/>
      <c r="AB5" s="122"/>
      <c r="AC5" s="122"/>
      <c r="AD5" s="122"/>
      <c r="AE5" s="122"/>
      <c r="AF5" s="122"/>
      <c r="AG5" s="123"/>
      <c r="AH5" s="107" t="str">
        <f>"E"&amp;YEAR($G$3)&amp;TEXT(MONTH($G$3),"00")&amp;"YTG"</f>
        <v>E202109YTG</v>
      </c>
      <c r="AI5" s="108" t="s">
        <v>75</v>
      </c>
      <c r="AJ5" s="122"/>
      <c r="AK5" s="122"/>
      <c r="AL5" s="122"/>
      <c r="AM5" s="122"/>
      <c r="AN5" s="122"/>
      <c r="AO5" s="122"/>
      <c r="AP5" s="122"/>
      <c r="AQ5" s="122"/>
      <c r="AR5" s="122"/>
      <c r="AS5" s="122"/>
      <c r="AT5" s="123"/>
      <c r="AU5" s="107" t="str">
        <f>"B"&amp;YEAR($G$3)+1&amp;"FY"</f>
        <v>B2022FY</v>
      </c>
      <c r="AV5" s="108" t="s">
        <v>75</v>
      </c>
      <c r="AW5" s="122"/>
      <c r="AX5" s="122"/>
      <c r="AY5" s="122"/>
      <c r="AZ5" s="122"/>
      <c r="BA5" s="122"/>
      <c r="BB5" s="122"/>
      <c r="BC5" s="122"/>
      <c r="BD5" s="122"/>
      <c r="BE5" s="122"/>
      <c r="BF5" s="122"/>
      <c r="BG5" s="123"/>
    </row>
    <row r="6" s="50" customFormat="1" ht="15.6" customHeight="1" spans="2:59">
      <c r="B6" s="109"/>
      <c r="C6" s="109"/>
      <c r="D6" s="109"/>
      <c r="E6" s="109"/>
      <c r="F6" s="110"/>
      <c r="G6" s="111" t="str">
        <f>LEFT(G5,1)</f>
        <v>A</v>
      </c>
      <c r="H6" s="111" t="str">
        <f>LEFT(G5,1)</f>
        <v>A</v>
      </c>
      <c r="I6" s="111" t="str">
        <f>H6</f>
        <v>A</v>
      </c>
      <c r="J6" s="111" t="str">
        <f t="shared" ref="J6:S6" si="0">I6</f>
        <v>A</v>
      </c>
      <c r="K6" s="111" t="str">
        <f t="shared" si="0"/>
        <v>A</v>
      </c>
      <c r="L6" s="111" t="str">
        <f t="shared" si="0"/>
        <v>A</v>
      </c>
      <c r="M6" s="111" t="str">
        <f t="shared" si="0"/>
        <v>A</v>
      </c>
      <c r="N6" s="111" t="str">
        <f t="shared" si="0"/>
        <v>A</v>
      </c>
      <c r="O6" s="111" t="str">
        <f t="shared" si="0"/>
        <v>A</v>
      </c>
      <c r="P6" s="111" t="str">
        <f t="shared" si="0"/>
        <v>A</v>
      </c>
      <c r="Q6" s="111" t="str">
        <f t="shared" si="0"/>
        <v>A</v>
      </c>
      <c r="R6" s="111" t="str">
        <f t="shared" si="0"/>
        <v>A</v>
      </c>
      <c r="S6" s="111" t="str">
        <f t="shared" si="0"/>
        <v>A</v>
      </c>
      <c r="T6" s="111" t="str">
        <f>LEFT(T5,1)</f>
        <v>E</v>
      </c>
      <c r="U6" s="111" t="str">
        <f>LEFT(U5,1)</f>
        <v>A</v>
      </c>
      <c r="V6" s="111" t="str">
        <f>LEFT(U5,1)</f>
        <v>A</v>
      </c>
      <c r="W6" s="111" t="str">
        <f>V6</f>
        <v>A</v>
      </c>
      <c r="X6" s="111" t="str">
        <f t="shared" ref="X6:AG6" si="1">W6</f>
        <v>A</v>
      </c>
      <c r="Y6" s="111" t="str">
        <f t="shared" si="1"/>
        <v>A</v>
      </c>
      <c r="Z6" s="111" t="str">
        <f t="shared" si="1"/>
        <v>A</v>
      </c>
      <c r="AA6" s="111" t="str">
        <f t="shared" si="1"/>
        <v>A</v>
      </c>
      <c r="AB6" s="111" t="str">
        <f t="shared" si="1"/>
        <v>A</v>
      </c>
      <c r="AC6" s="111" t="str">
        <f t="shared" si="1"/>
        <v>A</v>
      </c>
      <c r="AD6" s="111" t="str">
        <f t="shared" si="1"/>
        <v>A</v>
      </c>
      <c r="AE6" s="111" t="str">
        <f t="shared" si="1"/>
        <v>A</v>
      </c>
      <c r="AF6" s="111" t="str">
        <f t="shared" si="1"/>
        <v>A</v>
      </c>
      <c r="AG6" s="111" t="str">
        <f t="shared" si="1"/>
        <v>A</v>
      </c>
      <c r="AH6" s="111" t="str">
        <f>LEFT(AH5,1)</f>
        <v>E</v>
      </c>
      <c r="AI6" s="111" t="str">
        <f>LEFT(AH5,1)</f>
        <v>E</v>
      </c>
      <c r="AJ6" s="111" t="str">
        <f>AI6</f>
        <v>E</v>
      </c>
      <c r="AK6" s="111" t="str">
        <f t="shared" ref="AK6:AT6" si="2">AJ6</f>
        <v>E</v>
      </c>
      <c r="AL6" s="111" t="str">
        <f t="shared" si="2"/>
        <v>E</v>
      </c>
      <c r="AM6" s="111" t="str">
        <f t="shared" si="2"/>
        <v>E</v>
      </c>
      <c r="AN6" s="111" t="str">
        <f t="shared" si="2"/>
        <v>E</v>
      </c>
      <c r="AO6" s="111" t="str">
        <f t="shared" si="2"/>
        <v>E</v>
      </c>
      <c r="AP6" s="111" t="str">
        <f t="shared" si="2"/>
        <v>E</v>
      </c>
      <c r="AQ6" s="111" t="str">
        <f t="shared" si="2"/>
        <v>E</v>
      </c>
      <c r="AR6" s="111" t="str">
        <f t="shared" si="2"/>
        <v>E</v>
      </c>
      <c r="AS6" s="111" t="str">
        <f t="shared" si="2"/>
        <v>E</v>
      </c>
      <c r="AT6" s="111" t="str">
        <f t="shared" si="2"/>
        <v>E</v>
      </c>
      <c r="AU6" s="111" t="str">
        <f>LEFT(AU5,1)</f>
        <v>B</v>
      </c>
      <c r="AV6" s="111" t="str">
        <f>LEFT(AU5,1)</f>
        <v>B</v>
      </c>
      <c r="AW6" s="111" t="str">
        <f>AV6</f>
        <v>B</v>
      </c>
      <c r="AX6" s="111" t="str">
        <f t="shared" ref="AX6:BG6" si="3">AW6</f>
        <v>B</v>
      </c>
      <c r="AY6" s="111" t="str">
        <f t="shared" si="3"/>
        <v>B</v>
      </c>
      <c r="AZ6" s="111" t="str">
        <f t="shared" si="3"/>
        <v>B</v>
      </c>
      <c r="BA6" s="111" t="str">
        <f t="shared" si="3"/>
        <v>B</v>
      </c>
      <c r="BB6" s="111" t="str">
        <f t="shared" si="3"/>
        <v>B</v>
      </c>
      <c r="BC6" s="111" t="str">
        <f t="shared" si="3"/>
        <v>B</v>
      </c>
      <c r="BD6" s="111" t="str">
        <f t="shared" si="3"/>
        <v>B</v>
      </c>
      <c r="BE6" s="111" t="str">
        <f t="shared" si="3"/>
        <v>B</v>
      </c>
      <c r="BF6" s="111" t="str">
        <f t="shared" si="3"/>
        <v>B</v>
      </c>
      <c r="BG6" s="111" t="str">
        <f t="shared" si="3"/>
        <v>B</v>
      </c>
    </row>
    <row r="7" s="48" customFormat="1" ht="15.6" spans="2:59">
      <c r="B7" s="109"/>
      <c r="C7" s="109"/>
      <c r="D7" s="109"/>
      <c r="E7" s="109"/>
      <c r="F7" s="110"/>
      <c r="G7" s="112" t="s">
        <v>76</v>
      </c>
      <c r="H7" s="113">
        <f>YEAR($G$3)-1</f>
        <v>2020</v>
      </c>
      <c r="I7" s="115">
        <f>H7</f>
        <v>2020</v>
      </c>
      <c r="J7" s="115">
        <f t="shared" ref="J7:S7" si="4">I7</f>
        <v>2020</v>
      </c>
      <c r="K7" s="115">
        <f t="shared" si="4"/>
        <v>2020</v>
      </c>
      <c r="L7" s="115">
        <f t="shared" si="4"/>
        <v>2020</v>
      </c>
      <c r="M7" s="115">
        <f t="shared" si="4"/>
        <v>2020</v>
      </c>
      <c r="N7" s="115">
        <f t="shared" si="4"/>
        <v>2020</v>
      </c>
      <c r="O7" s="115">
        <f t="shared" si="4"/>
        <v>2020</v>
      </c>
      <c r="P7" s="115">
        <f t="shared" si="4"/>
        <v>2020</v>
      </c>
      <c r="Q7" s="115">
        <f t="shared" si="4"/>
        <v>2020</v>
      </c>
      <c r="R7" s="115">
        <f t="shared" si="4"/>
        <v>2020</v>
      </c>
      <c r="S7" s="115">
        <f t="shared" si="4"/>
        <v>2020</v>
      </c>
      <c r="T7" s="112" t="s">
        <v>76</v>
      </c>
      <c r="U7" s="112" t="s">
        <v>76</v>
      </c>
      <c r="V7" s="113">
        <f>YEAR($G$3)</f>
        <v>2021</v>
      </c>
      <c r="W7" s="115">
        <f>V7</f>
        <v>2021</v>
      </c>
      <c r="X7" s="115">
        <f t="shared" ref="X7:AG7" si="5">W7</f>
        <v>2021</v>
      </c>
      <c r="Y7" s="115">
        <f t="shared" si="5"/>
        <v>2021</v>
      </c>
      <c r="Z7" s="115">
        <f t="shared" si="5"/>
        <v>2021</v>
      </c>
      <c r="AA7" s="115">
        <f t="shared" si="5"/>
        <v>2021</v>
      </c>
      <c r="AB7" s="115">
        <f t="shared" si="5"/>
        <v>2021</v>
      </c>
      <c r="AC7" s="115">
        <f t="shared" si="5"/>
        <v>2021</v>
      </c>
      <c r="AD7" s="115">
        <f t="shared" si="5"/>
        <v>2021</v>
      </c>
      <c r="AE7" s="115">
        <f t="shared" si="5"/>
        <v>2021</v>
      </c>
      <c r="AF7" s="115">
        <f t="shared" si="5"/>
        <v>2021</v>
      </c>
      <c r="AG7" s="115">
        <f t="shared" si="5"/>
        <v>2021</v>
      </c>
      <c r="AH7" s="112" t="s">
        <v>76</v>
      </c>
      <c r="AI7" s="113">
        <f>YEAR($G$3)</f>
        <v>2021</v>
      </c>
      <c r="AJ7" s="115">
        <f>AI7</f>
        <v>2021</v>
      </c>
      <c r="AK7" s="115">
        <f t="shared" ref="AK7:AT7" si="6">AJ7</f>
        <v>2021</v>
      </c>
      <c r="AL7" s="115">
        <f t="shared" si="6"/>
        <v>2021</v>
      </c>
      <c r="AM7" s="115">
        <f t="shared" si="6"/>
        <v>2021</v>
      </c>
      <c r="AN7" s="115">
        <f t="shared" si="6"/>
        <v>2021</v>
      </c>
      <c r="AO7" s="115">
        <f t="shared" si="6"/>
        <v>2021</v>
      </c>
      <c r="AP7" s="115">
        <f t="shared" si="6"/>
        <v>2021</v>
      </c>
      <c r="AQ7" s="115">
        <f t="shared" si="6"/>
        <v>2021</v>
      </c>
      <c r="AR7" s="115">
        <f t="shared" si="6"/>
        <v>2021</v>
      </c>
      <c r="AS7" s="115">
        <f t="shared" si="6"/>
        <v>2021</v>
      </c>
      <c r="AT7" s="115">
        <f t="shared" si="6"/>
        <v>2021</v>
      </c>
      <c r="AU7" s="112" t="s">
        <v>76</v>
      </c>
      <c r="AV7" s="113">
        <f>YEAR($G$3)+1</f>
        <v>2022</v>
      </c>
      <c r="AW7" s="115">
        <f>AV7</f>
        <v>2022</v>
      </c>
      <c r="AX7" s="115">
        <f t="shared" ref="AX7:BG7" si="7">AW7</f>
        <v>2022</v>
      </c>
      <c r="AY7" s="115">
        <f t="shared" si="7"/>
        <v>2022</v>
      </c>
      <c r="AZ7" s="115">
        <f t="shared" si="7"/>
        <v>2022</v>
      </c>
      <c r="BA7" s="115">
        <f t="shared" si="7"/>
        <v>2022</v>
      </c>
      <c r="BB7" s="115">
        <f t="shared" si="7"/>
        <v>2022</v>
      </c>
      <c r="BC7" s="115">
        <f t="shared" si="7"/>
        <v>2022</v>
      </c>
      <c r="BD7" s="115">
        <f t="shared" si="7"/>
        <v>2022</v>
      </c>
      <c r="BE7" s="115">
        <f t="shared" si="7"/>
        <v>2022</v>
      </c>
      <c r="BF7" s="115">
        <f t="shared" si="7"/>
        <v>2022</v>
      </c>
      <c r="BG7" s="115">
        <f t="shared" si="7"/>
        <v>2022</v>
      </c>
    </row>
    <row r="8" s="48" customFormat="1" ht="15.6" spans="2:59">
      <c r="B8" s="109"/>
      <c r="C8" s="109"/>
      <c r="D8" s="109"/>
      <c r="E8" s="109"/>
      <c r="F8" s="110"/>
      <c r="G8" s="114"/>
      <c r="H8" s="115">
        <v>1</v>
      </c>
      <c r="I8" s="115">
        <v>2</v>
      </c>
      <c r="J8" s="115">
        <v>3</v>
      </c>
      <c r="K8" s="115">
        <v>4</v>
      </c>
      <c r="L8" s="115">
        <v>5</v>
      </c>
      <c r="M8" s="115">
        <v>6</v>
      </c>
      <c r="N8" s="115">
        <v>7</v>
      </c>
      <c r="O8" s="115">
        <v>8</v>
      </c>
      <c r="P8" s="115">
        <v>9</v>
      </c>
      <c r="Q8" s="115">
        <v>10</v>
      </c>
      <c r="R8" s="115">
        <v>11</v>
      </c>
      <c r="S8" s="115">
        <v>12</v>
      </c>
      <c r="T8" s="114"/>
      <c r="U8" s="114"/>
      <c r="V8" s="115">
        <v>1</v>
      </c>
      <c r="W8" s="115">
        <v>2</v>
      </c>
      <c r="X8" s="115">
        <v>3</v>
      </c>
      <c r="Y8" s="115">
        <v>4</v>
      </c>
      <c r="Z8" s="115">
        <v>5</v>
      </c>
      <c r="AA8" s="115">
        <v>6</v>
      </c>
      <c r="AB8" s="115">
        <v>7</v>
      </c>
      <c r="AC8" s="115">
        <v>8</v>
      </c>
      <c r="AD8" s="115">
        <v>9</v>
      </c>
      <c r="AE8" s="115">
        <v>10</v>
      </c>
      <c r="AF8" s="115">
        <v>11</v>
      </c>
      <c r="AG8" s="115">
        <v>12</v>
      </c>
      <c r="AH8" s="114"/>
      <c r="AI8" s="115">
        <v>1</v>
      </c>
      <c r="AJ8" s="115">
        <v>2</v>
      </c>
      <c r="AK8" s="115">
        <v>3</v>
      </c>
      <c r="AL8" s="115">
        <v>4</v>
      </c>
      <c r="AM8" s="115">
        <v>5</v>
      </c>
      <c r="AN8" s="115">
        <v>6</v>
      </c>
      <c r="AO8" s="115">
        <v>7</v>
      </c>
      <c r="AP8" s="115">
        <v>8</v>
      </c>
      <c r="AQ8" s="115">
        <v>9</v>
      </c>
      <c r="AR8" s="115">
        <v>10</v>
      </c>
      <c r="AS8" s="115">
        <v>11</v>
      </c>
      <c r="AT8" s="115">
        <v>12</v>
      </c>
      <c r="AU8" s="114"/>
      <c r="AV8" s="115">
        <v>1</v>
      </c>
      <c r="AW8" s="115">
        <v>2</v>
      </c>
      <c r="AX8" s="115">
        <v>3</v>
      </c>
      <c r="AY8" s="115">
        <v>4</v>
      </c>
      <c r="AZ8" s="115">
        <v>5</v>
      </c>
      <c r="BA8" s="115">
        <v>6</v>
      </c>
      <c r="BB8" s="115">
        <v>7</v>
      </c>
      <c r="BC8" s="115">
        <v>8</v>
      </c>
      <c r="BD8" s="115">
        <v>9</v>
      </c>
      <c r="BE8" s="115">
        <v>10</v>
      </c>
      <c r="BF8" s="115">
        <v>11</v>
      </c>
      <c r="BG8" s="115">
        <v>12</v>
      </c>
    </row>
    <row r="9" s="100" customFormat="1" ht="8.4" customHeight="1" spans="3:59">
      <c r="C9" s="116"/>
      <c r="D9" s="116"/>
      <c r="E9" s="116"/>
      <c r="F9" s="116"/>
      <c r="G9" s="117">
        <f>DATE(YEAR($G$3)-1,1,1)</f>
        <v>43831</v>
      </c>
      <c r="H9" s="117">
        <f>DATE(H7,H8,1)</f>
        <v>43831</v>
      </c>
      <c r="I9" s="117">
        <f t="shared" ref="I9:S9" si="8">DATE(I7,I8,1)</f>
        <v>43862</v>
      </c>
      <c r="J9" s="117">
        <f t="shared" si="8"/>
        <v>43891</v>
      </c>
      <c r="K9" s="117">
        <f t="shared" si="8"/>
        <v>43922</v>
      </c>
      <c r="L9" s="117">
        <f t="shared" si="8"/>
        <v>43952</v>
      </c>
      <c r="M9" s="117">
        <f t="shared" si="8"/>
        <v>43983</v>
      </c>
      <c r="N9" s="117">
        <f t="shared" si="8"/>
        <v>44013</v>
      </c>
      <c r="O9" s="117">
        <f t="shared" si="8"/>
        <v>44044</v>
      </c>
      <c r="P9" s="117">
        <f t="shared" si="8"/>
        <v>44075</v>
      </c>
      <c r="Q9" s="117">
        <f t="shared" si="8"/>
        <v>44105</v>
      </c>
      <c r="R9" s="117">
        <f t="shared" si="8"/>
        <v>44136</v>
      </c>
      <c r="S9" s="117">
        <f t="shared" si="8"/>
        <v>44166</v>
      </c>
      <c r="T9" s="117">
        <f>DATE(YEAR($G$3),1,1)</f>
        <v>44197</v>
      </c>
      <c r="U9" s="117">
        <f>DATE(YEAR($G$3),1,1)</f>
        <v>44197</v>
      </c>
      <c r="V9" s="117">
        <f>DATE(V7,V8,1)</f>
        <v>44197</v>
      </c>
      <c r="W9" s="117">
        <f t="shared" ref="W9" si="9">DATE(W7,W8,1)</f>
        <v>44228</v>
      </c>
      <c r="X9" s="117">
        <f t="shared" ref="X9" si="10">DATE(X7,X8,1)</f>
        <v>44256</v>
      </c>
      <c r="Y9" s="117">
        <f t="shared" ref="Y9" si="11">DATE(Y7,Y8,1)</f>
        <v>44287</v>
      </c>
      <c r="Z9" s="117">
        <f t="shared" ref="Z9" si="12">DATE(Z7,Z8,1)</f>
        <v>44317</v>
      </c>
      <c r="AA9" s="117">
        <f t="shared" ref="AA9" si="13">DATE(AA7,AA8,1)</f>
        <v>44348</v>
      </c>
      <c r="AB9" s="117">
        <f t="shared" ref="AB9" si="14">DATE(AB7,AB8,1)</f>
        <v>44378</v>
      </c>
      <c r="AC9" s="117">
        <f t="shared" ref="AC9" si="15">DATE(AC7,AC8,1)</f>
        <v>44409</v>
      </c>
      <c r="AD9" s="117">
        <f t="shared" ref="AD9" si="16">DATE(AD7,AD8,1)</f>
        <v>44440</v>
      </c>
      <c r="AE9" s="117">
        <f t="shared" ref="AE9" si="17">DATE(AE7,AE8,1)</f>
        <v>44470</v>
      </c>
      <c r="AF9" s="117">
        <f t="shared" ref="AF9" si="18">DATE(AF7,AF8,1)</f>
        <v>44501</v>
      </c>
      <c r="AG9" s="117">
        <f t="shared" ref="AG9" si="19">DATE(AG7,AG8,1)</f>
        <v>44531</v>
      </c>
      <c r="AH9" s="117">
        <f>DATE(YEAR($G$3),MONTH($G$3)+1,1)</f>
        <v>44470</v>
      </c>
      <c r="AI9" s="117">
        <f>DATE(AI7,AI8,1)</f>
        <v>44197</v>
      </c>
      <c r="AJ9" s="117">
        <f t="shared" ref="AJ9" si="20">DATE(AJ7,AJ8,1)</f>
        <v>44228</v>
      </c>
      <c r="AK9" s="117">
        <f t="shared" ref="AK9" si="21">DATE(AK7,AK8,1)</f>
        <v>44256</v>
      </c>
      <c r="AL9" s="117">
        <f t="shared" ref="AL9" si="22">DATE(AL7,AL8,1)</f>
        <v>44287</v>
      </c>
      <c r="AM9" s="117">
        <f t="shared" ref="AM9" si="23">DATE(AM7,AM8,1)</f>
        <v>44317</v>
      </c>
      <c r="AN9" s="117">
        <f t="shared" ref="AN9" si="24">DATE(AN7,AN8,1)</f>
        <v>44348</v>
      </c>
      <c r="AO9" s="117">
        <f t="shared" ref="AO9" si="25">DATE(AO7,AO8,1)</f>
        <v>44378</v>
      </c>
      <c r="AP9" s="117">
        <f t="shared" ref="AP9" si="26">DATE(AP7,AP8,1)</f>
        <v>44409</v>
      </c>
      <c r="AQ9" s="117">
        <f t="shared" ref="AQ9" si="27">DATE(AQ7,AQ8,1)</f>
        <v>44440</v>
      </c>
      <c r="AR9" s="117">
        <f t="shared" ref="AR9" si="28">DATE(AR7,AR8,1)</f>
        <v>44470</v>
      </c>
      <c r="AS9" s="117">
        <f t="shared" ref="AS9" si="29">DATE(AS7,AS8,1)</f>
        <v>44501</v>
      </c>
      <c r="AT9" s="117">
        <f t="shared" ref="AT9" si="30">DATE(AT7,AT8,1)</f>
        <v>44531</v>
      </c>
      <c r="AU9" s="117">
        <f>DATE(YEAR($G$3)+1,1,1)</f>
        <v>44562</v>
      </c>
      <c r="AV9" s="117">
        <f>DATE(AV7,AV8,1)</f>
        <v>44562</v>
      </c>
      <c r="AW9" s="117">
        <f t="shared" ref="AW9" si="31">DATE(AW7,AW8,1)</f>
        <v>44593</v>
      </c>
      <c r="AX9" s="117">
        <f t="shared" ref="AX9" si="32">DATE(AX7,AX8,1)</f>
        <v>44621</v>
      </c>
      <c r="AY9" s="117">
        <f t="shared" ref="AY9" si="33">DATE(AY7,AY8,1)</f>
        <v>44652</v>
      </c>
      <c r="AZ9" s="117">
        <f t="shared" ref="AZ9" si="34">DATE(AZ7,AZ8,1)</f>
        <v>44682</v>
      </c>
      <c r="BA9" s="117">
        <f t="shared" ref="BA9" si="35">DATE(BA7,BA8,1)</f>
        <v>44713</v>
      </c>
      <c r="BB9" s="117">
        <f t="shared" ref="BB9" si="36">DATE(BB7,BB8,1)</f>
        <v>44743</v>
      </c>
      <c r="BC9" s="117">
        <f t="shared" ref="BC9" si="37">DATE(BC7,BC8,1)</f>
        <v>44774</v>
      </c>
      <c r="BD9" s="117">
        <f t="shared" ref="BD9" si="38">DATE(BD7,BD8,1)</f>
        <v>44805</v>
      </c>
      <c r="BE9" s="117">
        <f t="shared" ref="BE9" si="39">DATE(BE7,BE8,1)</f>
        <v>44835</v>
      </c>
      <c r="BF9" s="117">
        <f t="shared" ref="BF9" si="40">DATE(BF7,BF8,1)</f>
        <v>44866</v>
      </c>
      <c r="BG9" s="117">
        <f t="shared" ref="BG9" si="41">DATE(BG7,BG8,1)</f>
        <v>44896</v>
      </c>
    </row>
    <row r="10" s="100" customFormat="1" ht="8.4" customHeight="1" spans="3:59">
      <c r="C10" s="116"/>
      <c r="D10" s="116"/>
      <c r="E10" s="116"/>
      <c r="F10" s="116"/>
      <c r="G10" s="117">
        <f>EOMONTH(DATE(YEAR($G$3)-1,12,1),0)</f>
        <v>44196</v>
      </c>
      <c r="H10" s="117">
        <f>EOMONTH(H9,0)</f>
        <v>43861</v>
      </c>
      <c r="I10" s="117">
        <f t="shared" ref="I10:S10" si="42">EOMONTH(I9,0)</f>
        <v>43890</v>
      </c>
      <c r="J10" s="117">
        <f t="shared" si="42"/>
        <v>43921</v>
      </c>
      <c r="K10" s="117">
        <f t="shared" si="42"/>
        <v>43951</v>
      </c>
      <c r="L10" s="117">
        <f t="shared" si="42"/>
        <v>43982</v>
      </c>
      <c r="M10" s="117">
        <f t="shared" si="42"/>
        <v>44012</v>
      </c>
      <c r="N10" s="117">
        <f t="shared" si="42"/>
        <v>44043</v>
      </c>
      <c r="O10" s="117">
        <f t="shared" si="42"/>
        <v>44074</v>
      </c>
      <c r="P10" s="117">
        <f t="shared" si="42"/>
        <v>44104</v>
      </c>
      <c r="Q10" s="117">
        <f t="shared" si="42"/>
        <v>44135</v>
      </c>
      <c r="R10" s="117">
        <f t="shared" si="42"/>
        <v>44165</v>
      </c>
      <c r="S10" s="117">
        <f t="shared" si="42"/>
        <v>44196</v>
      </c>
      <c r="T10" s="117">
        <f>EOMONTH(DATE(YEAR($G$3),12,1),0)</f>
        <v>44561</v>
      </c>
      <c r="U10" s="117">
        <f>EOMONTH(DATE(YEAR($G$3),MONTH(G3),1),0)</f>
        <v>44469</v>
      </c>
      <c r="V10" s="117">
        <f>EOMONTH(V9,0)</f>
        <v>44227</v>
      </c>
      <c r="W10" s="117">
        <f t="shared" ref="W10" si="43">EOMONTH(W9,0)</f>
        <v>44255</v>
      </c>
      <c r="X10" s="117">
        <f t="shared" ref="X10" si="44">EOMONTH(X9,0)</f>
        <v>44286</v>
      </c>
      <c r="Y10" s="117">
        <f t="shared" ref="Y10" si="45">EOMONTH(Y9,0)</f>
        <v>44316</v>
      </c>
      <c r="Z10" s="117">
        <f t="shared" ref="Z10" si="46">EOMONTH(Z9,0)</f>
        <v>44347</v>
      </c>
      <c r="AA10" s="117">
        <f t="shared" ref="AA10" si="47">EOMONTH(AA9,0)</f>
        <v>44377</v>
      </c>
      <c r="AB10" s="117">
        <f t="shared" ref="AB10" si="48">EOMONTH(AB9,0)</f>
        <v>44408</v>
      </c>
      <c r="AC10" s="117">
        <f t="shared" ref="AC10" si="49">EOMONTH(AC9,0)</f>
        <v>44439</v>
      </c>
      <c r="AD10" s="117">
        <f t="shared" ref="AD10" si="50">EOMONTH(AD9,0)</f>
        <v>44469</v>
      </c>
      <c r="AE10" s="117">
        <f t="shared" ref="AE10" si="51">EOMONTH(AE9,0)</f>
        <v>44500</v>
      </c>
      <c r="AF10" s="117">
        <f t="shared" ref="AF10" si="52">EOMONTH(AF9,0)</f>
        <v>44530</v>
      </c>
      <c r="AG10" s="117">
        <f t="shared" ref="AG10" si="53">EOMONTH(AG9,0)</f>
        <v>44561</v>
      </c>
      <c r="AH10" s="117">
        <f>EOMONTH(DATE(YEAR($G$3),12,1),0)</f>
        <v>44561</v>
      </c>
      <c r="AI10" s="117">
        <f>EOMONTH(AI9,0)</f>
        <v>44227</v>
      </c>
      <c r="AJ10" s="117">
        <f t="shared" ref="AJ10" si="54">EOMONTH(AJ9,0)</f>
        <v>44255</v>
      </c>
      <c r="AK10" s="117">
        <f t="shared" ref="AK10" si="55">EOMONTH(AK9,0)</f>
        <v>44286</v>
      </c>
      <c r="AL10" s="117">
        <f t="shared" ref="AL10" si="56">EOMONTH(AL9,0)</f>
        <v>44316</v>
      </c>
      <c r="AM10" s="117">
        <f t="shared" ref="AM10" si="57">EOMONTH(AM9,0)</f>
        <v>44347</v>
      </c>
      <c r="AN10" s="117">
        <f t="shared" ref="AN10" si="58">EOMONTH(AN9,0)</f>
        <v>44377</v>
      </c>
      <c r="AO10" s="117">
        <f t="shared" ref="AO10" si="59">EOMONTH(AO9,0)</f>
        <v>44408</v>
      </c>
      <c r="AP10" s="117">
        <f t="shared" ref="AP10" si="60">EOMONTH(AP9,0)</f>
        <v>44439</v>
      </c>
      <c r="AQ10" s="117">
        <f t="shared" ref="AQ10" si="61">EOMONTH(AQ9,0)</f>
        <v>44469</v>
      </c>
      <c r="AR10" s="117">
        <f t="shared" ref="AR10" si="62">EOMONTH(AR9,0)</f>
        <v>44500</v>
      </c>
      <c r="AS10" s="117">
        <f t="shared" ref="AS10" si="63">EOMONTH(AS9,0)</f>
        <v>44530</v>
      </c>
      <c r="AT10" s="117">
        <f t="shared" ref="AT10" si="64">EOMONTH(AT9,0)</f>
        <v>44561</v>
      </c>
      <c r="AU10" s="117">
        <f>EOMONTH(DATE(YEAR($G$3)+1,12,1),0)</f>
        <v>44926</v>
      </c>
      <c r="AV10" s="117">
        <f>EOMONTH(AV9,0)</f>
        <v>44592</v>
      </c>
      <c r="AW10" s="117">
        <f t="shared" ref="AW10" si="65">EOMONTH(AW9,0)</f>
        <v>44620</v>
      </c>
      <c r="AX10" s="117">
        <f t="shared" ref="AX10" si="66">EOMONTH(AX9,0)</f>
        <v>44651</v>
      </c>
      <c r="AY10" s="117">
        <f t="shared" ref="AY10" si="67">EOMONTH(AY9,0)</f>
        <v>44681</v>
      </c>
      <c r="AZ10" s="117">
        <f t="shared" ref="AZ10" si="68">EOMONTH(AZ9,0)</f>
        <v>44712</v>
      </c>
      <c r="BA10" s="117">
        <f t="shared" ref="BA10" si="69">EOMONTH(BA9,0)</f>
        <v>44742</v>
      </c>
      <c r="BB10" s="117">
        <f t="shared" ref="BB10" si="70">EOMONTH(BB9,0)</f>
        <v>44773</v>
      </c>
      <c r="BC10" s="117">
        <f t="shared" ref="BC10" si="71">EOMONTH(BC9,0)</f>
        <v>44804</v>
      </c>
      <c r="BD10" s="117">
        <f t="shared" ref="BD10" si="72">EOMONTH(BD9,0)</f>
        <v>44834</v>
      </c>
      <c r="BE10" s="117">
        <f t="shared" ref="BE10" si="73">EOMONTH(BE9,0)</f>
        <v>44865</v>
      </c>
      <c r="BF10" s="117">
        <f t="shared" ref="BF10" si="74">EOMONTH(BF9,0)</f>
        <v>44895</v>
      </c>
      <c r="BG10" s="117">
        <f t="shared" ref="BG10" si="75">EOMONTH(BG9,0)</f>
        <v>44926</v>
      </c>
    </row>
    <row r="11" ht="20.4" spans="2:2">
      <c r="B11" s="118" t="s">
        <v>77</v>
      </c>
    </row>
    <row r="12" s="101" customFormat="1" ht="19.2" customHeight="1" spans="2:59">
      <c r="B12" s="42" t="s">
        <v>76</v>
      </c>
      <c r="C12" s="119"/>
      <c r="D12" s="119"/>
      <c r="E12" s="119" t="s">
        <v>78</v>
      </c>
      <c r="F12" s="119" t="s">
        <v>78</v>
      </c>
      <c r="G12" s="120">
        <f>COUNTIFS(人员状况!$C:$C,$E12,人员状况!$D:$D,$F12,人员状况!$G:$G,"&lt;="&amp;G$10,人员状况!$H:$H,"&gt;="&amp;G$10+1)</f>
        <v>70</v>
      </c>
      <c r="H12" s="120">
        <f>COUNTIFS(人员状况!$C:$C,$E12,人员状况!$D:$D,$F12,人员状况!$G:$G,"&lt;="&amp;H$10,人员状况!$H:$H,"&gt;="&amp;H$10+1)</f>
        <v>71</v>
      </c>
      <c r="I12" s="120">
        <f>COUNTIFS(人员状况!$C:$C,$E12,人员状况!$D:$D,$F12,人员状况!$G:$G,"&lt;="&amp;I$10,人员状况!$H:$H,"&gt;="&amp;I$10+1)</f>
        <v>71</v>
      </c>
      <c r="J12" s="120">
        <f>COUNTIFS(人员状况!$C:$C,$E12,人员状况!$D:$D,$F12,人员状况!$G:$G,"&lt;="&amp;J$10,人员状况!$H:$H,"&gt;="&amp;J$10+1)</f>
        <v>71</v>
      </c>
      <c r="K12" s="120">
        <f>COUNTIFS(人员状况!$C:$C,$E12,人员状况!$D:$D,$F12,人员状况!$G:$G,"&lt;="&amp;K$10,人员状况!$H:$H,"&gt;="&amp;K$10+1)</f>
        <v>71</v>
      </c>
      <c r="L12" s="120">
        <f>COUNTIFS(人员状况!$C:$C,$E12,人员状况!$D:$D,$F12,人员状况!$G:$G,"&lt;="&amp;L$10,人员状况!$H:$H,"&gt;="&amp;L$10+1)</f>
        <v>71</v>
      </c>
      <c r="M12" s="120">
        <f>COUNTIFS(人员状况!$C:$C,$E12,人员状况!$D:$D,$F12,人员状况!$G:$G,"&lt;="&amp;M$10,人员状况!$H:$H,"&gt;="&amp;M$10+1)</f>
        <v>71</v>
      </c>
      <c r="N12" s="120">
        <f>COUNTIFS(人员状况!$C:$C,$E12,人员状况!$D:$D,$F12,人员状况!$G:$G,"&lt;="&amp;N$10,人员状况!$H:$H,"&gt;="&amp;N$10+1)</f>
        <v>71</v>
      </c>
      <c r="O12" s="120">
        <f>COUNTIFS(人员状况!$C:$C,$E12,人员状况!$D:$D,$F12,人员状况!$G:$G,"&lt;="&amp;O$10,人员状况!$H:$H,"&gt;="&amp;O$10+1)</f>
        <v>71</v>
      </c>
      <c r="P12" s="120">
        <f>COUNTIFS(人员状况!$C:$C,$E12,人员状况!$D:$D,$F12,人员状况!$G:$G,"&lt;="&amp;P$10,人员状况!$H:$H,"&gt;="&amp;P$10+1)</f>
        <v>71</v>
      </c>
      <c r="Q12" s="120">
        <f>COUNTIFS(人员状况!$C:$C,$E12,人员状况!$D:$D,$F12,人员状况!$G:$G,"&lt;="&amp;Q$10,人员状况!$H:$H,"&gt;="&amp;Q$10+1)</f>
        <v>71</v>
      </c>
      <c r="R12" s="120">
        <f>COUNTIFS(人员状况!$C:$C,$E12,人员状况!$D:$D,$F12,人员状况!$G:$G,"&lt;="&amp;R$10,人员状况!$H:$H,"&gt;="&amp;R$10+1)</f>
        <v>70</v>
      </c>
      <c r="S12" s="120">
        <f>COUNTIFS(人员状况!$C:$C,$E12,人员状况!$D:$D,$F12,人员状况!$G:$G,"&lt;="&amp;S$10,人员状况!$H:$H,"&gt;="&amp;S$10+1)</f>
        <v>70</v>
      </c>
      <c r="T12" s="124">
        <f>AT12</f>
        <v>68</v>
      </c>
      <c r="U12" s="120">
        <f>COUNTIFS(人员状况!$C:$C,$E12,人员状况!$D:$D,$F12,人员状况!$G:$G,"&lt;="&amp;U$10,人员状况!$H:$H,"&gt;="&amp;U$10+1)</f>
        <v>69</v>
      </c>
      <c r="V12" s="120">
        <f>IF(MONTH($G$3)&gt;=V$8,COUNTIFS(人员状况!$C:$C,$E12,人员状况!$D:$D,$F12,人员状况!$G:$G,"&lt;="&amp;V$10,人员状况!$H:$H,"&gt;="&amp;V$10+1),0)</f>
        <v>70</v>
      </c>
      <c r="W12" s="120">
        <f>IF(MONTH($G$3)&gt;=W$8,COUNTIFS(人员状况!$C:$C,$E12,人员状况!$D:$D,$F12,人员状况!$G:$G,"&lt;="&amp;W$10,人员状况!$H:$H,"&gt;="&amp;W$10+1),0)</f>
        <v>70</v>
      </c>
      <c r="X12" s="120">
        <f>IF(MONTH($G$3)&gt;=X$8,COUNTIFS(人员状况!$C:$C,$E12,人员状况!$D:$D,$F12,人员状况!$G:$G,"&lt;="&amp;X$10,人员状况!$H:$H,"&gt;="&amp;X$10+1),0)</f>
        <v>70</v>
      </c>
      <c r="Y12" s="120">
        <f>IF(MONTH($G$3)&gt;=Y$8,COUNTIFS(人员状况!$C:$C,$E12,人员状况!$D:$D,$F12,人员状况!$G:$G,"&lt;="&amp;Y$10,人员状况!$H:$H,"&gt;="&amp;Y$10+1),0)</f>
        <v>68</v>
      </c>
      <c r="Z12" s="120">
        <f>IF(MONTH($G$3)&gt;=Z$8,COUNTIFS(人员状况!$C:$C,$E12,人员状况!$D:$D,$F12,人员状况!$G:$G,"&lt;="&amp;Z$10,人员状况!$H:$H,"&gt;="&amp;Z$10+1),0)</f>
        <v>69</v>
      </c>
      <c r="AA12" s="120">
        <f>IF(MONTH($G$3)&gt;=AA$8,COUNTIFS(人员状况!$C:$C,$E12,人员状况!$D:$D,$F12,人员状况!$G:$G,"&lt;="&amp;AA$10,人员状况!$H:$H,"&gt;="&amp;AA$10+1),0)</f>
        <v>69</v>
      </c>
      <c r="AB12" s="120">
        <f>IF(MONTH($G$3)&gt;=AB$8,COUNTIFS(人员状况!$C:$C,$E12,人员状况!$D:$D,$F12,人员状况!$G:$G,"&lt;="&amp;AB$10,人员状况!$H:$H,"&gt;="&amp;AB$10+1),0)</f>
        <v>70</v>
      </c>
      <c r="AC12" s="120">
        <f>IF(MONTH($G$3)&gt;=AC$8,COUNTIFS(人员状况!$C:$C,$E12,人员状况!$D:$D,$F12,人员状况!$G:$G,"&lt;="&amp;AC$10,人员状况!$H:$H,"&gt;="&amp;AC$10+1),0)</f>
        <v>69</v>
      </c>
      <c r="AD12" s="120">
        <f>IF(MONTH($G$3)&gt;=AD$8,COUNTIFS(人员状况!$C:$C,$E12,人员状况!$D:$D,$F12,人员状况!$G:$G,"&lt;="&amp;AD$10,人员状况!$H:$H,"&gt;="&amp;AD$10+1),0)</f>
        <v>69</v>
      </c>
      <c r="AE12" s="120">
        <f>IF(MONTH($G$3)&gt;=AE$8,COUNTIFS(人员状况!$C:$C,$E12,人员状况!$D:$D,$F12,人员状况!$G:$G,"&lt;="&amp;AE$10,人员状况!$H:$H,"&gt;="&amp;AE$10+1),0)</f>
        <v>0</v>
      </c>
      <c r="AF12" s="120">
        <f>IF(MONTH($G$3)&gt;=AF$8,COUNTIFS(人员状况!$C:$C,$E12,人员状况!$D:$D,$F12,人员状况!$G:$G,"&lt;="&amp;AF$10,人员状况!$H:$H,"&gt;="&amp;AF$10+1),0)</f>
        <v>0</v>
      </c>
      <c r="AG12" s="120">
        <f>IF(MONTH($G$3)&gt;=AG$8,COUNTIFS(人员状况!$C:$C,$E12,人员状况!$D:$D,$F12,人员状况!$G:$G,"&lt;="&amp;AG$10,人员状况!$H:$H,"&gt;="&amp;AG$10+1),0)</f>
        <v>0</v>
      </c>
      <c r="AH12" s="120">
        <f>AT12</f>
        <v>68</v>
      </c>
      <c r="AI12" s="120">
        <f>IF(MONTH($G$3)&gt;=AI$8,0,S12+SUMIFS(预计变动!$F:$F,预计变动!$A:$A,$E12,预计变动!$B:$B,$F12,预计变动!$I:$I,"&gt;="&amp;AI$9,预计变动!$I:$I,"&lt;="&amp;AI$10))</f>
        <v>0</v>
      </c>
      <c r="AJ12" s="120">
        <f>IF(MONTH($G$3)&gt;=AJ$8,0,IF(V12=0,AI12,V12)+SUMIFS(预计变动!$F:$F,预计变动!$A:$A,$E12,预计变动!$B:$B,$F12,预计变动!$I:$I,"&gt;="&amp;AJ$9,预计变动!$I:$I,"&lt;="&amp;AJ$10))</f>
        <v>0</v>
      </c>
      <c r="AK12" s="120">
        <f>IF(MONTH($G$3)&gt;=AK$8,0,IF(W12=0,AJ12,W12)+SUMIFS(预计变动!$F:$F,预计变动!$A:$A,$E12,预计变动!$B:$B,$F12,预计变动!$I:$I,"&gt;="&amp;AK$9,预计变动!$I:$I,"&lt;="&amp;AK$10))</f>
        <v>0</v>
      </c>
      <c r="AL12" s="120">
        <f>IF(MONTH($G$3)&gt;=AL$8,0,IF(X12=0,AK12,X12)+SUMIFS(预计变动!$F:$F,预计变动!$A:$A,$E12,预计变动!$B:$B,$F12,预计变动!$I:$I,"&gt;="&amp;AL$9,预计变动!$I:$I,"&lt;="&amp;AL$10))</f>
        <v>0</v>
      </c>
      <c r="AM12" s="120">
        <f>IF(MONTH($G$3)&gt;=AM$8,0,IF(Y12=0,AL12,Y12)+SUMIFS(预计变动!$F:$F,预计变动!$A:$A,$E12,预计变动!$B:$B,$F12,预计变动!$I:$I,"&gt;="&amp;AM$9,预计变动!$I:$I,"&lt;="&amp;AM$10))</f>
        <v>0</v>
      </c>
      <c r="AN12" s="120">
        <f>IF(MONTH($G$3)&gt;=AN$8,0,IF(Z12=0,AM12,Z12)+SUMIFS(预计变动!$F:$F,预计变动!$A:$A,$E12,预计变动!$B:$B,$F12,预计变动!$I:$I,"&gt;="&amp;AN$9,预计变动!$I:$I,"&lt;="&amp;AN$10))</f>
        <v>0</v>
      </c>
      <c r="AO12" s="120">
        <f>IF(MONTH($G$3)&gt;=AO$8,0,IF(AA12=0,AN12,AA12)+SUMIFS(预计变动!$F:$F,预计变动!$A:$A,$E12,预计变动!$B:$B,$F12,预计变动!$I:$I,"&gt;="&amp;AO$9,预计变动!$I:$I,"&lt;="&amp;AO$10))</f>
        <v>0</v>
      </c>
      <c r="AP12" s="120">
        <f>IF(MONTH($G$3)&gt;=AP$8,0,IF(AB12=0,AO12,AB12)+SUMIFS(预计变动!$F:$F,预计变动!$A:$A,$E12,预计变动!$B:$B,$F12,预计变动!$I:$I,"&gt;="&amp;AP$9,预计变动!$I:$I,"&lt;="&amp;AP$10))</f>
        <v>0</v>
      </c>
      <c r="AQ12" s="120">
        <f>IF(MONTH($G$3)&gt;=AQ$8,0,IF(AC12=0,AP12,AC12)+SUMIFS(预计变动!$F:$F,预计变动!$A:$A,$E12,预计变动!$B:$B,$F12,预计变动!$I:$I,"&gt;="&amp;AQ$9,预计变动!$I:$I,"&lt;="&amp;AQ$10))</f>
        <v>0</v>
      </c>
      <c r="AR12" s="120">
        <f>IF(MONTH($G$3)&gt;AR$8,0,IF(AD12=0,AQ12,AD12)+SUMIFS(预计变动!$F:$F,预计变动!$A:$A,$E12,预计变动!$B:$B,$F12,预计变动!$I:$I,"&gt;="&amp;AR$9,预计变动!$I:$I,"&lt;="&amp;AR$10))</f>
        <v>69</v>
      </c>
      <c r="AS12" s="120">
        <f>IF(MONTH($G$3)&gt;AS$8,0,IF(AE12=0,AR12,AE12)+SUMIFS(预计变动!$F:$F,预计变动!$A:$A,$E12,预计变动!$B:$B,$F12,预计变动!$I:$I,"&gt;="&amp;AS$9,预计变动!$I:$I,"&lt;="&amp;AS$10))</f>
        <v>70</v>
      </c>
      <c r="AT12" s="120">
        <f>IF(MONTH($G$3)&gt;AT$8,0,IF(AF12=0,AS12,AF12)+SUMIFS(预计变动!$F:$F,预计变动!$A:$A,$E12,预计变动!$B:$B,$F12,预计变动!$I:$I,"&gt;="&amp;AT$9,预计变动!$I:$I,"&lt;="&amp;AT$10))</f>
        <v>68</v>
      </c>
      <c r="AU12" s="120">
        <f>BG12</f>
        <v>74</v>
      </c>
      <c r="AV12" s="120">
        <f>AT12+SUMIFS(预计变动!$F:$F,预计变动!$A:$A,$E12,预计变动!$B:$B,$F12,预计变动!$I:$I,"&gt;="&amp;AV$9,预计变动!$I:$I,"&lt;="&amp;AV$10)</f>
        <v>68</v>
      </c>
      <c r="AW12" s="120">
        <f>AV12+SUMIFS(预计变动!$F:$F,预计变动!$A:$A,$E12,预计变动!$B:$B,$F12,预计变动!$I:$I,"&gt;="&amp;AW$9,预计变动!$I:$I,"&lt;="&amp;AW$10)</f>
        <v>68</v>
      </c>
      <c r="AX12" s="120">
        <f>AW12+SUMIFS(预计变动!$F:$F,预计变动!$A:$A,$E12,预计变动!$B:$B,$F12,预计变动!$I:$I,"&gt;="&amp;AX$9,预计变动!$I:$I,"&lt;="&amp;AX$10)</f>
        <v>73</v>
      </c>
      <c r="AY12" s="120">
        <f>AX12+SUMIFS(预计变动!$F:$F,预计变动!$A:$A,$E12,预计变动!$B:$B,$F12,预计变动!$I:$I,"&gt;="&amp;AY$9,预计变动!$I:$I,"&lt;="&amp;AY$10)</f>
        <v>73</v>
      </c>
      <c r="AZ12" s="120">
        <f>AY12+SUMIFS(预计变动!$F:$F,预计变动!$A:$A,$E12,预计变动!$B:$B,$F12,预计变动!$I:$I,"&gt;="&amp;AZ$9,预计变动!$I:$I,"&lt;="&amp;AZ$10)</f>
        <v>74</v>
      </c>
      <c r="BA12" s="120">
        <f>AZ12+SUMIFS(预计变动!$F:$F,预计变动!$A:$A,$E12,预计变动!$B:$B,$F12,预计变动!$I:$I,"&gt;="&amp;BA$9,预计变动!$I:$I,"&lt;="&amp;BA$10)</f>
        <v>74</v>
      </c>
      <c r="BB12" s="120">
        <f>BA12+SUMIFS(预计变动!$F:$F,预计变动!$A:$A,$E12,预计变动!$B:$B,$F12,预计变动!$I:$I,"&gt;="&amp;BB$9,预计变动!$I:$I,"&lt;="&amp;BB$10)</f>
        <v>74</v>
      </c>
      <c r="BC12" s="120">
        <f>BB12+SUMIFS(预计变动!$F:$F,预计变动!$A:$A,$E12,预计变动!$B:$B,$F12,预计变动!$I:$I,"&gt;="&amp;BC$9,预计变动!$I:$I,"&lt;="&amp;BC$10)</f>
        <v>74</v>
      </c>
      <c r="BD12" s="120">
        <f>BC12+SUMIFS(预计变动!$F:$F,预计变动!$A:$A,$E12,预计变动!$B:$B,$F12,预计变动!$I:$I,"&gt;="&amp;BD$9,预计变动!$I:$I,"&lt;="&amp;BD$10)</f>
        <v>74</v>
      </c>
      <c r="BE12" s="120">
        <f>BD12+SUMIFS(预计变动!$F:$F,预计变动!$A:$A,$E12,预计变动!$B:$B,$F12,预计变动!$I:$I,"&gt;="&amp;BE$9,预计变动!$I:$I,"&lt;="&amp;BE$10)</f>
        <v>74</v>
      </c>
      <c r="BF12" s="120">
        <f>BE12+SUMIFS(预计变动!$F:$F,预计变动!$A:$A,$E12,预计变动!$B:$B,$F12,预计变动!$I:$I,"&gt;="&amp;BF$9,预计变动!$I:$I,"&lt;="&amp;BF$10)</f>
        <v>74</v>
      </c>
      <c r="BG12" s="120">
        <f>BF12+SUMIFS(预计变动!$F:$F,预计变动!$A:$A,$E12,预计变动!$B:$B,$F12,预计变动!$I:$I,"&gt;="&amp;BG$9,预计变动!$I:$I,"&lt;="&amp;BG$10)</f>
        <v>74</v>
      </c>
    </row>
    <row r="13" ht="16.2" spans="3:59">
      <c r="C13" s="42" t="s">
        <v>79</v>
      </c>
      <c r="D13" s="42"/>
      <c r="E13" s="116" t="str">
        <f>IF(C13&lt;&gt;"",C13,#REF!)</f>
        <v>流程中心</v>
      </c>
      <c r="F13" s="116" t="str">
        <f>IF(D13&lt;&gt;"",D13,"*")</f>
        <v>*</v>
      </c>
      <c r="G13" s="121">
        <f>COUNTIFS(人员状况!$C:$C,$E13,人员状况!$D:$D,$F13,人员状况!$G:$G,"&lt;="&amp;G$10,人员状况!$H:$H,"&gt;="&amp;G$10+1)</f>
        <v>34</v>
      </c>
      <c r="H13" s="121">
        <f>COUNTIFS(人员状况!$C:$C,$E13,人员状况!$D:$D,$F13,人员状况!$G:$G,"&lt;="&amp;H$10,人员状况!$H:$H,"&gt;="&amp;H$10+1)</f>
        <v>35</v>
      </c>
      <c r="I13" s="121">
        <f>COUNTIFS(人员状况!$C:$C,$E13,人员状况!$D:$D,$F13,人员状况!$G:$G,"&lt;="&amp;I$10,人员状况!$H:$H,"&gt;="&amp;I$10+1)</f>
        <v>35</v>
      </c>
      <c r="J13" s="121">
        <f>COUNTIFS(人员状况!$C:$C,$E13,人员状况!$D:$D,$F13,人员状况!$G:$G,"&lt;="&amp;J$10,人员状况!$H:$H,"&gt;="&amp;J$10+1)</f>
        <v>35</v>
      </c>
      <c r="K13" s="121">
        <f>COUNTIFS(人员状况!$C:$C,$E13,人员状况!$D:$D,$F13,人员状况!$G:$G,"&lt;="&amp;K$10,人员状况!$H:$H,"&gt;="&amp;K$10+1)</f>
        <v>35</v>
      </c>
      <c r="L13" s="121">
        <f>COUNTIFS(人员状况!$C:$C,$E13,人员状况!$D:$D,$F13,人员状况!$G:$G,"&lt;="&amp;L$10,人员状况!$H:$H,"&gt;="&amp;L$10+1)</f>
        <v>35</v>
      </c>
      <c r="M13" s="121">
        <f>COUNTIFS(人员状况!$C:$C,$E13,人员状况!$D:$D,$F13,人员状况!$G:$G,"&lt;="&amp;M$10,人员状况!$H:$H,"&gt;="&amp;M$10+1)</f>
        <v>35</v>
      </c>
      <c r="N13" s="121">
        <f>COUNTIFS(人员状况!$C:$C,$E13,人员状况!$D:$D,$F13,人员状况!$G:$G,"&lt;="&amp;N$10,人员状况!$H:$H,"&gt;="&amp;N$10+1)</f>
        <v>35</v>
      </c>
      <c r="O13" s="121">
        <f>COUNTIFS(人员状况!$C:$C,$E13,人员状况!$D:$D,$F13,人员状况!$G:$G,"&lt;="&amp;O$10,人员状况!$H:$H,"&gt;="&amp;O$10+1)</f>
        <v>35</v>
      </c>
      <c r="P13" s="121">
        <f>COUNTIFS(人员状况!$C:$C,$E13,人员状况!$D:$D,$F13,人员状况!$G:$G,"&lt;="&amp;P$10,人员状况!$H:$H,"&gt;="&amp;P$10+1)</f>
        <v>35</v>
      </c>
      <c r="Q13" s="121">
        <f>COUNTIFS(人员状况!$C:$C,$E13,人员状况!$D:$D,$F13,人员状况!$G:$G,"&lt;="&amp;Q$10,人员状况!$H:$H,"&gt;="&amp;Q$10+1)</f>
        <v>35</v>
      </c>
      <c r="R13" s="121">
        <f>COUNTIFS(人员状况!$C:$C,$E13,人员状况!$D:$D,$F13,人员状况!$G:$G,"&lt;="&amp;R$10,人员状况!$H:$H,"&gt;="&amp;R$10+1)</f>
        <v>34</v>
      </c>
      <c r="S13" s="121">
        <f>COUNTIFS(人员状况!$C:$C,$E13,人员状况!$D:$D,$F13,人员状况!$G:$G,"&lt;="&amp;S$10,人员状况!$H:$H,"&gt;="&amp;S$10+1)</f>
        <v>34</v>
      </c>
      <c r="T13" s="125">
        <f t="shared" ref="T13:T24" si="76">AT13</f>
        <v>31</v>
      </c>
      <c r="U13" s="121">
        <f>COUNTIFS(人员状况!$C:$C,$E13,人员状况!$D:$D,$F13,人员状况!$G:$G,"&lt;="&amp;U$10,人员状况!$H:$H,"&gt;="&amp;U$10+1)</f>
        <v>32</v>
      </c>
      <c r="V13" s="121">
        <f>IF(MONTH($G$3)&gt;=V$8,COUNTIFS(人员状况!$C:$C,$E13,人员状况!$D:$D,$F13,人员状况!$G:$G,"&lt;="&amp;V$10,人员状况!$H:$H,"&gt;="&amp;V$10+1),0)</f>
        <v>34</v>
      </c>
      <c r="W13" s="121">
        <f>IF(MONTH($G$3)&gt;=W$8,COUNTIFS(人员状况!$C:$C,$E13,人员状况!$D:$D,$F13,人员状况!$G:$G,"&lt;="&amp;W$10,人员状况!$H:$H,"&gt;="&amp;W$10+1),0)</f>
        <v>34</v>
      </c>
      <c r="X13" s="121">
        <f>IF(MONTH($G$3)&gt;=X$8,COUNTIFS(人员状况!$C:$C,$E13,人员状况!$D:$D,$F13,人员状况!$G:$G,"&lt;="&amp;X$10,人员状况!$H:$H,"&gt;="&amp;X$10+1),0)</f>
        <v>34</v>
      </c>
      <c r="Y13" s="121">
        <f>IF(MONTH($G$3)&gt;=Y$8,COUNTIFS(人员状况!$C:$C,$E13,人员状况!$D:$D,$F13,人员状况!$G:$G,"&lt;="&amp;Y$10,人员状况!$H:$H,"&gt;="&amp;Y$10+1),0)</f>
        <v>32</v>
      </c>
      <c r="Z13" s="121">
        <f>IF(MONTH($G$3)&gt;=Z$8,COUNTIFS(人员状况!$C:$C,$E13,人员状况!$D:$D,$F13,人员状况!$G:$G,"&lt;="&amp;Z$10,人员状况!$H:$H,"&gt;="&amp;Z$10+1),0)</f>
        <v>33</v>
      </c>
      <c r="AA13" s="121">
        <f>IF(MONTH($G$3)&gt;=AA$8,COUNTIFS(人员状况!$C:$C,$E13,人员状况!$D:$D,$F13,人员状况!$G:$G,"&lt;="&amp;AA$10,人员状况!$H:$H,"&gt;="&amp;AA$10+1),0)</f>
        <v>33</v>
      </c>
      <c r="AB13" s="121">
        <f>IF(MONTH($G$3)&gt;=AB$8,COUNTIFS(人员状况!$C:$C,$E13,人员状况!$D:$D,$F13,人员状况!$G:$G,"&lt;="&amp;AB$10,人员状况!$H:$H,"&gt;="&amp;AB$10+1),0)</f>
        <v>33</v>
      </c>
      <c r="AC13" s="121">
        <f>IF(MONTH($G$3)&gt;=AC$8,COUNTIFS(人员状况!$C:$C,$E13,人员状况!$D:$D,$F13,人员状况!$G:$G,"&lt;="&amp;AC$10,人员状况!$H:$H,"&gt;="&amp;AC$10+1),0)</f>
        <v>32</v>
      </c>
      <c r="AD13" s="121">
        <f>IF(MONTH($G$3)&gt;=AD$8,COUNTIFS(人员状况!$C:$C,$E13,人员状况!$D:$D,$F13,人员状况!$G:$G,"&lt;="&amp;AD$10,人员状况!$H:$H,"&gt;="&amp;AD$10+1),0)</f>
        <v>32</v>
      </c>
      <c r="AE13" s="121">
        <f>IF(MONTH($G$3)&gt;=AE$8,COUNTIFS(人员状况!$C:$C,$E13,人员状况!$D:$D,$F13,人员状况!$G:$G,"&lt;="&amp;AE$10,人员状况!$H:$H,"&gt;="&amp;AE$10+1),0)</f>
        <v>0</v>
      </c>
      <c r="AF13" s="121">
        <f>IF(MONTH($G$3)&gt;=AF$8,COUNTIFS(人员状况!$C:$C,$E13,人员状况!$D:$D,$F13,人员状况!$G:$G,"&lt;="&amp;AF$10,人员状况!$H:$H,"&gt;="&amp;AF$10+1),0)</f>
        <v>0</v>
      </c>
      <c r="AG13" s="121">
        <f>IF(MONTH($G$3)&gt;=AG$8,COUNTIFS(人员状况!$C:$C,$E13,人员状况!$D:$D,$F13,人员状况!$G:$G,"&lt;="&amp;AG$10,人员状况!$H:$H,"&gt;="&amp;AG$10+1),0)</f>
        <v>0</v>
      </c>
      <c r="AH13" s="121">
        <f t="shared" ref="AH13:AH24" si="77">AT13</f>
        <v>31</v>
      </c>
      <c r="AI13" s="121">
        <f>IF(MONTH($G$3)&gt;=AI$8,0,S13+SUMIFS(预计变动!$F:$F,预计变动!$A:$A,$E13,预计变动!$B:$B,$F13,预计变动!$I:$I,"&gt;="&amp;AI$9,预计变动!$I:$I,"&lt;="&amp;AI$10))</f>
        <v>0</v>
      </c>
      <c r="AJ13" s="121">
        <f>IF(MONTH($G$3)&gt;=AJ$8,0,IF(V13=0,AI13,V13)+SUMIFS(预计变动!$F:$F,预计变动!$A:$A,$E13,预计变动!$B:$B,$F13,预计变动!$I:$I,"&gt;="&amp;AJ$9,预计变动!$I:$I,"&lt;="&amp;AJ$10))</f>
        <v>0</v>
      </c>
      <c r="AK13" s="121">
        <f>IF(MONTH($G$3)&gt;=AK$8,0,IF(W13=0,AJ13,W13)+SUMIFS(预计变动!$F:$F,预计变动!$A:$A,$E13,预计变动!$B:$B,$F13,预计变动!$I:$I,"&gt;="&amp;AK$9,预计变动!$I:$I,"&lt;="&amp;AK$10))</f>
        <v>0</v>
      </c>
      <c r="AL13" s="121">
        <f>IF(MONTH($G$3)&gt;=AL$8,0,IF(X13=0,AK13,X13)+SUMIFS(预计变动!$F:$F,预计变动!$A:$A,$E13,预计变动!$B:$B,$F13,预计变动!$I:$I,"&gt;="&amp;AL$9,预计变动!$I:$I,"&lt;="&amp;AL$10))</f>
        <v>0</v>
      </c>
      <c r="AM13" s="121">
        <f>IF(MONTH($G$3)&gt;=AM$8,0,IF(Y13=0,AL13,Y13)+SUMIFS(预计变动!$F:$F,预计变动!$A:$A,$E13,预计变动!$B:$B,$F13,预计变动!$I:$I,"&gt;="&amp;AM$9,预计变动!$I:$I,"&lt;="&amp;AM$10))</f>
        <v>0</v>
      </c>
      <c r="AN13" s="121">
        <f>IF(MONTH($G$3)&gt;=AN$8,0,IF(Z13=0,AM13,Z13)+SUMIFS(预计变动!$F:$F,预计变动!$A:$A,$E13,预计变动!$B:$B,$F13,预计变动!$I:$I,"&gt;="&amp;AN$9,预计变动!$I:$I,"&lt;="&amp;AN$10))</f>
        <v>0</v>
      </c>
      <c r="AO13" s="121">
        <f>IF(MONTH($G$3)&gt;=AO$8,0,IF(AA13=0,AN13,AA13)+SUMIFS(预计变动!$F:$F,预计变动!$A:$A,$E13,预计变动!$B:$B,$F13,预计变动!$I:$I,"&gt;="&amp;AO$9,预计变动!$I:$I,"&lt;="&amp;AO$10))</f>
        <v>0</v>
      </c>
      <c r="AP13" s="121">
        <f>IF(MONTH($G$3)&gt;=AP$8,0,IF(AB13=0,AO13,AB13)+SUMIFS(预计变动!$F:$F,预计变动!$A:$A,$E13,预计变动!$B:$B,$F13,预计变动!$I:$I,"&gt;="&amp;AP$9,预计变动!$I:$I,"&lt;="&amp;AP$10))</f>
        <v>0</v>
      </c>
      <c r="AQ13" s="121">
        <f>IF(MONTH($G$3)&gt;=AQ$8,0,IF(AC13=0,AP13,AC13)+SUMIFS(预计变动!$F:$F,预计变动!$A:$A,$E13,预计变动!$B:$B,$F13,预计变动!$I:$I,"&gt;="&amp;AQ$9,预计变动!$I:$I,"&lt;="&amp;AQ$10))</f>
        <v>0</v>
      </c>
      <c r="AR13" s="121">
        <f>IF(MONTH($G$3)&gt;AR$8,0,IF(AD13=0,AQ13,AD13)+SUMIFS(预计变动!$F:$F,预计变动!$A:$A,$E13,预计变动!$B:$B,$F13,预计变动!$I:$I,"&gt;="&amp;AR$9,预计变动!$I:$I,"&lt;="&amp;AR$10))</f>
        <v>32</v>
      </c>
      <c r="AS13" s="121">
        <f>IF(MONTH($G$3)&gt;AS$8,0,IF(AE13=0,AR13,AE13)+SUMIFS(预计变动!$F:$F,预计变动!$A:$A,$E13,预计变动!$B:$B,$F13,预计变动!$I:$I,"&gt;="&amp;AS$9,预计变动!$I:$I,"&lt;="&amp;AS$10))</f>
        <v>33</v>
      </c>
      <c r="AT13" s="121">
        <f>IF(MONTH($G$3)&gt;AT$8,0,IF(AF13=0,AS13,AF13)+SUMIFS(预计变动!$F:$F,预计变动!$A:$A,$E13,预计变动!$B:$B,$F13,预计变动!$I:$I,"&gt;="&amp;AT$9,预计变动!$I:$I,"&lt;="&amp;AT$10))</f>
        <v>31</v>
      </c>
      <c r="AU13" s="121">
        <f t="shared" ref="AU13:AU24" si="78">BG13</f>
        <v>37</v>
      </c>
      <c r="AV13" s="121">
        <f>AT13+SUMIFS(预计变动!$F:$F,预计变动!$A:$A,$E13,预计变动!$B:$B,$F13,预计变动!$I:$I,"&gt;="&amp;AV$9,预计变动!$I:$I,"&lt;="&amp;AV$10)</f>
        <v>31</v>
      </c>
      <c r="AW13" s="121">
        <f>AV13+SUMIFS(预计变动!$F:$F,预计变动!$A:$A,$E13,预计变动!$B:$B,$F13,预计变动!$I:$I,"&gt;="&amp;AW$9,预计变动!$I:$I,"&lt;="&amp;AW$10)</f>
        <v>31</v>
      </c>
      <c r="AX13" s="121">
        <f>AW13+SUMIFS(预计变动!$F:$F,预计变动!$A:$A,$E13,预计变动!$B:$B,$F13,预计变动!$I:$I,"&gt;="&amp;AX$9,预计变动!$I:$I,"&lt;="&amp;AX$10)</f>
        <v>36</v>
      </c>
      <c r="AY13" s="121">
        <f>AX13+SUMIFS(预计变动!$F:$F,预计变动!$A:$A,$E13,预计变动!$B:$B,$F13,预计变动!$I:$I,"&gt;="&amp;AY$9,预计变动!$I:$I,"&lt;="&amp;AY$10)</f>
        <v>36</v>
      </c>
      <c r="AZ13" s="121">
        <f>AY13+SUMIFS(预计变动!$F:$F,预计变动!$A:$A,$E13,预计变动!$B:$B,$F13,预计变动!$I:$I,"&gt;="&amp;AZ$9,预计变动!$I:$I,"&lt;="&amp;AZ$10)</f>
        <v>37</v>
      </c>
      <c r="BA13" s="121">
        <f>AZ13+SUMIFS(预计变动!$F:$F,预计变动!$A:$A,$E13,预计变动!$B:$B,$F13,预计变动!$I:$I,"&gt;="&amp;BA$9,预计变动!$I:$I,"&lt;="&amp;BA$10)</f>
        <v>37</v>
      </c>
      <c r="BB13" s="121">
        <f>BA13+SUMIFS(预计变动!$F:$F,预计变动!$A:$A,$E13,预计变动!$B:$B,$F13,预计变动!$I:$I,"&gt;="&amp;BB$9,预计变动!$I:$I,"&lt;="&amp;BB$10)</f>
        <v>37</v>
      </c>
      <c r="BC13" s="121">
        <f>BB13+SUMIFS(预计变动!$F:$F,预计变动!$A:$A,$E13,预计变动!$B:$B,$F13,预计变动!$I:$I,"&gt;="&amp;BC$9,预计变动!$I:$I,"&lt;="&amp;BC$10)</f>
        <v>37</v>
      </c>
      <c r="BD13" s="121">
        <f>BC13+SUMIFS(预计变动!$F:$F,预计变动!$A:$A,$E13,预计变动!$B:$B,$F13,预计变动!$I:$I,"&gt;="&amp;BD$9,预计变动!$I:$I,"&lt;="&amp;BD$10)</f>
        <v>37</v>
      </c>
      <c r="BE13" s="121">
        <f>BD13+SUMIFS(预计变动!$F:$F,预计变动!$A:$A,$E13,预计变动!$B:$B,$F13,预计变动!$I:$I,"&gt;="&amp;BE$9,预计变动!$I:$I,"&lt;="&amp;BE$10)</f>
        <v>37</v>
      </c>
      <c r="BF13" s="121">
        <f>BE13+SUMIFS(预计变动!$F:$F,预计变动!$A:$A,$E13,预计变动!$B:$B,$F13,预计变动!$I:$I,"&gt;="&amp;BF$9,预计变动!$I:$I,"&lt;="&amp;BF$10)</f>
        <v>37</v>
      </c>
      <c r="BG13" s="121">
        <f>BF13+SUMIFS(预计变动!$F:$F,预计变动!$A:$A,$E13,预计变动!$B:$B,$F13,预计变动!$I:$I,"&gt;="&amp;BG$9,预计变动!$I:$I,"&lt;="&amp;BG$10)</f>
        <v>37</v>
      </c>
    </row>
    <row r="14" ht="16.2" spans="3:59">
      <c r="C14" s="42"/>
      <c r="D14" s="42" t="s">
        <v>80</v>
      </c>
      <c r="E14" s="116" t="str">
        <f t="shared" ref="E14:E24" si="79">IF(C14&lt;&gt;"",C14,E13)</f>
        <v>流程中心</v>
      </c>
      <c r="F14" s="116" t="str">
        <f t="shared" ref="F14:F24" si="80">IF(D14&lt;&gt;"",D14,"*")</f>
        <v>销售中心</v>
      </c>
      <c r="G14" s="121">
        <f>COUNTIFS(人员状况!$C:$C,$E14,人员状况!$D:$D,$F14,人员状况!$G:$G,"&lt;="&amp;G$10,人员状况!$H:$H,"&gt;="&amp;G$10+1)</f>
        <v>13</v>
      </c>
      <c r="H14" s="121">
        <f>COUNTIFS(人员状况!$C:$C,$E14,人员状况!$D:$D,$F14,人员状况!$G:$G,"&lt;="&amp;H$10,人员状况!$H:$H,"&gt;="&amp;H$10+1)</f>
        <v>13</v>
      </c>
      <c r="I14" s="121">
        <f>COUNTIFS(人员状况!$C:$C,$E14,人员状况!$D:$D,$F14,人员状况!$G:$G,"&lt;="&amp;I$10,人员状况!$H:$H,"&gt;="&amp;I$10+1)</f>
        <v>13</v>
      </c>
      <c r="J14" s="121">
        <f>COUNTIFS(人员状况!$C:$C,$E14,人员状况!$D:$D,$F14,人员状况!$G:$G,"&lt;="&amp;J$10,人员状况!$H:$H,"&gt;="&amp;J$10+1)</f>
        <v>13</v>
      </c>
      <c r="K14" s="121">
        <f>COUNTIFS(人员状况!$C:$C,$E14,人员状况!$D:$D,$F14,人员状况!$G:$G,"&lt;="&amp;K$10,人员状况!$H:$H,"&gt;="&amp;K$10+1)</f>
        <v>13</v>
      </c>
      <c r="L14" s="121">
        <f>COUNTIFS(人员状况!$C:$C,$E14,人员状况!$D:$D,$F14,人员状况!$G:$G,"&lt;="&amp;L$10,人员状况!$H:$H,"&gt;="&amp;L$10+1)</f>
        <v>13</v>
      </c>
      <c r="M14" s="121">
        <f>COUNTIFS(人员状况!$C:$C,$E14,人员状况!$D:$D,$F14,人员状况!$G:$G,"&lt;="&amp;M$10,人员状况!$H:$H,"&gt;="&amp;M$10+1)</f>
        <v>13</v>
      </c>
      <c r="N14" s="121">
        <f>COUNTIFS(人员状况!$C:$C,$E14,人员状况!$D:$D,$F14,人员状况!$G:$G,"&lt;="&amp;N$10,人员状况!$H:$H,"&gt;="&amp;N$10+1)</f>
        <v>13</v>
      </c>
      <c r="O14" s="121">
        <f>COUNTIFS(人员状况!$C:$C,$E14,人员状况!$D:$D,$F14,人员状况!$G:$G,"&lt;="&amp;O$10,人员状况!$H:$H,"&gt;="&amp;O$10+1)</f>
        <v>13</v>
      </c>
      <c r="P14" s="121">
        <f>COUNTIFS(人员状况!$C:$C,$E14,人员状况!$D:$D,$F14,人员状况!$G:$G,"&lt;="&amp;P$10,人员状况!$H:$H,"&gt;="&amp;P$10+1)</f>
        <v>13</v>
      </c>
      <c r="Q14" s="121">
        <f>COUNTIFS(人员状况!$C:$C,$E14,人员状况!$D:$D,$F14,人员状况!$G:$G,"&lt;="&amp;Q$10,人员状况!$H:$H,"&gt;="&amp;Q$10+1)</f>
        <v>13</v>
      </c>
      <c r="R14" s="121">
        <f>COUNTIFS(人员状况!$C:$C,$E14,人员状况!$D:$D,$F14,人员状况!$G:$G,"&lt;="&amp;R$10,人员状况!$H:$H,"&gt;="&amp;R$10+1)</f>
        <v>13</v>
      </c>
      <c r="S14" s="121">
        <f>COUNTIFS(人员状况!$C:$C,$E14,人员状况!$D:$D,$F14,人员状况!$G:$G,"&lt;="&amp;S$10,人员状况!$H:$H,"&gt;="&amp;S$10+1)</f>
        <v>13</v>
      </c>
      <c r="T14" s="125">
        <f t="shared" si="76"/>
        <v>13</v>
      </c>
      <c r="U14" s="121">
        <f>COUNTIFS(人员状况!$C:$C,$E14,人员状况!$D:$D,$F14,人员状况!$G:$G,"&lt;="&amp;U$10,人员状况!$H:$H,"&gt;="&amp;U$10+1)</f>
        <v>13</v>
      </c>
      <c r="V14" s="121">
        <f>IF(MONTH($G$3)&gt;=V$8,COUNTIFS(人员状况!$C:$C,$E14,人员状况!$D:$D,$F14,人员状况!$G:$G,"&lt;="&amp;V$10,人员状况!$H:$H,"&gt;="&amp;V$10+1),0)</f>
        <v>13</v>
      </c>
      <c r="W14" s="121">
        <f>IF(MONTH($G$3)&gt;=W$8,COUNTIFS(人员状况!$C:$C,$E14,人员状况!$D:$D,$F14,人员状况!$G:$G,"&lt;="&amp;W$10,人员状况!$H:$H,"&gt;="&amp;W$10+1),0)</f>
        <v>13</v>
      </c>
      <c r="X14" s="121">
        <f>IF(MONTH($G$3)&gt;=X$8,COUNTIFS(人员状况!$C:$C,$E14,人员状况!$D:$D,$F14,人员状况!$G:$G,"&lt;="&amp;X$10,人员状况!$H:$H,"&gt;="&amp;X$10+1),0)</f>
        <v>13</v>
      </c>
      <c r="Y14" s="121">
        <f>IF(MONTH($G$3)&gt;=Y$8,COUNTIFS(人员状况!$C:$C,$E14,人员状况!$D:$D,$F14,人员状况!$G:$G,"&lt;="&amp;Y$10,人员状况!$H:$H,"&gt;="&amp;Y$10+1),0)</f>
        <v>13</v>
      </c>
      <c r="Z14" s="121">
        <f>IF(MONTH($G$3)&gt;=Z$8,COUNTIFS(人员状况!$C:$C,$E14,人员状况!$D:$D,$F14,人员状况!$G:$G,"&lt;="&amp;Z$10,人员状况!$H:$H,"&gt;="&amp;Z$10+1),0)</f>
        <v>14</v>
      </c>
      <c r="AA14" s="121">
        <f>IF(MONTH($G$3)&gt;=AA$8,COUNTIFS(人员状况!$C:$C,$E14,人员状况!$D:$D,$F14,人员状况!$G:$G,"&lt;="&amp;AA$10,人员状况!$H:$H,"&gt;="&amp;AA$10+1),0)</f>
        <v>14</v>
      </c>
      <c r="AB14" s="121">
        <f>IF(MONTH($G$3)&gt;=AB$8,COUNTIFS(人员状况!$C:$C,$E14,人员状况!$D:$D,$F14,人员状况!$G:$G,"&lt;="&amp;AB$10,人员状况!$H:$H,"&gt;="&amp;AB$10+1),0)</f>
        <v>14</v>
      </c>
      <c r="AC14" s="121">
        <f>IF(MONTH($G$3)&gt;=AC$8,COUNTIFS(人员状况!$C:$C,$E14,人员状况!$D:$D,$F14,人员状况!$G:$G,"&lt;="&amp;AC$10,人员状况!$H:$H,"&gt;="&amp;AC$10+1),0)</f>
        <v>13</v>
      </c>
      <c r="AD14" s="121">
        <f>IF(MONTH($G$3)&gt;=AD$8,COUNTIFS(人员状况!$C:$C,$E14,人员状况!$D:$D,$F14,人员状况!$G:$G,"&lt;="&amp;AD$10,人员状况!$H:$H,"&gt;="&amp;AD$10+1),0)</f>
        <v>13</v>
      </c>
      <c r="AE14" s="121">
        <f>IF(MONTH($G$3)&gt;=AE$8,COUNTIFS(人员状况!$C:$C,$E14,人员状况!$D:$D,$F14,人员状况!$G:$G,"&lt;="&amp;AE$10,人员状况!$H:$H,"&gt;="&amp;AE$10+1),0)</f>
        <v>0</v>
      </c>
      <c r="AF14" s="121">
        <f>IF(MONTH($G$3)&gt;=AF$8,COUNTIFS(人员状况!$C:$C,$E14,人员状况!$D:$D,$F14,人员状况!$G:$G,"&lt;="&amp;AF$10,人员状况!$H:$H,"&gt;="&amp;AF$10+1),0)</f>
        <v>0</v>
      </c>
      <c r="AG14" s="121">
        <f>IF(MONTH($G$3)&gt;=AG$8,COUNTIFS(人员状况!$C:$C,$E14,人员状况!$D:$D,$F14,人员状况!$G:$G,"&lt;="&amp;AG$10,人员状况!$H:$H,"&gt;="&amp;AG$10+1),0)</f>
        <v>0</v>
      </c>
      <c r="AH14" s="121">
        <f t="shared" si="77"/>
        <v>13</v>
      </c>
      <c r="AI14" s="121">
        <f>IF(MONTH($G$3)&gt;=AI$8,0,S14+SUMIFS(预计变动!$F:$F,预计变动!$A:$A,$E14,预计变动!$B:$B,$F14,预计变动!$I:$I,"&gt;="&amp;AI$9,预计变动!$I:$I,"&lt;="&amp;AI$10))</f>
        <v>0</v>
      </c>
      <c r="AJ14" s="121">
        <f>IF(MONTH($G$3)&gt;=AJ$8,0,IF(V14=0,AI14,V14)+SUMIFS(预计变动!$F:$F,预计变动!$A:$A,$E14,预计变动!$B:$B,$F14,预计变动!$I:$I,"&gt;="&amp;AJ$9,预计变动!$I:$I,"&lt;="&amp;AJ$10))</f>
        <v>0</v>
      </c>
      <c r="AK14" s="121">
        <f>IF(MONTH($G$3)&gt;=AK$8,0,IF(W14=0,AJ14,W14)+SUMIFS(预计变动!$F:$F,预计变动!$A:$A,$E14,预计变动!$B:$B,$F14,预计变动!$I:$I,"&gt;="&amp;AK$9,预计变动!$I:$I,"&lt;="&amp;AK$10))</f>
        <v>0</v>
      </c>
      <c r="AL14" s="121">
        <f>IF(MONTH($G$3)&gt;=AL$8,0,IF(X14=0,AK14,X14)+SUMIFS(预计变动!$F:$F,预计变动!$A:$A,$E14,预计变动!$B:$B,$F14,预计变动!$I:$I,"&gt;="&amp;AL$9,预计变动!$I:$I,"&lt;="&amp;AL$10))</f>
        <v>0</v>
      </c>
      <c r="AM14" s="121">
        <f>IF(MONTH($G$3)&gt;=AM$8,0,IF(Y14=0,AL14,Y14)+SUMIFS(预计变动!$F:$F,预计变动!$A:$A,$E14,预计变动!$B:$B,$F14,预计变动!$I:$I,"&gt;="&amp;AM$9,预计变动!$I:$I,"&lt;="&amp;AM$10))</f>
        <v>0</v>
      </c>
      <c r="AN14" s="121">
        <f>IF(MONTH($G$3)&gt;=AN$8,0,IF(Z14=0,AM14,Z14)+SUMIFS(预计变动!$F:$F,预计变动!$A:$A,$E14,预计变动!$B:$B,$F14,预计变动!$I:$I,"&gt;="&amp;AN$9,预计变动!$I:$I,"&lt;="&amp;AN$10))</f>
        <v>0</v>
      </c>
      <c r="AO14" s="121">
        <f>IF(MONTH($G$3)&gt;=AO$8,0,IF(AA14=0,AN14,AA14)+SUMIFS(预计变动!$F:$F,预计变动!$A:$A,$E14,预计变动!$B:$B,$F14,预计变动!$I:$I,"&gt;="&amp;AO$9,预计变动!$I:$I,"&lt;="&amp;AO$10))</f>
        <v>0</v>
      </c>
      <c r="AP14" s="121">
        <f>IF(MONTH($G$3)&gt;=AP$8,0,IF(AB14=0,AO14,AB14)+SUMIFS(预计变动!$F:$F,预计变动!$A:$A,$E14,预计变动!$B:$B,$F14,预计变动!$I:$I,"&gt;="&amp;AP$9,预计变动!$I:$I,"&lt;="&amp;AP$10))</f>
        <v>0</v>
      </c>
      <c r="AQ14" s="121">
        <f>IF(MONTH($G$3)&gt;=AQ$8,0,IF(AC14=0,AP14,AC14)+SUMIFS(预计变动!$F:$F,预计变动!$A:$A,$E14,预计变动!$B:$B,$F14,预计变动!$I:$I,"&gt;="&amp;AQ$9,预计变动!$I:$I,"&lt;="&amp;AQ$10))</f>
        <v>0</v>
      </c>
      <c r="AR14" s="121">
        <f>IF(MONTH($G$3)&gt;AR$8,0,IF(AD14=0,AQ14,AD14)+SUMIFS(预计变动!$F:$F,预计变动!$A:$A,$E14,预计变动!$B:$B,$F14,预计变动!$I:$I,"&gt;="&amp;AR$9,预计变动!$I:$I,"&lt;="&amp;AR$10))</f>
        <v>13</v>
      </c>
      <c r="AS14" s="121">
        <f>IF(MONTH($G$3)&gt;AS$8,0,IF(AE14=0,AR14,AE14)+SUMIFS(预计变动!$F:$F,预计变动!$A:$A,$E14,预计变动!$B:$B,$F14,预计变动!$I:$I,"&gt;="&amp;AS$9,预计变动!$I:$I,"&lt;="&amp;AS$10))</f>
        <v>13</v>
      </c>
      <c r="AT14" s="121">
        <f>IF(MONTH($G$3)&gt;AT$8,0,IF(AF14=0,AS14,AF14)+SUMIFS(预计变动!$F:$F,预计变动!$A:$A,$E14,预计变动!$B:$B,$F14,预计变动!$I:$I,"&gt;="&amp;AT$9,预计变动!$I:$I,"&lt;="&amp;AT$10))</f>
        <v>13</v>
      </c>
      <c r="AU14" s="121">
        <f t="shared" si="78"/>
        <v>14</v>
      </c>
      <c r="AV14" s="121">
        <f>AT14+SUMIFS(预计变动!$F:$F,预计变动!$A:$A,$E14,预计变动!$B:$B,$F14,预计变动!$I:$I,"&gt;="&amp;AV$9,预计变动!$I:$I,"&lt;="&amp;AV$10)</f>
        <v>13</v>
      </c>
      <c r="AW14" s="121">
        <f>AV14+SUMIFS(预计变动!$F:$F,预计变动!$A:$A,$E14,预计变动!$B:$B,$F14,预计变动!$I:$I,"&gt;="&amp;AW$9,预计变动!$I:$I,"&lt;="&amp;AW$10)</f>
        <v>13</v>
      </c>
      <c r="AX14" s="121">
        <f>AW14+SUMIFS(预计变动!$F:$F,预计变动!$A:$A,$E14,预计变动!$B:$B,$F14,预计变动!$I:$I,"&gt;="&amp;AX$9,预计变动!$I:$I,"&lt;="&amp;AX$10)</f>
        <v>13</v>
      </c>
      <c r="AY14" s="121">
        <f>AX14+SUMIFS(预计变动!$F:$F,预计变动!$A:$A,$E14,预计变动!$B:$B,$F14,预计变动!$I:$I,"&gt;="&amp;AY$9,预计变动!$I:$I,"&lt;="&amp;AY$10)</f>
        <v>13</v>
      </c>
      <c r="AZ14" s="121">
        <f>AY14+SUMIFS(预计变动!$F:$F,预计变动!$A:$A,$E14,预计变动!$B:$B,$F14,预计变动!$I:$I,"&gt;="&amp;AZ$9,预计变动!$I:$I,"&lt;="&amp;AZ$10)</f>
        <v>14</v>
      </c>
      <c r="BA14" s="121">
        <f>AZ14+SUMIFS(预计变动!$F:$F,预计变动!$A:$A,$E14,预计变动!$B:$B,$F14,预计变动!$I:$I,"&gt;="&amp;BA$9,预计变动!$I:$I,"&lt;="&amp;BA$10)</f>
        <v>14</v>
      </c>
      <c r="BB14" s="121">
        <f>BA14+SUMIFS(预计变动!$F:$F,预计变动!$A:$A,$E14,预计变动!$B:$B,$F14,预计变动!$I:$I,"&gt;="&amp;BB$9,预计变动!$I:$I,"&lt;="&amp;BB$10)</f>
        <v>14</v>
      </c>
      <c r="BC14" s="121">
        <f>BB14+SUMIFS(预计变动!$F:$F,预计变动!$A:$A,$E14,预计变动!$B:$B,$F14,预计变动!$I:$I,"&gt;="&amp;BC$9,预计变动!$I:$I,"&lt;="&amp;BC$10)</f>
        <v>14</v>
      </c>
      <c r="BD14" s="121">
        <f>BC14+SUMIFS(预计变动!$F:$F,预计变动!$A:$A,$E14,预计变动!$B:$B,$F14,预计变动!$I:$I,"&gt;="&amp;BD$9,预计变动!$I:$I,"&lt;="&amp;BD$10)</f>
        <v>14</v>
      </c>
      <c r="BE14" s="121">
        <f>BD14+SUMIFS(预计变动!$F:$F,预计变动!$A:$A,$E14,预计变动!$B:$B,$F14,预计变动!$I:$I,"&gt;="&amp;BE$9,预计变动!$I:$I,"&lt;="&amp;BE$10)</f>
        <v>14</v>
      </c>
      <c r="BF14" s="121">
        <f>BE14+SUMIFS(预计变动!$F:$F,预计变动!$A:$A,$E14,预计变动!$B:$B,$F14,预计变动!$I:$I,"&gt;="&amp;BF$9,预计变动!$I:$I,"&lt;="&amp;BF$10)</f>
        <v>14</v>
      </c>
      <c r="BG14" s="121">
        <f>BF14+SUMIFS(预计变动!$F:$F,预计变动!$A:$A,$E14,预计变动!$B:$B,$F14,预计变动!$I:$I,"&gt;="&amp;BG$9,预计变动!$I:$I,"&lt;="&amp;BG$10)</f>
        <v>14</v>
      </c>
    </row>
    <row r="15" ht="16.2" spans="3:59">
      <c r="C15" s="42"/>
      <c r="D15" s="42" t="s">
        <v>81</v>
      </c>
      <c r="E15" s="116" t="str">
        <f t="shared" si="79"/>
        <v>流程中心</v>
      </c>
      <c r="F15" s="116" t="str">
        <f t="shared" si="80"/>
        <v>制造中心</v>
      </c>
      <c r="G15" s="121">
        <f>COUNTIFS(人员状况!$C:$C,$E15,人员状况!$D:$D,$F15,人员状况!$G:$G,"&lt;="&amp;G$10,人员状况!$H:$H,"&gt;="&amp;G$10+1)</f>
        <v>21</v>
      </c>
      <c r="H15" s="121">
        <f>COUNTIFS(人员状况!$C:$C,$E15,人员状况!$D:$D,$F15,人员状况!$G:$G,"&lt;="&amp;H$10,人员状况!$H:$H,"&gt;="&amp;H$10+1)</f>
        <v>22</v>
      </c>
      <c r="I15" s="121">
        <f>COUNTIFS(人员状况!$C:$C,$E15,人员状况!$D:$D,$F15,人员状况!$G:$G,"&lt;="&amp;I$10,人员状况!$H:$H,"&gt;="&amp;I$10+1)</f>
        <v>22</v>
      </c>
      <c r="J15" s="121">
        <f>COUNTIFS(人员状况!$C:$C,$E15,人员状况!$D:$D,$F15,人员状况!$G:$G,"&lt;="&amp;J$10,人员状况!$H:$H,"&gt;="&amp;J$10+1)</f>
        <v>22</v>
      </c>
      <c r="K15" s="121">
        <f>COUNTIFS(人员状况!$C:$C,$E15,人员状况!$D:$D,$F15,人员状况!$G:$G,"&lt;="&amp;K$10,人员状况!$H:$H,"&gt;="&amp;K$10+1)</f>
        <v>22</v>
      </c>
      <c r="L15" s="121">
        <f>COUNTIFS(人员状况!$C:$C,$E15,人员状况!$D:$D,$F15,人员状况!$G:$G,"&lt;="&amp;L$10,人员状况!$H:$H,"&gt;="&amp;L$10+1)</f>
        <v>22</v>
      </c>
      <c r="M15" s="121">
        <f>COUNTIFS(人员状况!$C:$C,$E15,人员状况!$D:$D,$F15,人员状况!$G:$G,"&lt;="&amp;M$10,人员状况!$H:$H,"&gt;="&amp;M$10+1)</f>
        <v>22</v>
      </c>
      <c r="N15" s="121">
        <f>COUNTIFS(人员状况!$C:$C,$E15,人员状况!$D:$D,$F15,人员状况!$G:$G,"&lt;="&amp;N$10,人员状况!$H:$H,"&gt;="&amp;N$10+1)</f>
        <v>22</v>
      </c>
      <c r="O15" s="121">
        <f>COUNTIFS(人员状况!$C:$C,$E15,人员状况!$D:$D,$F15,人员状况!$G:$G,"&lt;="&amp;O$10,人员状况!$H:$H,"&gt;="&amp;O$10+1)</f>
        <v>22</v>
      </c>
      <c r="P15" s="121">
        <f>COUNTIFS(人员状况!$C:$C,$E15,人员状况!$D:$D,$F15,人员状况!$G:$G,"&lt;="&amp;P$10,人员状况!$H:$H,"&gt;="&amp;P$10+1)</f>
        <v>22</v>
      </c>
      <c r="Q15" s="121">
        <f>COUNTIFS(人员状况!$C:$C,$E15,人员状况!$D:$D,$F15,人员状况!$G:$G,"&lt;="&amp;Q$10,人员状况!$H:$H,"&gt;="&amp;Q$10+1)</f>
        <v>22</v>
      </c>
      <c r="R15" s="121">
        <f>COUNTIFS(人员状况!$C:$C,$E15,人员状况!$D:$D,$F15,人员状况!$G:$G,"&lt;="&amp;R$10,人员状况!$H:$H,"&gt;="&amp;R$10+1)</f>
        <v>21</v>
      </c>
      <c r="S15" s="121">
        <f>COUNTIFS(人员状况!$C:$C,$E15,人员状况!$D:$D,$F15,人员状况!$G:$G,"&lt;="&amp;S$10,人员状况!$H:$H,"&gt;="&amp;S$10+1)</f>
        <v>21</v>
      </c>
      <c r="T15" s="125">
        <f t="shared" si="76"/>
        <v>18</v>
      </c>
      <c r="U15" s="121">
        <f>COUNTIFS(人员状况!$C:$C,$E15,人员状况!$D:$D,$F15,人员状况!$G:$G,"&lt;="&amp;U$10,人员状况!$H:$H,"&gt;="&amp;U$10+1)</f>
        <v>19</v>
      </c>
      <c r="V15" s="121">
        <f>IF(MONTH($G$3)&gt;=V$8,COUNTIFS(人员状况!$C:$C,$E15,人员状况!$D:$D,$F15,人员状况!$G:$G,"&lt;="&amp;V$10,人员状况!$H:$H,"&gt;="&amp;V$10+1),0)</f>
        <v>21</v>
      </c>
      <c r="W15" s="121">
        <f>IF(MONTH($G$3)&gt;=W$8,COUNTIFS(人员状况!$C:$C,$E15,人员状况!$D:$D,$F15,人员状况!$G:$G,"&lt;="&amp;W$10,人员状况!$H:$H,"&gt;="&amp;W$10+1),0)</f>
        <v>21</v>
      </c>
      <c r="X15" s="121">
        <f>IF(MONTH($G$3)&gt;=X$8,COUNTIFS(人员状况!$C:$C,$E15,人员状况!$D:$D,$F15,人员状况!$G:$G,"&lt;="&amp;X$10,人员状况!$H:$H,"&gt;="&amp;X$10+1),0)</f>
        <v>21</v>
      </c>
      <c r="Y15" s="121">
        <f>IF(MONTH($G$3)&gt;=Y$8,COUNTIFS(人员状况!$C:$C,$E15,人员状况!$D:$D,$F15,人员状况!$G:$G,"&lt;="&amp;Y$10,人员状况!$H:$H,"&gt;="&amp;Y$10+1),0)</f>
        <v>19</v>
      </c>
      <c r="Z15" s="121">
        <f>IF(MONTH($G$3)&gt;=Z$8,COUNTIFS(人员状况!$C:$C,$E15,人员状况!$D:$D,$F15,人员状况!$G:$G,"&lt;="&amp;Z$10,人员状况!$H:$H,"&gt;="&amp;Z$10+1),0)</f>
        <v>19</v>
      </c>
      <c r="AA15" s="121">
        <f>IF(MONTH($G$3)&gt;=AA$8,COUNTIFS(人员状况!$C:$C,$E15,人员状况!$D:$D,$F15,人员状况!$G:$G,"&lt;="&amp;AA$10,人员状况!$H:$H,"&gt;="&amp;AA$10+1),0)</f>
        <v>19</v>
      </c>
      <c r="AB15" s="121">
        <f>IF(MONTH($G$3)&gt;=AB$8,COUNTIFS(人员状况!$C:$C,$E15,人员状况!$D:$D,$F15,人员状况!$G:$G,"&lt;="&amp;AB$10,人员状况!$H:$H,"&gt;="&amp;AB$10+1),0)</f>
        <v>19</v>
      </c>
      <c r="AC15" s="121">
        <f>IF(MONTH($G$3)&gt;=AC$8,COUNTIFS(人员状况!$C:$C,$E15,人员状况!$D:$D,$F15,人员状况!$G:$G,"&lt;="&amp;AC$10,人员状况!$H:$H,"&gt;="&amp;AC$10+1),0)</f>
        <v>19</v>
      </c>
      <c r="AD15" s="121">
        <f>IF(MONTH($G$3)&gt;=AD$8,COUNTIFS(人员状况!$C:$C,$E15,人员状况!$D:$D,$F15,人员状况!$G:$G,"&lt;="&amp;AD$10,人员状况!$H:$H,"&gt;="&amp;AD$10+1),0)</f>
        <v>19</v>
      </c>
      <c r="AE15" s="121">
        <f>IF(MONTH($G$3)&gt;=AE$8,COUNTIFS(人员状况!$C:$C,$E15,人员状况!$D:$D,$F15,人员状况!$G:$G,"&lt;="&amp;AE$10,人员状况!$H:$H,"&gt;="&amp;AE$10+1),0)</f>
        <v>0</v>
      </c>
      <c r="AF15" s="121">
        <f>IF(MONTH($G$3)&gt;=AF$8,COUNTIFS(人员状况!$C:$C,$E15,人员状况!$D:$D,$F15,人员状况!$G:$G,"&lt;="&amp;AF$10,人员状况!$H:$H,"&gt;="&amp;AF$10+1),0)</f>
        <v>0</v>
      </c>
      <c r="AG15" s="121">
        <f>IF(MONTH($G$3)&gt;=AG$8,COUNTIFS(人员状况!$C:$C,$E15,人员状况!$D:$D,$F15,人员状况!$G:$G,"&lt;="&amp;AG$10,人员状况!$H:$H,"&gt;="&amp;AG$10+1),0)</f>
        <v>0</v>
      </c>
      <c r="AH15" s="121">
        <f t="shared" si="77"/>
        <v>18</v>
      </c>
      <c r="AI15" s="121">
        <f>IF(MONTH($G$3)&gt;=AI$8,0,S15+SUMIFS(预计变动!$F:$F,预计变动!$A:$A,$E15,预计变动!$B:$B,$F15,预计变动!$I:$I,"&gt;="&amp;AI$9,预计变动!$I:$I,"&lt;="&amp;AI$10))</f>
        <v>0</v>
      </c>
      <c r="AJ15" s="121">
        <f>IF(MONTH($G$3)&gt;=AJ$8,0,IF(V15=0,AI15,V15)+SUMIFS(预计变动!$F:$F,预计变动!$A:$A,$E15,预计变动!$B:$B,$F15,预计变动!$I:$I,"&gt;="&amp;AJ$9,预计变动!$I:$I,"&lt;="&amp;AJ$10))</f>
        <v>0</v>
      </c>
      <c r="AK15" s="121">
        <f>IF(MONTH($G$3)&gt;=AK$8,0,IF(W15=0,AJ15,W15)+SUMIFS(预计变动!$F:$F,预计变动!$A:$A,$E15,预计变动!$B:$B,$F15,预计变动!$I:$I,"&gt;="&amp;AK$9,预计变动!$I:$I,"&lt;="&amp;AK$10))</f>
        <v>0</v>
      </c>
      <c r="AL15" s="121">
        <f>IF(MONTH($G$3)&gt;=AL$8,0,IF(X15=0,AK15,X15)+SUMIFS(预计变动!$F:$F,预计变动!$A:$A,$E15,预计变动!$B:$B,$F15,预计变动!$I:$I,"&gt;="&amp;AL$9,预计变动!$I:$I,"&lt;="&amp;AL$10))</f>
        <v>0</v>
      </c>
      <c r="AM15" s="121">
        <f>IF(MONTH($G$3)&gt;=AM$8,0,IF(Y15=0,AL15,Y15)+SUMIFS(预计变动!$F:$F,预计变动!$A:$A,$E15,预计变动!$B:$B,$F15,预计变动!$I:$I,"&gt;="&amp;AM$9,预计变动!$I:$I,"&lt;="&amp;AM$10))</f>
        <v>0</v>
      </c>
      <c r="AN15" s="121">
        <f>IF(MONTH($G$3)&gt;=AN$8,0,IF(Z15=0,AM15,Z15)+SUMIFS(预计变动!$F:$F,预计变动!$A:$A,$E15,预计变动!$B:$B,$F15,预计变动!$I:$I,"&gt;="&amp;AN$9,预计变动!$I:$I,"&lt;="&amp;AN$10))</f>
        <v>0</v>
      </c>
      <c r="AO15" s="121">
        <f>IF(MONTH($G$3)&gt;=AO$8,0,IF(AA15=0,AN15,AA15)+SUMIFS(预计变动!$F:$F,预计变动!$A:$A,$E15,预计变动!$B:$B,$F15,预计变动!$I:$I,"&gt;="&amp;AO$9,预计变动!$I:$I,"&lt;="&amp;AO$10))</f>
        <v>0</v>
      </c>
      <c r="AP15" s="121">
        <f>IF(MONTH($G$3)&gt;=AP$8,0,IF(AB15=0,AO15,AB15)+SUMIFS(预计变动!$F:$F,预计变动!$A:$A,$E15,预计变动!$B:$B,$F15,预计变动!$I:$I,"&gt;="&amp;AP$9,预计变动!$I:$I,"&lt;="&amp;AP$10))</f>
        <v>0</v>
      </c>
      <c r="AQ15" s="121">
        <f>IF(MONTH($G$3)&gt;=AQ$8,0,IF(AC15=0,AP15,AC15)+SUMIFS(预计变动!$F:$F,预计变动!$A:$A,$E15,预计变动!$B:$B,$F15,预计变动!$I:$I,"&gt;="&amp;AQ$9,预计变动!$I:$I,"&lt;="&amp;AQ$10))</f>
        <v>0</v>
      </c>
      <c r="AR15" s="121">
        <f>IF(MONTH($G$3)&gt;AR$8,0,IF(AD15=0,AQ15,AD15)+SUMIFS(预计变动!$F:$F,预计变动!$A:$A,$E15,预计变动!$B:$B,$F15,预计变动!$I:$I,"&gt;="&amp;AR$9,预计变动!$I:$I,"&lt;="&amp;AR$10))</f>
        <v>19</v>
      </c>
      <c r="AS15" s="121">
        <f>IF(MONTH($G$3)&gt;AS$8,0,IF(AE15=0,AR15,AE15)+SUMIFS(预计变动!$F:$F,预计变动!$A:$A,$E15,预计变动!$B:$B,$F15,预计变动!$I:$I,"&gt;="&amp;AS$9,预计变动!$I:$I,"&lt;="&amp;AS$10))</f>
        <v>20</v>
      </c>
      <c r="AT15" s="121">
        <f>IF(MONTH($G$3)&gt;AT$8,0,IF(AF15=0,AS15,AF15)+SUMIFS(预计变动!$F:$F,预计变动!$A:$A,$E15,预计变动!$B:$B,$F15,预计变动!$I:$I,"&gt;="&amp;AT$9,预计变动!$I:$I,"&lt;="&amp;AT$10))</f>
        <v>18</v>
      </c>
      <c r="AU15" s="121">
        <f t="shared" si="78"/>
        <v>23</v>
      </c>
      <c r="AV15" s="121">
        <f>AT15+SUMIFS(预计变动!$F:$F,预计变动!$A:$A,$E15,预计变动!$B:$B,$F15,预计变动!$I:$I,"&gt;="&amp;AV$9,预计变动!$I:$I,"&lt;="&amp;AV$10)</f>
        <v>18</v>
      </c>
      <c r="AW15" s="121">
        <f>AV15+SUMIFS(预计变动!$F:$F,预计变动!$A:$A,$E15,预计变动!$B:$B,$F15,预计变动!$I:$I,"&gt;="&amp;AW$9,预计变动!$I:$I,"&lt;="&amp;AW$10)</f>
        <v>18</v>
      </c>
      <c r="AX15" s="121">
        <f>AW15+SUMIFS(预计变动!$F:$F,预计变动!$A:$A,$E15,预计变动!$B:$B,$F15,预计变动!$I:$I,"&gt;="&amp;AX$9,预计变动!$I:$I,"&lt;="&amp;AX$10)</f>
        <v>23</v>
      </c>
      <c r="AY15" s="121">
        <f>AX15+SUMIFS(预计变动!$F:$F,预计变动!$A:$A,$E15,预计变动!$B:$B,$F15,预计变动!$I:$I,"&gt;="&amp;AY$9,预计变动!$I:$I,"&lt;="&amp;AY$10)</f>
        <v>23</v>
      </c>
      <c r="AZ15" s="121">
        <f>AY15+SUMIFS(预计变动!$F:$F,预计变动!$A:$A,$E15,预计变动!$B:$B,$F15,预计变动!$I:$I,"&gt;="&amp;AZ$9,预计变动!$I:$I,"&lt;="&amp;AZ$10)</f>
        <v>23</v>
      </c>
      <c r="BA15" s="121">
        <f>AZ15+SUMIFS(预计变动!$F:$F,预计变动!$A:$A,$E15,预计变动!$B:$B,$F15,预计变动!$I:$I,"&gt;="&amp;BA$9,预计变动!$I:$I,"&lt;="&amp;BA$10)</f>
        <v>23</v>
      </c>
      <c r="BB15" s="121">
        <f>BA15+SUMIFS(预计变动!$F:$F,预计变动!$A:$A,$E15,预计变动!$B:$B,$F15,预计变动!$I:$I,"&gt;="&amp;BB$9,预计变动!$I:$I,"&lt;="&amp;BB$10)</f>
        <v>23</v>
      </c>
      <c r="BC15" s="121">
        <f>BB15+SUMIFS(预计变动!$F:$F,预计变动!$A:$A,$E15,预计变动!$B:$B,$F15,预计变动!$I:$I,"&gt;="&amp;BC$9,预计变动!$I:$I,"&lt;="&amp;BC$10)</f>
        <v>23</v>
      </c>
      <c r="BD15" s="121">
        <f>BC15+SUMIFS(预计变动!$F:$F,预计变动!$A:$A,$E15,预计变动!$B:$B,$F15,预计变动!$I:$I,"&gt;="&amp;BD$9,预计变动!$I:$I,"&lt;="&amp;BD$10)</f>
        <v>23</v>
      </c>
      <c r="BE15" s="121">
        <f>BD15+SUMIFS(预计变动!$F:$F,预计变动!$A:$A,$E15,预计变动!$B:$B,$F15,预计变动!$I:$I,"&gt;="&amp;BE$9,预计变动!$I:$I,"&lt;="&amp;BE$10)</f>
        <v>23</v>
      </c>
      <c r="BF15" s="121">
        <f>BE15+SUMIFS(预计变动!$F:$F,预计变动!$A:$A,$E15,预计变动!$B:$B,$F15,预计变动!$I:$I,"&gt;="&amp;BF$9,预计变动!$I:$I,"&lt;="&amp;BF$10)</f>
        <v>23</v>
      </c>
      <c r="BG15" s="121">
        <f>BF15+SUMIFS(预计变动!$F:$F,预计变动!$A:$A,$E15,预计变动!$B:$B,$F15,预计变动!$I:$I,"&gt;="&amp;BG$9,预计变动!$I:$I,"&lt;="&amp;BG$10)</f>
        <v>23</v>
      </c>
    </row>
    <row r="16" ht="16.2" spans="3:59">
      <c r="C16" s="42" t="s">
        <v>82</v>
      </c>
      <c r="D16" s="42"/>
      <c r="E16" s="116" t="str">
        <f t="shared" si="79"/>
        <v>创新中心</v>
      </c>
      <c r="F16" s="116" t="str">
        <f t="shared" si="80"/>
        <v>*</v>
      </c>
      <c r="G16" s="121">
        <f>COUNTIFS(人员状况!$C:$C,$E16,人员状况!$D:$D,$F16,人员状况!$G:$G,"&lt;="&amp;G$10,人员状况!$H:$H,"&gt;="&amp;G$10+1)</f>
        <v>19</v>
      </c>
      <c r="H16" s="121">
        <f>COUNTIFS(人员状况!$C:$C,$E16,人员状况!$D:$D,$F16,人员状况!$G:$G,"&lt;="&amp;H$10,人员状况!$H:$H,"&gt;="&amp;H$10+1)</f>
        <v>19</v>
      </c>
      <c r="I16" s="121">
        <f>COUNTIFS(人员状况!$C:$C,$E16,人员状况!$D:$D,$F16,人员状况!$G:$G,"&lt;="&amp;I$10,人员状况!$H:$H,"&gt;="&amp;I$10+1)</f>
        <v>19</v>
      </c>
      <c r="J16" s="121">
        <f>COUNTIFS(人员状况!$C:$C,$E16,人员状况!$D:$D,$F16,人员状况!$G:$G,"&lt;="&amp;J$10,人员状况!$H:$H,"&gt;="&amp;J$10+1)</f>
        <v>19</v>
      </c>
      <c r="K16" s="121">
        <f>COUNTIFS(人员状况!$C:$C,$E16,人员状况!$D:$D,$F16,人员状况!$G:$G,"&lt;="&amp;K$10,人员状况!$H:$H,"&gt;="&amp;K$10+1)</f>
        <v>19</v>
      </c>
      <c r="L16" s="121">
        <f>COUNTIFS(人员状况!$C:$C,$E16,人员状况!$D:$D,$F16,人员状况!$G:$G,"&lt;="&amp;L$10,人员状况!$H:$H,"&gt;="&amp;L$10+1)</f>
        <v>19</v>
      </c>
      <c r="M16" s="121">
        <f>COUNTIFS(人员状况!$C:$C,$E16,人员状况!$D:$D,$F16,人员状况!$G:$G,"&lt;="&amp;M$10,人员状况!$H:$H,"&gt;="&amp;M$10+1)</f>
        <v>19</v>
      </c>
      <c r="N16" s="121">
        <f>COUNTIFS(人员状况!$C:$C,$E16,人员状况!$D:$D,$F16,人员状况!$G:$G,"&lt;="&amp;N$10,人员状况!$H:$H,"&gt;="&amp;N$10+1)</f>
        <v>19</v>
      </c>
      <c r="O16" s="121">
        <f>COUNTIFS(人员状况!$C:$C,$E16,人员状况!$D:$D,$F16,人员状况!$G:$G,"&lt;="&amp;O$10,人员状况!$H:$H,"&gt;="&amp;O$10+1)</f>
        <v>19</v>
      </c>
      <c r="P16" s="121">
        <f>COUNTIFS(人员状况!$C:$C,$E16,人员状况!$D:$D,$F16,人员状况!$G:$G,"&lt;="&amp;P$10,人员状况!$H:$H,"&gt;="&amp;P$10+1)</f>
        <v>19</v>
      </c>
      <c r="Q16" s="121">
        <f>COUNTIFS(人员状况!$C:$C,$E16,人员状况!$D:$D,$F16,人员状况!$G:$G,"&lt;="&amp;Q$10,人员状况!$H:$H,"&gt;="&amp;Q$10+1)</f>
        <v>19</v>
      </c>
      <c r="R16" s="121">
        <f>COUNTIFS(人员状况!$C:$C,$E16,人员状况!$D:$D,$F16,人员状况!$G:$G,"&lt;="&amp;R$10,人员状况!$H:$H,"&gt;="&amp;R$10+1)</f>
        <v>19</v>
      </c>
      <c r="S16" s="121">
        <f>COUNTIFS(人员状况!$C:$C,$E16,人员状况!$D:$D,$F16,人员状况!$G:$G,"&lt;="&amp;S$10,人员状况!$H:$H,"&gt;="&amp;S$10+1)</f>
        <v>19</v>
      </c>
      <c r="T16" s="125">
        <f t="shared" si="76"/>
        <v>20</v>
      </c>
      <c r="U16" s="121">
        <f>COUNTIFS(人员状况!$C:$C,$E16,人员状况!$D:$D,$F16,人员状况!$G:$G,"&lt;="&amp;U$10,人员状况!$H:$H,"&gt;="&amp;U$10+1)</f>
        <v>20</v>
      </c>
      <c r="V16" s="121">
        <f>IF(MONTH($G$3)&gt;=V$8,COUNTIFS(人员状况!$C:$C,$E16,人员状况!$D:$D,$F16,人员状况!$G:$G,"&lt;="&amp;V$10,人员状况!$H:$H,"&gt;="&amp;V$10+1),0)</f>
        <v>19</v>
      </c>
      <c r="W16" s="121">
        <f>IF(MONTH($G$3)&gt;=W$8,COUNTIFS(人员状况!$C:$C,$E16,人员状况!$D:$D,$F16,人员状况!$G:$G,"&lt;="&amp;W$10,人员状况!$H:$H,"&gt;="&amp;W$10+1),0)</f>
        <v>19</v>
      </c>
      <c r="X16" s="121">
        <f>IF(MONTH($G$3)&gt;=X$8,COUNTIFS(人员状况!$C:$C,$E16,人员状况!$D:$D,$F16,人员状况!$G:$G,"&lt;="&amp;X$10,人员状况!$H:$H,"&gt;="&amp;X$10+1),0)</f>
        <v>19</v>
      </c>
      <c r="Y16" s="121">
        <f>IF(MONTH($G$3)&gt;=Y$8,COUNTIFS(人员状况!$C:$C,$E16,人员状况!$D:$D,$F16,人员状况!$G:$G,"&lt;="&amp;Y$10,人员状况!$H:$H,"&gt;="&amp;Y$10+1),0)</f>
        <v>19</v>
      </c>
      <c r="Z16" s="121">
        <f>IF(MONTH($G$3)&gt;=Z$8,COUNTIFS(人员状况!$C:$C,$E16,人员状况!$D:$D,$F16,人员状况!$G:$G,"&lt;="&amp;Z$10,人员状况!$H:$H,"&gt;="&amp;Z$10+1),0)</f>
        <v>19</v>
      </c>
      <c r="AA16" s="121">
        <f>IF(MONTH($G$3)&gt;=AA$8,COUNTIFS(人员状况!$C:$C,$E16,人员状况!$D:$D,$F16,人员状况!$G:$G,"&lt;="&amp;AA$10,人员状况!$H:$H,"&gt;="&amp;AA$10+1),0)</f>
        <v>19</v>
      </c>
      <c r="AB16" s="121">
        <f>IF(MONTH($G$3)&gt;=AB$8,COUNTIFS(人员状况!$C:$C,$E16,人员状况!$D:$D,$F16,人员状况!$G:$G,"&lt;="&amp;AB$10,人员状况!$H:$H,"&gt;="&amp;AB$10+1),0)</f>
        <v>20</v>
      </c>
      <c r="AC16" s="121">
        <f>IF(MONTH($G$3)&gt;=AC$8,COUNTIFS(人员状况!$C:$C,$E16,人员状况!$D:$D,$F16,人员状况!$G:$G,"&lt;="&amp;AC$10,人员状况!$H:$H,"&gt;="&amp;AC$10+1),0)</f>
        <v>20</v>
      </c>
      <c r="AD16" s="121">
        <f>IF(MONTH($G$3)&gt;=AD$8,COUNTIFS(人员状况!$C:$C,$E16,人员状况!$D:$D,$F16,人员状况!$G:$G,"&lt;="&amp;AD$10,人员状况!$H:$H,"&gt;="&amp;AD$10+1),0)</f>
        <v>20</v>
      </c>
      <c r="AE16" s="121">
        <f>IF(MONTH($G$3)&gt;=AE$8,COUNTIFS(人员状况!$C:$C,$E16,人员状况!$D:$D,$F16,人员状况!$G:$G,"&lt;="&amp;AE$10,人员状况!$H:$H,"&gt;="&amp;AE$10+1),0)</f>
        <v>0</v>
      </c>
      <c r="AF16" s="121">
        <f>IF(MONTH($G$3)&gt;=AF$8,COUNTIFS(人员状况!$C:$C,$E16,人员状况!$D:$D,$F16,人员状况!$G:$G,"&lt;="&amp;AF$10,人员状况!$H:$H,"&gt;="&amp;AF$10+1),0)</f>
        <v>0</v>
      </c>
      <c r="AG16" s="121">
        <f>IF(MONTH($G$3)&gt;=AG$8,COUNTIFS(人员状况!$C:$C,$E16,人员状况!$D:$D,$F16,人员状况!$G:$G,"&lt;="&amp;AG$10,人员状况!$H:$H,"&gt;="&amp;AG$10+1),0)</f>
        <v>0</v>
      </c>
      <c r="AH16" s="121">
        <f t="shared" si="77"/>
        <v>20</v>
      </c>
      <c r="AI16" s="121">
        <f>IF(MONTH($G$3)&gt;=AI$8,0,S16+SUMIFS(预计变动!$F:$F,预计变动!$A:$A,$E16,预计变动!$B:$B,$F16,预计变动!$I:$I,"&gt;="&amp;AI$9,预计变动!$I:$I,"&lt;="&amp;AI$10))</f>
        <v>0</v>
      </c>
      <c r="AJ16" s="121">
        <f>IF(MONTH($G$3)&gt;=AJ$8,0,IF(V16=0,AI16,V16)+SUMIFS(预计变动!$F:$F,预计变动!$A:$A,$E16,预计变动!$B:$B,$F16,预计变动!$I:$I,"&gt;="&amp;AJ$9,预计变动!$I:$I,"&lt;="&amp;AJ$10))</f>
        <v>0</v>
      </c>
      <c r="AK16" s="121">
        <f>IF(MONTH($G$3)&gt;=AK$8,0,IF(W16=0,AJ16,W16)+SUMIFS(预计变动!$F:$F,预计变动!$A:$A,$E16,预计变动!$B:$B,$F16,预计变动!$I:$I,"&gt;="&amp;AK$9,预计变动!$I:$I,"&lt;="&amp;AK$10))</f>
        <v>0</v>
      </c>
      <c r="AL16" s="121">
        <f>IF(MONTH($G$3)&gt;=AL$8,0,IF(X16=0,AK16,X16)+SUMIFS(预计变动!$F:$F,预计变动!$A:$A,$E16,预计变动!$B:$B,$F16,预计变动!$I:$I,"&gt;="&amp;AL$9,预计变动!$I:$I,"&lt;="&amp;AL$10))</f>
        <v>0</v>
      </c>
      <c r="AM16" s="121">
        <f>IF(MONTH($G$3)&gt;=AM$8,0,IF(Y16=0,AL16,Y16)+SUMIFS(预计变动!$F:$F,预计变动!$A:$A,$E16,预计变动!$B:$B,$F16,预计变动!$I:$I,"&gt;="&amp;AM$9,预计变动!$I:$I,"&lt;="&amp;AM$10))</f>
        <v>0</v>
      </c>
      <c r="AN16" s="121">
        <f>IF(MONTH($G$3)&gt;=AN$8,0,IF(Z16=0,AM16,Z16)+SUMIFS(预计变动!$F:$F,预计变动!$A:$A,$E16,预计变动!$B:$B,$F16,预计变动!$I:$I,"&gt;="&amp;AN$9,预计变动!$I:$I,"&lt;="&amp;AN$10))</f>
        <v>0</v>
      </c>
      <c r="AO16" s="121">
        <f>IF(MONTH($G$3)&gt;=AO$8,0,IF(AA16=0,AN16,AA16)+SUMIFS(预计变动!$F:$F,预计变动!$A:$A,$E16,预计变动!$B:$B,$F16,预计变动!$I:$I,"&gt;="&amp;AO$9,预计变动!$I:$I,"&lt;="&amp;AO$10))</f>
        <v>0</v>
      </c>
      <c r="AP16" s="121">
        <f>IF(MONTH($G$3)&gt;=AP$8,0,IF(AB16=0,AO16,AB16)+SUMIFS(预计变动!$F:$F,预计变动!$A:$A,$E16,预计变动!$B:$B,$F16,预计变动!$I:$I,"&gt;="&amp;AP$9,预计变动!$I:$I,"&lt;="&amp;AP$10))</f>
        <v>0</v>
      </c>
      <c r="AQ16" s="121">
        <f>IF(MONTH($G$3)&gt;=AQ$8,0,IF(AC16=0,AP16,AC16)+SUMIFS(预计变动!$F:$F,预计变动!$A:$A,$E16,预计变动!$B:$B,$F16,预计变动!$I:$I,"&gt;="&amp;AQ$9,预计变动!$I:$I,"&lt;="&amp;AQ$10))</f>
        <v>0</v>
      </c>
      <c r="AR16" s="121">
        <f>IF(MONTH($G$3)&gt;AR$8,0,IF(AD16=0,AQ16,AD16)+SUMIFS(预计变动!$F:$F,预计变动!$A:$A,$E16,预计变动!$B:$B,$F16,预计变动!$I:$I,"&gt;="&amp;AR$9,预计变动!$I:$I,"&lt;="&amp;AR$10))</f>
        <v>20</v>
      </c>
      <c r="AS16" s="121">
        <f>IF(MONTH($G$3)&gt;AS$8,0,IF(AE16=0,AR16,AE16)+SUMIFS(预计变动!$F:$F,预计变动!$A:$A,$E16,预计变动!$B:$B,$F16,预计变动!$I:$I,"&gt;="&amp;AS$9,预计变动!$I:$I,"&lt;="&amp;AS$10))</f>
        <v>20</v>
      </c>
      <c r="AT16" s="121">
        <f>IF(MONTH($G$3)&gt;AT$8,0,IF(AF16=0,AS16,AF16)+SUMIFS(预计变动!$F:$F,预计变动!$A:$A,$E16,预计变动!$B:$B,$F16,预计变动!$I:$I,"&gt;="&amp;AT$9,预计变动!$I:$I,"&lt;="&amp;AT$10))</f>
        <v>20</v>
      </c>
      <c r="AU16" s="121">
        <f t="shared" si="78"/>
        <v>20</v>
      </c>
      <c r="AV16" s="121">
        <f>AT16+SUMIFS(预计变动!$F:$F,预计变动!$A:$A,$E16,预计变动!$B:$B,$F16,预计变动!$I:$I,"&gt;="&amp;AV$9,预计变动!$I:$I,"&lt;="&amp;AV$10)</f>
        <v>20</v>
      </c>
      <c r="AW16" s="121">
        <f>AV16+SUMIFS(预计变动!$F:$F,预计变动!$A:$A,$E16,预计变动!$B:$B,$F16,预计变动!$I:$I,"&gt;="&amp;AW$9,预计变动!$I:$I,"&lt;="&amp;AW$10)</f>
        <v>20</v>
      </c>
      <c r="AX16" s="121">
        <f>AW16+SUMIFS(预计变动!$F:$F,预计变动!$A:$A,$E16,预计变动!$B:$B,$F16,预计变动!$I:$I,"&gt;="&amp;AX$9,预计变动!$I:$I,"&lt;="&amp;AX$10)</f>
        <v>20</v>
      </c>
      <c r="AY16" s="121">
        <f>AX16+SUMIFS(预计变动!$F:$F,预计变动!$A:$A,$E16,预计变动!$B:$B,$F16,预计变动!$I:$I,"&gt;="&amp;AY$9,预计变动!$I:$I,"&lt;="&amp;AY$10)</f>
        <v>20</v>
      </c>
      <c r="AZ16" s="121">
        <f>AY16+SUMIFS(预计变动!$F:$F,预计变动!$A:$A,$E16,预计变动!$B:$B,$F16,预计变动!$I:$I,"&gt;="&amp;AZ$9,预计变动!$I:$I,"&lt;="&amp;AZ$10)</f>
        <v>20</v>
      </c>
      <c r="BA16" s="121">
        <f>AZ16+SUMIFS(预计变动!$F:$F,预计变动!$A:$A,$E16,预计变动!$B:$B,$F16,预计变动!$I:$I,"&gt;="&amp;BA$9,预计变动!$I:$I,"&lt;="&amp;BA$10)</f>
        <v>20</v>
      </c>
      <c r="BB16" s="121">
        <f>BA16+SUMIFS(预计变动!$F:$F,预计变动!$A:$A,$E16,预计变动!$B:$B,$F16,预计变动!$I:$I,"&gt;="&amp;BB$9,预计变动!$I:$I,"&lt;="&amp;BB$10)</f>
        <v>20</v>
      </c>
      <c r="BC16" s="121">
        <f>BB16+SUMIFS(预计变动!$F:$F,预计变动!$A:$A,$E16,预计变动!$B:$B,$F16,预计变动!$I:$I,"&gt;="&amp;BC$9,预计变动!$I:$I,"&lt;="&amp;BC$10)</f>
        <v>20</v>
      </c>
      <c r="BD16" s="121">
        <f>BC16+SUMIFS(预计变动!$F:$F,预计变动!$A:$A,$E16,预计变动!$B:$B,$F16,预计变动!$I:$I,"&gt;="&amp;BD$9,预计变动!$I:$I,"&lt;="&amp;BD$10)</f>
        <v>20</v>
      </c>
      <c r="BE16" s="121">
        <f>BD16+SUMIFS(预计变动!$F:$F,预计变动!$A:$A,$E16,预计变动!$B:$B,$F16,预计变动!$I:$I,"&gt;="&amp;BE$9,预计变动!$I:$I,"&lt;="&amp;BE$10)</f>
        <v>20</v>
      </c>
      <c r="BF16" s="121">
        <f>BE16+SUMIFS(预计变动!$F:$F,预计变动!$A:$A,$E16,预计变动!$B:$B,$F16,预计变动!$I:$I,"&gt;="&amp;BF$9,预计变动!$I:$I,"&lt;="&amp;BF$10)</f>
        <v>20</v>
      </c>
      <c r="BG16" s="121">
        <f>BF16+SUMIFS(预计变动!$F:$F,预计变动!$A:$A,$E16,预计变动!$B:$B,$F16,预计变动!$I:$I,"&gt;="&amp;BG$9,预计变动!$I:$I,"&lt;="&amp;BG$10)</f>
        <v>20</v>
      </c>
    </row>
    <row r="17" ht="16.2" spans="3:59">
      <c r="C17" s="42"/>
      <c r="D17" s="42" t="s">
        <v>83</v>
      </c>
      <c r="E17" s="116" t="str">
        <f t="shared" si="79"/>
        <v>创新中心</v>
      </c>
      <c r="F17" s="116" t="str">
        <f t="shared" si="80"/>
        <v>产品
研发部</v>
      </c>
      <c r="G17" s="121">
        <f>COUNTIFS(人员状况!$C:$C,$E17,人员状况!$D:$D,$F17,人员状况!$G:$G,"&lt;="&amp;G$10,人员状况!$H:$H,"&gt;="&amp;G$10+1)</f>
        <v>8</v>
      </c>
      <c r="H17" s="121">
        <f>COUNTIFS(人员状况!$C:$C,$E17,人员状况!$D:$D,$F17,人员状况!$G:$G,"&lt;="&amp;H$10,人员状况!$H:$H,"&gt;="&amp;H$10+1)</f>
        <v>8</v>
      </c>
      <c r="I17" s="121">
        <f>COUNTIFS(人员状况!$C:$C,$E17,人员状况!$D:$D,$F17,人员状况!$G:$G,"&lt;="&amp;I$10,人员状况!$H:$H,"&gt;="&amp;I$10+1)</f>
        <v>8</v>
      </c>
      <c r="J17" s="121">
        <f>COUNTIFS(人员状况!$C:$C,$E17,人员状况!$D:$D,$F17,人员状况!$G:$G,"&lt;="&amp;J$10,人员状况!$H:$H,"&gt;="&amp;J$10+1)</f>
        <v>8</v>
      </c>
      <c r="K17" s="121">
        <f>COUNTIFS(人员状况!$C:$C,$E17,人员状况!$D:$D,$F17,人员状况!$G:$G,"&lt;="&amp;K$10,人员状况!$H:$H,"&gt;="&amp;K$10+1)</f>
        <v>8</v>
      </c>
      <c r="L17" s="121">
        <f>COUNTIFS(人员状况!$C:$C,$E17,人员状况!$D:$D,$F17,人员状况!$G:$G,"&lt;="&amp;L$10,人员状况!$H:$H,"&gt;="&amp;L$10+1)</f>
        <v>8</v>
      </c>
      <c r="M17" s="121">
        <f>COUNTIFS(人员状况!$C:$C,$E17,人员状况!$D:$D,$F17,人员状况!$G:$G,"&lt;="&amp;M$10,人员状况!$H:$H,"&gt;="&amp;M$10+1)</f>
        <v>8</v>
      </c>
      <c r="N17" s="121">
        <f>COUNTIFS(人员状况!$C:$C,$E17,人员状况!$D:$D,$F17,人员状况!$G:$G,"&lt;="&amp;N$10,人员状况!$H:$H,"&gt;="&amp;N$10+1)</f>
        <v>8</v>
      </c>
      <c r="O17" s="121">
        <f>COUNTIFS(人员状况!$C:$C,$E17,人员状况!$D:$D,$F17,人员状况!$G:$G,"&lt;="&amp;O$10,人员状况!$H:$H,"&gt;="&amp;O$10+1)</f>
        <v>8</v>
      </c>
      <c r="P17" s="121">
        <f>COUNTIFS(人员状况!$C:$C,$E17,人员状况!$D:$D,$F17,人员状况!$G:$G,"&lt;="&amp;P$10,人员状况!$H:$H,"&gt;="&amp;P$10+1)</f>
        <v>8</v>
      </c>
      <c r="Q17" s="121">
        <f>COUNTIFS(人员状况!$C:$C,$E17,人员状况!$D:$D,$F17,人员状况!$G:$G,"&lt;="&amp;Q$10,人员状况!$H:$H,"&gt;="&amp;Q$10+1)</f>
        <v>8</v>
      </c>
      <c r="R17" s="121">
        <f>COUNTIFS(人员状况!$C:$C,$E17,人员状况!$D:$D,$F17,人员状况!$G:$G,"&lt;="&amp;R$10,人员状况!$H:$H,"&gt;="&amp;R$10+1)</f>
        <v>8</v>
      </c>
      <c r="S17" s="121">
        <f>COUNTIFS(人员状况!$C:$C,$E17,人员状况!$D:$D,$F17,人员状况!$G:$G,"&lt;="&amp;S$10,人员状况!$H:$H,"&gt;="&amp;S$10+1)</f>
        <v>8</v>
      </c>
      <c r="T17" s="125">
        <f t="shared" si="76"/>
        <v>8</v>
      </c>
      <c r="U17" s="121">
        <f>COUNTIFS(人员状况!$C:$C,$E17,人员状况!$D:$D,$F17,人员状况!$G:$G,"&lt;="&amp;U$10,人员状况!$H:$H,"&gt;="&amp;U$10+1)</f>
        <v>8</v>
      </c>
      <c r="V17" s="121">
        <f>IF(MONTH($G$3)&gt;=V$8,COUNTIFS(人员状况!$C:$C,$E17,人员状况!$D:$D,$F17,人员状况!$G:$G,"&lt;="&amp;V$10,人员状况!$H:$H,"&gt;="&amp;V$10+1),0)</f>
        <v>8</v>
      </c>
      <c r="W17" s="121">
        <f>IF(MONTH($G$3)&gt;=W$8,COUNTIFS(人员状况!$C:$C,$E17,人员状况!$D:$D,$F17,人员状况!$G:$G,"&lt;="&amp;W$10,人员状况!$H:$H,"&gt;="&amp;W$10+1),0)</f>
        <v>8</v>
      </c>
      <c r="X17" s="121">
        <f>IF(MONTH($G$3)&gt;=X$8,COUNTIFS(人员状况!$C:$C,$E17,人员状况!$D:$D,$F17,人员状况!$G:$G,"&lt;="&amp;X$10,人员状况!$H:$H,"&gt;="&amp;X$10+1),0)</f>
        <v>8</v>
      </c>
      <c r="Y17" s="121">
        <f>IF(MONTH($G$3)&gt;=Y$8,COUNTIFS(人员状况!$C:$C,$E17,人员状况!$D:$D,$F17,人员状况!$G:$G,"&lt;="&amp;Y$10,人员状况!$H:$H,"&gt;="&amp;Y$10+1),0)</f>
        <v>8</v>
      </c>
      <c r="Z17" s="121">
        <f>IF(MONTH($G$3)&gt;=Z$8,COUNTIFS(人员状况!$C:$C,$E17,人员状况!$D:$D,$F17,人员状况!$G:$G,"&lt;="&amp;Z$10,人员状况!$H:$H,"&gt;="&amp;Z$10+1),0)</f>
        <v>8</v>
      </c>
      <c r="AA17" s="121">
        <f>IF(MONTH($G$3)&gt;=AA$8,COUNTIFS(人员状况!$C:$C,$E17,人员状况!$D:$D,$F17,人员状况!$G:$G,"&lt;="&amp;AA$10,人员状况!$H:$H,"&gt;="&amp;AA$10+1),0)</f>
        <v>8</v>
      </c>
      <c r="AB17" s="121">
        <f>IF(MONTH($G$3)&gt;=AB$8,COUNTIFS(人员状况!$C:$C,$E17,人员状况!$D:$D,$F17,人员状况!$G:$G,"&lt;="&amp;AB$10,人员状况!$H:$H,"&gt;="&amp;AB$10+1),0)</f>
        <v>8</v>
      </c>
      <c r="AC17" s="121">
        <f>IF(MONTH($G$3)&gt;=AC$8,COUNTIFS(人员状况!$C:$C,$E17,人员状况!$D:$D,$F17,人员状况!$G:$G,"&lt;="&amp;AC$10,人员状况!$H:$H,"&gt;="&amp;AC$10+1),0)</f>
        <v>8</v>
      </c>
      <c r="AD17" s="121">
        <f>IF(MONTH($G$3)&gt;=AD$8,COUNTIFS(人员状况!$C:$C,$E17,人员状况!$D:$D,$F17,人员状况!$G:$G,"&lt;="&amp;AD$10,人员状况!$H:$H,"&gt;="&amp;AD$10+1),0)</f>
        <v>8</v>
      </c>
      <c r="AE17" s="121">
        <f>IF(MONTH($G$3)&gt;=AE$8,COUNTIFS(人员状况!$C:$C,$E17,人员状况!$D:$D,$F17,人员状况!$G:$G,"&lt;="&amp;AE$10,人员状况!$H:$H,"&gt;="&amp;AE$10+1),0)</f>
        <v>0</v>
      </c>
      <c r="AF17" s="121">
        <f>IF(MONTH($G$3)&gt;=AF$8,COUNTIFS(人员状况!$C:$C,$E17,人员状况!$D:$D,$F17,人员状况!$G:$G,"&lt;="&amp;AF$10,人员状况!$H:$H,"&gt;="&amp;AF$10+1),0)</f>
        <v>0</v>
      </c>
      <c r="AG17" s="121">
        <f>IF(MONTH($G$3)&gt;=AG$8,COUNTIFS(人员状况!$C:$C,$E17,人员状况!$D:$D,$F17,人员状况!$G:$G,"&lt;="&amp;AG$10,人员状况!$H:$H,"&gt;="&amp;AG$10+1),0)</f>
        <v>0</v>
      </c>
      <c r="AH17" s="121">
        <f t="shared" si="77"/>
        <v>8</v>
      </c>
      <c r="AI17" s="121">
        <f>IF(MONTH($G$3)&gt;=AI$8,0,S17+SUMIFS(预计变动!$F:$F,预计变动!$A:$A,$E17,预计变动!$B:$B,$F17,预计变动!$I:$I,"&gt;="&amp;AI$9,预计变动!$I:$I,"&lt;="&amp;AI$10))</f>
        <v>0</v>
      </c>
      <c r="AJ17" s="121">
        <f>IF(MONTH($G$3)&gt;=AJ$8,0,IF(V17=0,AI17,V17)+SUMIFS(预计变动!$F:$F,预计变动!$A:$A,$E17,预计变动!$B:$B,$F17,预计变动!$I:$I,"&gt;="&amp;AJ$9,预计变动!$I:$I,"&lt;="&amp;AJ$10))</f>
        <v>0</v>
      </c>
      <c r="AK17" s="121">
        <f>IF(MONTH($G$3)&gt;=AK$8,0,IF(W17=0,AJ17,W17)+SUMIFS(预计变动!$F:$F,预计变动!$A:$A,$E17,预计变动!$B:$B,$F17,预计变动!$I:$I,"&gt;="&amp;AK$9,预计变动!$I:$I,"&lt;="&amp;AK$10))</f>
        <v>0</v>
      </c>
      <c r="AL17" s="121">
        <f>IF(MONTH($G$3)&gt;=AL$8,0,IF(X17=0,AK17,X17)+SUMIFS(预计变动!$F:$F,预计变动!$A:$A,$E17,预计变动!$B:$B,$F17,预计变动!$I:$I,"&gt;="&amp;AL$9,预计变动!$I:$I,"&lt;="&amp;AL$10))</f>
        <v>0</v>
      </c>
      <c r="AM17" s="121">
        <f>IF(MONTH($G$3)&gt;=AM$8,0,IF(Y17=0,AL17,Y17)+SUMIFS(预计变动!$F:$F,预计变动!$A:$A,$E17,预计变动!$B:$B,$F17,预计变动!$I:$I,"&gt;="&amp;AM$9,预计变动!$I:$I,"&lt;="&amp;AM$10))</f>
        <v>0</v>
      </c>
      <c r="AN17" s="121">
        <f>IF(MONTH($G$3)&gt;=AN$8,0,IF(Z17=0,AM17,Z17)+SUMIFS(预计变动!$F:$F,预计变动!$A:$A,$E17,预计变动!$B:$B,$F17,预计变动!$I:$I,"&gt;="&amp;AN$9,预计变动!$I:$I,"&lt;="&amp;AN$10))</f>
        <v>0</v>
      </c>
      <c r="AO17" s="121">
        <f>IF(MONTH($G$3)&gt;=AO$8,0,IF(AA17=0,AN17,AA17)+SUMIFS(预计变动!$F:$F,预计变动!$A:$A,$E17,预计变动!$B:$B,$F17,预计变动!$I:$I,"&gt;="&amp;AO$9,预计变动!$I:$I,"&lt;="&amp;AO$10))</f>
        <v>0</v>
      </c>
      <c r="AP17" s="121">
        <f>IF(MONTH($G$3)&gt;=AP$8,0,IF(AB17=0,AO17,AB17)+SUMIFS(预计变动!$F:$F,预计变动!$A:$A,$E17,预计变动!$B:$B,$F17,预计变动!$I:$I,"&gt;="&amp;AP$9,预计变动!$I:$I,"&lt;="&amp;AP$10))</f>
        <v>0</v>
      </c>
      <c r="AQ17" s="121">
        <f>IF(MONTH($G$3)&gt;=AQ$8,0,IF(AC17=0,AP17,AC17)+SUMIFS(预计变动!$F:$F,预计变动!$A:$A,$E17,预计变动!$B:$B,$F17,预计变动!$I:$I,"&gt;="&amp;AQ$9,预计变动!$I:$I,"&lt;="&amp;AQ$10))</f>
        <v>0</v>
      </c>
      <c r="AR17" s="121">
        <f>IF(MONTH($G$3)&gt;AR$8,0,IF(AD17=0,AQ17,AD17)+SUMIFS(预计变动!$F:$F,预计变动!$A:$A,$E17,预计变动!$B:$B,$F17,预计变动!$I:$I,"&gt;="&amp;AR$9,预计变动!$I:$I,"&lt;="&amp;AR$10))</f>
        <v>8</v>
      </c>
      <c r="AS17" s="121">
        <f>IF(MONTH($G$3)&gt;AS$8,0,IF(AE17=0,AR17,AE17)+SUMIFS(预计变动!$F:$F,预计变动!$A:$A,$E17,预计变动!$B:$B,$F17,预计变动!$I:$I,"&gt;="&amp;AS$9,预计变动!$I:$I,"&lt;="&amp;AS$10))</f>
        <v>8</v>
      </c>
      <c r="AT17" s="121">
        <f>IF(MONTH($G$3)&gt;AT$8,0,IF(AF17=0,AS17,AF17)+SUMIFS(预计变动!$F:$F,预计变动!$A:$A,$E17,预计变动!$B:$B,$F17,预计变动!$I:$I,"&gt;="&amp;AT$9,预计变动!$I:$I,"&lt;="&amp;AT$10))</f>
        <v>8</v>
      </c>
      <c r="AU17" s="121">
        <f t="shared" si="78"/>
        <v>8</v>
      </c>
      <c r="AV17" s="121">
        <f>AT17+SUMIFS(预计变动!$F:$F,预计变动!$A:$A,$E17,预计变动!$B:$B,$F17,预计变动!$I:$I,"&gt;="&amp;AV$9,预计变动!$I:$I,"&lt;="&amp;AV$10)</f>
        <v>8</v>
      </c>
      <c r="AW17" s="121">
        <f>AV17+SUMIFS(预计变动!$F:$F,预计变动!$A:$A,$E17,预计变动!$B:$B,$F17,预计变动!$I:$I,"&gt;="&amp;AW$9,预计变动!$I:$I,"&lt;="&amp;AW$10)</f>
        <v>8</v>
      </c>
      <c r="AX17" s="121">
        <f>AW17+SUMIFS(预计变动!$F:$F,预计变动!$A:$A,$E17,预计变动!$B:$B,$F17,预计变动!$I:$I,"&gt;="&amp;AX$9,预计变动!$I:$I,"&lt;="&amp;AX$10)</f>
        <v>8</v>
      </c>
      <c r="AY17" s="121">
        <f>AX17+SUMIFS(预计变动!$F:$F,预计变动!$A:$A,$E17,预计变动!$B:$B,$F17,预计变动!$I:$I,"&gt;="&amp;AY$9,预计变动!$I:$I,"&lt;="&amp;AY$10)</f>
        <v>8</v>
      </c>
      <c r="AZ17" s="121">
        <f>AY17+SUMIFS(预计变动!$F:$F,预计变动!$A:$A,$E17,预计变动!$B:$B,$F17,预计变动!$I:$I,"&gt;="&amp;AZ$9,预计变动!$I:$I,"&lt;="&amp;AZ$10)</f>
        <v>8</v>
      </c>
      <c r="BA17" s="121">
        <f>AZ17+SUMIFS(预计变动!$F:$F,预计变动!$A:$A,$E17,预计变动!$B:$B,$F17,预计变动!$I:$I,"&gt;="&amp;BA$9,预计变动!$I:$I,"&lt;="&amp;BA$10)</f>
        <v>8</v>
      </c>
      <c r="BB17" s="121">
        <f>BA17+SUMIFS(预计变动!$F:$F,预计变动!$A:$A,$E17,预计变动!$B:$B,$F17,预计变动!$I:$I,"&gt;="&amp;BB$9,预计变动!$I:$I,"&lt;="&amp;BB$10)</f>
        <v>8</v>
      </c>
      <c r="BC17" s="121">
        <f>BB17+SUMIFS(预计变动!$F:$F,预计变动!$A:$A,$E17,预计变动!$B:$B,$F17,预计变动!$I:$I,"&gt;="&amp;BC$9,预计变动!$I:$I,"&lt;="&amp;BC$10)</f>
        <v>8</v>
      </c>
      <c r="BD17" s="121">
        <f>BC17+SUMIFS(预计变动!$F:$F,预计变动!$A:$A,$E17,预计变动!$B:$B,$F17,预计变动!$I:$I,"&gt;="&amp;BD$9,预计变动!$I:$I,"&lt;="&amp;BD$10)</f>
        <v>8</v>
      </c>
      <c r="BE17" s="121">
        <f>BD17+SUMIFS(预计变动!$F:$F,预计变动!$A:$A,$E17,预计变动!$B:$B,$F17,预计变动!$I:$I,"&gt;="&amp;BE$9,预计变动!$I:$I,"&lt;="&amp;BE$10)</f>
        <v>8</v>
      </c>
      <c r="BF17" s="121">
        <f>BE17+SUMIFS(预计变动!$F:$F,预计变动!$A:$A,$E17,预计变动!$B:$B,$F17,预计变动!$I:$I,"&gt;="&amp;BF$9,预计变动!$I:$I,"&lt;="&amp;BF$10)</f>
        <v>8</v>
      </c>
      <c r="BG17" s="121">
        <f>BF17+SUMIFS(预计变动!$F:$F,预计变动!$A:$A,$E17,预计变动!$B:$B,$F17,预计变动!$I:$I,"&gt;="&amp;BG$9,预计变动!$I:$I,"&lt;="&amp;BG$10)</f>
        <v>8</v>
      </c>
    </row>
    <row r="18" ht="16.2" spans="3:59">
      <c r="C18" s="42"/>
      <c r="D18" s="42" t="s">
        <v>84</v>
      </c>
      <c r="E18" s="116" t="str">
        <f t="shared" si="79"/>
        <v>创新中心</v>
      </c>
      <c r="F18" s="116" t="str">
        <f t="shared" si="80"/>
        <v>XX
试验室</v>
      </c>
      <c r="G18" s="121">
        <f>COUNTIFS(人员状况!$C:$C,$E18,人员状况!$D:$D,$F18,人员状况!$G:$G,"&lt;="&amp;G$10,人员状况!$H:$H,"&gt;="&amp;G$10+1)</f>
        <v>5</v>
      </c>
      <c r="H18" s="121">
        <f>COUNTIFS(人员状况!$C:$C,$E18,人员状况!$D:$D,$F18,人员状况!$G:$G,"&lt;="&amp;H$10,人员状况!$H:$H,"&gt;="&amp;H$10+1)</f>
        <v>5</v>
      </c>
      <c r="I18" s="121">
        <f>COUNTIFS(人员状况!$C:$C,$E18,人员状况!$D:$D,$F18,人员状况!$G:$G,"&lt;="&amp;I$10,人员状况!$H:$H,"&gt;="&amp;I$10+1)</f>
        <v>5</v>
      </c>
      <c r="J18" s="121">
        <f>COUNTIFS(人员状况!$C:$C,$E18,人员状况!$D:$D,$F18,人员状况!$G:$G,"&lt;="&amp;J$10,人员状况!$H:$H,"&gt;="&amp;J$10+1)</f>
        <v>5</v>
      </c>
      <c r="K18" s="121">
        <f>COUNTIFS(人员状况!$C:$C,$E18,人员状况!$D:$D,$F18,人员状况!$G:$G,"&lt;="&amp;K$10,人员状况!$H:$H,"&gt;="&amp;K$10+1)</f>
        <v>5</v>
      </c>
      <c r="L18" s="121">
        <f>COUNTIFS(人员状况!$C:$C,$E18,人员状况!$D:$D,$F18,人员状况!$G:$G,"&lt;="&amp;L$10,人员状况!$H:$H,"&gt;="&amp;L$10+1)</f>
        <v>5</v>
      </c>
      <c r="M18" s="121">
        <f>COUNTIFS(人员状况!$C:$C,$E18,人员状况!$D:$D,$F18,人员状况!$G:$G,"&lt;="&amp;M$10,人员状况!$H:$H,"&gt;="&amp;M$10+1)</f>
        <v>5</v>
      </c>
      <c r="N18" s="121">
        <f>COUNTIFS(人员状况!$C:$C,$E18,人员状况!$D:$D,$F18,人员状况!$G:$G,"&lt;="&amp;N$10,人员状况!$H:$H,"&gt;="&amp;N$10+1)</f>
        <v>5</v>
      </c>
      <c r="O18" s="121">
        <f>COUNTIFS(人员状况!$C:$C,$E18,人员状况!$D:$D,$F18,人员状况!$G:$G,"&lt;="&amp;O$10,人员状况!$H:$H,"&gt;="&amp;O$10+1)</f>
        <v>5</v>
      </c>
      <c r="P18" s="121">
        <f>COUNTIFS(人员状况!$C:$C,$E18,人员状况!$D:$D,$F18,人员状况!$G:$G,"&lt;="&amp;P$10,人员状况!$H:$H,"&gt;="&amp;P$10+1)</f>
        <v>5</v>
      </c>
      <c r="Q18" s="121">
        <f>COUNTIFS(人员状况!$C:$C,$E18,人员状况!$D:$D,$F18,人员状况!$G:$G,"&lt;="&amp;Q$10,人员状况!$H:$H,"&gt;="&amp;Q$10+1)</f>
        <v>5</v>
      </c>
      <c r="R18" s="121">
        <f>COUNTIFS(人员状况!$C:$C,$E18,人员状况!$D:$D,$F18,人员状况!$G:$G,"&lt;="&amp;R$10,人员状况!$H:$H,"&gt;="&amp;R$10+1)</f>
        <v>5</v>
      </c>
      <c r="S18" s="121">
        <f>COUNTIFS(人员状况!$C:$C,$E18,人员状况!$D:$D,$F18,人员状况!$G:$G,"&lt;="&amp;S$10,人员状况!$H:$H,"&gt;="&amp;S$10+1)</f>
        <v>5</v>
      </c>
      <c r="T18" s="125">
        <f t="shared" si="76"/>
        <v>5</v>
      </c>
      <c r="U18" s="121">
        <f>COUNTIFS(人员状况!$C:$C,$E18,人员状况!$D:$D,$F18,人员状况!$G:$G,"&lt;="&amp;U$10,人员状况!$H:$H,"&gt;="&amp;U$10+1)</f>
        <v>5</v>
      </c>
      <c r="V18" s="121">
        <f>IF(MONTH($G$3)&gt;=V$8,COUNTIFS(人员状况!$C:$C,$E18,人员状况!$D:$D,$F18,人员状况!$G:$G,"&lt;="&amp;V$10,人员状况!$H:$H,"&gt;="&amp;V$10+1),0)</f>
        <v>5</v>
      </c>
      <c r="W18" s="121">
        <f>IF(MONTH($G$3)&gt;=W$8,COUNTIFS(人员状况!$C:$C,$E18,人员状况!$D:$D,$F18,人员状况!$G:$G,"&lt;="&amp;W$10,人员状况!$H:$H,"&gt;="&amp;W$10+1),0)</f>
        <v>5</v>
      </c>
      <c r="X18" s="121">
        <f>IF(MONTH($G$3)&gt;=X$8,COUNTIFS(人员状况!$C:$C,$E18,人员状况!$D:$D,$F18,人员状况!$G:$G,"&lt;="&amp;X$10,人员状况!$H:$H,"&gt;="&amp;X$10+1),0)</f>
        <v>5</v>
      </c>
      <c r="Y18" s="121">
        <f>IF(MONTH($G$3)&gt;=Y$8,COUNTIFS(人员状况!$C:$C,$E18,人员状况!$D:$D,$F18,人员状况!$G:$G,"&lt;="&amp;Y$10,人员状况!$H:$H,"&gt;="&amp;Y$10+1),0)</f>
        <v>5</v>
      </c>
      <c r="Z18" s="121">
        <f>IF(MONTH($G$3)&gt;=Z$8,COUNTIFS(人员状况!$C:$C,$E18,人员状况!$D:$D,$F18,人员状况!$G:$G,"&lt;="&amp;Z$10,人员状况!$H:$H,"&gt;="&amp;Z$10+1),0)</f>
        <v>5</v>
      </c>
      <c r="AA18" s="121">
        <f>IF(MONTH($G$3)&gt;=AA$8,COUNTIFS(人员状况!$C:$C,$E18,人员状况!$D:$D,$F18,人员状况!$G:$G,"&lt;="&amp;AA$10,人员状况!$H:$H,"&gt;="&amp;AA$10+1),0)</f>
        <v>5</v>
      </c>
      <c r="AB18" s="121">
        <f>IF(MONTH($G$3)&gt;=AB$8,COUNTIFS(人员状况!$C:$C,$E18,人员状况!$D:$D,$F18,人员状况!$G:$G,"&lt;="&amp;AB$10,人员状况!$H:$H,"&gt;="&amp;AB$10+1),0)</f>
        <v>5</v>
      </c>
      <c r="AC18" s="121">
        <f>IF(MONTH($G$3)&gt;=AC$8,COUNTIFS(人员状况!$C:$C,$E18,人员状况!$D:$D,$F18,人员状况!$G:$G,"&lt;="&amp;AC$10,人员状况!$H:$H,"&gt;="&amp;AC$10+1),0)</f>
        <v>5</v>
      </c>
      <c r="AD18" s="121">
        <f>IF(MONTH($G$3)&gt;=AD$8,COUNTIFS(人员状况!$C:$C,$E18,人员状况!$D:$D,$F18,人员状况!$G:$G,"&lt;="&amp;AD$10,人员状况!$H:$H,"&gt;="&amp;AD$10+1),0)</f>
        <v>5</v>
      </c>
      <c r="AE18" s="121">
        <f>IF(MONTH($G$3)&gt;=AE$8,COUNTIFS(人员状况!$C:$C,$E18,人员状况!$D:$D,$F18,人员状况!$G:$G,"&lt;="&amp;AE$10,人员状况!$H:$H,"&gt;="&amp;AE$10+1),0)</f>
        <v>0</v>
      </c>
      <c r="AF18" s="121">
        <f>IF(MONTH($G$3)&gt;=AF$8,COUNTIFS(人员状况!$C:$C,$E18,人员状况!$D:$D,$F18,人员状况!$G:$G,"&lt;="&amp;AF$10,人员状况!$H:$H,"&gt;="&amp;AF$10+1),0)</f>
        <v>0</v>
      </c>
      <c r="AG18" s="121">
        <f>IF(MONTH($G$3)&gt;=AG$8,COUNTIFS(人员状况!$C:$C,$E18,人员状况!$D:$D,$F18,人员状况!$G:$G,"&lt;="&amp;AG$10,人员状况!$H:$H,"&gt;="&amp;AG$10+1),0)</f>
        <v>0</v>
      </c>
      <c r="AH18" s="121">
        <f t="shared" si="77"/>
        <v>5</v>
      </c>
      <c r="AI18" s="121">
        <f>IF(MONTH($G$3)&gt;=AI$8,0,S18+SUMIFS(预计变动!$F:$F,预计变动!$A:$A,$E18,预计变动!$B:$B,$F18,预计变动!$I:$I,"&gt;="&amp;AI$9,预计变动!$I:$I,"&lt;="&amp;AI$10))</f>
        <v>0</v>
      </c>
      <c r="AJ18" s="121">
        <f>IF(MONTH($G$3)&gt;=AJ$8,0,IF(V18=0,AI18,V18)+SUMIFS(预计变动!$F:$F,预计变动!$A:$A,$E18,预计变动!$B:$B,$F18,预计变动!$I:$I,"&gt;="&amp;AJ$9,预计变动!$I:$I,"&lt;="&amp;AJ$10))</f>
        <v>0</v>
      </c>
      <c r="AK18" s="121">
        <f>IF(MONTH($G$3)&gt;=AK$8,0,IF(W18=0,AJ18,W18)+SUMIFS(预计变动!$F:$F,预计变动!$A:$A,$E18,预计变动!$B:$B,$F18,预计变动!$I:$I,"&gt;="&amp;AK$9,预计变动!$I:$I,"&lt;="&amp;AK$10))</f>
        <v>0</v>
      </c>
      <c r="AL18" s="121">
        <f>IF(MONTH($G$3)&gt;=AL$8,0,IF(X18=0,AK18,X18)+SUMIFS(预计变动!$F:$F,预计变动!$A:$A,$E18,预计变动!$B:$B,$F18,预计变动!$I:$I,"&gt;="&amp;AL$9,预计变动!$I:$I,"&lt;="&amp;AL$10))</f>
        <v>0</v>
      </c>
      <c r="AM18" s="121">
        <f>IF(MONTH($G$3)&gt;=AM$8,0,IF(Y18=0,AL18,Y18)+SUMIFS(预计变动!$F:$F,预计变动!$A:$A,$E18,预计变动!$B:$B,$F18,预计变动!$I:$I,"&gt;="&amp;AM$9,预计变动!$I:$I,"&lt;="&amp;AM$10))</f>
        <v>0</v>
      </c>
      <c r="AN18" s="121">
        <f>IF(MONTH($G$3)&gt;=AN$8,0,IF(Z18=0,AM18,Z18)+SUMIFS(预计变动!$F:$F,预计变动!$A:$A,$E18,预计变动!$B:$B,$F18,预计变动!$I:$I,"&gt;="&amp;AN$9,预计变动!$I:$I,"&lt;="&amp;AN$10))</f>
        <v>0</v>
      </c>
      <c r="AO18" s="121">
        <f>IF(MONTH($G$3)&gt;=AO$8,0,IF(AA18=0,AN18,AA18)+SUMIFS(预计变动!$F:$F,预计变动!$A:$A,$E18,预计变动!$B:$B,$F18,预计变动!$I:$I,"&gt;="&amp;AO$9,预计变动!$I:$I,"&lt;="&amp;AO$10))</f>
        <v>0</v>
      </c>
      <c r="AP18" s="121">
        <f>IF(MONTH($G$3)&gt;=AP$8,0,IF(AB18=0,AO18,AB18)+SUMIFS(预计变动!$F:$F,预计变动!$A:$A,$E18,预计变动!$B:$B,$F18,预计变动!$I:$I,"&gt;="&amp;AP$9,预计变动!$I:$I,"&lt;="&amp;AP$10))</f>
        <v>0</v>
      </c>
      <c r="AQ18" s="121">
        <f>IF(MONTH($G$3)&gt;=AQ$8,0,IF(AC18=0,AP18,AC18)+SUMIFS(预计变动!$F:$F,预计变动!$A:$A,$E18,预计变动!$B:$B,$F18,预计变动!$I:$I,"&gt;="&amp;AQ$9,预计变动!$I:$I,"&lt;="&amp;AQ$10))</f>
        <v>0</v>
      </c>
      <c r="AR18" s="121">
        <f>IF(MONTH($G$3)&gt;AR$8,0,IF(AD18=0,AQ18,AD18)+SUMIFS(预计变动!$F:$F,预计变动!$A:$A,$E18,预计变动!$B:$B,$F18,预计变动!$I:$I,"&gt;="&amp;AR$9,预计变动!$I:$I,"&lt;="&amp;AR$10))</f>
        <v>5</v>
      </c>
      <c r="AS18" s="121">
        <f>IF(MONTH($G$3)&gt;AS$8,0,IF(AE18=0,AR18,AE18)+SUMIFS(预计变动!$F:$F,预计变动!$A:$A,$E18,预计变动!$B:$B,$F18,预计变动!$I:$I,"&gt;="&amp;AS$9,预计变动!$I:$I,"&lt;="&amp;AS$10))</f>
        <v>5</v>
      </c>
      <c r="AT18" s="121">
        <f>IF(MONTH($G$3)&gt;AT$8,0,IF(AF18=0,AS18,AF18)+SUMIFS(预计变动!$F:$F,预计变动!$A:$A,$E18,预计变动!$B:$B,$F18,预计变动!$I:$I,"&gt;="&amp;AT$9,预计变动!$I:$I,"&lt;="&amp;AT$10))</f>
        <v>5</v>
      </c>
      <c r="AU18" s="121">
        <f t="shared" si="78"/>
        <v>5</v>
      </c>
      <c r="AV18" s="121">
        <f>AT18+SUMIFS(预计变动!$F:$F,预计变动!$A:$A,$E18,预计变动!$B:$B,$F18,预计变动!$I:$I,"&gt;="&amp;AV$9,预计变动!$I:$I,"&lt;="&amp;AV$10)</f>
        <v>5</v>
      </c>
      <c r="AW18" s="121">
        <f>AV18+SUMIFS(预计变动!$F:$F,预计变动!$A:$A,$E18,预计变动!$B:$B,$F18,预计变动!$I:$I,"&gt;="&amp;AW$9,预计变动!$I:$I,"&lt;="&amp;AW$10)</f>
        <v>5</v>
      </c>
      <c r="AX18" s="121">
        <f>AW18+SUMIFS(预计变动!$F:$F,预计变动!$A:$A,$E18,预计变动!$B:$B,$F18,预计变动!$I:$I,"&gt;="&amp;AX$9,预计变动!$I:$I,"&lt;="&amp;AX$10)</f>
        <v>5</v>
      </c>
      <c r="AY18" s="121">
        <f>AX18+SUMIFS(预计变动!$F:$F,预计变动!$A:$A,$E18,预计变动!$B:$B,$F18,预计变动!$I:$I,"&gt;="&amp;AY$9,预计变动!$I:$I,"&lt;="&amp;AY$10)</f>
        <v>5</v>
      </c>
      <c r="AZ18" s="121">
        <f>AY18+SUMIFS(预计变动!$F:$F,预计变动!$A:$A,$E18,预计变动!$B:$B,$F18,预计变动!$I:$I,"&gt;="&amp;AZ$9,预计变动!$I:$I,"&lt;="&amp;AZ$10)</f>
        <v>5</v>
      </c>
      <c r="BA18" s="121">
        <f>AZ18+SUMIFS(预计变动!$F:$F,预计变动!$A:$A,$E18,预计变动!$B:$B,$F18,预计变动!$I:$I,"&gt;="&amp;BA$9,预计变动!$I:$I,"&lt;="&amp;BA$10)</f>
        <v>5</v>
      </c>
      <c r="BB18" s="121">
        <f>BA18+SUMIFS(预计变动!$F:$F,预计变动!$A:$A,$E18,预计变动!$B:$B,$F18,预计变动!$I:$I,"&gt;="&amp;BB$9,预计变动!$I:$I,"&lt;="&amp;BB$10)</f>
        <v>5</v>
      </c>
      <c r="BC18" s="121">
        <f>BB18+SUMIFS(预计变动!$F:$F,预计变动!$A:$A,$E18,预计变动!$B:$B,$F18,预计变动!$I:$I,"&gt;="&amp;BC$9,预计变动!$I:$I,"&lt;="&amp;BC$10)</f>
        <v>5</v>
      </c>
      <c r="BD18" s="121">
        <f>BC18+SUMIFS(预计变动!$F:$F,预计变动!$A:$A,$E18,预计变动!$B:$B,$F18,预计变动!$I:$I,"&gt;="&amp;BD$9,预计变动!$I:$I,"&lt;="&amp;BD$10)</f>
        <v>5</v>
      </c>
      <c r="BE18" s="121">
        <f>BD18+SUMIFS(预计变动!$F:$F,预计变动!$A:$A,$E18,预计变动!$B:$B,$F18,预计变动!$I:$I,"&gt;="&amp;BE$9,预计变动!$I:$I,"&lt;="&amp;BE$10)</f>
        <v>5</v>
      </c>
      <c r="BF18" s="121">
        <f>BE18+SUMIFS(预计变动!$F:$F,预计变动!$A:$A,$E18,预计变动!$B:$B,$F18,预计变动!$I:$I,"&gt;="&amp;BF$9,预计变动!$I:$I,"&lt;="&amp;BF$10)</f>
        <v>5</v>
      </c>
      <c r="BG18" s="121">
        <f>BF18+SUMIFS(预计变动!$F:$F,预计变动!$A:$A,$E18,预计变动!$B:$B,$F18,预计变动!$I:$I,"&gt;="&amp;BG$9,预计变动!$I:$I,"&lt;="&amp;BG$10)</f>
        <v>5</v>
      </c>
    </row>
    <row r="19" ht="16.2" spans="3:59">
      <c r="C19" s="42"/>
      <c r="D19" s="42" t="s">
        <v>85</v>
      </c>
      <c r="E19" s="116" t="str">
        <f t="shared" si="79"/>
        <v>创新中心</v>
      </c>
      <c r="F19" s="116" t="str">
        <f t="shared" si="80"/>
        <v>XX
孵化业务</v>
      </c>
      <c r="G19" s="121">
        <f>COUNTIFS(人员状况!$C:$C,$E19,人员状况!$D:$D,$F19,人员状况!$G:$G,"&lt;="&amp;G$10,人员状况!$H:$H,"&gt;="&amp;G$10+1)</f>
        <v>6</v>
      </c>
      <c r="H19" s="121">
        <f>COUNTIFS(人员状况!$C:$C,$E19,人员状况!$D:$D,$F19,人员状况!$G:$G,"&lt;="&amp;H$10,人员状况!$H:$H,"&gt;="&amp;H$10+1)</f>
        <v>6</v>
      </c>
      <c r="I19" s="121">
        <f>COUNTIFS(人员状况!$C:$C,$E19,人员状况!$D:$D,$F19,人员状况!$G:$G,"&lt;="&amp;I$10,人员状况!$H:$H,"&gt;="&amp;I$10+1)</f>
        <v>6</v>
      </c>
      <c r="J19" s="121">
        <f>COUNTIFS(人员状况!$C:$C,$E19,人员状况!$D:$D,$F19,人员状况!$G:$G,"&lt;="&amp;J$10,人员状况!$H:$H,"&gt;="&amp;J$10+1)</f>
        <v>6</v>
      </c>
      <c r="K19" s="121">
        <f>COUNTIFS(人员状况!$C:$C,$E19,人员状况!$D:$D,$F19,人员状况!$G:$G,"&lt;="&amp;K$10,人员状况!$H:$H,"&gt;="&amp;K$10+1)</f>
        <v>6</v>
      </c>
      <c r="L19" s="121">
        <f>COUNTIFS(人员状况!$C:$C,$E19,人员状况!$D:$D,$F19,人员状况!$G:$G,"&lt;="&amp;L$10,人员状况!$H:$H,"&gt;="&amp;L$10+1)</f>
        <v>6</v>
      </c>
      <c r="M19" s="121">
        <f>COUNTIFS(人员状况!$C:$C,$E19,人员状况!$D:$D,$F19,人员状况!$G:$G,"&lt;="&amp;M$10,人员状况!$H:$H,"&gt;="&amp;M$10+1)</f>
        <v>6</v>
      </c>
      <c r="N19" s="121">
        <f>COUNTIFS(人员状况!$C:$C,$E19,人员状况!$D:$D,$F19,人员状况!$G:$G,"&lt;="&amp;N$10,人员状况!$H:$H,"&gt;="&amp;N$10+1)</f>
        <v>6</v>
      </c>
      <c r="O19" s="121">
        <f>COUNTIFS(人员状况!$C:$C,$E19,人员状况!$D:$D,$F19,人员状况!$G:$G,"&lt;="&amp;O$10,人员状况!$H:$H,"&gt;="&amp;O$10+1)</f>
        <v>6</v>
      </c>
      <c r="P19" s="121">
        <f>COUNTIFS(人员状况!$C:$C,$E19,人员状况!$D:$D,$F19,人员状况!$G:$G,"&lt;="&amp;P$10,人员状况!$H:$H,"&gt;="&amp;P$10+1)</f>
        <v>6</v>
      </c>
      <c r="Q19" s="121">
        <f>COUNTIFS(人员状况!$C:$C,$E19,人员状况!$D:$D,$F19,人员状况!$G:$G,"&lt;="&amp;Q$10,人员状况!$H:$H,"&gt;="&amp;Q$10+1)</f>
        <v>6</v>
      </c>
      <c r="R19" s="121">
        <f>COUNTIFS(人员状况!$C:$C,$E19,人员状况!$D:$D,$F19,人员状况!$G:$G,"&lt;="&amp;R$10,人员状况!$H:$H,"&gt;="&amp;R$10+1)</f>
        <v>6</v>
      </c>
      <c r="S19" s="121">
        <f>COUNTIFS(人员状况!$C:$C,$E19,人员状况!$D:$D,$F19,人员状况!$G:$G,"&lt;="&amp;S$10,人员状况!$H:$H,"&gt;="&amp;S$10+1)</f>
        <v>6</v>
      </c>
      <c r="T19" s="125">
        <f t="shared" si="76"/>
        <v>7</v>
      </c>
      <c r="U19" s="121">
        <f>COUNTIFS(人员状况!$C:$C,$E19,人员状况!$D:$D,$F19,人员状况!$G:$G,"&lt;="&amp;U$10,人员状况!$H:$H,"&gt;="&amp;U$10+1)</f>
        <v>7</v>
      </c>
      <c r="V19" s="121">
        <f>IF(MONTH($G$3)&gt;=V$8,COUNTIFS(人员状况!$C:$C,$E19,人员状况!$D:$D,$F19,人员状况!$G:$G,"&lt;="&amp;V$10,人员状况!$H:$H,"&gt;="&amp;V$10+1),0)</f>
        <v>6</v>
      </c>
      <c r="W19" s="121">
        <f>IF(MONTH($G$3)&gt;=W$8,COUNTIFS(人员状况!$C:$C,$E19,人员状况!$D:$D,$F19,人员状况!$G:$G,"&lt;="&amp;W$10,人员状况!$H:$H,"&gt;="&amp;W$10+1),0)</f>
        <v>6</v>
      </c>
      <c r="X19" s="121">
        <f>IF(MONTH($G$3)&gt;=X$8,COUNTIFS(人员状况!$C:$C,$E19,人员状况!$D:$D,$F19,人员状况!$G:$G,"&lt;="&amp;X$10,人员状况!$H:$H,"&gt;="&amp;X$10+1),0)</f>
        <v>6</v>
      </c>
      <c r="Y19" s="121">
        <f>IF(MONTH($G$3)&gt;=Y$8,COUNTIFS(人员状况!$C:$C,$E19,人员状况!$D:$D,$F19,人员状况!$G:$G,"&lt;="&amp;Y$10,人员状况!$H:$H,"&gt;="&amp;Y$10+1),0)</f>
        <v>6</v>
      </c>
      <c r="Z19" s="121">
        <f>IF(MONTH($G$3)&gt;=Z$8,COUNTIFS(人员状况!$C:$C,$E19,人员状况!$D:$D,$F19,人员状况!$G:$G,"&lt;="&amp;Z$10,人员状况!$H:$H,"&gt;="&amp;Z$10+1),0)</f>
        <v>6</v>
      </c>
      <c r="AA19" s="121">
        <f>IF(MONTH($G$3)&gt;=AA$8,COUNTIFS(人员状况!$C:$C,$E19,人员状况!$D:$D,$F19,人员状况!$G:$G,"&lt;="&amp;AA$10,人员状况!$H:$H,"&gt;="&amp;AA$10+1),0)</f>
        <v>6</v>
      </c>
      <c r="AB19" s="121">
        <f>IF(MONTH($G$3)&gt;=AB$8,COUNTIFS(人员状况!$C:$C,$E19,人员状况!$D:$D,$F19,人员状况!$G:$G,"&lt;="&amp;AB$10,人员状况!$H:$H,"&gt;="&amp;AB$10+1),0)</f>
        <v>7</v>
      </c>
      <c r="AC19" s="121">
        <f>IF(MONTH($G$3)&gt;=AC$8,COUNTIFS(人员状况!$C:$C,$E19,人员状况!$D:$D,$F19,人员状况!$G:$G,"&lt;="&amp;AC$10,人员状况!$H:$H,"&gt;="&amp;AC$10+1),0)</f>
        <v>7</v>
      </c>
      <c r="AD19" s="121">
        <f>IF(MONTH($G$3)&gt;=AD$8,COUNTIFS(人员状况!$C:$C,$E19,人员状况!$D:$D,$F19,人员状况!$G:$G,"&lt;="&amp;AD$10,人员状况!$H:$H,"&gt;="&amp;AD$10+1),0)</f>
        <v>7</v>
      </c>
      <c r="AE19" s="121">
        <f>IF(MONTH($G$3)&gt;=AE$8,COUNTIFS(人员状况!$C:$C,$E19,人员状况!$D:$D,$F19,人员状况!$G:$G,"&lt;="&amp;AE$10,人员状况!$H:$H,"&gt;="&amp;AE$10+1),0)</f>
        <v>0</v>
      </c>
      <c r="AF19" s="121">
        <f>IF(MONTH($G$3)&gt;=AF$8,COUNTIFS(人员状况!$C:$C,$E19,人员状况!$D:$D,$F19,人员状况!$G:$G,"&lt;="&amp;AF$10,人员状况!$H:$H,"&gt;="&amp;AF$10+1),0)</f>
        <v>0</v>
      </c>
      <c r="AG19" s="121">
        <f>IF(MONTH($G$3)&gt;=AG$8,COUNTIFS(人员状况!$C:$C,$E19,人员状况!$D:$D,$F19,人员状况!$G:$G,"&lt;="&amp;AG$10,人员状况!$H:$H,"&gt;="&amp;AG$10+1),0)</f>
        <v>0</v>
      </c>
      <c r="AH19" s="121">
        <f t="shared" si="77"/>
        <v>7</v>
      </c>
      <c r="AI19" s="121">
        <f>IF(MONTH($G$3)&gt;=AI$8,0,S19+SUMIFS(预计变动!$F:$F,预计变动!$A:$A,$E19,预计变动!$B:$B,$F19,预计变动!$I:$I,"&gt;="&amp;AI$9,预计变动!$I:$I,"&lt;="&amp;AI$10))</f>
        <v>0</v>
      </c>
      <c r="AJ19" s="121">
        <f>IF(MONTH($G$3)&gt;=AJ$8,0,IF(V19=0,AI19,V19)+SUMIFS(预计变动!$F:$F,预计变动!$A:$A,$E19,预计变动!$B:$B,$F19,预计变动!$I:$I,"&gt;="&amp;AJ$9,预计变动!$I:$I,"&lt;="&amp;AJ$10))</f>
        <v>0</v>
      </c>
      <c r="AK19" s="121">
        <f>IF(MONTH($G$3)&gt;=AK$8,0,IF(W19=0,AJ19,W19)+SUMIFS(预计变动!$F:$F,预计变动!$A:$A,$E19,预计变动!$B:$B,$F19,预计变动!$I:$I,"&gt;="&amp;AK$9,预计变动!$I:$I,"&lt;="&amp;AK$10))</f>
        <v>0</v>
      </c>
      <c r="AL19" s="121">
        <f>IF(MONTH($G$3)&gt;=AL$8,0,IF(X19=0,AK19,X19)+SUMIFS(预计变动!$F:$F,预计变动!$A:$A,$E19,预计变动!$B:$B,$F19,预计变动!$I:$I,"&gt;="&amp;AL$9,预计变动!$I:$I,"&lt;="&amp;AL$10))</f>
        <v>0</v>
      </c>
      <c r="AM19" s="121">
        <f>IF(MONTH($G$3)&gt;=AM$8,0,IF(Y19=0,AL19,Y19)+SUMIFS(预计变动!$F:$F,预计变动!$A:$A,$E19,预计变动!$B:$B,$F19,预计变动!$I:$I,"&gt;="&amp;AM$9,预计变动!$I:$I,"&lt;="&amp;AM$10))</f>
        <v>0</v>
      </c>
      <c r="AN19" s="121">
        <f>IF(MONTH($G$3)&gt;=AN$8,0,IF(Z19=0,AM19,Z19)+SUMIFS(预计变动!$F:$F,预计变动!$A:$A,$E19,预计变动!$B:$B,$F19,预计变动!$I:$I,"&gt;="&amp;AN$9,预计变动!$I:$I,"&lt;="&amp;AN$10))</f>
        <v>0</v>
      </c>
      <c r="AO19" s="121">
        <f>IF(MONTH($G$3)&gt;=AO$8,0,IF(AA19=0,AN19,AA19)+SUMIFS(预计变动!$F:$F,预计变动!$A:$A,$E19,预计变动!$B:$B,$F19,预计变动!$I:$I,"&gt;="&amp;AO$9,预计变动!$I:$I,"&lt;="&amp;AO$10))</f>
        <v>0</v>
      </c>
      <c r="AP19" s="121">
        <f>IF(MONTH($G$3)&gt;=AP$8,0,IF(AB19=0,AO19,AB19)+SUMIFS(预计变动!$F:$F,预计变动!$A:$A,$E19,预计变动!$B:$B,$F19,预计变动!$I:$I,"&gt;="&amp;AP$9,预计变动!$I:$I,"&lt;="&amp;AP$10))</f>
        <v>0</v>
      </c>
      <c r="AQ19" s="121">
        <f>IF(MONTH($G$3)&gt;=AQ$8,0,IF(AC19=0,AP19,AC19)+SUMIFS(预计变动!$F:$F,预计变动!$A:$A,$E19,预计变动!$B:$B,$F19,预计变动!$I:$I,"&gt;="&amp;AQ$9,预计变动!$I:$I,"&lt;="&amp;AQ$10))</f>
        <v>0</v>
      </c>
      <c r="AR19" s="121">
        <f>IF(MONTH($G$3)&gt;AR$8,0,IF(AD19=0,AQ19,AD19)+SUMIFS(预计变动!$F:$F,预计变动!$A:$A,$E19,预计变动!$B:$B,$F19,预计变动!$I:$I,"&gt;="&amp;AR$9,预计变动!$I:$I,"&lt;="&amp;AR$10))</f>
        <v>7</v>
      </c>
      <c r="AS19" s="121">
        <f>IF(MONTH($G$3)&gt;AS$8,0,IF(AE19=0,AR19,AE19)+SUMIFS(预计变动!$F:$F,预计变动!$A:$A,$E19,预计变动!$B:$B,$F19,预计变动!$I:$I,"&gt;="&amp;AS$9,预计变动!$I:$I,"&lt;="&amp;AS$10))</f>
        <v>7</v>
      </c>
      <c r="AT19" s="121">
        <f>IF(MONTH($G$3)&gt;AT$8,0,IF(AF19=0,AS19,AF19)+SUMIFS(预计变动!$F:$F,预计变动!$A:$A,$E19,预计变动!$B:$B,$F19,预计变动!$I:$I,"&gt;="&amp;AT$9,预计变动!$I:$I,"&lt;="&amp;AT$10))</f>
        <v>7</v>
      </c>
      <c r="AU19" s="121">
        <f t="shared" si="78"/>
        <v>7</v>
      </c>
      <c r="AV19" s="121">
        <f>AT19+SUMIFS(预计变动!$F:$F,预计变动!$A:$A,$E19,预计变动!$B:$B,$F19,预计变动!$I:$I,"&gt;="&amp;AV$9,预计变动!$I:$I,"&lt;="&amp;AV$10)</f>
        <v>7</v>
      </c>
      <c r="AW19" s="121">
        <f>AV19+SUMIFS(预计变动!$F:$F,预计变动!$A:$A,$E19,预计变动!$B:$B,$F19,预计变动!$I:$I,"&gt;="&amp;AW$9,预计变动!$I:$I,"&lt;="&amp;AW$10)</f>
        <v>7</v>
      </c>
      <c r="AX19" s="121">
        <f>AW19+SUMIFS(预计变动!$F:$F,预计变动!$A:$A,$E19,预计变动!$B:$B,$F19,预计变动!$I:$I,"&gt;="&amp;AX$9,预计变动!$I:$I,"&lt;="&amp;AX$10)</f>
        <v>7</v>
      </c>
      <c r="AY19" s="121">
        <f>AX19+SUMIFS(预计变动!$F:$F,预计变动!$A:$A,$E19,预计变动!$B:$B,$F19,预计变动!$I:$I,"&gt;="&amp;AY$9,预计变动!$I:$I,"&lt;="&amp;AY$10)</f>
        <v>7</v>
      </c>
      <c r="AZ19" s="121">
        <f>AY19+SUMIFS(预计变动!$F:$F,预计变动!$A:$A,$E19,预计变动!$B:$B,$F19,预计变动!$I:$I,"&gt;="&amp;AZ$9,预计变动!$I:$I,"&lt;="&amp;AZ$10)</f>
        <v>7</v>
      </c>
      <c r="BA19" s="121">
        <f>AZ19+SUMIFS(预计变动!$F:$F,预计变动!$A:$A,$E19,预计变动!$B:$B,$F19,预计变动!$I:$I,"&gt;="&amp;BA$9,预计变动!$I:$I,"&lt;="&amp;BA$10)</f>
        <v>7</v>
      </c>
      <c r="BB19" s="121">
        <f>BA19+SUMIFS(预计变动!$F:$F,预计变动!$A:$A,$E19,预计变动!$B:$B,$F19,预计变动!$I:$I,"&gt;="&amp;BB$9,预计变动!$I:$I,"&lt;="&amp;BB$10)</f>
        <v>7</v>
      </c>
      <c r="BC19" s="121">
        <f>BB19+SUMIFS(预计变动!$F:$F,预计变动!$A:$A,$E19,预计变动!$B:$B,$F19,预计变动!$I:$I,"&gt;="&amp;BC$9,预计变动!$I:$I,"&lt;="&amp;BC$10)</f>
        <v>7</v>
      </c>
      <c r="BD19" s="121">
        <f>BC19+SUMIFS(预计变动!$F:$F,预计变动!$A:$A,$E19,预计变动!$B:$B,$F19,预计变动!$I:$I,"&gt;="&amp;BD$9,预计变动!$I:$I,"&lt;="&amp;BD$10)</f>
        <v>7</v>
      </c>
      <c r="BE19" s="121">
        <f>BD19+SUMIFS(预计变动!$F:$F,预计变动!$A:$A,$E19,预计变动!$B:$B,$F19,预计变动!$I:$I,"&gt;="&amp;BE$9,预计变动!$I:$I,"&lt;="&amp;BE$10)</f>
        <v>7</v>
      </c>
      <c r="BF19" s="121">
        <f>BE19+SUMIFS(预计变动!$F:$F,预计变动!$A:$A,$E19,预计变动!$B:$B,$F19,预计变动!$I:$I,"&gt;="&amp;BF$9,预计变动!$I:$I,"&lt;="&amp;BF$10)</f>
        <v>7</v>
      </c>
      <c r="BG19" s="121">
        <f>BF19+SUMIFS(预计变动!$F:$F,预计变动!$A:$A,$E19,预计变动!$B:$B,$F19,预计变动!$I:$I,"&gt;="&amp;BG$9,预计变动!$I:$I,"&lt;="&amp;BG$10)</f>
        <v>7</v>
      </c>
    </row>
    <row r="20" ht="16.2" spans="3:59">
      <c r="C20" s="42" t="s">
        <v>86</v>
      </c>
      <c r="D20" s="42"/>
      <c r="E20" s="116" t="str">
        <f t="shared" si="79"/>
        <v>支持中心</v>
      </c>
      <c r="F20" s="116" t="str">
        <f t="shared" si="80"/>
        <v>*</v>
      </c>
      <c r="G20" s="121">
        <f>COUNTIFS(人员状况!$C:$C,$E20,人员状况!$D:$D,$F20,人员状况!$G:$G,"&lt;="&amp;G$10,人员状况!$H:$H,"&gt;="&amp;G$10+1)</f>
        <v>17</v>
      </c>
      <c r="H20" s="121">
        <f>COUNTIFS(人员状况!$C:$C,$E20,人员状况!$D:$D,$F20,人员状况!$G:$G,"&lt;="&amp;H$10,人员状况!$H:$H,"&gt;="&amp;H$10+1)</f>
        <v>17</v>
      </c>
      <c r="I20" s="121">
        <f>COUNTIFS(人员状况!$C:$C,$E20,人员状况!$D:$D,$F20,人员状况!$G:$G,"&lt;="&amp;I$10,人员状况!$H:$H,"&gt;="&amp;I$10+1)</f>
        <v>17</v>
      </c>
      <c r="J20" s="121">
        <f>COUNTIFS(人员状况!$C:$C,$E20,人员状况!$D:$D,$F20,人员状况!$G:$G,"&lt;="&amp;J$10,人员状况!$H:$H,"&gt;="&amp;J$10+1)</f>
        <v>17</v>
      </c>
      <c r="K20" s="121">
        <f>COUNTIFS(人员状况!$C:$C,$E20,人员状况!$D:$D,$F20,人员状况!$G:$G,"&lt;="&amp;K$10,人员状况!$H:$H,"&gt;="&amp;K$10+1)</f>
        <v>17</v>
      </c>
      <c r="L20" s="121">
        <f>COUNTIFS(人员状况!$C:$C,$E20,人员状况!$D:$D,$F20,人员状况!$G:$G,"&lt;="&amp;L$10,人员状况!$H:$H,"&gt;="&amp;L$10+1)</f>
        <v>17</v>
      </c>
      <c r="M20" s="121">
        <f>COUNTIFS(人员状况!$C:$C,$E20,人员状况!$D:$D,$F20,人员状况!$G:$G,"&lt;="&amp;M$10,人员状况!$H:$H,"&gt;="&amp;M$10+1)</f>
        <v>17</v>
      </c>
      <c r="N20" s="121">
        <f>COUNTIFS(人员状况!$C:$C,$E20,人员状况!$D:$D,$F20,人员状况!$G:$G,"&lt;="&amp;N$10,人员状况!$H:$H,"&gt;="&amp;N$10+1)</f>
        <v>17</v>
      </c>
      <c r="O20" s="121">
        <f>COUNTIFS(人员状况!$C:$C,$E20,人员状况!$D:$D,$F20,人员状况!$G:$G,"&lt;="&amp;O$10,人员状况!$H:$H,"&gt;="&amp;O$10+1)</f>
        <v>17</v>
      </c>
      <c r="P20" s="121">
        <f>COUNTIFS(人员状况!$C:$C,$E20,人员状况!$D:$D,$F20,人员状况!$G:$G,"&lt;="&amp;P$10,人员状况!$H:$H,"&gt;="&amp;P$10+1)</f>
        <v>17</v>
      </c>
      <c r="Q20" s="121">
        <f>COUNTIFS(人员状况!$C:$C,$E20,人员状况!$D:$D,$F20,人员状况!$G:$G,"&lt;="&amp;Q$10,人员状况!$H:$H,"&gt;="&amp;Q$10+1)</f>
        <v>17</v>
      </c>
      <c r="R20" s="121">
        <f>COUNTIFS(人员状况!$C:$C,$E20,人员状况!$D:$D,$F20,人员状况!$G:$G,"&lt;="&amp;R$10,人员状况!$H:$H,"&gt;="&amp;R$10+1)</f>
        <v>17</v>
      </c>
      <c r="S20" s="121">
        <f>COUNTIFS(人员状况!$C:$C,$E20,人员状况!$D:$D,$F20,人员状况!$G:$G,"&lt;="&amp;S$10,人员状况!$H:$H,"&gt;="&amp;S$10+1)</f>
        <v>17</v>
      </c>
      <c r="T20" s="125">
        <f t="shared" si="76"/>
        <v>17</v>
      </c>
      <c r="U20" s="121">
        <f>COUNTIFS(人员状况!$C:$C,$E20,人员状况!$D:$D,$F20,人员状况!$G:$G,"&lt;="&amp;U$10,人员状况!$H:$H,"&gt;="&amp;U$10+1)</f>
        <v>17</v>
      </c>
      <c r="V20" s="121">
        <f>IF(MONTH($G$3)&gt;=V$8,COUNTIFS(人员状况!$C:$C,$E20,人员状况!$D:$D,$F20,人员状况!$G:$G,"&lt;="&amp;V$10,人员状况!$H:$H,"&gt;="&amp;V$10+1),0)</f>
        <v>17</v>
      </c>
      <c r="W20" s="121">
        <f>IF(MONTH($G$3)&gt;=W$8,COUNTIFS(人员状况!$C:$C,$E20,人员状况!$D:$D,$F20,人员状况!$G:$G,"&lt;="&amp;W$10,人员状况!$H:$H,"&gt;="&amp;W$10+1),0)</f>
        <v>17</v>
      </c>
      <c r="X20" s="121">
        <f>IF(MONTH($G$3)&gt;=X$8,COUNTIFS(人员状况!$C:$C,$E20,人员状况!$D:$D,$F20,人员状况!$G:$G,"&lt;="&amp;X$10,人员状况!$H:$H,"&gt;="&amp;X$10+1),0)</f>
        <v>17</v>
      </c>
      <c r="Y20" s="121">
        <f>IF(MONTH($G$3)&gt;=Y$8,COUNTIFS(人员状况!$C:$C,$E20,人员状况!$D:$D,$F20,人员状况!$G:$G,"&lt;="&amp;Y$10,人员状况!$H:$H,"&gt;="&amp;Y$10+1),0)</f>
        <v>17</v>
      </c>
      <c r="Z20" s="121">
        <f>IF(MONTH($G$3)&gt;=Z$8,COUNTIFS(人员状况!$C:$C,$E20,人员状况!$D:$D,$F20,人员状况!$G:$G,"&lt;="&amp;Z$10,人员状况!$H:$H,"&gt;="&amp;Z$10+1),0)</f>
        <v>17</v>
      </c>
      <c r="AA20" s="121">
        <f>IF(MONTH($G$3)&gt;=AA$8,COUNTIFS(人员状况!$C:$C,$E20,人员状况!$D:$D,$F20,人员状况!$G:$G,"&lt;="&amp;AA$10,人员状况!$H:$H,"&gt;="&amp;AA$10+1),0)</f>
        <v>17</v>
      </c>
      <c r="AB20" s="121">
        <f>IF(MONTH($G$3)&gt;=AB$8,COUNTIFS(人员状况!$C:$C,$E20,人员状况!$D:$D,$F20,人员状况!$G:$G,"&lt;="&amp;AB$10,人员状况!$H:$H,"&gt;="&amp;AB$10+1),0)</f>
        <v>17</v>
      </c>
      <c r="AC20" s="121">
        <f>IF(MONTH($G$3)&gt;=AC$8,COUNTIFS(人员状况!$C:$C,$E20,人员状况!$D:$D,$F20,人员状况!$G:$G,"&lt;="&amp;AC$10,人员状况!$H:$H,"&gt;="&amp;AC$10+1),0)</f>
        <v>17</v>
      </c>
      <c r="AD20" s="121">
        <f>IF(MONTH($G$3)&gt;=AD$8,COUNTIFS(人员状况!$C:$C,$E20,人员状况!$D:$D,$F20,人员状况!$G:$G,"&lt;="&amp;AD$10,人员状况!$H:$H,"&gt;="&amp;AD$10+1),0)</f>
        <v>17</v>
      </c>
      <c r="AE20" s="121">
        <f>IF(MONTH($G$3)&gt;=AE$8,COUNTIFS(人员状况!$C:$C,$E20,人员状况!$D:$D,$F20,人员状况!$G:$G,"&lt;="&amp;AE$10,人员状况!$H:$H,"&gt;="&amp;AE$10+1),0)</f>
        <v>0</v>
      </c>
      <c r="AF20" s="121">
        <f>IF(MONTH($G$3)&gt;=AF$8,COUNTIFS(人员状况!$C:$C,$E20,人员状况!$D:$D,$F20,人员状况!$G:$G,"&lt;="&amp;AF$10,人员状况!$H:$H,"&gt;="&amp;AF$10+1),0)</f>
        <v>0</v>
      </c>
      <c r="AG20" s="121">
        <f>IF(MONTH($G$3)&gt;=AG$8,COUNTIFS(人员状况!$C:$C,$E20,人员状况!$D:$D,$F20,人员状况!$G:$G,"&lt;="&amp;AG$10,人员状况!$H:$H,"&gt;="&amp;AG$10+1),0)</f>
        <v>0</v>
      </c>
      <c r="AH20" s="121">
        <f t="shared" si="77"/>
        <v>17</v>
      </c>
      <c r="AI20" s="121">
        <f>IF(MONTH($G$3)&gt;=AI$8,0,S20+SUMIFS(预计变动!$F:$F,预计变动!$A:$A,$E20,预计变动!$B:$B,$F20,预计变动!$I:$I,"&gt;="&amp;AI$9,预计变动!$I:$I,"&lt;="&amp;AI$10))</f>
        <v>0</v>
      </c>
      <c r="AJ20" s="121">
        <f>IF(MONTH($G$3)&gt;=AJ$8,0,IF(V20=0,AI20,V20)+SUMIFS(预计变动!$F:$F,预计变动!$A:$A,$E20,预计变动!$B:$B,$F20,预计变动!$I:$I,"&gt;="&amp;AJ$9,预计变动!$I:$I,"&lt;="&amp;AJ$10))</f>
        <v>0</v>
      </c>
      <c r="AK20" s="121">
        <f>IF(MONTH($G$3)&gt;=AK$8,0,IF(W20=0,AJ20,W20)+SUMIFS(预计变动!$F:$F,预计变动!$A:$A,$E20,预计变动!$B:$B,$F20,预计变动!$I:$I,"&gt;="&amp;AK$9,预计变动!$I:$I,"&lt;="&amp;AK$10))</f>
        <v>0</v>
      </c>
      <c r="AL20" s="121">
        <f>IF(MONTH($G$3)&gt;=AL$8,0,IF(X20=0,AK20,X20)+SUMIFS(预计变动!$F:$F,预计变动!$A:$A,$E20,预计变动!$B:$B,$F20,预计变动!$I:$I,"&gt;="&amp;AL$9,预计变动!$I:$I,"&lt;="&amp;AL$10))</f>
        <v>0</v>
      </c>
      <c r="AM20" s="121">
        <f>IF(MONTH($G$3)&gt;=AM$8,0,IF(Y20=0,AL20,Y20)+SUMIFS(预计变动!$F:$F,预计变动!$A:$A,$E20,预计变动!$B:$B,$F20,预计变动!$I:$I,"&gt;="&amp;AM$9,预计变动!$I:$I,"&lt;="&amp;AM$10))</f>
        <v>0</v>
      </c>
      <c r="AN20" s="121">
        <f>IF(MONTH($G$3)&gt;=AN$8,0,IF(Z20=0,AM20,Z20)+SUMIFS(预计变动!$F:$F,预计变动!$A:$A,$E20,预计变动!$B:$B,$F20,预计变动!$I:$I,"&gt;="&amp;AN$9,预计变动!$I:$I,"&lt;="&amp;AN$10))</f>
        <v>0</v>
      </c>
      <c r="AO20" s="121">
        <f>IF(MONTH($G$3)&gt;=AO$8,0,IF(AA20=0,AN20,AA20)+SUMIFS(预计变动!$F:$F,预计变动!$A:$A,$E20,预计变动!$B:$B,$F20,预计变动!$I:$I,"&gt;="&amp;AO$9,预计变动!$I:$I,"&lt;="&amp;AO$10))</f>
        <v>0</v>
      </c>
      <c r="AP20" s="121">
        <f>IF(MONTH($G$3)&gt;=AP$8,0,IF(AB20=0,AO20,AB20)+SUMIFS(预计变动!$F:$F,预计变动!$A:$A,$E20,预计变动!$B:$B,$F20,预计变动!$I:$I,"&gt;="&amp;AP$9,预计变动!$I:$I,"&lt;="&amp;AP$10))</f>
        <v>0</v>
      </c>
      <c r="AQ20" s="121">
        <f>IF(MONTH($G$3)&gt;=AQ$8,0,IF(AC20=0,AP20,AC20)+SUMIFS(预计变动!$F:$F,预计变动!$A:$A,$E20,预计变动!$B:$B,$F20,预计变动!$I:$I,"&gt;="&amp;AQ$9,预计变动!$I:$I,"&lt;="&amp;AQ$10))</f>
        <v>0</v>
      </c>
      <c r="AR20" s="121">
        <f>IF(MONTH($G$3)&gt;AR$8,0,IF(AD20=0,AQ20,AD20)+SUMIFS(预计变动!$F:$F,预计变动!$A:$A,$E20,预计变动!$B:$B,$F20,预计变动!$I:$I,"&gt;="&amp;AR$9,预计变动!$I:$I,"&lt;="&amp;AR$10))</f>
        <v>17</v>
      </c>
      <c r="AS20" s="121">
        <f>IF(MONTH($G$3)&gt;AS$8,0,IF(AE20=0,AR20,AE20)+SUMIFS(预计变动!$F:$F,预计变动!$A:$A,$E20,预计变动!$B:$B,$F20,预计变动!$I:$I,"&gt;="&amp;AS$9,预计变动!$I:$I,"&lt;="&amp;AS$10))</f>
        <v>17</v>
      </c>
      <c r="AT20" s="121">
        <f>IF(MONTH($G$3)&gt;AT$8,0,IF(AF20=0,AS20,AF20)+SUMIFS(预计变动!$F:$F,预计变动!$A:$A,$E20,预计变动!$B:$B,$F20,预计变动!$I:$I,"&gt;="&amp;AT$9,预计变动!$I:$I,"&lt;="&amp;AT$10))</f>
        <v>17</v>
      </c>
      <c r="AU20" s="121">
        <f t="shared" si="78"/>
        <v>17</v>
      </c>
      <c r="AV20" s="121">
        <f>AT20+SUMIFS(预计变动!$F:$F,预计变动!$A:$A,$E20,预计变动!$B:$B,$F20,预计变动!$I:$I,"&gt;="&amp;AV$9,预计变动!$I:$I,"&lt;="&amp;AV$10)</f>
        <v>17</v>
      </c>
      <c r="AW20" s="121">
        <f>AV20+SUMIFS(预计变动!$F:$F,预计变动!$A:$A,$E20,预计变动!$B:$B,$F20,预计变动!$I:$I,"&gt;="&amp;AW$9,预计变动!$I:$I,"&lt;="&amp;AW$10)</f>
        <v>17</v>
      </c>
      <c r="AX20" s="121">
        <f>AW20+SUMIFS(预计变动!$F:$F,预计变动!$A:$A,$E20,预计变动!$B:$B,$F20,预计变动!$I:$I,"&gt;="&amp;AX$9,预计变动!$I:$I,"&lt;="&amp;AX$10)</f>
        <v>17</v>
      </c>
      <c r="AY20" s="121">
        <f>AX20+SUMIFS(预计变动!$F:$F,预计变动!$A:$A,$E20,预计变动!$B:$B,$F20,预计变动!$I:$I,"&gt;="&amp;AY$9,预计变动!$I:$I,"&lt;="&amp;AY$10)</f>
        <v>17</v>
      </c>
      <c r="AZ20" s="121">
        <f>AY20+SUMIFS(预计变动!$F:$F,预计变动!$A:$A,$E20,预计变动!$B:$B,$F20,预计变动!$I:$I,"&gt;="&amp;AZ$9,预计变动!$I:$I,"&lt;="&amp;AZ$10)</f>
        <v>17</v>
      </c>
      <c r="BA20" s="121">
        <f>AZ20+SUMIFS(预计变动!$F:$F,预计变动!$A:$A,$E20,预计变动!$B:$B,$F20,预计变动!$I:$I,"&gt;="&amp;BA$9,预计变动!$I:$I,"&lt;="&amp;BA$10)</f>
        <v>17</v>
      </c>
      <c r="BB20" s="121">
        <f>BA20+SUMIFS(预计变动!$F:$F,预计变动!$A:$A,$E20,预计变动!$B:$B,$F20,预计变动!$I:$I,"&gt;="&amp;BB$9,预计变动!$I:$I,"&lt;="&amp;BB$10)</f>
        <v>17</v>
      </c>
      <c r="BC20" s="121">
        <f>BB20+SUMIFS(预计变动!$F:$F,预计变动!$A:$A,$E20,预计变动!$B:$B,$F20,预计变动!$I:$I,"&gt;="&amp;BC$9,预计变动!$I:$I,"&lt;="&amp;BC$10)</f>
        <v>17</v>
      </c>
      <c r="BD20" s="121">
        <f>BC20+SUMIFS(预计变动!$F:$F,预计变动!$A:$A,$E20,预计变动!$B:$B,$F20,预计变动!$I:$I,"&gt;="&amp;BD$9,预计变动!$I:$I,"&lt;="&amp;BD$10)</f>
        <v>17</v>
      </c>
      <c r="BE20" s="121">
        <f>BD20+SUMIFS(预计变动!$F:$F,预计变动!$A:$A,$E20,预计变动!$B:$B,$F20,预计变动!$I:$I,"&gt;="&amp;BE$9,预计变动!$I:$I,"&lt;="&amp;BE$10)</f>
        <v>17</v>
      </c>
      <c r="BF20" s="121">
        <f>BE20+SUMIFS(预计变动!$F:$F,预计变动!$A:$A,$E20,预计变动!$B:$B,$F20,预计变动!$I:$I,"&gt;="&amp;BF$9,预计变动!$I:$I,"&lt;="&amp;BF$10)</f>
        <v>17</v>
      </c>
      <c r="BG20" s="121">
        <f>BF20+SUMIFS(预计变动!$F:$F,预计变动!$A:$A,$E20,预计变动!$B:$B,$F20,预计变动!$I:$I,"&gt;="&amp;BG$9,预计变动!$I:$I,"&lt;="&amp;BG$10)</f>
        <v>17</v>
      </c>
    </row>
    <row r="21" ht="16.2" spans="3:59">
      <c r="C21" s="42"/>
      <c r="D21" s="42" t="s">
        <v>87</v>
      </c>
      <c r="E21" s="116" t="str">
        <f t="shared" si="79"/>
        <v>支持中心</v>
      </c>
      <c r="F21" s="116" t="str">
        <f t="shared" si="80"/>
        <v>财务部</v>
      </c>
      <c r="G21" s="121">
        <f>COUNTIFS(人员状况!$C:$C,$E21,人员状况!$D:$D,$F21,人员状况!$G:$G,"&lt;="&amp;G$10,人员状况!$H:$H,"&gt;="&amp;G$10+1)</f>
        <v>7</v>
      </c>
      <c r="H21" s="121">
        <f>COUNTIFS(人员状况!$C:$C,$E21,人员状况!$D:$D,$F21,人员状况!$G:$G,"&lt;="&amp;H$10,人员状况!$H:$H,"&gt;="&amp;H$10+1)</f>
        <v>7</v>
      </c>
      <c r="I21" s="121">
        <f>COUNTIFS(人员状况!$C:$C,$E21,人员状况!$D:$D,$F21,人员状况!$G:$G,"&lt;="&amp;I$10,人员状况!$H:$H,"&gt;="&amp;I$10+1)</f>
        <v>7</v>
      </c>
      <c r="J21" s="121">
        <f>COUNTIFS(人员状况!$C:$C,$E21,人员状况!$D:$D,$F21,人员状况!$G:$G,"&lt;="&amp;J$10,人员状况!$H:$H,"&gt;="&amp;J$10+1)</f>
        <v>7</v>
      </c>
      <c r="K21" s="121">
        <f>COUNTIFS(人员状况!$C:$C,$E21,人员状况!$D:$D,$F21,人员状况!$G:$G,"&lt;="&amp;K$10,人员状况!$H:$H,"&gt;="&amp;K$10+1)</f>
        <v>7</v>
      </c>
      <c r="L21" s="121">
        <f>COUNTIFS(人员状况!$C:$C,$E21,人员状况!$D:$D,$F21,人员状况!$G:$G,"&lt;="&amp;L$10,人员状况!$H:$H,"&gt;="&amp;L$10+1)</f>
        <v>7</v>
      </c>
      <c r="M21" s="121">
        <f>COUNTIFS(人员状况!$C:$C,$E21,人员状况!$D:$D,$F21,人员状况!$G:$G,"&lt;="&amp;M$10,人员状况!$H:$H,"&gt;="&amp;M$10+1)</f>
        <v>7</v>
      </c>
      <c r="N21" s="121">
        <f>COUNTIFS(人员状况!$C:$C,$E21,人员状况!$D:$D,$F21,人员状况!$G:$G,"&lt;="&amp;N$10,人员状况!$H:$H,"&gt;="&amp;N$10+1)</f>
        <v>7</v>
      </c>
      <c r="O21" s="121">
        <f>COUNTIFS(人员状况!$C:$C,$E21,人员状况!$D:$D,$F21,人员状况!$G:$G,"&lt;="&amp;O$10,人员状况!$H:$H,"&gt;="&amp;O$10+1)</f>
        <v>7</v>
      </c>
      <c r="P21" s="121">
        <f>COUNTIFS(人员状况!$C:$C,$E21,人员状况!$D:$D,$F21,人员状况!$G:$G,"&lt;="&amp;P$10,人员状况!$H:$H,"&gt;="&amp;P$10+1)</f>
        <v>7</v>
      </c>
      <c r="Q21" s="121">
        <f>COUNTIFS(人员状况!$C:$C,$E21,人员状况!$D:$D,$F21,人员状况!$G:$G,"&lt;="&amp;Q$10,人员状况!$H:$H,"&gt;="&amp;Q$10+1)</f>
        <v>7</v>
      </c>
      <c r="R21" s="121">
        <f>COUNTIFS(人员状况!$C:$C,$E21,人员状况!$D:$D,$F21,人员状况!$G:$G,"&lt;="&amp;R$10,人员状况!$H:$H,"&gt;="&amp;R$10+1)</f>
        <v>7</v>
      </c>
      <c r="S21" s="121">
        <f>COUNTIFS(人员状况!$C:$C,$E21,人员状况!$D:$D,$F21,人员状况!$G:$G,"&lt;="&amp;S$10,人员状况!$H:$H,"&gt;="&amp;S$10+1)</f>
        <v>7</v>
      </c>
      <c r="T21" s="125">
        <f t="shared" si="76"/>
        <v>7</v>
      </c>
      <c r="U21" s="121">
        <f>COUNTIFS(人员状况!$C:$C,$E21,人员状况!$D:$D,$F21,人员状况!$G:$G,"&lt;="&amp;U$10,人员状况!$H:$H,"&gt;="&amp;U$10+1)</f>
        <v>7</v>
      </c>
      <c r="V21" s="121">
        <f>IF(MONTH($G$3)&gt;=V$8,COUNTIFS(人员状况!$C:$C,$E21,人员状况!$D:$D,$F21,人员状况!$G:$G,"&lt;="&amp;V$10,人员状况!$H:$H,"&gt;="&amp;V$10+1),0)</f>
        <v>7</v>
      </c>
      <c r="W21" s="121">
        <f>IF(MONTH($G$3)&gt;=W$8,COUNTIFS(人员状况!$C:$C,$E21,人员状况!$D:$D,$F21,人员状况!$G:$G,"&lt;="&amp;W$10,人员状况!$H:$H,"&gt;="&amp;W$10+1),0)</f>
        <v>7</v>
      </c>
      <c r="X21" s="121">
        <f>IF(MONTH($G$3)&gt;=X$8,COUNTIFS(人员状况!$C:$C,$E21,人员状况!$D:$D,$F21,人员状况!$G:$G,"&lt;="&amp;X$10,人员状况!$H:$H,"&gt;="&amp;X$10+1),0)</f>
        <v>7</v>
      </c>
      <c r="Y21" s="121">
        <f>IF(MONTH($G$3)&gt;=Y$8,COUNTIFS(人员状况!$C:$C,$E21,人员状况!$D:$D,$F21,人员状况!$G:$G,"&lt;="&amp;Y$10,人员状况!$H:$H,"&gt;="&amp;Y$10+1),0)</f>
        <v>7</v>
      </c>
      <c r="Z21" s="121">
        <f>IF(MONTH($G$3)&gt;=Z$8,COUNTIFS(人员状况!$C:$C,$E21,人员状况!$D:$D,$F21,人员状况!$G:$G,"&lt;="&amp;Z$10,人员状况!$H:$H,"&gt;="&amp;Z$10+1),0)</f>
        <v>7</v>
      </c>
      <c r="AA21" s="121">
        <f>IF(MONTH($G$3)&gt;=AA$8,COUNTIFS(人员状况!$C:$C,$E21,人员状况!$D:$D,$F21,人员状况!$G:$G,"&lt;="&amp;AA$10,人员状况!$H:$H,"&gt;="&amp;AA$10+1),0)</f>
        <v>7</v>
      </c>
      <c r="AB21" s="121">
        <f>IF(MONTH($G$3)&gt;=AB$8,COUNTIFS(人员状况!$C:$C,$E21,人员状况!$D:$D,$F21,人员状况!$G:$G,"&lt;="&amp;AB$10,人员状况!$H:$H,"&gt;="&amp;AB$10+1),0)</f>
        <v>7</v>
      </c>
      <c r="AC21" s="121">
        <f>IF(MONTH($G$3)&gt;=AC$8,COUNTIFS(人员状况!$C:$C,$E21,人员状况!$D:$D,$F21,人员状况!$G:$G,"&lt;="&amp;AC$10,人员状况!$H:$H,"&gt;="&amp;AC$10+1),0)</f>
        <v>7</v>
      </c>
      <c r="AD21" s="121">
        <f>IF(MONTH($G$3)&gt;=AD$8,COUNTIFS(人员状况!$C:$C,$E21,人员状况!$D:$D,$F21,人员状况!$G:$G,"&lt;="&amp;AD$10,人员状况!$H:$H,"&gt;="&amp;AD$10+1),0)</f>
        <v>7</v>
      </c>
      <c r="AE21" s="121">
        <f>IF(MONTH($G$3)&gt;=AE$8,COUNTIFS(人员状况!$C:$C,$E21,人员状况!$D:$D,$F21,人员状况!$G:$G,"&lt;="&amp;AE$10,人员状况!$H:$H,"&gt;="&amp;AE$10+1),0)</f>
        <v>0</v>
      </c>
      <c r="AF21" s="121">
        <f>IF(MONTH($G$3)&gt;=AF$8,COUNTIFS(人员状况!$C:$C,$E21,人员状况!$D:$D,$F21,人员状况!$G:$G,"&lt;="&amp;AF$10,人员状况!$H:$H,"&gt;="&amp;AF$10+1),0)</f>
        <v>0</v>
      </c>
      <c r="AG21" s="121">
        <f>IF(MONTH($G$3)&gt;=AG$8,COUNTIFS(人员状况!$C:$C,$E21,人员状况!$D:$D,$F21,人员状况!$G:$G,"&lt;="&amp;AG$10,人员状况!$H:$H,"&gt;="&amp;AG$10+1),0)</f>
        <v>0</v>
      </c>
      <c r="AH21" s="121">
        <f t="shared" si="77"/>
        <v>7</v>
      </c>
      <c r="AI21" s="121">
        <f>IF(MONTH($G$3)&gt;=AI$8,0,S21+SUMIFS(预计变动!$F:$F,预计变动!$A:$A,$E21,预计变动!$B:$B,$F21,预计变动!$I:$I,"&gt;="&amp;AI$9,预计变动!$I:$I,"&lt;="&amp;AI$10))</f>
        <v>0</v>
      </c>
      <c r="AJ21" s="121">
        <f>IF(MONTH($G$3)&gt;=AJ$8,0,IF(V21=0,AI21,V21)+SUMIFS(预计变动!$F:$F,预计变动!$A:$A,$E21,预计变动!$B:$B,$F21,预计变动!$I:$I,"&gt;="&amp;AJ$9,预计变动!$I:$I,"&lt;="&amp;AJ$10))</f>
        <v>0</v>
      </c>
      <c r="AK21" s="121">
        <f>IF(MONTH($G$3)&gt;=AK$8,0,IF(W21=0,AJ21,W21)+SUMIFS(预计变动!$F:$F,预计变动!$A:$A,$E21,预计变动!$B:$B,$F21,预计变动!$I:$I,"&gt;="&amp;AK$9,预计变动!$I:$I,"&lt;="&amp;AK$10))</f>
        <v>0</v>
      </c>
      <c r="AL21" s="121">
        <f>IF(MONTH($G$3)&gt;=AL$8,0,IF(X21=0,AK21,X21)+SUMIFS(预计变动!$F:$F,预计变动!$A:$A,$E21,预计变动!$B:$B,$F21,预计变动!$I:$I,"&gt;="&amp;AL$9,预计变动!$I:$I,"&lt;="&amp;AL$10))</f>
        <v>0</v>
      </c>
      <c r="AM21" s="121">
        <f>IF(MONTH($G$3)&gt;=AM$8,0,IF(Y21=0,AL21,Y21)+SUMIFS(预计变动!$F:$F,预计变动!$A:$A,$E21,预计变动!$B:$B,$F21,预计变动!$I:$I,"&gt;="&amp;AM$9,预计变动!$I:$I,"&lt;="&amp;AM$10))</f>
        <v>0</v>
      </c>
      <c r="AN21" s="121">
        <f>IF(MONTH($G$3)&gt;=AN$8,0,IF(Z21=0,AM21,Z21)+SUMIFS(预计变动!$F:$F,预计变动!$A:$A,$E21,预计变动!$B:$B,$F21,预计变动!$I:$I,"&gt;="&amp;AN$9,预计变动!$I:$I,"&lt;="&amp;AN$10))</f>
        <v>0</v>
      </c>
      <c r="AO21" s="121">
        <f>IF(MONTH($G$3)&gt;=AO$8,0,IF(AA21=0,AN21,AA21)+SUMIFS(预计变动!$F:$F,预计变动!$A:$A,$E21,预计变动!$B:$B,$F21,预计变动!$I:$I,"&gt;="&amp;AO$9,预计变动!$I:$I,"&lt;="&amp;AO$10))</f>
        <v>0</v>
      </c>
      <c r="AP21" s="121">
        <f>IF(MONTH($G$3)&gt;=AP$8,0,IF(AB21=0,AO21,AB21)+SUMIFS(预计变动!$F:$F,预计变动!$A:$A,$E21,预计变动!$B:$B,$F21,预计变动!$I:$I,"&gt;="&amp;AP$9,预计变动!$I:$I,"&lt;="&amp;AP$10))</f>
        <v>0</v>
      </c>
      <c r="AQ21" s="121">
        <f>IF(MONTH($G$3)&gt;=AQ$8,0,IF(AC21=0,AP21,AC21)+SUMIFS(预计变动!$F:$F,预计变动!$A:$A,$E21,预计变动!$B:$B,$F21,预计变动!$I:$I,"&gt;="&amp;AQ$9,预计变动!$I:$I,"&lt;="&amp;AQ$10))</f>
        <v>0</v>
      </c>
      <c r="AR21" s="121">
        <f>IF(MONTH($G$3)&gt;AR$8,0,IF(AD21=0,AQ21,AD21)+SUMIFS(预计变动!$F:$F,预计变动!$A:$A,$E21,预计变动!$B:$B,$F21,预计变动!$I:$I,"&gt;="&amp;AR$9,预计变动!$I:$I,"&lt;="&amp;AR$10))</f>
        <v>7</v>
      </c>
      <c r="AS21" s="121">
        <f>IF(MONTH($G$3)&gt;AS$8,0,IF(AE21=0,AR21,AE21)+SUMIFS(预计变动!$F:$F,预计变动!$A:$A,$E21,预计变动!$B:$B,$F21,预计变动!$I:$I,"&gt;="&amp;AS$9,预计变动!$I:$I,"&lt;="&amp;AS$10))</f>
        <v>7</v>
      </c>
      <c r="AT21" s="121">
        <f>IF(MONTH($G$3)&gt;AT$8,0,IF(AF21=0,AS21,AF21)+SUMIFS(预计变动!$F:$F,预计变动!$A:$A,$E21,预计变动!$B:$B,$F21,预计变动!$I:$I,"&gt;="&amp;AT$9,预计变动!$I:$I,"&lt;="&amp;AT$10))</f>
        <v>7</v>
      </c>
      <c r="AU21" s="121">
        <f t="shared" si="78"/>
        <v>7</v>
      </c>
      <c r="AV21" s="121">
        <f>AT21+SUMIFS(预计变动!$F:$F,预计变动!$A:$A,$E21,预计变动!$B:$B,$F21,预计变动!$I:$I,"&gt;="&amp;AV$9,预计变动!$I:$I,"&lt;="&amp;AV$10)</f>
        <v>7</v>
      </c>
      <c r="AW21" s="121">
        <f>AV21+SUMIFS(预计变动!$F:$F,预计变动!$A:$A,$E21,预计变动!$B:$B,$F21,预计变动!$I:$I,"&gt;="&amp;AW$9,预计变动!$I:$I,"&lt;="&amp;AW$10)</f>
        <v>7</v>
      </c>
      <c r="AX21" s="121">
        <f>AW21+SUMIFS(预计变动!$F:$F,预计变动!$A:$A,$E21,预计变动!$B:$B,$F21,预计变动!$I:$I,"&gt;="&amp;AX$9,预计变动!$I:$I,"&lt;="&amp;AX$10)</f>
        <v>7</v>
      </c>
      <c r="AY21" s="121">
        <f>AX21+SUMIFS(预计变动!$F:$F,预计变动!$A:$A,$E21,预计变动!$B:$B,$F21,预计变动!$I:$I,"&gt;="&amp;AY$9,预计变动!$I:$I,"&lt;="&amp;AY$10)</f>
        <v>7</v>
      </c>
      <c r="AZ21" s="121">
        <f>AY21+SUMIFS(预计变动!$F:$F,预计变动!$A:$A,$E21,预计变动!$B:$B,$F21,预计变动!$I:$I,"&gt;="&amp;AZ$9,预计变动!$I:$I,"&lt;="&amp;AZ$10)</f>
        <v>7</v>
      </c>
      <c r="BA21" s="121">
        <f>AZ21+SUMIFS(预计变动!$F:$F,预计变动!$A:$A,$E21,预计变动!$B:$B,$F21,预计变动!$I:$I,"&gt;="&amp;BA$9,预计变动!$I:$I,"&lt;="&amp;BA$10)</f>
        <v>7</v>
      </c>
      <c r="BB21" s="121">
        <f>BA21+SUMIFS(预计变动!$F:$F,预计变动!$A:$A,$E21,预计变动!$B:$B,$F21,预计变动!$I:$I,"&gt;="&amp;BB$9,预计变动!$I:$I,"&lt;="&amp;BB$10)</f>
        <v>7</v>
      </c>
      <c r="BC21" s="121">
        <f>BB21+SUMIFS(预计变动!$F:$F,预计变动!$A:$A,$E21,预计变动!$B:$B,$F21,预计变动!$I:$I,"&gt;="&amp;BC$9,预计变动!$I:$I,"&lt;="&amp;BC$10)</f>
        <v>7</v>
      </c>
      <c r="BD21" s="121">
        <f>BC21+SUMIFS(预计变动!$F:$F,预计变动!$A:$A,$E21,预计变动!$B:$B,$F21,预计变动!$I:$I,"&gt;="&amp;BD$9,预计变动!$I:$I,"&lt;="&amp;BD$10)</f>
        <v>7</v>
      </c>
      <c r="BE21" s="121">
        <f>BD21+SUMIFS(预计变动!$F:$F,预计变动!$A:$A,$E21,预计变动!$B:$B,$F21,预计变动!$I:$I,"&gt;="&amp;BE$9,预计变动!$I:$I,"&lt;="&amp;BE$10)</f>
        <v>7</v>
      </c>
      <c r="BF21" s="121">
        <f>BE21+SUMIFS(预计变动!$F:$F,预计变动!$A:$A,$E21,预计变动!$B:$B,$F21,预计变动!$I:$I,"&gt;="&amp;BF$9,预计变动!$I:$I,"&lt;="&amp;BF$10)</f>
        <v>7</v>
      </c>
      <c r="BG21" s="121">
        <f>BF21+SUMIFS(预计变动!$F:$F,预计变动!$A:$A,$E21,预计变动!$B:$B,$F21,预计变动!$I:$I,"&gt;="&amp;BG$9,预计变动!$I:$I,"&lt;="&amp;BG$10)</f>
        <v>7</v>
      </c>
    </row>
    <row r="22" ht="16.2" spans="3:59">
      <c r="C22" s="42"/>
      <c r="D22" s="42" t="s">
        <v>88</v>
      </c>
      <c r="E22" s="116" t="str">
        <f t="shared" si="79"/>
        <v>支持中心</v>
      </c>
      <c r="F22" s="116" t="str">
        <f t="shared" si="80"/>
        <v>人力资源部</v>
      </c>
      <c r="G22" s="121">
        <f>COUNTIFS(人员状况!$C:$C,$E22,人员状况!$D:$D,$F22,人员状况!$G:$G,"&lt;="&amp;G$10,人员状况!$H:$H,"&gt;="&amp;G$10+1)</f>
        <v>6</v>
      </c>
      <c r="H22" s="121">
        <f>COUNTIFS(人员状况!$C:$C,$E22,人员状况!$D:$D,$F22,人员状况!$G:$G,"&lt;="&amp;H$10,人员状况!$H:$H,"&gt;="&amp;H$10+1)</f>
        <v>6</v>
      </c>
      <c r="I22" s="121">
        <f>COUNTIFS(人员状况!$C:$C,$E22,人员状况!$D:$D,$F22,人员状况!$G:$G,"&lt;="&amp;I$10,人员状况!$H:$H,"&gt;="&amp;I$10+1)</f>
        <v>6</v>
      </c>
      <c r="J22" s="121">
        <f>COUNTIFS(人员状况!$C:$C,$E22,人员状况!$D:$D,$F22,人员状况!$G:$G,"&lt;="&amp;J$10,人员状况!$H:$H,"&gt;="&amp;J$10+1)</f>
        <v>6</v>
      </c>
      <c r="K22" s="121">
        <f>COUNTIFS(人员状况!$C:$C,$E22,人员状况!$D:$D,$F22,人员状况!$G:$G,"&lt;="&amp;K$10,人员状况!$H:$H,"&gt;="&amp;K$10+1)</f>
        <v>6</v>
      </c>
      <c r="L22" s="121">
        <f>COUNTIFS(人员状况!$C:$C,$E22,人员状况!$D:$D,$F22,人员状况!$G:$G,"&lt;="&amp;L$10,人员状况!$H:$H,"&gt;="&amp;L$10+1)</f>
        <v>6</v>
      </c>
      <c r="M22" s="121">
        <f>COUNTIFS(人员状况!$C:$C,$E22,人员状况!$D:$D,$F22,人员状况!$G:$G,"&lt;="&amp;M$10,人员状况!$H:$H,"&gt;="&amp;M$10+1)</f>
        <v>6</v>
      </c>
      <c r="N22" s="121">
        <f>COUNTIFS(人员状况!$C:$C,$E22,人员状况!$D:$D,$F22,人员状况!$G:$G,"&lt;="&amp;N$10,人员状况!$H:$H,"&gt;="&amp;N$10+1)</f>
        <v>6</v>
      </c>
      <c r="O22" s="121">
        <f>COUNTIFS(人员状况!$C:$C,$E22,人员状况!$D:$D,$F22,人员状况!$G:$G,"&lt;="&amp;O$10,人员状况!$H:$H,"&gt;="&amp;O$10+1)</f>
        <v>6</v>
      </c>
      <c r="P22" s="121">
        <f>COUNTIFS(人员状况!$C:$C,$E22,人员状况!$D:$D,$F22,人员状况!$G:$G,"&lt;="&amp;P$10,人员状况!$H:$H,"&gt;="&amp;P$10+1)</f>
        <v>6</v>
      </c>
      <c r="Q22" s="121">
        <f>COUNTIFS(人员状况!$C:$C,$E22,人员状况!$D:$D,$F22,人员状况!$G:$G,"&lt;="&amp;Q$10,人员状况!$H:$H,"&gt;="&amp;Q$10+1)</f>
        <v>6</v>
      </c>
      <c r="R22" s="121">
        <f>COUNTIFS(人员状况!$C:$C,$E22,人员状况!$D:$D,$F22,人员状况!$G:$G,"&lt;="&amp;R$10,人员状况!$H:$H,"&gt;="&amp;R$10+1)</f>
        <v>6</v>
      </c>
      <c r="S22" s="121">
        <f>COUNTIFS(人员状况!$C:$C,$E22,人员状况!$D:$D,$F22,人员状况!$G:$G,"&lt;="&amp;S$10,人员状况!$H:$H,"&gt;="&amp;S$10+1)</f>
        <v>6</v>
      </c>
      <c r="T22" s="125">
        <f t="shared" si="76"/>
        <v>6</v>
      </c>
      <c r="U22" s="121">
        <f>COUNTIFS(人员状况!$C:$C,$E22,人员状况!$D:$D,$F22,人员状况!$G:$G,"&lt;="&amp;U$10,人员状况!$H:$H,"&gt;="&amp;U$10+1)</f>
        <v>6</v>
      </c>
      <c r="V22" s="121">
        <f>IF(MONTH($G$3)&gt;=V$8,COUNTIFS(人员状况!$C:$C,$E22,人员状况!$D:$D,$F22,人员状况!$G:$G,"&lt;="&amp;V$10,人员状况!$H:$H,"&gt;="&amp;V$10+1),0)</f>
        <v>6</v>
      </c>
      <c r="W22" s="121">
        <f>IF(MONTH($G$3)&gt;=W$8,COUNTIFS(人员状况!$C:$C,$E22,人员状况!$D:$D,$F22,人员状况!$G:$G,"&lt;="&amp;W$10,人员状况!$H:$H,"&gt;="&amp;W$10+1),0)</f>
        <v>6</v>
      </c>
      <c r="X22" s="121">
        <f>IF(MONTH($G$3)&gt;=X$8,COUNTIFS(人员状况!$C:$C,$E22,人员状况!$D:$D,$F22,人员状况!$G:$G,"&lt;="&amp;X$10,人员状况!$H:$H,"&gt;="&amp;X$10+1),0)</f>
        <v>6</v>
      </c>
      <c r="Y22" s="121">
        <f>IF(MONTH($G$3)&gt;=Y$8,COUNTIFS(人员状况!$C:$C,$E22,人员状况!$D:$D,$F22,人员状况!$G:$G,"&lt;="&amp;Y$10,人员状况!$H:$H,"&gt;="&amp;Y$10+1),0)</f>
        <v>6</v>
      </c>
      <c r="Z22" s="121">
        <f>IF(MONTH($G$3)&gt;=Z$8,COUNTIFS(人员状况!$C:$C,$E22,人员状况!$D:$D,$F22,人员状况!$G:$G,"&lt;="&amp;Z$10,人员状况!$H:$H,"&gt;="&amp;Z$10+1),0)</f>
        <v>6</v>
      </c>
      <c r="AA22" s="121">
        <f>IF(MONTH($G$3)&gt;=AA$8,COUNTIFS(人员状况!$C:$C,$E22,人员状况!$D:$D,$F22,人员状况!$G:$G,"&lt;="&amp;AA$10,人员状况!$H:$H,"&gt;="&amp;AA$10+1),0)</f>
        <v>6</v>
      </c>
      <c r="AB22" s="121">
        <f>IF(MONTH($G$3)&gt;=AB$8,COUNTIFS(人员状况!$C:$C,$E22,人员状况!$D:$D,$F22,人员状况!$G:$G,"&lt;="&amp;AB$10,人员状况!$H:$H,"&gt;="&amp;AB$10+1),0)</f>
        <v>6</v>
      </c>
      <c r="AC22" s="121">
        <f>IF(MONTH($G$3)&gt;=AC$8,COUNTIFS(人员状况!$C:$C,$E22,人员状况!$D:$D,$F22,人员状况!$G:$G,"&lt;="&amp;AC$10,人员状况!$H:$H,"&gt;="&amp;AC$10+1),0)</f>
        <v>6</v>
      </c>
      <c r="AD22" s="121">
        <f>IF(MONTH($G$3)&gt;=AD$8,COUNTIFS(人员状况!$C:$C,$E22,人员状况!$D:$D,$F22,人员状况!$G:$G,"&lt;="&amp;AD$10,人员状况!$H:$H,"&gt;="&amp;AD$10+1),0)</f>
        <v>6</v>
      </c>
      <c r="AE22" s="121">
        <f>IF(MONTH($G$3)&gt;=AE$8,COUNTIFS(人员状况!$C:$C,$E22,人员状况!$D:$D,$F22,人员状况!$G:$G,"&lt;="&amp;AE$10,人员状况!$H:$H,"&gt;="&amp;AE$10+1),0)</f>
        <v>0</v>
      </c>
      <c r="AF22" s="121">
        <f>IF(MONTH($G$3)&gt;=AF$8,COUNTIFS(人员状况!$C:$C,$E22,人员状况!$D:$D,$F22,人员状况!$G:$G,"&lt;="&amp;AF$10,人员状况!$H:$H,"&gt;="&amp;AF$10+1),0)</f>
        <v>0</v>
      </c>
      <c r="AG22" s="121">
        <f>IF(MONTH($G$3)&gt;=AG$8,COUNTIFS(人员状况!$C:$C,$E22,人员状况!$D:$D,$F22,人员状况!$G:$G,"&lt;="&amp;AG$10,人员状况!$H:$H,"&gt;="&amp;AG$10+1),0)</f>
        <v>0</v>
      </c>
      <c r="AH22" s="121">
        <f t="shared" si="77"/>
        <v>6</v>
      </c>
      <c r="AI22" s="121">
        <f>IF(MONTH($G$3)&gt;=AI$8,0,S22+SUMIFS(预计变动!$F:$F,预计变动!$A:$A,$E22,预计变动!$B:$B,$F22,预计变动!$I:$I,"&gt;="&amp;AI$9,预计变动!$I:$I,"&lt;="&amp;AI$10))</f>
        <v>0</v>
      </c>
      <c r="AJ22" s="121">
        <f>IF(MONTH($G$3)&gt;=AJ$8,0,IF(V22=0,AI22,V22)+SUMIFS(预计变动!$F:$F,预计变动!$A:$A,$E22,预计变动!$B:$B,$F22,预计变动!$I:$I,"&gt;="&amp;AJ$9,预计变动!$I:$I,"&lt;="&amp;AJ$10))</f>
        <v>0</v>
      </c>
      <c r="AK22" s="121">
        <f>IF(MONTH($G$3)&gt;=AK$8,0,IF(W22=0,AJ22,W22)+SUMIFS(预计变动!$F:$F,预计变动!$A:$A,$E22,预计变动!$B:$B,$F22,预计变动!$I:$I,"&gt;="&amp;AK$9,预计变动!$I:$I,"&lt;="&amp;AK$10))</f>
        <v>0</v>
      </c>
      <c r="AL22" s="121">
        <f>IF(MONTH($G$3)&gt;=AL$8,0,IF(X22=0,AK22,X22)+SUMIFS(预计变动!$F:$F,预计变动!$A:$A,$E22,预计变动!$B:$B,$F22,预计变动!$I:$I,"&gt;="&amp;AL$9,预计变动!$I:$I,"&lt;="&amp;AL$10))</f>
        <v>0</v>
      </c>
      <c r="AM22" s="121">
        <f>IF(MONTH($G$3)&gt;=AM$8,0,IF(Y22=0,AL22,Y22)+SUMIFS(预计变动!$F:$F,预计变动!$A:$A,$E22,预计变动!$B:$B,$F22,预计变动!$I:$I,"&gt;="&amp;AM$9,预计变动!$I:$I,"&lt;="&amp;AM$10))</f>
        <v>0</v>
      </c>
      <c r="AN22" s="121">
        <f>IF(MONTH($G$3)&gt;=AN$8,0,IF(Z22=0,AM22,Z22)+SUMIFS(预计变动!$F:$F,预计变动!$A:$A,$E22,预计变动!$B:$B,$F22,预计变动!$I:$I,"&gt;="&amp;AN$9,预计变动!$I:$I,"&lt;="&amp;AN$10))</f>
        <v>0</v>
      </c>
      <c r="AO22" s="121">
        <f>IF(MONTH($G$3)&gt;=AO$8,0,IF(AA22=0,AN22,AA22)+SUMIFS(预计变动!$F:$F,预计变动!$A:$A,$E22,预计变动!$B:$B,$F22,预计变动!$I:$I,"&gt;="&amp;AO$9,预计变动!$I:$I,"&lt;="&amp;AO$10))</f>
        <v>0</v>
      </c>
      <c r="AP22" s="121">
        <f>IF(MONTH($G$3)&gt;=AP$8,0,IF(AB22=0,AO22,AB22)+SUMIFS(预计变动!$F:$F,预计变动!$A:$A,$E22,预计变动!$B:$B,$F22,预计变动!$I:$I,"&gt;="&amp;AP$9,预计变动!$I:$I,"&lt;="&amp;AP$10))</f>
        <v>0</v>
      </c>
      <c r="AQ22" s="121">
        <f>IF(MONTH($G$3)&gt;=AQ$8,0,IF(AC22=0,AP22,AC22)+SUMIFS(预计变动!$F:$F,预计变动!$A:$A,$E22,预计变动!$B:$B,$F22,预计变动!$I:$I,"&gt;="&amp;AQ$9,预计变动!$I:$I,"&lt;="&amp;AQ$10))</f>
        <v>0</v>
      </c>
      <c r="AR22" s="121">
        <f>IF(MONTH($G$3)&gt;AR$8,0,IF(AD22=0,AQ22,AD22)+SUMIFS(预计变动!$F:$F,预计变动!$A:$A,$E22,预计变动!$B:$B,$F22,预计变动!$I:$I,"&gt;="&amp;AR$9,预计变动!$I:$I,"&lt;="&amp;AR$10))</f>
        <v>6</v>
      </c>
      <c r="AS22" s="121">
        <f>IF(MONTH($G$3)&gt;AS$8,0,IF(AE22=0,AR22,AE22)+SUMIFS(预计变动!$F:$F,预计变动!$A:$A,$E22,预计变动!$B:$B,$F22,预计变动!$I:$I,"&gt;="&amp;AS$9,预计变动!$I:$I,"&lt;="&amp;AS$10))</f>
        <v>6</v>
      </c>
      <c r="AT22" s="121">
        <f>IF(MONTH($G$3)&gt;AT$8,0,IF(AF22=0,AS22,AF22)+SUMIFS(预计变动!$F:$F,预计变动!$A:$A,$E22,预计变动!$B:$B,$F22,预计变动!$I:$I,"&gt;="&amp;AT$9,预计变动!$I:$I,"&lt;="&amp;AT$10))</f>
        <v>6</v>
      </c>
      <c r="AU22" s="121">
        <f t="shared" si="78"/>
        <v>6</v>
      </c>
      <c r="AV22" s="121">
        <f>AT22+SUMIFS(预计变动!$F:$F,预计变动!$A:$A,$E22,预计变动!$B:$B,$F22,预计变动!$I:$I,"&gt;="&amp;AV$9,预计变动!$I:$I,"&lt;="&amp;AV$10)</f>
        <v>6</v>
      </c>
      <c r="AW22" s="121">
        <f>AV22+SUMIFS(预计变动!$F:$F,预计变动!$A:$A,$E22,预计变动!$B:$B,$F22,预计变动!$I:$I,"&gt;="&amp;AW$9,预计变动!$I:$I,"&lt;="&amp;AW$10)</f>
        <v>6</v>
      </c>
      <c r="AX22" s="121">
        <f>AW22+SUMIFS(预计变动!$F:$F,预计变动!$A:$A,$E22,预计变动!$B:$B,$F22,预计变动!$I:$I,"&gt;="&amp;AX$9,预计变动!$I:$I,"&lt;="&amp;AX$10)</f>
        <v>6</v>
      </c>
      <c r="AY22" s="121">
        <f>AX22+SUMIFS(预计变动!$F:$F,预计变动!$A:$A,$E22,预计变动!$B:$B,$F22,预计变动!$I:$I,"&gt;="&amp;AY$9,预计变动!$I:$I,"&lt;="&amp;AY$10)</f>
        <v>6</v>
      </c>
      <c r="AZ22" s="121">
        <f>AY22+SUMIFS(预计变动!$F:$F,预计变动!$A:$A,$E22,预计变动!$B:$B,$F22,预计变动!$I:$I,"&gt;="&amp;AZ$9,预计变动!$I:$I,"&lt;="&amp;AZ$10)</f>
        <v>6</v>
      </c>
      <c r="BA22" s="121">
        <f>AZ22+SUMIFS(预计变动!$F:$F,预计变动!$A:$A,$E22,预计变动!$B:$B,$F22,预计变动!$I:$I,"&gt;="&amp;BA$9,预计变动!$I:$I,"&lt;="&amp;BA$10)</f>
        <v>6</v>
      </c>
      <c r="BB22" s="121">
        <f>BA22+SUMIFS(预计变动!$F:$F,预计变动!$A:$A,$E22,预计变动!$B:$B,$F22,预计变动!$I:$I,"&gt;="&amp;BB$9,预计变动!$I:$I,"&lt;="&amp;BB$10)</f>
        <v>6</v>
      </c>
      <c r="BC22" s="121">
        <f>BB22+SUMIFS(预计变动!$F:$F,预计变动!$A:$A,$E22,预计变动!$B:$B,$F22,预计变动!$I:$I,"&gt;="&amp;BC$9,预计变动!$I:$I,"&lt;="&amp;BC$10)</f>
        <v>6</v>
      </c>
      <c r="BD22" s="121">
        <f>BC22+SUMIFS(预计变动!$F:$F,预计变动!$A:$A,$E22,预计变动!$B:$B,$F22,预计变动!$I:$I,"&gt;="&amp;BD$9,预计变动!$I:$I,"&lt;="&amp;BD$10)</f>
        <v>6</v>
      </c>
      <c r="BE22" s="121">
        <f>BD22+SUMIFS(预计变动!$F:$F,预计变动!$A:$A,$E22,预计变动!$B:$B,$F22,预计变动!$I:$I,"&gt;="&amp;BE$9,预计变动!$I:$I,"&lt;="&amp;BE$10)</f>
        <v>6</v>
      </c>
      <c r="BF22" s="121">
        <f>BE22+SUMIFS(预计变动!$F:$F,预计变动!$A:$A,$E22,预计变动!$B:$B,$F22,预计变动!$I:$I,"&gt;="&amp;BF$9,预计变动!$I:$I,"&lt;="&amp;BF$10)</f>
        <v>6</v>
      </c>
      <c r="BG22" s="121">
        <f>BF22+SUMIFS(预计变动!$F:$F,预计变动!$A:$A,$E22,预计变动!$B:$B,$F22,预计变动!$I:$I,"&gt;="&amp;BG$9,预计变动!$I:$I,"&lt;="&amp;BG$10)</f>
        <v>6</v>
      </c>
    </row>
    <row r="23" ht="16.2" spans="3:59">
      <c r="C23" s="42"/>
      <c r="D23" s="42" t="s">
        <v>89</v>
      </c>
      <c r="E23" s="116" t="str">
        <f t="shared" si="79"/>
        <v>支持中心</v>
      </c>
      <c r="F23" s="116" t="str">
        <f t="shared" si="80"/>
        <v>IT部</v>
      </c>
      <c r="G23" s="121">
        <f>COUNTIFS(人员状况!$C:$C,$E23,人员状况!$D:$D,$F23,人员状况!$G:$G,"&lt;="&amp;G$10,人员状况!$H:$H,"&gt;="&amp;G$10+1)</f>
        <v>3</v>
      </c>
      <c r="H23" s="121">
        <f>COUNTIFS(人员状况!$C:$C,$E23,人员状况!$D:$D,$F23,人员状况!$G:$G,"&lt;="&amp;H$10,人员状况!$H:$H,"&gt;="&amp;H$10+1)</f>
        <v>3</v>
      </c>
      <c r="I23" s="121">
        <f>COUNTIFS(人员状况!$C:$C,$E23,人员状况!$D:$D,$F23,人员状况!$G:$G,"&lt;="&amp;I$10,人员状况!$H:$H,"&gt;="&amp;I$10+1)</f>
        <v>3</v>
      </c>
      <c r="J23" s="121">
        <f>COUNTIFS(人员状况!$C:$C,$E23,人员状况!$D:$D,$F23,人员状况!$G:$G,"&lt;="&amp;J$10,人员状况!$H:$H,"&gt;="&amp;J$10+1)</f>
        <v>3</v>
      </c>
      <c r="K23" s="121">
        <f>COUNTIFS(人员状况!$C:$C,$E23,人员状况!$D:$D,$F23,人员状况!$G:$G,"&lt;="&amp;K$10,人员状况!$H:$H,"&gt;="&amp;K$10+1)</f>
        <v>3</v>
      </c>
      <c r="L23" s="121">
        <f>COUNTIFS(人员状况!$C:$C,$E23,人员状况!$D:$D,$F23,人员状况!$G:$G,"&lt;="&amp;L$10,人员状况!$H:$H,"&gt;="&amp;L$10+1)</f>
        <v>3</v>
      </c>
      <c r="M23" s="121">
        <f>COUNTIFS(人员状况!$C:$C,$E23,人员状况!$D:$D,$F23,人员状况!$G:$G,"&lt;="&amp;M$10,人员状况!$H:$H,"&gt;="&amp;M$10+1)</f>
        <v>3</v>
      </c>
      <c r="N23" s="121">
        <f>COUNTIFS(人员状况!$C:$C,$E23,人员状况!$D:$D,$F23,人员状况!$G:$G,"&lt;="&amp;N$10,人员状况!$H:$H,"&gt;="&amp;N$10+1)</f>
        <v>3</v>
      </c>
      <c r="O23" s="121">
        <f>COUNTIFS(人员状况!$C:$C,$E23,人员状况!$D:$D,$F23,人员状况!$G:$G,"&lt;="&amp;O$10,人员状况!$H:$H,"&gt;="&amp;O$10+1)</f>
        <v>3</v>
      </c>
      <c r="P23" s="121">
        <f>COUNTIFS(人员状况!$C:$C,$E23,人员状况!$D:$D,$F23,人员状况!$G:$G,"&lt;="&amp;P$10,人员状况!$H:$H,"&gt;="&amp;P$10+1)</f>
        <v>3</v>
      </c>
      <c r="Q23" s="121">
        <f>COUNTIFS(人员状况!$C:$C,$E23,人员状况!$D:$D,$F23,人员状况!$G:$G,"&lt;="&amp;Q$10,人员状况!$H:$H,"&gt;="&amp;Q$10+1)</f>
        <v>3</v>
      </c>
      <c r="R23" s="121">
        <f>COUNTIFS(人员状况!$C:$C,$E23,人员状况!$D:$D,$F23,人员状况!$G:$G,"&lt;="&amp;R$10,人员状况!$H:$H,"&gt;="&amp;R$10+1)</f>
        <v>3</v>
      </c>
      <c r="S23" s="121">
        <f>COUNTIFS(人员状况!$C:$C,$E23,人员状况!$D:$D,$F23,人员状况!$G:$G,"&lt;="&amp;S$10,人员状况!$H:$H,"&gt;="&amp;S$10+1)</f>
        <v>3</v>
      </c>
      <c r="T23" s="125">
        <f t="shared" si="76"/>
        <v>3</v>
      </c>
      <c r="U23" s="121">
        <f>COUNTIFS(人员状况!$C:$C,$E23,人员状况!$D:$D,$F23,人员状况!$G:$G,"&lt;="&amp;U$10,人员状况!$H:$H,"&gt;="&amp;U$10+1)</f>
        <v>3</v>
      </c>
      <c r="V23" s="121">
        <f>IF(MONTH($G$3)&gt;=V$8,COUNTIFS(人员状况!$C:$C,$E23,人员状况!$D:$D,$F23,人员状况!$G:$G,"&lt;="&amp;V$10,人员状况!$H:$H,"&gt;="&amp;V$10+1),0)</f>
        <v>3</v>
      </c>
      <c r="W23" s="121">
        <f>IF(MONTH($G$3)&gt;=W$8,COUNTIFS(人员状况!$C:$C,$E23,人员状况!$D:$D,$F23,人员状况!$G:$G,"&lt;="&amp;W$10,人员状况!$H:$H,"&gt;="&amp;W$10+1),0)</f>
        <v>3</v>
      </c>
      <c r="X23" s="121">
        <f>IF(MONTH($G$3)&gt;=X$8,COUNTIFS(人员状况!$C:$C,$E23,人员状况!$D:$D,$F23,人员状况!$G:$G,"&lt;="&amp;X$10,人员状况!$H:$H,"&gt;="&amp;X$10+1),0)</f>
        <v>3</v>
      </c>
      <c r="Y23" s="121">
        <f>IF(MONTH($G$3)&gt;=Y$8,COUNTIFS(人员状况!$C:$C,$E23,人员状况!$D:$D,$F23,人员状况!$G:$G,"&lt;="&amp;Y$10,人员状况!$H:$H,"&gt;="&amp;Y$10+1),0)</f>
        <v>3</v>
      </c>
      <c r="Z23" s="121">
        <f>IF(MONTH($G$3)&gt;=Z$8,COUNTIFS(人员状况!$C:$C,$E23,人员状况!$D:$D,$F23,人员状况!$G:$G,"&lt;="&amp;Z$10,人员状况!$H:$H,"&gt;="&amp;Z$10+1),0)</f>
        <v>3</v>
      </c>
      <c r="AA23" s="121">
        <f>IF(MONTH($G$3)&gt;=AA$8,COUNTIFS(人员状况!$C:$C,$E23,人员状况!$D:$D,$F23,人员状况!$G:$G,"&lt;="&amp;AA$10,人员状况!$H:$H,"&gt;="&amp;AA$10+1),0)</f>
        <v>3</v>
      </c>
      <c r="AB23" s="121">
        <f>IF(MONTH($G$3)&gt;=AB$8,COUNTIFS(人员状况!$C:$C,$E23,人员状况!$D:$D,$F23,人员状况!$G:$G,"&lt;="&amp;AB$10,人员状况!$H:$H,"&gt;="&amp;AB$10+1),0)</f>
        <v>3</v>
      </c>
      <c r="AC23" s="121">
        <f>IF(MONTH($G$3)&gt;=AC$8,COUNTIFS(人员状况!$C:$C,$E23,人员状况!$D:$D,$F23,人员状况!$G:$G,"&lt;="&amp;AC$10,人员状况!$H:$H,"&gt;="&amp;AC$10+1),0)</f>
        <v>3</v>
      </c>
      <c r="AD23" s="121">
        <f>IF(MONTH($G$3)&gt;=AD$8,COUNTIFS(人员状况!$C:$C,$E23,人员状况!$D:$D,$F23,人员状况!$G:$G,"&lt;="&amp;AD$10,人员状况!$H:$H,"&gt;="&amp;AD$10+1),0)</f>
        <v>3</v>
      </c>
      <c r="AE23" s="121">
        <f>IF(MONTH($G$3)&gt;=AE$8,COUNTIFS(人员状况!$C:$C,$E23,人员状况!$D:$D,$F23,人员状况!$G:$G,"&lt;="&amp;AE$10,人员状况!$H:$H,"&gt;="&amp;AE$10+1),0)</f>
        <v>0</v>
      </c>
      <c r="AF23" s="121">
        <f>IF(MONTH($G$3)&gt;=AF$8,COUNTIFS(人员状况!$C:$C,$E23,人员状况!$D:$D,$F23,人员状况!$G:$G,"&lt;="&amp;AF$10,人员状况!$H:$H,"&gt;="&amp;AF$10+1),0)</f>
        <v>0</v>
      </c>
      <c r="AG23" s="121">
        <f>IF(MONTH($G$3)&gt;=AG$8,COUNTIFS(人员状况!$C:$C,$E23,人员状况!$D:$D,$F23,人员状况!$G:$G,"&lt;="&amp;AG$10,人员状况!$H:$H,"&gt;="&amp;AG$10+1),0)</f>
        <v>0</v>
      </c>
      <c r="AH23" s="121">
        <f t="shared" si="77"/>
        <v>3</v>
      </c>
      <c r="AI23" s="121">
        <f>IF(MONTH($G$3)&gt;=AI$8,0,S23+SUMIFS(预计变动!$F:$F,预计变动!$A:$A,$E23,预计变动!$B:$B,$F23,预计变动!$I:$I,"&gt;="&amp;AI$9,预计变动!$I:$I,"&lt;="&amp;AI$10))</f>
        <v>0</v>
      </c>
      <c r="AJ23" s="121">
        <f>IF(MONTH($G$3)&gt;=AJ$8,0,IF(V23=0,AI23,V23)+SUMIFS(预计变动!$F:$F,预计变动!$A:$A,$E23,预计变动!$B:$B,$F23,预计变动!$I:$I,"&gt;="&amp;AJ$9,预计变动!$I:$I,"&lt;="&amp;AJ$10))</f>
        <v>0</v>
      </c>
      <c r="AK23" s="121">
        <f>IF(MONTH($G$3)&gt;=AK$8,0,IF(W23=0,AJ23,W23)+SUMIFS(预计变动!$F:$F,预计变动!$A:$A,$E23,预计变动!$B:$B,$F23,预计变动!$I:$I,"&gt;="&amp;AK$9,预计变动!$I:$I,"&lt;="&amp;AK$10))</f>
        <v>0</v>
      </c>
      <c r="AL23" s="121">
        <f>IF(MONTH($G$3)&gt;=AL$8,0,IF(X23=0,AK23,X23)+SUMIFS(预计变动!$F:$F,预计变动!$A:$A,$E23,预计变动!$B:$B,$F23,预计变动!$I:$I,"&gt;="&amp;AL$9,预计变动!$I:$I,"&lt;="&amp;AL$10))</f>
        <v>0</v>
      </c>
      <c r="AM23" s="121">
        <f>IF(MONTH($G$3)&gt;=AM$8,0,IF(Y23=0,AL23,Y23)+SUMIFS(预计变动!$F:$F,预计变动!$A:$A,$E23,预计变动!$B:$B,$F23,预计变动!$I:$I,"&gt;="&amp;AM$9,预计变动!$I:$I,"&lt;="&amp;AM$10))</f>
        <v>0</v>
      </c>
      <c r="AN23" s="121">
        <f>IF(MONTH($G$3)&gt;=AN$8,0,IF(Z23=0,AM23,Z23)+SUMIFS(预计变动!$F:$F,预计变动!$A:$A,$E23,预计变动!$B:$B,$F23,预计变动!$I:$I,"&gt;="&amp;AN$9,预计变动!$I:$I,"&lt;="&amp;AN$10))</f>
        <v>0</v>
      </c>
      <c r="AO23" s="121">
        <f>IF(MONTH($G$3)&gt;=AO$8,0,IF(AA23=0,AN23,AA23)+SUMIFS(预计变动!$F:$F,预计变动!$A:$A,$E23,预计变动!$B:$B,$F23,预计变动!$I:$I,"&gt;="&amp;AO$9,预计变动!$I:$I,"&lt;="&amp;AO$10))</f>
        <v>0</v>
      </c>
      <c r="AP23" s="121">
        <f>IF(MONTH($G$3)&gt;=AP$8,0,IF(AB23=0,AO23,AB23)+SUMIFS(预计变动!$F:$F,预计变动!$A:$A,$E23,预计变动!$B:$B,$F23,预计变动!$I:$I,"&gt;="&amp;AP$9,预计变动!$I:$I,"&lt;="&amp;AP$10))</f>
        <v>0</v>
      </c>
      <c r="AQ23" s="121">
        <f>IF(MONTH($G$3)&gt;=AQ$8,0,IF(AC23=0,AP23,AC23)+SUMIFS(预计变动!$F:$F,预计变动!$A:$A,$E23,预计变动!$B:$B,$F23,预计变动!$I:$I,"&gt;="&amp;AQ$9,预计变动!$I:$I,"&lt;="&amp;AQ$10))</f>
        <v>0</v>
      </c>
      <c r="AR23" s="121">
        <f>IF(MONTH($G$3)&gt;AR$8,0,IF(AD23=0,AQ23,AD23)+SUMIFS(预计变动!$F:$F,预计变动!$A:$A,$E23,预计变动!$B:$B,$F23,预计变动!$I:$I,"&gt;="&amp;AR$9,预计变动!$I:$I,"&lt;="&amp;AR$10))</f>
        <v>3</v>
      </c>
      <c r="AS23" s="121">
        <f>IF(MONTH($G$3)&gt;AS$8,0,IF(AE23=0,AR23,AE23)+SUMIFS(预计变动!$F:$F,预计变动!$A:$A,$E23,预计变动!$B:$B,$F23,预计变动!$I:$I,"&gt;="&amp;AS$9,预计变动!$I:$I,"&lt;="&amp;AS$10))</f>
        <v>3</v>
      </c>
      <c r="AT23" s="121">
        <f>IF(MONTH($G$3)&gt;AT$8,0,IF(AF23=0,AS23,AF23)+SUMIFS(预计变动!$F:$F,预计变动!$A:$A,$E23,预计变动!$B:$B,$F23,预计变动!$I:$I,"&gt;="&amp;AT$9,预计变动!$I:$I,"&lt;="&amp;AT$10))</f>
        <v>3</v>
      </c>
      <c r="AU23" s="121">
        <f t="shared" si="78"/>
        <v>3</v>
      </c>
      <c r="AV23" s="121">
        <f>AT23+SUMIFS(预计变动!$F:$F,预计变动!$A:$A,$E23,预计变动!$B:$B,$F23,预计变动!$I:$I,"&gt;="&amp;AV$9,预计变动!$I:$I,"&lt;="&amp;AV$10)</f>
        <v>3</v>
      </c>
      <c r="AW23" s="121">
        <f>AV23+SUMIFS(预计变动!$F:$F,预计变动!$A:$A,$E23,预计变动!$B:$B,$F23,预计变动!$I:$I,"&gt;="&amp;AW$9,预计变动!$I:$I,"&lt;="&amp;AW$10)</f>
        <v>3</v>
      </c>
      <c r="AX23" s="121">
        <f>AW23+SUMIFS(预计变动!$F:$F,预计变动!$A:$A,$E23,预计变动!$B:$B,$F23,预计变动!$I:$I,"&gt;="&amp;AX$9,预计变动!$I:$I,"&lt;="&amp;AX$10)</f>
        <v>3</v>
      </c>
      <c r="AY23" s="121">
        <f>AX23+SUMIFS(预计变动!$F:$F,预计变动!$A:$A,$E23,预计变动!$B:$B,$F23,预计变动!$I:$I,"&gt;="&amp;AY$9,预计变动!$I:$I,"&lt;="&amp;AY$10)</f>
        <v>3</v>
      </c>
      <c r="AZ23" s="121">
        <f>AY23+SUMIFS(预计变动!$F:$F,预计变动!$A:$A,$E23,预计变动!$B:$B,$F23,预计变动!$I:$I,"&gt;="&amp;AZ$9,预计变动!$I:$I,"&lt;="&amp;AZ$10)</f>
        <v>3</v>
      </c>
      <c r="BA23" s="121">
        <f>AZ23+SUMIFS(预计变动!$F:$F,预计变动!$A:$A,$E23,预计变动!$B:$B,$F23,预计变动!$I:$I,"&gt;="&amp;BA$9,预计变动!$I:$I,"&lt;="&amp;BA$10)</f>
        <v>3</v>
      </c>
      <c r="BB23" s="121">
        <f>BA23+SUMIFS(预计变动!$F:$F,预计变动!$A:$A,$E23,预计变动!$B:$B,$F23,预计变动!$I:$I,"&gt;="&amp;BB$9,预计变动!$I:$I,"&lt;="&amp;BB$10)</f>
        <v>3</v>
      </c>
      <c r="BC23" s="121">
        <f>BB23+SUMIFS(预计变动!$F:$F,预计变动!$A:$A,$E23,预计变动!$B:$B,$F23,预计变动!$I:$I,"&gt;="&amp;BC$9,预计变动!$I:$I,"&lt;="&amp;BC$10)</f>
        <v>3</v>
      </c>
      <c r="BD23" s="121">
        <f>BC23+SUMIFS(预计变动!$F:$F,预计变动!$A:$A,$E23,预计变动!$B:$B,$F23,预计变动!$I:$I,"&gt;="&amp;BD$9,预计变动!$I:$I,"&lt;="&amp;BD$10)</f>
        <v>3</v>
      </c>
      <c r="BE23" s="121">
        <f>BD23+SUMIFS(预计变动!$F:$F,预计变动!$A:$A,$E23,预计变动!$B:$B,$F23,预计变动!$I:$I,"&gt;="&amp;BE$9,预计变动!$I:$I,"&lt;="&amp;BE$10)</f>
        <v>3</v>
      </c>
      <c r="BF23" s="121">
        <f>BE23+SUMIFS(预计变动!$F:$F,预计变动!$A:$A,$E23,预计变动!$B:$B,$F23,预计变动!$I:$I,"&gt;="&amp;BF$9,预计变动!$I:$I,"&lt;="&amp;BF$10)</f>
        <v>3</v>
      </c>
      <c r="BG23" s="121">
        <f>BF23+SUMIFS(预计变动!$F:$F,预计变动!$A:$A,$E23,预计变动!$B:$B,$F23,预计变动!$I:$I,"&gt;="&amp;BG$9,预计变动!$I:$I,"&lt;="&amp;BG$10)</f>
        <v>3</v>
      </c>
    </row>
    <row r="24" ht="16.2" spans="3:59">
      <c r="C24" s="42"/>
      <c r="D24" s="42" t="s">
        <v>90</v>
      </c>
      <c r="E24" s="116" t="str">
        <f t="shared" si="79"/>
        <v>支持中心</v>
      </c>
      <c r="F24" s="116" t="str">
        <f t="shared" si="80"/>
        <v>总经办</v>
      </c>
      <c r="G24" s="121">
        <f>COUNTIFS(人员状况!$C:$C,$E24,人员状况!$D:$D,$F24,人员状况!$G:$G,"&lt;="&amp;G$10,人员状况!$H:$H,"&gt;="&amp;G$10+1)</f>
        <v>1</v>
      </c>
      <c r="H24" s="121">
        <f>COUNTIFS(人员状况!$C:$C,$E24,人员状况!$D:$D,$F24,人员状况!$G:$G,"&lt;="&amp;H$10,人员状况!$H:$H,"&gt;="&amp;H$10+1)</f>
        <v>1</v>
      </c>
      <c r="I24" s="121">
        <f>COUNTIFS(人员状况!$C:$C,$E24,人员状况!$D:$D,$F24,人员状况!$G:$G,"&lt;="&amp;I$10,人员状况!$H:$H,"&gt;="&amp;I$10+1)</f>
        <v>1</v>
      </c>
      <c r="J24" s="121">
        <f>COUNTIFS(人员状况!$C:$C,$E24,人员状况!$D:$D,$F24,人员状况!$G:$G,"&lt;="&amp;J$10,人员状况!$H:$H,"&gt;="&amp;J$10+1)</f>
        <v>1</v>
      </c>
      <c r="K24" s="121">
        <f>COUNTIFS(人员状况!$C:$C,$E24,人员状况!$D:$D,$F24,人员状况!$G:$G,"&lt;="&amp;K$10,人员状况!$H:$H,"&gt;="&amp;K$10+1)</f>
        <v>1</v>
      </c>
      <c r="L24" s="121">
        <f>COUNTIFS(人员状况!$C:$C,$E24,人员状况!$D:$D,$F24,人员状况!$G:$G,"&lt;="&amp;L$10,人员状况!$H:$H,"&gt;="&amp;L$10+1)</f>
        <v>1</v>
      </c>
      <c r="M24" s="121">
        <f>COUNTIFS(人员状况!$C:$C,$E24,人员状况!$D:$D,$F24,人员状况!$G:$G,"&lt;="&amp;M$10,人员状况!$H:$H,"&gt;="&amp;M$10+1)</f>
        <v>1</v>
      </c>
      <c r="N24" s="121">
        <f>COUNTIFS(人员状况!$C:$C,$E24,人员状况!$D:$D,$F24,人员状况!$G:$G,"&lt;="&amp;N$10,人员状况!$H:$H,"&gt;="&amp;N$10+1)</f>
        <v>1</v>
      </c>
      <c r="O24" s="121">
        <f>COUNTIFS(人员状况!$C:$C,$E24,人员状况!$D:$D,$F24,人员状况!$G:$G,"&lt;="&amp;O$10,人员状况!$H:$H,"&gt;="&amp;O$10+1)</f>
        <v>1</v>
      </c>
      <c r="P24" s="121">
        <f>COUNTIFS(人员状况!$C:$C,$E24,人员状况!$D:$D,$F24,人员状况!$G:$G,"&lt;="&amp;P$10,人员状况!$H:$H,"&gt;="&amp;P$10+1)</f>
        <v>1</v>
      </c>
      <c r="Q24" s="121">
        <f>COUNTIFS(人员状况!$C:$C,$E24,人员状况!$D:$D,$F24,人员状况!$G:$G,"&lt;="&amp;Q$10,人员状况!$H:$H,"&gt;="&amp;Q$10+1)</f>
        <v>1</v>
      </c>
      <c r="R24" s="121">
        <f>COUNTIFS(人员状况!$C:$C,$E24,人员状况!$D:$D,$F24,人员状况!$G:$G,"&lt;="&amp;R$10,人员状况!$H:$H,"&gt;="&amp;R$10+1)</f>
        <v>1</v>
      </c>
      <c r="S24" s="121">
        <f>COUNTIFS(人员状况!$C:$C,$E24,人员状况!$D:$D,$F24,人员状况!$G:$G,"&lt;="&amp;S$10,人员状况!$H:$H,"&gt;="&amp;S$10+1)</f>
        <v>1</v>
      </c>
      <c r="T24" s="125">
        <f t="shared" si="76"/>
        <v>1</v>
      </c>
      <c r="U24" s="121">
        <f>COUNTIFS(人员状况!$C:$C,$E24,人员状况!$D:$D,$F24,人员状况!$G:$G,"&lt;="&amp;U$10,人员状况!$H:$H,"&gt;="&amp;U$10+1)</f>
        <v>1</v>
      </c>
      <c r="V24" s="121">
        <f>IF(MONTH($G$3)&gt;=V$8,COUNTIFS(人员状况!$C:$C,$E24,人员状况!$D:$D,$F24,人员状况!$G:$G,"&lt;="&amp;V$10,人员状况!$H:$H,"&gt;="&amp;V$10+1),0)</f>
        <v>1</v>
      </c>
      <c r="W24" s="121">
        <f>IF(MONTH($G$3)&gt;=W$8,COUNTIFS(人员状况!$C:$C,$E24,人员状况!$D:$D,$F24,人员状况!$G:$G,"&lt;="&amp;W$10,人员状况!$H:$H,"&gt;="&amp;W$10+1),0)</f>
        <v>1</v>
      </c>
      <c r="X24" s="121">
        <f>IF(MONTH($G$3)&gt;=X$8,COUNTIFS(人员状况!$C:$C,$E24,人员状况!$D:$D,$F24,人员状况!$G:$G,"&lt;="&amp;X$10,人员状况!$H:$H,"&gt;="&amp;X$10+1),0)</f>
        <v>1</v>
      </c>
      <c r="Y24" s="121">
        <f>IF(MONTH($G$3)&gt;=Y$8,COUNTIFS(人员状况!$C:$C,$E24,人员状况!$D:$D,$F24,人员状况!$G:$G,"&lt;="&amp;Y$10,人员状况!$H:$H,"&gt;="&amp;Y$10+1),0)</f>
        <v>1</v>
      </c>
      <c r="Z24" s="121">
        <f>IF(MONTH($G$3)&gt;=Z$8,COUNTIFS(人员状况!$C:$C,$E24,人员状况!$D:$D,$F24,人员状况!$G:$G,"&lt;="&amp;Z$10,人员状况!$H:$H,"&gt;="&amp;Z$10+1),0)</f>
        <v>1</v>
      </c>
      <c r="AA24" s="121">
        <f>IF(MONTH($G$3)&gt;=AA$8,COUNTIFS(人员状况!$C:$C,$E24,人员状况!$D:$D,$F24,人员状况!$G:$G,"&lt;="&amp;AA$10,人员状况!$H:$H,"&gt;="&amp;AA$10+1),0)</f>
        <v>1</v>
      </c>
      <c r="AB24" s="121">
        <f>IF(MONTH($G$3)&gt;=AB$8,COUNTIFS(人员状况!$C:$C,$E24,人员状况!$D:$D,$F24,人员状况!$G:$G,"&lt;="&amp;AB$10,人员状况!$H:$H,"&gt;="&amp;AB$10+1),0)</f>
        <v>1</v>
      </c>
      <c r="AC24" s="121">
        <f>IF(MONTH($G$3)&gt;=AC$8,COUNTIFS(人员状况!$C:$C,$E24,人员状况!$D:$D,$F24,人员状况!$G:$G,"&lt;="&amp;AC$10,人员状况!$H:$H,"&gt;="&amp;AC$10+1),0)</f>
        <v>1</v>
      </c>
      <c r="AD24" s="121">
        <f>IF(MONTH($G$3)&gt;=AD$8,COUNTIFS(人员状况!$C:$C,$E24,人员状况!$D:$D,$F24,人员状况!$G:$G,"&lt;="&amp;AD$10,人员状况!$H:$H,"&gt;="&amp;AD$10+1),0)</f>
        <v>1</v>
      </c>
      <c r="AE24" s="121">
        <f>IF(MONTH($G$3)&gt;=AE$8,COUNTIFS(人员状况!$C:$C,$E24,人员状况!$D:$D,$F24,人员状况!$G:$G,"&lt;="&amp;AE$10,人员状况!$H:$H,"&gt;="&amp;AE$10+1),0)</f>
        <v>0</v>
      </c>
      <c r="AF24" s="121">
        <f>IF(MONTH($G$3)&gt;=AF$8,COUNTIFS(人员状况!$C:$C,$E24,人员状况!$D:$D,$F24,人员状况!$G:$G,"&lt;="&amp;AF$10,人员状况!$H:$H,"&gt;="&amp;AF$10+1),0)</f>
        <v>0</v>
      </c>
      <c r="AG24" s="121">
        <f>IF(MONTH($G$3)&gt;=AG$8,COUNTIFS(人员状况!$C:$C,$E24,人员状况!$D:$D,$F24,人员状况!$G:$G,"&lt;="&amp;AG$10,人员状况!$H:$H,"&gt;="&amp;AG$10+1),0)</f>
        <v>0</v>
      </c>
      <c r="AH24" s="121">
        <f t="shared" si="77"/>
        <v>1</v>
      </c>
      <c r="AI24" s="121">
        <f>IF(MONTH($G$3)&gt;=AI$8,0,S24+SUMIFS(预计变动!$F:$F,预计变动!$A:$A,$E24,预计变动!$B:$B,$F24,预计变动!$I:$I,"&gt;="&amp;AI$9,预计变动!$I:$I,"&lt;="&amp;AI$10))</f>
        <v>0</v>
      </c>
      <c r="AJ24" s="121">
        <f>IF(MONTH($G$3)&gt;=AJ$8,0,IF(V24=0,AI24,V24)+SUMIFS(预计变动!$F:$F,预计变动!$A:$A,$E24,预计变动!$B:$B,$F24,预计变动!$I:$I,"&gt;="&amp;AJ$9,预计变动!$I:$I,"&lt;="&amp;AJ$10))</f>
        <v>0</v>
      </c>
      <c r="AK24" s="121">
        <f>IF(MONTH($G$3)&gt;=AK$8,0,IF(W24=0,AJ24,W24)+SUMIFS(预计变动!$F:$F,预计变动!$A:$A,$E24,预计变动!$B:$B,$F24,预计变动!$I:$I,"&gt;="&amp;AK$9,预计变动!$I:$I,"&lt;="&amp;AK$10))</f>
        <v>0</v>
      </c>
      <c r="AL24" s="121">
        <f>IF(MONTH($G$3)&gt;=AL$8,0,IF(X24=0,AK24,X24)+SUMIFS(预计变动!$F:$F,预计变动!$A:$A,$E24,预计变动!$B:$B,$F24,预计变动!$I:$I,"&gt;="&amp;AL$9,预计变动!$I:$I,"&lt;="&amp;AL$10))</f>
        <v>0</v>
      </c>
      <c r="AM24" s="121">
        <f>IF(MONTH($G$3)&gt;=AM$8,0,IF(Y24=0,AL24,Y24)+SUMIFS(预计变动!$F:$F,预计变动!$A:$A,$E24,预计变动!$B:$B,$F24,预计变动!$I:$I,"&gt;="&amp;AM$9,预计变动!$I:$I,"&lt;="&amp;AM$10))</f>
        <v>0</v>
      </c>
      <c r="AN24" s="121">
        <f>IF(MONTH($G$3)&gt;=AN$8,0,IF(Z24=0,AM24,Z24)+SUMIFS(预计变动!$F:$F,预计变动!$A:$A,$E24,预计变动!$B:$B,$F24,预计变动!$I:$I,"&gt;="&amp;AN$9,预计变动!$I:$I,"&lt;="&amp;AN$10))</f>
        <v>0</v>
      </c>
      <c r="AO24" s="121">
        <f>IF(MONTH($G$3)&gt;=AO$8,0,IF(AA24=0,AN24,AA24)+SUMIFS(预计变动!$F:$F,预计变动!$A:$A,$E24,预计变动!$B:$B,$F24,预计变动!$I:$I,"&gt;="&amp;AO$9,预计变动!$I:$I,"&lt;="&amp;AO$10))</f>
        <v>0</v>
      </c>
      <c r="AP24" s="121">
        <f>IF(MONTH($G$3)&gt;=AP$8,0,IF(AB24=0,AO24,AB24)+SUMIFS(预计变动!$F:$F,预计变动!$A:$A,$E24,预计变动!$B:$B,$F24,预计变动!$I:$I,"&gt;="&amp;AP$9,预计变动!$I:$I,"&lt;="&amp;AP$10))</f>
        <v>0</v>
      </c>
      <c r="AQ24" s="121">
        <f>IF(MONTH($G$3)&gt;=AQ$8,0,IF(AC24=0,AP24,AC24)+SUMIFS(预计变动!$F:$F,预计变动!$A:$A,$E24,预计变动!$B:$B,$F24,预计变动!$I:$I,"&gt;="&amp;AQ$9,预计变动!$I:$I,"&lt;="&amp;AQ$10))</f>
        <v>0</v>
      </c>
      <c r="AR24" s="121">
        <f>IF(MONTH($G$3)&gt;AR$8,0,IF(AD24=0,AQ24,AD24)+SUMIFS(预计变动!$F:$F,预计变动!$A:$A,$E24,预计变动!$B:$B,$F24,预计变动!$I:$I,"&gt;="&amp;AR$9,预计变动!$I:$I,"&lt;="&amp;AR$10))</f>
        <v>1</v>
      </c>
      <c r="AS24" s="121">
        <f>IF(MONTH($G$3)&gt;AS$8,0,IF(AE24=0,AR24,AE24)+SUMIFS(预计变动!$F:$F,预计变动!$A:$A,$E24,预计变动!$B:$B,$F24,预计变动!$I:$I,"&gt;="&amp;AS$9,预计变动!$I:$I,"&lt;="&amp;AS$10))</f>
        <v>1</v>
      </c>
      <c r="AT24" s="121">
        <f>IF(MONTH($G$3)&gt;AT$8,0,IF(AF24=0,AS24,AF24)+SUMIFS(预计变动!$F:$F,预计变动!$A:$A,$E24,预计变动!$B:$B,$F24,预计变动!$I:$I,"&gt;="&amp;AT$9,预计变动!$I:$I,"&lt;="&amp;AT$10))</f>
        <v>1</v>
      </c>
      <c r="AU24" s="121">
        <f t="shared" si="78"/>
        <v>1</v>
      </c>
      <c r="AV24" s="121">
        <f>AT24+SUMIFS(预计变动!$F:$F,预计变动!$A:$A,$E24,预计变动!$B:$B,$F24,预计变动!$I:$I,"&gt;="&amp;AV$9,预计变动!$I:$I,"&lt;="&amp;AV$10)</f>
        <v>1</v>
      </c>
      <c r="AW24" s="121">
        <f>AV24+SUMIFS(预计变动!$F:$F,预计变动!$A:$A,$E24,预计变动!$B:$B,$F24,预计变动!$I:$I,"&gt;="&amp;AW$9,预计变动!$I:$I,"&lt;="&amp;AW$10)</f>
        <v>1</v>
      </c>
      <c r="AX24" s="121">
        <f>AW24+SUMIFS(预计变动!$F:$F,预计变动!$A:$A,$E24,预计变动!$B:$B,$F24,预计变动!$I:$I,"&gt;="&amp;AX$9,预计变动!$I:$I,"&lt;="&amp;AX$10)</f>
        <v>1</v>
      </c>
      <c r="AY24" s="121">
        <f>AX24+SUMIFS(预计变动!$F:$F,预计变动!$A:$A,$E24,预计变动!$B:$B,$F24,预计变动!$I:$I,"&gt;="&amp;AY$9,预计变动!$I:$I,"&lt;="&amp;AY$10)</f>
        <v>1</v>
      </c>
      <c r="AZ24" s="121">
        <f>AY24+SUMIFS(预计变动!$F:$F,预计变动!$A:$A,$E24,预计变动!$B:$B,$F24,预计变动!$I:$I,"&gt;="&amp;AZ$9,预计变动!$I:$I,"&lt;="&amp;AZ$10)</f>
        <v>1</v>
      </c>
      <c r="BA24" s="121">
        <f>AZ24+SUMIFS(预计变动!$F:$F,预计变动!$A:$A,$E24,预计变动!$B:$B,$F24,预计变动!$I:$I,"&gt;="&amp;BA$9,预计变动!$I:$I,"&lt;="&amp;BA$10)</f>
        <v>1</v>
      </c>
      <c r="BB24" s="121">
        <f>BA24+SUMIFS(预计变动!$F:$F,预计变动!$A:$A,$E24,预计变动!$B:$B,$F24,预计变动!$I:$I,"&gt;="&amp;BB$9,预计变动!$I:$I,"&lt;="&amp;BB$10)</f>
        <v>1</v>
      </c>
      <c r="BC24" s="121">
        <f>BB24+SUMIFS(预计变动!$F:$F,预计变动!$A:$A,$E24,预计变动!$B:$B,$F24,预计变动!$I:$I,"&gt;="&amp;BC$9,预计变动!$I:$I,"&lt;="&amp;BC$10)</f>
        <v>1</v>
      </c>
      <c r="BD24" s="121">
        <f>BC24+SUMIFS(预计变动!$F:$F,预计变动!$A:$A,$E24,预计变动!$B:$B,$F24,预计变动!$I:$I,"&gt;="&amp;BD$9,预计变动!$I:$I,"&lt;="&amp;BD$10)</f>
        <v>1</v>
      </c>
      <c r="BE24" s="121">
        <f>BD24+SUMIFS(预计变动!$F:$F,预计变动!$A:$A,$E24,预计变动!$B:$B,$F24,预计变动!$I:$I,"&gt;="&amp;BE$9,预计变动!$I:$I,"&lt;="&amp;BE$10)</f>
        <v>1</v>
      </c>
      <c r="BF24" s="121">
        <f>BE24+SUMIFS(预计变动!$F:$F,预计变动!$A:$A,$E24,预计变动!$B:$B,$F24,预计变动!$I:$I,"&gt;="&amp;BF$9,预计变动!$I:$I,"&lt;="&amp;BF$10)</f>
        <v>1</v>
      </c>
      <c r="BG24" s="121">
        <f>BF24+SUMIFS(预计变动!$F:$F,预计变动!$A:$A,$E24,预计变动!$B:$B,$F24,预计变动!$I:$I,"&gt;="&amp;BG$9,预计变动!$I:$I,"&lt;="&amp;BG$10)</f>
        <v>1</v>
      </c>
    </row>
    <row r="26" ht="20.4" spans="2:2">
      <c r="B26" s="118" t="s">
        <v>91</v>
      </c>
    </row>
    <row r="27" s="101" customFormat="1" ht="19.2" customHeight="1" spans="2:59">
      <c r="B27" s="42" t="s">
        <v>76</v>
      </c>
      <c r="C27" s="119"/>
      <c r="D27" s="119"/>
      <c r="E27" s="119" t="s">
        <v>78</v>
      </c>
      <c r="F27" s="119" t="s">
        <v>78</v>
      </c>
      <c r="G27" s="120">
        <f>SUMIFS(薪酬明细!$K:$K,薪酬明细!$D:$D,$E27,薪酬明细!$E:$E,$F27,薪酬明细!$H:$H,"&gt;="&amp;G$9,薪酬明细!$H:$H,"&lt;="&amp;G$10,薪酬明细!$A:$A,G$6)/12</f>
        <v>73</v>
      </c>
      <c r="H27" s="120">
        <f>SUMIFS(薪酬明细!$K:$K,薪酬明细!$D:$D,$E27,薪酬明细!$E:$E,$F27,薪酬明细!$H:$H,"&gt;="&amp;H$9,薪酬明细!$H:$H,"&lt;="&amp;H$10,薪酬明细!$A:$A,H$6)</f>
        <v>73</v>
      </c>
      <c r="I27" s="120">
        <f>SUMIFS(薪酬明细!$K:$K,薪酬明细!$D:$D,$E27,薪酬明细!$E:$E,$F27,薪酬明细!$H:$H,"&gt;="&amp;I$9,薪酬明细!$H:$H,"&lt;="&amp;I$10,薪酬明细!$A:$A,I$6)</f>
        <v>73</v>
      </c>
      <c r="J27" s="120">
        <f>SUMIFS(薪酬明细!$K:$K,薪酬明细!$D:$D,$E27,薪酬明细!$E:$E,$F27,薪酬明细!$H:$H,"&gt;="&amp;J$9,薪酬明细!$H:$H,"&lt;="&amp;J$10,薪酬明细!$A:$A,J$6)</f>
        <v>73</v>
      </c>
      <c r="K27" s="120">
        <f>SUMIFS(薪酬明细!$K:$K,薪酬明细!$D:$D,$E27,薪酬明细!$E:$E,$F27,薪酬明细!$H:$H,"&gt;="&amp;K$9,薪酬明细!$H:$H,"&lt;="&amp;K$10,薪酬明细!$A:$A,K$6)</f>
        <v>73</v>
      </c>
      <c r="L27" s="120">
        <f>SUMIFS(薪酬明细!$K:$K,薪酬明细!$D:$D,$E27,薪酬明细!$E:$E,$F27,薪酬明细!$H:$H,"&gt;="&amp;L$9,薪酬明细!$H:$H,"&lt;="&amp;L$10,薪酬明细!$A:$A,L$6)</f>
        <v>73</v>
      </c>
      <c r="M27" s="120">
        <f>SUMIFS(薪酬明细!$K:$K,薪酬明细!$D:$D,$E27,薪酬明细!$E:$E,$F27,薪酬明细!$H:$H,"&gt;="&amp;M$9,薪酬明细!$H:$H,"&lt;="&amp;M$10,薪酬明细!$A:$A,M$6)</f>
        <v>73</v>
      </c>
      <c r="N27" s="120">
        <f>SUMIFS(薪酬明细!$K:$K,薪酬明细!$D:$D,$E27,薪酬明细!$E:$E,$F27,薪酬明细!$H:$H,"&gt;="&amp;N$9,薪酬明细!$H:$H,"&lt;="&amp;N$10,薪酬明细!$A:$A,N$6)</f>
        <v>73</v>
      </c>
      <c r="O27" s="120">
        <f>SUMIFS(薪酬明细!$K:$K,薪酬明细!$D:$D,$E27,薪酬明细!$E:$E,$F27,薪酬明细!$H:$H,"&gt;="&amp;O$9,薪酬明细!$H:$H,"&lt;="&amp;O$10,薪酬明细!$A:$A,O$6)</f>
        <v>73</v>
      </c>
      <c r="P27" s="120">
        <f>SUMIFS(薪酬明细!$K:$K,薪酬明细!$D:$D,$E27,薪酬明细!$E:$E,$F27,薪酬明细!$H:$H,"&gt;="&amp;P$9,薪酬明细!$H:$H,"&lt;="&amp;P$10,薪酬明细!$A:$A,P$6)</f>
        <v>73</v>
      </c>
      <c r="Q27" s="120">
        <f>SUMIFS(薪酬明细!$K:$K,薪酬明细!$D:$D,$E27,薪酬明细!$E:$E,$F27,薪酬明细!$H:$H,"&gt;="&amp;Q$9,薪酬明细!$H:$H,"&lt;="&amp;Q$10,薪酬明细!$A:$A,Q$6)</f>
        <v>73</v>
      </c>
      <c r="R27" s="120">
        <f>SUMIFS(薪酬明细!$K:$K,薪酬明细!$D:$D,$E27,薪酬明细!$E:$E,$F27,薪酬明细!$H:$H,"&gt;="&amp;R$9,薪酬明细!$H:$H,"&lt;="&amp;R$10,薪酬明细!$A:$A,R$6)</f>
        <v>73</v>
      </c>
      <c r="S27" s="120">
        <f>SUMIFS(薪酬明细!$K:$K,薪酬明细!$D:$D,$E27,薪酬明细!$E:$E,$F27,薪酬明细!$H:$H,"&gt;="&amp;S$9,薪酬明细!$H:$H,"&lt;="&amp;S$10,薪酬明细!$A:$A,S$6)</f>
        <v>73</v>
      </c>
      <c r="T27" s="124">
        <f>(U27*MONTH($G$3)+AH27*(12-MONTH($G$3)))/12</f>
        <v>73</v>
      </c>
      <c r="U27" s="120">
        <f>SUMIFS(薪酬明细!$K:$K,薪酬明细!$D:$D,$E27,薪酬明细!$E:$E,$F27,薪酬明细!$H:$H,"&gt;="&amp;U$9,薪酬明细!$H:$H,"&lt;="&amp;U$10,薪酬明细!$A:$A,U$6)/MONTH($G$3)</f>
        <v>73</v>
      </c>
      <c r="V27" s="120">
        <f>SUMIFS(薪酬明细!$K:$K,薪酬明细!$D:$D,$E27,薪酬明细!$E:$E,$F27,薪酬明细!$H:$H,"&gt;="&amp;V$9,薪酬明细!$H:$H,"&lt;="&amp;V$10,薪酬明细!$A:$A,V$6)</f>
        <v>73</v>
      </c>
      <c r="W27" s="120">
        <f>SUMIFS(薪酬明细!$K:$K,薪酬明细!$D:$D,$E27,薪酬明细!$E:$E,$F27,薪酬明细!$H:$H,"&gt;="&amp;W$9,薪酬明细!$H:$H,"&lt;="&amp;W$10,薪酬明细!$A:$A,W$6)</f>
        <v>73</v>
      </c>
      <c r="X27" s="120">
        <f>SUMIFS(薪酬明细!$K:$K,薪酬明细!$D:$D,$E27,薪酬明细!$E:$E,$F27,薪酬明细!$H:$H,"&gt;="&amp;X$9,薪酬明细!$H:$H,"&lt;="&amp;X$10,薪酬明细!$A:$A,X$6)</f>
        <v>73</v>
      </c>
      <c r="Y27" s="120">
        <f>SUMIFS(薪酬明细!$K:$K,薪酬明细!$D:$D,$E27,薪酬明细!$E:$E,$F27,薪酬明细!$H:$H,"&gt;="&amp;Y$9,薪酬明细!$H:$H,"&lt;="&amp;Y$10,薪酬明细!$A:$A,Y$6)</f>
        <v>73</v>
      </c>
      <c r="Z27" s="120">
        <f>SUMIFS(薪酬明细!$K:$K,薪酬明细!$D:$D,$E27,薪酬明细!$E:$E,$F27,薪酬明细!$H:$H,"&gt;="&amp;Z$9,薪酬明细!$H:$H,"&lt;="&amp;Z$10,薪酬明细!$A:$A,Z$6)</f>
        <v>73</v>
      </c>
      <c r="AA27" s="120">
        <f>SUMIFS(薪酬明细!$K:$K,薪酬明细!$D:$D,$E27,薪酬明细!$E:$E,$F27,薪酬明细!$H:$H,"&gt;="&amp;AA$9,薪酬明细!$H:$H,"&lt;="&amp;AA$10,薪酬明细!$A:$A,AA$6)</f>
        <v>73</v>
      </c>
      <c r="AB27" s="120">
        <f>SUMIFS(薪酬明细!$K:$K,薪酬明细!$D:$D,$E27,薪酬明细!$E:$E,$F27,薪酬明细!$H:$H,"&gt;="&amp;AB$9,薪酬明细!$H:$H,"&lt;="&amp;AB$10,薪酬明细!$A:$A,AB$6)</f>
        <v>73</v>
      </c>
      <c r="AC27" s="120">
        <f>SUMIFS(薪酬明细!$K:$K,薪酬明细!$D:$D,$E27,薪酬明细!$E:$E,$F27,薪酬明细!$H:$H,"&gt;="&amp;AC$9,薪酬明细!$H:$H,"&lt;="&amp;AC$10,薪酬明细!$A:$A,AC$6)</f>
        <v>73</v>
      </c>
      <c r="AD27" s="120">
        <f>SUMIFS(薪酬明细!$K:$K,薪酬明细!$D:$D,$E27,薪酬明细!$E:$E,$F27,薪酬明细!$H:$H,"&gt;="&amp;AD$9,薪酬明细!$H:$H,"&lt;="&amp;AD$10,薪酬明细!$A:$A,AD$6)</f>
        <v>73</v>
      </c>
      <c r="AE27" s="120">
        <f>SUMIFS(薪酬明细!$K:$K,薪酬明细!$D:$D,$E27,薪酬明细!$E:$E,$F27,薪酬明细!$H:$H,"&gt;="&amp;AE$9,薪酬明细!$H:$H,"&lt;="&amp;AE$10,薪酬明细!$A:$A,AE$6)</f>
        <v>0</v>
      </c>
      <c r="AF27" s="120">
        <f>SUMIFS(薪酬明细!$K:$K,薪酬明细!$D:$D,$E27,薪酬明细!$E:$E,$F27,薪酬明细!$H:$H,"&gt;="&amp;AF$9,薪酬明细!$H:$H,"&lt;="&amp;AF$10,薪酬明细!$A:$A,AF$6)</f>
        <v>0</v>
      </c>
      <c r="AG27" s="120">
        <f>SUMIFS(薪酬明细!$K:$K,薪酬明细!$D:$D,$E27,薪酬明细!$E:$E,$F27,薪酬明细!$H:$H,"&gt;="&amp;AG$9,薪酬明细!$H:$H,"&lt;="&amp;AG$10,薪酬明细!$A:$A,AG$6)</f>
        <v>0</v>
      </c>
      <c r="AH27" s="120">
        <f>SUMIFS(薪酬明细!$K:$K,薪酬明细!$D:$D,$E27,薪酬明细!$E:$E,$F27,薪酬明细!$H:$H,"&gt;="&amp;AH$9,薪酬明细!$H:$H,"&lt;="&amp;AH$10,薪酬明细!$A:$A,AH$6)/(12-MONTH($G$3))</f>
        <v>73</v>
      </c>
      <c r="AI27" s="120">
        <f>SUMIFS(薪酬明细!$K:$K,薪酬明细!$D:$D,$E27,薪酬明细!$E:$E,$F27,薪酬明细!$H:$H,"&gt;="&amp;AI$9,薪酬明细!$H:$H,"&lt;="&amp;AI$10,薪酬明细!$A:$A,AI$6)</f>
        <v>0</v>
      </c>
      <c r="AJ27" s="120">
        <f>SUMIFS(薪酬明细!$K:$K,薪酬明细!$D:$D,$E27,薪酬明细!$E:$E,$F27,薪酬明细!$H:$H,"&gt;="&amp;AJ$9,薪酬明细!$H:$H,"&lt;="&amp;AJ$10,薪酬明细!$A:$A,AJ$6)</f>
        <v>0</v>
      </c>
      <c r="AK27" s="120">
        <f>SUMIFS(薪酬明细!$K:$K,薪酬明细!$D:$D,$E27,薪酬明细!$E:$E,$F27,薪酬明细!$H:$H,"&gt;="&amp;AK$9,薪酬明细!$H:$H,"&lt;="&amp;AK$10,薪酬明细!$A:$A,AK$6)</f>
        <v>0</v>
      </c>
      <c r="AL27" s="120">
        <f>SUMIFS(薪酬明细!$K:$K,薪酬明细!$D:$D,$E27,薪酬明细!$E:$E,$F27,薪酬明细!$H:$H,"&gt;="&amp;AL$9,薪酬明细!$H:$H,"&lt;="&amp;AL$10,薪酬明细!$A:$A,AL$6)</f>
        <v>0</v>
      </c>
      <c r="AM27" s="120">
        <f>SUMIFS(薪酬明细!$K:$K,薪酬明细!$D:$D,$E27,薪酬明细!$E:$E,$F27,薪酬明细!$H:$H,"&gt;="&amp;AM$9,薪酬明细!$H:$H,"&lt;="&amp;AM$10,薪酬明细!$A:$A,AM$6)</f>
        <v>0</v>
      </c>
      <c r="AN27" s="120">
        <f>SUMIFS(薪酬明细!$K:$K,薪酬明细!$D:$D,$E27,薪酬明细!$E:$E,$F27,薪酬明细!$H:$H,"&gt;="&amp;AN$9,薪酬明细!$H:$H,"&lt;="&amp;AN$10,薪酬明细!$A:$A,AN$6)</f>
        <v>0</v>
      </c>
      <c r="AO27" s="120">
        <f>SUMIFS(薪酬明细!$K:$K,薪酬明细!$D:$D,$E27,薪酬明细!$E:$E,$F27,薪酬明细!$H:$H,"&gt;="&amp;AO$9,薪酬明细!$H:$H,"&lt;="&amp;AO$10,薪酬明细!$A:$A,AO$6)</f>
        <v>0</v>
      </c>
      <c r="AP27" s="120">
        <f>SUMIFS(薪酬明细!$K:$K,薪酬明细!$D:$D,$E27,薪酬明细!$E:$E,$F27,薪酬明细!$H:$H,"&gt;="&amp;AP$9,薪酬明细!$H:$H,"&lt;="&amp;AP$10,薪酬明细!$A:$A,AP$6)</f>
        <v>0</v>
      </c>
      <c r="AQ27" s="120">
        <f>SUMIFS(薪酬明细!$K:$K,薪酬明细!$D:$D,$E27,薪酬明细!$E:$E,$F27,薪酬明细!$H:$H,"&gt;="&amp;AQ$9,薪酬明细!$H:$H,"&lt;="&amp;AQ$10,薪酬明细!$A:$A,AQ$6)</f>
        <v>0</v>
      </c>
      <c r="AR27" s="120">
        <f>SUMIFS(薪酬明细!$K:$K,薪酬明细!$D:$D,$E27,薪酬明细!$E:$E,$F27,薪酬明细!$H:$H,"&gt;="&amp;AR$9,薪酬明细!$H:$H,"&lt;="&amp;AR$10,薪酬明细!$A:$A,AR$6)</f>
        <v>73</v>
      </c>
      <c r="AS27" s="120">
        <f>SUMIFS(薪酬明细!$K:$K,薪酬明细!$D:$D,$E27,薪酬明细!$E:$E,$F27,薪酬明细!$H:$H,"&gt;="&amp;AS$9,薪酬明细!$H:$H,"&lt;="&amp;AS$10,薪酬明细!$A:$A,AS$6)</f>
        <v>73</v>
      </c>
      <c r="AT27" s="120">
        <f>SUMIFS(薪酬明细!$K:$K,薪酬明细!$D:$D,$E27,薪酬明细!$E:$E,$F27,薪酬明细!$H:$H,"&gt;="&amp;AT$9,薪酬明细!$H:$H,"&lt;="&amp;AT$10,薪酬明细!$A:$A,AT$6)</f>
        <v>73</v>
      </c>
      <c r="AU27" s="120">
        <f>SUMIFS(薪酬明细!$K:$K,薪酬明细!$D:$D,$E27,薪酬明细!$E:$E,$F27,薪酬明细!$H:$H,"&gt;="&amp;AU$9,薪酬明细!$H:$H,"&lt;="&amp;AU$10,薪酬明细!$A:$A,AU$6)/12</f>
        <v>73</v>
      </c>
      <c r="AV27" s="120">
        <f>SUMIFS(薪酬明细!$K:$K,薪酬明细!$D:$D,$E27,薪酬明细!$E:$E,$F27,薪酬明细!$H:$H,"&gt;="&amp;AV$9,薪酬明细!$H:$H,"&lt;="&amp;AV$10,薪酬明细!$A:$A,AV$6)</f>
        <v>73</v>
      </c>
      <c r="AW27" s="120">
        <f>SUMIFS(薪酬明细!$K:$K,薪酬明细!$D:$D,$E27,薪酬明细!$E:$E,$F27,薪酬明细!$H:$H,"&gt;="&amp;AW$9,薪酬明细!$H:$H,"&lt;="&amp;AW$10,薪酬明细!$A:$A,AW$6)</f>
        <v>73</v>
      </c>
      <c r="AX27" s="120">
        <f>SUMIFS(薪酬明细!$K:$K,薪酬明细!$D:$D,$E27,薪酬明细!$E:$E,$F27,薪酬明细!$H:$H,"&gt;="&amp;AX$9,薪酬明细!$H:$H,"&lt;="&amp;AX$10,薪酬明细!$A:$A,AX$6)</f>
        <v>73</v>
      </c>
      <c r="AY27" s="120">
        <f>SUMIFS(薪酬明细!$K:$K,薪酬明细!$D:$D,$E27,薪酬明细!$E:$E,$F27,薪酬明细!$H:$H,"&gt;="&amp;AY$9,薪酬明细!$H:$H,"&lt;="&amp;AY$10,薪酬明细!$A:$A,AY$6)</f>
        <v>73</v>
      </c>
      <c r="AZ27" s="120">
        <f>SUMIFS(薪酬明细!$K:$K,薪酬明细!$D:$D,$E27,薪酬明细!$E:$E,$F27,薪酬明细!$H:$H,"&gt;="&amp;AZ$9,薪酬明细!$H:$H,"&lt;="&amp;AZ$10,薪酬明细!$A:$A,AZ$6)</f>
        <v>73</v>
      </c>
      <c r="BA27" s="120">
        <f>SUMIFS(薪酬明细!$K:$K,薪酬明细!$D:$D,$E27,薪酬明细!$E:$E,$F27,薪酬明细!$H:$H,"&gt;="&amp;BA$9,薪酬明细!$H:$H,"&lt;="&amp;BA$10,薪酬明细!$A:$A,BA$6)</f>
        <v>73</v>
      </c>
      <c r="BB27" s="120">
        <f>SUMIFS(薪酬明细!$K:$K,薪酬明细!$D:$D,$E27,薪酬明细!$E:$E,$F27,薪酬明细!$H:$H,"&gt;="&amp;BB$9,薪酬明细!$H:$H,"&lt;="&amp;BB$10,薪酬明细!$A:$A,BB$6)</f>
        <v>73</v>
      </c>
      <c r="BC27" s="120">
        <f>SUMIFS(薪酬明细!$K:$K,薪酬明细!$D:$D,$E27,薪酬明细!$E:$E,$F27,薪酬明细!$H:$H,"&gt;="&amp;BC$9,薪酬明细!$H:$H,"&lt;="&amp;BC$10,薪酬明细!$A:$A,BC$6)</f>
        <v>73</v>
      </c>
      <c r="BD27" s="120">
        <f>SUMIFS(薪酬明细!$K:$K,薪酬明细!$D:$D,$E27,薪酬明细!$E:$E,$F27,薪酬明细!$H:$H,"&gt;="&amp;BD$9,薪酬明细!$H:$H,"&lt;="&amp;BD$10,薪酬明细!$A:$A,BD$6)</f>
        <v>73</v>
      </c>
      <c r="BE27" s="120">
        <f>SUMIFS(薪酬明细!$K:$K,薪酬明细!$D:$D,$E27,薪酬明细!$E:$E,$F27,薪酬明细!$H:$H,"&gt;="&amp;BE$9,薪酬明细!$H:$H,"&lt;="&amp;BE$10,薪酬明细!$A:$A,BE$6)</f>
        <v>73</v>
      </c>
      <c r="BF27" s="120">
        <f>SUMIFS(薪酬明细!$K:$K,薪酬明细!$D:$D,$E27,薪酬明细!$E:$E,$F27,薪酬明细!$H:$H,"&gt;="&amp;BF$9,薪酬明细!$H:$H,"&lt;="&amp;BF$10,薪酬明细!$A:$A,BF$6)</f>
        <v>73</v>
      </c>
      <c r="BG27" s="120">
        <f>SUMIFS(薪酬明细!$K:$K,薪酬明细!$D:$D,$E27,薪酬明细!$E:$E,$F27,薪酬明细!$H:$H,"&gt;="&amp;BG$9,薪酬明细!$H:$H,"&lt;="&amp;BG$10,薪酬明细!$A:$A,BG$6)</f>
        <v>73</v>
      </c>
    </row>
    <row r="28" ht="16.2" spans="3:59">
      <c r="C28" s="42" t="s">
        <v>79</v>
      </c>
      <c r="D28" s="42"/>
      <c r="E28" s="116" t="str">
        <f t="shared" ref="E28:E39" si="81">IF(C28&lt;&gt;"",C28,E27)</f>
        <v>流程中心</v>
      </c>
      <c r="F28" s="116" t="str">
        <f>IF(D28&lt;&gt;"",D28,"*")</f>
        <v>*</v>
      </c>
      <c r="G28" s="121">
        <f>SUMIFS(薪酬明细!$K:$K,薪酬明细!$D:$D,$E28,薪酬明细!$E:$E,$F28,薪酬明细!$H:$H,"&gt;="&amp;G$9,薪酬明细!$H:$H,"&lt;="&amp;G$10,薪酬明细!$A:$A,G$6)/12</f>
        <v>36</v>
      </c>
      <c r="H28" s="121">
        <f>SUMIFS(薪酬明细!$K:$K,薪酬明细!$D:$D,$E28,薪酬明细!$E:$E,$F28,薪酬明细!$H:$H,"&gt;="&amp;H$9,薪酬明细!$H:$H,"&lt;="&amp;H$10,薪酬明细!$A:$A,H$6)</f>
        <v>36</v>
      </c>
      <c r="I28" s="121">
        <f>SUMIFS(薪酬明细!$K:$K,薪酬明细!$D:$D,$E28,薪酬明细!$E:$E,$F28,薪酬明细!$H:$H,"&gt;="&amp;I$9,薪酬明细!$H:$H,"&lt;="&amp;I$10,薪酬明细!$A:$A,I$6)</f>
        <v>36</v>
      </c>
      <c r="J28" s="121">
        <f>SUMIFS(薪酬明细!$K:$K,薪酬明细!$D:$D,$E28,薪酬明细!$E:$E,$F28,薪酬明细!$H:$H,"&gt;="&amp;J$9,薪酬明细!$H:$H,"&lt;="&amp;J$10,薪酬明细!$A:$A,J$6)</f>
        <v>36</v>
      </c>
      <c r="K28" s="121">
        <f>SUMIFS(薪酬明细!$K:$K,薪酬明细!$D:$D,$E28,薪酬明细!$E:$E,$F28,薪酬明细!$H:$H,"&gt;="&amp;K$9,薪酬明细!$H:$H,"&lt;="&amp;K$10,薪酬明细!$A:$A,K$6)</f>
        <v>36</v>
      </c>
      <c r="L28" s="121">
        <f>SUMIFS(薪酬明细!$K:$K,薪酬明细!$D:$D,$E28,薪酬明细!$E:$E,$F28,薪酬明细!$H:$H,"&gt;="&amp;L$9,薪酬明细!$H:$H,"&lt;="&amp;L$10,薪酬明细!$A:$A,L$6)</f>
        <v>36</v>
      </c>
      <c r="M28" s="121">
        <f>SUMIFS(薪酬明细!$K:$K,薪酬明细!$D:$D,$E28,薪酬明细!$E:$E,$F28,薪酬明细!$H:$H,"&gt;="&amp;M$9,薪酬明细!$H:$H,"&lt;="&amp;M$10,薪酬明细!$A:$A,M$6)</f>
        <v>36</v>
      </c>
      <c r="N28" s="121">
        <f>SUMIFS(薪酬明细!$K:$K,薪酬明细!$D:$D,$E28,薪酬明细!$E:$E,$F28,薪酬明细!$H:$H,"&gt;="&amp;N$9,薪酬明细!$H:$H,"&lt;="&amp;N$10,薪酬明细!$A:$A,N$6)</f>
        <v>36</v>
      </c>
      <c r="O28" s="121">
        <f>SUMIFS(薪酬明细!$K:$K,薪酬明细!$D:$D,$E28,薪酬明细!$E:$E,$F28,薪酬明细!$H:$H,"&gt;="&amp;O$9,薪酬明细!$H:$H,"&lt;="&amp;O$10,薪酬明细!$A:$A,O$6)</f>
        <v>36</v>
      </c>
      <c r="P28" s="121">
        <f>SUMIFS(薪酬明细!$K:$K,薪酬明细!$D:$D,$E28,薪酬明细!$E:$E,$F28,薪酬明细!$H:$H,"&gt;="&amp;P$9,薪酬明细!$H:$H,"&lt;="&amp;P$10,薪酬明细!$A:$A,P$6)</f>
        <v>36</v>
      </c>
      <c r="Q28" s="121">
        <f>SUMIFS(薪酬明细!$K:$K,薪酬明细!$D:$D,$E28,薪酬明细!$E:$E,$F28,薪酬明细!$H:$H,"&gt;="&amp;Q$9,薪酬明细!$H:$H,"&lt;="&amp;Q$10,薪酬明细!$A:$A,Q$6)</f>
        <v>36</v>
      </c>
      <c r="R28" s="121">
        <f>SUMIFS(薪酬明细!$K:$K,薪酬明细!$D:$D,$E28,薪酬明细!$E:$E,$F28,薪酬明细!$H:$H,"&gt;="&amp;R$9,薪酬明细!$H:$H,"&lt;="&amp;R$10,薪酬明细!$A:$A,R$6)</f>
        <v>36</v>
      </c>
      <c r="S28" s="121">
        <f>SUMIFS(薪酬明细!$K:$K,薪酬明细!$D:$D,$E28,薪酬明细!$E:$E,$F28,薪酬明细!$H:$H,"&gt;="&amp;S$9,薪酬明细!$H:$H,"&lt;="&amp;S$10,薪酬明细!$A:$A,S$6)</f>
        <v>36</v>
      </c>
      <c r="T28" s="125">
        <f t="shared" ref="T28:T39" si="82">(U28*MONTH($G$3)+AH28*(12-MONTH($G$3)))/12</f>
        <v>36</v>
      </c>
      <c r="U28" s="121">
        <f>SUMIFS(薪酬明细!$K:$K,薪酬明细!$D:$D,$E28,薪酬明细!$E:$E,$F28,薪酬明细!$H:$H,"&gt;="&amp;U$9,薪酬明细!$H:$H,"&lt;="&amp;U$10,薪酬明细!$A:$A,U$6)/MONTH($G$3)</f>
        <v>36</v>
      </c>
      <c r="V28" s="121">
        <f>SUMIFS(薪酬明细!$K:$K,薪酬明细!$D:$D,$E28,薪酬明细!$E:$E,$F28,薪酬明细!$H:$H,"&gt;="&amp;V$9,薪酬明细!$H:$H,"&lt;="&amp;V$10,薪酬明细!$A:$A,V$6)</f>
        <v>36</v>
      </c>
      <c r="W28" s="121">
        <f>SUMIFS(薪酬明细!$K:$K,薪酬明细!$D:$D,$E28,薪酬明细!$E:$E,$F28,薪酬明细!$H:$H,"&gt;="&amp;W$9,薪酬明细!$H:$H,"&lt;="&amp;W$10,薪酬明细!$A:$A,W$6)</f>
        <v>36</v>
      </c>
      <c r="X28" s="121">
        <f>SUMIFS(薪酬明细!$K:$K,薪酬明细!$D:$D,$E28,薪酬明细!$E:$E,$F28,薪酬明细!$H:$H,"&gt;="&amp;X$9,薪酬明细!$H:$H,"&lt;="&amp;X$10,薪酬明细!$A:$A,X$6)</f>
        <v>36</v>
      </c>
      <c r="Y28" s="121">
        <f>SUMIFS(薪酬明细!$K:$K,薪酬明细!$D:$D,$E28,薪酬明细!$E:$E,$F28,薪酬明细!$H:$H,"&gt;="&amp;Y$9,薪酬明细!$H:$H,"&lt;="&amp;Y$10,薪酬明细!$A:$A,Y$6)</f>
        <v>36</v>
      </c>
      <c r="Z28" s="121">
        <f>SUMIFS(薪酬明细!$K:$K,薪酬明细!$D:$D,$E28,薪酬明细!$E:$E,$F28,薪酬明细!$H:$H,"&gt;="&amp;Z$9,薪酬明细!$H:$H,"&lt;="&amp;Z$10,薪酬明细!$A:$A,Z$6)</f>
        <v>36</v>
      </c>
      <c r="AA28" s="121">
        <f>SUMIFS(薪酬明细!$K:$K,薪酬明细!$D:$D,$E28,薪酬明细!$E:$E,$F28,薪酬明细!$H:$H,"&gt;="&amp;AA$9,薪酬明细!$H:$H,"&lt;="&amp;AA$10,薪酬明细!$A:$A,AA$6)</f>
        <v>36</v>
      </c>
      <c r="AB28" s="121">
        <f>SUMIFS(薪酬明细!$K:$K,薪酬明细!$D:$D,$E28,薪酬明细!$E:$E,$F28,薪酬明细!$H:$H,"&gt;="&amp;AB$9,薪酬明细!$H:$H,"&lt;="&amp;AB$10,薪酬明细!$A:$A,AB$6)</f>
        <v>36</v>
      </c>
      <c r="AC28" s="121">
        <f>SUMIFS(薪酬明细!$K:$K,薪酬明细!$D:$D,$E28,薪酬明细!$E:$E,$F28,薪酬明细!$H:$H,"&gt;="&amp;AC$9,薪酬明细!$H:$H,"&lt;="&amp;AC$10,薪酬明细!$A:$A,AC$6)</f>
        <v>36</v>
      </c>
      <c r="AD28" s="121">
        <f>SUMIFS(薪酬明细!$K:$K,薪酬明细!$D:$D,$E28,薪酬明细!$E:$E,$F28,薪酬明细!$H:$H,"&gt;="&amp;AD$9,薪酬明细!$H:$H,"&lt;="&amp;AD$10,薪酬明细!$A:$A,AD$6)</f>
        <v>36</v>
      </c>
      <c r="AE28" s="121">
        <f>SUMIFS(薪酬明细!$K:$K,薪酬明细!$D:$D,$E28,薪酬明细!$E:$E,$F28,薪酬明细!$H:$H,"&gt;="&amp;AE$9,薪酬明细!$H:$H,"&lt;="&amp;AE$10,薪酬明细!$A:$A,AE$6)</f>
        <v>0</v>
      </c>
      <c r="AF28" s="121">
        <f>SUMIFS(薪酬明细!$K:$K,薪酬明细!$D:$D,$E28,薪酬明细!$E:$E,$F28,薪酬明细!$H:$H,"&gt;="&amp;AF$9,薪酬明细!$H:$H,"&lt;="&amp;AF$10,薪酬明细!$A:$A,AF$6)</f>
        <v>0</v>
      </c>
      <c r="AG28" s="121">
        <f>SUMIFS(薪酬明细!$K:$K,薪酬明细!$D:$D,$E28,薪酬明细!$E:$E,$F28,薪酬明细!$H:$H,"&gt;="&amp;AG$9,薪酬明细!$H:$H,"&lt;="&amp;AG$10,薪酬明细!$A:$A,AG$6)</f>
        <v>0</v>
      </c>
      <c r="AH28" s="121">
        <f>SUMIFS(薪酬明细!$K:$K,薪酬明细!$D:$D,$E28,薪酬明细!$E:$E,$F28,薪酬明细!$H:$H,"&gt;="&amp;AH$9,薪酬明细!$H:$H,"&lt;="&amp;AH$10,薪酬明细!$A:$A,AH$6)/(12-MONTH($G$3))</f>
        <v>36</v>
      </c>
      <c r="AI28" s="121">
        <f>SUMIFS(薪酬明细!$K:$K,薪酬明细!$D:$D,$E28,薪酬明细!$E:$E,$F28,薪酬明细!$H:$H,"&gt;="&amp;AI$9,薪酬明细!$H:$H,"&lt;="&amp;AI$10,薪酬明细!$A:$A,AI$6)</f>
        <v>0</v>
      </c>
      <c r="AJ28" s="121">
        <f>SUMIFS(薪酬明细!$K:$K,薪酬明细!$D:$D,$E28,薪酬明细!$E:$E,$F28,薪酬明细!$H:$H,"&gt;="&amp;AJ$9,薪酬明细!$H:$H,"&lt;="&amp;AJ$10,薪酬明细!$A:$A,AJ$6)</f>
        <v>0</v>
      </c>
      <c r="AK28" s="121">
        <f>SUMIFS(薪酬明细!$K:$K,薪酬明细!$D:$D,$E28,薪酬明细!$E:$E,$F28,薪酬明细!$H:$H,"&gt;="&amp;AK$9,薪酬明细!$H:$H,"&lt;="&amp;AK$10,薪酬明细!$A:$A,AK$6)</f>
        <v>0</v>
      </c>
      <c r="AL28" s="121">
        <f>SUMIFS(薪酬明细!$K:$K,薪酬明细!$D:$D,$E28,薪酬明细!$E:$E,$F28,薪酬明细!$H:$H,"&gt;="&amp;AL$9,薪酬明细!$H:$H,"&lt;="&amp;AL$10,薪酬明细!$A:$A,AL$6)</f>
        <v>0</v>
      </c>
      <c r="AM28" s="121">
        <f>SUMIFS(薪酬明细!$K:$K,薪酬明细!$D:$D,$E28,薪酬明细!$E:$E,$F28,薪酬明细!$H:$H,"&gt;="&amp;AM$9,薪酬明细!$H:$H,"&lt;="&amp;AM$10,薪酬明细!$A:$A,AM$6)</f>
        <v>0</v>
      </c>
      <c r="AN28" s="121">
        <f>SUMIFS(薪酬明细!$K:$K,薪酬明细!$D:$D,$E28,薪酬明细!$E:$E,$F28,薪酬明细!$H:$H,"&gt;="&amp;AN$9,薪酬明细!$H:$H,"&lt;="&amp;AN$10,薪酬明细!$A:$A,AN$6)</f>
        <v>0</v>
      </c>
      <c r="AO28" s="121">
        <f>SUMIFS(薪酬明细!$K:$K,薪酬明细!$D:$D,$E28,薪酬明细!$E:$E,$F28,薪酬明细!$H:$H,"&gt;="&amp;AO$9,薪酬明细!$H:$H,"&lt;="&amp;AO$10,薪酬明细!$A:$A,AO$6)</f>
        <v>0</v>
      </c>
      <c r="AP28" s="121">
        <f>SUMIFS(薪酬明细!$K:$K,薪酬明细!$D:$D,$E28,薪酬明细!$E:$E,$F28,薪酬明细!$H:$H,"&gt;="&amp;AP$9,薪酬明细!$H:$H,"&lt;="&amp;AP$10,薪酬明细!$A:$A,AP$6)</f>
        <v>0</v>
      </c>
      <c r="AQ28" s="121">
        <f>SUMIFS(薪酬明细!$K:$K,薪酬明细!$D:$D,$E28,薪酬明细!$E:$E,$F28,薪酬明细!$H:$H,"&gt;="&amp;AQ$9,薪酬明细!$H:$H,"&lt;="&amp;AQ$10,薪酬明细!$A:$A,AQ$6)</f>
        <v>0</v>
      </c>
      <c r="AR28" s="121">
        <f>SUMIFS(薪酬明细!$K:$K,薪酬明细!$D:$D,$E28,薪酬明细!$E:$E,$F28,薪酬明细!$H:$H,"&gt;="&amp;AR$9,薪酬明细!$H:$H,"&lt;="&amp;AR$10,薪酬明细!$A:$A,AR$6)</f>
        <v>36</v>
      </c>
      <c r="AS28" s="121">
        <f>SUMIFS(薪酬明细!$K:$K,薪酬明细!$D:$D,$E28,薪酬明细!$E:$E,$F28,薪酬明细!$H:$H,"&gt;="&amp;AS$9,薪酬明细!$H:$H,"&lt;="&amp;AS$10,薪酬明细!$A:$A,AS$6)</f>
        <v>36</v>
      </c>
      <c r="AT28" s="121">
        <f>SUMIFS(薪酬明细!$K:$K,薪酬明细!$D:$D,$E28,薪酬明细!$E:$E,$F28,薪酬明细!$H:$H,"&gt;="&amp;AT$9,薪酬明细!$H:$H,"&lt;="&amp;AT$10,薪酬明细!$A:$A,AT$6)</f>
        <v>36</v>
      </c>
      <c r="AU28" s="121">
        <f>SUMIFS(薪酬明细!$K:$K,薪酬明细!$D:$D,$E28,薪酬明细!$E:$E,$F28,薪酬明细!$H:$H,"&gt;="&amp;AU$9,薪酬明细!$H:$H,"&lt;="&amp;AU$10,薪酬明细!$A:$A,AU$6)/12</f>
        <v>36</v>
      </c>
      <c r="AV28" s="121">
        <f>SUMIFS(薪酬明细!$K:$K,薪酬明细!$D:$D,$E28,薪酬明细!$E:$E,$F28,薪酬明细!$H:$H,"&gt;="&amp;AV$9,薪酬明细!$H:$H,"&lt;="&amp;AV$10,薪酬明细!$A:$A,AV$6)</f>
        <v>36</v>
      </c>
      <c r="AW28" s="121">
        <f>SUMIFS(薪酬明细!$K:$K,薪酬明细!$D:$D,$E28,薪酬明细!$E:$E,$F28,薪酬明细!$H:$H,"&gt;="&amp;AW$9,薪酬明细!$H:$H,"&lt;="&amp;AW$10,薪酬明细!$A:$A,AW$6)</f>
        <v>36</v>
      </c>
      <c r="AX28" s="121">
        <f>SUMIFS(薪酬明细!$K:$K,薪酬明细!$D:$D,$E28,薪酬明细!$E:$E,$F28,薪酬明细!$H:$H,"&gt;="&amp;AX$9,薪酬明细!$H:$H,"&lt;="&amp;AX$10,薪酬明细!$A:$A,AX$6)</f>
        <v>36</v>
      </c>
      <c r="AY28" s="121">
        <f>SUMIFS(薪酬明细!$K:$K,薪酬明细!$D:$D,$E28,薪酬明细!$E:$E,$F28,薪酬明细!$H:$H,"&gt;="&amp;AY$9,薪酬明细!$H:$H,"&lt;="&amp;AY$10,薪酬明细!$A:$A,AY$6)</f>
        <v>36</v>
      </c>
      <c r="AZ28" s="121">
        <f>SUMIFS(薪酬明细!$K:$K,薪酬明细!$D:$D,$E28,薪酬明细!$E:$E,$F28,薪酬明细!$H:$H,"&gt;="&amp;AZ$9,薪酬明细!$H:$H,"&lt;="&amp;AZ$10,薪酬明细!$A:$A,AZ$6)</f>
        <v>36</v>
      </c>
      <c r="BA28" s="121">
        <f>SUMIFS(薪酬明细!$K:$K,薪酬明细!$D:$D,$E28,薪酬明细!$E:$E,$F28,薪酬明细!$H:$H,"&gt;="&amp;BA$9,薪酬明细!$H:$H,"&lt;="&amp;BA$10,薪酬明细!$A:$A,BA$6)</f>
        <v>36</v>
      </c>
      <c r="BB28" s="121">
        <f>SUMIFS(薪酬明细!$K:$K,薪酬明细!$D:$D,$E28,薪酬明细!$E:$E,$F28,薪酬明细!$H:$H,"&gt;="&amp;BB$9,薪酬明细!$H:$H,"&lt;="&amp;BB$10,薪酬明细!$A:$A,BB$6)</f>
        <v>36</v>
      </c>
      <c r="BC28" s="121">
        <f>SUMIFS(薪酬明细!$K:$K,薪酬明细!$D:$D,$E28,薪酬明细!$E:$E,$F28,薪酬明细!$H:$H,"&gt;="&amp;BC$9,薪酬明细!$H:$H,"&lt;="&amp;BC$10,薪酬明细!$A:$A,BC$6)</f>
        <v>36</v>
      </c>
      <c r="BD28" s="121">
        <f>SUMIFS(薪酬明细!$K:$K,薪酬明细!$D:$D,$E28,薪酬明细!$E:$E,$F28,薪酬明细!$H:$H,"&gt;="&amp;BD$9,薪酬明细!$H:$H,"&lt;="&amp;BD$10,薪酬明细!$A:$A,BD$6)</f>
        <v>36</v>
      </c>
      <c r="BE28" s="121">
        <f>SUMIFS(薪酬明细!$K:$K,薪酬明细!$D:$D,$E28,薪酬明细!$E:$E,$F28,薪酬明细!$H:$H,"&gt;="&amp;BE$9,薪酬明细!$H:$H,"&lt;="&amp;BE$10,薪酬明细!$A:$A,BE$6)</f>
        <v>36</v>
      </c>
      <c r="BF28" s="121">
        <f>SUMIFS(薪酬明细!$K:$K,薪酬明细!$D:$D,$E28,薪酬明细!$E:$E,$F28,薪酬明细!$H:$H,"&gt;="&amp;BF$9,薪酬明细!$H:$H,"&lt;="&amp;BF$10,薪酬明细!$A:$A,BF$6)</f>
        <v>36</v>
      </c>
      <c r="BG28" s="121">
        <f>SUMIFS(薪酬明细!$K:$K,薪酬明细!$D:$D,$E28,薪酬明细!$E:$E,$F28,薪酬明细!$H:$H,"&gt;="&amp;BG$9,薪酬明细!$H:$H,"&lt;="&amp;BG$10,薪酬明细!$A:$A,BG$6)</f>
        <v>36</v>
      </c>
    </row>
    <row r="29" ht="16.2" spans="3:59">
      <c r="C29" s="42"/>
      <c r="D29" s="42" t="s">
        <v>80</v>
      </c>
      <c r="E29" s="116" t="str">
        <f t="shared" si="81"/>
        <v>流程中心</v>
      </c>
      <c r="F29" s="116" t="str">
        <f t="shared" ref="F29:F39" si="83">IF(D29&lt;&gt;"",D29,"*")</f>
        <v>销售中心</v>
      </c>
      <c r="G29" s="121">
        <f>SUMIFS(薪酬明细!$K:$K,薪酬明细!$D:$D,$E29,薪酬明细!$E:$E,$F29,薪酬明细!$H:$H,"&gt;="&amp;G$9,薪酬明细!$H:$H,"&lt;="&amp;G$10,薪酬明细!$A:$A,G$6)/12</f>
        <v>14</v>
      </c>
      <c r="H29" s="121">
        <f>SUMIFS(薪酬明细!$K:$K,薪酬明细!$D:$D,$E29,薪酬明细!$E:$E,$F29,薪酬明细!$H:$H,"&gt;="&amp;H$9,薪酬明细!$H:$H,"&lt;="&amp;H$10,薪酬明细!$A:$A,H$6)</f>
        <v>14</v>
      </c>
      <c r="I29" s="121">
        <f>SUMIFS(薪酬明细!$K:$K,薪酬明细!$D:$D,$E29,薪酬明细!$E:$E,$F29,薪酬明细!$H:$H,"&gt;="&amp;I$9,薪酬明细!$H:$H,"&lt;="&amp;I$10,薪酬明细!$A:$A,I$6)</f>
        <v>14</v>
      </c>
      <c r="J29" s="121">
        <f>SUMIFS(薪酬明细!$K:$K,薪酬明细!$D:$D,$E29,薪酬明细!$E:$E,$F29,薪酬明细!$H:$H,"&gt;="&amp;J$9,薪酬明细!$H:$H,"&lt;="&amp;J$10,薪酬明细!$A:$A,J$6)</f>
        <v>14</v>
      </c>
      <c r="K29" s="121">
        <f>SUMIFS(薪酬明细!$K:$K,薪酬明细!$D:$D,$E29,薪酬明细!$E:$E,$F29,薪酬明细!$H:$H,"&gt;="&amp;K$9,薪酬明细!$H:$H,"&lt;="&amp;K$10,薪酬明细!$A:$A,K$6)</f>
        <v>14</v>
      </c>
      <c r="L29" s="121">
        <f>SUMIFS(薪酬明细!$K:$K,薪酬明细!$D:$D,$E29,薪酬明细!$E:$E,$F29,薪酬明细!$H:$H,"&gt;="&amp;L$9,薪酬明细!$H:$H,"&lt;="&amp;L$10,薪酬明细!$A:$A,L$6)</f>
        <v>14</v>
      </c>
      <c r="M29" s="121">
        <f>SUMIFS(薪酬明细!$K:$K,薪酬明细!$D:$D,$E29,薪酬明细!$E:$E,$F29,薪酬明细!$H:$H,"&gt;="&amp;M$9,薪酬明细!$H:$H,"&lt;="&amp;M$10,薪酬明细!$A:$A,M$6)</f>
        <v>14</v>
      </c>
      <c r="N29" s="121">
        <f>SUMIFS(薪酬明细!$K:$K,薪酬明细!$D:$D,$E29,薪酬明细!$E:$E,$F29,薪酬明细!$H:$H,"&gt;="&amp;N$9,薪酬明细!$H:$H,"&lt;="&amp;N$10,薪酬明细!$A:$A,N$6)</f>
        <v>14</v>
      </c>
      <c r="O29" s="121">
        <f>SUMIFS(薪酬明细!$K:$K,薪酬明细!$D:$D,$E29,薪酬明细!$E:$E,$F29,薪酬明细!$H:$H,"&gt;="&amp;O$9,薪酬明细!$H:$H,"&lt;="&amp;O$10,薪酬明细!$A:$A,O$6)</f>
        <v>14</v>
      </c>
      <c r="P29" s="121">
        <f>SUMIFS(薪酬明细!$K:$K,薪酬明细!$D:$D,$E29,薪酬明细!$E:$E,$F29,薪酬明细!$H:$H,"&gt;="&amp;P$9,薪酬明细!$H:$H,"&lt;="&amp;P$10,薪酬明细!$A:$A,P$6)</f>
        <v>14</v>
      </c>
      <c r="Q29" s="121">
        <f>SUMIFS(薪酬明细!$K:$K,薪酬明细!$D:$D,$E29,薪酬明细!$E:$E,$F29,薪酬明细!$H:$H,"&gt;="&amp;Q$9,薪酬明细!$H:$H,"&lt;="&amp;Q$10,薪酬明细!$A:$A,Q$6)</f>
        <v>14</v>
      </c>
      <c r="R29" s="121">
        <f>SUMIFS(薪酬明细!$K:$K,薪酬明细!$D:$D,$E29,薪酬明细!$E:$E,$F29,薪酬明细!$H:$H,"&gt;="&amp;R$9,薪酬明细!$H:$H,"&lt;="&amp;R$10,薪酬明细!$A:$A,R$6)</f>
        <v>14</v>
      </c>
      <c r="S29" s="121">
        <f>SUMIFS(薪酬明细!$K:$K,薪酬明细!$D:$D,$E29,薪酬明细!$E:$E,$F29,薪酬明细!$H:$H,"&gt;="&amp;S$9,薪酬明细!$H:$H,"&lt;="&amp;S$10,薪酬明细!$A:$A,S$6)</f>
        <v>14</v>
      </c>
      <c r="T29" s="125">
        <f t="shared" si="82"/>
        <v>14</v>
      </c>
      <c r="U29" s="121">
        <f>SUMIFS(薪酬明细!$K:$K,薪酬明细!$D:$D,$E29,薪酬明细!$E:$E,$F29,薪酬明细!$H:$H,"&gt;="&amp;U$9,薪酬明细!$H:$H,"&lt;="&amp;U$10,薪酬明细!$A:$A,U$6)/MONTH($G$3)</f>
        <v>14</v>
      </c>
      <c r="V29" s="121">
        <f>SUMIFS(薪酬明细!$K:$K,薪酬明细!$D:$D,$E29,薪酬明细!$E:$E,$F29,薪酬明细!$H:$H,"&gt;="&amp;V$9,薪酬明细!$H:$H,"&lt;="&amp;V$10,薪酬明细!$A:$A,V$6)</f>
        <v>14</v>
      </c>
      <c r="W29" s="121">
        <f>SUMIFS(薪酬明细!$K:$K,薪酬明细!$D:$D,$E29,薪酬明细!$E:$E,$F29,薪酬明细!$H:$H,"&gt;="&amp;W$9,薪酬明细!$H:$H,"&lt;="&amp;W$10,薪酬明细!$A:$A,W$6)</f>
        <v>14</v>
      </c>
      <c r="X29" s="121">
        <f>SUMIFS(薪酬明细!$K:$K,薪酬明细!$D:$D,$E29,薪酬明细!$E:$E,$F29,薪酬明细!$H:$H,"&gt;="&amp;X$9,薪酬明细!$H:$H,"&lt;="&amp;X$10,薪酬明细!$A:$A,X$6)</f>
        <v>14</v>
      </c>
      <c r="Y29" s="121">
        <f>SUMIFS(薪酬明细!$K:$K,薪酬明细!$D:$D,$E29,薪酬明细!$E:$E,$F29,薪酬明细!$H:$H,"&gt;="&amp;Y$9,薪酬明细!$H:$H,"&lt;="&amp;Y$10,薪酬明细!$A:$A,Y$6)</f>
        <v>14</v>
      </c>
      <c r="Z29" s="121">
        <f>SUMIFS(薪酬明细!$K:$K,薪酬明细!$D:$D,$E29,薪酬明细!$E:$E,$F29,薪酬明细!$H:$H,"&gt;="&amp;Z$9,薪酬明细!$H:$H,"&lt;="&amp;Z$10,薪酬明细!$A:$A,Z$6)</f>
        <v>14</v>
      </c>
      <c r="AA29" s="121">
        <f>SUMIFS(薪酬明细!$K:$K,薪酬明细!$D:$D,$E29,薪酬明细!$E:$E,$F29,薪酬明细!$H:$H,"&gt;="&amp;AA$9,薪酬明细!$H:$H,"&lt;="&amp;AA$10,薪酬明细!$A:$A,AA$6)</f>
        <v>14</v>
      </c>
      <c r="AB29" s="121">
        <f>SUMIFS(薪酬明细!$K:$K,薪酬明细!$D:$D,$E29,薪酬明细!$E:$E,$F29,薪酬明细!$H:$H,"&gt;="&amp;AB$9,薪酬明细!$H:$H,"&lt;="&amp;AB$10,薪酬明细!$A:$A,AB$6)</f>
        <v>14</v>
      </c>
      <c r="AC29" s="121">
        <f>SUMIFS(薪酬明细!$K:$K,薪酬明细!$D:$D,$E29,薪酬明细!$E:$E,$F29,薪酬明细!$H:$H,"&gt;="&amp;AC$9,薪酬明细!$H:$H,"&lt;="&amp;AC$10,薪酬明细!$A:$A,AC$6)</f>
        <v>14</v>
      </c>
      <c r="AD29" s="121">
        <f>SUMIFS(薪酬明细!$K:$K,薪酬明细!$D:$D,$E29,薪酬明细!$E:$E,$F29,薪酬明细!$H:$H,"&gt;="&amp;AD$9,薪酬明细!$H:$H,"&lt;="&amp;AD$10,薪酬明细!$A:$A,AD$6)</f>
        <v>14</v>
      </c>
      <c r="AE29" s="121">
        <f>SUMIFS(薪酬明细!$K:$K,薪酬明细!$D:$D,$E29,薪酬明细!$E:$E,$F29,薪酬明细!$H:$H,"&gt;="&amp;AE$9,薪酬明细!$H:$H,"&lt;="&amp;AE$10,薪酬明细!$A:$A,AE$6)</f>
        <v>0</v>
      </c>
      <c r="AF29" s="121">
        <f>SUMIFS(薪酬明细!$K:$K,薪酬明细!$D:$D,$E29,薪酬明细!$E:$E,$F29,薪酬明细!$H:$H,"&gt;="&amp;AF$9,薪酬明细!$H:$H,"&lt;="&amp;AF$10,薪酬明细!$A:$A,AF$6)</f>
        <v>0</v>
      </c>
      <c r="AG29" s="121">
        <f>SUMIFS(薪酬明细!$K:$K,薪酬明细!$D:$D,$E29,薪酬明细!$E:$E,$F29,薪酬明细!$H:$H,"&gt;="&amp;AG$9,薪酬明细!$H:$H,"&lt;="&amp;AG$10,薪酬明细!$A:$A,AG$6)</f>
        <v>0</v>
      </c>
      <c r="AH29" s="121">
        <f>SUMIFS(薪酬明细!$K:$K,薪酬明细!$D:$D,$E29,薪酬明细!$E:$E,$F29,薪酬明细!$H:$H,"&gt;="&amp;AH$9,薪酬明细!$H:$H,"&lt;="&amp;AH$10,薪酬明细!$A:$A,AH$6)/(12-MONTH($G$3))</f>
        <v>14</v>
      </c>
      <c r="AI29" s="121">
        <f>SUMIFS(薪酬明细!$K:$K,薪酬明细!$D:$D,$E29,薪酬明细!$E:$E,$F29,薪酬明细!$H:$H,"&gt;="&amp;AI$9,薪酬明细!$H:$H,"&lt;="&amp;AI$10,薪酬明细!$A:$A,AI$6)</f>
        <v>0</v>
      </c>
      <c r="AJ29" s="121">
        <f>SUMIFS(薪酬明细!$K:$K,薪酬明细!$D:$D,$E29,薪酬明细!$E:$E,$F29,薪酬明细!$H:$H,"&gt;="&amp;AJ$9,薪酬明细!$H:$H,"&lt;="&amp;AJ$10,薪酬明细!$A:$A,AJ$6)</f>
        <v>0</v>
      </c>
      <c r="AK29" s="121">
        <f>SUMIFS(薪酬明细!$K:$K,薪酬明细!$D:$D,$E29,薪酬明细!$E:$E,$F29,薪酬明细!$H:$H,"&gt;="&amp;AK$9,薪酬明细!$H:$H,"&lt;="&amp;AK$10,薪酬明细!$A:$A,AK$6)</f>
        <v>0</v>
      </c>
      <c r="AL29" s="121">
        <f>SUMIFS(薪酬明细!$K:$K,薪酬明细!$D:$D,$E29,薪酬明细!$E:$E,$F29,薪酬明细!$H:$H,"&gt;="&amp;AL$9,薪酬明细!$H:$H,"&lt;="&amp;AL$10,薪酬明细!$A:$A,AL$6)</f>
        <v>0</v>
      </c>
      <c r="AM29" s="121">
        <f>SUMIFS(薪酬明细!$K:$K,薪酬明细!$D:$D,$E29,薪酬明细!$E:$E,$F29,薪酬明细!$H:$H,"&gt;="&amp;AM$9,薪酬明细!$H:$H,"&lt;="&amp;AM$10,薪酬明细!$A:$A,AM$6)</f>
        <v>0</v>
      </c>
      <c r="AN29" s="121">
        <f>SUMIFS(薪酬明细!$K:$K,薪酬明细!$D:$D,$E29,薪酬明细!$E:$E,$F29,薪酬明细!$H:$H,"&gt;="&amp;AN$9,薪酬明细!$H:$H,"&lt;="&amp;AN$10,薪酬明细!$A:$A,AN$6)</f>
        <v>0</v>
      </c>
      <c r="AO29" s="121">
        <f>SUMIFS(薪酬明细!$K:$K,薪酬明细!$D:$D,$E29,薪酬明细!$E:$E,$F29,薪酬明细!$H:$H,"&gt;="&amp;AO$9,薪酬明细!$H:$H,"&lt;="&amp;AO$10,薪酬明细!$A:$A,AO$6)</f>
        <v>0</v>
      </c>
      <c r="AP29" s="121">
        <f>SUMIFS(薪酬明细!$K:$K,薪酬明细!$D:$D,$E29,薪酬明细!$E:$E,$F29,薪酬明细!$H:$H,"&gt;="&amp;AP$9,薪酬明细!$H:$H,"&lt;="&amp;AP$10,薪酬明细!$A:$A,AP$6)</f>
        <v>0</v>
      </c>
      <c r="AQ29" s="121">
        <f>SUMIFS(薪酬明细!$K:$K,薪酬明细!$D:$D,$E29,薪酬明细!$E:$E,$F29,薪酬明细!$H:$H,"&gt;="&amp;AQ$9,薪酬明细!$H:$H,"&lt;="&amp;AQ$10,薪酬明细!$A:$A,AQ$6)</f>
        <v>0</v>
      </c>
      <c r="AR29" s="121">
        <f>SUMIFS(薪酬明细!$K:$K,薪酬明细!$D:$D,$E29,薪酬明细!$E:$E,$F29,薪酬明细!$H:$H,"&gt;="&amp;AR$9,薪酬明细!$H:$H,"&lt;="&amp;AR$10,薪酬明细!$A:$A,AR$6)</f>
        <v>14</v>
      </c>
      <c r="AS29" s="121">
        <f>SUMIFS(薪酬明细!$K:$K,薪酬明细!$D:$D,$E29,薪酬明细!$E:$E,$F29,薪酬明细!$H:$H,"&gt;="&amp;AS$9,薪酬明细!$H:$H,"&lt;="&amp;AS$10,薪酬明细!$A:$A,AS$6)</f>
        <v>14</v>
      </c>
      <c r="AT29" s="121">
        <f>SUMIFS(薪酬明细!$K:$K,薪酬明细!$D:$D,$E29,薪酬明细!$E:$E,$F29,薪酬明细!$H:$H,"&gt;="&amp;AT$9,薪酬明细!$H:$H,"&lt;="&amp;AT$10,薪酬明细!$A:$A,AT$6)</f>
        <v>14</v>
      </c>
      <c r="AU29" s="121">
        <f>SUMIFS(薪酬明细!$K:$K,薪酬明细!$D:$D,$E29,薪酬明细!$E:$E,$F29,薪酬明细!$H:$H,"&gt;="&amp;AU$9,薪酬明细!$H:$H,"&lt;="&amp;AU$10,薪酬明细!$A:$A,AU$6)/12</f>
        <v>14</v>
      </c>
      <c r="AV29" s="121">
        <f>SUMIFS(薪酬明细!$K:$K,薪酬明细!$D:$D,$E29,薪酬明细!$E:$E,$F29,薪酬明细!$H:$H,"&gt;="&amp;AV$9,薪酬明细!$H:$H,"&lt;="&amp;AV$10,薪酬明细!$A:$A,AV$6)</f>
        <v>14</v>
      </c>
      <c r="AW29" s="121">
        <f>SUMIFS(薪酬明细!$K:$K,薪酬明细!$D:$D,$E29,薪酬明细!$E:$E,$F29,薪酬明细!$H:$H,"&gt;="&amp;AW$9,薪酬明细!$H:$H,"&lt;="&amp;AW$10,薪酬明细!$A:$A,AW$6)</f>
        <v>14</v>
      </c>
      <c r="AX29" s="121">
        <f>SUMIFS(薪酬明细!$K:$K,薪酬明细!$D:$D,$E29,薪酬明细!$E:$E,$F29,薪酬明细!$H:$H,"&gt;="&amp;AX$9,薪酬明细!$H:$H,"&lt;="&amp;AX$10,薪酬明细!$A:$A,AX$6)</f>
        <v>14</v>
      </c>
      <c r="AY29" s="121">
        <f>SUMIFS(薪酬明细!$K:$K,薪酬明细!$D:$D,$E29,薪酬明细!$E:$E,$F29,薪酬明细!$H:$H,"&gt;="&amp;AY$9,薪酬明细!$H:$H,"&lt;="&amp;AY$10,薪酬明细!$A:$A,AY$6)</f>
        <v>14</v>
      </c>
      <c r="AZ29" s="121">
        <f>SUMIFS(薪酬明细!$K:$K,薪酬明细!$D:$D,$E29,薪酬明细!$E:$E,$F29,薪酬明细!$H:$H,"&gt;="&amp;AZ$9,薪酬明细!$H:$H,"&lt;="&amp;AZ$10,薪酬明细!$A:$A,AZ$6)</f>
        <v>14</v>
      </c>
      <c r="BA29" s="121">
        <f>SUMIFS(薪酬明细!$K:$K,薪酬明细!$D:$D,$E29,薪酬明细!$E:$E,$F29,薪酬明细!$H:$H,"&gt;="&amp;BA$9,薪酬明细!$H:$H,"&lt;="&amp;BA$10,薪酬明细!$A:$A,BA$6)</f>
        <v>14</v>
      </c>
      <c r="BB29" s="121">
        <f>SUMIFS(薪酬明细!$K:$K,薪酬明细!$D:$D,$E29,薪酬明细!$E:$E,$F29,薪酬明细!$H:$H,"&gt;="&amp;BB$9,薪酬明细!$H:$H,"&lt;="&amp;BB$10,薪酬明细!$A:$A,BB$6)</f>
        <v>14</v>
      </c>
      <c r="BC29" s="121">
        <f>SUMIFS(薪酬明细!$K:$K,薪酬明细!$D:$D,$E29,薪酬明细!$E:$E,$F29,薪酬明细!$H:$H,"&gt;="&amp;BC$9,薪酬明细!$H:$H,"&lt;="&amp;BC$10,薪酬明细!$A:$A,BC$6)</f>
        <v>14</v>
      </c>
      <c r="BD29" s="121">
        <f>SUMIFS(薪酬明细!$K:$K,薪酬明细!$D:$D,$E29,薪酬明细!$E:$E,$F29,薪酬明细!$H:$H,"&gt;="&amp;BD$9,薪酬明细!$H:$H,"&lt;="&amp;BD$10,薪酬明细!$A:$A,BD$6)</f>
        <v>14</v>
      </c>
      <c r="BE29" s="121">
        <f>SUMIFS(薪酬明细!$K:$K,薪酬明细!$D:$D,$E29,薪酬明细!$E:$E,$F29,薪酬明细!$H:$H,"&gt;="&amp;BE$9,薪酬明细!$H:$H,"&lt;="&amp;BE$10,薪酬明细!$A:$A,BE$6)</f>
        <v>14</v>
      </c>
      <c r="BF29" s="121">
        <f>SUMIFS(薪酬明细!$K:$K,薪酬明细!$D:$D,$E29,薪酬明细!$E:$E,$F29,薪酬明细!$H:$H,"&gt;="&amp;BF$9,薪酬明细!$H:$H,"&lt;="&amp;BF$10,薪酬明细!$A:$A,BF$6)</f>
        <v>14</v>
      </c>
      <c r="BG29" s="121">
        <f>SUMIFS(薪酬明细!$K:$K,薪酬明细!$D:$D,$E29,薪酬明细!$E:$E,$F29,薪酬明细!$H:$H,"&gt;="&amp;BG$9,薪酬明细!$H:$H,"&lt;="&amp;BG$10,薪酬明细!$A:$A,BG$6)</f>
        <v>14</v>
      </c>
    </row>
    <row r="30" ht="16.2" spans="3:59">
      <c r="C30" s="42"/>
      <c r="D30" s="42" t="s">
        <v>81</v>
      </c>
      <c r="E30" s="116" t="str">
        <f t="shared" si="81"/>
        <v>流程中心</v>
      </c>
      <c r="F30" s="116" t="str">
        <f t="shared" si="83"/>
        <v>制造中心</v>
      </c>
      <c r="G30" s="121">
        <f>SUMIFS(薪酬明细!$K:$K,薪酬明细!$D:$D,$E30,薪酬明细!$E:$E,$F30,薪酬明细!$H:$H,"&gt;="&amp;G$9,薪酬明细!$H:$H,"&lt;="&amp;G$10,薪酬明细!$A:$A,G$6)/12</f>
        <v>22</v>
      </c>
      <c r="H30" s="121">
        <f>SUMIFS(薪酬明细!$K:$K,薪酬明细!$D:$D,$E30,薪酬明细!$E:$E,$F30,薪酬明细!$H:$H,"&gt;="&amp;H$9,薪酬明细!$H:$H,"&lt;="&amp;H$10,薪酬明细!$A:$A,H$6)</f>
        <v>22</v>
      </c>
      <c r="I30" s="121">
        <f>SUMIFS(薪酬明细!$K:$K,薪酬明细!$D:$D,$E30,薪酬明细!$E:$E,$F30,薪酬明细!$H:$H,"&gt;="&amp;I$9,薪酬明细!$H:$H,"&lt;="&amp;I$10,薪酬明细!$A:$A,I$6)</f>
        <v>22</v>
      </c>
      <c r="J30" s="121">
        <f>SUMIFS(薪酬明细!$K:$K,薪酬明细!$D:$D,$E30,薪酬明细!$E:$E,$F30,薪酬明细!$H:$H,"&gt;="&amp;J$9,薪酬明细!$H:$H,"&lt;="&amp;J$10,薪酬明细!$A:$A,J$6)</f>
        <v>22</v>
      </c>
      <c r="K30" s="121">
        <f>SUMIFS(薪酬明细!$K:$K,薪酬明细!$D:$D,$E30,薪酬明细!$E:$E,$F30,薪酬明细!$H:$H,"&gt;="&amp;K$9,薪酬明细!$H:$H,"&lt;="&amp;K$10,薪酬明细!$A:$A,K$6)</f>
        <v>22</v>
      </c>
      <c r="L30" s="121">
        <f>SUMIFS(薪酬明细!$K:$K,薪酬明细!$D:$D,$E30,薪酬明细!$E:$E,$F30,薪酬明细!$H:$H,"&gt;="&amp;L$9,薪酬明细!$H:$H,"&lt;="&amp;L$10,薪酬明细!$A:$A,L$6)</f>
        <v>22</v>
      </c>
      <c r="M30" s="121">
        <f>SUMIFS(薪酬明细!$K:$K,薪酬明细!$D:$D,$E30,薪酬明细!$E:$E,$F30,薪酬明细!$H:$H,"&gt;="&amp;M$9,薪酬明细!$H:$H,"&lt;="&amp;M$10,薪酬明细!$A:$A,M$6)</f>
        <v>22</v>
      </c>
      <c r="N30" s="121">
        <f>SUMIFS(薪酬明细!$K:$K,薪酬明细!$D:$D,$E30,薪酬明细!$E:$E,$F30,薪酬明细!$H:$H,"&gt;="&amp;N$9,薪酬明细!$H:$H,"&lt;="&amp;N$10,薪酬明细!$A:$A,N$6)</f>
        <v>22</v>
      </c>
      <c r="O30" s="121">
        <f>SUMIFS(薪酬明细!$K:$K,薪酬明细!$D:$D,$E30,薪酬明细!$E:$E,$F30,薪酬明细!$H:$H,"&gt;="&amp;O$9,薪酬明细!$H:$H,"&lt;="&amp;O$10,薪酬明细!$A:$A,O$6)</f>
        <v>22</v>
      </c>
      <c r="P30" s="121">
        <f>SUMIFS(薪酬明细!$K:$K,薪酬明细!$D:$D,$E30,薪酬明细!$E:$E,$F30,薪酬明细!$H:$H,"&gt;="&amp;P$9,薪酬明细!$H:$H,"&lt;="&amp;P$10,薪酬明细!$A:$A,P$6)</f>
        <v>22</v>
      </c>
      <c r="Q30" s="121">
        <f>SUMIFS(薪酬明细!$K:$K,薪酬明细!$D:$D,$E30,薪酬明细!$E:$E,$F30,薪酬明细!$H:$H,"&gt;="&amp;Q$9,薪酬明细!$H:$H,"&lt;="&amp;Q$10,薪酬明细!$A:$A,Q$6)</f>
        <v>22</v>
      </c>
      <c r="R30" s="121">
        <f>SUMIFS(薪酬明细!$K:$K,薪酬明细!$D:$D,$E30,薪酬明细!$E:$E,$F30,薪酬明细!$H:$H,"&gt;="&amp;R$9,薪酬明细!$H:$H,"&lt;="&amp;R$10,薪酬明细!$A:$A,R$6)</f>
        <v>22</v>
      </c>
      <c r="S30" s="121">
        <f>SUMIFS(薪酬明细!$K:$K,薪酬明细!$D:$D,$E30,薪酬明细!$E:$E,$F30,薪酬明细!$H:$H,"&gt;="&amp;S$9,薪酬明细!$H:$H,"&lt;="&amp;S$10,薪酬明细!$A:$A,S$6)</f>
        <v>22</v>
      </c>
      <c r="T30" s="125">
        <f t="shared" si="82"/>
        <v>22</v>
      </c>
      <c r="U30" s="121">
        <f>SUMIFS(薪酬明细!$K:$K,薪酬明细!$D:$D,$E30,薪酬明细!$E:$E,$F30,薪酬明细!$H:$H,"&gt;="&amp;U$9,薪酬明细!$H:$H,"&lt;="&amp;U$10,薪酬明细!$A:$A,U$6)/MONTH($G$3)</f>
        <v>22</v>
      </c>
      <c r="V30" s="121">
        <f>SUMIFS(薪酬明细!$K:$K,薪酬明细!$D:$D,$E30,薪酬明细!$E:$E,$F30,薪酬明细!$H:$H,"&gt;="&amp;V$9,薪酬明细!$H:$H,"&lt;="&amp;V$10,薪酬明细!$A:$A,V$6)</f>
        <v>22</v>
      </c>
      <c r="W30" s="121">
        <f>SUMIFS(薪酬明细!$K:$K,薪酬明细!$D:$D,$E30,薪酬明细!$E:$E,$F30,薪酬明细!$H:$H,"&gt;="&amp;W$9,薪酬明细!$H:$H,"&lt;="&amp;W$10,薪酬明细!$A:$A,W$6)</f>
        <v>22</v>
      </c>
      <c r="X30" s="121">
        <f>SUMIFS(薪酬明细!$K:$K,薪酬明细!$D:$D,$E30,薪酬明细!$E:$E,$F30,薪酬明细!$H:$H,"&gt;="&amp;X$9,薪酬明细!$H:$H,"&lt;="&amp;X$10,薪酬明细!$A:$A,X$6)</f>
        <v>22</v>
      </c>
      <c r="Y30" s="121">
        <f>SUMIFS(薪酬明细!$K:$K,薪酬明细!$D:$D,$E30,薪酬明细!$E:$E,$F30,薪酬明细!$H:$H,"&gt;="&amp;Y$9,薪酬明细!$H:$H,"&lt;="&amp;Y$10,薪酬明细!$A:$A,Y$6)</f>
        <v>22</v>
      </c>
      <c r="Z30" s="121">
        <f>SUMIFS(薪酬明细!$K:$K,薪酬明细!$D:$D,$E30,薪酬明细!$E:$E,$F30,薪酬明细!$H:$H,"&gt;="&amp;Z$9,薪酬明细!$H:$H,"&lt;="&amp;Z$10,薪酬明细!$A:$A,Z$6)</f>
        <v>22</v>
      </c>
      <c r="AA30" s="121">
        <f>SUMIFS(薪酬明细!$K:$K,薪酬明细!$D:$D,$E30,薪酬明细!$E:$E,$F30,薪酬明细!$H:$H,"&gt;="&amp;AA$9,薪酬明细!$H:$H,"&lt;="&amp;AA$10,薪酬明细!$A:$A,AA$6)</f>
        <v>22</v>
      </c>
      <c r="AB30" s="121">
        <f>SUMIFS(薪酬明细!$K:$K,薪酬明细!$D:$D,$E30,薪酬明细!$E:$E,$F30,薪酬明细!$H:$H,"&gt;="&amp;AB$9,薪酬明细!$H:$H,"&lt;="&amp;AB$10,薪酬明细!$A:$A,AB$6)</f>
        <v>22</v>
      </c>
      <c r="AC30" s="121">
        <f>SUMIFS(薪酬明细!$K:$K,薪酬明细!$D:$D,$E30,薪酬明细!$E:$E,$F30,薪酬明细!$H:$H,"&gt;="&amp;AC$9,薪酬明细!$H:$H,"&lt;="&amp;AC$10,薪酬明细!$A:$A,AC$6)</f>
        <v>22</v>
      </c>
      <c r="AD30" s="121">
        <f>SUMIFS(薪酬明细!$K:$K,薪酬明细!$D:$D,$E30,薪酬明细!$E:$E,$F30,薪酬明细!$H:$H,"&gt;="&amp;AD$9,薪酬明细!$H:$H,"&lt;="&amp;AD$10,薪酬明细!$A:$A,AD$6)</f>
        <v>22</v>
      </c>
      <c r="AE30" s="121">
        <f>SUMIFS(薪酬明细!$K:$K,薪酬明细!$D:$D,$E30,薪酬明细!$E:$E,$F30,薪酬明细!$H:$H,"&gt;="&amp;AE$9,薪酬明细!$H:$H,"&lt;="&amp;AE$10,薪酬明细!$A:$A,AE$6)</f>
        <v>0</v>
      </c>
      <c r="AF30" s="121">
        <f>SUMIFS(薪酬明细!$K:$K,薪酬明细!$D:$D,$E30,薪酬明细!$E:$E,$F30,薪酬明细!$H:$H,"&gt;="&amp;AF$9,薪酬明细!$H:$H,"&lt;="&amp;AF$10,薪酬明细!$A:$A,AF$6)</f>
        <v>0</v>
      </c>
      <c r="AG30" s="121">
        <f>SUMIFS(薪酬明细!$K:$K,薪酬明细!$D:$D,$E30,薪酬明细!$E:$E,$F30,薪酬明细!$H:$H,"&gt;="&amp;AG$9,薪酬明细!$H:$H,"&lt;="&amp;AG$10,薪酬明细!$A:$A,AG$6)</f>
        <v>0</v>
      </c>
      <c r="AH30" s="121">
        <f>SUMIFS(薪酬明细!$K:$K,薪酬明细!$D:$D,$E30,薪酬明细!$E:$E,$F30,薪酬明细!$H:$H,"&gt;="&amp;AH$9,薪酬明细!$H:$H,"&lt;="&amp;AH$10,薪酬明细!$A:$A,AH$6)/(12-MONTH($G$3))</f>
        <v>22</v>
      </c>
      <c r="AI30" s="121">
        <f>SUMIFS(薪酬明细!$K:$K,薪酬明细!$D:$D,$E30,薪酬明细!$E:$E,$F30,薪酬明细!$H:$H,"&gt;="&amp;AI$9,薪酬明细!$H:$H,"&lt;="&amp;AI$10,薪酬明细!$A:$A,AI$6)</f>
        <v>0</v>
      </c>
      <c r="AJ30" s="121">
        <f>SUMIFS(薪酬明细!$K:$K,薪酬明细!$D:$D,$E30,薪酬明细!$E:$E,$F30,薪酬明细!$H:$H,"&gt;="&amp;AJ$9,薪酬明细!$H:$H,"&lt;="&amp;AJ$10,薪酬明细!$A:$A,AJ$6)</f>
        <v>0</v>
      </c>
      <c r="AK30" s="121">
        <f>SUMIFS(薪酬明细!$K:$K,薪酬明细!$D:$D,$E30,薪酬明细!$E:$E,$F30,薪酬明细!$H:$H,"&gt;="&amp;AK$9,薪酬明细!$H:$H,"&lt;="&amp;AK$10,薪酬明细!$A:$A,AK$6)</f>
        <v>0</v>
      </c>
      <c r="AL30" s="121">
        <f>SUMIFS(薪酬明细!$K:$K,薪酬明细!$D:$D,$E30,薪酬明细!$E:$E,$F30,薪酬明细!$H:$H,"&gt;="&amp;AL$9,薪酬明细!$H:$H,"&lt;="&amp;AL$10,薪酬明细!$A:$A,AL$6)</f>
        <v>0</v>
      </c>
      <c r="AM30" s="121">
        <f>SUMIFS(薪酬明细!$K:$K,薪酬明细!$D:$D,$E30,薪酬明细!$E:$E,$F30,薪酬明细!$H:$H,"&gt;="&amp;AM$9,薪酬明细!$H:$H,"&lt;="&amp;AM$10,薪酬明细!$A:$A,AM$6)</f>
        <v>0</v>
      </c>
      <c r="AN30" s="121">
        <f>SUMIFS(薪酬明细!$K:$K,薪酬明细!$D:$D,$E30,薪酬明细!$E:$E,$F30,薪酬明细!$H:$H,"&gt;="&amp;AN$9,薪酬明细!$H:$H,"&lt;="&amp;AN$10,薪酬明细!$A:$A,AN$6)</f>
        <v>0</v>
      </c>
      <c r="AO30" s="121">
        <f>SUMIFS(薪酬明细!$K:$K,薪酬明细!$D:$D,$E30,薪酬明细!$E:$E,$F30,薪酬明细!$H:$H,"&gt;="&amp;AO$9,薪酬明细!$H:$H,"&lt;="&amp;AO$10,薪酬明细!$A:$A,AO$6)</f>
        <v>0</v>
      </c>
      <c r="AP30" s="121">
        <f>SUMIFS(薪酬明细!$K:$K,薪酬明细!$D:$D,$E30,薪酬明细!$E:$E,$F30,薪酬明细!$H:$H,"&gt;="&amp;AP$9,薪酬明细!$H:$H,"&lt;="&amp;AP$10,薪酬明细!$A:$A,AP$6)</f>
        <v>0</v>
      </c>
      <c r="AQ30" s="121">
        <f>SUMIFS(薪酬明细!$K:$K,薪酬明细!$D:$D,$E30,薪酬明细!$E:$E,$F30,薪酬明细!$H:$H,"&gt;="&amp;AQ$9,薪酬明细!$H:$H,"&lt;="&amp;AQ$10,薪酬明细!$A:$A,AQ$6)</f>
        <v>0</v>
      </c>
      <c r="AR30" s="121">
        <f>SUMIFS(薪酬明细!$K:$K,薪酬明细!$D:$D,$E30,薪酬明细!$E:$E,$F30,薪酬明细!$H:$H,"&gt;="&amp;AR$9,薪酬明细!$H:$H,"&lt;="&amp;AR$10,薪酬明细!$A:$A,AR$6)</f>
        <v>22</v>
      </c>
      <c r="AS30" s="121">
        <f>SUMIFS(薪酬明细!$K:$K,薪酬明细!$D:$D,$E30,薪酬明细!$E:$E,$F30,薪酬明细!$H:$H,"&gt;="&amp;AS$9,薪酬明细!$H:$H,"&lt;="&amp;AS$10,薪酬明细!$A:$A,AS$6)</f>
        <v>22</v>
      </c>
      <c r="AT30" s="121">
        <f>SUMIFS(薪酬明细!$K:$K,薪酬明细!$D:$D,$E30,薪酬明细!$E:$E,$F30,薪酬明细!$H:$H,"&gt;="&amp;AT$9,薪酬明细!$H:$H,"&lt;="&amp;AT$10,薪酬明细!$A:$A,AT$6)</f>
        <v>22</v>
      </c>
      <c r="AU30" s="121">
        <f>SUMIFS(薪酬明细!$K:$K,薪酬明细!$D:$D,$E30,薪酬明细!$E:$E,$F30,薪酬明细!$H:$H,"&gt;="&amp;AU$9,薪酬明细!$H:$H,"&lt;="&amp;AU$10,薪酬明细!$A:$A,AU$6)/12</f>
        <v>22</v>
      </c>
      <c r="AV30" s="121">
        <f>SUMIFS(薪酬明细!$K:$K,薪酬明细!$D:$D,$E30,薪酬明细!$E:$E,$F30,薪酬明细!$H:$H,"&gt;="&amp;AV$9,薪酬明细!$H:$H,"&lt;="&amp;AV$10,薪酬明细!$A:$A,AV$6)</f>
        <v>22</v>
      </c>
      <c r="AW30" s="121">
        <f>SUMIFS(薪酬明细!$K:$K,薪酬明细!$D:$D,$E30,薪酬明细!$E:$E,$F30,薪酬明细!$H:$H,"&gt;="&amp;AW$9,薪酬明细!$H:$H,"&lt;="&amp;AW$10,薪酬明细!$A:$A,AW$6)</f>
        <v>22</v>
      </c>
      <c r="AX30" s="121">
        <f>SUMIFS(薪酬明细!$K:$K,薪酬明细!$D:$D,$E30,薪酬明细!$E:$E,$F30,薪酬明细!$H:$H,"&gt;="&amp;AX$9,薪酬明细!$H:$H,"&lt;="&amp;AX$10,薪酬明细!$A:$A,AX$6)</f>
        <v>22</v>
      </c>
      <c r="AY30" s="121">
        <f>SUMIFS(薪酬明细!$K:$K,薪酬明细!$D:$D,$E30,薪酬明细!$E:$E,$F30,薪酬明细!$H:$H,"&gt;="&amp;AY$9,薪酬明细!$H:$H,"&lt;="&amp;AY$10,薪酬明细!$A:$A,AY$6)</f>
        <v>22</v>
      </c>
      <c r="AZ30" s="121">
        <f>SUMIFS(薪酬明细!$K:$K,薪酬明细!$D:$D,$E30,薪酬明细!$E:$E,$F30,薪酬明细!$H:$H,"&gt;="&amp;AZ$9,薪酬明细!$H:$H,"&lt;="&amp;AZ$10,薪酬明细!$A:$A,AZ$6)</f>
        <v>22</v>
      </c>
      <c r="BA30" s="121">
        <f>SUMIFS(薪酬明细!$K:$K,薪酬明细!$D:$D,$E30,薪酬明细!$E:$E,$F30,薪酬明细!$H:$H,"&gt;="&amp;BA$9,薪酬明细!$H:$H,"&lt;="&amp;BA$10,薪酬明细!$A:$A,BA$6)</f>
        <v>22</v>
      </c>
      <c r="BB30" s="121">
        <f>SUMIFS(薪酬明细!$K:$K,薪酬明细!$D:$D,$E30,薪酬明细!$E:$E,$F30,薪酬明细!$H:$H,"&gt;="&amp;BB$9,薪酬明细!$H:$H,"&lt;="&amp;BB$10,薪酬明细!$A:$A,BB$6)</f>
        <v>22</v>
      </c>
      <c r="BC30" s="121">
        <f>SUMIFS(薪酬明细!$K:$K,薪酬明细!$D:$D,$E30,薪酬明细!$E:$E,$F30,薪酬明细!$H:$H,"&gt;="&amp;BC$9,薪酬明细!$H:$H,"&lt;="&amp;BC$10,薪酬明细!$A:$A,BC$6)</f>
        <v>22</v>
      </c>
      <c r="BD30" s="121">
        <f>SUMIFS(薪酬明细!$K:$K,薪酬明细!$D:$D,$E30,薪酬明细!$E:$E,$F30,薪酬明细!$H:$H,"&gt;="&amp;BD$9,薪酬明细!$H:$H,"&lt;="&amp;BD$10,薪酬明细!$A:$A,BD$6)</f>
        <v>22</v>
      </c>
      <c r="BE30" s="121">
        <f>SUMIFS(薪酬明细!$K:$K,薪酬明细!$D:$D,$E30,薪酬明细!$E:$E,$F30,薪酬明细!$H:$H,"&gt;="&amp;BE$9,薪酬明细!$H:$H,"&lt;="&amp;BE$10,薪酬明细!$A:$A,BE$6)</f>
        <v>22</v>
      </c>
      <c r="BF30" s="121">
        <f>SUMIFS(薪酬明细!$K:$K,薪酬明细!$D:$D,$E30,薪酬明细!$E:$E,$F30,薪酬明细!$H:$H,"&gt;="&amp;BF$9,薪酬明细!$H:$H,"&lt;="&amp;BF$10,薪酬明细!$A:$A,BF$6)</f>
        <v>22</v>
      </c>
      <c r="BG30" s="121">
        <f>SUMIFS(薪酬明细!$K:$K,薪酬明细!$D:$D,$E30,薪酬明细!$E:$E,$F30,薪酬明细!$H:$H,"&gt;="&amp;BG$9,薪酬明细!$H:$H,"&lt;="&amp;BG$10,薪酬明细!$A:$A,BG$6)</f>
        <v>22</v>
      </c>
    </row>
    <row r="31" ht="16.2" spans="3:59">
      <c r="C31" s="42" t="s">
        <v>82</v>
      </c>
      <c r="D31" s="42"/>
      <c r="E31" s="116" t="str">
        <f t="shared" si="81"/>
        <v>创新中心</v>
      </c>
      <c r="F31" s="116" t="str">
        <f t="shared" si="83"/>
        <v>*</v>
      </c>
      <c r="G31" s="121">
        <f>SUMIFS(薪酬明细!$K:$K,薪酬明细!$D:$D,$E31,薪酬明细!$E:$E,$F31,薪酬明细!$H:$H,"&gt;="&amp;G$9,薪酬明细!$H:$H,"&lt;="&amp;G$10,薪酬明细!$A:$A,G$6)/12</f>
        <v>20</v>
      </c>
      <c r="H31" s="121">
        <f>SUMIFS(薪酬明细!$K:$K,薪酬明细!$D:$D,$E31,薪酬明细!$E:$E,$F31,薪酬明细!$H:$H,"&gt;="&amp;H$9,薪酬明细!$H:$H,"&lt;="&amp;H$10,薪酬明细!$A:$A,H$6)</f>
        <v>20</v>
      </c>
      <c r="I31" s="121">
        <f>SUMIFS(薪酬明细!$K:$K,薪酬明细!$D:$D,$E31,薪酬明细!$E:$E,$F31,薪酬明细!$H:$H,"&gt;="&amp;I$9,薪酬明细!$H:$H,"&lt;="&amp;I$10,薪酬明细!$A:$A,I$6)</f>
        <v>20</v>
      </c>
      <c r="J31" s="121">
        <f>SUMIFS(薪酬明细!$K:$K,薪酬明细!$D:$D,$E31,薪酬明细!$E:$E,$F31,薪酬明细!$H:$H,"&gt;="&amp;J$9,薪酬明细!$H:$H,"&lt;="&amp;J$10,薪酬明细!$A:$A,J$6)</f>
        <v>20</v>
      </c>
      <c r="K31" s="121">
        <f>SUMIFS(薪酬明细!$K:$K,薪酬明细!$D:$D,$E31,薪酬明细!$E:$E,$F31,薪酬明细!$H:$H,"&gt;="&amp;K$9,薪酬明细!$H:$H,"&lt;="&amp;K$10,薪酬明细!$A:$A,K$6)</f>
        <v>20</v>
      </c>
      <c r="L31" s="121">
        <f>SUMIFS(薪酬明细!$K:$K,薪酬明细!$D:$D,$E31,薪酬明细!$E:$E,$F31,薪酬明细!$H:$H,"&gt;="&amp;L$9,薪酬明细!$H:$H,"&lt;="&amp;L$10,薪酬明细!$A:$A,L$6)</f>
        <v>20</v>
      </c>
      <c r="M31" s="121">
        <f>SUMIFS(薪酬明细!$K:$K,薪酬明细!$D:$D,$E31,薪酬明细!$E:$E,$F31,薪酬明细!$H:$H,"&gt;="&amp;M$9,薪酬明细!$H:$H,"&lt;="&amp;M$10,薪酬明细!$A:$A,M$6)</f>
        <v>20</v>
      </c>
      <c r="N31" s="121">
        <f>SUMIFS(薪酬明细!$K:$K,薪酬明细!$D:$D,$E31,薪酬明细!$E:$E,$F31,薪酬明细!$H:$H,"&gt;="&amp;N$9,薪酬明细!$H:$H,"&lt;="&amp;N$10,薪酬明细!$A:$A,N$6)</f>
        <v>20</v>
      </c>
      <c r="O31" s="121">
        <f>SUMIFS(薪酬明细!$K:$K,薪酬明细!$D:$D,$E31,薪酬明细!$E:$E,$F31,薪酬明细!$H:$H,"&gt;="&amp;O$9,薪酬明细!$H:$H,"&lt;="&amp;O$10,薪酬明细!$A:$A,O$6)</f>
        <v>20</v>
      </c>
      <c r="P31" s="121">
        <f>SUMIFS(薪酬明细!$K:$K,薪酬明细!$D:$D,$E31,薪酬明细!$E:$E,$F31,薪酬明细!$H:$H,"&gt;="&amp;P$9,薪酬明细!$H:$H,"&lt;="&amp;P$10,薪酬明细!$A:$A,P$6)</f>
        <v>20</v>
      </c>
      <c r="Q31" s="121">
        <f>SUMIFS(薪酬明细!$K:$K,薪酬明细!$D:$D,$E31,薪酬明细!$E:$E,$F31,薪酬明细!$H:$H,"&gt;="&amp;Q$9,薪酬明细!$H:$H,"&lt;="&amp;Q$10,薪酬明细!$A:$A,Q$6)</f>
        <v>20</v>
      </c>
      <c r="R31" s="121">
        <f>SUMIFS(薪酬明细!$K:$K,薪酬明细!$D:$D,$E31,薪酬明细!$E:$E,$F31,薪酬明细!$H:$H,"&gt;="&amp;R$9,薪酬明细!$H:$H,"&lt;="&amp;R$10,薪酬明细!$A:$A,R$6)</f>
        <v>20</v>
      </c>
      <c r="S31" s="121">
        <f>SUMIFS(薪酬明细!$K:$K,薪酬明细!$D:$D,$E31,薪酬明细!$E:$E,$F31,薪酬明细!$H:$H,"&gt;="&amp;S$9,薪酬明细!$H:$H,"&lt;="&amp;S$10,薪酬明细!$A:$A,S$6)</f>
        <v>20</v>
      </c>
      <c r="T31" s="125">
        <f t="shared" si="82"/>
        <v>20</v>
      </c>
      <c r="U31" s="121">
        <f>SUMIFS(薪酬明细!$K:$K,薪酬明细!$D:$D,$E31,薪酬明细!$E:$E,$F31,薪酬明细!$H:$H,"&gt;="&amp;U$9,薪酬明细!$H:$H,"&lt;="&amp;U$10,薪酬明细!$A:$A,U$6)/MONTH($G$3)</f>
        <v>20</v>
      </c>
      <c r="V31" s="121">
        <f>SUMIFS(薪酬明细!$K:$K,薪酬明细!$D:$D,$E31,薪酬明细!$E:$E,$F31,薪酬明细!$H:$H,"&gt;="&amp;V$9,薪酬明细!$H:$H,"&lt;="&amp;V$10,薪酬明细!$A:$A,V$6)</f>
        <v>20</v>
      </c>
      <c r="W31" s="121">
        <f>SUMIFS(薪酬明细!$K:$K,薪酬明细!$D:$D,$E31,薪酬明细!$E:$E,$F31,薪酬明细!$H:$H,"&gt;="&amp;W$9,薪酬明细!$H:$H,"&lt;="&amp;W$10,薪酬明细!$A:$A,W$6)</f>
        <v>20</v>
      </c>
      <c r="X31" s="121">
        <f>SUMIFS(薪酬明细!$K:$K,薪酬明细!$D:$D,$E31,薪酬明细!$E:$E,$F31,薪酬明细!$H:$H,"&gt;="&amp;X$9,薪酬明细!$H:$H,"&lt;="&amp;X$10,薪酬明细!$A:$A,X$6)</f>
        <v>20</v>
      </c>
      <c r="Y31" s="121">
        <f>SUMIFS(薪酬明细!$K:$K,薪酬明细!$D:$D,$E31,薪酬明细!$E:$E,$F31,薪酬明细!$H:$H,"&gt;="&amp;Y$9,薪酬明细!$H:$H,"&lt;="&amp;Y$10,薪酬明细!$A:$A,Y$6)</f>
        <v>20</v>
      </c>
      <c r="Z31" s="121">
        <f>SUMIFS(薪酬明细!$K:$K,薪酬明细!$D:$D,$E31,薪酬明细!$E:$E,$F31,薪酬明细!$H:$H,"&gt;="&amp;Z$9,薪酬明细!$H:$H,"&lt;="&amp;Z$10,薪酬明细!$A:$A,Z$6)</f>
        <v>20</v>
      </c>
      <c r="AA31" s="121">
        <f>SUMIFS(薪酬明细!$K:$K,薪酬明细!$D:$D,$E31,薪酬明细!$E:$E,$F31,薪酬明细!$H:$H,"&gt;="&amp;AA$9,薪酬明细!$H:$H,"&lt;="&amp;AA$10,薪酬明细!$A:$A,AA$6)</f>
        <v>20</v>
      </c>
      <c r="AB31" s="121">
        <f>SUMIFS(薪酬明细!$K:$K,薪酬明细!$D:$D,$E31,薪酬明细!$E:$E,$F31,薪酬明细!$H:$H,"&gt;="&amp;AB$9,薪酬明细!$H:$H,"&lt;="&amp;AB$10,薪酬明细!$A:$A,AB$6)</f>
        <v>20</v>
      </c>
      <c r="AC31" s="121">
        <f>SUMIFS(薪酬明细!$K:$K,薪酬明细!$D:$D,$E31,薪酬明细!$E:$E,$F31,薪酬明细!$H:$H,"&gt;="&amp;AC$9,薪酬明细!$H:$H,"&lt;="&amp;AC$10,薪酬明细!$A:$A,AC$6)</f>
        <v>20</v>
      </c>
      <c r="AD31" s="121">
        <f>SUMIFS(薪酬明细!$K:$K,薪酬明细!$D:$D,$E31,薪酬明细!$E:$E,$F31,薪酬明细!$H:$H,"&gt;="&amp;AD$9,薪酬明细!$H:$H,"&lt;="&amp;AD$10,薪酬明细!$A:$A,AD$6)</f>
        <v>20</v>
      </c>
      <c r="AE31" s="121">
        <f>SUMIFS(薪酬明细!$K:$K,薪酬明细!$D:$D,$E31,薪酬明细!$E:$E,$F31,薪酬明细!$H:$H,"&gt;="&amp;AE$9,薪酬明细!$H:$H,"&lt;="&amp;AE$10,薪酬明细!$A:$A,AE$6)</f>
        <v>0</v>
      </c>
      <c r="AF31" s="121">
        <f>SUMIFS(薪酬明细!$K:$K,薪酬明细!$D:$D,$E31,薪酬明细!$E:$E,$F31,薪酬明细!$H:$H,"&gt;="&amp;AF$9,薪酬明细!$H:$H,"&lt;="&amp;AF$10,薪酬明细!$A:$A,AF$6)</f>
        <v>0</v>
      </c>
      <c r="AG31" s="121">
        <f>SUMIFS(薪酬明细!$K:$K,薪酬明细!$D:$D,$E31,薪酬明细!$E:$E,$F31,薪酬明细!$H:$H,"&gt;="&amp;AG$9,薪酬明细!$H:$H,"&lt;="&amp;AG$10,薪酬明细!$A:$A,AG$6)</f>
        <v>0</v>
      </c>
      <c r="AH31" s="121">
        <f>SUMIFS(薪酬明细!$K:$K,薪酬明细!$D:$D,$E31,薪酬明细!$E:$E,$F31,薪酬明细!$H:$H,"&gt;="&amp;AH$9,薪酬明细!$H:$H,"&lt;="&amp;AH$10,薪酬明细!$A:$A,AH$6)/(12-MONTH($G$3))</f>
        <v>20</v>
      </c>
      <c r="AI31" s="121">
        <f>SUMIFS(薪酬明细!$K:$K,薪酬明细!$D:$D,$E31,薪酬明细!$E:$E,$F31,薪酬明细!$H:$H,"&gt;="&amp;AI$9,薪酬明细!$H:$H,"&lt;="&amp;AI$10,薪酬明细!$A:$A,AI$6)</f>
        <v>0</v>
      </c>
      <c r="AJ31" s="121">
        <f>SUMIFS(薪酬明细!$K:$K,薪酬明细!$D:$D,$E31,薪酬明细!$E:$E,$F31,薪酬明细!$H:$H,"&gt;="&amp;AJ$9,薪酬明细!$H:$H,"&lt;="&amp;AJ$10,薪酬明细!$A:$A,AJ$6)</f>
        <v>0</v>
      </c>
      <c r="AK31" s="121">
        <f>SUMIFS(薪酬明细!$K:$K,薪酬明细!$D:$D,$E31,薪酬明细!$E:$E,$F31,薪酬明细!$H:$H,"&gt;="&amp;AK$9,薪酬明细!$H:$H,"&lt;="&amp;AK$10,薪酬明细!$A:$A,AK$6)</f>
        <v>0</v>
      </c>
      <c r="AL31" s="121">
        <f>SUMIFS(薪酬明细!$K:$K,薪酬明细!$D:$D,$E31,薪酬明细!$E:$E,$F31,薪酬明细!$H:$H,"&gt;="&amp;AL$9,薪酬明细!$H:$H,"&lt;="&amp;AL$10,薪酬明细!$A:$A,AL$6)</f>
        <v>0</v>
      </c>
      <c r="AM31" s="121">
        <f>SUMIFS(薪酬明细!$K:$K,薪酬明细!$D:$D,$E31,薪酬明细!$E:$E,$F31,薪酬明细!$H:$H,"&gt;="&amp;AM$9,薪酬明细!$H:$H,"&lt;="&amp;AM$10,薪酬明细!$A:$A,AM$6)</f>
        <v>0</v>
      </c>
      <c r="AN31" s="121">
        <f>SUMIFS(薪酬明细!$K:$K,薪酬明细!$D:$D,$E31,薪酬明细!$E:$E,$F31,薪酬明细!$H:$H,"&gt;="&amp;AN$9,薪酬明细!$H:$H,"&lt;="&amp;AN$10,薪酬明细!$A:$A,AN$6)</f>
        <v>0</v>
      </c>
      <c r="AO31" s="121">
        <f>SUMIFS(薪酬明细!$K:$K,薪酬明细!$D:$D,$E31,薪酬明细!$E:$E,$F31,薪酬明细!$H:$H,"&gt;="&amp;AO$9,薪酬明细!$H:$H,"&lt;="&amp;AO$10,薪酬明细!$A:$A,AO$6)</f>
        <v>0</v>
      </c>
      <c r="AP31" s="121">
        <f>SUMIFS(薪酬明细!$K:$K,薪酬明细!$D:$D,$E31,薪酬明细!$E:$E,$F31,薪酬明细!$H:$H,"&gt;="&amp;AP$9,薪酬明细!$H:$H,"&lt;="&amp;AP$10,薪酬明细!$A:$A,AP$6)</f>
        <v>0</v>
      </c>
      <c r="AQ31" s="121">
        <f>SUMIFS(薪酬明细!$K:$K,薪酬明细!$D:$D,$E31,薪酬明细!$E:$E,$F31,薪酬明细!$H:$H,"&gt;="&amp;AQ$9,薪酬明细!$H:$H,"&lt;="&amp;AQ$10,薪酬明细!$A:$A,AQ$6)</f>
        <v>0</v>
      </c>
      <c r="AR31" s="121">
        <f>SUMIFS(薪酬明细!$K:$K,薪酬明细!$D:$D,$E31,薪酬明细!$E:$E,$F31,薪酬明细!$H:$H,"&gt;="&amp;AR$9,薪酬明细!$H:$H,"&lt;="&amp;AR$10,薪酬明细!$A:$A,AR$6)</f>
        <v>20</v>
      </c>
      <c r="AS31" s="121">
        <f>SUMIFS(薪酬明细!$K:$K,薪酬明细!$D:$D,$E31,薪酬明细!$E:$E,$F31,薪酬明细!$H:$H,"&gt;="&amp;AS$9,薪酬明细!$H:$H,"&lt;="&amp;AS$10,薪酬明细!$A:$A,AS$6)</f>
        <v>20</v>
      </c>
      <c r="AT31" s="121">
        <f>SUMIFS(薪酬明细!$K:$K,薪酬明细!$D:$D,$E31,薪酬明细!$E:$E,$F31,薪酬明细!$H:$H,"&gt;="&amp;AT$9,薪酬明细!$H:$H,"&lt;="&amp;AT$10,薪酬明细!$A:$A,AT$6)</f>
        <v>20</v>
      </c>
      <c r="AU31" s="121">
        <f>SUMIFS(薪酬明细!$K:$K,薪酬明细!$D:$D,$E31,薪酬明细!$E:$E,$F31,薪酬明细!$H:$H,"&gt;="&amp;AU$9,薪酬明细!$H:$H,"&lt;="&amp;AU$10,薪酬明细!$A:$A,AU$6)/12</f>
        <v>20</v>
      </c>
      <c r="AV31" s="121">
        <f>SUMIFS(薪酬明细!$K:$K,薪酬明细!$D:$D,$E31,薪酬明细!$E:$E,$F31,薪酬明细!$H:$H,"&gt;="&amp;AV$9,薪酬明细!$H:$H,"&lt;="&amp;AV$10,薪酬明细!$A:$A,AV$6)</f>
        <v>20</v>
      </c>
      <c r="AW31" s="121">
        <f>SUMIFS(薪酬明细!$K:$K,薪酬明细!$D:$D,$E31,薪酬明细!$E:$E,$F31,薪酬明细!$H:$H,"&gt;="&amp;AW$9,薪酬明细!$H:$H,"&lt;="&amp;AW$10,薪酬明细!$A:$A,AW$6)</f>
        <v>20</v>
      </c>
      <c r="AX31" s="121">
        <f>SUMIFS(薪酬明细!$K:$K,薪酬明细!$D:$D,$E31,薪酬明细!$E:$E,$F31,薪酬明细!$H:$H,"&gt;="&amp;AX$9,薪酬明细!$H:$H,"&lt;="&amp;AX$10,薪酬明细!$A:$A,AX$6)</f>
        <v>20</v>
      </c>
      <c r="AY31" s="121">
        <f>SUMIFS(薪酬明细!$K:$K,薪酬明细!$D:$D,$E31,薪酬明细!$E:$E,$F31,薪酬明细!$H:$H,"&gt;="&amp;AY$9,薪酬明细!$H:$H,"&lt;="&amp;AY$10,薪酬明细!$A:$A,AY$6)</f>
        <v>20</v>
      </c>
      <c r="AZ31" s="121">
        <f>SUMIFS(薪酬明细!$K:$K,薪酬明细!$D:$D,$E31,薪酬明细!$E:$E,$F31,薪酬明细!$H:$H,"&gt;="&amp;AZ$9,薪酬明细!$H:$H,"&lt;="&amp;AZ$10,薪酬明细!$A:$A,AZ$6)</f>
        <v>20</v>
      </c>
      <c r="BA31" s="121">
        <f>SUMIFS(薪酬明细!$K:$K,薪酬明细!$D:$D,$E31,薪酬明细!$E:$E,$F31,薪酬明细!$H:$H,"&gt;="&amp;BA$9,薪酬明细!$H:$H,"&lt;="&amp;BA$10,薪酬明细!$A:$A,BA$6)</f>
        <v>20</v>
      </c>
      <c r="BB31" s="121">
        <f>SUMIFS(薪酬明细!$K:$K,薪酬明细!$D:$D,$E31,薪酬明细!$E:$E,$F31,薪酬明细!$H:$H,"&gt;="&amp;BB$9,薪酬明细!$H:$H,"&lt;="&amp;BB$10,薪酬明细!$A:$A,BB$6)</f>
        <v>20</v>
      </c>
      <c r="BC31" s="121">
        <f>SUMIFS(薪酬明细!$K:$K,薪酬明细!$D:$D,$E31,薪酬明细!$E:$E,$F31,薪酬明细!$H:$H,"&gt;="&amp;BC$9,薪酬明细!$H:$H,"&lt;="&amp;BC$10,薪酬明细!$A:$A,BC$6)</f>
        <v>20</v>
      </c>
      <c r="BD31" s="121">
        <f>SUMIFS(薪酬明细!$K:$K,薪酬明细!$D:$D,$E31,薪酬明细!$E:$E,$F31,薪酬明细!$H:$H,"&gt;="&amp;BD$9,薪酬明细!$H:$H,"&lt;="&amp;BD$10,薪酬明细!$A:$A,BD$6)</f>
        <v>20</v>
      </c>
      <c r="BE31" s="121">
        <f>SUMIFS(薪酬明细!$K:$K,薪酬明细!$D:$D,$E31,薪酬明细!$E:$E,$F31,薪酬明细!$H:$H,"&gt;="&amp;BE$9,薪酬明细!$H:$H,"&lt;="&amp;BE$10,薪酬明细!$A:$A,BE$6)</f>
        <v>20</v>
      </c>
      <c r="BF31" s="121">
        <f>SUMIFS(薪酬明细!$K:$K,薪酬明细!$D:$D,$E31,薪酬明细!$E:$E,$F31,薪酬明细!$H:$H,"&gt;="&amp;BF$9,薪酬明细!$H:$H,"&lt;="&amp;BF$10,薪酬明细!$A:$A,BF$6)</f>
        <v>20</v>
      </c>
      <c r="BG31" s="121">
        <f>SUMIFS(薪酬明细!$K:$K,薪酬明细!$D:$D,$E31,薪酬明细!$E:$E,$F31,薪酬明细!$H:$H,"&gt;="&amp;BG$9,薪酬明细!$H:$H,"&lt;="&amp;BG$10,薪酬明细!$A:$A,BG$6)</f>
        <v>20</v>
      </c>
    </row>
    <row r="32" ht="16.2" spans="3:59">
      <c r="C32" s="42"/>
      <c r="D32" s="42" t="s">
        <v>83</v>
      </c>
      <c r="E32" s="116" t="str">
        <f t="shared" si="81"/>
        <v>创新中心</v>
      </c>
      <c r="F32" s="116" t="str">
        <f t="shared" si="83"/>
        <v>产品
研发部</v>
      </c>
      <c r="G32" s="121">
        <f>SUMIFS(薪酬明细!$K:$K,薪酬明细!$D:$D,$E32,薪酬明细!$E:$E,$F32,薪酬明细!$H:$H,"&gt;="&amp;G$9,薪酬明细!$H:$H,"&lt;="&amp;G$10,薪酬明细!$A:$A,G$6)/12</f>
        <v>8</v>
      </c>
      <c r="H32" s="121">
        <f>SUMIFS(薪酬明细!$K:$K,薪酬明细!$D:$D,$E32,薪酬明细!$E:$E,$F32,薪酬明细!$H:$H,"&gt;="&amp;H$9,薪酬明细!$H:$H,"&lt;="&amp;H$10,薪酬明细!$A:$A,H$6)</f>
        <v>8</v>
      </c>
      <c r="I32" s="121">
        <f>SUMIFS(薪酬明细!$K:$K,薪酬明细!$D:$D,$E32,薪酬明细!$E:$E,$F32,薪酬明细!$H:$H,"&gt;="&amp;I$9,薪酬明细!$H:$H,"&lt;="&amp;I$10,薪酬明细!$A:$A,I$6)</f>
        <v>8</v>
      </c>
      <c r="J32" s="121">
        <f>SUMIFS(薪酬明细!$K:$K,薪酬明细!$D:$D,$E32,薪酬明细!$E:$E,$F32,薪酬明细!$H:$H,"&gt;="&amp;J$9,薪酬明细!$H:$H,"&lt;="&amp;J$10,薪酬明细!$A:$A,J$6)</f>
        <v>8</v>
      </c>
      <c r="K32" s="121">
        <f>SUMIFS(薪酬明细!$K:$K,薪酬明细!$D:$D,$E32,薪酬明细!$E:$E,$F32,薪酬明细!$H:$H,"&gt;="&amp;K$9,薪酬明细!$H:$H,"&lt;="&amp;K$10,薪酬明细!$A:$A,K$6)</f>
        <v>8</v>
      </c>
      <c r="L32" s="121">
        <f>SUMIFS(薪酬明细!$K:$K,薪酬明细!$D:$D,$E32,薪酬明细!$E:$E,$F32,薪酬明细!$H:$H,"&gt;="&amp;L$9,薪酬明细!$H:$H,"&lt;="&amp;L$10,薪酬明细!$A:$A,L$6)</f>
        <v>8</v>
      </c>
      <c r="M32" s="121">
        <f>SUMIFS(薪酬明细!$K:$K,薪酬明细!$D:$D,$E32,薪酬明细!$E:$E,$F32,薪酬明细!$H:$H,"&gt;="&amp;M$9,薪酬明细!$H:$H,"&lt;="&amp;M$10,薪酬明细!$A:$A,M$6)</f>
        <v>8</v>
      </c>
      <c r="N32" s="121">
        <f>SUMIFS(薪酬明细!$K:$K,薪酬明细!$D:$D,$E32,薪酬明细!$E:$E,$F32,薪酬明细!$H:$H,"&gt;="&amp;N$9,薪酬明细!$H:$H,"&lt;="&amp;N$10,薪酬明细!$A:$A,N$6)</f>
        <v>8</v>
      </c>
      <c r="O32" s="121">
        <f>SUMIFS(薪酬明细!$K:$K,薪酬明细!$D:$D,$E32,薪酬明细!$E:$E,$F32,薪酬明细!$H:$H,"&gt;="&amp;O$9,薪酬明细!$H:$H,"&lt;="&amp;O$10,薪酬明细!$A:$A,O$6)</f>
        <v>8</v>
      </c>
      <c r="P32" s="121">
        <f>SUMIFS(薪酬明细!$K:$K,薪酬明细!$D:$D,$E32,薪酬明细!$E:$E,$F32,薪酬明细!$H:$H,"&gt;="&amp;P$9,薪酬明细!$H:$H,"&lt;="&amp;P$10,薪酬明细!$A:$A,P$6)</f>
        <v>8</v>
      </c>
      <c r="Q32" s="121">
        <f>SUMIFS(薪酬明细!$K:$K,薪酬明细!$D:$D,$E32,薪酬明细!$E:$E,$F32,薪酬明细!$H:$H,"&gt;="&amp;Q$9,薪酬明细!$H:$H,"&lt;="&amp;Q$10,薪酬明细!$A:$A,Q$6)</f>
        <v>8</v>
      </c>
      <c r="R32" s="121">
        <f>SUMIFS(薪酬明细!$K:$K,薪酬明细!$D:$D,$E32,薪酬明细!$E:$E,$F32,薪酬明细!$H:$H,"&gt;="&amp;R$9,薪酬明细!$H:$H,"&lt;="&amp;R$10,薪酬明细!$A:$A,R$6)</f>
        <v>8</v>
      </c>
      <c r="S32" s="121">
        <f>SUMIFS(薪酬明细!$K:$K,薪酬明细!$D:$D,$E32,薪酬明细!$E:$E,$F32,薪酬明细!$H:$H,"&gt;="&amp;S$9,薪酬明细!$H:$H,"&lt;="&amp;S$10,薪酬明细!$A:$A,S$6)</f>
        <v>8</v>
      </c>
      <c r="T32" s="125">
        <f t="shared" si="82"/>
        <v>8</v>
      </c>
      <c r="U32" s="121">
        <f>SUMIFS(薪酬明细!$K:$K,薪酬明细!$D:$D,$E32,薪酬明细!$E:$E,$F32,薪酬明细!$H:$H,"&gt;="&amp;U$9,薪酬明细!$H:$H,"&lt;="&amp;U$10,薪酬明细!$A:$A,U$6)/MONTH($G$3)</f>
        <v>8</v>
      </c>
      <c r="V32" s="121">
        <f>SUMIFS(薪酬明细!$K:$K,薪酬明细!$D:$D,$E32,薪酬明细!$E:$E,$F32,薪酬明细!$H:$H,"&gt;="&amp;V$9,薪酬明细!$H:$H,"&lt;="&amp;V$10,薪酬明细!$A:$A,V$6)</f>
        <v>8</v>
      </c>
      <c r="W32" s="121">
        <f>SUMIFS(薪酬明细!$K:$K,薪酬明细!$D:$D,$E32,薪酬明细!$E:$E,$F32,薪酬明细!$H:$H,"&gt;="&amp;W$9,薪酬明细!$H:$H,"&lt;="&amp;W$10,薪酬明细!$A:$A,W$6)</f>
        <v>8</v>
      </c>
      <c r="X32" s="121">
        <f>SUMIFS(薪酬明细!$K:$K,薪酬明细!$D:$D,$E32,薪酬明细!$E:$E,$F32,薪酬明细!$H:$H,"&gt;="&amp;X$9,薪酬明细!$H:$H,"&lt;="&amp;X$10,薪酬明细!$A:$A,X$6)</f>
        <v>8</v>
      </c>
      <c r="Y32" s="121">
        <f>SUMIFS(薪酬明细!$K:$K,薪酬明细!$D:$D,$E32,薪酬明细!$E:$E,$F32,薪酬明细!$H:$H,"&gt;="&amp;Y$9,薪酬明细!$H:$H,"&lt;="&amp;Y$10,薪酬明细!$A:$A,Y$6)</f>
        <v>8</v>
      </c>
      <c r="Z32" s="121">
        <f>SUMIFS(薪酬明细!$K:$K,薪酬明细!$D:$D,$E32,薪酬明细!$E:$E,$F32,薪酬明细!$H:$H,"&gt;="&amp;Z$9,薪酬明细!$H:$H,"&lt;="&amp;Z$10,薪酬明细!$A:$A,Z$6)</f>
        <v>8</v>
      </c>
      <c r="AA32" s="121">
        <f>SUMIFS(薪酬明细!$K:$K,薪酬明细!$D:$D,$E32,薪酬明细!$E:$E,$F32,薪酬明细!$H:$H,"&gt;="&amp;AA$9,薪酬明细!$H:$H,"&lt;="&amp;AA$10,薪酬明细!$A:$A,AA$6)</f>
        <v>8</v>
      </c>
      <c r="AB32" s="121">
        <f>SUMIFS(薪酬明细!$K:$K,薪酬明细!$D:$D,$E32,薪酬明细!$E:$E,$F32,薪酬明细!$H:$H,"&gt;="&amp;AB$9,薪酬明细!$H:$H,"&lt;="&amp;AB$10,薪酬明细!$A:$A,AB$6)</f>
        <v>8</v>
      </c>
      <c r="AC32" s="121">
        <f>SUMIFS(薪酬明细!$K:$K,薪酬明细!$D:$D,$E32,薪酬明细!$E:$E,$F32,薪酬明细!$H:$H,"&gt;="&amp;AC$9,薪酬明细!$H:$H,"&lt;="&amp;AC$10,薪酬明细!$A:$A,AC$6)</f>
        <v>8</v>
      </c>
      <c r="AD32" s="121">
        <f>SUMIFS(薪酬明细!$K:$K,薪酬明细!$D:$D,$E32,薪酬明细!$E:$E,$F32,薪酬明细!$H:$H,"&gt;="&amp;AD$9,薪酬明细!$H:$H,"&lt;="&amp;AD$10,薪酬明细!$A:$A,AD$6)</f>
        <v>8</v>
      </c>
      <c r="AE32" s="121">
        <f>SUMIFS(薪酬明细!$K:$K,薪酬明细!$D:$D,$E32,薪酬明细!$E:$E,$F32,薪酬明细!$H:$H,"&gt;="&amp;AE$9,薪酬明细!$H:$H,"&lt;="&amp;AE$10,薪酬明细!$A:$A,AE$6)</f>
        <v>0</v>
      </c>
      <c r="AF32" s="121">
        <f>SUMIFS(薪酬明细!$K:$K,薪酬明细!$D:$D,$E32,薪酬明细!$E:$E,$F32,薪酬明细!$H:$H,"&gt;="&amp;AF$9,薪酬明细!$H:$H,"&lt;="&amp;AF$10,薪酬明细!$A:$A,AF$6)</f>
        <v>0</v>
      </c>
      <c r="AG32" s="121">
        <f>SUMIFS(薪酬明细!$K:$K,薪酬明细!$D:$D,$E32,薪酬明细!$E:$E,$F32,薪酬明细!$H:$H,"&gt;="&amp;AG$9,薪酬明细!$H:$H,"&lt;="&amp;AG$10,薪酬明细!$A:$A,AG$6)</f>
        <v>0</v>
      </c>
      <c r="AH32" s="121">
        <f>SUMIFS(薪酬明细!$K:$K,薪酬明细!$D:$D,$E32,薪酬明细!$E:$E,$F32,薪酬明细!$H:$H,"&gt;="&amp;AH$9,薪酬明细!$H:$H,"&lt;="&amp;AH$10,薪酬明细!$A:$A,AH$6)/(12-MONTH($G$3))</f>
        <v>8</v>
      </c>
      <c r="AI32" s="121">
        <f>SUMIFS(薪酬明细!$K:$K,薪酬明细!$D:$D,$E32,薪酬明细!$E:$E,$F32,薪酬明细!$H:$H,"&gt;="&amp;AI$9,薪酬明细!$H:$H,"&lt;="&amp;AI$10,薪酬明细!$A:$A,AI$6)</f>
        <v>0</v>
      </c>
      <c r="AJ32" s="121">
        <f>SUMIFS(薪酬明细!$K:$K,薪酬明细!$D:$D,$E32,薪酬明细!$E:$E,$F32,薪酬明细!$H:$H,"&gt;="&amp;AJ$9,薪酬明细!$H:$H,"&lt;="&amp;AJ$10,薪酬明细!$A:$A,AJ$6)</f>
        <v>0</v>
      </c>
      <c r="AK32" s="121">
        <f>SUMIFS(薪酬明细!$K:$K,薪酬明细!$D:$D,$E32,薪酬明细!$E:$E,$F32,薪酬明细!$H:$H,"&gt;="&amp;AK$9,薪酬明细!$H:$H,"&lt;="&amp;AK$10,薪酬明细!$A:$A,AK$6)</f>
        <v>0</v>
      </c>
      <c r="AL32" s="121">
        <f>SUMIFS(薪酬明细!$K:$K,薪酬明细!$D:$D,$E32,薪酬明细!$E:$E,$F32,薪酬明细!$H:$H,"&gt;="&amp;AL$9,薪酬明细!$H:$H,"&lt;="&amp;AL$10,薪酬明细!$A:$A,AL$6)</f>
        <v>0</v>
      </c>
      <c r="AM32" s="121">
        <f>SUMIFS(薪酬明细!$K:$K,薪酬明细!$D:$D,$E32,薪酬明细!$E:$E,$F32,薪酬明细!$H:$H,"&gt;="&amp;AM$9,薪酬明细!$H:$H,"&lt;="&amp;AM$10,薪酬明细!$A:$A,AM$6)</f>
        <v>0</v>
      </c>
      <c r="AN32" s="121">
        <f>SUMIFS(薪酬明细!$K:$K,薪酬明细!$D:$D,$E32,薪酬明细!$E:$E,$F32,薪酬明细!$H:$H,"&gt;="&amp;AN$9,薪酬明细!$H:$H,"&lt;="&amp;AN$10,薪酬明细!$A:$A,AN$6)</f>
        <v>0</v>
      </c>
      <c r="AO32" s="121">
        <f>SUMIFS(薪酬明细!$K:$K,薪酬明细!$D:$D,$E32,薪酬明细!$E:$E,$F32,薪酬明细!$H:$H,"&gt;="&amp;AO$9,薪酬明细!$H:$H,"&lt;="&amp;AO$10,薪酬明细!$A:$A,AO$6)</f>
        <v>0</v>
      </c>
      <c r="AP32" s="121">
        <f>SUMIFS(薪酬明细!$K:$K,薪酬明细!$D:$D,$E32,薪酬明细!$E:$E,$F32,薪酬明细!$H:$H,"&gt;="&amp;AP$9,薪酬明细!$H:$H,"&lt;="&amp;AP$10,薪酬明细!$A:$A,AP$6)</f>
        <v>0</v>
      </c>
      <c r="AQ32" s="121">
        <f>SUMIFS(薪酬明细!$K:$K,薪酬明细!$D:$D,$E32,薪酬明细!$E:$E,$F32,薪酬明细!$H:$H,"&gt;="&amp;AQ$9,薪酬明细!$H:$H,"&lt;="&amp;AQ$10,薪酬明细!$A:$A,AQ$6)</f>
        <v>0</v>
      </c>
      <c r="AR32" s="121">
        <f>SUMIFS(薪酬明细!$K:$K,薪酬明细!$D:$D,$E32,薪酬明细!$E:$E,$F32,薪酬明细!$H:$H,"&gt;="&amp;AR$9,薪酬明细!$H:$H,"&lt;="&amp;AR$10,薪酬明细!$A:$A,AR$6)</f>
        <v>8</v>
      </c>
      <c r="AS32" s="121">
        <f>SUMIFS(薪酬明细!$K:$K,薪酬明细!$D:$D,$E32,薪酬明细!$E:$E,$F32,薪酬明细!$H:$H,"&gt;="&amp;AS$9,薪酬明细!$H:$H,"&lt;="&amp;AS$10,薪酬明细!$A:$A,AS$6)</f>
        <v>8</v>
      </c>
      <c r="AT32" s="121">
        <f>SUMIFS(薪酬明细!$K:$K,薪酬明细!$D:$D,$E32,薪酬明细!$E:$E,$F32,薪酬明细!$H:$H,"&gt;="&amp;AT$9,薪酬明细!$H:$H,"&lt;="&amp;AT$10,薪酬明细!$A:$A,AT$6)</f>
        <v>8</v>
      </c>
      <c r="AU32" s="121">
        <f>SUMIFS(薪酬明细!$K:$K,薪酬明细!$D:$D,$E32,薪酬明细!$E:$E,$F32,薪酬明细!$H:$H,"&gt;="&amp;AU$9,薪酬明细!$H:$H,"&lt;="&amp;AU$10,薪酬明细!$A:$A,AU$6)/12</f>
        <v>8</v>
      </c>
      <c r="AV32" s="121">
        <f>SUMIFS(薪酬明细!$K:$K,薪酬明细!$D:$D,$E32,薪酬明细!$E:$E,$F32,薪酬明细!$H:$H,"&gt;="&amp;AV$9,薪酬明细!$H:$H,"&lt;="&amp;AV$10,薪酬明细!$A:$A,AV$6)</f>
        <v>8</v>
      </c>
      <c r="AW32" s="121">
        <f>SUMIFS(薪酬明细!$K:$K,薪酬明细!$D:$D,$E32,薪酬明细!$E:$E,$F32,薪酬明细!$H:$H,"&gt;="&amp;AW$9,薪酬明细!$H:$H,"&lt;="&amp;AW$10,薪酬明细!$A:$A,AW$6)</f>
        <v>8</v>
      </c>
      <c r="AX32" s="121">
        <f>SUMIFS(薪酬明细!$K:$K,薪酬明细!$D:$D,$E32,薪酬明细!$E:$E,$F32,薪酬明细!$H:$H,"&gt;="&amp;AX$9,薪酬明细!$H:$H,"&lt;="&amp;AX$10,薪酬明细!$A:$A,AX$6)</f>
        <v>8</v>
      </c>
      <c r="AY32" s="121">
        <f>SUMIFS(薪酬明细!$K:$K,薪酬明细!$D:$D,$E32,薪酬明细!$E:$E,$F32,薪酬明细!$H:$H,"&gt;="&amp;AY$9,薪酬明细!$H:$H,"&lt;="&amp;AY$10,薪酬明细!$A:$A,AY$6)</f>
        <v>8</v>
      </c>
      <c r="AZ32" s="121">
        <f>SUMIFS(薪酬明细!$K:$K,薪酬明细!$D:$D,$E32,薪酬明细!$E:$E,$F32,薪酬明细!$H:$H,"&gt;="&amp;AZ$9,薪酬明细!$H:$H,"&lt;="&amp;AZ$10,薪酬明细!$A:$A,AZ$6)</f>
        <v>8</v>
      </c>
      <c r="BA32" s="121">
        <f>SUMIFS(薪酬明细!$K:$K,薪酬明细!$D:$D,$E32,薪酬明细!$E:$E,$F32,薪酬明细!$H:$H,"&gt;="&amp;BA$9,薪酬明细!$H:$H,"&lt;="&amp;BA$10,薪酬明细!$A:$A,BA$6)</f>
        <v>8</v>
      </c>
      <c r="BB32" s="121">
        <f>SUMIFS(薪酬明细!$K:$K,薪酬明细!$D:$D,$E32,薪酬明细!$E:$E,$F32,薪酬明细!$H:$H,"&gt;="&amp;BB$9,薪酬明细!$H:$H,"&lt;="&amp;BB$10,薪酬明细!$A:$A,BB$6)</f>
        <v>8</v>
      </c>
      <c r="BC32" s="121">
        <f>SUMIFS(薪酬明细!$K:$K,薪酬明细!$D:$D,$E32,薪酬明细!$E:$E,$F32,薪酬明细!$H:$H,"&gt;="&amp;BC$9,薪酬明细!$H:$H,"&lt;="&amp;BC$10,薪酬明细!$A:$A,BC$6)</f>
        <v>8</v>
      </c>
      <c r="BD32" s="121">
        <f>SUMIFS(薪酬明细!$K:$K,薪酬明细!$D:$D,$E32,薪酬明细!$E:$E,$F32,薪酬明细!$H:$H,"&gt;="&amp;BD$9,薪酬明细!$H:$H,"&lt;="&amp;BD$10,薪酬明细!$A:$A,BD$6)</f>
        <v>8</v>
      </c>
      <c r="BE32" s="121">
        <f>SUMIFS(薪酬明细!$K:$K,薪酬明细!$D:$D,$E32,薪酬明细!$E:$E,$F32,薪酬明细!$H:$H,"&gt;="&amp;BE$9,薪酬明细!$H:$H,"&lt;="&amp;BE$10,薪酬明细!$A:$A,BE$6)</f>
        <v>8</v>
      </c>
      <c r="BF32" s="121">
        <f>SUMIFS(薪酬明细!$K:$K,薪酬明细!$D:$D,$E32,薪酬明细!$E:$E,$F32,薪酬明细!$H:$H,"&gt;="&amp;BF$9,薪酬明细!$H:$H,"&lt;="&amp;BF$10,薪酬明细!$A:$A,BF$6)</f>
        <v>8</v>
      </c>
      <c r="BG32" s="121">
        <f>SUMIFS(薪酬明细!$K:$K,薪酬明细!$D:$D,$E32,薪酬明细!$E:$E,$F32,薪酬明细!$H:$H,"&gt;="&amp;BG$9,薪酬明细!$H:$H,"&lt;="&amp;BG$10,薪酬明细!$A:$A,BG$6)</f>
        <v>8</v>
      </c>
    </row>
    <row r="33" ht="16.2" spans="3:59">
      <c r="C33" s="42"/>
      <c r="D33" s="42" t="s">
        <v>84</v>
      </c>
      <c r="E33" s="116" t="str">
        <f t="shared" si="81"/>
        <v>创新中心</v>
      </c>
      <c r="F33" s="116" t="str">
        <f t="shared" si="83"/>
        <v>XX
试验室</v>
      </c>
      <c r="G33" s="121">
        <f>SUMIFS(薪酬明细!$K:$K,薪酬明细!$D:$D,$E33,薪酬明细!$E:$E,$F33,薪酬明细!$H:$H,"&gt;="&amp;G$9,薪酬明细!$H:$H,"&lt;="&amp;G$10,薪酬明细!$A:$A,G$6)/12</f>
        <v>5</v>
      </c>
      <c r="H33" s="121">
        <f>SUMIFS(薪酬明细!$K:$K,薪酬明细!$D:$D,$E33,薪酬明细!$E:$E,$F33,薪酬明细!$H:$H,"&gt;="&amp;H$9,薪酬明细!$H:$H,"&lt;="&amp;H$10,薪酬明细!$A:$A,H$6)</f>
        <v>5</v>
      </c>
      <c r="I33" s="121">
        <f>SUMIFS(薪酬明细!$K:$K,薪酬明细!$D:$D,$E33,薪酬明细!$E:$E,$F33,薪酬明细!$H:$H,"&gt;="&amp;I$9,薪酬明细!$H:$H,"&lt;="&amp;I$10,薪酬明细!$A:$A,I$6)</f>
        <v>5</v>
      </c>
      <c r="J33" s="121">
        <f>SUMIFS(薪酬明细!$K:$K,薪酬明细!$D:$D,$E33,薪酬明细!$E:$E,$F33,薪酬明细!$H:$H,"&gt;="&amp;J$9,薪酬明细!$H:$H,"&lt;="&amp;J$10,薪酬明细!$A:$A,J$6)</f>
        <v>5</v>
      </c>
      <c r="K33" s="121">
        <f>SUMIFS(薪酬明细!$K:$K,薪酬明细!$D:$D,$E33,薪酬明细!$E:$E,$F33,薪酬明细!$H:$H,"&gt;="&amp;K$9,薪酬明细!$H:$H,"&lt;="&amp;K$10,薪酬明细!$A:$A,K$6)</f>
        <v>5</v>
      </c>
      <c r="L33" s="121">
        <f>SUMIFS(薪酬明细!$K:$K,薪酬明细!$D:$D,$E33,薪酬明细!$E:$E,$F33,薪酬明细!$H:$H,"&gt;="&amp;L$9,薪酬明细!$H:$H,"&lt;="&amp;L$10,薪酬明细!$A:$A,L$6)</f>
        <v>5</v>
      </c>
      <c r="M33" s="121">
        <f>SUMIFS(薪酬明细!$K:$K,薪酬明细!$D:$D,$E33,薪酬明细!$E:$E,$F33,薪酬明细!$H:$H,"&gt;="&amp;M$9,薪酬明细!$H:$H,"&lt;="&amp;M$10,薪酬明细!$A:$A,M$6)</f>
        <v>5</v>
      </c>
      <c r="N33" s="121">
        <f>SUMIFS(薪酬明细!$K:$K,薪酬明细!$D:$D,$E33,薪酬明细!$E:$E,$F33,薪酬明细!$H:$H,"&gt;="&amp;N$9,薪酬明细!$H:$H,"&lt;="&amp;N$10,薪酬明细!$A:$A,N$6)</f>
        <v>5</v>
      </c>
      <c r="O33" s="121">
        <f>SUMIFS(薪酬明细!$K:$K,薪酬明细!$D:$D,$E33,薪酬明细!$E:$E,$F33,薪酬明细!$H:$H,"&gt;="&amp;O$9,薪酬明细!$H:$H,"&lt;="&amp;O$10,薪酬明细!$A:$A,O$6)</f>
        <v>5</v>
      </c>
      <c r="P33" s="121">
        <f>SUMIFS(薪酬明细!$K:$K,薪酬明细!$D:$D,$E33,薪酬明细!$E:$E,$F33,薪酬明细!$H:$H,"&gt;="&amp;P$9,薪酬明细!$H:$H,"&lt;="&amp;P$10,薪酬明细!$A:$A,P$6)</f>
        <v>5</v>
      </c>
      <c r="Q33" s="121">
        <f>SUMIFS(薪酬明细!$K:$K,薪酬明细!$D:$D,$E33,薪酬明细!$E:$E,$F33,薪酬明细!$H:$H,"&gt;="&amp;Q$9,薪酬明细!$H:$H,"&lt;="&amp;Q$10,薪酬明细!$A:$A,Q$6)</f>
        <v>5</v>
      </c>
      <c r="R33" s="121">
        <f>SUMIFS(薪酬明细!$K:$K,薪酬明细!$D:$D,$E33,薪酬明细!$E:$E,$F33,薪酬明细!$H:$H,"&gt;="&amp;R$9,薪酬明细!$H:$H,"&lt;="&amp;R$10,薪酬明细!$A:$A,R$6)</f>
        <v>5</v>
      </c>
      <c r="S33" s="121">
        <f>SUMIFS(薪酬明细!$K:$K,薪酬明细!$D:$D,$E33,薪酬明细!$E:$E,$F33,薪酬明细!$H:$H,"&gt;="&amp;S$9,薪酬明细!$H:$H,"&lt;="&amp;S$10,薪酬明细!$A:$A,S$6)</f>
        <v>5</v>
      </c>
      <c r="T33" s="125">
        <f t="shared" si="82"/>
        <v>5</v>
      </c>
      <c r="U33" s="121">
        <f>SUMIFS(薪酬明细!$K:$K,薪酬明细!$D:$D,$E33,薪酬明细!$E:$E,$F33,薪酬明细!$H:$H,"&gt;="&amp;U$9,薪酬明细!$H:$H,"&lt;="&amp;U$10,薪酬明细!$A:$A,U$6)/MONTH($G$3)</f>
        <v>5</v>
      </c>
      <c r="V33" s="121">
        <f>SUMIFS(薪酬明细!$K:$K,薪酬明细!$D:$D,$E33,薪酬明细!$E:$E,$F33,薪酬明细!$H:$H,"&gt;="&amp;V$9,薪酬明细!$H:$H,"&lt;="&amp;V$10,薪酬明细!$A:$A,V$6)</f>
        <v>5</v>
      </c>
      <c r="W33" s="121">
        <f>SUMIFS(薪酬明细!$K:$K,薪酬明细!$D:$D,$E33,薪酬明细!$E:$E,$F33,薪酬明细!$H:$H,"&gt;="&amp;W$9,薪酬明细!$H:$H,"&lt;="&amp;W$10,薪酬明细!$A:$A,W$6)</f>
        <v>5</v>
      </c>
      <c r="X33" s="121">
        <f>SUMIFS(薪酬明细!$K:$K,薪酬明细!$D:$D,$E33,薪酬明细!$E:$E,$F33,薪酬明细!$H:$H,"&gt;="&amp;X$9,薪酬明细!$H:$H,"&lt;="&amp;X$10,薪酬明细!$A:$A,X$6)</f>
        <v>5</v>
      </c>
      <c r="Y33" s="121">
        <f>SUMIFS(薪酬明细!$K:$K,薪酬明细!$D:$D,$E33,薪酬明细!$E:$E,$F33,薪酬明细!$H:$H,"&gt;="&amp;Y$9,薪酬明细!$H:$H,"&lt;="&amp;Y$10,薪酬明细!$A:$A,Y$6)</f>
        <v>5</v>
      </c>
      <c r="Z33" s="121">
        <f>SUMIFS(薪酬明细!$K:$K,薪酬明细!$D:$D,$E33,薪酬明细!$E:$E,$F33,薪酬明细!$H:$H,"&gt;="&amp;Z$9,薪酬明细!$H:$H,"&lt;="&amp;Z$10,薪酬明细!$A:$A,Z$6)</f>
        <v>5</v>
      </c>
      <c r="AA33" s="121">
        <f>SUMIFS(薪酬明细!$K:$K,薪酬明细!$D:$D,$E33,薪酬明细!$E:$E,$F33,薪酬明细!$H:$H,"&gt;="&amp;AA$9,薪酬明细!$H:$H,"&lt;="&amp;AA$10,薪酬明细!$A:$A,AA$6)</f>
        <v>5</v>
      </c>
      <c r="AB33" s="121">
        <f>SUMIFS(薪酬明细!$K:$K,薪酬明细!$D:$D,$E33,薪酬明细!$E:$E,$F33,薪酬明细!$H:$H,"&gt;="&amp;AB$9,薪酬明细!$H:$H,"&lt;="&amp;AB$10,薪酬明细!$A:$A,AB$6)</f>
        <v>5</v>
      </c>
      <c r="AC33" s="121">
        <f>SUMIFS(薪酬明细!$K:$K,薪酬明细!$D:$D,$E33,薪酬明细!$E:$E,$F33,薪酬明细!$H:$H,"&gt;="&amp;AC$9,薪酬明细!$H:$H,"&lt;="&amp;AC$10,薪酬明细!$A:$A,AC$6)</f>
        <v>5</v>
      </c>
      <c r="AD33" s="121">
        <f>SUMIFS(薪酬明细!$K:$K,薪酬明细!$D:$D,$E33,薪酬明细!$E:$E,$F33,薪酬明细!$H:$H,"&gt;="&amp;AD$9,薪酬明细!$H:$H,"&lt;="&amp;AD$10,薪酬明细!$A:$A,AD$6)</f>
        <v>5</v>
      </c>
      <c r="AE33" s="121">
        <f>SUMIFS(薪酬明细!$K:$K,薪酬明细!$D:$D,$E33,薪酬明细!$E:$E,$F33,薪酬明细!$H:$H,"&gt;="&amp;AE$9,薪酬明细!$H:$H,"&lt;="&amp;AE$10,薪酬明细!$A:$A,AE$6)</f>
        <v>0</v>
      </c>
      <c r="AF33" s="121">
        <f>SUMIFS(薪酬明细!$K:$K,薪酬明细!$D:$D,$E33,薪酬明细!$E:$E,$F33,薪酬明细!$H:$H,"&gt;="&amp;AF$9,薪酬明细!$H:$H,"&lt;="&amp;AF$10,薪酬明细!$A:$A,AF$6)</f>
        <v>0</v>
      </c>
      <c r="AG33" s="121">
        <f>SUMIFS(薪酬明细!$K:$K,薪酬明细!$D:$D,$E33,薪酬明细!$E:$E,$F33,薪酬明细!$H:$H,"&gt;="&amp;AG$9,薪酬明细!$H:$H,"&lt;="&amp;AG$10,薪酬明细!$A:$A,AG$6)</f>
        <v>0</v>
      </c>
      <c r="AH33" s="121">
        <f>SUMIFS(薪酬明细!$K:$K,薪酬明细!$D:$D,$E33,薪酬明细!$E:$E,$F33,薪酬明细!$H:$H,"&gt;="&amp;AH$9,薪酬明细!$H:$H,"&lt;="&amp;AH$10,薪酬明细!$A:$A,AH$6)/(12-MONTH($G$3))</f>
        <v>5</v>
      </c>
      <c r="AI33" s="121">
        <f>SUMIFS(薪酬明细!$K:$K,薪酬明细!$D:$D,$E33,薪酬明细!$E:$E,$F33,薪酬明细!$H:$H,"&gt;="&amp;AI$9,薪酬明细!$H:$H,"&lt;="&amp;AI$10,薪酬明细!$A:$A,AI$6)</f>
        <v>0</v>
      </c>
      <c r="AJ33" s="121">
        <f>SUMIFS(薪酬明细!$K:$K,薪酬明细!$D:$D,$E33,薪酬明细!$E:$E,$F33,薪酬明细!$H:$H,"&gt;="&amp;AJ$9,薪酬明细!$H:$H,"&lt;="&amp;AJ$10,薪酬明细!$A:$A,AJ$6)</f>
        <v>0</v>
      </c>
      <c r="AK33" s="121">
        <f>SUMIFS(薪酬明细!$K:$K,薪酬明细!$D:$D,$E33,薪酬明细!$E:$E,$F33,薪酬明细!$H:$H,"&gt;="&amp;AK$9,薪酬明细!$H:$H,"&lt;="&amp;AK$10,薪酬明细!$A:$A,AK$6)</f>
        <v>0</v>
      </c>
      <c r="AL33" s="121">
        <f>SUMIFS(薪酬明细!$K:$K,薪酬明细!$D:$D,$E33,薪酬明细!$E:$E,$F33,薪酬明细!$H:$H,"&gt;="&amp;AL$9,薪酬明细!$H:$H,"&lt;="&amp;AL$10,薪酬明细!$A:$A,AL$6)</f>
        <v>0</v>
      </c>
      <c r="AM33" s="121">
        <f>SUMIFS(薪酬明细!$K:$K,薪酬明细!$D:$D,$E33,薪酬明细!$E:$E,$F33,薪酬明细!$H:$H,"&gt;="&amp;AM$9,薪酬明细!$H:$H,"&lt;="&amp;AM$10,薪酬明细!$A:$A,AM$6)</f>
        <v>0</v>
      </c>
      <c r="AN33" s="121">
        <f>SUMIFS(薪酬明细!$K:$K,薪酬明细!$D:$D,$E33,薪酬明细!$E:$E,$F33,薪酬明细!$H:$H,"&gt;="&amp;AN$9,薪酬明细!$H:$H,"&lt;="&amp;AN$10,薪酬明细!$A:$A,AN$6)</f>
        <v>0</v>
      </c>
      <c r="AO33" s="121">
        <f>SUMIFS(薪酬明细!$K:$K,薪酬明细!$D:$D,$E33,薪酬明细!$E:$E,$F33,薪酬明细!$H:$H,"&gt;="&amp;AO$9,薪酬明细!$H:$H,"&lt;="&amp;AO$10,薪酬明细!$A:$A,AO$6)</f>
        <v>0</v>
      </c>
      <c r="AP33" s="121">
        <f>SUMIFS(薪酬明细!$K:$K,薪酬明细!$D:$D,$E33,薪酬明细!$E:$E,$F33,薪酬明细!$H:$H,"&gt;="&amp;AP$9,薪酬明细!$H:$H,"&lt;="&amp;AP$10,薪酬明细!$A:$A,AP$6)</f>
        <v>0</v>
      </c>
      <c r="AQ33" s="121">
        <f>SUMIFS(薪酬明细!$K:$K,薪酬明细!$D:$D,$E33,薪酬明细!$E:$E,$F33,薪酬明细!$H:$H,"&gt;="&amp;AQ$9,薪酬明细!$H:$H,"&lt;="&amp;AQ$10,薪酬明细!$A:$A,AQ$6)</f>
        <v>0</v>
      </c>
      <c r="AR33" s="121">
        <f>SUMIFS(薪酬明细!$K:$K,薪酬明细!$D:$D,$E33,薪酬明细!$E:$E,$F33,薪酬明细!$H:$H,"&gt;="&amp;AR$9,薪酬明细!$H:$H,"&lt;="&amp;AR$10,薪酬明细!$A:$A,AR$6)</f>
        <v>5</v>
      </c>
      <c r="AS33" s="121">
        <f>SUMIFS(薪酬明细!$K:$K,薪酬明细!$D:$D,$E33,薪酬明细!$E:$E,$F33,薪酬明细!$H:$H,"&gt;="&amp;AS$9,薪酬明细!$H:$H,"&lt;="&amp;AS$10,薪酬明细!$A:$A,AS$6)</f>
        <v>5</v>
      </c>
      <c r="AT33" s="121">
        <f>SUMIFS(薪酬明细!$K:$K,薪酬明细!$D:$D,$E33,薪酬明细!$E:$E,$F33,薪酬明细!$H:$H,"&gt;="&amp;AT$9,薪酬明细!$H:$H,"&lt;="&amp;AT$10,薪酬明细!$A:$A,AT$6)</f>
        <v>5</v>
      </c>
      <c r="AU33" s="121">
        <f>SUMIFS(薪酬明细!$K:$K,薪酬明细!$D:$D,$E33,薪酬明细!$E:$E,$F33,薪酬明细!$H:$H,"&gt;="&amp;AU$9,薪酬明细!$H:$H,"&lt;="&amp;AU$10,薪酬明细!$A:$A,AU$6)/12</f>
        <v>5</v>
      </c>
      <c r="AV33" s="121">
        <f>SUMIFS(薪酬明细!$K:$K,薪酬明细!$D:$D,$E33,薪酬明细!$E:$E,$F33,薪酬明细!$H:$H,"&gt;="&amp;AV$9,薪酬明细!$H:$H,"&lt;="&amp;AV$10,薪酬明细!$A:$A,AV$6)</f>
        <v>5</v>
      </c>
      <c r="AW33" s="121">
        <f>SUMIFS(薪酬明细!$K:$K,薪酬明细!$D:$D,$E33,薪酬明细!$E:$E,$F33,薪酬明细!$H:$H,"&gt;="&amp;AW$9,薪酬明细!$H:$H,"&lt;="&amp;AW$10,薪酬明细!$A:$A,AW$6)</f>
        <v>5</v>
      </c>
      <c r="AX33" s="121">
        <f>SUMIFS(薪酬明细!$K:$K,薪酬明细!$D:$D,$E33,薪酬明细!$E:$E,$F33,薪酬明细!$H:$H,"&gt;="&amp;AX$9,薪酬明细!$H:$H,"&lt;="&amp;AX$10,薪酬明细!$A:$A,AX$6)</f>
        <v>5</v>
      </c>
      <c r="AY33" s="121">
        <f>SUMIFS(薪酬明细!$K:$K,薪酬明细!$D:$D,$E33,薪酬明细!$E:$E,$F33,薪酬明细!$H:$H,"&gt;="&amp;AY$9,薪酬明细!$H:$H,"&lt;="&amp;AY$10,薪酬明细!$A:$A,AY$6)</f>
        <v>5</v>
      </c>
      <c r="AZ33" s="121">
        <f>SUMIFS(薪酬明细!$K:$K,薪酬明细!$D:$D,$E33,薪酬明细!$E:$E,$F33,薪酬明细!$H:$H,"&gt;="&amp;AZ$9,薪酬明细!$H:$H,"&lt;="&amp;AZ$10,薪酬明细!$A:$A,AZ$6)</f>
        <v>5</v>
      </c>
      <c r="BA33" s="121">
        <f>SUMIFS(薪酬明细!$K:$K,薪酬明细!$D:$D,$E33,薪酬明细!$E:$E,$F33,薪酬明细!$H:$H,"&gt;="&amp;BA$9,薪酬明细!$H:$H,"&lt;="&amp;BA$10,薪酬明细!$A:$A,BA$6)</f>
        <v>5</v>
      </c>
      <c r="BB33" s="121">
        <f>SUMIFS(薪酬明细!$K:$K,薪酬明细!$D:$D,$E33,薪酬明细!$E:$E,$F33,薪酬明细!$H:$H,"&gt;="&amp;BB$9,薪酬明细!$H:$H,"&lt;="&amp;BB$10,薪酬明细!$A:$A,BB$6)</f>
        <v>5</v>
      </c>
      <c r="BC33" s="121">
        <f>SUMIFS(薪酬明细!$K:$K,薪酬明细!$D:$D,$E33,薪酬明细!$E:$E,$F33,薪酬明细!$H:$H,"&gt;="&amp;BC$9,薪酬明细!$H:$H,"&lt;="&amp;BC$10,薪酬明细!$A:$A,BC$6)</f>
        <v>5</v>
      </c>
      <c r="BD33" s="121">
        <f>SUMIFS(薪酬明细!$K:$K,薪酬明细!$D:$D,$E33,薪酬明细!$E:$E,$F33,薪酬明细!$H:$H,"&gt;="&amp;BD$9,薪酬明细!$H:$H,"&lt;="&amp;BD$10,薪酬明细!$A:$A,BD$6)</f>
        <v>5</v>
      </c>
      <c r="BE33" s="121">
        <f>SUMIFS(薪酬明细!$K:$K,薪酬明细!$D:$D,$E33,薪酬明细!$E:$E,$F33,薪酬明细!$H:$H,"&gt;="&amp;BE$9,薪酬明细!$H:$H,"&lt;="&amp;BE$10,薪酬明细!$A:$A,BE$6)</f>
        <v>5</v>
      </c>
      <c r="BF33" s="121">
        <f>SUMIFS(薪酬明细!$K:$K,薪酬明细!$D:$D,$E33,薪酬明细!$E:$E,$F33,薪酬明细!$H:$H,"&gt;="&amp;BF$9,薪酬明细!$H:$H,"&lt;="&amp;BF$10,薪酬明细!$A:$A,BF$6)</f>
        <v>5</v>
      </c>
      <c r="BG33" s="121">
        <f>SUMIFS(薪酬明细!$K:$K,薪酬明细!$D:$D,$E33,薪酬明细!$E:$E,$F33,薪酬明细!$H:$H,"&gt;="&amp;BG$9,薪酬明细!$H:$H,"&lt;="&amp;BG$10,薪酬明细!$A:$A,BG$6)</f>
        <v>5</v>
      </c>
    </row>
    <row r="34" ht="16.2" spans="3:59">
      <c r="C34" s="42"/>
      <c r="D34" s="42" t="s">
        <v>85</v>
      </c>
      <c r="E34" s="116" t="str">
        <f t="shared" si="81"/>
        <v>创新中心</v>
      </c>
      <c r="F34" s="116" t="str">
        <f t="shared" si="83"/>
        <v>XX
孵化业务</v>
      </c>
      <c r="G34" s="121">
        <f>SUMIFS(薪酬明细!$K:$K,薪酬明细!$D:$D,$E34,薪酬明细!$E:$E,$F34,薪酬明细!$H:$H,"&gt;="&amp;G$9,薪酬明细!$H:$H,"&lt;="&amp;G$10,薪酬明细!$A:$A,G$6)/12</f>
        <v>7</v>
      </c>
      <c r="H34" s="121">
        <f>SUMIFS(薪酬明细!$K:$K,薪酬明细!$D:$D,$E34,薪酬明细!$E:$E,$F34,薪酬明细!$H:$H,"&gt;="&amp;H$9,薪酬明细!$H:$H,"&lt;="&amp;H$10,薪酬明细!$A:$A,H$6)</f>
        <v>7</v>
      </c>
      <c r="I34" s="121">
        <f>SUMIFS(薪酬明细!$K:$K,薪酬明细!$D:$D,$E34,薪酬明细!$E:$E,$F34,薪酬明细!$H:$H,"&gt;="&amp;I$9,薪酬明细!$H:$H,"&lt;="&amp;I$10,薪酬明细!$A:$A,I$6)</f>
        <v>7</v>
      </c>
      <c r="J34" s="121">
        <f>SUMIFS(薪酬明细!$K:$K,薪酬明细!$D:$D,$E34,薪酬明细!$E:$E,$F34,薪酬明细!$H:$H,"&gt;="&amp;J$9,薪酬明细!$H:$H,"&lt;="&amp;J$10,薪酬明细!$A:$A,J$6)</f>
        <v>7</v>
      </c>
      <c r="K34" s="121">
        <f>SUMIFS(薪酬明细!$K:$K,薪酬明细!$D:$D,$E34,薪酬明细!$E:$E,$F34,薪酬明细!$H:$H,"&gt;="&amp;K$9,薪酬明细!$H:$H,"&lt;="&amp;K$10,薪酬明细!$A:$A,K$6)</f>
        <v>7</v>
      </c>
      <c r="L34" s="121">
        <f>SUMIFS(薪酬明细!$K:$K,薪酬明细!$D:$D,$E34,薪酬明细!$E:$E,$F34,薪酬明细!$H:$H,"&gt;="&amp;L$9,薪酬明细!$H:$H,"&lt;="&amp;L$10,薪酬明细!$A:$A,L$6)</f>
        <v>7</v>
      </c>
      <c r="M34" s="121">
        <f>SUMIFS(薪酬明细!$K:$K,薪酬明细!$D:$D,$E34,薪酬明细!$E:$E,$F34,薪酬明细!$H:$H,"&gt;="&amp;M$9,薪酬明细!$H:$H,"&lt;="&amp;M$10,薪酬明细!$A:$A,M$6)</f>
        <v>7</v>
      </c>
      <c r="N34" s="121">
        <f>SUMIFS(薪酬明细!$K:$K,薪酬明细!$D:$D,$E34,薪酬明细!$E:$E,$F34,薪酬明细!$H:$H,"&gt;="&amp;N$9,薪酬明细!$H:$H,"&lt;="&amp;N$10,薪酬明细!$A:$A,N$6)</f>
        <v>7</v>
      </c>
      <c r="O34" s="121">
        <f>SUMIFS(薪酬明细!$K:$K,薪酬明细!$D:$D,$E34,薪酬明细!$E:$E,$F34,薪酬明细!$H:$H,"&gt;="&amp;O$9,薪酬明细!$H:$H,"&lt;="&amp;O$10,薪酬明细!$A:$A,O$6)</f>
        <v>7</v>
      </c>
      <c r="P34" s="121">
        <f>SUMIFS(薪酬明细!$K:$K,薪酬明细!$D:$D,$E34,薪酬明细!$E:$E,$F34,薪酬明细!$H:$H,"&gt;="&amp;P$9,薪酬明细!$H:$H,"&lt;="&amp;P$10,薪酬明细!$A:$A,P$6)</f>
        <v>7</v>
      </c>
      <c r="Q34" s="121">
        <f>SUMIFS(薪酬明细!$K:$K,薪酬明细!$D:$D,$E34,薪酬明细!$E:$E,$F34,薪酬明细!$H:$H,"&gt;="&amp;Q$9,薪酬明细!$H:$H,"&lt;="&amp;Q$10,薪酬明细!$A:$A,Q$6)</f>
        <v>7</v>
      </c>
      <c r="R34" s="121">
        <f>SUMIFS(薪酬明细!$K:$K,薪酬明细!$D:$D,$E34,薪酬明细!$E:$E,$F34,薪酬明细!$H:$H,"&gt;="&amp;R$9,薪酬明细!$H:$H,"&lt;="&amp;R$10,薪酬明细!$A:$A,R$6)</f>
        <v>7</v>
      </c>
      <c r="S34" s="121">
        <f>SUMIFS(薪酬明细!$K:$K,薪酬明细!$D:$D,$E34,薪酬明细!$E:$E,$F34,薪酬明细!$H:$H,"&gt;="&amp;S$9,薪酬明细!$H:$H,"&lt;="&amp;S$10,薪酬明细!$A:$A,S$6)</f>
        <v>7</v>
      </c>
      <c r="T34" s="125">
        <f t="shared" si="82"/>
        <v>7</v>
      </c>
      <c r="U34" s="121">
        <f>SUMIFS(薪酬明细!$K:$K,薪酬明细!$D:$D,$E34,薪酬明细!$E:$E,$F34,薪酬明细!$H:$H,"&gt;="&amp;U$9,薪酬明细!$H:$H,"&lt;="&amp;U$10,薪酬明细!$A:$A,U$6)/MONTH($G$3)</f>
        <v>7</v>
      </c>
      <c r="V34" s="121">
        <f>SUMIFS(薪酬明细!$K:$K,薪酬明细!$D:$D,$E34,薪酬明细!$E:$E,$F34,薪酬明细!$H:$H,"&gt;="&amp;V$9,薪酬明细!$H:$H,"&lt;="&amp;V$10,薪酬明细!$A:$A,V$6)</f>
        <v>7</v>
      </c>
      <c r="W34" s="121">
        <f>SUMIFS(薪酬明细!$K:$K,薪酬明细!$D:$D,$E34,薪酬明细!$E:$E,$F34,薪酬明细!$H:$H,"&gt;="&amp;W$9,薪酬明细!$H:$H,"&lt;="&amp;W$10,薪酬明细!$A:$A,W$6)</f>
        <v>7</v>
      </c>
      <c r="X34" s="121">
        <f>SUMIFS(薪酬明细!$K:$K,薪酬明细!$D:$D,$E34,薪酬明细!$E:$E,$F34,薪酬明细!$H:$H,"&gt;="&amp;X$9,薪酬明细!$H:$H,"&lt;="&amp;X$10,薪酬明细!$A:$A,X$6)</f>
        <v>7</v>
      </c>
      <c r="Y34" s="121">
        <f>SUMIFS(薪酬明细!$K:$K,薪酬明细!$D:$D,$E34,薪酬明细!$E:$E,$F34,薪酬明细!$H:$H,"&gt;="&amp;Y$9,薪酬明细!$H:$H,"&lt;="&amp;Y$10,薪酬明细!$A:$A,Y$6)</f>
        <v>7</v>
      </c>
      <c r="Z34" s="121">
        <f>SUMIFS(薪酬明细!$K:$K,薪酬明细!$D:$D,$E34,薪酬明细!$E:$E,$F34,薪酬明细!$H:$H,"&gt;="&amp;Z$9,薪酬明细!$H:$H,"&lt;="&amp;Z$10,薪酬明细!$A:$A,Z$6)</f>
        <v>7</v>
      </c>
      <c r="AA34" s="121">
        <f>SUMIFS(薪酬明细!$K:$K,薪酬明细!$D:$D,$E34,薪酬明细!$E:$E,$F34,薪酬明细!$H:$H,"&gt;="&amp;AA$9,薪酬明细!$H:$H,"&lt;="&amp;AA$10,薪酬明细!$A:$A,AA$6)</f>
        <v>7</v>
      </c>
      <c r="AB34" s="121">
        <f>SUMIFS(薪酬明细!$K:$K,薪酬明细!$D:$D,$E34,薪酬明细!$E:$E,$F34,薪酬明细!$H:$H,"&gt;="&amp;AB$9,薪酬明细!$H:$H,"&lt;="&amp;AB$10,薪酬明细!$A:$A,AB$6)</f>
        <v>7</v>
      </c>
      <c r="AC34" s="121">
        <f>SUMIFS(薪酬明细!$K:$K,薪酬明细!$D:$D,$E34,薪酬明细!$E:$E,$F34,薪酬明细!$H:$H,"&gt;="&amp;AC$9,薪酬明细!$H:$H,"&lt;="&amp;AC$10,薪酬明细!$A:$A,AC$6)</f>
        <v>7</v>
      </c>
      <c r="AD34" s="121">
        <f>SUMIFS(薪酬明细!$K:$K,薪酬明细!$D:$D,$E34,薪酬明细!$E:$E,$F34,薪酬明细!$H:$H,"&gt;="&amp;AD$9,薪酬明细!$H:$H,"&lt;="&amp;AD$10,薪酬明细!$A:$A,AD$6)</f>
        <v>7</v>
      </c>
      <c r="AE34" s="121">
        <f>SUMIFS(薪酬明细!$K:$K,薪酬明细!$D:$D,$E34,薪酬明细!$E:$E,$F34,薪酬明细!$H:$H,"&gt;="&amp;AE$9,薪酬明细!$H:$H,"&lt;="&amp;AE$10,薪酬明细!$A:$A,AE$6)</f>
        <v>0</v>
      </c>
      <c r="AF34" s="121">
        <f>SUMIFS(薪酬明细!$K:$K,薪酬明细!$D:$D,$E34,薪酬明细!$E:$E,$F34,薪酬明细!$H:$H,"&gt;="&amp;AF$9,薪酬明细!$H:$H,"&lt;="&amp;AF$10,薪酬明细!$A:$A,AF$6)</f>
        <v>0</v>
      </c>
      <c r="AG34" s="121">
        <f>SUMIFS(薪酬明细!$K:$K,薪酬明细!$D:$D,$E34,薪酬明细!$E:$E,$F34,薪酬明细!$H:$H,"&gt;="&amp;AG$9,薪酬明细!$H:$H,"&lt;="&amp;AG$10,薪酬明细!$A:$A,AG$6)</f>
        <v>0</v>
      </c>
      <c r="AH34" s="121">
        <f>SUMIFS(薪酬明细!$K:$K,薪酬明细!$D:$D,$E34,薪酬明细!$E:$E,$F34,薪酬明细!$H:$H,"&gt;="&amp;AH$9,薪酬明细!$H:$H,"&lt;="&amp;AH$10,薪酬明细!$A:$A,AH$6)/(12-MONTH($G$3))</f>
        <v>7</v>
      </c>
      <c r="AI34" s="121">
        <f>SUMIFS(薪酬明细!$K:$K,薪酬明细!$D:$D,$E34,薪酬明细!$E:$E,$F34,薪酬明细!$H:$H,"&gt;="&amp;AI$9,薪酬明细!$H:$H,"&lt;="&amp;AI$10,薪酬明细!$A:$A,AI$6)</f>
        <v>0</v>
      </c>
      <c r="AJ34" s="121">
        <f>SUMIFS(薪酬明细!$K:$K,薪酬明细!$D:$D,$E34,薪酬明细!$E:$E,$F34,薪酬明细!$H:$H,"&gt;="&amp;AJ$9,薪酬明细!$H:$H,"&lt;="&amp;AJ$10,薪酬明细!$A:$A,AJ$6)</f>
        <v>0</v>
      </c>
      <c r="AK34" s="121">
        <f>SUMIFS(薪酬明细!$K:$K,薪酬明细!$D:$D,$E34,薪酬明细!$E:$E,$F34,薪酬明细!$H:$H,"&gt;="&amp;AK$9,薪酬明细!$H:$H,"&lt;="&amp;AK$10,薪酬明细!$A:$A,AK$6)</f>
        <v>0</v>
      </c>
      <c r="AL34" s="121">
        <f>SUMIFS(薪酬明细!$K:$K,薪酬明细!$D:$D,$E34,薪酬明细!$E:$E,$F34,薪酬明细!$H:$H,"&gt;="&amp;AL$9,薪酬明细!$H:$H,"&lt;="&amp;AL$10,薪酬明细!$A:$A,AL$6)</f>
        <v>0</v>
      </c>
      <c r="AM34" s="121">
        <f>SUMIFS(薪酬明细!$K:$K,薪酬明细!$D:$D,$E34,薪酬明细!$E:$E,$F34,薪酬明细!$H:$H,"&gt;="&amp;AM$9,薪酬明细!$H:$H,"&lt;="&amp;AM$10,薪酬明细!$A:$A,AM$6)</f>
        <v>0</v>
      </c>
      <c r="AN34" s="121">
        <f>SUMIFS(薪酬明细!$K:$K,薪酬明细!$D:$D,$E34,薪酬明细!$E:$E,$F34,薪酬明细!$H:$H,"&gt;="&amp;AN$9,薪酬明细!$H:$H,"&lt;="&amp;AN$10,薪酬明细!$A:$A,AN$6)</f>
        <v>0</v>
      </c>
      <c r="AO34" s="121">
        <f>SUMIFS(薪酬明细!$K:$K,薪酬明细!$D:$D,$E34,薪酬明细!$E:$E,$F34,薪酬明细!$H:$H,"&gt;="&amp;AO$9,薪酬明细!$H:$H,"&lt;="&amp;AO$10,薪酬明细!$A:$A,AO$6)</f>
        <v>0</v>
      </c>
      <c r="AP34" s="121">
        <f>SUMIFS(薪酬明细!$K:$K,薪酬明细!$D:$D,$E34,薪酬明细!$E:$E,$F34,薪酬明细!$H:$H,"&gt;="&amp;AP$9,薪酬明细!$H:$H,"&lt;="&amp;AP$10,薪酬明细!$A:$A,AP$6)</f>
        <v>0</v>
      </c>
      <c r="AQ34" s="121">
        <f>SUMIFS(薪酬明细!$K:$K,薪酬明细!$D:$D,$E34,薪酬明细!$E:$E,$F34,薪酬明细!$H:$H,"&gt;="&amp;AQ$9,薪酬明细!$H:$H,"&lt;="&amp;AQ$10,薪酬明细!$A:$A,AQ$6)</f>
        <v>0</v>
      </c>
      <c r="AR34" s="121">
        <f>SUMIFS(薪酬明细!$K:$K,薪酬明细!$D:$D,$E34,薪酬明细!$E:$E,$F34,薪酬明细!$H:$H,"&gt;="&amp;AR$9,薪酬明细!$H:$H,"&lt;="&amp;AR$10,薪酬明细!$A:$A,AR$6)</f>
        <v>7</v>
      </c>
      <c r="AS34" s="121">
        <f>SUMIFS(薪酬明细!$K:$K,薪酬明细!$D:$D,$E34,薪酬明细!$E:$E,$F34,薪酬明细!$H:$H,"&gt;="&amp;AS$9,薪酬明细!$H:$H,"&lt;="&amp;AS$10,薪酬明细!$A:$A,AS$6)</f>
        <v>7</v>
      </c>
      <c r="AT34" s="121">
        <f>SUMIFS(薪酬明细!$K:$K,薪酬明细!$D:$D,$E34,薪酬明细!$E:$E,$F34,薪酬明细!$H:$H,"&gt;="&amp;AT$9,薪酬明细!$H:$H,"&lt;="&amp;AT$10,薪酬明细!$A:$A,AT$6)</f>
        <v>7</v>
      </c>
      <c r="AU34" s="121">
        <f>SUMIFS(薪酬明细!$K:$K,薪酬明细!$D:$D,$E34,薪酬明细!$E:$E,$F34,薪酬明细!$H:$H,"&gt;="&amp;AU$9,薪酬明细!$H:$H,"&lt;="&amp;AU$10,薪酬明细!$A:$A,AU$6)/12</f>
        <v>7</v>
      </c>
      <c r="AV34" s="121">
        <f>SUMIFS(薪酬明细!$K:$K,薪酬明细!$D:$D,$E34,薪酬明细!$E:$E,$F34,薪酬明细!$H:$H,"&gt;="&amp;AV$9,薪酬明细!$H:$H,"&lt;="&amp;AV$10,薪酬明细!$A:$A,AV$6)</f>
        <v>7</v>
      </c>
      <c r="AW34" s="121">
        <f>SUMIFS(薪酬明细!$K:$K,薪酬明细!$D:$D,$E34,薪酬明细!$E:$E,$F34,薪酬明细!$H:$H,"&gt;="&amp;AW$9,薪酬明细!$H:$H,"&lt;="&amp;AW$10,薪酬明细!$A:$A,AW$6)</f>
        <v>7</v>
      </c>
      <c r="AX34" s="121">
        <f>SUMIFS(薪酬明细!$K:$K,薪酬明细!$D:$D,$E34,薪酬明细!$E:$E,$F34,薪酬明细!$H:$H,"&gt;="&amp;AX$9,薪酬明细!$H:$H,"&lt;="&amp;AX$10,薪酬明细!$A:$A,AX$6)</f>
        <v>7</v>
      </c>
      <c r="AY34" s="121">
        <f>SUMIFS(薪酬明细!$K:$K,薪酬明细!$D:$D,$E34,薪酬明细!$E:$E,$F34,薪酬明细!$H:$H,"&gt;="&amp;AY$9,薪酬明细!$H:$H,"&lt;="&amp;AY$10,薪酬明细!$A:$A,AY$6)</f>
        <v>7</v>
      </c>
      <c r="AZ34" s="121">
        <f>SUMIFS(薪酬明细!$K:$K,薪酬明细!$D:$D,$E34,薪酬明细!$E:$E,$F34,薪酬明细!$H:$H,"&gt;="&amp;AZ$9,薪酬明细!$H:$H,"&lt;="&amp;AZ$10,薪酬明细!$A:$A,AZ$6)</f>
        <v>7</v>
      </c>
      <c r="BA34" s="121">
        <f>SUMIFS(薪酬明细!$K:$K,薪酬明细!$D:$D,$E34,薪酬明细!$E:$E,$F34,薪酬明细!$H:$H,"&gt;="&amp;BA$9,薪酬明细!$H:$H,"&lt;="&amp;BA$10,薪酬明细!$A:$A,BA$6)</f>
        <v>7</v>
      </c>
      <c r="BB34" s="121">
        <f>SUMIFS(薪酬明细!$K:$K,薪酬明细!$D:$D,$E34,薪酬明细!$E:$E,$F34,薪酬明细!$H:$H,"&gt;="&amp;BB$9,薪酬明细!$H:$H,"&lt;="&amp;BB$10,薪酬明细!$A:$A,BB$6)</f>
        <v>7</v>
      </c>
      <c r="BC34" s="121">
        <f>SUMIFS(薪酬明细!$K:$K,薪酬明细!$D:$D,$E34,薪酬明细!$E:$E,$F34,薪酬明细!$H:$H,"&gt;="&amp;BC$9,薪酬明细!$H:$H,"&lt;="&amp;BC$10,薪酬明细!$A:$A,BC$6)</f>
        <v>7</v>
      </c>
      <c r="BD34" s="121">
        <f>SUMIFS(薪酬明细!$K:$K,薪酬明细!$D:$D,$E34,薪酬明细!$E:$E,$F34,薪酬明细!$H:$H,"&gt;="&amp;BD$9,薪酬明细!$H:$H,"&lt;="&amp;BD$10,薪酬明细!$A:$A,BD$6)</f>
        <v>7</v>
      </c>
      <c r="BE34" s="121">
        <f>SUMIFS(薪酬明细!$K:$K,薪酬明细!$D:$D,$E34,薪酬明细!$E:$E,$F34,薪酬明细!$H:$H,"&gt;="&amp;BE$9,薪酬明细!$H:$H,"&lt;="&amp;BE$10,薪酬明细!$A:$A,BE$6)</f>
        <v>7</v>
      </c>
      <c r="BF34" s="121">
        <f>SUMIFS(薪酬明细!$K:$K,薪酬明细!$D:$D,$E34,薪酬明细!$E:$E,$F34,薪酬明细!$H:$H,"&gt;="&amp;BF$9,薪酬明细!$H:$H,"&lt;="&amp;BF$10,薪酬明细!$A:$A,BF$6)</f>
        <v>7</v>
      </c>
      <c r="BG34" s="121">
        <f>SUMIFS(薪酬明细!$K:$K,薪酬明细!$D:$D,$E34,薪酬明细!$E:$E,$F34,薪酬明细!$H:$H,"&gt;="&amp;BG$9,薪酬明细!$H:$H,"&lt;="&amp;BG$10,薪酬明细!$A:$A,BG$6)</f>
        <v>7</v>
      </c>
    </row>
    <row r="35" ht="16.2" spans="3:59">
      <c r="C35" s="42" t="s">
        <v>86</v>
      </c>
      <c r="D35" s="42"/>
      <c r="E35" s="116" t="str">
        <f t="shared" si="81"/>
        <v>支持中心</v>
      </c>
      <c r="F35" s="116" t="str">
        <f t="shared" si="83"/>
        <v>*</v>
      </c>
      <c r="G35" s="121">
        <f>SUMIFS(薪酬明细!$K:$K,薪酬明细!$D:$D,$E35,薪酬明细!$E:$E,$F35,薪酬明细!$H:$H,"&gt;="&amp;G$9,薪酬明细!$H:$H,"&lt;="&amp;G$10,薪酬明细!$A:$A,G$6)/12</f>
        <v>17</v>
      </c>
      <c r="H35" s="121">
        <f>SUMIFS(薪酬明细!$K:$K,薪酬明细!$D:$D,$E35,薪酬明细!$E:$E,$F35,薪酬明细!$H:$H,"&gt;="&amp;H$9,薪酬明细!$H:$H,"&lt;="&amp;H$10,薪酬明细!$A:$A,H$6)</f>
        <v>17</v>
      </c>
      <c r="I35" s="121">
        <f>SUMIFS(薪酬明细!$K:$K,薪酬明细!$D:$D,$E35,薪酬明细!$E:$E,$F35,薪酬明细!$H:$H,"&gt;="&amp;I$9,薪酬明细!$H:$H,"&lt;="&amp;I$10,薪酬明细!$A:$A,I$6)</f>
        <v>17</v>
      </c>
      <c r="J35" s="121">
        <f>SUMIFS(薪酬明细!$K:$K,薪酬明细!$D:$D,$E35,薪酬明细!$E:$E,$F35,薪酬明细!$H:$H,"&gt;="&amp;J$9,薪酬明细!$H:$H,"&lt;="&amp;J$10,薪酬明细!$A:$A,J$6)</f>
        <v>17</v>
      </c>
      <c r="K35" s="121">
        <f>SUMIFS(薪酬明细!$K:$K,薪酬明细!$D:$D,$E35,薪酬明细!$E:$E,$F35,薪酬明细!$H:$H,"&gt;="&amp;K$9,薪酬明细!$H:$H,"&lt;="&amp;K$10,薪酬明细!$A:$A,K$6)</f>
        <v>17</v>
      </c>
      <c r="L35" s="121">
        <f>SUMIFS(薪酬明细!$K:$K,薪酬明细!$D:$D,$E35,薪酬明细!$E:$E,$F35,薪酬明细!$H:$H,"&gt;="&amp;L$9,薪酬明细!$H:$H,"&lt;="&amp;L$10,薪酬明细!$A:$A,L$6)</f>
        <v>17</v>
      </c>
      <c r="M35" s="121">
        <f>SUMIFS(薪酬明细!$K:$K,薪酬明细!$D:$D,$E35,薪酬明细!$E:$E,$F35,薪酬明细!$H:$H,"&gt;="&amp;M$9,薪酬明细!$H:$H,"&lt;="&amp;M$10,薪酬明细!$A:$A,M$6)</f>
        <v>17</v>
      </c>
      <c r="N35" s="121">
        <f>SUMIFS(薪酬明细!$K:$K,薪酬明细!$D:$D,$E35,薪酬明细!$E:$E,$F35,薪酬明细!$H:$H,"&gt;="&amp;N$9,薪酬明细!$H:$H,"&lt;="&amp;N$10,薪酬明细!$A:$A,N$6)</f>
        <v>17</v>
      </c>
      <c r="O35" s="121">
        <f>SUMIFS(薪酬明细!$K:$K,薪酬明细!$D:$D,$E35,薪酬明细!$E:$E,$F35,薪酬明细!$H:$H,"&gt;="&amp;O$9,薪酬明细!$H:$H,"&lt;="&amp;O$10,薪酬明细!$A:$A,O$6)</f>
        <v>17</v>
      </c>
      <c r="P35" s="121">
        <f>SUMIFS(薪酬明细!$K:$K,薪酬明细!$D:$D,$E35,薪酬明细!$E:$E,$F35,薪酬明细!$H:$H,"&gt;="&amp;P$9,薪酬明细!$H:$H,"&lt;="&amp;P$10,薪酬明细!$A:$A,P$6)</f>
        <v>17</v>
      </c>
      <c r="Q35" s="121">
        <f>SUMIFS(薪酬明细!$K:$K,薪酬明细!$D:$D,$E35,薪酬明细!$E:$E,$F35,薪酬明细!$H:$H,"&gt;="&amp;Q$9,薪酬明细!$H:$H,"&lt;="&amp;Q$10,薪酬明细!$A:$A,Q$6)</f>
        <v>17</v>
      </c>
      <c r="R35" s="121">
        <f>SUMIFS(薪酬明细!$K:$K,薪酬明细!$D:$D,$E35,薪酬明细!$E:$E,$F35,薪酬明细!$H:$H,"&gt;="&amp;R$9,薪酬明细!$H:$H,"&lt;="&amp;R$10,薪酬明细!$A:$A,R$6)</f>
        <v>17</v>
      </c>
      <c r="S35" s="121">
        <f>SUMIFS(薪酬明细!$K:$K,薪酬明细!$D:$D,$E35,薪酬明细!$E:$E,$F35,薪酬明细!$H:$H,"&gt;="&amp;S$9,薪酬明细!$H:$H,"&lt;="&amp;S$10,薪酬明细!$A:$A,S$6)</f>
        <v>17</v>
      </c>
      <c r="T35" s="125">
        <f t="shared" si="82"/>
        <v>17</v>
      </c>
      <c r="U35" s="121">
        <f>SUMIFS(薪酬明细!$K:$K,薪酬明细!$D:$D,$E35,薪酬明细!$E:$E,$F35,薪酬明细!$H:$H,"&gt;="&amp;U$9,薪酬明细!$H:$H,"&lt;="&amp;U$10,薪酬明细!$A:$A,U$6)/MONTH($G$3)</f>
        <v>17</v>
      </c>
      <c r="V35" s="121">
        <f>SUMIFS(薪酬明细!$K:$K,薪酬明细!$D:$D,$E35,薪酬明细!$E:$E,$F35,薪酬明细!$H:$H,"&gt;="&amp;V$9,薪酬明细!$H:$H,"&lt;="&amp;V$10,薪酬明细!$A:$A,V$6)</f>
        <v>17</v>
      </c>
      <c r="W35" s="121">
        <f>SUMIFS(薪酬明细!$K:$K,薪酬明细!$D:$D,$E35,薪酬明细!$E:$E,$F35,薪酬明细!$H:$H,"&gt;="&amp;W$9,薪酬明细!$H:$H,"&lt;="&amp;W$10,薪酬明细!$A:$A,W$6)</f>
        <v>17</v>
      </c>
      <c r="X35" s="121">
        <f>SUMIFS(薪酬明细!$K:$K,薪酬明细!$D:$D,$E35,薪酬明细!$E:$E,$F35,薪酬明细!$H:$H,"&gt;="&amp;X$9,薪酬明细!$H:$H,"&lt;="&amp;X$10,薪酬明细!$A:$A,X$6)</f>
        <v>17</v>
      </c>
      <c r="Y35" s="121">
        <f>SUMIFS(薪酬明细!$K:$K,薪酬明细!$D:$D,$E35,薪酬明细!$E:$E,$F35,薪酬明细!$H:$H,"&gt;="&amp;Y$9,薪酬明细!$H:$H,"&lt;="&amp;Y$10,薪酬明细!$A:$A,Y$6)</f>
        <v>17</v>
      </c>
      <c r="Z35" s="121">
        <f>SUMIFS(薪酬明细!$K:$K,薪酬明细!$D:$D,$E35,薪酬明细!$E:$E,$F35,薪酬明细!$H:$H,"&gt;="&amp;Z$9,薪酬明细!$H:$H,"&lt;="&amp;Z$10,薪酬明细!$A:$A,Z$6)</f>
        <v>17</v>
      </c>
      <c r="AA35" s="121">
        <f>SUMIFS(薪酬明细!$K:$K,薪酬明细!$D:$D,$E35,薪酬明细!$E:$E,$F35,薪酬明细!$H:$H,"&gt;="&amp;AA$9,薪酬明细!$H:$H,"&lt;="&amp;AA$10,薪酬明细!$A:$A,AA$6)</f>
        <v>17</v>
      </c>
      <c r="AB35" s="121">
        <f>SUMIFS(薪酬明细!$K:$K,薪酬明细!$D:$D,$E35,薪酬明细!$E:$E,$F35,薪酬明细!$H:$H,"&gt;="&amp;AB$9,薪酬明细!$H:$H,"&lt;="&amp;AB$10,薪酬明细!$A:$A,AB$6)</f>
        <v>17</v>
      </c>
      <c r="AC35" s="121">
        <f>SUMIFS(薪酬明细!$K:$K,薪酬明细!$D:$D,$E35,薪酬明细!$E:$E,$F35,薪酬明细!$H:$H,"&gt;="&amp;AC$9,薪酬明细!$H:$H,"&lt;="&amp;AC$10,薪酬明细!$A:$A,AC$6)</f>
        <v>17</v>
      </c>
      <c r="AD35" s="121">
        <f>SUMIFS(薪酬明细!$K:$K,薪酬明细!$D:$D,$E35,薪酬明细!$E:$E,$F35,薪酬明细!$H:$H,"&gt;="&amp;AD$9,薪酬明细!$H:$H,"&lt;="&amp;AD$10,薪酬明细!$A:$A,AD$6)</f>
        <v>17</v>
      </c>
      <c r="AE35" s="121">
        <f>SUMIFS(薪酬明细!$K:$K,薪酬明细!$D:$D,$E35,薪酬明细!$E:$E,$F35,薪酬明细!$H:$H,"&gt;="&amp;AE$9,薪酬明细!$H:$H,"&lt;="&amp;AE$10,薪酬明细!$A:$A,AE$6)</f>
        <v>0</v>
      </c>
      <c r="AF35" s="121">
        <f>SUMIFS(薪酬明细!$K:$K,薪酬明细!$D:$D,$E35,薪酬明细!$E:$E,$F35,薪酬明细!$H:$H,"&gt;="&amp;AF$9,薪酬明细!$H:$H,"&lt;="&amp;AF$10,薪酬明细!$A:$A,AF$6)</f>
        <v>0</v>
      </c>
      <c r="AG35" s="121">
        <f>SUMIFS(薪酬明细!$K:$K,薪酬明细!$D:$D,$E35,薪酬明细!$E:$E,$F35,薪酬明细!$H:$H,"&gt;="&amp;AG$9,薪酬明细!$H:$H,"&lt;="&amp;AG$10,薪酬明细!$A:$A,AG$6)</f>
        <v>0</v>
      </c>
      <c r="AH35" s="121">
        <f>SUMIFS(薪酬明细!$K:$K,薪酬明细!$D:$D,$E35,薪酬明细!$E:$E,$F35,薪酬明细!$H:$H,"&gt;="&amp;AH$9,薪酬明细!$H:$H,"&lt;="&amp;AH$10,薪酬明细!$A:$A,AH$6)/(12-MONTH($G$3))</f>
        <v>17</v>
      </c>
      <c r="AI35" s="121">
        <f>SUMIFS(薪酬明细!$K:$K,薪酬明细!$D:$D,$E35,薪酬明细!$E:$E,$F35,薪酬明细!$H:$H,"&gt;="&amp;AI$9,薪酬明细!$H:$H,"&lt;="&amp;AI$10,薪酬明细!$A:$A,AI$6)</f>
        <v>0</v>
      </c>
      <c r="AJ35" s="121">
        <f>SUMIFS(薪酬明细!$K:$K,薪酬明细!$D:$D,$E35,薪酬明细!$E:$E,$F35,薪酬明细!$H:$H,"&gt;="&amp;AJ$9,薪酬明细!$H:$H,"&lt;="&amp;AJ$10,薪酬明细!$A:$A,AJ$6)</f>
        <v>0</v>
      </c>
      <c r="AK35" s="121">
        <f>SUMIFS(薪酬明细!$K:$K,薪酬明细!$D:$D,$E35,薪酬明细!$E:$E,$F35,薪酬明细!$H:$H,"&gt;="&amp;AK$9,薪酬明细!$H:$H,"&lt;="&amp;AK$10,薪酬明细!$A:$A,AK$6)</f>
        <v>0</v>
      </c>
      <c r="AL35" s="121">
        <f>SUMIFS(薪酬明细!$K:$K,薪酬明细!$D:$D,$E35,薪酬明细!$E:$E,$F35,薪酬明细!$H:$H,"&gt;="&amp;AL$9,薪酬明细!$H:$H,"&lt;="&amp;AL$10,薪酬明细!$A:$A,AL$6)</f>
        <v>0</v>
      </c>
      <c r="AM35" s="121">
        <f>SUMIFS(薪酬明细!$K:$K,薪酬明细!$D:$D,$E35,薪酬明细!$E:$E,$F35,薪酬明细!$H:$H,"&gt;="&amp;AM$9,薪酬明细!$H:$H,"&lt;="&amp;AM$10,薪酬明细!$A:$A,AM$6)</f>
        <v>0</v>
      </c>
      <c r="AN35" s="121">
        <f>SUMIFS(薪酬明细!$K:$K,薪酬明细!$D:$D,$E35,薪酬明细!$E:$E,$F35,薪酬明细!$H:$H,"&gt;="&amp;AN$9,薪酬明细!$H:$H,"&lt;="&amp;AN$10,薪酬明细!$A:$A,AN$6)</f>
        <v>0</v>
      </c>
      <c r="AO35" s="121">
        <f>SUMIFS(薪酬明细!$K:$K,薪酬明细!$D:$D,$E35,薪酬明细!$E:$E,$F35,薪酬明细!$H:$H,"&gt;="&amp;AO$9,薪酬明细!$H:$H,"&lt;="&amp;AO$10,薪酬明细!$A:$A,AO$6)</f>
        <v>0</v>
      </c>
      <c r="AP35" s="121">
        <f>SUMIFS(薪酬明细!$K:$K,薪酬明细!$D:$D,$E35,薪酬明细!$E:$E,$F35,薪酬明细!$H:$H,"&gt;="&amp;AP$9,薪酬明细!$H:$H,"&lt;="&amp;AP$10,薪酬明细!$A:$A,AP$6)</f>
        <v>0</v>
      </c>
      <c r="AQ35" s="121">
        <f>SUMIFS(薪酬明细!$K:$K,薪酬明细!$D:$D,$E35,薪酬明细!$E:$E,$F35,薪酬明细!$H:$H,"&gt;="&amp;AQ$9,薪酬明细!$H:$H,"&lt;="&amp;AQ$10,薪酬明细!$A:$A,AQ$6)</f>
        <v>0</v>
      </c>
      <c r="AR35" s="121">
        <f>SUMIFS(薪酬明细!$K:$K,薪酬明细!$D:$D,$E35,薪酬明细!$E:$E,$F35,薪酬明细!$H:$H,"&gt;="&amp;AR$9,薪酬明细!$H:$H,"&lt;="&amp;AR$10,薪酬明细!$A:$A,AR$6)</f>
        <v>17</v>
      </c>
      <c r="AS35" s="121">
        <f>SUMIFS(薪酬明细!$K:$K,薪酬明细!$D:$D,$E35,薪酬明细!$E:$E,$F35,薪酬明细!$H:$H,"&gt;="&amp;AS$9,薪酬明细!$H:$H,"&lt;="&amp;AS$10,薪酬明细!$A:$A,AS$6)</f>
        <v>17</v>
      </c>
      <c r="AT35" s="121">
        <f>SUMIFS(薪酬明细!$K:$K,薪酬明细!$D:$D,$E35,薪酬明细!$E:$E,$F35,薪酬明细!$H:$H,"&gt;="&amp;AT$9,薪酬明细!$H:$H,"&lt;="&amp;AT$10,薪酬明细!$A:$A,AT$6)</f>
        <v>17</v>
      </c>
      <c r="AU35" s="121">
        <f>SUMIFS(薪酬明细!$K:$K,薪酬明细!$D:$D,$E35,薪酬明细!$E:$E,$F35,薪酬明细!$H:$H,"&gt;="&amp;AU$9,薪酬明细!$H:$H,"&lt;="&amp;AU$10,薪酬明细!$A:$A,AU$6)/12</f>
        <v>17</v>
      </c>
      <c r="AV35" s="121">
        <f>SUMIFS(薪酬明细!$K:$K,薪酬明细!$D:$D,$E35,薪酬明细!$E:$E,$F35,薪酬明细!$H:$H,"&gt;="&amp;AV$9,薪酬明细!$H:$H,"&lt;="&amp;AV$10,薪酬明细!$A:$A,AV$6)</f>
        <v>17</v>
      </c>
      <c r="AW35" s="121">
        <f>SUMIFS(薪酬明细!$K:$K,薪酬明细!$D:$D,$E35,薪酬明细!$E:$E,$F35,薪酬明细!$H:$H,"&gt;="&amp;AW$9,薪酬明细!$H:$H,"&lt;="&amp;AW$10,薪酬明细!$A:$A,AW$6)</f>
        <v>17</v>
      </c>
      <c r="AX35" s="121">
        <f>SUMIFS(薪酬明细!$K:$K,薪酬明细!$D:$D,$E35,薪酬明细!$E:$E,$F35,薪酬明细!$H:$H,"&gt;="&amp;AX$9,薪酬明细!$H:$H,"&lt;="&amp;AX$10,薪酬明细!$A:$A,AX$6)</f>
        <v>17</v>
      </c>
      <c r="AY35" s="121">
        <f>SUMIFS(薪酬明细!$K:$K,薪酬明细!$D:$D,$E35,薪酬明细!$E:$E,$F35,薪酬明细!$H:$H,"&gt;="&amp;AY$9,薪酬明细!$H:$H,"&lt;="&amp;AY$10,薪酬明细!$A:$A,AY$6)</f>
        <v>17</v>
      </c>
      <c r="AZ35" s="121">
        <f>SUMIFS(薪酬明细!$K:$K,薪酬明细!$D:$D,$E35,薪酬明细!$E:$E,$F35,薪酬明细!$H:$H,"&gt;="&amp;AZ$9,薪酬明细!$H:$H,"&lt;="&amp;AZ$10,薪酬明细!$A:$A,AZ$6)</f>
        <v>17</v>
      </c>
      <c r="BA35" s="121">
        <f>SUMIFS(薪酬明细!$K:$K,薪酬明细!$D:$D,$E35,薪酬明细!$E:$E,$F35,薪酬明细!$H:$H,"&gt;="&amp;BA$9,薪酬明细!$H:$H,"&lt;="&amp;BA$10,薪酬明细!$A:$A,BA$6)</f>
        <v>17</v>
      </c>
      <c r="BB35" s="121">
        <f>SUMIFS(薪酬明细!$K:$K,薪酬明细!$D:$D,$E35,薪酬明细!$E:$E,$F35,薪酬明细!$H:$H,"&gt;="&amp;BB$9,薪酬明细!$H:$H,"&lt;="&amp;BB$10,薪酬明细!$A:$A,BB$6)</f>
        <v>17</v>
      </c>
      <c r="BC35" s="121">
        <f>SUMIFS(薪酬明细!$K:$K,薪酬明细!$D:$D,$E35,薪酬明细!$E:$E,$F35,薪酬明细!$H:$H,"&gt;="&amp;BC$9,薪酬明细!$H:$H,"&lt;="&amp;BC$10,薪酬明细!$A:$A,BC$6)</f>
        <v>17</v>
      </c>
      <c r="BD35" s="121">
        <f>SUMIFS(薪酬明细!$K:$K,薪酬明细!$D:$D,$E35,薪酬明细!$E:$E,$F35,薪酬明细!$H:$H,"&gt;="&amp;BD$9,薪酬明细!$H:$H,"&lt;="&amp;BD$10,薪酬明细!$A:$A,BD$6)</f>
        <v>17</v>
      </c>
      <c r="BE35" s="121">
        <f>SUMIFS(薪酬明细!$K:$K,薪酬明细!$D:$D,$E35,薪酬明细!$E:$E,$F35,薪酬明细!$H:$H,"&gt;="&amp;BE$9,薪酬明细!$H:$H,"&lt;="&amp;BE$10,薪酬明细!$A:$A,BE$6)</f>
        <v>17</v>
      </c>
      <c r="BF35" s="121">
        <f>SUMIFS(薪酬明细!$K:$K,薪酬明细!$D:$D,$E35,薪酬明细!$E:$E,$F35,薪酬明细!$H:$H,"&gt;="&amp;BF$9,薪酬明细!$H:$H,"&lt;="&amp;BF$10,薪酬明细!$A:$A,BF$6)</f>
        <v>17</v>
      </c>
      <c r="BG35" s="121">
        <f>SUMIFS(薪酬明细!$K:$K,薪酬明细!$D:$D,$E35,薪酬明细!$E:$E,$F35,薪酬明细!$H:$H,"&gt;="&amp;BG$9,薪酬明细!$H:$H,"&lt;="&amp;BG$10,薪酬明细!$A:$A,BG$6)</f>
        <v>17</v>
      </c>
    </row>
    <row r="36" ht="16.2" spans="3:59">
      <c r="C36" s="42"/>
      <c r="D36" s="42" t="s">
        <v>87</v>
      </c>
      <c r="E36" s="116" t="str">
        <f t="shared" si="81"/>
        <v>支持中心</v>
      </c>
      <c r="F36" s="116" t="str">
        <f t="shared" si="83"/>
        <v>财务部</v>
      </c>
      <c r="G36" s="121">
        <f>SUMIFS(薪酬明细!$K:$K,薪酬明细!$D:$D,$E36,薪酬明细!$E:$E,$F36,薪酬明细!$H:$H,"&gt;="&amp;G$9,薪酬明细!$H:$H,"&lt;="&amp;G$10,薪酬明细!$A:$A,G$6)/12</f>
        <v>7</v>
      </c>
      <c r="H36" s="121">
        <f>SUMIFS(薪酬明细!$K:$K,薪酬明细!$D:$D,$E36,薪酬明细!$E:$E,$F36,薪酬明细!$H:$H,"&gt;="&amp;H$9,薪酬明细!$H:$H,"&lt;="&amp;H$10,薪酬明细!$A:$A,H$6)</f>
        <v>7</v>
      </c>
      <c r="I36" s="121">
        <f>SUMIFS(薪酬明细!$K:$K,薪酬明细!$D:$D,$E36,薪酬明细!$E:$E,$F36,薪酬明细!$H:$H,"&gt;="&amp;I$9,薪酬明细!$H:$H,"&lt;="&amp;I$10,薪酬明细!$A:$A,I$6)</f>
        <v>7</v>
      </c>
      <c r="J36" s="121">
        <f>SUMIFS(薪酬明细!$K:$K,薪酬明细!$D:$D,$E36,薪酬明细!$E:$E,$F36,薪酬明细!$H:$H,"&gt;="&amp;J$9,薪酬明细!$H:$H,"&lt;="&amp;J$10,薪酬明细!$A:$A,J$6)</f>
        <v>7</v>
      </c>
      <c r="K36" s="121">
        <f>SUMIFS(薪酬明细!$K:$K,薪酬明细!$D:$D,$E36,薪酬明细!$E:$E,$F36,薪酬明细!$H:$H,"&gt;="&amp;K$9,薪酬明细!$H:$H,"&lt;="&amp;K$10,薪酬明细!$A:$A,K$6)</f>
        <v>7</v>
      </c>
      <c r="L36" s="121">
        <f>SUMIFS(薪酬明细!$K:$K,薪酬明细!$D:$D,$E36,薪酬明细!$E:$E,$F36,薪酬明细!$H:$H,"&gt;="&amp;L$9,薪酬明细!$H:$H,"&lt;="&amp;L$10,薪酬明细!$A:$A,L$6)</f>
        <v>7</v>
      </c>
      <c r="M36" s="121">
        <f>SUMIFS(薪酬明细!$K:$K,薪酬明细!$D:$D,$E36,薪酬明细!$E:$E,$F36,薪酬明细!$H:$H,"&gt;="&amp;M$9,薪酬明细!$H:$H,"&lt;="&amp;M$10,薪酬明细!$A:$A,M$6)</f>
        <v>7</v>
      </c>
      <c r="N36" s="121">
        <f>SUMIFS(薪酬明细!$K:$K,薪酬明细!$D:$D,$E36,薪酬明细!$E:$E,$F36,薪酬明细!$H:$H,"&gt;="&amp;N$9,薪酬明细!$H:$H,"&lt;="&amp;N$10,薪酬明细!$A:$A,N$6)</f>
        <v>7</v>
      </c>
      <c r="O36" s="121">
        <f>SUMIFS(薪酬明细!$K:$K,薪酬明细!$D:$D,$E36,薪酬明细!$E:$E,$F36,薪酬明细!$H:$H,"&gt;="&amp;O$9,薪酬明细!$H:$H,"&lt;="&amp;O$10,薪酬明细!$A:$A,O$6)</f>
        <v>7</v>
      </c>
      <c r="P36" s="121">
        <f>SUMIFS(薪酬明细!$K:$K,薪酬明细!$D:$D,$E36,薪酬明细!$E:$E,$F36,薪酬明细!$H:$H,"&gt;="&amp;P$9,薪酬明细!$H:$H,"&lt;="&amp;P$10,薪酬明细!$A:$A,P$6)</f>
        <v>7</v>
      </c>
      <c r="Q36" s="121">
        <f>SUMIFS(薪酬明细!$K:$K,薪酬明细!$D:$D,$E36,薪酬明细!$E:$E,$F36,薪酬明细!$H:$H,"&gt;="&amp;Q$9,薪酬明细!$H:$H,"&lt;="&amp;Q$10,薪酬明细!$A:$A,Q$6)</f>
        <v>7</v>
      </c>
      <c r="R36" s="121">
        <f>SUMIFS(薪酬明细!$K:$K,薪酬明细!$D:$D,$E36,薪酬明细!$E:$E,$F36,薪酬明细!$H:$H,"&gt;="&amp;R$9,薪酬明细!$H:$H,"&lt;="&amp;R$10,薪酬明细!$A:$A,R$6)</f>
        <v>7</v>
      </c>
      <c r="S36" s="121">
        <f>SUMIFS(薪酬明细!$K:$K,薪酬明细!$D:$D,$E36,薪酬明细!$E:$E,$F36,薪酬明细!$H:$H,"&gt;="&amp;S$9,薪酬明细!$H:$H,"&lt;="&amp;S$10,薪酬明细!$A:$A,S$6)</f>
        <v>7</v>
      </c>
      <c r="T36" s="125">
        <f t="shared" si="82"/>
        <v>7</v>
      </c>
      <c r="U36" s="121">
        <f>SUMIFS(薪酬明细!$K:$K,薪酬明细!$D:$D,$E36,薪酬明细!$E:$E,$F36,薪酬明细!$H:$H,"&gt;="&amp;U$9,薪酬明细!$H:$H,"&lt;="&amp;U$10,薪酬明细!$A:$A,U$6)/MONTH($G$3)</f>
        <v>7</v>
      </c>
      <c r="V36" s="121">
        <f>SUMIFS(薪酬明细!$K:$K,薪酬明细!$D:$D,$E36,薪酬明细!$E:$E,$F36,薪酬明细!$H:$H,"&gt;="&amp;V$9,薪酬明细!$H:$H,"&lt;="&amp;V$10,薪酬明细!$A:$A,V$6)</f>
        <v>7</v>
      </c>
      <c r="W36" s="121">
        <f>SUMIFS(薪酬明细!$K:$K,薪酬明细!$D:$D,$E36,薪酬明细!$E:$E,$F36,薪酬明细!$H:$H,"&gt;="&amp;W$9,薪酬明细!$H:$H,"&lt;="&amp;W$10,薪酬明细!$A:$A,W$6)</f>
        <v>7</v>
      </c>
      <c r="X36" s="121">
        <f>SUMIFS(薪酬明细!$K:$K,薪酬明细!$D:$D,$E36,薪酬明细!$E:$E,$F36,薪酬明细!$H:$H,"&gt;="&amp;X$9,薪酬明细!$H:$H,"&lt;="&amp;X$10,薪酬明细!$A:$A,X$6)</f>
        <v>7</v>
      </c>
      <c r="Y36" s="121">
        <f>SUMIFS(薪酬明细!$K:$K,薪酬明细!$D:$D,$E36,薪酬明细!$E:$E,$F36,薪酬明细!$H:$H,"&gt;="&amp;Y$9,薪酬明细!$H:$H,"&lt;="&amp;Y$10,薪酬明细!$A:$A,Y$6)</f>
        <v>7</v>
      </c>
      <c r="Z36" s="121">
        <f>SUMIFS(薪酬明细!$K:$K,薪酬明细!$D:$D,$E36,薪酬明细!$E:$E,$F36,薪酬明细!$H:$H,"&gt;="&amp;Z$9,薪酬明细!$H:$H,"&lt;="&amp;Z$10,薪酬明细!$A:$A,Z$6)</f>
        <v>7</v>
      </c>
      <c r="AA36" s="121">
        <f>SUMIFS(薪酬明细!$K:$K,薪酬明细!$D:$D,$E36,薪酬明细!$E:$E,$F36,薪酬明细!$H:$H,"&gt;="&amp;AA$9,薪酬明细!$H:$H,"&lt;="&amp;AA$10,薪酬明细!$A:$A,AA$6)</f>
        <v>7</v>
      </c>
      <c r="AB36" s="121">
        <f>SUMIFS(薪酬明细!$K:$K,薪酬明细!$D:$D,$E36,薪酬明细!$E:$E,$F36,薪酬明细!$H:$H,"&gt;="&amp;AB$9,薪酬明细!$H:$H,"&lt;="&amp;AB$10,薪酬明细!$A:$A,AB$6)</f>
        <v>7</v>
      </c>
      <c r="AC36" s="121">
        <f>SUMIFS(薪酬明细!$K:$K,薪酬明细!$D:$D,$E36,薪酬明细!$E:$E,$F36,薪酬明细!$H:$H,"&gt;="&amp;AC$9,薪酬明细!$H:$H,"&lt;="&amp;AC$10,薪酬明细!$A:$A,AC$6)</f>
        <v>7</v>
      </c>
      <c r="AD36" s="121">
        <f>SUMIFS(薪酬明细!$K:$K,薪酬明细!$D:$D,$E36,薪酬明细!$E:$E,$F36,薪酬明细!$H:$H,"&gt;="&amp;AD$9,薪酬明细!$H:$H,"&lt;="&amp;AD$10,薪酬明细!$A:$A,AD$6)</f>
        <v>7</v>
      </c>
      <c r="AE36" s="121">
        <f>SUMIFS(薪酬明细!$K:$K,薪酬明细!$D:$D,$E36,薪酬明细!$E:$E,$F36,薪酬明细!$H:$H,"&gt;="&amp;AE$9,薪酬明细!$H:$H,"&lt;="&amp;AE$10,薪酬明细!$A:$A,AE$6)</f>
        <v>0</v>
      </c>
      <c r="AF36" s="121">
        <f>SUMIFS(薪酬明细!$K:$K,薪酬明细!$D:$D,$E36,薪酬明细!$E:$E,$F36,薪酬明细!$H:$H,"&gt;="&amp;AF$9,薪酬明细!$H:$H,"&lt;="&amp;AF$10,薪酬明细!$A:$A,AF$6)</f>
        <v>0</v>
      </c>
      <c r="AG36" s="121">
        <f>SUMIFS(薪酬明细!$K:$K,薪酬明细!$D:$D,$E36,薪酬明细!$E:$E,$F36,薪酬明细!$H:$H,"&gt;="&amp;AG$9,薪酬明细!$H:$H,"&lt;="&amp;AG$10,薪酬明细!$A:$A,AG$6)</f>
        <v>0</v>
      </c>
      <c r="AH36" s="121">
        <f>SUMIFS(薪酬明细!$K:$K,薪酬明细!$D:$D,$E36,薪酬明细!$E:$E,$F36,薪酬明细!$H:$H,"&gt;="&amp;AH$9,薪酬明细!$H:$H,"&lt;="&amp;AH$10,薪酬明细!$A:$A,AH$6)/(12-MONTH($G$3))</f>
        <v>7</v>
      </c>
      <c r="AI36" s="121">
        <f>SUMIFS(薪酬明细!$K:$K,薪酬明细!$D:$D,$E36,薪酬明细!$E:$E,$F36,薪酬明细!$H:$H,"&gt;="&amp;AI$9,薪酬明细!$H:$H,"&lt;="&amp;AI$10,薪酬明细!$A:$A,AI$6)</f>
        <v>0</v>
      </c>
      <c r="AJ36" s="121">
        <f>SUMIFS(薪酬明细!$K:$K,薪酬明细!$D:$D,$E36,薪酬明细!$E:$E,$F36,薪酬明细!$H:$H,"&gt;="&amp;AJ$9,薪酬明细!$H:$H,"&lt;="&amp;AJ$10,薪酬明细!$A:$A,AJ$6)</f>
        <v>0</v>
      </c>
      <c r="AK36" s="121">
        <f>SUMIFS(薪酬明细!$K:$K,薪酬明细!$D:$D,$E36,薪酬明细!$E:$E,$F36,薪酬明细!$H:$H,"&gt;="&amp;AK$9,薪酬明细!$H:$H,"&lt;="&amp;AK$10,薪酬明细!$A:$A,AK$6)</f>
        <v>0</v>
      </c>
      <c r="AL36" s="121">
        <f>SUMIFS(薪酬明细!$K:$K,薪酬明细!$D:$D,$E36,薪酬明细!$E:$E,$F36,薪酬明细!$H:$H,"&gt;="&amp;AL$9,薪酬明细!$H:$H,"&lt;="&amp;AL$10,薪酬明细!$A:$A,AL$6)</f>
        <v>0</v>
      </c>
      <c r="AM36" s="121">
        <f>SUMIFS(薪酬明细!$K:$K,薪酬明细!$D:$D,$E36,薪酬明细!$E:$E,$F36,薪酬明细!$H:$H,"&gt;="&amp;AM$9,薪酬明细!$H:$H,"&lt;="&amp;AM$10,薪酬明细!$A:$A,AM$6)</f>
        <v>0</v>
      </c>
      <c r="AN36" s="121">
        <f>SUMIFS(薪酬明细!$K:$K,薪酬明细!$D:$D,$E36,薪酬明细!$E:$E,$F36,薪酬明细!$H:$H,"&gt;="&amp;AN$9,薪酬明细!$H:$H,"&lt;="&amp;AN$10,薪酬明细!$A:$A,AN$6)</f>
        <v>0</v>
      </c>
      <c r="AO36" s="121">
        <f>SUMIFS(薪酬明细!$K:$K,薪酬明细!$D:$D,$E36,薪酬明细!$E:$E,$F36,薪酬明细!$H:$H,"&gt;="&amp;AO$9,薪酬明细!$H:$H,"&lt;="&amp;AO$10,薪酬明细!$A:$A,AO$6)</f>
        <v>0</v>
      </c>
      <c r="AP36" s="121">
        <f>SUMIFS(薪酬明细!$K:$K,薪酬明细!$D:$D,$E36,薪酬明细!$E:$E,$F36,薪酬明细!$H:$H,"&gt;="&amp;AP$9,薪酬明细!$H:$H,"&lt;="&amp;AP$10,薪酬明细!$A:$A,AP$6)</f>
        <v>0</v>
      </c>
      <c r="AQ36" s="121">
        <f>SUMIFS(薪酬明细!$K:$K,薪酬明细!$D:$D,$E36,薪酬明细!$E:$E,$F36,薪酬明细!$H:$H,"&gt;="&amp;AQ$9,薪酬明细!$H:$H,"&lt;="&amp;AQ$10,薪酬明细!$A:$A,AQ$6)</f>
        <v>0</v>
      </c>
      <c r="AR36" s="121">
        <f>SUMIFS(薪酬明细!$K:$K,薪酬明细!$D:$D,$E36,薪酬明细!$E:$E,$F36,薪酬明细!$H:$H,"&gt;="&amp;AR$9,薪酬明细!$H:$H,"&lt;="&amp;AR$10,薪酬明细!$A:$A,AR$6)</f>
        <v>7</v>
      </c>
      <c r="AS36" s="121">
        <f>SUMIFS(薪酬明细!$K:$K,薪酬明细!$D:$D,$E36,薪酬明细!$E:$E,$F36,薪酬明细!$H:$H,"&gt;="&amp;AS$9,薪酬明细!$H:$H,"&lt;="&amp;AS$10,薪酬明细!$A:$A,AS$6)</f>
        <v>7</v>
      </c>
      <c r="AT36" s="121">
        <f>SUMIFS(薪酬明细!$K:$K,薪酬明细!$D:$D,$E36,薪酬明细!$E:$E,$F36,薪酬明细!$H:$H,"&gt;="&amp;AT$9,薪酬明细!$H:$H,"&lt;="&amp;AT$10,薪酬明细!$A:$A,AT$6)</f>
        <v>7</v>
      </c>
      <c r="AU36" s="121">
        <f>SUMIFS(薪酬明细!$K:$K,薪酬明细!$D:$D,$E36,薪酬明细!$E:$E,$F36,薪酬明细!$H:$H,"&gt;="&amp;AU$9,薪酬明细!$H:$H,"&lt;="&amp;AU$10,薪酬明细!$A:$A,AU$6)/12</f>
        <v>7</v>
      </c>
      <c r="AV36" s="121">
        <f>SUMIFS(薪酬明细!$K:$K,薪酬明细!$D:$D,$E36,薪酬明细!$E:$E,$F36,薪酬明细!$H:$H,"&gt;="&amp;AV$9,薪酬明细!$H:$H,"&lt;="&amp;AV$10,薪酬明细!$A:$A,AV$6)</f>
        <v>7</v>
      </c>
      <c r="AW36" s="121">
        <f>SUMIFS(薪酬明细!$K:$K,薪酬明细!$D:$D,$E36,薪酬明细!$E:$E,$F36,薪酬明细!$H:$H,"&gt;="&amp;AW$9,薪酬明细!$H:$H,"&lt;="&amp;AW$10,薪酬明细!$A:$A,AW$6)</f>
        <v>7</v>
      </c>
      <c r="AX36" s="121">
        <f>SUMIFS(薪酬明细!$K:$K,薪酬明细!$D:$D,$E36,薪酬明细!$E:$E,$F36,薪酬明细!$H:$H,"&gt;="&amp;AX$9,薪酬明细!$H:$H,"&lt;="&amp;AX$10,薪酬明细!$A:$A,AX$6)</f>
        <v>7</v>
      </c>
      <c r="AY36" s="121">
        <f>SUMIFS(薪酬明细!$K:$K,薪酬明细!$D:$D,$E36,薪酬明细!$E:$E,$F36,薪酬明细!$H:$H,"&gt;="&amp;AY$9,薪酬明细!$H:$H,"&lt;="&amp;AY$10,薪酬明细!$A:$A,AY$6)</f>
        <v>7</v>
      </c>
      <c r="AZ36" s="121">
        <f>SUMIFS(薪酬明细!$K:$K,薪酬明细!$D:$D,$E36,薪酬明细!$E:$E,$F36,薪酬明细!$H:$H,"&gt;="&amp;AZ$9,薪酬明细!$H:$H,"&lt;="&amp;AZ$10,薪酬明细!$A:$A,AZ$6)</f>
        <v>7</v>
      </c>
      <c r="BA36" s="121">
        <f>SUMIFS(薪酬明细!$K:$K,薪酬明细!$D:$D,$E36,薪酬明细!$E:$E,$F36,薪酬明细!$H:$H,"&gt;="&amp;BA$9,薪酬明细!$H:$H,"&lt;="&amp;BA$10,薪酬明细!$A:$A,BA$6)</f>
        <v>7</v>
      </c>
      <c r="BB36" s="121">
        <f>SUMIFS(薪酬明细!$K:$K,薪酬明细!$D:$D,$E36,薪酬明细!$E:$E,$F36,薪酬明细!$H:$H,"&gt;="&amp;BB$9,薪酬明细!$H:$H,"&lt;="&amp;BB$10,薪酬明细!$A:$A,BB$6)</f>
        <v>7</v>
      </c>
      <c r="BC36" s="121">
        <f>SUMIFS(薪酬明细!$K:$K,薪酬明细!$D:$D,$E36,薪酬明细!$E:$E,$F36,薪酬明细!$H:$H,"&gt;="&amp;BC$9,薪酬明细!$H:$H,"&lt;="&amp;BC$10,薪酬明细!$A:$A,BC$6)</f>
        <v>7</v>
      </c>
      <c r="BD36" s="121">
        <f>SUMIFS(薪酬明细!$K:$K,薪酬明细!$D:$D,$E36,薪酬明细!$E:$E,$F36,薪酬明细!$H:$H,"&gt;="&amp;BD$9,薪酬明细!$H:$H,"&lt;="&amp;BD$10,薪酬明细!$A:$A,BD$6)</f>
        <v>7</v>
      </c>
      <c r="BE36" s="121">
        <f>SUMIFS(薪酬明细!$K:$K,薪酬明细!$D:$D,$E36,薪酬明细!$E:$E,$F36,薪酬明细!$H:$H,"&gt;="&amp;BE$9,薪酬明细!$H:$H,"&lt;="&amp;BE$10,薪酬明细!$A:$A,BE$6)</f>
        <v>7</v>
      </c>
      <c r="BF36" s="121">
        <f>SUMIFS(薪酬明细!$K:$K,薪酬明细!$D:$D,$E36,薪酬明细!$E:$E,$F36,薪酬明细!$H:$H,"&gt;="&amp;BF$9,薪酬明细!$H:$H,"&lt;="&amp;BF$10,薪酬明细!$A:$A,BF$6)</f>
        <v>7</v>
      </c>
      <c r="BG36" s="121">
        <f>SUMIFS(薪酬明细!$K:$K,薪酬明细!$D:$D,$E36,薪酬明细!$E:$E,$F36,薪酬明细!$H:$H,"&gt;="&amp;BG$9,薪酬明细!$H:$H,"&lt;="&amp;BG$10,薪酬明细!$A:$A,BG$6)</f>
        <v>7</v>
      </c>
    </row>
    <row r="37" ht="16.2" spans="3:59">
      <c r="C37" s="42"/>
      <c r="D37" s="42" t="s">
        <v>88</v>
      </c>
      <c r="E37" s="116" t="str">
        <f t="shared" si="81"/>
        <v>支持中心</v>
      </c>
      <c r="F37" s="116" t="str">
        <f t="shared" si="83"/>
        <v>人力资源部</v>
      </c>
      <c r="G37" s="121">
        <f>SUMIFS(薪酬明细!$K:$K,薪酬明细!$D:$D,$E37,薪酬明细!$E:$E,$F37,薪酬明细!$H:$H,"&gt;="&amp;G$9,薪酬明细!$H:$H,"&lt;="&amp;G$10,薪酬明细!$A:$A,G$6)/12</f>
        <v>6</v>
      </c>
      <c r="H37" s="121">
        <f>SUMIFS(薪酬明细!$K:$K,薪酬明细!$D:$D,$E37,薪酬明细!$E:$E,$F37,薪酬明细!$H:$H,"&gt;="&amp;H$9,薪酬明细!$H:$H,"&lt;="&amp;H$10,薪酬明细!$A:$A,H$6)</f>
        <v>6</v>
      </c>
      <c r="I37" s="121">
        <f>SUMIFS(薪酬明细!$K:$K,薪酬明细!$D:$D,$E37,薪酬明细!$E:$E,$F37,薪酬明细!$H:$H,"&gt;="&amp;I$9,薪酬明细!$H:$H,"&lt;="&amp;I$10,薪酬明细!$A:$A,I$6)</f>
        <v>6</v>
      </c>
      <c r="J37" s="121">
        <f>SUMIFS(薪酬明细!$K:$K,薪酬明细!$D:$D,$E37,薪酬明细!$E:$E,$F37,薪酬明细!$H:$H,"&gt;="&amp;J$9,薪酬明细!$H:$H,"&lt;="&amp;J$10,薪酬明细!$A:$A,J$6)</f>
        <v>6</v>
      </c>
      <c r="K37" s="121">
        <f>SUMIFS(薪酬明细!$K:$K,薪酬明细!$D:$D,$E37,薪酬明细!$E:$E,$F37,薪酬明细!$H:$H,"&gt;="&amp;K$9,薪酬明细!$H:$H,"&lt;="&amp;K$10,薪酬明细!$A:$A,K$6)</f>
        <v>6</v>
      </c>
      <c r="L37" s="121">
        <f>SUMIFS(薪酬明细!$K:$K,薪酬明细!$D:$D,$E37,薪酬明细!$E:$E,$F37,薪酬明细!$H:$H,"&gt;="&amp;L$9,薪酬明细!$H:$H,"&lt;="&amp;L$10,薪酬明细!$A:$A,L$6)</f>
        <v>6</v>
      </c>
      <c r="M37" s="121">
        <f>SUMIFS(薪酬明细!$K:$K,薪酬明细!$D:$D,$E37,薪酬明细!$E:$E,$F37,薪酬明细!$H:$H,"&gt;="&amp;M$9,薪酬明细!$H:$H,"&lt;="&amp;M$10,薪酬明细!$A:$A,M$6)</f>
        <v>6</v>
      </c>
      <c r="N37" s="121">
        <f>SUMIFS(薪酬明细!$K:$K,薪酬明细!$D:$D,$E37,薪酬明细!$E:$E,$F37,薪酬明细!$H:$H,"&gt;="&amp;N$9,薪酬明细!$H:$H,"&lt;="&amp;N$10,薪酬明细!$A:$A,N$6)</f>
        <v>6</v>
      </c>
      <c r="O37" s="121">
        <f>SUMIFS(薪酬明细!$K:$K,薪酬明细!$D:$D,$E37,薪酬明细!$E:$E,$F37,薪酬明细!$H:$H,"&gt;="&amp;O$9,薪酬明细!$H:$H,"&lt;="&amp;O$10,薪酬明细!$A:$A,O$6)</f>
        <v>6</v>
      </c>
      <c r="P37" s="121">
        <f>SUMIFS(薪酬明细!$K:$K,薪酬明细!$D:$D,$E37,薪酬明细!$E:$E,$F37,薪酬明细!$H:$H,"&gt;="&amp;P$9,薪酬明细!$H:$H,"&lt;="&amp;P$10,薪酬明细!$A:$A,P$6)</f>
        <v>6</v>
      </c>
      <c r="Q37" s="121">
        <f>SUMIFS(薪酬明细!$K:$K,薪酬明细!$D:$D,$E37,薪酬明细!$E:$E,$F37,薪酬明细!$H:$H,"&gt;="&amp;Q$9,薪酬明细!$H:$H,"&lt;="&amp;Q$10,薪酬明细!$A:$A,Q$6)</f>
        <v>6</v>
      </c>
      <c r="R37" s="121">
        <f>SUMIFS(薪酬明细!$K:$K,薪酬明细!$D:$D,$E37,薪酬明细!$E:$E,$F37,薪酬明细!$H:$H,"&gt;="&amp;R$9,薪酬明细!$H:$H,"&lt;="&amp;R$10,薪酬明细!$A:$A,R$6)</f>
        <v>6</v>
      </c>
      <c r="S37" s="121">
        <f>SUMIFS(薪酬明细!$K:$K,薪酬明细!$D:$D,$E37,薪酬明细!$E:$E,$F37,薪酬明细!$H:$H,"&gt;="&amp;S$9,薪酬明细!$H:$H,"&lt;="&amp;S$10,薪酬明细!$A:$A,S$6)</f>
        <v>6</v>
      </c>
      <c r="T37" s="125">
        <f t="shared" si="82"/>
        <v>6</v>
      </c>
      <c r="U37" s="121">
        <f>SUMIFS(薪酬明细!$K:$K,薪酬明细!$D:$D,$E37,薪酬明细!$E:$E,$F37,薪酬明细!$H:$H,"&gt;="&amp;U$9,薪酬明细!$H:$H,"&lt;="&amp;U$10,薪酬明细!$A:$A,U$6)/MONTH($G$3)</f>
        <v>6</v>
      </c>
      <c r="V37" s="121">
        <f>SUMIFS(薪酬明细!$K:$K,薪酬明细!$D:$D,$E37,薪酬明细!$E:$E,$F37,薪酬明细!$H:$H,"&gt;="&amp;V$9,薪酬明细!$H:$H,"&lt;="&amp;V$10,薪酬明细!$A:$A,V$6)</f>
        <v>6</v>
      </c>
      <c r="W37" s="121">
        <f>SUMIFS(薪酬明细!$K:$K,薪酬明细!$D:$D,$E37,薪酬明细!$E:$E,$F37,薪酬明细!$H:$H,"&gt;="&amp;W$9,薪酬明细!$H:$H,"&lt;="&amp;W$10,薪酬明细!$A:$A,W$6)</f>
        <v>6</v>
      </c>
      <c r="X37" s="121">
        <f>SUMIFS(薪酬明细!$K:$K,薪酬明细!$D:$D,$E37,薪酬明细!$E:$E,$F37,薪酬明细!$H:$H,"&gt;="&amp;X$9,薪酬明细!$H:$H,"&lt;="&amp;X$10,薪酬明细!$A:$A,X$6)</f>
        <v>6</v>
      </c>
      <c r="Y37" s="121">
        <f>SUMIFS(薪酬明细!$K:$K,薪酬明细!$D:$D,$E37,薪酬明细!$E:$E,$F37,薪酬明细!$H:$H,"&gt;="&amp;Y$9,薪酬明细!$H:$H,"&lt;="&amp;Y$10,薪酬明细!$A:$A,Y$6)</f>
        <v>6</v>
      </c>
      <c r="Z37" s="121">
        <f>SUMIFS(薪酬明细!$K:$K,薪酬明细!$D:$D,$E37,薪酬明细!$E:$E,$F37,薪酬明细!$H:$H,"&gt;="&amp;Z$9,薪酬明细!$H:$H,"&lt;="&amp;Z$10,薪酬明细!$A:$A,Z$6)</f>
        <v>6</v>
      </c>
      <c r="AA37" s="121">
        <f>SUMIFS(薪酬明细!$K:$K,薪酬明细!$D:$D,$E37,薪酬明细!$E:$E,$F37,薪酬明细!$H:$H,"&gt;="&amp;AA$9,薪酬明细!$H:$H,"&lt;="&amp;AA$10,薪酬明细!$A:$A,AA$6)</f>
        <v>6</v>
      </c>
      <c r="AB37" s="121">
        <f>SUMIFS(薪酬明细!$K:$K,薪酬明细!$D:$D,$E37,薪酬明细!$E:$E,$F37,薪酬明细!$H:$H,"&gt;="&amp;AB$9,薪酬明细!$H:$H,"&lt;="&amp;AB$10,薪酬明细!$A:$A,AB$6)</f>
        <v>6</v>
      </c>
      <c r="AC37" s="121">
        <f>SUMIFS(薪酬明细!$K:$K,薪酬明细!$D:$D,$E37,薪酬明细!$E:$E,$F37,薪酬明细!$H:$H,"&gt;="&amp;AC$9,薪酬明细!$H:$H,"&lt;="&amp;AC$10,薪酬明细!$A:$A,AC$6)</f>
        <v>6</v>
      </c>
      <c r="AD37" s="121">
        <f>SUMIFS(薪酬明细!$K:$K,薪酬明细!$D:$D,$E37,薪酬明细!$E:$E,$F37,薪酬明细!$H:$H,"&gt;="&amp;AD$9,薪酬明细!$H:$H,"&lt;="&amp;AD$10,薪酬明细!$A:$A,AD$6)</f>
        <v>6</v>
      </c>
      <c r="AE37" s="121">
        <f>SUMIFS(薪酬明细!$K:$K,薪酬明细!$D:$D,$E37,薪酬明细!$E:$E,$F37,薪酬明细!$H:$H,"&gt;="&amp;AE$9,薪酬明细!$H:$H,"&lt;="&amp;AE$10,薪酬明细!$A:$A,AE$6)</f>
        <v>0</v>
      </c>
      <c r="AF37" s="121">
        <f>SUMIFS(薪酬明细!$K:$K,薪酬明细!$D:$D,$E37,薪酬明细!$E:$E,$F37,薪酬明细!$H:$H,"&gt;="&amp;AF$9,薪酬明细!$H:$H,"&lt;="&amp;AF$10,薪酬明细!$A:$A,AF$6)</f>
        <v>0</v>
      </c>
      <c r="AG37" s="121">
        <f>SUMIFS(薪酬明细!$K:$K,薪酬明细!$D:$D,$E37,薪酬明细!$E:$E,$F37,薪酬明细!$H:$H,"&gt;="&amp;AG$9,薪酬明细!$H:$H,"&lt;="&amp;AG$10,薪酬明细!$A:$A,AG$6)</f>
        <v>0</v>
      </c>
      <c r="AH37" s="121">
        <f>SUMIFS(薪酬明细!$K:$K,薪酬明细!$D:$D,$E37,薪酬明细!$E:$E,$F37,薪酬明细!$H:$H,"&gt;="&amp;AH$9,薪酬明细!$H:$H,"&lt;="&amp;AH$10,薪酬明细!$A:$A,AH$6)/(12-MONTH($G$3))</f>
        <v>6</v>
      </c>
      <c r="AI37" s="121">
        <f>SUMIFS(薪酬明细!$K:$K,薪酬明细!$D:$D,$E37,薪酬明细!$E:$E,$F37,薪酬明细!$H:$H,"&gt;="&amp;AI$9,薪酬明细!$H:$H,"&lt;="&amp;AI$10,薪酬明细!$A:$A,AI$6)</f>
        <v>0</v>
      </c>
      <c r="AJ37" s="121">
        <f>SUMIFS(薪酬明细!$K:$K,薪酬明细!$D:$D,$E37,薪酬明细!$E:$E,$F37,薪酬明细!$H:$H,"&gt;="&amp;AJ$9,薪酬明细!$H:$H,"&lt;="&amp;AJ$10,薪酬明细!$A:$A,AJ$6)</f>
        <v>0</v>
      </c>
      <c r="AK37" s="121">
        <f>SUMIFS(薪酬明细!$K:$K,薪酬明细!$D:$D,$E37,薪酬明细!$E:$E,$F37,薪酬明细!$H:$H,"&gt;="&amp;AK$9,薪酬明细!$H:$H,"&lt;="&amp;AK$10,薪酬明细!$A:$A,AK$6)</f>
        <v>0</v>
      </c>
      <c r="AL37" s="121">
        <f>SUMIFS(薪酬明细!$K:$K,薪酬明细!$D:$D,$E37,薪酬明细!$E:$E,$F37,薪酬明细!$H:$H,"&gt;="&amp;AL$9,薪酬明细!$H:$H,"&lt;="&amp;AL$10,薪酬明细!$A:$A,AL$6)</f>
        <v>0</v>
      </c>
      <c r="AM37" s="121">
        <f>SUMIFS(薪酬明细!$K:$K,薪酬明细!$D:$D,$E37,薪酬明细!$E:$E,$F37,薪酬明细!$H:$H,"&gt;="&amp;AM$9,薪酬明细!$H:$H,"&lt;="&amp;AM$10,薪酬明细!$A:$A,AM$6)</f>
        <v>0</v>
      </c>
      <c r="AN37" s="121">
        <f>SUMIFS(薪酬明细!$K:$K,薪酬明细!$D:$D,$E37,薪酬明细!$E:$E,$F37,薪酬明细!$H:$H,"&gt;="&amp;AN$9,薪酬明细!$H:$H,"&lt;="&amp;AN$10,薪酬明细!$A:$A,AN$6)</f>
        <v>0</v>
      </c>
      <c r="AO37" s="121">
        <f>SUMIFS(薪酬明细!$K:$K,薪酬明细!$D:$D,$E37,薪酬明细!$E:$E,$F37,薪酬明细!$H:$H,"&gt;="&amp;AO$9,薪酬明细!$H:$H,"&lt;="&amp;AO$10,薪酬明细!$A:$A,AO$6)</f>
        <v>0</v>
      </c>
      <c r="AP37" s="121">
        <f>SUMIFS(薪酬明细!$K:$K,薪酬明细!$D:$D,$E37,薪酬明细!$E:$E,$F37,薪酬明细!$H:$H,"&gt;="&amp;AP$9,薪酬明细!$H:$H,"&lt;="&amp;AP$10,薪酬明细!$A:$A,AP$6)</f>
        <v>0</v>
      </c>
      <c r="AQ37" s="121">
        <f>SUMIFS(薪酬明细!$K:$K,薪酬明细!$D:$D,$E37,薪酬明细!$E:$E,$F37,薪酬明细!$H:$H,"&gt;="&amp;AQ$9,薪酬明细!$H:$H,"&lt;="&amp;AQ$10,薪酬明细!$A:$A,AQ$6)</f>
        <v>0</v>
      </c>
      <c r="AR37" s="121">
        <f>SUMIFS(薪酬明细!$K:$K,薪酬明细!$D:$D,$E37,薪酬明细!$E:$E,$F37,薪酬明细!$H:$H,"&gt;="&amp;AR$9,薪酬明细!$H:$H,"&lt;="&amp;AR$10,薪酬明细!$A:$A,AR$6)</f>
        <v>6</v>
      </c>
      <c r="AS37" s="121">
        <f>SUMIFS(薪酬明细!$K:$K,薪酬明细!$D:$D,$E37,薪酬明细!$E:$E,$F37,薪酬明细!$H:$H,"&gt;="&amp;AS$9,薪酬明细!$H:$H,"&lt;="&amp;AS$10,薪酬明细!$A:$A,AS$6)</f>
        <v>6</v>
      </c>
      <c r="AT37" s="121">
        <f>SUMIFS(薪酬明细!$K:$K,薪酬明细!$D:$D,$E37,薪酬明细!$E:$E,$F37,薪酬明细!$H:$H,"&gt;="&amp;AT$9,薪酬明细!$H:$H,"&lt;="&amp;AT$10,薪酬明细!$A:$A,AT$6)</f>
        <v>6</v>
      </c>
      <c r="AU37" s="121">
        <f>SUMIFS(薪酬明细!$K:$K,薪酬明细!$D:$D,$E37,薪酬明细!$E:$E,$F37,薪酬明细!$H:$H,"&gt;="&amp;AU$9,薪酬明细!$H:$H,"&lt;="&amp;AU$10,薪酬明细!$A:$A,AU$6)/12</f>
        <v>6</v>
      </c>
      <c r="AV37" s="121">
        <f>SUMIFS(薪酬明细!$K:$K,薪酬明细!$D:$D,$E37,薪酬明细!$E:$E,$F37,薪酬明细!$H:$H,"&gt;="&amp;AV$9,薪酬明细!$H:$H,"&lt;="&amp;AV$10,薪酬明细!$A:$A,AV$6)</f>
        <v>6</v>
      </c>
      <c r="AW37" s="121">
        <f>SUMIFS(薪酬明细!$K:$K,薪酬明细!$D:$D,$E37,薪酬明细!$E:$E,$F37,薪酬明细!$H:$H,"&gt;="&amp;AW$9,薪酬明细!$H:$H,"&lt;="&amp;AW$10,薪酬明细!$A:$A,AW$6)</f>
        <v>6</v>
      </c>
      <c r="AX37" s="121">
        <f>SUMIFS(薪酬明细!$K:$K,薪酬明细!$D:$D,$E37,薪酬明细!$E:$E,$F37,薪酬明细!$H:$H,"&gt;="&amp;AX$9,薪酬明细!$H:$H,"&lt;="&amp;AX$10,薪酬明细!$A:$A,AX$6)</f>
        <v>6</v>
      </c>
      <c r="AY37" s="121">
        <f>SUMIFS(薪酬明细!$K:$K,薪酬明细!$D:$D,$E37,薪酬明细!$E:$E,$F37,薪酬明细!$H:$H,"&gt;="&amp;AY$9,薪酬明细!$H:$H,"&lt;="&amp;AY$10,薪酬明细!$A:$A,AY$6)</f>
        <v>6</v>
      </c>
      <c r="AZ37" s="121">
        <f>SUMIFS(薪酬明细!$K:$K,薪酬明细!$D:$D,$E37,薪酬明细!$E:$E,$F37,薪酬明细!$H:$H,"&gt;="&amp;AZ$9,薪酬明细!$H:$H,"&lt;="&amp;AZ$10,薪酬明细!$A:$A,AZ$6)</f>
        <v>6</v>
      </c>
      <c r="BA37" s="121">
        <f>SUMIFS(薪酬明细!$K:$K,薪酬明细!$D:$D,$E37,薪酬明细!$E:$E,$F37,薪酬明细!$H:$H,"&gt;="&amp;BA$9,薪酬明细!$H:$H,"&lt;="&amp;BA$10,薪酬明细!$A:$A,BA$6)</f>
        <v>6</v>
      </c>
      <c r="BB37" s="121">
        <f>SUMIFS(薪酬明细!$K:$K,薪酬明细!$D:$D,$E37,薪酬明细!$E:$E,$F37,薪酬明细!$H:$H,"&gt;="&amp;BB$9,薪酬明细!$H:$H,"&lt;="&amp;BB$10,薪酬明细!$A:$A,BB$6)</f>
        <v>6</v>
      </c>
      <c r="BC37" s="121">
        <f>SUMIFS(薪酬明细!$K:$K,薪酬明细!$D:$D,$E37,薪酬明细!$E:$E,$F37,薪酬明细!$H:$H,"&gt;="&amp;BC$9,薪酬明细!$H:$H,"&lt;="&amp;BC$10,薪酬明细!$A:$A,BC$6)</f>
        <v>6</v>
      </c>
      <c r="BD37" s="121">
        <f>SUMIFS(薪酬明细!$K:$K,薪酬明细!$D:$D,$E37,薪酬明细!$E:$E,$F37,薪酬明细!$H:$H,"&gt;="&amp;BD$9,薪酬明细!$H:$H,"&lt;="&amp;BD$10,薪酬明细!$A:$A,BD$6)</f>
        <v>6</v>
      </c>
      <c r="BE37" s="121">
        <f>SUMIFS(薪酬明细!$K:$K,薪酬明细!$D:$D,$E37,薪酬明细!$E:$E,$F37,薪酬明细!$H:$H,"&gt;="&amp;BE$9,薪酬明细!$H:$H,"&lt;="&amp;BE$10,薪酬明细!$A:$A,BE$6)</f>
        <v>6</v>
      </c>
      <c r="BF37" s="121">
        <f>SUMIFS(薪酬明细!$K:$K,薪酬明细!$D:$D,$E37,薪酬明细!$E:$E,$F37,薪酬明细!$H:$H,"&gt;="&amp;BF$9,薪酬明细!$H:$H,"&lt;="&amp;BF$10,薪酬明细!$A:$A,BF$6)</f>
        <v>6</v>
      </c>
      <c r="BG37" s="121">
        <f>SUMIFS(薪酬明细!$K:$K,薪酬明细!$D:$D,$E37,薪酬明细!$E:$E,$F37,薪酬明细!$H:$H,"&gt;="&amp;BG$9,薪酬明细!$H:$H,"&lt;="&amp;BG$10,薪酬明细!$A:$A,BG$6)</f>
        <v>6</v>
      </c>
    </row>
    <row r="38" ht="16.2" spans="3:59">
      <c r="C38" s="42"/>
      <c r="D38" s="42" t="s">
        <v>89</v>
      </c>
      <c r="E38" s="116" t="str">
        <f t="shared" si="81"/>
        <v>支持中心</v>
      </c>
      <c r="F38" s="116" t="str">
        <f t="shared" si="83"/>
        <v>IT部</v>
      </c>
      <c r="G38" s="121">
        <f>SUMIFS(薪酬明细!$K:$K,薪酬明细!$D:$D,$E38,薪酬明细!$E:$E,$F38,薪酬明细!$H:$H,"&gt;="&amp;G$9,薪酬明细!$H:$H,"&lt;="&amp;G$10,薪酬明细!$A:$A,G$6)/12</f>
        <v>3</v>
      </c>
      <c r="H38" s="121">
        <f>SUMIFS(薪酬明细!$K:$K,薪酬明细!$D:$D,$E38,薪酬明细!$E:$E,$F38,薪酬明细!$H:$H,"&gt;="&amp;H$9,薪酬明细!$H:$H,"&lt;="&amp;H$10,薪酬明细!$A:$A,H$6)</f>
        <v>3</v>
      </c>
      <c r="I38" s="121">
        <f>SUMIFS(薪酬明细!$K:$K,薪酬明细!$D:$D,$E38,薪酬明细!$E:$E,$F38,薪酬明细!$H:$H,"&gt;="&amp;I$9,薪酬明细!$H:$H,"&lt;="&amp;I$10,薪酬明细!$A:$A,I$6)</f>
        <v>3</v>
      </c>
      <c r="J38" s="121">
        <f>SUMIFS(薪酬明细!$K:$K,薪酬明细!$D:$D,$E38,薪酬明细!$E:$E,$F38,薪酬明细!$H:$H,"&gt;="&amp;J$9,薪酬明细!$H:$H,"&lt;="&amp;J$10,薪酬明细!$A:$A,J$6)</f>
        <v>3</v>
      </c>
      <c r="K38" s="121">
        <f>SUMIFS(薪酬明细!$K:$K,薪酬明细!$D:$D,$E38,薪酬明细!$E:$E,$F38,薪酬明细!$H:$H,"&gt;="&amp;K$9,薪酬明细!$H:$H,"&lt;="&amp;K$10,薪酬明细!$A:$A,K$6)</f>
        <v>3</v>
      </c>
      <c r="L38" s="121">
        <f>SUMIFS(薪酬明细!$K:$K,薪酬明细!$D:$D,$E38,薪酬明细!$E:$E,$F38,薪酬明细!$H:$H,"&gt;="&amp;L$9,薪酬明细!$H:$H,"&lt;="&amp;L$10,薪酬明细!$A:$A,L$6)</f>
        <v>3</v>
      </c>
      <c r="M38" s="121">
        <f>SUMIFS(薪酬明细!$K:$K,薪酬明细!$D:$D,$E38,薪酬明细!$E:$E,$F38,薪酬明细!$H:$H,"&gt;="&amp;M$9,薪酬明细!$H:$H,"&lt;="&amp;M$10,薪酬明细!$A:$A,M$6)</f>
        <v>3</v>
      </c>
      <c r="N38" s="121">
        <f>SUMIFS(薪酬明细!$K:$K,薪酬明细!$D:$D,$E38,薪酬明细!$E:$E,$F38,薪酬明细!$H:$H,"&gt;="&amp;N$9,薪酬明细!$H:$H,"&lt;="&amp;N$10,薪酬明细!$A:$A,N$6)</f>
        <v>3</v>
      </c>
      <c r="O38" s="121">
        <f>SUMIFS(薪酬明细!$K:$K,薪酬明细!$D:$D,$E38,薪酬明细!$E:$E,$F38,薪酬明细!$H:$H,"&gt;="&amp;O$9,薪酬明细!$H:$H,"&lt;="&amp;O$10,薪酬明细!$A:$A,O$6)</f>
        <v>3</v>
      </c>
      <c r="P38" s="121">
        <f>SUMIFS(薪酬明细!$K:$K,薪酬明细!$D:$D,$E38,薪酬明细!$E:$E,$F38,薪酬明细!$H:$H,"&gt;="&amp;P$9,薪酬明细!$H:$H,"&lt;="&amp;P$10,薪酬明细!$A:$A,P$6)</f>
        <v>3</v>
      </c>
      <c r="Q38" s="121">
        <f>SUMIFS(薪酬明细!$K:$K,薪酬明细!$D:$D,$E38,薪酬明细!$E:$E,$F38,薪酬明细!$H:$H,"&gt;="&amp;Q$9,薪酬明细!$H:$H,"&lt;="&amp;Q$10,薪酬明细!$A:$A,Q$6)</f>
        <v>3</v>
      </c>
      <c r="R38" s="121">
        <f>SUMIFS(薪酬明细!$K:$K,薪酬明细!$D:$D,$E38,薪酬明细!$E:$E,$F38,薪酬明细!$H:$H,"&gt;="&amp;R$9,薪酬明细!$H:$H,"&lt;="&amp;R$10,薪酬明细!$A:$A,R$6)</f>
        <v>3</v>
      </c>
      <c r="S38" s="121">
        <f>SUMIFS(薪酬明细!$K:$K,薪酬明细!$D:$D,$E38,薪酬明细!$E:$E,$F38,薪酬明细!$H:$H,"&gt;="&amp;S$9,薪酬明细!$H:$H,"&lt;="&amp;S$10,薪酬明细!$A:$A,S$6)</f>
        <v>3</v>
      </c>
      <c r="T38" s="125">
        <f t="shared" si="82"/>
        <v>3</v>
      </c>
      <c r="U38" s="121">
        <f>SUMIFS(薪酬明细!$K:$K,薪酬明细!$D:$D,$E38,薪酬明细!$E:$E,$F38,薪酬明细!$H:$H,"&gt;="&amp;U$9,薪酬明细!$H:$H,"&lt;="&amp;U$10,薪酬明细!$A:$A,U$6)/MONTH($G$3)</f>
        <v>3</v>
      </c>
      <c r="V38" s="121">
        <f>SUMIFS(薪酬明细!$K:$K,薪酬明细!$D:$D,$E38,薪酬明细!$E:$E,$F38,薪酬明细!$H:$H,"&gt;="&amp;V$9,薪酬明细!$H:$H,"&lt;="&amp;V$10,薪酬明细!$A:$A,V$6)</f>
        <v>3</v>
      </c>
      <c r="W38" s="121">
        <f>SUMIFS(薪酬明细!$K:$K,薪酬明细!$D:$D,$E38,薪酬明细!$E:$E,$F38,薪酬明细!$H:$H,"&gt;="&amp;W$9,薪酬明细!$H:$H,"&lt;="&amp;W$10,薪酬明细!$A:$A,W$6)</f>
        <v>3</v>
      </c>
      <c r="X38" s="121">
        <f>SUMIFS(薪酬明细!$K:$K,薪酬明细!$D:$D,$E38,薪酬明细!$E:$E,$F38,薪酬明细!$H:$H,"&gt;="&amp;X$9,薪酬明细!$H:$H,"&lt;="&amp;X$10,薪酬明细!$A:$A,X$6)</f>
        <v>3</v>
      </c>
      <c r="Y38" s="121">
        <f>SUMIFS(薪酬明细!$K:$K,薪酬明细!$D:$D,$E38,薪酬明细!$E:$E,$F38,薪酬明细!$H:$H,"&gt;="&amp;Y$9,薪酬明细!$H:$H,"&lt;="&amp;Y$10,薪酬明细!$A:$A,Y$6)</f>
        <v>3</v>
      </c>
      <c r="Z38" s="121">
        <f>SUMIFS(薪酬明细!$K:$K,薪酬明细!$D:$D,$E38,薪酬明细!$E:$E,$F38,薪酬明细!$H:$H,"&gt;="&amp;Z$9,薪酬明细!$H:$H,"&lt;="&amp;Z$10,薪酬明细!$A:$A,Z$6)</f>
        <v>3</v>
      </c>
      <c r="AA38" s="121">
        <f>SUMIFS(薪酬明细!$K:$K,薪酬明细!$D:$D,$E38,薪酬明细!$E:$E,$F38,薪酬明细!$H:$H,"&gt;="&amp;AA$9,薪酬明细!$H:$H,"&lt;="&amp;AA$10,薪酬明细!$A:$A,AA$6)</f>
        <v>3</v>
      </c>
      <c r="AB38" s="121">
        <f>SUMIFS(薪酬明细!$K:$K,薪酬明细!$D:$D,$E38,薪酬明细!$E:$E,$F38,薪酬明细!$H:$H,"&gt;="&amp;AB$9,薪酬明细!$H:$H,"&lt;="&amp;AB$10,薪酬明细!$A:$A,AB$6)</f>
        <v>3</v>
      </c>
      <c r="AC38" s="121">
        <f>SUMIFS(薪酬明细!$K:$K,薪酬明细!$D:$D,$E38,薪酬明细!$E:$E,$F38,薪酬明细!$H:$H,"&gt;="&amp;AC$9,薪酬明细!$H:$H,"&lt;="&amp;AC$10,薪酬明细!$A:$A,AC$6)</f>
        <v>3</v>
      </c>
      <c r="AD38" s="121">
        <f>SUMIFS(薪酬明细!$K:$K,薪酬明细!$D:$D,$E38,薪酬明细!$E:$E,$F38,薪酬明细!$H:$H,"&gt;="&amp;AD$9,薪酬明细!$H:$H,"&lt;="&amp;AD$10,薪酬明细!$A:$A,AD$6)</f>
        <v>3</v>
      </c>
      <c r="AE38" s="121">
        <f>SUMIFS(薪酬明细!$K:$K,薪酬明细!$D:$D,$E38,薪酬明细!$E:$E,$F38,薪酬明细!$H:$H,"&gt;="&amp;AE$9,薪酬明细!$H:$H,"&lt;="&amp;AE$10,薪酬明细!$A:$A,AE$6)</f>
        <v>0</v>
      </c>
      <c r="AF38" s="121">
        <f>SUMIFS(薪酬明细!$K:$K,薪酬明细!$D:$D,$E38,薪酬明细!$E:$E,$F38,薪酬明细!$H:$H,"&gt;="&amp;AF$9,薪酬明细!$H:$H,"&lt;="&amp;AF$10,薪酬明细!$A:$A,AF$6)</f>
        <v>0</v>
      </c>
      <c r="AG38" s="121">
        <f>SUMIFS(薪酬明细!$K:$K,薪酬明细!$D:$D,$E38,薪酬明细!$E:$E,$F38,薪酬明细!$H:$H,"&gt;="&amp;AG$9,薪酬明细!$H:$H,"&lt;="&amp;AG$10,薪酬明细!$A:$A,AG$6)</f>
        <v>0</v>
      </c>
      <c r="AH38" s="121">
        <f>SUMIFS(薪酬明细!$K:$K,薪酬明细!$D:$D,$E38,薪酬明细!$E:$E,$F38,薪酬明细!$H:$H,"&gt;="&amp;AH$9,薪酬明细!$H:$H,"&lt;="&amp;AH$10,薪酬明细!$A:$A,AH$6)/(12-MONTH($G$3))</f>
        <v>3</v>
      </c>
      <c r="AI38" s="121">
        <f>SUMIFS(薪酬明细!$K:$K,薪酬明细!$D:$D,$E38,薪酬明细!$E:$E,$F38,薪酬明细!$H:$H,"&gt;="&amp;AI$9,薪酬明细!$H:$H,"&lt;="&amp;AI$10,薪酬明细!$A:$A,AI$6)</f>
        <v>0</v>
      </c>
      <c r="AJ38" s="121">
        <f>SUMIFS(薪酬明细!$K:$K,薪酬明细!$D:$D,$E38,薪酬明细!$E:$E,$F38,薪酬明细!$H:$H,"&gt;="&amp;AJ$9,薪酬明细!$H:$H,"&lt;="&amp;AJ$10,薪酬明细!$A:$A,AJ$6)</f>
        <v>0</v>
      </c>
      <c r="AK38" s="121">
        <f>SUMIFS(薪酬明细!$K:$K,薪酬明细!$D:$D,$E38,薪酬明细!$E:$E,$F38,薪酬明细!$H:$H,"&gt;="&amp;AK$9,薪酬明细!$H:$H,"&lt;="&amp;AK$10,薪酬明细!$A:$A,AK$6)</f>
        <v>0</v>
      </c>
      <c r="AL38" s="121">
        <f>SUMIFS(薪酬明细!$K:$K,薪酬明细!$D:$D,$E38,薪酬明细!$E:$E,$F38,薪酬明细!$H:$H,"&gt;="&amp;AL$9,薪酬明细!$H:$H,"&lt;="&amp;AL$10,薪酬明细!$A:$A,AL$6)</f>
        <v>0</v>
      </c>
      <c r="AM38" s="121">
        <f>SUMIFS(薪酬明细!$K:$K,薪酬明细!$D:$D,$E38,薪酬明细!$E:$E,$F38,薪酬明细!$H:$H,"&gt;="&amp;AM$9,薪酬明细!$H:$H,"&lt;="&amp;AM$10,薪酬明细!$A:$A,AM$6)</f>
        <v>0</v>
      </c>
      <c r="AN38" s="121">
        <f>SUMIFS(薪酬明细!$K:$K,薪酬明细!$D:$D,$E38,薪酬明细!$E:$E,$F38,薪酬明细!$H:$H,"&gt;="&amp;AN$9,薪酬明细!$H:$H,"&lt;="&amp;AN$10,薪酬明细!$A:$A,AN$6)</f>
        <v>0</v>
      </c>
      <c r="AO38" s="121">
        <f>SUMIFS(薪酬明细!$K:$K,薪酬明细!$D:$D,$E38,薪酬明细!$E:$E,$F38,薪酬明细!$H:$H,"&gt;="&amp;AO$9,薪酬明细!$H:$H,"&lt;="&amp;AO$10,薪酬明细!$A:$A,AO$6)</f>
        <v>0</v>
      </c>
      <c r="AP38" s="121">
        <f>SUMIFS(薪酬明细!$K:$K,薪酬明细!$D:$D,$E38,薪酬明细!$E:$E,$F38,薪酬明细!$H:$H,"&gt;="&amp;AP$9,薪酬明细!$H:$H,"&lt;="&amp;AP$10,薪酬明细!$A:$A,AP$6)</f>
        <v>0</v>
      </c>
      <c r="AQ38" s="121">
        <f>SUMIFS(薪酬明细!$K:$K,薪酬明细!$D:$D,$E38,薪酬明细!$E:$E,$F38,薪酬明细!$H:$H,"&gt;="&amp;AQ$9,薪酬明细!$H:$H,"&lt;="&amp;AQ$10,薪酬明细!$A:$A,AQ$6)</f>
        <v>0</v>
      </c>
      <c r="AR38" s="121">
        <f>SUMIFS(薪酬明细!$K:$K,薪酬明细!$D:$D,$E38,薪酬明细!$E:$E,$F38,薪酬明细!$H:$H,"&gt;="&amp;AR$9,薪酬明细!$H:$H,"&lt;="&amp;AR$10,薪酬明细!$A:$A,AR$6)</f>
        <v>3</v>
      </c>
      <c r="AS38" s="121">
        <f>SUMIFS(薪酬明细!$K:$K,薪酬明细!$D:$D,$E38,薪酬明细!$E:$E,$F38,薪酬明细!$H:$H,"&gt;="&amp;AS$9,薪酬明细!$H:$H,"&lt;="&amp;AS$10,薪酬明细!$A:$A,AS$6)</f>
        <v>3</v>
      </c>
      <c r="AT38" s="121">
        <f>SUMIFS(薪酬明细!$K:$K,薪酬明细!$D:$D,$E38,薪酬明细!$E:$E,$F38,薪酬明细!$H:$H,"&gt;="&amp;AT$9,薪酬明细!$H:$H,"&lt;="&amp;AT$10,薪酬明细!$A:$A,AT$6)</f>
        <v>3</v>
      </c>
      <c r="AU38" s="121">
        <f>SUMIFS(薪酬明细!$K:$K,薪酬明细!$D:$D,$E38,薪酬明细!$E:$E,$F38,薪酬明细!$H:$H,"&gt;="&amp;AU$9,薪酬明细!$H:$H,"&lt;="&amp;AU$10,薪酬明细!$A:$A,AU$6)/12</f>
        <v>3</v>
      </c>
      <c r="AV38" s="121">
        <f>SUMIFS(薪酬明细!$K:$K,薪酬明细!$D:$D,$E38,薪酬明细!$E:$E,$F38,薪酬明细!$H:$H,"&gt;="&amp;AV$9,薪酬明细!$H:$H,"&lt;="&amp;AV$10,薪酬明细!$A:$A,AV$6)</f>
        <v>3</v>
      </c>
      <c r="AW38" s="121">
        <f>SUMIFS(薪酬明细!$K:$K,薪酬明细!$D:$D,$E38,薪酬明细!$E:$E,$F38,薪酬明细!$H:$H,"&gt;="&amp;AW$9,薪酬明细!$H:$H,"&lt;="&amp;AW$10,薪酬明细!$A:$A,AW$6)</f>
        <v>3</v>
      </c>
      <c r="AX38" s="121">
        <f>SUMIFS(薪酬明细!$K:$K,薪酬明细!$D:$D,$E38,薪酬明细!$E:$E,$F38,薪酬明细!$H:$H,"&gt;="&amp;AX$9,薪酬明细!$H:$H,"&lt;="&amp;AX$10,薪酬明细!$A:$A,AX$6)</f>
        <v>3</v>
      </c>
      <c r="AY38" s="121">
        <f>SUMIFS(薪酬明细!$K:$K,薪酬明细!$D:$D,$E38,薪酬明细!$E:$E,$F38,薪酬明细!$H:$H,"&gt;="&amp;AY$9,薪酬明细!$H:$H,"&lt;="&amp;AY$10,薪酬明细!$A:$A,AY$6)</f>
        <v>3</v>
      </c>
      <c r="AZ38" s="121">
        <f>SUMIFS(薪酬明细!$K:$K,薪酬明细!$D:$D,$E38,薪酬明细!$E:$E,$F38,薪酬明细!$H:$H,"&gt;="&amp;AZ$9,薪酬明细!$H:$H,"&lt;="&amp;AZ$10,薪酬明细!$A:$A,AZ$6)</f>
        <v>3</v>
      </c>
      <c r="BA38" s="121">
        <f>SUMIFS(薪酬明细!$K:$K,薪酬明细!$D:$D,$E38,薪酬明细!$E:$E,$F38,薪酬明细!$H:$H,"&gt;="&amp;BA$9,薪酬明细!$H:$H,"&lt;="&amp;BA$10,薪酬明细!$A:$A,BA$6)</f>
        <v>3</v>
      </c>
      <c r="BB38" s="121">
        <f>SUMIFS(薪酬明细!$K:$K,薪酬明细!$D:$D,$E38,薪酬明细!$E:$E,$F38,薪酬明细!$H:$H,"&gt;="&amp;BB$9,薪酬明细!$H:$H,"&lt;="&amp;BB$10,薪酬明细!$A:$A,BB$6)</f>
        <v>3</v>
      </c>
      <c r="BC38" s="121">
        <f>SUMIFS(薪酬明细!$K:$K,薪酬明细!$D:$D,$E38,薪酬明细!$E:$E,$F38,薪酬明细!$H:$H,"&gt;="&amp;BC$9,薪酬明细!$H:$H,"&lt;="&amp;BC$10,薪酬明细!$A:$A,BC$6)</f>
        <v>3</v>
      </c>
      <c r="BD38" s="121">
        <f>SUMIFS(薪酬明细!$K:$K,薪酬明细!$D:$D,$E38,薪酬明细!$E:$E,$F38,薪酬明细!$H:$H,"&gt;="&amp;BD$9,薪酬明细!$H:$H,"&lt;="&amp;BD$10,薪酬明细!$A:$A,BD$6)</f>
        <v>3</v>
      </c>
      <c r="BE38" s="121">
        <f>SUMIFS(薪酬明细!$K:$K,薪酬明细!$D:$D,$E38,薪酬明细!$E:$E,$F38,薪酬明细!$H:$H,"&gt;="&amp;BE$9,薪酬明细!$H:$H,"&lt;="&amp;BE$10,薪酬明细!$A:$A,BE$6)</f>
        <v>3</v>
      </c>
      <c r="BF38" s="121">
        <f>SUMIFS(薪酬明细!$K:$K,薪酬明细!$D:$D,$E38,薪酬明细!$E:$E,$F38,薪酬明细!$H:$H,"&gt;="&amp;BF$9,薪酬明细!$H:$H,"&lt;="&amp;BF$10,薪酬明细!$A:$A,BF$6)</f>
        <v>3</v>
      </c>
      <c r="BG38" s="121">
        <f>SUMIFS(薪酬明细!$K:$K,薪酬明细!$D:$D,$E38,薪酬明细!$E:$E,$F38,薪酬明细!$H:$H,"&gt;="&amp;BG$9,薪酬明细!$H:$H,"&lt;="&amp;BG$10,薪酬明细!$A:$A,BG$6)</f>
        <v>3</v>
      </c>
    </row>
    <row r="39" ht="16.2" spans="3:59">
      <c r="C39" s="42"/>
      <c r="D39" s="42" t="s">
        <v>90</v>
      </c>
      <c r="E39" s="116" t="str">
        <f t="shared" si="81"/>
        <v>支持中心</v>
      </c>
      <c r="F39" s="116" t="str">
        <f t="shared" si="83"/>
        <v>总经办</v>
      </c>
      <c r="G39" s="121">
        <f>SUMIFS(薪酬明细!$K:$K,薪酬明细!$D:$D,$E39,薪酬明细!$E:$E,$F39,薪酬明细!$H:$H,"&gt;="&amp;G$9,薪酬明细!$H:$H,"&lt;="&amp;G$10,薪酬明细!$A:$A,G$6)/12</f>
        <v>1</v>
      </c>
      <c r="H39" s="121">
        <f>SUMIFS(薪酬明细!$K:$K,薪酬明细!$D:$D,$E39,薪酬明细!$E:$E,$F39,薪酬明细!$H:$H,"&gt;="&amp;H$9,薪酬明细!$H:$H,"&lt;="&amp;H$10,薪酬明细!$A:$A,H$6)</f>
        <v>1</v>
      </c>
      <c r="I39" s="121">
        <f>SUMIFS(薪酬明细!$K:$K,薪酬明细!$D:$D,$E39,薪酬明细!$E:$E,$F39,薪酬明细!$H:$H,"&gt;="&amp;I$9,薪酬明细!$H:$H,"&lt;="&amp;I$10,薪酬明细!$A:$A,I$6)</f>
        <v>1</v>
      </c>
      <c r="J39" s="121">
        <f>SUMIFS(薪酬明细!$K:$K,薪酬明细!$D:$D,$E39,薪酬明细!$E:$E,$F39,薪酬明细!$H:$H,"&gt;="&amp;J$9,薪酬明细!$H:$H,"&lt;="&amp;J$10,薪酬明细!$A:$A,J$6)</f>
        <v>1</v>
      </c>
      <c r="K39" s="121">
        <f>SUMIFS(薪酬明细!$K:$K,薪酬明细!$D:$D,$E39,薪酬明细!$E:$E,$F39,薪酬明细!$H:$H,"&gt;="&amp;K$9,薪酬明细!$H:$H,"&lt;="&amp;K$10,薪酬明细!$A:$A,K$6)</f>
        <v>1</v>
      </c>
      <c r="L39" s="121">
        <f>SUMIFS(薪酬明细!$K:$K,薪酬明细!$D:$D,$E39,薪酬明细!$E:$E,$F39,薪酬明细!$H:$H,"&gt;="&amp;L$9,薪酬明细!$H:$H,"&lt;="&amp;L$10,薪酬明细!$A:$A,L$6)</f>
        <v>1</v>
      </c>
      <c r="M39" s="121">
        <f>SUMIFS(薪酬明细!$K:$K,薪酬明细!$D:$D,$E39,薪酬明细!$E:$E,$F39,薪酬明细!$H:$H,"&gt;="&amp;M$9,薪酬明细!$H:$H,"&lt;="&amp;M$10,薪酬明细!$A:$A,M$6)</f>
        <v>1</v>
      </c>
      <c r="N39" s="121">
        <f>SUMIFS(薪酬明细!$K:$K,薪酬明细!$D:$D,$E39,薪酬明细!$E:$E,$F39,薪酬明细!$H:$H,"&gt;="&amp;N$9,薪酬明细!$H:$H,"&lt;="&amp;N$10,薪酬明细!$A:$A,N$6)</f>
        <v>1</v>
      </c>
      <c r="O39" s="121">
        <f>SUMIFS(薪酬明细!$K:$K,薪酬明细!$D:$D,$E39,薪酬明细!$E:$E,$F39,薪酬明细!$H:$H,"&gt;="&amp;O$9,薪酬明细!$H:$H,"&lt;="&amp;O$10,薪酬明细!$A:$A,O$6)</f>
        <v>1</v>
      </c>
      <c r="P39" s="121">
        <f>SUMIFS(薪酬明细!$K:$K,薪酬明细!$D:$D,$E39,薪酬明细!$E:$E,$F39,薪酬明细!$H:$H,"&gt;="&amp;P$9,薪酬明细!$H:$H,"&lt;="&amp;P$10,薪酬明细!$A:$A,P$6)</f>
        <v>1</v>
      </c>
      <c r="Q39" s="121">
        <f>SUMIFS(薪酬明细!$K:$K,薪酬明细!$D:$D,$E39,薪酬明细!$E:$E,$F39,薪酬明细!$H:$H,"&gt;="&amp;Q$9,薪酬明细!$H:$H,"&lt;="&amp;Q$10,薪酬明细!$A:$A,Q$6)</f>
        <v>1</v>
      </c>
      <c r="R39" s="121">
        <f>SUMIFS(薪酬明细!$K:$K,薪酬明细!$D:$D,$E39,薪酬明细!$E:$E,$F39,薪酬明细!$H:$H,"&gt;="&amp;R$9,薪酬明细!$H:$H,"&lt;="&amp;R$10,薪酬明细!$A:$A,R$6)</f>
        <v>1</v>
      </c>
      <c r="S39" s="121">
        <f>SUMIFS(薪酬明细!$K:$K,薪酬明细!$D:$D,$E39,薪酬明细!$E:$E,$F39,薪酬明细!$H:$H,"&gt;="&amp;S$9,薪酬明细!$H:$H,"&lt;="&amp;S$10,薪酬明细!$A:$A,S$6)</f>
        <v>1</v>
      </c>
      <c r="T39" s="125">
        <f t="shared" si="82"/>
        <v>1</v>
      </c>
      <c r="U39" s="121">
        <f>SUMIFS(薪酬明细!$K:$K,薪酬明细!$D:$D,$E39,薪酬明细!$E:$E,$F39,薪酬明细!$H:$H,"&gt;="&amp;U$9,薪酬明细!$H:$H,"&lt;="&amp;U$10,薪酬明细!$A:$A,U$6)/MONTH($G$3)</f>
        <v>1</v>
      </c>
      <c r="V39" s="121">
        <f>SUMIFS(薪酬明细!$K:$K,薪酬明细!$D:$D,$E39,薪酬明细!$E:$E,$F39,薪酬明细!$H:$H,"&gt;="&amp;V$9,薪酬明细!$H:$H,"&lt;="&amp;V$10,薪酬明细!$A:$A,V$6)</f>
        <v>1</v>
      </c>
      <c r="W39" s="121">
        <f>SUMIFS(薪酬明细!$K:$K,薪酬明细!$D:$D,$E39,薪酬明细!$E:$E,$F39,薪酬明细!$H:$H,"&gt;="&amp;W$9,薪酬明细!$H:$H,"&lt;="&amp;W$10,薪酬明细!$A:$A,W$6)</f>
        <v>1</v>
      </c>
      <c r="X39" s="121">
        <f>SUMIFS(薪酬明细!$K:$K,薪酬明细!$D:$D,$E39,薪酬明细!$E:$E,$F39,薪酬明细!$H:$H,"&gt;="&amp;X$9,薪酬明细!$H:$H,"&lt;="&amp;X$10,薪酬明细!$A:$A,X$6)</f>
        <v>1</v>
      </c>
      <c r="Y39" s="121">
        <f>SUMIFS(薪酬明细!$K:$K,薪酬明细!$D:$D,$E39,薪酬明细!$E:$E,$F39,薪酬明细!$H:$H,"&gt;="&amp;Y$9,薪酬明细!$H:$H,"&lt;="&amp;Y$10,薪酬明细!$A:$A,Y$6)</f>
        <v>1</v>
      </c>
      <c r="Z39" s="121">
        <f>SUMIFS(薪酬明细!$K:$K,薪酬明细!$D:$D,$E39,薪酬明细!$E:$E,$F39,薪酬明细!$H:$H,"&gt;="&amp;Z$9,薪酬明细!$H:$H,"&lt;="&amp;Z$10,薪酬明细!$A:$A,Z$6)</f>
        <v>1</v>
      </c>
      <c r="AA39" s="121">
        <f>SUMIFS(薪酬明细!$K:$K,薪酬明细!$D:$D,$E39,薪酬明细!$E:$E,$F39,薪酬明细!$H:$H,"&gt;="&amp;AA$9,薪酬明细!$H:$H,"&lt;="&amp;AA$10,薪酬明细!$A:$A,AA$6)</f>
        <v>1</v>
      </c>
      <c r="AB39" s="121">
        <f>SUMIFS(薪酬明细!$K:$K,薪酬明细!$D:$D,$E39,薪酬明细!$E:$E,$F39,薪酬明细!$H:$H,"&gt;="&amp;AB$9,薪酬明细!$H:$H,"&lt;="&amp;AB$10,薪酬明细!$A:$A,AB$6)</f>
        <v>1</v>
      </c>
      <c r="AC39" s="121">
        <f>SUMIFS(薪酬明细!$K:$K,薪酬明细!$D:$D,$E39,薪酬明细!$E:$E,$F39,薪酬明细!$H:$H,"&gt;="&amp;AC$9,薪酬明细!$H:$H,"&lt;="&amp;AC$10,薪酬明细!$A:$A,AC$6)</f>
        <v>1</v>
      </c>
      <c r="AD39" s="121">
        <f>SUMIFS(薪酬明细!$K:$K,薪酬明细!$D:$D,$E39,薪酬明细!$E:$E,$F39,薪酬明细!$H:$H,"&gt;="&amp;AD$9,薪酬明细!$H:$H,"&lt;="&amp;AD$10,薪酬明细!$A:$A,AD$6)</f>
        <v>1</v>
      </c>
      <c r="AE39" s="121">
        <f>SUMIFS(薪酬明细!$K:$K,薪酬明细!$D:$D,$E39,薪酬明细!$E:$E,$F39,薪酬明细!$H:$H,"&gt;="&amp;AE$9,薪酬明细!$H:$H,"&lt;="&amp;AE$10,薪酬明细!$A:$A,AE$6)</f>
        <v>0</v>
      </c>
      <c r="AF39" s="121">
        <f>SUMIFS(薪酬明细!$K:$K,薪酬明细!$D:$D,$E39,薪酬明细!$E:$E,$F39,薪酬明细!$H:$H,"&gt;="&amp;AF$9,薪酬明细!$H:$H,"&lt;="&amp;AF$10,薪酬明细!$A:$A,AF$6)</f>
        <v>0</v>
      </c>
      <c r="AG39" s="121">
        <f>SUMIFS(薪酬明细!$K:$K,薪酬明细!$D:$D,$E39,薪酬明细!$E:$E,$F39,薪酬明细!$H:$H,"&gt;="&amp;AG$9,薪酬明细!$H:$H,"&lt;="&amp;AG$10,薪酬明细!$A:$A,AG$6)</f>
        <v>0</v>
      </c>
      <c r="AH39" s="121">
        <f>SUMIFS(薪酬明细!$K:$K,薪酬明细!$D:$D,$E39,薪酬明细!$E:$E,$F39,薪酬明细!$H:$H,"&gt;="&amp;AH$9,薪酬明细!$H:$H,"&lt;="&amp;AH$10,薪酬明细!$A:$A,AH$6)/(12-MONTH($G$3))</f>
        <v>1</v>
      </c>
      <c r="AI39" s="121">
        <f>SUMIFS(薪酬明细!$K:$K,薪酬明细!$D:$D,$E39,薪酬明细!$E:$E,$F39,薪酬明细!$H:$H,"&gt;="&amp;AI$9,薪酬明细!$H:$H,"&lt;="&amp;AI$10,薪酬明细!$A:$A,AI$6)</f>
        <v>0</v>
      </c>
      <c r="AJ39" s="121">
        <f>SUMIFS(薪酬明细!$K:$K,薪酬明细!$D:$D,$E39,薪酬明细!$E:$E,$F39,薪酬明细!$H:$H,"&gt;="&amp;AJ$9,薪酬明细!$H:$H,"&lt;="&amp;AJ$10,薪酬明细!$A:$A,AJ$6)</f>
        <v>0</v>
      </c>
      <c r="AK39" s="121">
        <f>SUMIFS(薪酬明细!$K:$K,薪酬明细!$D:$D,$E39,薪酬明细!$E:$E,$F39,薪酬明细!$H:$H,"&gt;="&amp;AK$9,薪酬明细!$H:$H,"&lt;="&amp;AK$10,薪酬明细!$A:$A,AK$6)</f>
        <v>0</v>
      </c>
      <c r="AL39" s="121">
        <f>SUMIFS(薪酬明细!$K:$K,薪酬明细!$D:$D,$E39,薪酬明细!$E:$E,$F39,薪酬明细!$H:$H,"&gt;="&amp;AL$9,薪酬明细!$H:$H,"&lt;="&amp;AL$10,薪酬明细!$A:$A,AL$6)</f>
        <v>0</v>
      </c>
      <c r="AM39" s="121">
        <f>SUMIFS(薪酬明细!$K:$K,薪酬明细!$D:$D,$E39,薪酬明细!$E:$E,$F39,薪酬明细!$H:$H,"&gt;="&amp;AM$9,薪酬明细!$H:$H,"&lt;="&amp;AM$10,薪酬明细!$A:$A,AM$6)</f>
        <v>0</v>
      </c>
      <c r="AN39" s="121">
        <f>SUMIFS(薪酬明细!$K:$K,薪酬明细!$D:$D,$E39,薪酬明细!$E:$E,$F39,薪酬明细!$H:$H,"&gt;="&amp;AN$9,薪酬明细!$H:$H,"&lt;="&amp;AN$10,薪酬明细!$A:$A,AN$6)</f>
        <v>0</v>
      </c>
      <c r="AO39" s="121">
        <f>SUMIFS(薪酬明细!$K:$K,薪酬明细!$D:$D,$E39,薪酬明细!$E:$E,$F39,薪酬明细!$H:$H,"&gt;="&amp;AO$9,薪酬明细!$H:$H,"&lt;="&amp;AO$10,薪酬明细!$A:$A,AO$6)</f>
        <v>0</v>
      </c>
      <c r="AP39" s="121">
        <f>SUMIFS(薪酬明细!$K:$K,薪酬明细!$D:$D,$E39,薪酬明细!$E:$E,$F39,薪酬明细!$H:$H,"&gt;="&amp;AP$9,薪酬明细!$H:$H,"&lt;="&amp;AP$10,薪酬明细!$A:$A,AP$6)</f>
        <v>0</v>
      </c>
      <c r="AQ39" s="121">
        <f>SUMIFS(薪酬明细!$K:$K,薪酬明细!$D:$D,$E39,薪酬明细!$E:$E,$F39,薪酬明细!$H:$H,"&gt;="&amp;AQ$9,薪酬明细!$H:$H,"&lt;="&amp;AQ$10,薪酬明细!$A:$A,AQ$6)</f>
        <v>0</v>
      </c>
      <c r="AR39" s="121">
        <f>SUMIFS(薪酬明细!$K:$K,薪酬明细!$D:$D,$E39,薪酬明细!$E:$E,$F39,薪酬明细!$H:$H,"&gt;="&amp;AR$9,薪酬明细!$H:$H,"&lt;="&amp;AR$10,薪酬明细!$A:$A,AR$6)</f>
        <v>1</v>
      </c>
      <c r="AS39" s="121">
        <f>SUMIFS(薪酬明细!$K:$K,薪酬明细!$D:$D,$E39,薪酬明细!$E:$E,$F39,薪酬明细!$H:$H,"&gt;="&amp;AS$9,薪酬明细!$H:$H,"&lt;="&amp;AS$10,薪酬明细!$A:$A,AS$6)</f>
        <v>1</v>
      </c>
      <c r="AT39" s="121">
        <f>SUMIFS(薪酬明细!$K:$K,薪酬明细!$D:$D,$E39,薪酬明细!$E:$E,$F39,薪酬明细!$H:$H,"&gt;="&amp;AT$9,薪酬明细!$H:$H,"&lt;="&amp;AT$10,薪酬明细!$A:$A,AT$6)</f>
        <v>1</v>
      </c>
      <c r="AU39" s="121">
        <f>SUMIFS(薪酬明细!$K:$K,薪酬明细!$D:$D,$E39,薪酬明细!$E:$E,$F39,薪酬明细!$H:$H,"&gt;="&amp;AU$9,薪酬明细!$H:$H,"&lt;="&amp;AU$10,薪酬明细!$A:$A,AU$6)/12</f>
        <v>1</v>
      </c>
      <c r="AV39" s="121">
        <f>SUMIFS(薪酬明细!$K:$K,薪酬明细!$D:$D,$E39,薪酬明细!$E:$E,$F39,薪酬明细!$H:$H,"&gt;="&amp;AV$9,薪酬明细!$H:$H,"&lt;="&amp;AV$10,薪酬明细!$A:$A,AV$6)</f>
        <v>1</v>
      </c>
      <c r="AW39" s="121">
        <f>SUMIFS(薪酬明细!$K:$K,薪酬明细!$D:$D,$E39,薪酬明细!$E:$E,$F39,薪酬明细!$H:$H,"&gt;="&amp;AW$9,薪酬明细!$H:$H,"&lt;="&amp;AW$10,薪酬明细!$A:$A,AW$6)</f>
        <v>1</v>
      </c>
      <c r="AX39" s="121">
        <f>SUMIFS(薪酬明细!$K:$K,薪酬明细!$D:$D,$E39,薪酬明细!$E:$E,$F39,薪酬明细!$H:$H,"&gt;="&amp;AX$9,薪酬明细!$H:$H,"&lt;="&amp;AX$10,薪酬明细!$A:$A,AX$6)</f>
        <v>1</v>
      </c>
      <c r="AY39" s="121">
        <f>SUMIFS(薪酬明细!$K:$K,薪酬明细!$D:$D,$E39,薪酬明细!$E:$E,$F39,薪酬明细!$H:$H,"&gt;="&amp;AY$9,薪酬明细!$H:$H,"&lt;="&amp;AY$10,薪酬明细!$A:$A,AY$6)</f>
        <v>1</v>
      </c>
      <c r="AZ39" s="121">
        <f>SUMIFS(薪酬明细!$K:$K,薪酬明细!$D:$D,$E39,薪酬明细!$E:$E,$F39,薪酬明细!$H:$H,"&gt;="&amp;AZ$9,薪酬明细!$H:$H,"&lt;="&amp;AZ$10,薪酬明细!$A:$A,AZ$6)</f>
        <v>1</v>
      </c>
      <c r="BA39" s="121">
        <f>SUMIFS(薪酬明细!$K:$K,薪酬明细!$D:$D,$E39,薪酬明细!$E:$E,$F39,薪酬明细!$H:$H,"&gt;="&amp;BA$9,薪酬明细!$H:$H,"&lt;="&amp;BA$10,薪酬明细!$A:$A,BA$6)</f>
        <v>1</v>
      </c>
      <c r="BB39" s="121">
        <f>SUMIFS(薪酬明细!$K:$K,薪酬明细!$D:$D,$E39,薪酬明细!$E:$E,$F39,薪酬明细!$H:$H,"&gt;="&amp;BB$9,薪酬明细!$H:$H,"&lt;="&amp;BB$10,薪酬明细!$A:$A,BB$6)</f>
        <v>1</v>
      </c>
      <c r="BC39" s="121">
        <f>SUMIFS(薪酬明细!$K:$K,薪酬明细!$D:$D,$E39,薪酬明细!$E:$E,$F39,薪酬明细!$H:$H,"&gt;="&amp;BC$9,薪酬明细!$H:$H,"&lt;="&amp;BC$10,薪酬明细!$A:$A,BC$6)</f>
        <v>1</v>
      </c>
      <c r="BD39" s="121">
        <f>SUMIFS(薪酬明细!$K:$K,薪酬明细!$D:$D,$E39,薪酬明细!$E:$E,$F39,薪酬明细!$H:$H,"&gt;="&amp;BD$9,薪酬明细!$H:$H,"&lt;="&amp;BD$10,薪酬明细!$A:$A,BD$6)</f>
        <v>1</v>
      </c>
      <c r="BE39" s="121">
        <f>SUMIFS(薪酬明细!$K:$K,薪酬明细!$D:$D,$E39,薪酬明细!$E:$E,$F39,薪酬明细!$H:$H,"&gt;="&amp;BE$9,薪酬明细!$H:$H,"&lt;="&amp;BE$10,薪酬明细!$A:$A,BE$6)</f>
        <v>1</v>
      </c>
      <c r="BF39" s="121">
        <f>SUMIFS(薪酬明细!$K:$K,薪酬明细!$D:$D,$E39,薪酬明细!$E:$E,$F39,薪酬明细!$H:$H,"&gt;="&amp;BF$9,薪酬明细!$H:$H,"&lt;="&amp;BF$10,薪酬明细!$A:$A,BF$6)</f>
        <v>1</v>
      </c>
      <c r="BG39" s="121">
        <f>SUMIFS(薪酬明细!$K:$K,薪酬明细!$D:$D,$E39,薪酬明细!$E:$E,$F39,薪酬明细!$H:$H,"&gt;="&amp;BG$9,薪酬明细!$H:$H,"&lt;="&amp;BG$10,薪酬明细!$A:$A,BG$6)</f>
        <v>1</v>
      </c>
    </row>
    <row r="41" ht="20.4" spans="2:2">
      <c r="B41" s="118" t="s">
        <v>92</v>
      </c>
    </row>
    <row r="42" s="101" customFormat="1" ht="19.2" customHeight="1" spans="2:59">
      <c r="B42" s="42" t="s">
        <v>76</v>
      </c>
      <c r="C42" s="119"/>
      <c r="D42" s="119"/>
      <c r="E42" s="119" t="s">
        <v>78</v>
      </c>
      <c r="F42" s="119" t="s">
        <v>78</v>
      </c>
      <c r="G42" s="120">
        <f>SUMIFS(薪酬明细!$L:$L,薪酬明细!$D:$D,$E42,薪酬明细!$E:$E,$F42,薪酬明细!$H:$H,"&gt;="&amp;G$9,薪酬明细!$H:$H,"&lt;="&amp;G$10,薪酬明细!$A:$A,G$6)/10000</f>
        <v>710.1</v>
      </c>
      <c r="H42" s="120">
        <f>SUMIFS(薪酬明细!$L:$L,薪酬明细!$D:$D,$E42,薪酬明细!$E:$E,$F42,薪酬明细!$H:$H,"&gt;="&amp;H$9,薪酬明细!$H:$H,"&lt;="&amp;H$10,薪酬明细!$A:$A,H$6)/10000</f>
        <v>59.3</v>
      </c>
      <c r="I42" s="120">
        <f>SUMIFS(薪酬明细!$L:$L,薪酬明细!$D:$D,$E42,薪酬明细!$E:$E,$F42,薪酬明细!$H:$H,"&gt;="&amp;I$9,薪酬明细!$H:$H,"&lt;="&amp;I$10,薪酬明细!$A:$A,I$6)/10000</f>
        <v>59.1</v>
      </c>
      <c r="J42" s="120">
        <f>SUMIFS(薪酬明细!$L:$L,薪酬明细!$D:$D,$E42,薪酬明细!$E:$E,$F42,薪酬明细!$H:$H,"&gt;="&amp;J$9,薪酬明细!$H:$H,"&lt;="&amp;J$10,薪酬明细!$A:$A,J$6)/10000</f>
        <v>59.1</v>
      </c>
      <c r="K42" s="120">
        <f>SUMIFS(薪酬明细!$L:$L,薪酬明细!$D:$D,$E42,薪酬明细!$E:$E,$F42,薪酬明细!$H:$H,"&gt;="&amp;K$9,薪酬明细!$H:$H,"&lt;="&amp;K$10,薪酬明细!$A:$A,K$6)/10000</f>
        <v>59.1</v>
      </c>
      <c r="L42" s="120">
        <f>SUMIFS(薪酬明细!$L:$L,薪酬明细!$D:$D,$E42,薪酬明细!$E:$E,$F42,薪酬明细!$H:$H,"&gt;="&amp;L$9,薪酬明细!$H:$H,"&lt;="&amp;L$10,薪酬明细!$A:$A,L$6)/10000</f>
        <v>59.1</v>
      </c>
      <c r="M42" s="120">
        <f>SUMIFS(薪酬明细!$L:$L,薪酬明细!$D:$D,$E42,薪酬明细!$E:$E,$F42,薪酬明细!$H:$H,"&gt;="&amp;M$9,薪酬明细!$H:$H,"&lt;="&amp;M$10,薪酬明细!$A:$A,M$6)/10000</f>
        <v>59.3</v>
      </c>
      <c r="N42" s="120">
        <f>SUMIFS(薪酬明细!$L:$L,薪酬明细!$D:$D,$E42,薪酬明细!$E:$E,$F42,薪酬明细!$H:$H,"&gt;="&amp;N$9,薪酬明细!$H:$H,"&lt;="&amp;N$10,薪酬明细!$A:$A,N$6)/10000</f>
        <v>59.4</v>
      </c>
      <c r="O42" s="120">
        <f>SUMIFS(薪酬明细!$L:$L,薪酬明细!$D:$D,$E42,薪酬明细!$E:$E,$F42,薪酬明细!$H:$H,"&gt;="&amp;O$9,薪酬明细!$H:$H,"&lt;="&amp;O$10,薪酬明细!$A:$A,O$6)/10000</f>
        <v>59.2</v>
      </c>
      <c r="P42" s="120">
        <f>SUMIFS(薪酬明细!$L:$L,薪酬明细!$D:$D,$E42,薪酬明细!$E:$E,$F42,薪酬明细!$H:$H,"&gt;="&amp;P$9,薪酬明细!$H:$H,"&lt;="&amp;P$10,薪酬明细!$A:$A,P$6)/10000</f>
        <v>59.4</v>
      </c>
      <c r="Q42" s="120">
        <f>SUMIFS(薪酬明细!$L:$L,薪酬明细!$D:$D,$E42,薪酬明细!$E:$E,$F42,薪酬明细!$H:$H,"&gt;="&amp;Q$9,薪酬明细!$H:$H,"&lt;="&amp;Q$10,薪酬明细!$A:$A,Q$6)/10000</f>
        <v>58.9</v>
      </c>
      <c r="R42" s="120">
        <f>SUMIFS(薪酬明细!$L:$L,薪酬明细!$D:$D,$E42,薪酬明细!$E:$E,$F42,薪酬明细!$H:$H,"&gt;="&amp;R$9,薪酬明细!$H:$H,"&lt;="&amp;R$10,薪酬明细!$A:$A,R$6)/10000</f>
        <v>59.2</v>
      </c>
      <c r="S42" s="120">
        <f>SUMIFS(薪酬明细!$L:$L,薪酬明细!$D:$D,$E42,薪酬明细!$E:$E,$F42,薪酬明细!$H:$H,"&gt;="&amp;S$9,薪酬明细!$H:$H,"&lt;="&amp;S$10,薪酬明细!$A:$A,S$6)/10000</f>
        <v>59.1</v>
      </c>
      <c r="T42" s="124">
        <f>U42+AH42</f>
        <v>710.1</v>
      </c>
      <c r="U42" s="120">
        <f>SUMIFS(薪酬明细!$L:$L,薪酬明细!$D:$D,$E42,薪酬明细!$E:$E,$F42,薪酬明细!$H:$H,"&gt;="&amp;U$9,薪酬明细!$H:$H,"&lt;="&amp;U$10,薪酬明细!$A:$A,U$6)/10000</f>
        <v>532.4</v>
      </c>
      <c r="V42" s="120">
        <f>SUMIFS(薪酬明细!$L:$L,薪酬明细!$D:$D,$E42,薪酬明细!$E:$E,$F42,薪酬明细!$H:$H,"&gt;="&amp;V$9,薪酬明细!$H:$H,"&lt;="&amp;V$10,薪酬明细!$A:$A,V$6)/10000</f>
        <v>59.3</v>
      </c>
      <c r="W42" s="120">
        <f>SUMIFS(薪酬明细!$L:$L,薪酬明细!$D:$D,$E42,薪酬明细!$E:$E,$F42,薪酬明细!$H:$H,"&gt;="&amp;W$9,薪酬明细!$H:$H,"&lt;="&amp;W$10,薪酬明细!$A:$A,W$6)/10000</f>
        <v>59.2</v>
      </c>
      <c r="X42" s="120">
        <f>SUMIFS(薪酬明细!$L:$L,薪酬明细!$D:$D,$E42,薪酬明细!$E:$E,$F42,薪酬明细!$H:$H,"&gt;="&amp;X$9,薪酬明细!$H:$H,"&lt;="&amp;X$10,薪酬明细!$A:$A,X$6)/10000</f>
        <v>59.2</v>
      </c>
      <c r="Y42" s="120">
        <f>SUMIFS(薪酬明细!$L:$L,薪酬明细!$D:$D,$E42,薪酬明细!$E:$E,$F42,薪酬明细!$H:$H,"&gt;="&amp;Y$9,薪酬明细!$H:$H,"&lt;="&amp;Y$10,薪酬明细!$A:$A,Y$6)/10000</f>
        <v>59.2</v>
      </c>
      <c r="Z42" s="120">
        <f>SUMIFS(薪酬明细!$L:$L,薪酬明细!$D:$D,$E42,薪酬明细!$E:$E,$F42,薪酬明细!$H:$H,"&gt;="&amp;Z$9,薪酬明细!$H:$H,"&lt;="&amp;Z$10,薪酬明细!$A:$A,Z$6)/10000</f>
        <v>58.8</v>
      </c>
      <c r="AA42" s="120">
        <f>SUMIFS(薪酬明细!$L:$L,薪酬明细!$D:$D,$E42,薪酬明细!$E:$E,$F42,薪酬明细!$H:$H,"&gt;="&amp;AA$9,薪酬明细!$H:$H,"&lt;="&amp;AA$10,薪酬明细!$A:$A,AA$6)/10000</f>
        <v>59.1</v>
      </c>
      <c r="AB42" s="120">
        <f>SUMIFS(薪酬明细!$L:$L,薪酬明细!$D:$D,$E42,薪酬明细!$E:$E,$F42,薪酬明细!$H:$H,"&gt;="&amp;AB$9,薪酬明细!$H:$H,"&lt;="&amp;AB$10,薪酬明细!$A:$A,AB$6)/10000</f>
        <v>59.1</v>
      </c>
      <c r="AC42" s="120">
        <f>SUMIFS(薪酬明细!$L:$L,薪酬明细!$D:$D,$E42,薪酬明细!$E:$E,$F42,薪酬明细!$H:$H,"&gt;="&amp;AC$9,薪酬明细!$H:$H,"&lt;="&amp;AC$10,薪酬明细!$A:$A,AC$6)/10000</f>
        <v>59.2</v>
      </c>
      <c r="AD42" s="120">
        <f>SUMIFS(薪酬明细!$L:$L,薪酬明细!$D:$D,$E42,薪酬明细!$E:$E,$F42,薪酬明细!$H:$H,"&gt;="&amp;AD$9,薪酬明细!$H:$H,"&lt;="&amp;AD$10,薪酬明细!$A:$A,AD$6)/10000</f>
        <v>59.3</v>
      </c>
      <c r="AE42" s="120">
        <f>SUMIFS(薪酬明细!$L:$L,薪酬明细!$D:$D,$E42,薪酬明细!$E:$E,$F42,薪酬明细!$H:$H,"&gt;="&amp;AE$9,薪酬明细!$H:$H,"&lt;="&amp;AE$10,薪酬明细!$A:$A,AE$6)/10000</f>
        <v>0</v>
      </c>
      <c r="AF42" s="120">
        <f>SUMIFS(薪酬明细!$L:$L,薪酬明细!$D:$D,$E42,薪酬明细!$E:$E,$F42,薪酬明细!$H:$H,"&gt;="&amp;AF$9,薪酬明细!$H:$H,"&lt;="&amp;AF$10,薪酬明细!$A:$A,AF$6)/10000</f>
        <v>0</v>
      </c>
      <c r="AG42" s="120">
        <f>SUMIFS(薪酬明细!$L:$L,薪酬明细!$D:$D,$E42,薪酬明细!$E:$E,$F42,薪酬明细!$H:$H,"&gt;="&amp;AG$9,薪酬明细!$H:$H,"&lt;="&amp;AG$10,薪酬明细!$A:$A,AG$6)/10000</f>
        <v>0</v>
      </c>
      <c r="AH42" s="120">
        <f>SUMIFS(薪酬明细!$L:$L,薪酬明细!$D:$D,$E42,薪酬明细!$E:$E,$F42,薪酬明细!$H:$H,"&gt;="&amp;AH$9,薪酬明细!$H:$H,"&lt;="&amp;AH$10,薪酬明细!$A:$A,AH$6)/10000</f>
        <v>177.7</v>
      </c>
      <c r="AI42" s="120">
        <f>SUMIFS(薪酬明细!$L:$L,薪酬明细!$D:$D,$E42,薪酬明细!$E:$E,$F42,薪酬明细!$H:$H,"&gt;="&amp;AI$9,薪酬明细!$H:$H,"&lt;="&amp;AI$10,薪酬明细!$A:$A,AI$6)/10000</f>
        <v>0</v>
      </c>
      <c r="AJ42" s="120">
        <f>SUMIFS(薪酬明细!$L:$L,薪酬明细!$D:$D,$E42,薪酬明细!$E:$E,$F42,薪酬明细!$H:$H,"&gt;="&amp;AJ$9,薪酬明细!$H:$H,"&lt;="&amp;AJ$10,薪酬明细!$A:$A,AJ$6)/10000</f>
        <v>0</v>
      </c>
      <c r="AK42" s="120">
        <f>SUMIFS(薪酬明细!$L:$L,薪酬明细!$D:$D,$E42,薪酬明细!$E:$E,$F42,薪酬明细!$H:$H,"&gt;="&amp;AK$9,薪酬明细!$H:$H,"&lt;="&amp;AK$10,薪酬明细!$A:$A,AK$6)/10000</f>
        <v>0</v>
      </c>
      <c r="AL42" s="120">
        <f>SUMIFS(薪酬明细!$L:$L,薪酬明细!$D:$D,$E42,薪酬明细!$E:$E,$F42,薪酬明细!$H:$H,"&gt;="&amp;AL$9,薪酬明细!$H:$H,"&lt;="&amp;AL$10,薪酬明细!$A:$A,AL$6)/10000</f>
        <v>0</v>
      </c>
      <c r="AM42" s="120">
        <f>SUMIFS(薪酬明细!$L:$L,薪酬明细!$D:$D,$E42,薪酬明细!$E:$E,$F42,薪酬明细!$H:$H,"&gt;="&amp;AM$9,薪酬明细!$H:$H,"&lt;="&amp;AM$10,薪酬明细!$A:$A,AM$6)/10000</f>
        <v>0</v>
      </c>
      <c r="AN42" s="120">
        <f>SUMIFS(薪酬明细!$L:$L,薪酬明细!$D:$D,$E42,薪酬明细!$E:$E,$F42,薪酬明细!$H:$H,"&gt;="&amp;AN$9,薪酬明细!$H:$H,"&lt;="&amp;AN$10,薪酬明细!$A:$A,AN$6)/10000</f>
        <v>0</v>
      </c>
      <c r="AO42" s="120">
        <f>SUMIFS(薪酬明细!$L:$L,薪酬明细!$D:$D,$E42,薪酬明细!$E:$E,$F42,薪酬明细!$H:$H,"&gt;="&amp;AO$9,薪酬明细!$H:$H,"&lt;="&amp;AO$10,薪酬明细!$A:$A,AO$6)/10000</f>
        <v>0</v>
      </c>
      <c r="AP42" s="120">
        <f>SUMIFS(薪酬明细!$L:$L,薪酬明细!$D:$D,$E42,薪酬明细!$E:$E,$F42,薪酬明细!$H:$H,"&gt;="&amp;AP$9,薪酬明细!$H:$H,"&lt;="&amp;AP$10,薪酬明细!$A:$A,AP$6)/10000</f>
        <v>0</v>
      </c>
      <c r="AQ42" s="120">
        <f>SUMIFS(薪酬明细!$L:$L,薪酬明细!$D:$D,$E42,薪酬明细!$E:$E,$F42,薪酬明细!$H:$H,"&gt;="&amp;AQ$9,薪酬明细!$H:$H,"&lt;="&amp;AQ$10,薪酬明细!$A:$A,AQ$6)/10000</f>
        <v>0</v>
      </c>
      <c r="AR42" s="120">
        <f>SUMIFS(薪酬明细!$L:$L,薪酬明细!$D:$D,$E42,薪酬明细!$E:$E,$F42,薪酬明细!$H:$H,"&gt;="&amp;AR$9,薪酬明细!$H:$H,"&lt;="&amp;AR$10,薪酬明细!$A:$A,AR$6)/10000</f>
        <v>59.3</v>
      </c>
      <c r="AS42" s="120">
        <f>SUMIFS(薪酬明细!$L:$L,薪酬明细!$D:$D,$E42,薪酬明细!$E:$E,$F42,薪酬明细!$H:$H,"&gt;="&amp;AS$9,薪酬明细!$H:$H,"&lt;="&amp;AS$10,薪酬明细!$A:$A,AS$6)/10000</f>
        <v>59.5</v>
      </c>
      <c r="AT42" s="120">
        <f>SUMIFS(薪酬明细!$L:$L,薪酬明细!$D:$D,$E42,薪酬明细!$E:$E,$F42,薪酬明细!$H:$H,"&gt;="&amp;AT$9,薪酬明细!$H:$H,"&lt;="&amp;AT$10,薪酬明细!$A:$A,AT$6)/10000</f>
        <v>58.8</v>
      </c>
      <c r="AU42" s="120">
        <f>SUMIFS(薪酬明细!$L:$L,薪酬明细!$D:$D,$E42,薪酬明细!$E:$E,$F42,薪酬明细!$H:$H,"&gt;="&amp;AU$9,薪酬明细!$H:$H,"&lt;="&amp;AU$10,薪酬明细!$A:$A,AU$6)/10000</f>
        <v>709.8</v>
      </c>
      <c r="AV42" s="120">
        <f>SUMIFS(薪酬明细!$L:$L,薪酬明细!$D:$D,$E42,薪酬明细!$E:$E,$F42,薪酬明细!$H:$H,"&gt;="&amp;AV$9,薪酬明细!$H:$H,"&lt;="&amp;AV$10,薪酬明细!$A:$A,AV$6)/10000</f>
        <v>59</v>
      </c>
      <c r="AW42" s="120">
        <f>SUMIFS(薪酬明细!$L:$L,薪酬明细!$D:$D,$E42,薪酬明细!$E:$E,$F42,薪酬明细!$H:$H,"&gt;="&amp;AW$9,薪酬明细!$H:$H,"&lt;="&amp;AW$10,薪酬明细!$A:$A,AW$6)/10000</f>
        <v>59.5</v>
      </c>
      <c r="AX42" s="120">
        <f>SUMIFS(薪酬明细!$L:$L,薪酬明细!$D:$D,$E42,薪酬明细!$E:$E,$F42,薪酬明细!$H:$H,"&gt;="&amp;AX$9,薪酬明细!$H:$H,"&lt;="&amp;AX$10,薪酬明细!$A:$A,AX$6)/10000</f>
        <v>59.2</v>
      </c>
      <c r="AY42" s="120">
        <f>SUMIFS(薪酬明细!$L:$L,薪酬明细!$D:$D,$E42,薪酬明细!$E:$E,$F42,薪酬明细!$H:$H,"&gt;="&amp;AY$9,薪酬明细!$H:$H,"&lt;="&amp;AY$10,薪酬明细!$A:$A,AY$6)/10000</f>
        <v>59.2</v>
      </c>
      <c r="AZ42" s="120">
        <f>SUMIFS(薪酬明细!$L:$L,薪酬明细!$D:$D,$E42,薪酬明细!$E:$E,$F42,薪酬明细!$H:$H,"&gt;="&amp;AZ$9,薪酬明细!$H:$H,"&lt;="&amp;AZ$10,薪酬明细!$A:$A,AZ$6)/10000</f>
        <v>59.4</v>
      </c>
      <c r="BA42" s="120">
        <f>SUMIFS(薪酬明细!$L:$L,薪酬明细!$D:$D,$E42,薪酬明细!$E:$E,$F42,薪酬明细!$H:$H,"&gt;="&amp;BA$9,薪酬明细!$H:$H,"&lt;="&amp;BA$10,薪酬明细!$A:$A,BA$6)/10000</f>
        <v>59</v>
      </c>
      <c r="BB42" s="120">
        <f>SUMIFS(薪酬明细!$L:$L,薪酬明细!$D:$D,$E42,薪酬明细!$E:$E,$F42,薪酬明细!$H:$H,"&gt;="&amp;BB$9,薪酬明细!$H:$H,"&lt;="&amp;BB$10,薪酬明细!$A:$A,BB$6)/10000</f>
        <v>59.1</v>
      </c>
      <c r="BC42" s="120">
        <f>SUMIFS(薪酬明细!$L:$L,薪酬明细!$D:$D,$E42,薪酬明细!$E:$E,$F42,薪酬明细!$H:$H,"&gt;="&amp;BC$9,薪酬明细!$H:$H,"&lt;="&amp;BC$10,薪酬明细!$A:$A,BC$6)/10000</f>
        <v>59.3</v>
      </c>
      <c r="BD42" s="120">
        <f>SUMIFS(薪酬明细!$L:$L,薪酬明细!$D:$D,$E42,薪酬明细!$E:$E,$F42,薪酬明细!$H:$H,"&gt;="&amp;BD$9,薪酬明细!$H:$H,"&lt;="&amp;BD$10,薪酬明细!$A:$A,BD$6)/10000</f>
        <v>59.2</v>
      </c>
      <c r="BE42" s="120">
        <f>SUMIFS(薪酬明细!$L:$L,薪酬明细!$D:$D,$E42,薪酬明细!$E:$E,$F42,薪酬明细!$H:$H,"&gt;="&amp;BE$9,薪酬明细!$H:$H,"&lt;="&amp;BE$10,薪酬明细!$A:$A,BE$6)/10000</f>
        <v>59.4</v>
      </c>
      <c r="BF42" s="120">
        <f>SUMIFS(薪酬明细!$L:$L,薪酬明细!$D:$D,$E42,薪酬明细!$E:$E,$F42,薪酬明细!$H:$H,"&gt;="&amp;BF$9,薪酬明细!$H:$H,"&lt;="&amp;BF$10,薪酬明细!$A:$A,BF$6)/10000</f>
        <v>58.6</v>
      </c>
      <c r="BG42" s="120">
        <f>SUMIFS(薪酬明细!$L:$L,薪酬明细!$D:$D,$E42,薪酬明细!$E:$E,$F42,薪酬明细!$H:$H,"&gt;="&amp;BG$9,薪酬明细!$H:$H,"&lt;="&amp;BG$10,薪酬明细!$A:$A,BG$6)/10000</f>
        <v>58.9</v>
      </c>
    </row>
    <row r="43" ht="16.2" spans="3:59">
      <c r="C43" s="42" t="s">
        <v>79</v>
      </c>
      <c r="D43" s="42"/>
      <c r="E43" s="116" t="str">
        <f>IF(C43&lt;&gt;"",C43,E10)</f>
        <v>流程中心</v>
      </c>
      <c r="F43" s="116" t="str">
        <f>IF(D43&lt;&gt;"",D43,"*")</f>
        <v>*</v>
      </c>
      <c r="G43" s="121">
        <f>SUMIFS(薪酬明细!$L:$L,薪酬明细!$D:$D,$E43,薪酬明细!$E:$E,$F43,薪酬明细!$H:$H,"&gt;="&amp;G$9,薪酬明细!$H:$H,"&lt;="&amp;G$10,薪酬明细!$A:$A,G$6)/10000</f>
        <v>261.5</v>
      </c>
      <c r="H43" s="121">
        <f>SUMIFS(薪酬明细!$L:$L,薪酬明细!$D:$D,$E43,薪酬明细!$E:$E,$F43,薪酬明细!$H:$H,"&gt;="&amp;H$9,薪酬明细!$H:$H,"&lt;="&amp;H$10,薪酬明细!$A:$A,H$6)/10000</f>
        <v>21.7</v>
      </c>
      <c r="I43" s="121">
        <f>SUMIFS(薪酬明细!$L:$L,薪酬明细!$D:$D,$E43,薪酬明细!$E:$E,$F43,薪酬明细!$H:$H,"&gt;="&amp;I$9,薪酬明细!$H:$H,"&lt;="&amp;I$10,薪酬明细!$A:$A,I$6)/10000</f>
        <v>21.7</v>
      </c>
      <c r="J43" s="121">
        <f>SUMIFS(薪酬明细!$L:$L,薪酬明细!$D:$D,$E43,薪酬明细!$E:$E,$F43,薪酬明细!$H:$H,"&gt;="&amp;J$9,薪酬明细!$H:$H,"&lt;="&amp;J$10,薪酬明细!$A:$A,J$6)/10000</f>
        <v>21.9</v>
      </c>
      <c r="K43" s="121">
        <f>SUMIFS(薪酬明细!$L:$L,薪酬明细!$D:$D,$E43,薪酬明细!$E:$E,$F43,薪酬明细!$H:$H,"&gt;="&amp;K$9,薪酬明细!$H:$H,"&lt;="&amp;K$10,薪酬明细!$A:$A,K$6)/10000</f>
        <v>21.7</v>
      </c>
      <c r="L43" s="121">
        <f>SUMIFS(薪酬明细!$L:$L,薪酬明细!$D:$D,$E43,薪酬明细!$E:$E,$F43,薪酬明细!$H:$H,"&gt;="&amp;L$9,薪酬明细!$H:$H,"&lt;="&amp;L$10,薪酬明细!$A:$A,L$6)/10000</f>
        <v>21.9</v>
      </c>
      <c r="M43" s="121">
        <f>SUMIFS(薪酬明细!$L:$L,薪酬明细!$D:$D,$E43,薪酬明细!$E:$E,$F43,薪酬明细!$H:$H,"&gt;="&amp;M$9,薪酬明细!$H:$H,"&lt;="&amp;M$10,薪酬明细!$A:$A,M$6)/10000</f>
        <v>21.7</v>
      </c>
      <c r="N43" s="121">
        <f>SUMIFS(薪酬明细!$L:$L,薪酬明细!$D:$D,$E43,薪酬明细!$E:$E,$F43,薪酬明细!$H:$H,"&gt;="&amp;N$9,薪酬明细!$H:$H,"&lt;="&amp;N$10,薪酬明细!$A:$A,N$6)/10000</f>
        <v>21.9</v>
      </c>
      <c r="O43" s="121">
        <f>SUMIFS(薪酬明细!$L:$L,薪酬明细!$D:$D,$E43,薪酬明细!$E:$E,$F43,薪酬明细!$H:$H,"&gt;="&amp;O$9,薪酬明细!$H:$H,"&lt;="&amp;O$10,薪酬明细!$A:$A,O$6)/10000</f>
        <v>21.8</v>
      </c>
      <c r="P43" s="121">
        <f>SUMIFS(薪酬明细!$L:$L,薪酬明细!$D:$D,$E43,薪酬明细!$E:$E,$F43,薪酬明细!$H:$H,"&gt;="&amp;P$9,薪酬明细!$H:$H,"&lt;="&amp;P$10,薪酬明细!$A:$A,P$6)/10000</f>
        <v>21.9</v>
      </c>
      <c r="Q43" s="121">
        <f>SUMIFS(薪酬明细!$L:$L,薪酬明细!$D:$D,$E43,薪酬明细!$E:$E,$F43,薪酬明细!$H:$H,"&gt;="&amp;Q$9,薪酬明细!$H:$H,"&lt;="&amp;Q$10,薪酬明细!$A:$A,Q$6)/10000</f>
        <v>21.8</v>
      </c>
      <c r="R43" s="121">
        <f>SUMIFS(薪酬明细!$L:$L,薪酬明细!$D:$D,$E43,薪酬明细!$E:$E,$F43,薪酬明细!$H:$H,"&gt;="&amp;R$9,薪酬明细!$H:$H,"&lt;="&amp;R$10,薪酬明细!$A:$A,R$6)/10000</f>
        <v>21.8</v>
      </c>
      <c r="S43" s="121">
        <f>SUMIFS(薪酬明细!$L:$L,薪酬明细!$D:$D,$E43,薪酬明细!$E:$E,$F43,薪酬明细!$H:$H,"&gt;="&amp;S$9,薪酬明细!$H:$H,"&lt;="&amp;S$10,薪酬明细!$A:$A,S$6)/10000</f>
        <v>21.7</v>
      </c>
      <c r="T43" s="125">
        <f>U43+AH43</f>
        <v>260.5</v>
      </c>
      <c r="U43" s="121">
        <f>SUMIFS(薪酬明细!$L:$L,薪酬明细!$D:$D,$E43,薪酬明细!$E:$E,$F43,薪酬明细!$H:$H,"&gt;="&amp;U$9,薪酬明细!$H:$H,"&lt;="&amp;U$10,薪酬明细!$A:$A,U$6)/10000</f>
        <v>195.4</v>
      </c>
      <c r="V43" s="121">
        <f>SUMIFS(薪酬明细!$L:$L,薪酬明细!$D:$D,$E43,薪酬明细!$E:$E,$F43,薪酬明细!$H:$H,"&gt;="&amp;V$9,薪酬明细!$H:$H,"&lt;="&amp;V$10,薪酬明细!$A:$A,V$6)/10000</f>
        <v>21.9</v>
      </c>
      <c r="W43" s="121">
        <f>SUMIFS(薪酬明细!$L:$L,薪酬明细!$D:$D,$E43,薪酬明细!$E:$E,$F43,薪酬明细!$H:$H,"&gt;="&amp;W$9,薪酬明细!$H:$H,"&lt;="&amp;W$10,薪酬明细!$A:$A,W$6)/10000</f>
        <v>21.7</v>
      </c>
      <c r="X43" s="121">
        <f>SUMIFS(薪酬明细!$L:$L,薪酬明细!$D:$D,$E43,薪酬明细!$E:$E,$F43,薪酬明细!$H:$H,"&gt;="&amp;X$9,薪酬明细!$H:$H,"&lt;="&amp;X$10,薪酬明细!$A:$A,X$6)/10000</f>
        <v>21.6</v>
      </c>
      <c r="Y43" s="121">
        <f>SUMIFS(薪酬明细!$L:$L,薪酬明细!$D:$D,$E43,薪酬明细!$E:$E,$F43,薪酬明细!$H:$H,"&gt;="&amp;Y$9,薪酬明细!$H:$H,"&lt;="&amp;Y$10,薪酬明细!$A:$A,Y$6)/10000</f>
        <v>21.8</v>
      </c>
      <c r="Z43" s="121">
        <f>SUMIFS(薪酬明细!$L:$L,薪酬明细!$D:$D,$E43,薪酬明细!$E:$E,$F43,薪酬明细!$H:$H,"&gt;="&amp;Z$9,薪酬明细!$H:$H,"&lt;="&amp;Z$10,薪酬明细!$A:$A,Z$6)/10000</f>
        <v>21.5</v>
      </c>
      <c r="AA43" s="121">
        <f>SUMIFS(薪酬明细!$L:$L,薪酬明细!$D:$D,$E43,薪酬明细!$E:$E,$F43,薪酬明细!$H:$H,"&gt;="&amp;AA$9,薪酬明细!$H:$H,"&lt;="&amp;AA$10,薪酬明细!$A:$A,AA$6)/10000</f>
        <v>21.6</v>
      </c>
      <c r="AB43" s="121">
        <f>SUMIFS(薪酬明细!$L:$L,薪酬明细!$D:$D,$E43,薪酬明细!$E:$E,$F43,薪酬明细!$H:$H,"&gt;="&amp;AB$9,薪酬明细!$H:$H,"&lt;="&amp;AB$10,薪酬明细!$A:$A,AB$6)/10000</f>
        <v>21.6</v>
      </c>
      <c r="AC43" s="121">
        <f>SUMIFS(薪酬明细!$L:$L,薪酬明细!$D:$D,$E43,薪酬明细!$E:$E,$F43,薪酬明细!$H:$H,"&gt;="&amp;AC$9,薪酬明细!$H:$H,"&lt;="&amp;AC$10,薪酬明细!$A:$A,AC$6)/10000</f>
        <v>21.7</v>
      </c>
      <c r="AD43" s="121">
        <f>SUMIFS(薪酬明细!$L:$L,薪酬明细!$D:$D,$E43,薪酬明细!$E:$E,$F43,薪酬明细!$H:$H,"&gt;="&amp;AD$9,薪酬明细!$H:$H,"&lt;="&amp;AD$10,薪酬明细!$A:$A,AD$6)/10000</f>
        <v>21.9</v>
      </c>
      <c r="AE43" s="121">
        <f>SUMIFS(薪酬明细!$L:$L,薪酬明细!$D:$D,$E43,薪酬明细!$E:$E,$F43,薪酬明细!$H:$H,"&gt;="&amp;AE$9,薪酬明细!$H:$H,"&lt;="&amp;AE$10,薪酬明细!$A:$A,AE$6)/10000</f>
        <v>0</v>
      </c>
      <c r="AF43" s="121">
        <f>SUMIFS(薪酬明细!$L:$L,薪酬明细!$D:$D,$E43,薪酬明细!$E:$E,$F43,薪酬明细!$H:$H,"&gt;="&amp;AF$9,薪酬明细!$H:$H,"&lt;="&amp;AF$10,薪酬明细!$A:$A,AF$6)/10000</f>
        <v>0</v>
      </c>
      <c r="AG43" s="121">
        <f>SUMIFS(薪酬明细!$L:$L,薪酬明细!$D:$D,$E43,薪酬明细!$E:$E,$F43,薪酬明细!$H:$H,"&gt;="&amp;AG$9,薪酬明细!$H:$H,"&lt;="&amp;AG$10,薪酬明细!$A:$A,AG$6)/10000</f>
        <v>0</v>
      </c>
      <c r="AH43" s="121">
        <f>SUMIFS(薪酬明细!$L:$L,薪酬明细!$D:$D,$E43,薪酬明细!$E:$E,$F43,薪酬明细!$H:$H,"&gt;="&amp;AH$9,薪酬明细!$H:$H,"&lt;="&amp;AH$10,薪酬明细!$A:$A,AH$6)/10000</f>
        <v>65.1</v>
      </c>
      <c r="AI43" s="121">
        <f>SUMIFS(薪酬明细!$L:$L,薪酬明细!$D:$D,$E43,薪酬明细!$E:$E,$F43,薪酬明细!$H:$H,"&gt;="&amp;AI$9,薪酬明细!$H:$H,"&lt;="&amp;AI$10,薪酬明细!$A:$A,AI$6)/10000</f>
        <v>0</v>
      </c>
      <c r="AJ43" s="121">
        <f>SUMIFS(薪酬明细!$L:$L,薪酬明细!$D:$D,$E43,薪酬明细!$E:$E,$F43,薪酬明细!$H:$H,"&gt;="&amp;AJ$9,薪酬明细!$H:$H,"&lt;="&amp;AJ$10,薪酬明细!$A:$A,AJ$6)/10000</f>
        <v>0</v>
      </c>
      <c r="AK43" s="121">
        <f>SUMIFS(薪酬明细!$L:$L,薪酬明细!$D:$D,$E43,薪酬明细!$E:$E,$F43,薪酬明细!$H:$H,"&gt;="&amp;AK$9,薪酬明细!$H:$H,"&lt;="&amp;AK$10,薪酬明细!$A:$A,AK$6)/10000</f>
        <v>0</v>
      </c>
      <c r="AL43" s="121">
        <f>SUMIFS(薪酬明细!$L:$L,薪酬明细!$D:$D,$E43,薪酬明细!$E:$E,$F43,薪酬明细!$H:$H,"&gt;="&amp;AL$9,薪酬明细!$H:$H,"&lt;="&amp;AL$10,薪酬明细!$A:$A,AL$6)/10000</f>
        <v>0</v>
      </c>
      <c r="AM43" s="121">
        <f>SUMIFS(薪酬明细!$L:$L,薪酬明细!$D:$D,$E43,薪酬明细!$E:$E,$F43,薪酬明细!$H:$H,"&gt;="&amp;AM$9,薪酬明细!$H:$H,"&lt;="&amp;AM$10,薪酬明细!$A:$A,AM$6)/10000</f>
        <v>0</v>
      </c>
      <c r="AN43" s="121">
        <f>SUMIFS(薪酬明细!$L:$L,薪酬明细!$D:$D,$E43,薪酬明细!$E:$E,$F43,薪酬明细!$H:$H,"&gt;="&amp;AN$9,薪酬明细!$H:$H,"&lt;="&amp;AN$10,薪酬明细!$A:$A,AN$6)/10000</f>
        <v>0</v>
      </c>
      <c r="AO43" s="121">
        <f>SUMIFS(薪酬明细!$L:$L,薪酬明细!$D:$D,$E43,薪酬明细!$E:$E,$F43,薪酬明细!$H:$H,"&gt;="&amp;AO$9,薪酬明细!$H:$H,"&lt;="&amp;AO$10,薪酬明细!$A:$A,AO$6)/10000</f>
        <v>0</v>
      </c>
      <c r="AP43" s="121">
        <f>SUMIFS(薪酬明细!$L:$L,薪酬明细!$D:$D,$E43,薪酬明细!$E:$E,$F43,薪酬明细!$H:$H,"&gt;="&amp;AP$9,薪酬明细!$H:$H,"&lt;="&amp;AP$10,薪酬明细!$A:$A,AP$6)/10000</f>
        <v>0</v>
      </c>
      <c r="AQ43" s="121">
        <f>SUMIFS(薪酬明细!$L:$L,薪酬明细!$D:$D,$E43,薪酬明细!$E:$E,$F43,薪酬明细!$H:$H,"&gt;="&amp;AQ$9,薪酬明细!$H:$H,"&lt;="&amp;AQ$10,薪酬明细!$A:$A,AQ$6)/10000</f>
        <v>0</v>
      </c>
      <c r="AR43" s="121">
        <f>SUMIFS(薪酬明细!$L:$L,薪酬明细!$D:$D,$E43,薪酬明细!$E:$E,$F43,薪酬明细!$H:$H,"&gt;="&amp;AR$9,薪酬明细!$H:$H,"&lt;="&amp;AR$10,薪酬明细!$A:$A,AR$6)/10000</f>
        <v>21.8</v>
      </c>
      <c r="AS43" s="121">
        <f>SUMIFS(薪酬明细!$L:$L,薪酬明细!$D:$D,$E43,薪酬明细!$E:$E,$F43,薪酬明细!$H:$H,"&gt;="&amp;AS$9,薪酬明细!$H:$H,"&lt;="&amp;AS$10,薪酬明细!$A:$A,AS$6)/10000</f>
        <v>21.8</v>
      </c>
      <c r="AT43" s="121">
        <f>SUMIFS(薪酬明细!$L:$L,薪酬明细!$D:$D,$E43,薪酬明细!$E:$E,$F43,薪酬明细!$H:$H,"&gt;="&amp;AT$9,薪酬明细!$H:$H,"&lt;="&amp;AT$10,薪酬明细!$A:$A,AT$6)/10000</f>
        <v>21.6</v>
      </c>
      <c r="AU43" s="121">
        <f>SUMIFS(薪酬明细!$L:$L,薪酬明细!$D:$D,$E43,薪酬明细!$E:$E,$F43,薪酬明细!$H:$H,"&gt;="&amp;AU$9,薪酬明细!$H:$H,"&lt;="&amp;AU$10,薪酬明细!$A:$A,AU$6)/10000</f>
        <v>261.1</v>
      </c>
      <c r="AV43" s="121">
        <f>SUMIFS(薪酬明细!$L:$L,薪酬明细!$D:$D,$E43,薪酬明细!$E:$E,$F43,薪酬明细!$H:$H,"&gt;="&amp;AV$9,薪酬明细!$H:$H,"&lt;="&amp;AV$10,薪酬明细!$A:$A,AV$6)/10000</f>
        <v>21.7</v>
      </c>
      <c r="AW43" s="121">
        <f>SUMIFS(薪酬明细!$L:$L,薪酬明细!$D:$D,$E43,薪酬明细!$E:$E,$F43,薪酬明细!$H:$H,"&gt;="&amp;AW$9,薪酬明细!$H:$H,"&lt;="&amp;AW$10,薪酬明细!$A:$A,AW$6)/10000</f>
        <v>21.8</v>
      </c>
      <c r="AX43" s="121">
        <f>SUMIFS(薪酬明细!$L:$L,薪酬明细!$D:$D,$E43,薪酬明细!$E:$E,$F43,薪酬明细!$H:$H,"&gt;="&amp;AX$9,薪酬明细!$H:$H,"&lt;="&amp;AX$10,薪酬明细!$A:$A,AX$6)/10000</f>
        <v>22</v>
      </c>
      <c r="AY43" s="121">
        <f>SUMIFS(薪酬明细!$L:$L,薪酬明细!$D:$D,$E43,薪酬明细!$E:$E,$F43,薪酬明细!$H:$H,"&gt;="&amp;AY$9,薪酬明细!$H:$H,"&lt;="&amp;AY$10,薪酬明细!$A:$A,AY$6)/10000</f>
        <v>21.8</v>
      </c>
      <c r="AZ43" s="121">
        <f>SUMIFS(薪酬明细!$L:$L,薪酬明细!$D:$D,$E43,薪酬明细!$E:$E,$F43,薪酬明细!$H:$H,"&gt;="&amp;AZ$9,薪酬明细!$H:$H,"&lt;="&amp;AZ$10,薪酬明细!$A:$A,AZ$6)/10000</f>
        <v>21.8</v>
      </c>
      <c r="BA43" s="121">
        <f>SUMIFS(薪酬明细!$L:$L,薪酬明细!$D:$D,$E43,薪酬明细!$E:$E,$F43,薪酬明细!$H:$H,"&gt;="&amp;BA$9,薪酬明细!$H:$H,"&lt;="&amp;BA$10,薪酬明细!$A:$A,BA$6)/10000</f>
        <v>21.7</v>
      </c>
      <c r="BB43" s="121">
        <f>SUMIFS(薪酬明细!$L:$L,薪酬明细!$D:$D,$E43,薪酬明细!$E:$E,$F43,薪酬明细!$H:$H,"&gt;="&amp;BB$9,薪酬明细!$H:$H,"&lt;="&amp;BB$10,薪酬明细!$A:$A,BB$6)/10000</f>
        <v>21.8</v>
      </c>
      <c r="BC43" s="121">
        <f>SUMIFS(薪酬明细!$L:$L,薪酬明细!$D:$D,$E43,薪酬明细!$E:$E,$F43,薪酬明细!$H:$H,"&gt;="&amp;BC$9,薪酬明细!$H:$H,"&lt;="&amp;BC$10,薪酬明细!$A:$A,BC$6)/10000</f>
        <v>21.9</v>
      </c>
      <c r="BD43" s="121">
        <f>SUMIFS(薪酬明细!$L:$L,薪酬明细!$D:$D,$E43,薪酬明细!$E:$E,$F43,薪酬明细!$H:$H,"&gt;="&amp;BD$9,薪酬明细!$H:$H,"&lt;="&amp;BD$10,薪酬明细!$A:$A,BD$6)/10000</f>
        <v>21.6</v>
      </c>
      <c r="BE43" s="121">
        <f>SUMIFS(薪酬明细!$L:$L,薪酬明细!$D:$D,$E43,薪酬明细!$E:$E,$F43,薪酬明细!$H:$H,"&gt;="&amp;BE$9,薪酬明细!$H:$H,"&lt;="&amp;BE$10,薪酬明细!$A:$A,BE$6)/10000</f>
        <v>21.7</v>
      </c>
      <c r="BF43" s="121">
        <f>SUMIFS(薪酬明细!$L:$L,薪酬明细!$D:$D,$E43,薪酬明细!$E:$E,$F43,薪酬明细!$H:$H,"&gt;="&amp;BF$9,薪酬明细!$H:$H,"&lt;="&amp;BF$10,薪酬明细!$A:$A,BF$6)/10000</f>
        <v>21.6</v>
      </c>
      <c r="BG43" s="121">
        <f>SUMIFS(薪酬明细!$L:$L,薪酬明细!$D:$D,$E43,薪酬明细!$E:$E,$F43,薪酬明细!$H:$H,"&gt;="&amp;BG$9,薪酬明细!$H:$H,"&lt;="&amp;BG$10,薪酬明细!$A:$A,BG$6)/10000</f>
        <v>21.7</v>
      </c>
    </row>
    <row r="44" ht="16.2" spans="3:59">
      <c r="C44" s="42"/>
      <c r="D44" s="42" t="s">
        <v>80</v>
      </c>
      <c r="E44" s="116" t="str">
        <f t="shared" ref="E44:E54" si="84">IF(C44&lt;&gt;"",C44,E43)</f>
        <v>流程中心</v>
      </c>
      <c r="F44" s="116" t="str">
        <f t="shared" ref="F44:F54" si="85">IF(D44&lt;&gt;"",D44,"*")</f>
        <v>销售中心</v>
      </c>
      <c r="G44" s="121">
        <f>SUMIFS(薪酬明细!$L:$L,薪酬明细!$D:$D,$E44,薪酬明细!$E:$E,$F44,薪酬明细!$H:$H,"&gt;="&amp;G$9,薪酬明细!$H:$H,"&lt;="&amp;G$10,薪酬明细!$A:$A,G$6)/10000</f>
        <v>151.6</v>
      </c>
      <c r="H44" s="121">
        <f>SUMIFS(薪酬明细!$L:$L,薪酬明细!$D:$D,$E44,薪酬明细!$E:$E,$F44,薪酬明细!$H:$H,"&gt;="&amp;H$9,薪酬明细!$H:$H,"&lt;="&amp;H$10,薪酬明细!$A:$A,H$6)/10000</f>
        <v>12.5</v>
      </c>
      <c r="I44" s="121">
        <f>SUMIFS(薪酬明细!$L:$L,薪酬明细!$D:$D,$E44,薪酬明细!$E:$E,$F44,薪酬明细!$H:$H,"&gt;="&amp;I$9,薪酬明细!$H:$H,"&lt;="&amp;I$10,薪酬明细!$A:$A,I$6)/10000</f>
        <v>12.5</v>
      </c>
      <c r="J44" s="121">
        <f>SUMIFS(薪酬明细!$L:$L,薪酬明细!$D:$D,$E44,薪酬明细!$E:$E,$F44,薪酬明细!$H:$H,"&gt;="&amp;J$9,薪酬明细!$H:$H,"&lt;="&amp;J$10,薪酬明细!$A:$A,J$6)/10000</f>
        <v>12.7</v>
      </c>
      <c r="K44" s="121">
        <f>SUMIFS(薪酬明细!$L:$L,薪酬明细!$D:$D,$E44,薪酬明细!$E:$E,$F44,薪酬明细!$H:$H,"&gt;="&amp;K$9,薪酬明细!$H:$H,"&lt;="&amp;K$10,薪酬明细!$A:$A,K$6)/10000</f>
        <v>12.5</v>
      </c>
      <c r="L44" s="121">
        <f>SUMIFS(薪酬明细!$L:$L,薪酬明细!$D:$D,$E44,薪酬明细!$E:$E,$F44,薪酬明细!$H:$H,"&gt;="&amp;L$9,薪酬明细!$H:$H,"&lt;="&amp;L$10,薪酬明细!$A:$A,L$6)/10000</f>
        <v>12.7</v>
      </c>
      <c r="M44" s="121">
        <f>SUMIFS(薪酬明细!$L:$L,薪酬明细!$D:$D,$E44,薪酬明细!$E:$E,$F44,薪酬明细!$H:$H,"&gt;="&amp;M$9,薪酬明细!$H:$H,"&lt;="&amp;M$10,薪酬明细!$A:$A,M$6)/10000</f>
        <v>12.6</v>
      </c>
      <c r="N44" s="121">
        <f>SUMIFS(薪酬明细!$L:$L,薪酬明细!$D:$D,$E44,薪酬明细!$E:$E,$F44,薪酬明细!$H:$H,"&gt;="&amp;N$9,薪酬明细!$H:$H,"&lt;="&amp;N$10,薪酬明细!$A:$A,N$6)/10000</f>
        <v>12.6</v>
      </c>
      <c r="O44" s="121">
        <f>SUMIFS(薪酬明细!$L:$L,薪酬明细!$D:$D,$E44,薪酬明细!$E:$E,$F44,薪酬明细!$H:$H,"&gt;="&amp;O$9,薪酬明细!$H:$H,"&lt;="&amp;O$10,薪酬明细!$A:$A,O$6)/10000</f>
        <v>12.7</v>
      </c>
      <c r="P44" s="121">
        <f>SUMIFS(薪酬明细!$L:$L,薪酬明细!$D:$D,$E44,薪酬明细!$E:$E,$F44,薪酬明细!$H:$H,"&gt;="&amp;P$9,薪酬明细!$H:$H,"&lt;="&amp;P$10,薪酬明细!$A:$A,P$6)/10000</f>
        <v>12.8</v>
      </c>
      <c r="Q44" s="121">
        <f>SUMIFS(薪酬明细!$L:$L,薪酬明细!$D:$D,$E44,薪酬明细!$E:$E,$F44,薪酬明细!$H:$H,"&gt;="&amp;Q$9,薪酬明细!$H:$H,"&lt;="&amp;Q$10,薪酬明细!$A:$A,Q$6)/10000</f>
        <v>12.7</v>
      </c>
      <c r="R44" s="121">
        <f>SUMIFS(薪酬明细!$L:$L,薪酬明细!$D:$D,$E44,薪酬明细!$E:$E,$F44,薪酬明细!$H:$H,"&gt;="&amp;R$9,薪酬明细!$H:$H,"&lt;="&amp;R$10,薪酬明细!$A:$A,R$6)/10000</f>
        <v>12.7</v>
      </c>
      <c r="S44" s="121">
        <f>SUMIFS(薪酬明细!$L:$L,薪酬明细!$D:$D,$E44,薪酬明细!$E:$E,$F44,薪酬明细!$H:$H,"&gt;="&amp;S$9,薪酬明细!$H:$H,"&lt;="&amp;S$10,薪酬明细!$A:$A,S$6)/10000</f>
        <v>12.6</v>
      </c>
      <c r="T44" s="125">
        <f t="shared" ref="T44:T54" si="86">U44+AH44</f>
        <v>151.1</v>
      </c>
      <c r="U44" s="121">
        <f>SUMIFS(薪酬明细!$L:$L,薪酬明细!$D:$D,$E44,薪酬明细!$E:$E,$F44,薪酬明细!$H:$H,"&gt;="&amp;U$9,薪酬明细!$H:$H,"&lt;="&amp;U$10,薪酬明细!$A:$A,U$6)/10000</f>
        <v>113.1</v>
      </c>
      <c r="V44" s="121">
        <f>SUMIFS(薪酬明细!$L:$L,薪酬明细!$D:$D,$E44,薪酬明细!$E:$E,$F44,薪酬明细!$H:$H,"&gt;="&amp;V$9,薪酬明细!$H:$H,"&lt;="&amp;V$10,薪酬明细!$A:$A,V$6)/10000</f>
        <v>12.8</v>
      </c>
      <c r="W44" s="121">
        <f>SUMIFS(薪酬明细!$L:$L,薪酬明细!$D:$D,$E44,薪酬明细!$E:$E,$F44,薪酬明细!$H:$H,"&gt;="&amp;W$9,薪酬明细!$H:$H,"&lt;="&amp;W$10,薪酬明细!$A:$A,W$6)/10000</f>
        <v>12.6</v>
      </c>
      <c r="X44" s="121">
        <f>SUMIFS(薪酬明细!$L:$L,薪酬明细!$D:$D,$E44,薪酬明细!$E:$E,$F44,薪酬明细!$H:$H,"&gt;="&amp;X$9,薪酬明细!$H:$H,"&lt;="&amp;X$10,薪酬明细!$A:$A,X$6)/10000</f>
        <v>12.4</v>
      </c>
      <c r="Y44" s="121">
        <f>SUMIFS(薪酬明细!$L:$L,薪酬明细!$D:$D,$E44,薪酬明细!$E:$E,$F44,薪酬明细!$H:$H,"&gt;="&amp;Y$9,薪酬明细!$H:$H,"&lt;="&amp;Y$10,薪酬明细!$A:$A,Y$6)/10000</f>
        <v>12.6</v>
      </c>
      <c r="Z44" s="121">
        <f>SUMIFS(薪酬明细!$L:$L,薪酬明细!$D:$D,$E44,薪酬明细!$E:$E,$F44,薪酬明细!$H:$H,"&gt;="&amp;Z$9,薪酬明细!$H:$H,"&lt;="&amp;Z$10,薪酬明细!$A:$A,Z$6)/10000</f>
        <v>12.5</v>
      </c>
      <c r="AA44" s="121">
        <f>SUMIFS(薪酬明细!$L:$L,薪酬明细!$D:$D,$E44,薪酬明细!$E:$E,$F44,薪酬明细!$H:$H,"&gt;="&amp;AA$9,薪酬明细!$H:$H,"&lt;="&amp;AA$10,薪酬明细!$A:$A,AA$6)/10000</f>
        <v>12.6</v>
      </c>
      <c r="AB44" s="121">
        <f>SUMIFS(薪酬明细!$L:$L,薪酬明细!$D:$D,$E44,薪酬明细!$E:$E,$F44,薪酬明细!$H:$H,"&gt;="&amp;AB$9,薪酬明细!$H:$H,"&lt;="&amp;AB$10,薪酬明细!$A:$A,AB$6)/10000</f>
        <v>12.4</v>
      </c>
      <c r="AC44" s="121">
        <f>SUMIFS(薪酬明细!$L:$L,薪酬明细!$D:$D,$E44,薪酬明细!$E:$E,$F44,薪酬明细!$H:$H,"&gt;="&amp;AC$9,薪酬明细!$H:$H,"&lt;="&amp;AC$10,薪酬明细!$A:$A,AC$6)/10000</f>
        <v>12.5</v>
      </c>
      <c r="AD44" s="121">
        <f>SUMIFS(薪酬明细!$L:$L,薪酬明细!$D:$D,$E44,薪酬明细!$E:$E,$F44,薪酬明细!$H:$H,"&gt;="&amp;AD$9,薪酬明细!$H:$H,"&lt;="&amp;AD$10,薪酬明细!$A:$A,AD$6)/10000</f>
        <v>12.7</v>
      </c>
      <c r="AE44" s="121">
        <f>SUMIFS(薪酬明细!$L:$L,薪酬明细!$D:$D,$E44,薪酬明细!$E:$E,$F44,薪酬明细!$H:$H,"&gt;="&amp;AE$9,薪酬明细!$H:$H,"&lt;="&amp;AE$10,薪酬明细!$A:$A,AE$6)/10000</f>
        <v>0</v>
      </c>
      <c r="AF44" s="121">
        <f>SUMIFS(薪酬明细!$L:$L,薪酬明细!$D:$D,$E44,薪酬明细!$E:$E,$F44,薪酬明细!$H:$H,"&gt;="&amp;AF$9,薪酬明细!$H:$H,"&lt;="&amp;AF$10,薪酬明细!$A:$A,AF$6)/10000</f>
        <v>0</v>
      </c>
      <c r="AG44" s="121">
        <f>SUMIFS(薪酬明细!$L:$L,薪酬明细!$D:$D,$E44,薪酬明细!$E:$E,$F44,薪酬明细!$H:$H,"&gt;="&amp;AG$9,薪酬明细!$H:$H,"&lt;="&amp;AG$10,薪酬明细!$A:$A,AG$6)/10000</f>
        <v>0</v>
      </c>
      <c r="AH44" s="121">
        <f>SUMIFS(薪酬明细!$L:$L,薪酬明细!$D:$D,$E44,薪酬明细!$E:$E,$F44,薪酬明细!$H:$H,"&gt;="&amp;AH$9,薪酬明细!$H:$H,"&lt;="&amp;AH$10,薪酬明细!$A:$A,AH$6)/10000</f>
        <v>38</v>
      </c>
      <c r="AI44" s="121">
        <f>SUMIFS(薪酬明细!$L:$L,薪酬明细!$D:$D,$E44,薪酬明细!$E:$E,$F44,薪酬明细!$H:$H,"&gt;="&amp;AI$9,薪酬明细!$H:$H,"&lt;="&amp;AI$10,薪酬明细!$A:$A,AI$6)/10000</f>
        <v>0</v>
      </c>
      <c r="AJ44" s="121">
        <f>SUMIFS(薪酬明细!$L:$L,薪酬明细!$D:$D,$E44,薪酬明细!$E:$E,$F44,薪酬明细!$H:$H,"&gt;="&amp;AJ$9,薪酬明细!$H:$H,"&lt;="&amp;AJ$10,薪酬明细!$A:$A,AJ$6)/10000</f>
        <v>0</v>
      </c>
      <c r="AK44" s="121">
        <f>SUMIFS(薪酬明细!$L:$L,薪酬明细!$D:$D,$E44,薪酬明细!$E:$E,$F44,薪酬明细!$H:$H,"&gt;="&amp;AK$9,薪酬明细!$H:$H,"&lt;="&amp;AK$10,薪酬明细!$A:$A,AK$6)/10000</f>
        <v>0</v>
      </c>
      <c r="AL44" s="121">
        <f>SUMIFS(薪酬明细!$L:$L,薪酬明细!$D:$D,$E44,薪酬明细!$E:$E,$F44,薪酬明细!$H:$H,"&gt;="&amp;AL$9,薪酬明细!$H:$H,"&lt;="&amp;AL$10,薪酬明细!$A:$A,AL$6)/10000</f>
        <v>0</v>
      </c>
      <c r="AM44" s="121">
        <f>SUMIFS(薪酬明细!$L:$L,薪酬明细!$D:$D,$E44,薪酬明细!$E:$E,$F44,薪酬明细!$H:$H,"&gt;="&amp;AM$9,薪酬明细!$H:$H,"&lt;="&amp;AM$10,薪酬明细!$A:$A,AM$6)/10000</f>
        <v>0</v>
      </c>
      <c r="AN44" s="121">
        <f>SUMIFS(薪酬明细!$L:$L,薪酬明细!$D:$D,$E44,薪酬明细!$E:$E,$F44,薪酬明细!$H:$H,"&gt;="&amp;AN$9,薪酬明细!$H:$H,"&lt;="&amp;AN$10,薪酬明细!$A:$A,AN$6)/10000</f>
        <v>0</v>
      </c>
      <c r="AO44" s="121">
        <f>SUMIFS(薪酬明细!$L:$L,薪酬明细!$D:$D,$E44,薪酬明细!$E:$E,$F44,薪酬明细!$H:$H,"&gt;="&amp;AO$9,薪酬明细!$H:$H,"&lt;="&amp;AO$10,薪酬明细!$A:$A,AO$6)/10000</f>
        <v>0</v>
      </c>
      <c r="AP44" s="121">
        <f>SUMIFS(薪酬明细!$L:$L,薪酬明细!$D:$D,$E44,薪酬明细!$E:$E,$F44,薪酬明细!$H:$H,"&gt;="&amp;AP$9,薪酬明细!$H:$H,"&lt;="&amp;AP$10,薪酬明细!$A:$A,AP$6)/10000</f>
        <v>0</v>
      </c>
      <c r="AQ44" s="121">
        <f>SUMIFS(薪酬明细!$L:$L,薪酬明细!$D:$D,$E44,薪酬明细!$E:$E,$F44,薪酬明细!$H:$H,"&gt;="&amp;AQ$9,薪酬明细!$H:$H,"&lt;="&amp;AQ$10,薪酬明细!$A:$A,AQ$6)/10000</f>
        <v>0</v>
      </c>
      <c r="AR44" s="121">
        <f>SUMIFS(薪酬明细!$L:$L,薪酬明细!$D:$D,$E44,薪酬明细!$E:$E,$F44,薪酬明细!$H:$H,"&gt;="&amp;AR$9,薪酬明细!$H:$H,"&lt;="&amp;AR$10,薪酬明细!$A:$A,AR$6)/10000</f>
        <v>12.7</v>
      </c>
      <c r="AS44" s="121">
        <f>SUMIFS(薪酬明细!$L:$L,薪酬明细!$D:$D,$E44,薪酬明细!$E:$E,$F44,薪酬明细!$H:$H,"&gt;="&amp;AS$9,薪酬明细!$H:$H,"&lt;="&amp;AS$10,薪酬明细!$A:$A,AS$6)/10000</f>
        <v>12.8</v>
      </c>
      <c r="AT44" s="121">
        <f>SUMIFS(薪酬明细!$L:$L,薪酬明细!$D:$D,$E44,薪酬明细!$E:$E,$F44,薪酬明细!$H:$H,"&gt;="&amp;AT$9,薪酬明细!$H:$H,"&lt;="&amp;AT$10,薪酬明细!$A:$A,AT$6)/10000</f>
        <v>12.6</v>
      </c>
      <c r="AU44" s="121">
        <f>SUMIFS(薪酬明细!$L:$L,薪酬明细!$D:$D,$E44,薪酬明细!$E:$E,$F44,薪酬明细!$H:$H,"&gt;="&amp;AU$9,薪酬明细!$H:$H,"&lt;="&amp;AU$10,薪酬明细!$A:$A,AU$6)/10000</f>
        <v>151.3</v>
      </c>
      <c r="AV44" s="121">
        <f>SUMIFS(薪酬明细!$L:$L,薪酬明细!$D:$D,$E44,薪酬明细!$E:$E,$F44,薪酬明细!$H:$H,"&gt;="&amp;AV$9,薪酬明细!$H:$H,"&lt;="&amp;AV$10,薪酬明细!$A:$A,AV$6)/10000</f>
        <v>12.5</v>
      </c>
      <c r="AW44" s="121">
        <f>SUMIFS(薪酬明细!$L:$L,薪酬明细!$D:$D,$E44,薪酬明细!$E:$E,$F44,薪酬明细!$H:$H,"&gt;="&amp;AW$9,薪酬明细!$H:$H,"&lt;="&amp;AW$10,薪酬明细!$A:$A,AW$6)/10000</f>
        <v>12.7</v>
      </c>
      <c r="AX44" s="121">
        <f>SUMIFS(薪酬明细!$L:$L,薪酬明细!$D:$D,$E44,薪酬明细!$E:$E,$F44,薪酬明细!$H:$H,"&gt;="&amp;AX$9,薪酬明细!$H:$H,"&lt;="&amp;AX$10,薪酬明细!$A:$A,AX$6)/10000</f>
        <v>12.7</v>
      </c>
      <c r="AY44" s="121">
        <f>SUMIFS(薪酬明细!$L:$L,薪酬明细!$D:$D,$E44,薪酬明细!$E:$E,$F44,薪酬明细!$H:$H,"&gt;="&amp;AY$9,薪酬明细!$H:$H,"&lt;="&amp;AY$10,薪酬明细!$A:$A,AY$6)/10000</f>
        <v>12.7</v>
      </c>
      <c r="AZ44" s="121">
        <f>SUMIFS(薪酬明细!$L:$L,薪酬明细!$D:$D,$E44,薪酬明细!$E:$E,$F44,薪酬明细!$H:$H,"&gt;="&amp;AZ$9,薪酬明细!$H:$H,"&lt;="&amp;AZ$10,薪酬明细!$A:$A,AZ$6)/10000</f>
        <v>12.7</v>
      </c>
      <c r="BA44" s="121">
        <f>SUMIFS(薪酬明细!$L:$L,薪酬明细!$D:$D,$E44,薪酬明细!$E:$E,$F44,薪酬明细!$H:$H,"&gt;="&amp;BA$9,薪酬明细!$H:$H,"&lt;="&amp;BA$10,薪酬明细!$A:$A,BA$6)/10000</f>
        <v>12.7</v>
      </c>
      <c r="BB44" s="121">
        <f>SUMIFS(薪酬明细!$L:$L,薪酬明细!$D:$D,$E44,薪酬明细!$E:$E,$F44,薪酬明细!$H:$H,"&gt;="&amp;BB$9,薪酬明细!$H:$H,"&lt;="&amp;BB$10,薪酬明细!$A:$A,BB$6)/10000</f>
        <v>12.6</v>
      </c>
      <c r="BC44" s="121">
        <f>SUMIFS(薪酬明细!$L:$L,薪酬明细!$D:$D,$E44,薪酬明细!$E:$E,$F44,薪酬明细!$H:$H,"&gt;="&amp;BC$9,薪酬明细!$H:$H,"&lt;="&amp;BC$10,薪酬明细!$A:$A,BC$6)/10000</f>
        <v>12.7</v>
      </c>
      <c r="BD44" s="121">
        <f>SUMIFS(薪酬明细!$L:$L,薪酬明细!$D:$D,$E44,薪酬明细!$E:$E,$F44,薪酬明细!$H:$H,"&gt;="&amp;BD$9,薪酬明细!$H:$H,"&lt;="&amp;BD$10,薪酬明细!$A:$A,BD$6)/10000</f>
        <v>12.4</v>
      </c>
      <c r="BE44" s="121">
        <f>SUMIFS(薪酬明细!$L:$L,薪酬明细!$D:$D,$E44,薪酬明细!$E:$E,$F44,薪酬明细!$H:$H,"&gt;="&amp;BE$9,薪酬明细!$H:$H,"&lt;="&amp;BE$10,薪酬明细!$A:$A,BE$6)/10000</f>
        <v>12.6</v>
      </c>
      <c r="BF44" s="121">
        <f>SUMIFS(薪酬明细!$L:$L,薪酬明细!$D:$D,$E44,薪酬明细!$E:$E,$F44,薪酬明细!$H:$H,"&gt;="&amp;BF$9,薪酬明细!$H:$H,"&lt;="&amp;BF$10,薪酬明细!$A:$A,BF$6)/10000</f>
        <v>12.5</v>
      </c>
      <c r="BG44" s="121">
        <f>SUMIFS(薪酬明细!$L:$L,薪酬明细!$D:$D,$E44,薪酬明细!$E:$E,$F44,薪酬明细!$H:$H,"&gt;="&amp;BG$9,薪酬明细!$H:$H,"&lt;="&amp;BG$10,薪酬明细!$A:$A,BG$6)/10000</f>
        <v>12.5</v>
      </c>
    </row>
    <row r="45" ht="16.2" spans="3:59">
      <c r="C45" s="42"/>
      <c r="D45" s="42" t="s">
        <v>81</v>
      </c>
      <c r="E45" s="116" t="str">
        <f t="shared" si="84"/>
        <v>流程中心</v>
      </c>
      <c r="F45" s="116" t="str">
        <f t="shared" si="85"/>
        <v>制造中心</v>
      </c>
      <c r="G45" s="121">
        <f>SUMIFS(薪酬明细!$L:$L,薪酬明细!$D:$D,$E45,薪酬明细!$E:$E,$F45,薪酬明细!$H:$H,"&gt;="&amp;G$9,薪酬明细!$H:$H,"&lt;="&amp;G$10,薪酬明细!$A:$A,G$6)/10000</f>
        <v>109.9</v>
      </c>
      <c r="H45" s="121">
        <f>SUMIFS(薪酬明细!$L:$L,薪酬明细!$D:$D,$E45,薪酬明细!$E:$E,$F45,薪酬明细!$H:$H,"&gt;="&amp;H$9,薪酬明细!$H:$H,"&lt;="&amp;H$10,薪酬明细!$A:$A,H$6)/10000</f>
        <v>9.2</v>
      </c>
      <c r="I45" s="121">
        <f>SUMIFS(薪酬明细!$L:$L,薪酬明细!$D:$D,$E45,薪酬明细!$E:$E,$F45,薪酬明细!$H:$H,"&gt;="&amp;I$9,薪酬明细!$H:$H,"&lt;="&amp;I$10,薪酬明细!$A:$A,I$6)/10000</f>
        <v>9.2</v>
      </c>
      <c r="J45" s="121">
        <f>SUMIFS(薪酬明细!$L:$L,薪酬明细!$D:$D,$E45,薪酬明细!$E:$E,$F45,薪酬明细!$H:$H,"&gt;="&amp;J$9,薪酬明细!$H:$H,"&lt;="&amp;J$10,薪酬明细!$A:$A,J$6)/10000</f>
        <v>9.2</v>
      </c>
      <c r="K45" s="121">
        <f>SUMIFS(薪酬明细!$L:$L,薪酬明细!$D:$D,$E45,薪酬明细!$E:$E,$F45,薪酬明细!$H:$H,"&gt;="&amp;K$9,薪酬明细!$H:$H,"&lt;="&amp;K$10,薪酬明细!$A:$A,K$6)/10000</f>
        <v>9.1</v>
      </c>
      <c r="L45" s="121">
        <f>SUMIFS(薪酬明细!$L:$L,薪酬明细!$D:$D,$E45,薪酬明细!$E:$E,$F45,薪酬明细!$H:$H,"&gt;="&amp;L$9,薪酬明细!$H:$H,"&lt;="&amp;L$10,薪酬明细!$A:$A,L$6)/10000</f>
        <v>9.2</v>
      </c>
      <c r="M45" s="121">
        <f>SUMIFS(薪酬明细!$L:$L,薪酬明细!$D:$D,$E45,薪酬明细!$E:$E,$F45,薪酬明细!$H:$H,"&gt;="&amp;M$9,薪酬明细!$H:$H,"&lt;="&amp;M$10,薪酬明细!$A:$A,M$6)/10000</f>
        <v>9.1</v>
      </c>
      <c r="N45" s="121">
        <f>SUMIFS(薪酬明细!$L:$L,薪酬明细!$D:$D,$E45,薪酬明细!$E:$E,$F45,薪酬明细!$H:$H,"&gt;="&amp;N$9,薪酬明细!$H:$H,"&lt;="&amp;N$10,薪酬明细!$A:$A,N$6)/10000</f>
        <v>9.3</v>
      </c>
      <c r="O45" s="121">
        <f>SUMIFS(薪酬明细!$L:$L,薪酬明细!$D:$D,$E45,薪酬明细!$E:$E,$F45,薪酬明细!$H:$H,"&gt;="&amp;O$9,薪酬明细!$H:$H,"&lt;="&amp;O$10,薪酬明细!$A:$A,O$6)/10000</f>
        <v>9.1</v>
      </c>
      <c r="P45" s="121">
        <f>SUMIFS(薪酬明细!$L:$L,薪酬明细!$D:$D,$E45,薪酬明细!$E:$E,$F45,薪酬明细!$H:$H,"&gt;="&amp;P$9,薪酬明细!$H:$H,"&lt;="&amp;P$10,薪酬明细!$A:$A,P$6)/10000</f>
        <v>9.1</v>
      </c>
      <c r="Q45" s="121">
        <f>SUMIFS(薪酬明细!$L:$L,薪酬明细!$D:$D,$E45,薪酬明细!$E:$E,$F45,薪酬明细!$H:$H,"&gt;="&amp;Q$9,薪酬明细!$H:$H,"&lt;="&amp;Q$10,薪酬明细!$A:$A,Q$6)/10000</f>
        <v>9.1</v>
      </c>
      <c r="R45" s="121">
        <f>SUMIFS(薪酬明细!$L:$L,薪酬明细!$D:$D,$E45,薪酬明细!$E:$E,$F45,薪酬明细!$H:$H,"&gt;="&amp;R$9,薪酬明细!$H:$H,"&lt;="&amp;R$10,薪酬明细!$A:$A,R$6)/10000</f>
        <v>9.1</v>
      </c>
      <c r="S45" s="121">
        <f>SUMIFS(薪酬明细!$L:$L,薪酬明细!$D:$D,$E45,薪酬明细!$E:$E,$F45,薪酬明细!$H:$H,"&gt;="&amp;S$9,薪酬明细!$H:$H,"&lt;="&amp;S$10,薪酬明细!$A:$A,S$6)/10000</f>
        <v>9.1</v>
      </c>
      <c r="T45" s="125">
        <f t="shared" si="86"/>
        <v>109.4</v>
      </c>
      <c r="U45" s="121">
        <f>SUMIFS(薪酬明细!$L:$L,薪酬明细!$D:$D,$E45,薪酬明细!$E:$E,$F45,薪酬明细!$H:$H,"&gt;="&amp;U$9,薪酬明细!$H:$H,"&lt;="&amp;U$10,薪酬明细!$A:$A,U$6)/10000</f>
        <v>82.3</v>
      </c>
      <c r="V45" s="121">
        <f>SUMIFS(薪酬明细!$L:$L,薪酬明细!$D:$D,$E45,薪酬明细!$E:$E,$F45,薪酬明细!$H:$H,"&gt;="&amp;V$9,薪酬明细!$H:$H,"&lt;="&amp;V$10,薪酬明细!$A:$A,V$6)/10000</f>
        <v>9.1</v>
      </c>
      <c r="W45" s="121">
        <f>SUMIFS(薪酬明细!$L:$L,薪酬明细!$D:$D,$E45,薪酬明细!$E:$E,$F45,薪酬明细!$H:$H,"&gt;="&amp;W$9,薪酬明细!$H:$H,"&lt;="&amp;W$10,薪酬明细!$A:$A,W$6)/10000</f>
        <v>9.1</v>
      </c>
      <c r="X45" s="121">
        <f>SUMIFS(薪酬明细!$L:$L,薪酬明细!$D:$D,$E45,薪酬明细!$E:$E,$F45,薪酬明细!$H:$H,"&gt;="&amp;X$9,薪酬明细!$H:$H,"&lt;="&amp;X$10,薪酬明细!$A:$A,X$6)/10000</f>
        <v>9.2</v>
      </c>
      <c r="Y45" s="121">
        <f>SUMIFS(薪酬明细!$L:$L,薪酬明细!$D:$D,$E45,薪酬明细!$E:$E,$F45,薪酬明细!$H:$H,"&gt;="&amp;Y$9,薪酬明细!$H:$H,"&lt;="&amp;Y$10,薪酬明细!$A:$A,Y$6)/10000</f>
        <v>9.2</v>
      </c>
      <c r="Z45" s="121">
        <f>SUMIFS(薪酬明细!$L:$L,薪酬明细!$D:$D,$E45,薪酬明细!$E:$E,$F45,薪酬明细!$H:$H,"&gt;="&amp;Z$9,薪酬明细!$H:$H,"&lt;="&amp;Z$10,薪酬明细!$A:$A,Z$6)/10000</f>
        <v>9</v>
      </c>
      <c r="AA45" s="121">
        <f>SUMIFS(薪酬明细!$L:$L,薪酬明细!$D:$D,$E45,薪酬明细!$E:$E,$F45,薪酬明细!$H:$H,"&gt;="&amp;AA$9,薪酬明细!$H:$H,"&lt;="&amp;AA$10,薪酬明细!$A:$A,AA$6)/10000</f>
        <v>9</v>
      </c>
      <c r="AB45" s="121">
        <f>SUMIFS(薪酬明细!$L:$L,薪酬明细!$D:$D,$E45,薪酬明细!$E:$E,$F45,薪酬明细!$H:$H,"&gt;="&amp;AB$9,薪酬明细!$H:$H,"&lt;="&amp;AB$10,薪酬明细!$A:$A,AB$6)/10000</f>
        <v>9.2</v>
      </c>
      <c r="AC45" s="121">
        <f>SUMIFS(薪酬明细!$L:$L,薪酬明细!$D:$D,$E45,薪酬明细!$E:$E,$F45,薪酬明细!$H:$H,"&gt;="&amp;AC$9,薪酬明细!$H:$H,"&lt;="&amp;AC$10,薪酬明细!$A:$A,AC$6)/10000</f>
        <v>9.2</v>
      </c>
      <c r="AD45" s="121">
        <f>SUMIFS(薪酬明细!$L:$L,薪酬明细!$D:$D,$E45,薪酬明细!$E:$E,$F45,薪酬明细!$H:$H,"&gt;="&amp;AD$9,薪酬明细!$H:$H,"&lt;="&amp;AD$10,薪酬明细!$A:$A,AD$6)/10000</f>
        <v>9.2</v>
      </c>
      <c r="AE45" s="121">
        <f>SUMIFS(薪酬明细!$L:$L,薪酬明细!$D:$D,$E45,薪酬明细!$E:$E,$F45,薪酬明细!$H:$H,"&gt;="&amp;AE$9,薪酬明细!$H:$H,"&lt;="&amp;AE$10,薪酬明细!$A:$A,AE$6)/10000</f>
        <v>0</v>
      </c>
      <c r="AF45" s="121">
        <f>SUMIFS(薪酬明细!$L:$L,薪酬明细!$D:$D,$E45,薪酬明细!$E:$E,$F45,薪酬明细!$H:$H,"&gt;="&amp;AF$9,薪酬明细!$H:$H,"&lt;="&amp;AF$10,薪酬明细!$A:$A,AF$6)/10000</f>
        <v>0</v>
      </c>
      <c r="AG45" s="121">
        <f>SUMIFS(薪酬明细!$L:$L,薪酬明细!$D:$D,$E45,薪酬明细!$E:$E,$F45,薪酬明细!$H:$H,"&gt;="&amp;AG$9,薪酬明细!$H:$H,"&lt;="&amp;AG$10,薪酬明细!$A:$A,AG$6)/10000</f>
        <v>0</v>
      </c>
      <c r="AH45" s="121">
        <f>SUMIFS(薪酬明细!$L:$L,薪酬明细!$D:$D,$E45,薪酬明细!$E:$E,$F45,薪酬明细!$H:$H,"&gt;="&amp;AH$9,薪酬明细!$H:$H,"&lt;="&amp;AH$10,薪酬明细!$A:$A,AH$6)/10000</f>
        <v>27.1</v>
      </c>
      <c r="AI45" s="121">
        <f>SUMIFS(薪酬明细!$L:$L,薪酬明细!$D:$D,$E45,薪酬明细!$E:$E,$F45,薪酬明细!$H:$H,"&gt;="&amp;AI$9,薪酬明细!$H:$H,"&lt;="&amp;AI$10,薪酬明细!$A:$A,AI$6)/10000</f>
        <v>0</v>
      </c>
      <c r="AJ45" s="121">
        <f>SUMIFS(薪酬明细!$L:$L,薪酬明细!$D:$D,$E45,薪酬明细!$E:$E,$F45,薪酬明细!$H:$H,"&gt;="&amp;AJ$9,薪酬明细!$H:$H,"&lt;="&amp;AJ$10,薪酬明细!$A:$A,AJ$6)/10000</f>
        <v>0</v>
      </c>
      <c r="AK45" s="121">
        <f>SUMIFS(薪酬明细!$L:$L,薪酬明细!$D:$D,$E45,薪酬明细!$E:$E,$F45,薪酬明细!$H:$H,"&gt;="&amp;AK$9,薪酬明细!$H:$H,"&lt;="&amp;AK$10,薪酬明细!$A:$A,AK$6)/10000</f>
        <v>0</v>
      </c>
      <c r="AL45" s="121">
        <f>SUMIFS(薪酬明细!$L:$L,薪酬明细!$D:$D,$E45,薪酬明细!$E:$E,$F45,薪酬明细!$H:$H,"&gt;="&amp;AL$9,薪酬明细!$H:$H,"&lt;="&amp;AL$10,薪酬明细!$A:$A,AL$6)/10000</f>
        <v>0</v>
      </c>
      <c r="AM45" s="121">
        <f>SUMIFS(薪酬明细!$L:$L,薪酬明细!$D:$D,$E45,薪酬明细!$E:$E,$F45,薪酬明细!$H:$H,"&gt;="&amp;AM$9,薪酬明细!$H:$H,"&lt;="&amp;AM$10,薪酬明细!$A:$A,AM$6)/10000</f>
        <v>0</v>
      </c>
      <c r="AN45" s="121">
        <f>SUMIFS(薪酬明细!$L:$L,薪酬明细!$D:$D,$E45,薪酬明细!$E:$E,$F45,薪酬明细!$H:$H,"&gt;="&amp;AN$9,薪酬明细!$H:$H,"&lt;="&amp;AN$10,薪酬明细!$A:$A,AN$6)/10000</f>
        <v>0</v>
      </c>
      <c r="AO45" s="121">
        <f>SUMIFS(薪酬明细!$L:$L,薪酬明细!$D:$D,$E45,薪酬明细!$E:$E,$F45,薪酬明细!$H:$H,"&gt;="&amp;AO$9,薪酬明细!$H:$H,"&lt;="&amp;AO$10,薪酬明细!$A:$A,AO$6)/10000</f>
        <v>0</v>
      </c>
      <c r="AP45" s="121">
        <f>SUMIFS(薪酬明细!$L:$L,薪酬明细!$D:$D,$E45,薪酬明细!$E:$E,$F45,薪酬明细!$H:$H,"&gt;="&amp;AP$9,薪酬明细!$H:$H,"&lt;="&amp;AP$10,薪酬明细!$A:$A,AP$6)/10000</f>
        <v>0</v>
      </c>
      <c r="AQ45" s="121">
        <f>SUMIFS(薪酬明细!$L:$L,薪酬明细!$D:$D,$E45,薪酬明细!$E:$E,$F45,薪酬明细!$H:$H,"&gt;="&amp;AQ$9,薪酬明细!$H:$H,"&lt;="&amp;AQ$10,薪酬明细!$A:$A,AQ$6)/10000</f>
        <v>0</v>
      </c>
      <c r="AR45" s="121">
        <f>SUMIFS(薪酬明细!$L:$L,薪酬明细!$D:$D,$E45,薪酬明细!$E:$E,$F45,薪酬明细!$H:$H,"&gt;="&amp;AR$9,薪酬明细!$H:$H,"&lt;="&amp;AR$10,薪酬明细!$A:$A,AR$6)/10000</f>
        <v>9.1</v>
      </c>
      <c r="AS45" s="121">
        <f>SUMIFS(薪酬明细!$L:$L,薪酬明细!$D:$D,$E45,薪酬明细!$E:$E,$F45,薪酬明细!$H:$H,"&gt;="&amp;AS$9,薪酬明细!$H:$H,"&lt;="&amp;AS$10,薪酬明细!$A:$A,AS$6)/10000</f>
        <v>9.1</v>
      </c>
      <c r="AT45" s="121">
        <f>SUMIFS(薪酬明细!$L:$L,薪酬明细!$D:$D,$E45,薪酬明细!$E:$E,$F45,薪酬明细!$H:$H,"&gt;="&amp;AT$9,薪酬明细!$H:$H,"&lt;="&amp;AT$10,薪酬明细!$A:$A,AT$6)/10000</f>
        <v>9</v>
      </c>
      <c r="AU45" s="121">
        <f>SUMIFS(薪酬明细!$L:$L,薪酬明细!$D:$D,$E45,薪酬明细!$E:$E,$F45,薪酬明细!$H:$H,"&gt;="&amp;AU$9,薪酬明细!$H:$H,"&lt;="&amp;AU$10,薪酬明细!$A:$A,AU$6)/10000</f>
        <v>109.8</v>
      </c>
      <c r="AV45" s="121">
        <f>SUMIFS(薪酬明细!$L:$L,薪酬明细!$D:$D,$E45,薪酬明细!$E:$E,$F45,薪酬明细!$H:$H,"&gt;="&amp;AV$9,薪酬明细!$H:$H,"&lt;="&amp;AV$10,薪酬明细!$A:$A,AV$6)/10000</f>
        <v>9.1</v>
      </c>
      <c r="AW45" s="121">
        <f>SUMIFS(薪酬明细!$L:$L,薪酬明细!$D:$D,$E45,薪酬明细!$E:$E,$F45,薪酬明细!$H:$H,"&gt;="&amp;AW$9,薪酬明细!$H:$H,"&lt;="&amp;AW$10,薪酬明细!$A:$A,AW$6)/10000</f>
        <v>9.2</v>
      </c>
      <c r="AX45" s="121">
        <f>SUMIFS(薪酬明细!$L:$L,薪酬明细!$D:$D,$E45,薪酬明细!$E:$E,$F45,薪酬明细!$H:$H,"&gt;="&amp;AX$9,薪酬明细!$H:$H,"&lt;="&amp;AX$10,薪酬明细!$A:$A,AX$6)/10000</f>
        <v>9.3</v>
      </c>
      <c r="AY45" s="121">
        <f>SUMIFS(薪酬明细!$L:$L,薪酬明细!$D:$D,$E45,薪酬明细!$E:$E,$F45,薪酬明细!$H:$H,"&gt;="&amp;AY$9,薪酬明细!$H:$H,"&lt;="&amp;AY$10,薪酬明细!$A:$A,AY$6)/10000</f>
        <v>9.1</v>
      </c>
      <c r="AZ45" s="121">
        <f>SUMIFS(薪酬明细!$L:$L,薪酬明细!$D:$D,$E45,薪酬明细!$E:$E,$F45,薪酬明细!$H:$H,"&gt;="&amp;AZ$9,薪酬明细!$H:$H,"&lt;="&amp;AZ$10,薪酬明细!$A:$A,AZ$6)/10000</f>
        <v>9.1</v>
      </c>
      <c r="BA45" s="121">
        <f>SUMIFS(薪酬明细!$L:$L,薪酬明细!$D:$D,$E45,薪酬明细!$E:$E,$F45,薪酬明细!$H:$H,"&gt;="&amp;BA$9,薪酬明细!$H:$H,"&lt;="&amp;BA$10,薪酬明细!$A:$A,BA$6)/10000</f>
        <v>9.1</v>
      </c>
      <c r="BB45" s="121">
        <f>SUMIFS(薪酬明细!$L:$L,薪酬明细!$D:$D,$E45,薪酬明细!$E:$E,$F45,薪酬明细!$H:$H,"&gt;="&amp;BB$9,薪酬明细!$H:$H,"&lt;="&amp;BB$10,薪酬明细!$A:$A,BB$6)/10000</f>
        <v>9.2</v>
      </c>
      <c r="BC45" s="121">
        <f>SUMIFS(薪酬明细!$L:$L,薪酬明细!$D:$D,$E45,薪酬明细!$E:$E,$F45,薪酬明细!$H:$H,"&gt;="&amp;BC$9,薪酬明细!$H:$H,"&lt;="&amp;BC$10,薪酬明细!$A:$A,BC$6)/10000</f>
        <v>9.2</v>
      </c>
      <c r="BD45" s="121">
        <f>SUMIFS(薪酬明细!$L:$L,薪酬明细!$D:$D,$E45,薪酬明细!$E:$E,$F45,薪酬明细!$H:$H,"&gt;="&amp;BD$9,薪酬明细!$H:$H,"&lt;="&amp;BD$10,薪酬明细!$A:$A,BD$6)/10000</f>
        <v>9.1</v>
      </c>
      <c r="BE45" s="121">
        <f>SUMIFS(薪酬明细!$L:$L,薪酬明细!$D:$D,$E45,薪酬明细!$E:$E,$F45,薪酬明细!$H:$H,"&gt;="&amp;BE$9,薪酬明细!$H:$H,"&lt;="&amp;BE$10,薪酬明细!$A:$A,BE$6)/10000</f>
        <v>9.1</v>
      </c>
      <c r="BF45" s="121">
        <f>SUMIFS(薪酬明细!$L:$L,薪酬明细!$D:$D,$E45,薪酬明细!$E:$E,$F45,薪酬明细!$H:$H,"&gt;="&amp;BF$9,薪酬明细!$H:$H,"&lt;="&amp;BF$10,薪酬明细!$A:$A,BF$6)/10000</f>
        <v>9.1</v>
      </c>
      <c r="BG45" s="121">
        <f>SUMIFS(薪酬明细!$L:$L,薪酬明细!$D:$D,$E45,薪酬明细!$E:$E,$F45,薪酬明细!$H:$H,"&gt;="&amp;BG$9,薪酬明细!$H:$H,"&lt;="&amp;BG$10,薪酬明细!$A:$A,BG$6)/10000</f>
        <v>9.2</v>
      </c>
    </row>
    <row r="46" ht="16.2" spans="3:59">
      <c r="C46" s="42" t="s">
        <v>82</v>
      </c>
      <c r="D46" s="42"/>
      <c r="E46" s="116" t="str">
        <f t="shared" si="84"/>
        <v>创新中心</v>
      </c>
      <c r="F46" s="116" t="str">
        <f t="shared" si="85"/>
        <v>*</v>
      </c>
      <c r="G46" s="121">
        <f>SUMIFS(薪酬明细!$L:$L,薪酬明细!$D:$D,$E46,薪酬明细!$E:$E,$F46,薪酬明细!$H:$H,"&gt;="&amp;G$9,薪酬明细!$H:$H,"&lt;="&amp;G$10,薪酬明细!$A:$A,G$6)/10000</f>
        <v>240</v>
      </c>
      <c r="H46" s="121">
        <f>SUMIFS(薪酬明细!$L:$L,薪酬明细!$D:$D,$E46,薪酬明细!$E:$E,$F46,薪酬明细!$H:$H,"&gt;="&amp;H$9,薪酬明细!$H:$H,"&lt;="&amp;H$10,薪酬明细!$A:$A,H$6)/10000</f>
        <v>20.1</v>
      </c>
      <c r="I46" s="121">
        <f>SUMIFS(薪酬明细!$L:$L,薪酬明细!$D:$D,$E46,薪酬明细!$E:$E,$F46,薪酬明细!$H:$H,"&gt;="&amp;I$9,薪酬明细!$H:$H,"&lt;="&amp;I$10,薪酬明细!$A:$A,I$6)/10000</f>
        <v>20.1</v>
      </c>
      <c r="J46" s="121">
        <f>SUMIFS(薪酬明细!$L:$L,薪酬明细!$D:$D,$E46,薪酬明细!$E:$E,$F46,薪酬明细!$H:$H,"&gt;="&amp;J$9,薪酬明细!$H:$H,"&lt;="&amp;J$10,薪酬明细!$A:$A,J$6)/10000</f>
        <v>20</v>
      </c>
      <c r="K46" s="121">
        <f>SUMIFS(薪酬明细!$L:$L,薪酬明细!$D:$D,$E46,薪酬明细!$E:$E,$F46,薪酬明细!$H:$H,"&gt;="&amp;K$9,薪酬明细!$H:$H,"&lt;="&amp;K$10,薪酬明细!$A:$A,K$6)/10000</f>
        <v>20</v>
      </c>
      <c r="L46" s="121">
        <f>SUMIFS(薪酬明细!$L:$L,薪酬明细!$D:$D,$E46,薪酬明细!$E:$E,$F46,薪酬明细!$H:$H,"&gt;="&amp;L$9,薪酬明细!$H:$H,"&lt;="&amp;L$10,薪酬明细!$A:$A,L$6)/10000</f>
        <v>20</v>
      </c>
      <c r="M46" s="121">
        <f>SUMIFS(薪酬明细!$L:$L,薪酬明细!$D:$D,$E46,薪酬明细!$E:$E,$F46,薪酬明细!$H:$H,"&gt;="&amp;M$9,薪酬明细!$H:$H,"&lt;="&amp;M$10,薪酬明细!$A:$A,M$6)/10000</f>
        <v>20.2</v>
      </c>
      <c r="N46" s="121">
        <f>SUMIFS(薪酬明细!$L:$L,薪酬明细!$D:$D,$E46,薪酬明细!$E:$E,$F46,薪酬明细!$H:$H,"&gt;="&amp;N$9,薪酬明细!$H:$H,"&lt;="&amp;N$10,薪酬明细!$A:$A,N$6)/10000</f>
        <v>19.9</v>
      </c>
      <c r="O46" s="121">
        <f>SUMIFS(薪酬明细!$L:$L,薪酬明细!$D:$D,$E46,薪酬明细!$E:$E,$F46,薪酬明细!$H:$H,"&gt;="&amp;O$9,薪酬明细!$H:$H,"&lt;="&amp;O$10,薪酬明细!$A:$A,O$6)/10000</f>
        <v>20.1</v>
      </c>
      <c r="P46" s="121">
        <f>SUMIFS(薪酬明细!$L:$L,薪酬明细!$D:$D,$E46,薪酬明细!$E:$E,$F46,薪酬明细!$H:$H,"&gt;="&amp;P$9,薪酬明细!$H:$H,"&lt;="&amp;P$10,薪酬明细!$A:$A,P$6)/10000</f>
        <v>20.2</v>
      </c>
      <c r="Q46" s="121">
        <f>SUMIFS(薪酬明细!$L:$L,薪酬明细!$D:$D,$E46,薪酬明细!$E:$E,$F46,薪酬明细!$H:$H,"&gt;="&amp;Q$9,薪酬明细!$H:$H,"&lt;="&amp;Q$10,薪酬明细!$A:$A,Q$6)/10000</f>
        <v>19.8</v>
      </c>
      <c r="R46" s="121">
        <f>SUMIFS(薪酬明细!$L:$L,薪酬明细!$D:$D,$E46,薪酬明细!$E:$E,$F46,薪酬明细!$H:$H,"&gt;="&amp;R$9,薪酬明细!$H:$H,"&lt;="&amp;R$10,薪酬明细!$A:$A,R$6)/10000</f>
        <v>19.8</v>
      </c>
      <c r="S46" s="121">
        <f>SUMIFS(薪酬明细!$L:$L,薪酬明细!$D:$D,$E46,薪酬明细!$E:$E,$F46,薪酬明细!$H:$H,"&gt;="&amp;S$9,薪酬明细!$H:$H,"&lt;="&amp;S$10,薪酬明细!$A:$A,S$6)/10000</f>
        <v>19.9</v>
      </c>
      <c r="T46" s="125">
        <f t="shared" si="86"/>
        <v>240.4</v>
      </c>
      <c r="U46" s="121">
        <f>SUMIFS(薪酬明细!$L:$L,薪酬明细!$D:$D,$E46,薪酬明细!$E:$E,$F46,薪酬明细!$H:$H,"&gt;="&amp;U$9,薪酬明细!$H:$H,"&lt;="&amp;U$10,薪酬明细!$A:$A,U$6)/10000</f>
        <v>180.3</v>
      </c>
      <c r="V46" s="121">
        <f>SUMIFS(薪酬明细!$L:$L,薪酬明细!$D:$D,$E46,薪酬明细!$E:$E,$F46,薪酬明细!$H:$H,"&gt;="&amp;V$9,薪酬明细!$H:$H,"&lt;="&amp;V$10,薪酬明细!$A:$A,V$6)/10000</f>
        <v>19.9</v>
      </c>
      <c r="W46" s="121">
        <f>SUMIFS(薪酬明细!$L:$L,薪酬明细!$D:$D,$E46,薪酬明细!$E:$E,$F46,薪酬明细!$H:$H,"&gt;="&amp;W$9,薪酬明细!$H:$H,"&lt;="&amp;W$10,薪酬明细!$A:$A,W$6)/10000</f>
        <v>20.2</v>
      </c>
      <c r="X46" s="121">
        <f>SUMIFS(薪酬明细!$L:$L,薪酬明细!$D:$D,$E46,薪酬明细!$E:$E,$F46,薪酬明细!$H:$H,"&gt;="&amp;X$9,薪酬明细!$H:$H,"&lt;="&amp;X$10,薪酬明细!$A:$A,X$6)/10000</f>
        <v>20.2</v>
      </c>
      <c r="Y46" s="121">
        <f>SUMIFS(薪酬明细!$L:$L,薪酬明细!$D:$D,$E46,薪酬明细!$E:$E,$F46,薪酬明细!$H:$H,"&gt;="&amp;Y$9,薪酬明细!$H:$H,"&lt;="&amp;Y$10,薪酬明细!$A:$A,Y$6)/10000</f>
        <v>20</v>
      </c>
      <c r="Z46" s="121">
        <f>SUMIFS(薪酬明细!$L:$L,薪酬明细!$D:$D,$E46,薪酬明细!$E:$E,$F46,薪酬明细!$H:$H,"&gt;="&amp;Z$9,薪酬明细!$H:$H,"&lt;="&amp;Z$10,薪酬明细!$A:$A,Z$6)/10000</f>
        <v>19.9</v>
      </c>
      <c r="AA46" s="121">
        <f>SUMIFS(薪酬明细!$L:$L,薪酬明细!$D:$D,$E46,薪酬明细!$E:$E,$F46,薪酬明细!$H:$H,"&gt;="&amp;AA$9,薪酬明细!$H:$H,"&lt;="&amp;AA$10,薪酬明细!$A:$A,AA$6)/10000</f>
        <v>20</v>
      </c>
      <c r="AB46" s="121">
        <f>SUMIFS(薪酬明细!$L:$L,薪酬明细!$D:$D,$E46,薪酬明细!$E:$E,$F46,薪酬明细!$H:$H,"&gt;="&amp;AB$9,薪酬明细!$H:$H,"&lt;="&amp;AB$10,薪酬明细!$A:$A,AB$6)/10000</f>
        <v>20</v>
      </c>
      <c r="AC46" s="121">
        <f>SUMIFS(薪酬明细!$L:$L,薪酬明细!$D:$D,$E46,薪酬明细!$E:$E,$F46,薪酬明细!$H:$H,"&gt;="&amp;AC$9,薪酬明细!$H:$H,"&lt;="&amp;AC$10,薪酬明细!$A:$A,AC$6)/10000</f>
        <v>20.1</v>
      </c>
      <c r="AD46" s="121">
        <f>SUMIFS(薪酬明细!$L:$L,薪酬明细!$D:$D,$E46,薪酬明细!$E:$E,$F46,薪酬明细!$H:$H,"&gt;="&amp;AD$9,薪酬明细!$H:$H,"&lt;="&amp;AD$10,薪酬明细!$A:$A,AD$6)/10000</f>
        <v>20.1</v>
      </c>
      <c r="AE46" s="121">
        <f>SUMIFS(薪酬明细!$L:$L,薪酬明细!$D:$D,$E46,薪酬明细!$E:$E,$F46,薪酬明细!$H:$H,"&gt;="&amp;AE$9,薪酬明细!$H:$H,"&lt;="&amp;AE$10,薪酬明细!$A:$A,AE$6)/10000</f>
        <v>0</v>
      </c>
      <c r="AF46" s="121">
        <f>SUMIFS(薪酬明细!$L:$L,薪酬明细!$D:$D,$E46,薪酬明细!$E:$E,$F46,薪酬明细!$H:$H,"&gt;="&amp;AF$9,薪酬明细!$H:$H,"&lt;="&amp;AF$10,薪酬明细!$A:$A,AF$6)/10000</f>
        <v>0</v>
      </c>
      <c r="AG46" s="121">
        <f>SUMIFS(薪酬明细!$L:$L,薪酬明细!$D:$D,$E46,薪酬明细!$E:$E,$F46,薪酬明细!$H:$H,"&gt;="&amp;AG$9,薪酬明细!$H:$H,"&lt;="&amp;AG$10,薪酬明细!$A:$A,AG$6)/10000</f>
        <v>0</v>
      </c>
      <c r="AH46" s="121">
        <f>SUMIFS(薪酬明细!$L:$L,薪酬明细!$D:$D,$E46,薪酬明细!$E:$E,$F46,薪酬明细!$H:$H,"&gt;="&amp;AH$9,薪酬明细!$H:$H,"&lt;="&amp;AH$10,薪酬明细!$A:$A,AH$6)/10000</f>
        <v>60.1</v>
      </c>
      <c r="AI46" s="121">
        <f>SUMIFS(薪酬明细!$L:$L,薪酬明细!$D:$D,$E46,薪酬明细!$E:$E,$F46,薪酬明细!$H:$H,"&gt;="&amp;AI$9,薪酬明细!$H:$H,"&lt;="&amp;AI$10,薪酬明细!$A:$A,AI$6)/10000</f>
        <v>0</v>
      </c>
      <c r="AJ46" s="121">
        <f>SUMIFS(薪酬明细!$L:$L,薪酬明细!$D:$D,$E46,薪酬明细!$E:$E,$F46,薪酬明细!$H:$H,"&gt;="&amp;AJ$9,薪酬明细!$H:$H,"&lt;="&amp;AJ$10,薪酬明细!$A:$A,AJ$6)/10000</f>
        <v>0</v>
      </c>
      <c r="AK46" s="121">
        <f>SUMIFS(薪酬明细!$L:$L,薪酬明细!$D:$D,$E46,薪酬明细!$E:$E,$F46,薪酬明细!$H:$H,"&gt;="&amp;AK$9,薪酬明细!$H:$H,"&lt;="&amp;AK$10,薪酬明细!$A:$A,AK$6)/10000</f>
        <v>0</v>
      </c>
      <c r="AL46" s="121">
        <f>SUMIFS(薪酬明细!$L:$L,薪酬明细!$D:$D,$E46,薪酬明细!$E:$E,$F46,薪酬明细!$H:$H,"&gt;="&amp;AL$9,薪酬明细!$H:$H,"&lt;="&amp;AL$10,薪酬明细!$A:$A,AL$6)/10000</f>
        <v>0</v>
      </c>
      <c r="AM46" s="121">
        <f>SUMIFS(薪酬明细!$L:$L,薪酬明细!$D:$D,$E46,薪酬明细!$E:$E,$F46,薪酬明细!$H:$H,"&gt;="&amp;AM$9,薪酬明细!$H:$H,"&lt;="&amp;AM$10,薪酬明细!$A:$A,AM$6)/10000</f>
        <v>0</v>
      </c>
      <c r="AN46" s="121">
        <f>SUMIFS(薪酬明细!$L:$L,薪酬明细!$D:$D,$E46,薪酬明细!$E:$E,$F46,薪酬明细!$H:$H,"&gt;="&amp;AN$9,薪酬明细!$H:$H,"&lt;="&amp;AN$10,薪酬明细!$A:$A,AN$6)/10000</f>
        <v>0</v>
      </c>
      <c r="AO46" s="121">
        <f>SUMIFS(薪酬明细!$L:$L,薪酬明细!$D:$D,$E46,薪酬明细!$E:$E,$F46,薪酬明细!$H:$H,"&gt;="&amp;AO$9,薪酬明细!$H:$H,"&lt;="&amp;AO$10,薪酬明细!$A:$A,AO$6)/10000</f>
        <v>0</v>
      </c>
      <c r="AP46" s="121">
        <f>SUMIFS(薪酬明细!$L:$L,薪酬明细!$D:$D,$E46,薪酬明细!$E:$E,$F46,薪酬明细!$H:$H,"&gt;="&amp;AP$9,薪酬明细!$H:$H,"&lt;="&amp;AP$10,薪酬明细!$A:$A,AP$6)/10000</f>
        <v>0</v>
      </c>
      <c r="AQ46" s="121">
        <f>SUMIFS(薪酬明细!$L:$L,薪酬明细!$D:$D,$E46,薪酬明细!$E:$E,$F46,薪酬明细!$H:$H,"&gt;="&amp;AQ$9,薪酬明细!$H:$H,"&lt;="&amp;AQ$10,薪酬明细!$A:$A,AQ$6)/10000</f>
        <v>0</v>
      </c>
      <c r="AR46" s="121">
        <f>SUMIFS(薪酬明细!$L:$L,薪酬明细!$D:$D,$E46,薪酬明细!$E:$E,$F46,薪酬明细!$H:$H,"&gt;="&amp;AR$9,薪酬明细!$H:$H,"&lt;="&amp;AR$10,薪酬明细!$A:$A,AR$6)/10000</f>
        <v>20.1</v>
      </c>
      <c r="AS46" s="121">
        <f>SUMIFS(薪酬明细!$L:$L,薪酬明细!$D:$D,$E46,薪酬明细!$E:$E,$F46,薪酬明细!$H:$H,"&gt;="&amp;AS$9,薪酬明细!$H:$H,"&lt;="&amp;AS$10,薪酬明细!$A:$A,AS$6)/10000</f>
        <v>20.2</v>
      </c>
      <c r="AT46" s="121">
        <f>SUMIFS(薪酬明细!$L:$L,薪酬明细!$D:$D,$E46,薪酬明细!$E:$E,$F46,薪酬明细!$H:$H,"&gt;="&amp;AT$9,薪酬明细!$H:$H,"&lt;="&amp;AT$10,薪酬明细!$A:$A,AT$6)/10000</f>
        <v>19.9</v>
      </c>
      <c r="AU46" s="121">
        <f>SUMIFS(薪酬明细!$L:$L,薪酬明细!$D:$D,$E46,薪酬明细!$E:$E,$F46,薪酬明细!$H:$H,"&gt;="&amp;AU$9,薪酬明细!$H:$H,"&lt;="&amp;AU$10,薪酬明细!$A:$A,AU$6)/10000</f>
        <v>240.2</v>
      </c>
      <c r="AV46" s="121">
        <f>SUMIFS(薪酬明细!$L:$L,薪酬明细!$D:$D,$E46,薪酬明细!$E:$E,$F46,薪酬明细!$H:$H,"&gt;="&amp;AV$9,薪酬明细!$H:$H,"&lt;="&amp;AV$10,薪酬明细!$A:$A,AV$6)/10000</f>
        <v>20.1</v>
      </c>
      <c r="AW46" s="121">
        <f>SUMIFS(薪酬明细!$L:$L,薪酬明细!$D:$D,$E46,薪酬明细!$E:$E,$F46,薪酬明细!$H:$H,"&gt;="&amp;AW$9,薪酬明细!$H:$H,"&lt;="&amp;AW$10,薪酬明细!$A:$A,AW$6)/10000</f>
        <v>19.9</v>
      </c>
      <c r="AX46" s="121">
        <f>SUMIFS(薪酬明细!$L:$L,薪酬明细!$D:$D,$E46,薪酬明细!$E:$E,$F46,薪酬明细!$H:$H,"&gt;="&amp;AX$9,薪酬明细!$H:$H,"&lt;="&amp;AX$10,薪酬明细!$A:$A,AX$6)/10000</f>
        <v>20</v>
      </c>
      <c r="AY46" s="121">
        <f>SUMIFS(薪酬明细!$L:$L,薪酬明细!$D:$D,$E46,薪酬明细!$E:$E,$F46,薪酬明细!$H:$H,"&gt;="&amp;AY$9,薪酬明细!$H:$H,"&lt;="&amp;AY$10,薪酬明细!$A:$A,AY$6)/10000</f>
        <v>20</v>
      </c>
      <c r="AZ46" s="121">
        <f>SUMIFS(薪酬明细!$L:$L,薪酬明细!$D:$D,$E46,薪酬明细!$E:$E,$F46,薪酬明细!$H:$H,"&gt;="&amp;AZ$9,薪酬明细!$H:$H,"&lt;="&amp;AZ$10,薪酬明细!$A:$A,AZ$6)/10000</f>
        <v>20.2</v>
      </c>
      <c r="BA46" s="121">
        <f>SUMIFS(薪酬明细!$L:$L,薪酬明细!$D:$D,$E46,薪酬明细!$E:$E,$F46,薪酬明细!$H:$H,"&gt;="&amp;BA$9,薪酬明细!$H:$H,"&lt;="&amp;BA$10,薪酬明细!$A:$A,BA$6)/10000</f>
        <v>20.1</v>
      </c>
      <c r="BB46" s="121">
        <f>SUMIFS(薪酬明细!$L:$L,薪酬明细!$D:$D,$E46,薪酬明细!$E:$E,$F46,薪酬明细!$H:$H,"&gt;="&amp;BB$9,薪酬明细!$H:$H,"&lt;="&amp;BB$10,薪酬明细!$A:$A,BB$6)/10000</f>
        <v>19.9</v>
      </c>
      <c r="BC46" s="121">
        <f>SUMIFS(薪酬明细!$L:$L,薪酬明细!$D:$D,$E46,薪酬明细!$E:$E,$F46,薪酬明细!$H:$H,"&gt;="&amp;BC$9,薪酬明细!$H:$H,"&lt;="&amp;BC$10,薪酬明细!$A:$A,BC$6)/10000</f>
        <v>19.9</v>
      </c>
      <c r="BD46" s="121">
        <f>SUMIFS(薪酬明细!$L:$L,薪酬明细!$D:$D,$E46,薪酬明细!$E:$E,$F46,薪酬明细!$H:$H,"&gt;="&amp;BD$9,薪酬明细!$H:$H,"&lt;="&amp;BD$10,薪酬明细!$A:$A,BD$6)/10000</f>
        <v>20.2</v>
      </c>
      <c r="BE46" s="121">
        <f>SUMIFS(薪酬明细!$L:$L,薪酬明细!$D:$D,$E46,薪酬明细!$E:$E,$F46,薪酬明细!$H:$H,"&gt;="&amp;BE$9,薪酬明细!$H:$H,"&lt;="&amp;BE$10,薪酬明细!$A:$A,BE$6)/10000</f>
        <v>20.1</v>
      </c>
      <c r="BF46" s="121">
        <f>SUMIFS(薪酬明细!$L:$L,薪酬明细!$D:$D,$E46,薪酬明细!$E:$E,$F46,薪酬明细!$H:$H,"&gt;="&amp;BF$9,薪酬明细!$H:$H,"&lt;="&amp;BF$10,薪酬明细!$A:$A,BF$6)/10000</f>
        <v>19.7</v>
      </c>
      <c r="BG46" s="121">
        <f>SUMIFS(薪酬明细!$L:$L,薪酬明细!$D:$D,$E46,薪酬明细!$E:$E,$F46,薪酬明细!$H:$H,"&gt;="&amp;BG$9,薪酬明细!$H:$H,"&lt;="&amp;BG$10,薪酬明细!$A:$A,BG$6)/10000</f>
        <v>20.1</v>
      </c>
    </row>
    <row r="47" ht="16.2" spans="3:59">
      <c r="C47" s="42"/>
      <c r="D47" s="42" t="s">
        <v>83</v>
      </c>
      <c r="E47" s="116" t="str">
        <f t="shared" si="84"/>
        <v>创新中心</v>
      </c>
      <c r="F47" s="116" t="str">
        <f t="shared" si="85"/>
        <v>产品
研发部</v>
      </c>
      <c r="G47" s="121">
        <f>SUMIFS(薪酬明细!$L:$L,薪酬明细!$D:$D,$E47,薪酬明细!$E:$E,$F47,薪酬明细!$H:$H,"&gt;="&amp;G$9,薪酬明细!$H:$H,"&lt;="&amp;G$10,薪酬明细!$A:$A,G$6)/10000</f>
        <v>82.9</v>
      </c>
      <c r="H47" s="121">
        <f>SUMIFS(薪酬明细!$L:$L,薪酬明细!$D:$D,$E47,薪酬明细!$E:$E,$F47,薪酬明细!$H:$H,"&gt;="&amp;H$9,薪酬明细!$H:$H,"&lt;="&amp;H$10,薪酬明细!$A:$A,H$6)/10000</f>
        <v>6.9</v>
      </c>
      <c r="I47" s="121">
        <f>SUMIFS(薪酬明细!$L:$L,薪酬明细!$D:$D,$E47,薪酬明细!$E:$E,$F47,薪酬明细!$H:$H,"&gt;="&amp;I$9,薪酬明细!$H:$H,"&lt;="&amp;I$10,薪酬明细!$A:$A,I$6)/10000</f>
        <v>6.9</v>
      </c>
      <c r="J47" s="121">
        <f>SUMIFS(薪酬明细!$L:$L,薪酬明细!$D:$D,$E47,薪酬明细!$E:$E,$F47,薪酬明细!$H:$H,"&gt;="&amp;J$9,薪酬明细!$H:$H,"&lt;="&amp;J$10,薪酬明细!$A:$A,J$6)/10000</f>
        <v>6.8</v>
      </c>
      <c r="K47" s="121">
        <f>SUMIFS(薪酬明细!$L:$L,薪酬明细!$D:$D,$E47,薪酬明细!$E:$E,$F47,薪酬明细!$H:$H,"&gt;="&amp;K$9,薪酬明细!$H:$H,"&lt;="&amp;K$10,薪酬明细!$A:$A,K$6)/10000</f>
        <v>6.9</v>
      </c>
      <c r="L47" s="121">
        <f>SUMIFS(薪酬明细!$L:$L,薪酬明细!$D:$D,$E47,薪酬明细!$E:$E,$F47,薪酬明细!$H:$H,"&gt;="&amp;L$9,薪酬明细!$H:$H,"&lt;="&amp;L$10,薪酬明细!$A:$A,L$6)/10000</f>
        <v>6.9</v>
      </c>
      <c r="M47" s="121">
        <f>SUMIFS(薪酬明细!$L:$L,薪酬明细!$D:$D,$E47,薪酬明细!$E:$E,$F47,薪酬明细!$H:$H,"&gt;="&amp;M$9,薪酬明细!$H:$H,"&lt;="&amp;M$10,薪酬明细!$A:$A,M$6)/10000</f>
        <v>7</v>
      </c>
      <c r="N47" s="121">
        <f>SUMIFS(薪酬明细!$L:$L,薪酬明细!$D:$D,$E47,薪酬明细!$E:$E,$F47,薪酬明细!$H:$H,"&gt;="&amp;N$9,薪酬明细!$H:$H,"&lt;="&amp;N$10,薪酬明细!$A:$A,N$6)/10000</f>
        <v>6.8</v>
      </c>
      <c r="O47" s="121">
        <f>SUMIFS(薪酬明细!$L:$L,薪酬明细!$D:$D,$E47,薪酬明细!$E:$E,$F47,薪酬明细!$H:$H,"&gt;="&amp;O$9,薪酬明细!$H:$H,"&lt;="&amp;O$10,薪酬明细!$A:$A,O$6)/10000</f>
        <v>7</v>
      </c>
      <c r="P47" s="121">
        <f>SUMIFS(薪酬明细!$L:$L,薪酬明细!$D:$D,$E47,薪酬明细!$E:$E,$F47,薪酬明细!$H:$H,"&gt;="&amp;P$9,薪酬明细!$H:$H,"&lt;="&amp;P$10,薪酬明细!$A:$A,P$6)/10000</f>
        <v>7</v>
      </c>
      <c r="Q47" s="121">
        <f>SUMIFS(薪酬明细!$L:$L,薪酬明细!$D:$D,$E47,薪酬明细!$E:$E,$F47,薪酬明细!$H:$H,"&gt;="&amp;Q$9,薪酬明细!$H:$H,"&lt;="&amp;Q$10,薪酬明细!$A:$A,Q$6)/10000</f>
        <v>6.8</v>
      </c>
      <c r="R47" s="121">
        <f>SUMIFS(薪酬明细!$L:$L,薪酬明细!$D:$D,$E47,薪酬明细!$E:$E,$F47,薪酬明细!$H:$H,"&gt;="&amp;R$9,薪酬明细!$H:$H,"&lt;="&amp;R$10,薪酬明细!$A:$A,R$6)/10000</f>
        <v>7.1</v>
      </c>
      <c r="S47" s="121">
        <f>SUMIFS(薪酬明细!$L:$L,薪酬明细!$D:$D,$E47,薪酬明细!$E:$E,$F47,薪酬明细!$H:$H,"&gt;="&amp;S$9,薪酬明细!$H:$H,"&lt;="&amp;S$10,薪酬明细!$A:$A,S$6)/10000</f>
        <v>6.8</v>
      </c>
      <c r="T47" s="125">
        <f t="shared" si="86"/>
        <v>83.6</v>
      </c>
      <c r="U47" s="121">
        <f>SUMIFS(薪酬明细!$L:$L,薪酬明细!$D:$D,$E47,薪酬明细!$E:$E,$F47,薪酬明细!$H:$H,"&gt;="&amp;U$9,薪酬明细!$H:$H,"&lt;="&amp;U$10,薪酬明细!$A:$A,U$6)/10000</f>
        <v>62.6</v>
      </c>
      <c r="V47" s="121">
        <f>SUMIFS(薪酬明细!$L:$L,薪酬明细!$D:$D,$E47,薪酬明细!$E:$E,$F47,薪酬明细!$H:$H,"&gt;="&amp;V$9,薪酬明细!$H:$H,"&lt;="&amp;V$10,薪酬明细!$A:$A,V$6)/10000</f>
        <v>6.9</v>
      </c>
      <c r="W47" s="121">
        <f>SUMIFS(薪酬明细!$L:$L,薪酬明细!$D:$D,$E47,薪酬明细!$E:$E,$F47,薪酬明细!$H:$H,"&gt;="&amp;W$9,薪酬明细!$H:$H,"&lt;="&amp;W$10,薪酬明细!$A:$A,W$6)/10000</f>
        <v>7</v>
      </c>
      <c r="X47" s="121">
        <f>SUMIFS(薪酬明细!$L:$L,薪酬明细!$D:$D,$E47,薪酬明细!$E:$E,$F47,薪酬明细!$H:$H,"&gt;="&amp;X$9,薪酬明细!$H:$H,"&lt;="&amp;X$10,薪酬明细!$A:$A,X$6)/10000</f>
        <v>7</v>
      </c>
      <c r="Y47" s="121">
        <f>SUMIFS(薪酬明细!$L:$L,薪酬明细!$D:$D,$E47,薪酬明细!$E:$E,$F47,薪酬明细!$H:$H,"&gt;="&amp;Y$9,薪酬明细!$H:$H,"&lt;="&amp;Y$10,薪酬明细!$A:$A,Y$6)/10000</f>
        <v>6.9</v>
      </c>
      <c r="Z47" s="121">
        <f>SUMIFS(薪酬明细!$L:$L,薪酬明细!$D:$D,$E47,薪酬明细!$E:$E,$F47,薪酬明细!$H:$H,"&gt;="&amp;Z$9,薪酬明细!$H:$H,"&lt;="&amp;Z$10,薪酬明细!$A:$A,Z$6)/10000</f>
        <v>6.9</v>
      </c>
      <c r="AA47" s="121">
        <f>SUMIFS(薪酬明细!$L:$L,薪酬明细!$D:$D,$E47,薪酬明细!$E:$E,$F47,薪酬明细!$H:$H,"&gt;="&amp;AA$9,薪酬明细!$H:$H,"&lt;="&amp;AA$10,薪酬明细!$A:$A,AA$6)/10000</f>
        <v>6.8</v>
      </c>
      <c r="AB47" s="121">
        <f>SUMIFS(薪酬明细!$L:$L,薪酬明细!$D:$D,$E47,薪酬明细!$E:$E,$F47,薪酬明细!$H:$H,"&gt;="&amp;AB$9,薪酬明细!$H:$H,"&lt;="&amp;AB$10,薪酬明细!$A:$A,AB$6)/10000</f>
        <v>7</v>
      </c>
      <c r="AC47" s="121">
        <f>SUMIFS(薪酬明细!$L:$L,薪酬明细!$D:$D,$E47,薪酬明细!$E:$E,$F47,薪酬明细!$H:$H,"&gt;="&amp;AC$9,薪酬明细!$H:$H,"&lt;="&amp;AC$10,薪酬明细!$A:$A,AC$6)/10000</f>
        <v>7</v>
      </c>
      <c r="AD47" s="121">
        <f>SUMIFS(薪酬明细!$L:$L,薪酬明细!$D:$D,$E47,薪酬明细!$E:$E,$F47,薪酬明细!$H:$H,"&gt;="&amp;AD$9,薪酬明细!$H:$H,"&lt;="&amp;AD$10,薪酬明细!$A:$A,AD$6)/10000</f>
        <v>7</v>
      </c>
      <c r="AE47" s="121">
        <f>SUMIFS(薪酬明细!$L:$L,薪酬明细!$D:$D,$E47,薪酬明细!$E:$E,$F47,薪酬明细!$H:$H,"&gt;="&amp;AE$9,薪酬明细!$H:$H,"&lt;="&amp;AE$10,薪酬明细!$A:$A,AE$6)/10000</f>
        <v>0</v>
      </c>
      <c r="AF47" s="121">
        <f>SUMIFS(薪酬明细!$L:$L,薪酬明细!$D:$D,$E47,薪酬明细!$E:$E,$F47,薪酬明细!$H:$H,"&gt;="&amp;AF$9,薪酬明细!$H:$H,"&lt;="&amp;AF$10,薪酬明细!$A:$A,AF$6)/10000</f>
        <v>0</v>
      </c>
      <c r="AG47" s="121">
        <f>SUMIFS(薪酬明细!$L:$L,薪酬明细!$D:$D,$E47,薪酬明细!$E:$E,$F47,薪酬明细!$H:$H,"&gt;="&amp;AG$9,薪酬明细!$H:$H,"&lt;="&amp;AG$10,薪酬明细!$A:$A,AG$6)/10000</f>
        <v>0</v>
      </c>
      <c r="AH47" s="121">
        <f>SUMIFS(薪酬明细!$L:$L,薪酬明细!$D:$D,$E47,薪酬明细!$E:$E,$F47,薪酬明细!$H:$H,"&gt;="&amp;AH$9,薪酬明细!$H:$H,"&lt;="&amp;AH$10,薪酬明细!$A:$A,AH$6)/10000</f>
        <v>21</v>
      </c>
      <c r="AI47" s="121">
        <f>SUMIFS(薪酬明细!$L:$L,薪酬明细!$D:$D,$E47,薪酬明细!$E:$E,$F47,薪酬明细!$H:$H,"&gt;="&amp;AI$9,薪酬明细!$H:$H,"&lt;="&amp;AI$10,薪酬明细!$A:$A,AI$6)/10000</f>
        <v>0</v>
      </c>
      <c r="AJ47" s="121">
        <f>SUMIFS(薪酬明细!$L:$L,薪酬明细!$D:$D,$E47,薪酬明细!$E:$E,$F47,薪酬明细!$H:$H,"&gt;="&amp;AJ$9,薪酬明细!$H:$H,"&lt;="&amp;AJ$10,薪酬明细!$A:$A,AJ$6)/10000</f>
        <v>0</v>
      </c>
      <c r="AK47" s="121">
        <f>SUMIFS(薪酬明细!$L:$L,薪酬明细!$D:$D,$E47,薪酬明细!$E:$E,$F47,薪酬明细!$H:$H,"&gt;="&amp;AK$9,薪酬明细!$H:$H,"&lt;="&amp;AK$10,薪酬明细!$A:$A,AK$6)/10000</f>
        <v>0</v>
      </c>
      <c r="AL47" s="121">
        <f>SUMIFS(薪酬明细!$L:$L,薪酬明细!$D:$D,$E47,薪酬明细!$E:$E,$F47,薪酬明细!$H:$H,"&gt;="&amp;AL$9,薪酬明细!$H:$H,"&lt;="&amp;AL$10,薪酬明细!$A:$A,AL$6)/10000</f>
        <v>0</v>
      </c>
      <c r="AM47" s="121">
        <f>SUMIFS(薪酬明细!$L:$L,薪酬明细!$D:$D,$E47,薪酬明细!$E:$E,$F47,薪酬明细!$H:$H,"&gt;="&amp;AM$9,薪酬明细!$H:$H,"&lt;="&amp;AM$10,薪酬明细!$A:$A,AM$6)/10000</f>
        <v>0</v>
      </c>
      <c r="AN47" s="121">
        <f>SUMIFS(薪酬明细!$L:$L,薪酬明细!$D:$D,$E47,薪酬明细!$E:$E,$F47,薪酬明细!$H:$H,"&gt;="&amp;AN$9,薪酬明细!$H:$H,"&lt;="&amp;AN$10,薪酬明细!$A:$A,AN$6)/10000</f>
        <v>0</v>
      </c>
      <c r="AO47" s="121">
        <f>SUMIFS(薪酬明细!$L:$L,薪酬明细!$D:$D,$E47,薪酬明细!$E:$E,$F47,薪酬明细!$H:$H,"&gt;="&amp;AO$9,薪酬明细!$H:$H,"&lt;="&amp;AO$10,薪酬明细!$A:$A,AO$6)/10000</f>
        <v>0</v>
      </c>
      <c r="AP47" s="121">
        <f>SUMIFS(薪酬明细!$L:$L,薪酬明细!$D:$D,$E47,薪酬明细!$E:$E,$F47,薪酬明细!$H:$H,"&gt;="&amp;AP$9,薪酬明细!$H:$H,"&lt;="&amp;AP$10,薪酬明细!$A:$A,AP$6)/10000</f>
        <v>0</v>
      </c>
      <c r="AQ47" s="121">
        <f>SUMIFS(薪酬明细!$L:$L,薪酬明细!$D:$D,$E47,薪酬明细!$E:$E,$F47,薪酬明细!$H:$H,"&gt;="&amp;AQ$9,薪酬明细!$H:$H,"&lt;="&amp;AQ$10,薪酬明细!$A:$A,AQ$6)/10000</f>
        <v>0</v>
      </c>
      <c r="AR47" s="121">
        <f>SUMIFS(薪酬明细!$L:$L,薪酬明细!$D:$D,$E47,薪酬明细!$E:$E,$F47,薪酬明细!$H:$H,"&gt;="&amp;AR$9,薪酬明细!$H:$H,"&lt;="&amp;AR$10,薪酬明细!$A:$A,AR$6)/10000</f>
        <v>7</v>
      </c>
      <c r="AS47" s="121">
        <f>SUMIFS(薪酬明细!$L:$L,薪酬明细!$D:$D,$E47,薪酬明细!$E:$E,$F47,薪酬明细!$H:$H,"&gt;="&amp;AS$9,薪酬明细!$H:$H,"&lt;="&amp;AS$10,薪酬明细!$A:$A,AS$6)/10000</f>
        <v>7</v>
      </c>
      <c r="AT47" s="121">
        <f>SUMIFS(薪酬明细!$L:$L,薪酬明细!$D:$D,$E47,薪酬明细!$E:$E,$F47,薪酬明细!$H:$H,"&gt;="&amp;AT$9,薪酬明细!$H:$H,"&lt;="&amp;AT$10,薪酬明细!$A:$A,AT$6)/10000</f>
        <v>7</v>
      </c>
      <c r="AU47" s="121">
        <f>SUMIFS(薪酬明细!$L:$L,薪酬明细!$D:$D,$E47,薪酬明细!$E:$E,$F47,薪酬明细!$H:$H,"&gt;="&amp;AU$9,薪酬明细!$H:$H,"&lt;="&amp;AU$10,薪酬明细!$A:$A,AU$6)/10000</f>
        <v>82.9</v>
      </c>
      <c r="AV47" s="121">
        <f>SUMIFS(薪酬明细!$L:$L,薪酬明细!$D:$D,$E47,薪酬明细!$E:$E,$F47,薪酬明细!$H:$H,"&gt;="&amp;AV$9,薪酬明细!$H:$H,"&lt;="&amp;AV$10,薪酬明细!$A:$A,AV$6)/10000</f>
        <v>7</v>
      </c>
      <c r="AW47" s="121">
        <f>SUMIFS(薪酬明细!$L:$L,薪酬明细!$D:$D,$E47,薪酬明细!$E:$E,$F47,薪酬明细!$H:$H,"&gt;="&amp;AW$9,薪酬明细!$H:$H,"&lt;="&amp;AW$10,薪酬明细!$A:$A,AW$6)/10000</f>
        <v>6.8</v>
      </c>
      <c r="AX47" s="121">
        <f>SUMIFS(薪酬明细!$L:$L,薪酬明细!$D:$D,$E47,薪酬明细!$E:$E,$F47,薪酬明细!$H:$H,"&gt;="&amp;AX$9,薪酬明细!$H:$H,"&lt;="&amp;AX$10,薪酬明细!$A:$A,AX$6)/10000</f>
        <v>6.9</v>
      </c>
      <c r="AY47" s="121">
        <f>SUMIFS(薪酬明细!$L:$L,薪酬明细!$D:$D,$E47,薪酬明细!$E:$E,$F47,薪酬明细!$H:$H,"&gt;="&amp;AY$9,薪酬明细!$H:$H,"&lt;="&amp;AY$10,薪酬明细!$A:$A,AY$6)/10000</f>
        <v>6.9</v>
      </c>
      <c r="AZ47" s="121">
        <f>SUMIFS(薪酬明细!$L:$L,薪酬明细!$D:$D,$E47,薪酬明细!$E:$E,$F47,薪酬明细!$H:$H,"&gt;="&amp;AZ$9,薪酬明细!$H:$H,"&lt;="&amp;AZ$10,薪酬明细!$A:$A,AZ$6)/10000</f>
        <v>6.9</v>
      </c>
      <c r="BA47" s="121">
        <f>SUMIFS(薪酬明细!$L:$L,薪酬明细!$D:$D,$E47,薪酬明细!$E:$E,$F47,薪酬明细!$H:$H,"&gt;="&amp;BA$9,薪酬明细!$H:$H,"&lt;="&amp;BA$10,薪酬明细!$A:$A,BA$6)/10000</f>
        <v>7.1</v>
      </c>
      <c r="BB47" s="121">
        <f>SUMIFS(薪酬明细!$L:$L,薪酬明细!$D:$D,$E47,薪酬明细!$E:$E,$F47,薪酬明细!$H:$H,"&gt;="&amp;BB$9,薪酬明细!$H:$H,"&lt;="&amp;BB$10,薪酬明细!$A:$A,BB$6)/10000</f>
        <v>7</v>
      </c>
      <c r="BC47" s="121">
        <f>SUMIFS(薪酬明细!$L:$L,薪酬明细!$D:$D,$E47,薪酬明细!$E:$E,$F47,薪酬明细!$H:$H,"&gt;="&amp;BC$9,薪酬明细!$H:$H,"&lt;="&amp;BC$10,薪酬明细!$A:$A,BC$6)/10000</f>
        <v>6.9</v>
      </c>
      <c r="BD47" s="121">
        <f>SUMIFS(薪酬明细!$L:$L,薪酬明细!$D:$D,$E47,薪酬明细!$E:$E,$F47,薪酬明细!$H:$H,"&gt;="&amp;BD$9,薪酬明细!$H:$H,"&lt;="&amp;BD$10,薪酬明细!$A:$A,BD$6)/10000</f>
        <v>6.9</v>
      </c>
      <c r="BE47" s="121">
        <f>SUMIFS(薪酬明细!$L:$L,薪酬明细!$D:$D,$E47,薪酬明细!$E:$E,$F47,薪酬明细!$H:$H,"&gt;="&amp;BE$9,薪酬明细!$H:$H,"&lt;="&amp;BE$10,薪酬明细!$A:$A,BE$6)/10000</f>
        <v>7</v>
      </c>
      <c r="BF47" s="121">
        <f>SUMIFS(薪酬明细!$L:$L,薪酬明细!$D:$D,$E47,薪酬明细!$E:$E,$F47,薪酬明细!$H:$H,"&gt;="&amp;BF$9,薪酬明细!$H:$H,"&lt;="&amp;BF$10,薪酬明细!$A:$A,BF$6)/10000</f>
        <v>6.8</v>
      </c>
      <c r="BG47" s="121">
        <f>SUMIFS(薪酬明细!$L:$L,薪酬明细!$D:$D,$E47,薪酬明细!$E:$E,$F47,薪酬明细!$H:$H,"&gt;="&amp;BG$9,薪酬明细!$H:$H,"&lt;="&amp;BG$10,薪酬明细!$A:$A,BG$6)/10000</f>
        <v>6.9</v>
      </c>
    </row>
    <row r="48" ht="16.2" spans="3:59">
      <c r="C48" s="42"/>
      <c r="D48" s="42" t="s">
        <v>84</v>
      </c>
      <c r="E48" s="116" t="str">
        <f t="shared" si="84"/>
        <v>创新中心</v>
      </c>
      <c r="F48" s="116" t="str">
        <f t="shared" si="85"/>
        <v>XX
试验室</v>
      </c>
      <c r="G48" s="121">
        <f>SUMIFS(薪酬明细!$L:$L,薪酬明细!$D:$D,$E48,薪酬明细!$E:$E,$F48,薪酬明细!$H:$H,"&gt;="&amp;G$9,薪酬明细!$H:$H,"&lt;="&amp;G$10,薪酬明细!$A:$A,G$6)/10000</f>
        <v>56.5</v>
      </c>
      <c r="H48" s="121">
        <f>SUMIFS(薪酬明细!$L:$L,薪酬明细!$D:$D,$E48,薪酬明细!$E:$E,$F48,薪酬明细!$H:$H,"&gt;="&amp;H$9,薪酬明细!$H:$H,"&lt;="&amp;H$10,薪酬明细!$A:$A,H$6)/10000</f>
        <v>4.7</v>
      </c>
      <c r="I48" s="121">
        <f>SUMIFS(薪酬明细!$L:$L,薪酬明细!$D:$D,$E48,薪酬明细!$E:$E,$F48,薪酬明细!$H:$H,"&gt;="&amp;I$9,薪酬明细!$H:$H,"&lt;="&amp;I$10,薪酬明细!$A:$A,I$6)/10000</f>
        <v>4.7</v>
      </c>
      <c r="J48" s="121">
        <f>SUMIFS(薪酬明细!$L:$L,薪酬明细!$D:$D,$E48,薪酬明细!$E:$E,$F48,薪酬明细!$H:$H,"&gt;="&amp;J$9,薪酬明细!$H:$H,"&lt;="&amp;J$10,薪酬明细!$A:$A,J$6)/10000</f>
        <v>4.7</v>
      </c>
      <c r="K48" s="121">
        <f>SUMIFS(薪酬明细!$L:$L,薪酬明细!$D:$D,$E48,薪酬明细!$E:$E,$F48,薪酬明细!$H:$H,"&gt;="&amp;K$9,薪酬明细!$H:$H,"&lt;="&amp;K$10,薪酬明细!$A:$A,K$6)/10000</f>
        <v>4.7</v>
      </c>
      <c r="L48" s="121">
        <f>SUMIFS(薪酬明细!$L:$L,薪酬明细!$D:$D,$E48,薪酬明细!$E:$E,$F48,薪酬明细!$H:$H,"&gt;="&amp;L$9,薪酬明细!$H:$H,"&lt;="&amp;L$10,薪酬明细!$A:$A,L$6)/10000</f>
        <v>4.8</v>
      </c>
      <c r="M48" s="121">
        <f>SUMIFS(薪酬明细!$L:$L,薪酬明细!$D:$D,$E48,薪酬明细!$E:$E,$F48,薪酬明细!$H:$H,"&gt;="&amp;M$9,薪酬明细!$H:$H,"&lt;="&amp;M$10,薪酬明细!$A:$A,M$6)/10000</f>
        <v>4.7</v>
      </c>
      <c r="N48" s="121">
        <f>SUMIFS(薪酬明细!$L:$L,薪酬明细!$D:$D,$E48,薪酬明细!$E:$E,$F48,薪酬明细!$H:$H,"&gt;="&amp;N$9,薪酬明细!$H:$H,"&lt;="&amp;N$10,薪酬明细!$A:$A,N$6)/10000</f>
        <v>4.7</v>
      </c>
      <c r="O48" s="121">
        <f>SUMIFS(薪酬明细!$L:$L,薪酬明细!$D:$D,$E48,薪酬明细!$E:$E,$F48,薪酬明细!$H:$H,"&gt;="&amp;O$9,薪酬明细!$H:$H,"&lt;="&amp;O$10,薪酬明细!$A:$A,O$6)/10000</f>
        <v>4.6</v>
      </c>
      <c r="P48" s="121">
        <f>SUMIFS(薪酬明细!$L:$L,薪酬明细!$D:$D,$E48,薪酬明细!$E:$E,$F48,薪酬明细!$H:$H,"&gt;="&amp;P$9,薪酬明细!$H:$H,"&lt;="&amp;P$10,薪酬明细!$A:$A,P$6)/10000</f>
        <v>4.9</v>
      </c>
      <c r="Q48" s="121">
        <f>SUMIFS(薪酬明细!$L:$L,薪酬明细!$D:$D,$E48,薪酬明细!$E:$E,$F48,薪酬明细!$H:$H,"&gt;="&amp;Q$9,薪酬明细!$H:$H,"&lt;="&amp;Q$10,薪酬明细!$A:$A,Q$6)/10000</f>
        <v>4.6</v>
      </c>
      <c r="R48" s="121">
        <f>SUMIFS(薪酬明细!$L:$L,薪酬明细!$D:$D,$E48,薪酬明细!$E:$E,$F48,薪酬明细!$H:$H,"&gt;="&amp;R$9,薪酬明细!$H:$H,"&lt;="&amp;R$10,薪酬明细!$A:$A,R$6)/10000</f>
        <v>4.6</v>
      </c>
      <c r="S48" s="121">
        <f>SUMIFS(薪酬明细!$L:$L,薪酬明细!$D:$D,$E48,薪酬明细!$E:$E,$F48,薪酬明细!$H:$H,"&gt;="&amp;S$9,薪酬明细!$H:$H,"&lt;="&amp;S$10,薪酬明细!$A:$A,S$6)/10000</f>
        <v>4.7</v>
      </c>
      <c r="T48" s="125">
        <f t="shared" si="86"/>
        <v>56.2</v>
      </c>
      <c r="U48" s="121">
        <f>SUMIFS(薪酬明细!$L:$L,薪酬明细!$D:$D,$E48,薪酬明细!$E:$E,$F48,薪酬明细!$H:$H,"&gt;="&amp;U$9,薪酬明细!$H:$H,"&lt;="&amp;U$10,薪酬明细!$A:$A,U$6)/10000</f>
        <v>42.2</v>
      </c>
      <c r="V48" s="121">
        <f>SUMIFS(薪酬明细!$L:$L,薪酬明细!$D:$D,$E48,薪酬明细!$E:$E,$F48,薪酬明细!$H:$H,"&gt;="&amp;V$9,薪酬明细!$H:$H,"&lt;="&amp;V$10,薪酬明细!$A:$A,V$6)/10000</f>
        <v>4.6</v>
      </c>
      <c r="W48" s="121">
        <f>SUMIFS(薪酬明细!$L:$L,薪酬明细!$D:$D,$E48,薪酬明细!$E:$E,$F48,薪酬明细!$H:$H,"&gt;="&amp;W$9,薪酬明细!$H:$H,"&lt;="&amp;W$10,薪酬明细!$A:$A,W$6)/10000</f>
        <v>4.8</v>
      </c>
      <c r="X48" s="121">
        <f>SUMIFS(薪酬明细!$L:$L,薪酬明细!$D:$D,$E48,薪酬明细!$E:$E,$F48,薪酬明细!$H:$H,"&gt;="&amp;X$9,薪酬明细!$H:$H,"&lt;="&amp;X$10,薪酬明细!$A:$A,X$6)/10000</f>
        <v>4.7</v>
      </c>
      <c r="Y48" s="121">
        <f>SUMIFS(薪酬明细!$L:$L,薪酬明细!$D:$D,$E48,薪酬明细!$E:$E,$F48,薪酬明细!$H:$H,"&gt;="&amp;Y$9,薪酬明细!$H:$H,"&lt;="&amp;Y$10,薪酬明细!$A:$A,Y$6)/10000</f>
        <v>4.6</v>
      </c>
      <c r="Z48" s="121">
        <f>SUMIFS(薪酬明细!$L:$L,薪酬明细!$D:$D,$E48,薪酬明细!$E:$E,$F48,薪酬明细!$H:$H,"&gt;="&amp;Z$9,薪酬明细!$H:$H,"&lt;="&amp;Z$10,薪酬明细!$A:$A,Z$6)/10000</f>
        <v>4.7</v>
      </c>
      <c r="AA48" s="121">
        <f>SUMIFS(薪酬明细!$L:$L,薪酬明细!$D:$D,$E48,薪酬明细!$E:$E,$F48,薪酬明细!$H:$H,"&gt;="&amp;AA$9,薪酬明细!$H:$H,"&lt;="&amp;AA$10,薪酬明细!$A:$A,AA$6)/10000</f>
        <v>4.8</v>
      </c>
      <c r="AB48" s="121">
        <f>SUMIFS(薪酬明细!$L:$L,薪酬明细!$D:$D,$E48,薪酬明细!$E:$E,$F48,薪酬明细!$H:$H,"&gt;="&amp;AB$9,薪酬明细!$H:$H,"&lt;="&amp;AB$10,薪酬明细!$A:$A,AB$6)/10000</f>
        <v>4.6</v>
      </c>
      <c r="AC48" s="121">
        <f>SUMIFS(薪酬明细!$L:$L,薪酬明细!$D:$D,$E48,薪酬明细!$E:$E,$F48,薪酬明细!$H:$H,"&gt;="&amp;AC$9,薪酬明细!$H:$H,"&lt;="&amp;AC$10,薪酬明细!$A:$A,AC$6)/10000</f>
        <v>4.6</v>
      </c>
      <c r="AD48" s="121">
        <f>SUMIFS(薪酬明细!$L:$L,薪酬明细!$D:$D,$E48,薪酬明细!$E:$E,$F48,薪酬明细!$H:$H,"&gt;="&amp;AD$9,薪酬明细!$H:$H,"&lt;="&amp;AD$10,薪酬明细!$A:$A,AD$6)/10000</f>
        <v>4.7</v>
      </c>
      <c r="AE48" s="121">
        <f>SUMIFS(薪酬明细!$L:$L,薪酬明细!$D:$D,$E48,薪酬明细!$E:$E,$F48,薪酬明细!$H:$H,"&gt;="&amp;AE$9,薪酬明细!$H:$H,"&lt;="&amp;AE$10,薪酬明细!$A:$A,AE$6)/10000</f>
        <v>0</v>
      </c>
      <c r="AF48" s="121">
        <f>SUMIFS(薪酬明细!$L:$L,薪酬明细!$D:$D,$E48,薪酬明细!$E:$E,$F48,薪酬明细!$H:$H,"&gt;="&amp;AF$9,薪酬明细!$H:$H,"&lt;="&amp;AF$10,薪酬明细!$A:$A,AF$6)/10000</f>
        <v>0</v>
      </c>
      <c r="AG48" s="121">
        <f>SUMIFS(薪酬明细!$L:$L,薪酬明细!$D:$D,$E48,薪酬明细!$E:$E,$F48,薪酬明细!$H:$H,"&gt;="&amp;AG$9,薪酬明细!$H:$H,"&lt;="&amp;AG$10,薪酬明细!$A:$A,AG$6)/10000</f>
        <v>0</v>
      </c>
      <c r="AH48" s="121">
        <f>SUMIFS(薪酬明细!$L:$L,薪酬明细!$D:$D,$E48,薪酬明细!$E:$E,$F48,薪酬明细!$H:$H,"&gt;="&amp;AH$9,薪酬明细!$H:$H,"&lt;="&amp;AH$10,薪酬明细!$A:$A,AH$6)/10000</f>
        <v>14</v>
      </c>
      <c r="AI48" s="121">
        <f>SUMIFS(薪酬明细!$L:$L,薪酬明细!$D:$D,$E48,薪酬明细!$E:$E,$F48,薪酬明细!$H:$H,"&gt;="&amp;AI$9,薪酬明细!$H:$H,"&lt;="&amp;AI$10,薪酬明细!$A:$A,AI$6)/10000</f>
        <v>0</v>
      </c>
      <c r="AJ48" s="121">
        <f>SUMIFS(薪酬明细!$L:$L,薪酬明细!$D:$D,$E48,薪酬明细!$E:$E,$F48,薪酬明细!$H:$H,"&gt;="&amp;AJ$9,薪酬明细!$H:$H,"&lt;="&amp;AJ$10,薪酬明细!$A:$A,AJ$6)/10000</f>
        <v>0</v>
      </c>
      <c r="AK48" s="121">
        <f>SUMIFS(薪酬明细!$L:$L,薪酬明细!$D:$D,$E48,薪酬明细!$E:$E,$F48,薪酬明细!$H:$H,"&gt;="&amp;AK$9,薪酬明细!$H:$H,"&lt;="&amp;AK$10,薪酬明细!$A:$A,AK$6)/10000</f>
        <v>0</v>
      </c>
      <c r="AL48" s="121">
        <f>SUMIFS(薪酬明细!$L:$L,薪酬明细!$D:$D,$E48,薪酬明细!$E:$E,$F48,薪酬明细!$H:$H,"&gt;="&amp;AL$9,薪酬明细!$H:$H,"&lt;="&amp;AL$10,薪酬明细!$A:$A,AL$6)/10000</f>
        <v>0</v>
      </c>
      <c r="AM48" s="121">
        <f>SUMIFS(薪酬明细!$L:$L,薪酬明细!$D:$D,$E48,薪酬明细!$E:$E,$F48,薪酬明细!$H:$H,"&gt;="&amp;AM$9,薪酬明细!$H:$H,"&lt;="&amp;AM$10,薪酬明细!$A:$A,AM$6)/10000</f>
        <v>0</v>
      </c>
      <c r="AN48" s="121">
        <f>SUMIFS(薪酬明细!$L:$L,薪酬明细!$D:$D,$E48,薪酬明细!$E:$E,$F48,薪酬明细!$H:$H,"&gt;="&amp;AN$9,薪酬明细!$H:$H,"&lt;="&amp;AN$10,薪酬明细!$A:$A,AN$6)/10000</f>
        <v>0</v>
      </c>
      <c r="AO48" s="121">
        <f>SUMIFS(薪酬明细!$L:$L,薪酬明细!$D:$D,$E48,薪酬明细!$E:$E,$F48,薪酬明细!$H:$H,"&gt;="&amp;AO$9,薪酬明细!$H:$H,"&lt;="&amp;AO$10,薪酬明细!$A:$A,AO$6)/10000</f>
        <v>0</v>
      </c>
      <c r="AP48" s="121">
        <f>SUMIFS(薪酬明细!$L:$L,薪酬明细!$D:$D,$E48,薪酬明细!$E:$E,$F48,薪酬明细!$H:$H,"&gt;="&amp;AP$9,薪酬明细!$H:$H,"&lt;="&amp;AP$10,薪酬明细!$A:$A,AP$6)/10000</f>
        <v>0</v>
      </c>
      <c r="AQ48" s="121">
        <f>SUMIFS(薪酬明细!$L:$L,薪酬明细!$D:$D,$E48,薪酬明细!$E:$E,$F48,薪酬明细!$H:$H,"&gt;="&amp;AQ$9,薪酬明细!$H:$H,"&lt;="&amp;AQ$10,薪酬明细!$A:$A,AQ$6)/10000</f>
        <v>0</v>
      </c>
      <c r="AR48" s="121">
        <f>SUMIFS(薪酬明细!$L:$L,薪酬明细!$D:$D,$E48,薪酬明细!$E:$E,$F48,薪酬明细!$H:$H,"&gt;="&amp;AR$9,薪酬明细!$H:$H,"&lt;="&amp;AR$10,薪酬明细!$A:$A,AR$6)/10000</f>
        <v>4.6</v>
      </c>
      <c r="AS48" s="121">
        <f>SUMIFS(薪酬明细!$L:$L,薪酬明细!$D:$D,$E48,薪酬明细!$E:$E,$F48,薪酬明细!$H:$H,"&gt;="&amp;AS$9,薪酬明细!$H:$H,"&lt;="&amp;AS$10,薪酬明细!$A:$A,AS$6)/10000</f>
        <v>4.8</v>
      </c>
      <c r="AT48" s="121">
        <f>SUMIFS(薪酬明细!$L:$L,薪酬明细!$D:$D,$E48,薪酬明细!$E:$E,$F48,薪酬明细!$H:$H,"&gt;="&amp;AT$9,薪酬明细!$H:$H,"&lt;="&amp;AT$10,薪酬明细!$A:$A,AT$6)/10000</f>
        <v>4.6</v>
      </c>
      <c r="AU48" s="121">
        <f>SUMIFS(薪酬明细!$L:$L,薪酬明细!$D:$D,$E48,薪酬明细!$E:$E,$F48,薪酬明细!$H:$H,"&gt;="&amp;AU$9,薪酬明细!$H:$H,"&lt;="&amp;AU$10,薪酬明细!$A:$A,AU$6)/10000</f>
        <v>56.5</v>
      </c>
      <c r="AV48" s="121">
        <f>SUMIFS(薪酬明细!$L:$L,薪酬明细!$D:$D,$E48,薪酬明细!$E:$E,$F48,薪酬明细!$H:$H,"&gt;="&amp;AV$9,薪酬明细!$H:$H,"&lt;="&amp;AV$10,薪酬明细!$A:$A,AV$6)/10000</f>
        <v>4.8</v>
      </c>
      <c r="AW48" s="121">
        <f>SUMIFS(薪酬明细!$L:$L,薪酬明细!$D:$D,$E48,薪酬明细!$E:$E,$F48,薪酬明细!$H:$H,"&gt;="&amp;AW$9,薪酬明细!$H:$H,"&lt;="&amp;AW$10,薪酬明细!$A:$A,AW$6)/10000</f>
        <v>4.7</v>
      </c>
      <c r="AX48" s="121">
        <f>SUMIFS(薪酬明细!$L:$L,薪酬明细!$D:$D,$E48,薪酬明细!$E:$E,$F48,薪酬明细!$H:$H,"&gt;="&amp;AX$9,薪酬明细!$H:$H,"&lt;="&amp;AX$10,薪酬明细!$A:$A,AX$6)/10000</f>
        <v>4.7</v>
      </c>
      <c r="AY48" s="121">
        <f>SUMIFS(薪酬明细!$L:$L,薪酬明细!$D:$D,$E48,薪酬明细!$E:$E,$F48,薪酬明细!$H:$H,"&gt;="&amp;AY$9,薪酬明细!$H:$H,"&lt;="&amp;AY$10,薪酬明细!$A:$A,AY$6)/10000</f>
        <v>4.7</v>
      </c>
      <c r="AZ48" s="121">
        <f>SUMIFS(薪酬明细!$L:$L,薪酬明细!$D:$D,$E48,薪酬明细!$E:$E,$F48,薪酬明细!$H:$H,"&gt;="&amp;AZ$9,薪酬明细!$H:$H,"&lt;="&amp;AZ$10,薪酬明细!$A:$A,AZ$6)/10000</f>
        <v>4.8</v>
      </c>
      <c r="BA48" s="121">
        <f>SUMIFS(薪酬明细!$L:$L,薪酬明细!$D:$D,$E48,薪酬明细!$E:$E,$F48,薪酬明细!$H:$H,"&gt;="&amp;BA$9,薪酬明细!$H:$H,"&lt;="&amp;BA$10,薪酬明细!$A:$A,BA$6)/10000</f>
        <v>4.7</v>
      </c>
      <c r="BB48" s="121">
        <f>SUMIFS(薪酬明细!$L:$L,薪酬明细!$D:$D,$E48,薪酬明细!$E:$E,$F48,薪酬明细!$H:$H,"&gt;="&amp;BB$9,薪酬明细!$H:$H,"&lt;="&amp;BB$10,薪酬明细!$A:$A,BB$6)/10000</f>
        <v>4.7</v>
      </c>
      <c r="BC48" s="121">
        <f>SUMIFS(薪酬明细!$L:$L,薪酬明细!$D:$D,$E48,薪酬明细!$E:$E,$F48,薪酬明细!$H:$H,"&gt;="&amp;BC$9,薪酬明细!$H:$H,"&lt;="&amp;BC$10,薪酬明细!$A:$A,BC$6)/10000</f>
        <v>4.7</v>
      </c>
      <c r="BD48" s="121">
        <f>SUMIFS(薪酬明细!$L:$L,薪酬明细!$D:$D,$E48,薪酬明细!$E:$E,$F48,薪酬明细!$H:$H,"&gt;="&amp;BD$9,薪酬明细!$H:$H,"&lt;="&amp;BD$10,薪酬明细!$A:$A,BD$6)/10000</f>
        <v>4.7</v>
      </c>
      <c r="BE48" s="121">
        <f>SUMIFS(薪酬明细!$L:$L,薪酬明细!$D:$D,$E48,薪酬明细!$E:$E,$F48,薪酬明细!$H:$H,"&gt;="&amp;BE$9,薪酬明细!$H:$H,"&lt;="&amp;BE$10,薪酬明细!$A:$A,BE$6)/10000</f>
        <v>4.7</v>
      </c>
      <c r="BF48" s="121">
        <f>SUMIFS(薪酬明细!$L:$L,薪酬明细!$D:$D,$E48,薪酬明细!$E:$E,$F48,薪酬明细!$H:$H,"&gt;="&amp;BF$9,薪酬明细!$H:$H,"&lt;="&amp;BF$10,薪酬明细!$A:$A,BF$6)/10000</f>
        <v>4.7</v>
      </c>
      <c r="BG48" s="121">
        <f>SUMIFS(薪酬明细!$L:$L,薪酬明细!$D:$D,$E48,薪酬明细!$E:$E,$F48,薪酬明细!$H:$H,"&gt;="&amp;BG$9,薪酬明细!$H:$H,"&lt;="&amp;BG$10,薪酬明细!$A:$A,BG$6)/10000</f>
        <v>4.7</v>
      </c>
    </row>
    <row r="49" ht="16.2" spans="3:59">
      <c r="C49" s="42"/>
      <c r="D49" s="42" t="s">
        <v>85</v>
      </c>
      <c r="E49" s="116" t="str">
        <f t="shared" si="84"/>
        <v>创新中心</v>
      </c>
      <c r="F49" s="116" t="str">
        <f t="shared" si="85"/>
        <v>XX
孵化业务</v>
      </c>
      <c r="G49" s="121">
        <f>SUMIFS(薪酬明细!$L:$L,薪酬明细!$D:$D,$E49,薪酬明细!$E:$E,$F49,薪酬明细!$H:$H,"&gt;="&amp;G$9,薪酬明细!$H:$H,"&lt;="&amp;G$10,薪酬明细!$A:$A,G$6)/10000</f>
        <v>100.6</v>
      </c>
      <c r="H49" s="121">
        <f>SUMIFS(薪酬明细!$L:$L,薪酬明细!$D:$D,$E49,薪酬明细!$E:$E,$F49,薪酬明细!$H:$H,"&gt;="&amp;H$9,薪酬明细!$H:$H,"&lt;="&amp;H$10,薪酬明细!$A:$A,H$6)/10000</f>
        <v>8.4</v>
      </c>
      <c r="I49" s="121">
        <f>SUMIFS(薪酬明细!$L:$L,薪酬明细!$D:$D,$E49,薪酬明细!$E:$E,$F49,薪酬明细!$H:$H,"&gt;="&amp;I$9,薪酬明细!$H:$H,"&lt;="&amp;I$10,薪酬明细!$A:$A,I$6)/10000</f>
        <v>8.5</v>
      </c>
      <c r="J49" s="121">
        <f>SUMIFS(薪酬明细!$L:$L,薪酬明细!$D:$D,$E49,薪酬明细!$E:$E,$F49,薪酬明细!$H:$H,"&gt;="&amp;J$9,薪酬明细!$H:$H,"&lt;="&amp;J$10,薪酬明细!$A:$A,J$6)/10000</f>
        <v>8.4</v>
      </c>
      <c r="K49" s="121">
        <f>SUMIFS(薪酬明细!$L:$L,薪酬明细!$D:$D,$E49,薪酬明细!$E:$E,$F49,薪酬明细!$H:$H,"&gt;="&amp;K$9,薪酬明细!$H:$H,"&lt;="&amp;K$10,薪酬明细!$A:$A,K$6)/10000</f>
        <v>8.4</v>
      </c>
      <c r="L49" s="121">
        <f>SUMIFS(薪酬明细!$L:$L,薪酬明细!$D:$D,$E49,薪酬明细!$E:$E,$F49,薪酬明细!$H:$H,"&gt;="&amp;L$9,薪酬明细!$H:$H,"&lt;="&amp;L$10,薪酬明细!$A:$A,L$6)/10000</f>
        <v>8.3</v>
      </c>
      <c r="M49" s="121">
        <f>SUMIFS(薪酬明细!$L:$L,薪酬明细!$D:$D,$E49,薪酬明细!$E:$E,$F49,薪酬明细!$H:$H,"&gt;="&amp;M$9,薪酬明细!$H:$H,"&lt;="&amp;M$10,薪酬明细!$A:$A,M$6)/10000</f>
        <v>8.5</v>
      </c>
      <c r="N49" s="121">
        <f>SUMIFS(薪酬明细!$L:$L,薪酬明细!$D:$D,$E49,薪酬明细!$E:$E,$F49,薪酬明细!$H:$H,"&gt;="&amp;N$9,薪酬明细!$H:$H,"&lt;="&amp;N$10,薪酬明细!$A:$A,N$6)/10000</f>
        <v>8.4</v>
      </c>
      <c r="O49" s="121">
        <f>SUMIFS(薪酬明细!$L:$L,薪酬明细!$D:$D,$E49,薪酬明细!$E:$E,$F49,薪酬明细!$H:$H,"&gt;="&amp;O$9,薪酬明细!$H:$H,"&lt;="&amp;O$10,薪酬明细!$A:$A,O$6)/10000</f>
        <v>8.5</v>
      </c>
      <c r="P49" s="121">
        <f>SUMIFS(薪酬明细!$L:$L,薪酬明细!$D:$D,$E49,薪酬明细!$E:$E,$F49,薪酬明细!$H:$H,"&gt;="&amp;P$9,薪酬明细!$H:$H,"&lt;="&amp;P$10,薪酬明细!$A:$A,P$6)/10000</f>
        <v>8.4</v>
      </c>
      <c r="Q49" s="121">
        <f>SUMIFS(薪酬明细!$L:$L,薪酬明细!$D:$D,$E49,薪酬明细!$E:$E,$F49,薪酬明细!$H:$H,"&gt;="&amp;Q$9,薪酬明细!$H:$H,"&lt;="&amp;Q$10,薪酬明细!$A:$A,Q$6)/10000</f>
        <v>8.3</v>
      </c>
      <c r="R49" s="121">
        <f>SUMIFS(薪酬明细!$L:$L,薪酬明细!$D:$D,$E49,薪酬明细!$E:$E,$F49,薪酬明细!$H:$H,"&gt;="&amp;R$9,薪酬明细!$H:$H,"&lt;="&amp;R$10,薪酬明细!$A:$A,R$6)/10000</f>
        <v>8.1</v>
      </c>
      <c r="S49" s="121">
        <f>SUMIFS(薪酬明细!$L:$L,薪酬明细!$D:$D,$E49,薪酬明细!$E:$E,$F49,薪酬明细!$H:$H,"&gt;="&amp;S$9,薪酬明细!$H:$H,"&lt;="&amp;S$10,薪酬明细!$A:$A,S$6)/10000</f>
        <v>8.4</v>
      </c>
      <c r="T49" s="125">
        <f t="shared" si="86"/>
        <v>100.6</v>
      </c>
      <c r="U49" s="121">
        <f>SUMIFS(薪酬明细!$L:$L,薪酬明细!$D:$D,$E49,薪酬明细!$E:$E,$F49,薪酬明细!$H:$H,"&gt;="&amp;U$9,薪酬明细!$H:$H,"&lt;="&amp;U$10,薪酬明细!$A:$A,U$6)/10000</f>
        <v>75.5</v>
      </c>
      <c r="V49" s="121">
        <f>SUMIFS(薪酬明细!$L:$L,薪酬明细!$D:$D,$E49,薪酬明细!$E:$E,$F49,薪酬明细!$H:$H,"&gt;="&amp;V$9,薪酬明细!$H:$H,"&lt;="&amp;V$10,薪酬明细!$A:$A,V$6)/10000</f>
        <v>8.3</v>
      </c>
      <c r="W49" s="121">
        <f>SUMIFS(薪酬明细!$L:$L,薪酬明细!$D:$D,$E49,薪酬明细!$E:$E,$F49,薪酬明细!$H:$H,"&gt;="&amp;W$9,薪酬明细!$H:$H,"&lt;="&amp;W$10,薪酬明细!$A:$A,W$6)/10000</f>
        <v>8.3</v>
      </c>
      <c r="X49" s="121">
        <f>SUMIFS(薪酬明细!$L:$L,薪酬明细!$D:$D,$E49,薪酬明细!$E:$E,$F49,薪酬明细!$H:$H,"&gt;="&amp;X$9,薪酬明细!$H:$H,"&lt;="&amp;X$10,薪酬明细!$A:$A,X$6)/10000</f>
        <v>8.5</v>
      </c>
      <c r="Y49" s="121">
        <f>SUMIFS(薪酬明细!$L:$L,薪酬明细!$D:$D,$E49,薪酬明细!$E:$E,$F49,薪酬明细!$H:$H,"&gt;="&amp;Y$9,薪酬明细!$H:$H,"&lt;="&amp;Y$10,薪酬明细!$A:$A,Y$6)/10000</f>
        <v>8.4</v>
      </c>
      <c r="Z49" s="121">
        <f>SUMIFS(薪酬明细!$L:$L,薪酬明细!$D:$D,$E49,薪酬明细!$E:$E,$F49,薪酬明细!$H:$H,"&gt;="&amp;Z$9,薪酬明细!$H:$H,"&lt;="&amp;Z$10,薪酬明细!$A:$A,Z$6)/10000</f>
        <v>8.3</v>
      </c>
      <c r="AA49" s="121">
        <f>SUMIFS(薪酬明细!$L:$L,薪酬明细!$D:$D,$E49,薪酬明细!$E:$E,$F49,薪酬明细!$H:$H,"&gt;="&amp;AA$9,薪酬明细!$H:$H,"&lt;="&amp;AA$10,薪酬明细!$A:$A,AA$6)/10000</f>
        <v>8.4</v>
      </c>
      <c r="AB49" s="121">
        <f>SUMIFS(薪酬明细!$L:$L,薪酬明细!$D:$D,$E49,薪酬明细!$E:$E,$F49,薪酬明细!$H:$H,"&gt;="&amp;AB$9,薪酬明细!$H:$H,"&lt;="&amp;AB$10,薪酬明细!$A:$A,AB$6)/10000</f>
        <v>8.4</v>
      </c>
      <c r="AC49" s="121">
        <f>SUMIFS(薪酬明细!$L:$L,薪酬明细!$D:$D,$E49,薪酬明细!$E:$E,$F49,薪酬明细!$H:$H,"&gt;="&amp;AC$9,薪酬明细!$H:$H,"&lt;="&amp;AC$10,薪酬明细!$A:$A,AC$6)/10000</f>
        <v>8.5</v>
      </c>
      <c r="AD49" s="121">
        <f>SUMIFS(薪酬明细!$L:$L,薪酬明细!$D:$D,$E49,薪酬明细!$E:$E,$F49,薪酬明细!$H:$H,"&gt;="&amp;AD$9,薪酬明细!$H:$H,"&lt;="&amp;AD$10,薪酬明细!$A:$A,AD$6)/10000</f>
        <v>8.4</v>
      </c>
      <c r="AE49" s="121">
        <f>SUMIFS(薪酬明细!$L:$L,薪酬明细!$D:$D,$E49,薪酬明细!$E:$E,$F49,薪酬明细!$H:$H,"&gt;="&amp;AE$9,薪酬明细!$H:$H,"&lt;="&amp;AE$10,薪酬明细!$A:$A,AE$6)/10000</f>
        <v>0</v>
      </c>
      <c r="AF49" s="121">
        <f>SUMIFS(薪酬明细!$L:$L,薪酬明细!$D:$D,$E49,薪酬明细!$E:$E,$F49,薪酬明细!$H:$H,"&gt;="&amp;AF$9,薪酬明细!$H:$H,"&lt;="&amp;AF$10,薪酬明细!$A:$A,AF$6)/10000</f>
        <v>0</v>
      </c>
      <c r="AG49" s="121">
        <f>SUMIFS(薪酬明细!$L:$L,薪酬明细!$D:$D,$E49,薪酬明细!$E:$E,$F49,薪酬明细!$H:$H,"&gt;="&amp;AG$9,薪酬明细!$H:$H,"&lt;="&amp;AG$10,薪酬明细!$A:$A,AG$6)/10000</f>
        <v>0</v>
      </c>
      <c r="AH49" s="121">
        <f>SUMIFS(薪酬明细!$L:$L,薪酬明细!$D:$D,$E49,薪酬明细!$E:$E,$F49,薪酬明细!$H:$H,"&gt;="&amp;AH$9,薪酬明细!$H:$H,"&lt;="&amp;AH$10,薪酬明细!$A:$A,AH$6)/10000</f>
        <v>25.1</v>
      </c>
      <c r="AI49" s="121">
        <f>SUMIFS(薪酬明细!$L:$L,薪酬明细!$D:$D,$E49,薪酬明细!$E:$E,$F49,薪酬明细!$H:$H,"&gt;="&amp;AI$9,薪酬明细!$H:$H,"&lt;="&amp;AI$10,薪酬明细!$A:$A,AI$6)/10000</f>
        <v>0</v>
      </c>
      <c r="AJ49" s="121">
        <f>SUMIFS(薪酬明细!$L:$L,薪酬明细!$D:$D,$E49,薪酬明细!$E:$E,$F49,薪酬明细!$H:$H,"&gt;="&amp;AJ$9,薪酬明细!$H:$H,"&lt;="&amp;AJ$10,薪酬明细!$A:$A,AJ$6)/10000</f>
        <v>0</v>
      </c>
      <c r="AK49" s="121">
        <f>SUMIFS(薪酬明细!$L:$L,薪酬明细!$D:$D,$E49,薪酬明细!$E:$E,$F49,薪酬明细!$H:$H,"&gt;="&amp;AK$9,薪酬明细!$H:$H,"&lt;="&amp;AK$10,薪酬明细!$A:$A,AK$6)/10000</f>
        <v>0</v>
      </c>
      <c r="AL49" s="121">
        <f>SUMIFS(薪酬明细!$L:$L,薪酬明细!$D:$D,$E49,薪酬明细!$E:$E,$F49,薪酬明细!$H:$H,"&gt;="&amp;AL$9,薪酬明细!$H:$H,"&lt;="&amp;AL$10,薪酬明细!$A:$A,AL$6)/10000</f>
        <v>0</v>
      </c>
      <c r="AM49" s="121">
        <f>SUMIFS(薪酬明细!$L:$L,薪酬明细!$D:$D,$E49,薪酬明细!$E:$E,$F49,薪酬明细!$H:$H,"&gt;="&amp;AM$9,薪酬明细!$H:$H,"&lt;="&amp;AM$10,薪酬明细!$A:$A,AM$6)/10000</f>
        <v>0</v>
      </c>
      <c r="AN49" s="121">
        <f>SUMIFS(薪酬明细!$L:$L,薪酬明细!$D:$D,$E49,薪酬明细!$E:$E,$F49,薪酬明细!$H:$H,"&gt;="&amp;AN$9,薪酬明细!$H:$H,"&lt;="&amp;AN$10,薪酬明细!$A:$A,AN$6)/10000</f>
        <v>0</v>
      </c>
      <c r="AO49" s="121">
        <f>SUMIFS(薪酬明细!$L:$L,薪酬明细!$D:$D,$E49,薪酬明细!$E:$E,$F49,薪酬明细!$H:$H,"&gt;="&amp;AO$9,薪酬明细!$H:$H,"&lt;="&amp;AO$10,薪酬明细!$A:$A,AO$6)/10000</f>
        <v>0</v>
      </c>
      <c r="AP49" s="121">
        <f>SUMIFS(薪酬明细!$L:$L,薪酬明细!$D:$D,$E49,薪酬明细!$E:$E,$F49,薪酬明细!$H:$H,"&gt;="&amp;AP$9,薪酬明细!$H:$H,"&lt;="&amp;AP$10,薪酬明细!$A:$A,AP$6)/10000</f>
        <v>0</v>
      </c>
      <c r="AQ49" s="121">
        <f>SUMIFS(薪酬明细!$L:$L,薪酬明细!$D:$D,$E49,薪酬明细!$E:$E,$F49,薪酬明细!$H:$H,"&gt;="&amp;AQ$9,薪酬明细!$H:$H,"&lt;="&amp;AQ$10,薪酬明细!$A:$A,AQ$6)/10000</f>
        <v>0</v>
      </c>
      <c r="AR49" s="121">
        <f>SUMIFS(薪酬明细!$L:$L,薪酬明细!$D:$D,$E49,薪酬明细!$E:$E,$F49,薪酬明细!$H:$H,"&gt;="&amp;AR$9,薪酬明细!$H:$H,"&lt;="&amp;AR$10,薪酬明细!$A:$A,AR$6)/10000</f>
        <v>8.5</v>
      </c>
      <c r="AS49" s="121">
        <f>SUMIFS(薪酬明细!$L:$L,薪酬明细!$D:$D,$E49,薪酬明细!$E:$E,$F49,薪酬明细!$H:$H,"&gt;="&amp;AS$9,薪酬明细!$H:$H,"&lt;="&amp;AS$10,薪酬明细!$A:$A,AS$6)/10000</f>
        <v>8.4</v>
      </c>
      <c r="AT49" s="121">
        <f>SUMIFS(薪酬明细!$L:$L,薪酬明细!$D:$D,$E49,薪酬明细!$E:$E,$F49,薪酬明细!$H:$H,"&gt;="&amp;AT$9,薪酬明细!$H:$H,"&lt;="&amp;AT$10,薪酬明细!$A:$A,AT$6)/10000</f>
        <v>8.3</v>
      </c>
      <c r="AU49" s="121">
        <f>SUMIFS(薪酬明细!$L:$L,薪酬明细!$D:$D,$E49,薪酬明细!$E:$E,$F49,薪酬明细!$H:$H,"&gt;="&amp;AU$9,薪酬明细!$H:$H,"&lt;="&amp;AU$10,薪酬明细!$A:$A,AU$6)/10000</f>
        <v>100.8</v>
      </c>
      <c r="AV49" s="121">
        <f>SUMIFS(薪酬明细!$L:$L,薪酬明细!$D:$D,$E49,薪酬明细!$E:$E,$F49,薪酬明细!$H:$H,"&gt;="&amp;AV$9,薪酬明细!$H:$H,"&lt;="&amp;AV$10,薪酬明细!$A:$A,AV$6)/10000</f>
        <v>8.4</v>
      </c>
      <c r="AW49" s="121">
        <f>SUMIFS(薪酬明细!$L:$L,薪酬明细!$D:$D,$E49,薪酬明细!$E:$E,$F49,薪酬明细!$H:$H,"&gt;="&amp;AW$9,薪酬明细!$H:$H,"&lt;="&amp;AW$10,薪酬明细!$A:$A,AW$6)/10000</f>
        <v>8.4</v>
      </c>
      <c r="AX49" s="121">
        <f>SUMIFS(薪酬明细!$L:$L,薪酬明细!$D:$D,$E49,薪酬明细!$E:$E,$F49,薪酬明细!$H:$H,"&gt;="&amp;AX$9,薪酬明细!$H:$H,"&lt;="&amp;AX$10,薪酬明细!$A:$A,AX$6)/10000</f>
        <v>8.4</v>
      </c>
      <c r="AY49" s="121">
        <f>SUMIFS(薪酬明细!$L:$L,薪酬明细!$D:$D,$E49,薪酬明细!$E:$E,$F49,薪酬明细!$H:$H,"&gt;="&amp;AY$9,薪酬明细!$H:$H,"&lt;="&amp;AY$10,薪酬明细!$A:$A,AY$6)/10000</f>
        <v>8.4</v>
      </c>
      <c r="AZ49" s="121">
        <f>SUMIFS(薪酬明细!$L:$L,薪酬明细!$D:$D,$E49,薪酬明细!$E:$E,$F49,薪酬明细!$H:$H,"&gt;="&amp;AZ$9,薪酬明细!$H:$H,"&lt;="&amp;AZ$10,薪酬明细!$A:$A,AZ$6)/10000</f>
        <v>8.4</v>
      </c>
      <c r="BA49" s="121">
        <f>SUMIFS(薪酬明细!$L:$L,薪酬明细!$D:$D,$E49,薪酬明细!$E:$E,$F49,薪酬明细!$H:$H,"&gt;="&amp;BA$9,薪酬明细!$H:$H,"&lt;="&amp;BA$10,薪酬明细!$A:$A,BA$6)/10000</f>
        <v>8.3</v>
      </c>
      <c r="BB49" s="121">
        <f>SUMIFS(薪酬明细!$L:$L,薪酬明细!$D:$D,$E49,薪酬明细!$E:$E,$F49,薪酬明细!$H:$H,"&gt;="&amp;BB$9,薪酬明细!$H:$H,"&lt;="&amp;BB$10,薪酬明细!$A:$A,BB$6)/10000</f>
        <v>8.3</v>
      </c>
      <c r="BC49" s="121">
        <f>SUMIFS(薪酬明细!$L:$L,薪酬明细!$D:$D,$E49,薪酬明细!$E:$E,$F49,薪酬明细!$H:$H,"&gt;="&amp;BC$9,薪酬明细!$H:$H,"&lt;="&amp;BC$10,薪酬明细!$A:$A,BC$6)/10000</f>
        <v>8.3</v>
      </c>
      <c r="BD49" s="121">
        <f>SUMIFS(薪酬明细!$L:$L,薪酬明细!$D:$D,$E49,薪酬明细!$E:$E,$F49,薪酬明细!$H:$H,"&gt;="&amp;BD$9,薪酬明细!$H:$H,"&lt;="&amp;BD$10,薪酬明细!$A:$A,BD$6)/10000</f>
        <v>8.6</v>
      </c>
      <c r="BE49" s="121">
        <f>SUMIFS(薪酬明细!$L:$L,薪酬明细!$D:$D,$E49,薪酬明细!$E:$E,$F49,薪酬明细!$H:$H,"&gt;="&amp;BE$9,薪酬明细!$H:$H,"&lt;="&amp;BE$10,薪酬明细!$A:$A,BE$6)/10000</f>
        <v>8.4</v>
      </c>
      <c r="BF49" s="121">
        <f>SUMIFS(薪酬明细!$L:$L,薪酬明细!$D:$D,$E49,薪酬明细!$E:$E,$F49,薪酬明细!$H:$H,"&gt;="&amp;BF$9,薪酬明细!$H:$H,"&lt;="&amp;BF$10,薪酬明细!$A:$A,BF$6)/10000</f>
        <v>8.2</v>
      </c>
      <c r="BG49" s="121">
        <f>SUMIFS(薪酬明细!$L:$L,薪酬明细!$D:$D,$E49,薪酬明细!$E:$E,$F49,薪酬明细!$H:$H,"&gt;="&amp;BG$9,薪酬明细!$H:$H,"&lt;="&amp;BG$10,薪酬明细!$A:$A,BG$6)/10000</f>
        <v>8.5</v>
      </c>
    </row>
    <row r="50" ht="16.2" spans="3:59">
      <c r="C50" s="42" t="s">
        <v>86</v>
      </c>
      <c r="D50" s="42"/>
      <c r="E50" s="116" t="str">
        <f t="shared" si="84"/>
        <v>支持中心</v>
      </c>
      <c r="F50" s="116" t="str">
        <f t="shared" si="85"/>
        <v>*</v>
      </c>
      <c r="G50" s="121">
        <f>SUMIFS(薪酬明细!$L:$L,薪酬明细!$D:$D,$E50,薪酬明细!$E:$E,$F50,薪酬明细!$H:$H,"&gt;="&amp;G$9,薪酬明细!$H:$H,"&lt;="&amp;G$10,薪酬明细!$A:$A,G$6)/10000</f>
        <v>208.6</v>
      </c>
      <c r="H50" s="121">
        <f>SUMIFS(薪酬明细!$L:$L,薪酬明细!$D:$D,$E50,薪酬明细!$E:$E,$F50,薪酬明细!$H:$H,"&gt;="&amp;H$9,薪酬明细!$H:$H,"&lt;="&amp;H$10,薪酬明细!$A:$A,H$6)/10000</f>
        <v>17.5</v>
      </c>
      <c r="I50" s="121">
        <f>SUMIFS(薪酬明细!$L:$L,薪酬明细!$D:$D,$E50,薪酬明细!$E:$E,$F50,薪酬明细!$H:$H,"&gt;="&amp;I$9,薪酬明细!$H:$H,"&lt;="&amp;I$10,薪酬明细!$A:$A,I$6)/10000</f>
        <v>17.2</v>
      </c>
      <c r="J50" s="121">
        <f>SUMIFS(薪酬明细!$L:$L,薪酬明细!$D:$D,$E50,薪酬明细!$E:$E,$F50,薪酬明细!$H:$H,"&gt;="&amp;J$9,薪酬明细!$H:$H,"&lt;="&amp;J$10,薪酬明细!$A:$A,J$6)/10000</f>
        <v>17.3</v>
      </c>
      <c r="K50" s="121">
        <f>SUMIFS(薪酬明细!$L:$L,薪酬明细!$D:$D,$E50,薪酬明细!$E:$E,$F50,薪酬明细!$H:$H,"&gt;="&amp;K$9,薪酬明细!$H:$H,"&lt;="&amp;K$10,薪酬明细!$A:$A,K$6)/10000</f>
        <v>17.5</v>
      </c>
      <c r="L50" s="121">
        <f>SUMIFS(薪酬明细!$L:$L,薪酬明细!$D:$D,$E50,薪酬明细!$E:$E,$F50,薪酬明细!$H:$H,"&gt;="&amp;L$9,薪酬明细!$H:$H,"&lt;="&amp;L$10,薪酬明细!$A:$A,L$6)/10000</f>
        <v>17.3</v>
      </c>
      <c r="M50" s="121">
        <f>SUMIFS(薪酬明细!$L:$L,薪酬明细!$D:$D,$E50,薪酬明细!$E:$E,$F50,薪酬明细!$H:$H,"&gt;="&amp;M$9,薪酬明细!$H:$H,"&lt;="&amp;M$10,薪酬明细!$A:$A,M$6)/10000</f>
        <v>17.4</v>
      </c>
      <c r="N50" s="121">
        <f>SUMIFS(薪酬明细!$L:$L,薪酬明细!$D:$D,$E50,薪酬明细!$E:$E,$F50,薪酬明细!$H:$H,"&gt;="&amp;N$9,薪酬明细!$H:$H,"&lt;="&amp;N$10,薪酬明细!$A:$A,N$6)/10000</f>
        <v>17.5</v>
      </c>
      <c r="O50" s="121">
        <f>SUMIFS(薪酬明细!$L:$L,薪酬明细!$D:$D,$E50,薪酬明细!$E:$E,$F50,薪酬明细!$H:$H,"&gt;="&amp;O$9,薪酬明细!$H:$H,"&lt;="&amp;O$10,薪酬明细!$A:$A,O$6)/10000</f>
        <v>17.3</v>
      </c>
      <c r="P50" s="121">
        <f>SUMIFS(薪酬明细!$L:$L,薪酬明细!$D:$D,$E50,薪酬明细!$E:$E,$F50,薪酬明细!$H:$H,"&gt;="&amp;P$9,薪酬明细!$H:$H,"&lt;="&amp;P$10,薪酬明细!$A:$A,P$6)/10000</f>
        <v>17.3</v>
      </c>
      <c r="Q50" s="121">
        <f>SUMIFS(薪酬明细!$L:$L,薪酬明细!$D:$D,$E50,薪酬明细!$E:$E,$F50,薪酬明细!$H:$H,"&gt;="&amp;Q$9,薪酬明细!$H:$H,"&lt;="&amp;Q$10,薪酬明细!$A:$A,Q$6)/10000</f>
        <v>17.4</v>
      </c>
      <c r="R50" s="121">
        <f>SUMIFS(薪酬明细!$L:$L,薪酬明细!$D:$D,$E50,薪酬明细!$E:$E,$F50,薪酬明细!$H:$H,"&gt;="&amp;R$9,薪酬明细!$H:$H,"&lt;="&amp;R$10,薪酬明细!$A:$A,R$6)/10000</f>
        <v>17.5</v>
      </c>
      <c r="S50" s="121">
        <f>SUMIFS(薪酬明细!$L:$L,薪酬明细!$D:$D,$E50,薪酬明细!$E:$E,$F50,薪酬明细!$H:$H,"&gt;="&amp;S$9,薪酬明细!$H:$H,"&lt;="&amp;S$10,薪酬明细!$A:$A,S$6)/10000</f>
        <v>17.4</v>
      </c>
      <c r="T50" s="125">
        <f t="shared" si="86"/>
        <v>209.1</v>
      </c>
      <c r="U50" s="121">
        <f>SUMIFS(薪酬明细!$L:$L,薪酬明细!$D:$D,$E50,薪酬明细!$E:$E,$F50,薪酬明细!$H:$H,"&gt;="&amp;U$9,薪酬明细!$H:$H,"&lt;="&amp;U$10,薪酬明细!$A:$A,U$6)/10000</f>
        <v>156.7</v>
      </c>
      <c r="V50" s="121">
        <f>SUMIFS(薪酬明细!$L:$L,薪酬明细!$D:$D,$E50,薪酬明细!$E:$E,$F50,薪酬明细!$H:$H,"&gt;="&amp;V$9,薪酬明细!$H:$H,"&lt;="&amp;V$10,薪酬明细!$A:$A,V$6)/10000</f>
        <v>17.5</v>
      </c>
      <c r="W50" s="121">
        <f>SUMIFS(薪酬明细!$L:$L,薪酬明细!$D:$D,$E50,薪酬明细!$E:$E,$F50,薪酬明细!$H:$H,"&gt;="&amp;W$9,薪酬明细!$H:$H,"&lt;="&amp;W$10,薪酬明细!$A:$A,W$6)/10000</f>
        <v>17.3</v>
      </c>
      <c r="X50" s="121">
        <f>SUMIFS(薪酬明细!$L:$L,薪酬明细!$D:$D,$E50,薪酬明细!$E:$E,$F50,薪酬明细!$H:$H,"&gt;="&amp;X$9,薪酬明细!$H:$H,"&lt;="&amp;X$10,薪酬明细!$A:$A,X$6)/10000</f>
        <v>17.4</v>
      </c>
      <c r="Y50" s="121">
        <f>SUMIFS(薪酬明细!$L:$L,薪酬明细!$D:$D,$E50,薪酬明细!$E:$E,$F50,薪酬明细!$H:$H,"&gt;="&amp;Y$9,薪酬明细!$H:$H,"&lt;="&amp;Y$10,薪酬明细!$A:$A,Y$6)/10000</f>
        <v>17.5</v>
      </c>
      <c r="Z50" s="121">
        <f>SUMIFS(薪酬明细!$L:$L,薪酬明细!$D:$D,$E50,薪酬明细!$E:$E,$F50,薪酬明细!$H:$H,"&gt;="&amp;Z$9,薪酬明细!$H:$H,"&lt;="&amp;Z$10,薪酬明细!$A:$A,Z$6)/10000</f>
        <v>17.4</v>
      </c>
      <c r="AA50" s="121">
        <f>SUMIFS(薪酬明细!$L:$L,薪酬明细!$D:$D,$E50,薪酬明细!$E:$E,$F50,薪酬明细!$H:$H,"&gt;="&amp;AA$9,薪酬明细!$H:$H,"&lt;="&amp;AA$10,薪酬明细!$A:$A,AA$6)/10000</f>
        <v>17.5</v>
      </c>
      <c r="AB50" s="121">
        <f>SUMIFS(薪酬明细!$L:$L,薪酬明细!$D:$D,$E50,薪酬明细!$E:$E,$F50,薪酬明细!$H:$H,"&gt;="&amp;AB$9,薪酬明细!$H:$H,"&lt;="&amp;AB$10,薪酬明细!$A:$A,AB$6)/10000</f>
        <v>17.5</v>
      </c>
      <c r="AC50" s="121">
        <f>SUMIFS(薪酬明细!$L:$L,薪酬明细!$D:$D,$E50,薪酬明细!$E:$E,$F50,薪酬明细!$H:$H,"&gt;="&amp;AC$9,薪酬明细!$H:$H,"&lt;="&amp;AC$10,薪酬明细!$A:$A,AC$6)/10000</f>
        <v>17.4</v>
      </c>
      <c r="AD50" s="121">
        <f>SUMIFS(薪酬明细!$L:$L,薪酬明细!$D:$D,$E50,薪酬明细!$E:$E,$F50,薪酬明细!$H:$H,"&gt;="&amp;AD$9,薪酬明细!$H:$H,"&lt;="&amp;AD$10,薪酬明细!$A:$A,AD$6)/10000</f>
        <v>17.2</v>
      </c>
      <c r="AE50" s="121">
        <f>SUMIFS(薪酬明细!$L:$L,薪酬明细!$D:$D,$E50,薪酬明细!$E:$E,$F50,薪酬明细!$H:$H,"&gt;="&amp;AE$9,薪酬明细!$H:$H,"&lt;="&amp;AE$10,薪酬明细!$A:$A,AE$6)/10000</f>
        <v>0</v>
      </c>
      <c r="AF50" s="121">
        <f>SUMIFS(薪酬明细!$L:$L,薪酬明细!$D:$D,$E50,薪酬明细!$E:$E,$F50,薪酬明细!$H:$H,"&gt;="&amp;AF$9,薪酬明细!$H:$H,"&lt;="&amp;AF$10,薪酬明细!$A:$A,AF$6)/10000</f>
        <v>0</v>
      </c>
      <c r="AG50" s="121">
        <f>SUMIFS(薪酬明细!$L:$L,薪酬明细!$D:$D,$E50,薪酬明细!$E:$E,$F50,薪酬明细!$H:$H,"&gt;="&amp;AG$9,薪酬明细!$H:$H,"&lt;="&amp;AG$10,薪酬明细!$A:$A,AG$6)/10000</f>
        <v>0</v>
      </c>
      <c r="AH50" s="121">
        <f>SUMIFS(薪酬明细!$L:$L,薪酬明细!$D:$D,$E50,薪酬明细!$E:$E,$F50,薪酬明细!$H:$H,"&gt;="&amp;AH$9,薪酬明细!$H:$H,"&lt;="&amp;AH$10,薪酬明细!$A:$A,AH$6)/10000</f>
        <v>52.4</v>
      </c>
      <c r="AI50" s="121">
        <f>SUMIFS(薪酬明细!$L:$L,薪酬明细!$D:$D,$E50,薪酬明细!$E:$E,$F50,薪酬明细!$H:$H,"&gt;="&amp;AI$9,薪酬明细!$H:$H,"&lt;="&amp;AI$10,薪酬明细!$A:$A,AI$6)/10000</f>
        <v>0</v>
      </c>
      <c r="AJ50" s="121">
        <f>SUMIFS(薪酬明细!$L:$L,薪酬明细!$D:$D,$E50,薪酬明细!$E:$E,$F50,薪酬明细!$H:$H,"&gt;="&amp;AJ$9,薪酬明细!$H:$H,"&lt;="&amp;AJ$10,薪酬明细!$A:$A,AJ$6)/10000</f>
        <v>0</v>
      </c>
      <c r="AK50" s="121">
        <f>SUMIFS(薪酬明细!$L:$L,薪酬明细!$D:$D,$E50,薪酬明细!$E:$E,$F50,薪酬明细!$H:$H,"&gt;="&amp;AK$9,薪酬明细!$H:$H,"&lt;="&amp;AK$10,薪酬明细!$A:$A,AK$6)/10000</f>
        <v>0</v>
      </c>
      <c r="AL50" s="121">
        <f>SUMIFS(薪酬明细!$L:$L,薪酬明细!$D:$D,$E50,薪酬明细!$E:$E,$F50,薪酬明细!$H:$H,"&gt;="&amp;AL$9,薪酬明细!$H:$H,"&lt;="&amp;AL$10,薪酬明细!$A:$A,AL$6)/10000</f>
        <v>0</v>
      </c>
      <c r="AM50" s="121">
        <f>SUMIFS(薪酬明细!$L:$L,薪酬明细!$D:$D,$E50,薪酬明细!$E:$E,$F50,薪酬明细!$H:$H,"&gt;="&amp;AM$9,薪酬明细!$H:$H,"&lt;="&amp;AM$10,薪酬明细!$A:$A,AM$6)/10000</f>
        <v>0</v>
      </c>
      <c r="AN50" s="121">
        <f>SUMIFS(薪酬明细!$L:$L,薪酬明细!$D:$D,$E50,薪酬明细!$E:$E,$F50,薪酬明细!$H:$H,"&gt;="&amp;AN$9,薪酬明细!$H:$H,"&lt;="&amp;AN$10,薪酬明细!$A:$A,AN$6)/10000</f>
        <v>0</v>
      </c>
      <c r="AO50" s="121">
        <f>SUMIFS(薪酬明细!$L:$L,薪酬明细!$D:$D,$E50,薪酬明细!$E:$E,$F50,薪酬明细!$H:$H,"&gt;="&amp;AO$9,薪酬明细!$H:$H,"&lt;="&amp;AO$10,薪酬明细!$A:$A,AO$6)/10000</f>
        <v>0</v>
      </c>
      <c r="AP50" s="121">
        <f>SUMIFS(薪酬明细!$L:$L,薪酬明细!$D:$D,$E50,薪酬明细!$E:$E,$F50,薪酬明细!$H:$H,"&gt;="&amp;AP$9,薪酬明细!$H:$H,"&lt;="&amp;AP$10,薪酬明细!$A:$A,AP$6)/10000</f>
        <v>0</v>
      </c>
      <c r="AQ50" s="121">
        <f>SUMIFS(薪酬明细!$L:$L,薪酬明细!$D:$D,$E50,薪酬明细!$E:$E,$F50,薪酬明细!$H:$H,"&gt;="&amp;AQ$9,薪酬明细!$H:$H,"&lt;="&amp;AQ$10,薪酬明细!$A:$A,AQ$6)/10000</f>
        <v>0</v>
      </c>
      <c r="AR50" s="121">
        <f>SUMIFS(薪酬明细!$L:$L,薪酬明细!$D:$D,$E50,薪酬明细!$E:$E,$F50,薪酬明细!$H:$H,"&gt;="&amp;AR$9,薪酬明细!$H:$H,"&lt;="&amp;AR$10,薪酬明细!$A:$A,AR$6)/10000</f>
        <v>17.5</v>
      </c>
      <c r="AS50" s="121">
        <f>SUMIFS(薪酬明细!$L:$L,薪酬明细!$D:$D,$E50,薪酬明细!$E:$E,$F50,薪酬明细!$H:$H,"&gt;="&amp;AS$9,薪酬明细!$H:$H,"&lt;="&amp;AS$10,薪酬明细!$A:$A,AS$6)/10000</f>
        <v>17.5</v>
      </c>
      <c r="AT50" s="121">
        <f>SUMIFS(薪酬明细!$L:$L,薪酬明细!$D:$D,$E50,薪酬明细!$E:$E,$F50,薪酬明细!$H:$H,"&gt;="&amp;AT$9,薪酬明细!$H:$H,"&lt;="&amp;AT$10,薪酬明细!$A:$A,AT$6)/10000</f>
        <v>17.4</v>
      </c>
      <c r="AU50" s="121">
        <f>SUMIFS(薪酬明细!$L:$L,薪酬明细!$D:$D,$E50,薪酬明细!$E:$E,$F50,薪酬明细!$H:$H,"&gt;="&amp;AU$9,薪酬明细!$H:$H,"&lt;="&amp;AU$10,薪酬明细!$A:$A,AU$6)/10000</f>
        <v>208.5</v>
      </c>
      <c r="AV50" s="121">
        <f>SUMIFS(薪酬明细!$L:$L,薪酬明细!$D:$D,$E50,薪酬明细!$E:$E,$F50,薪酬明细!$H:$H,"&gt;="&amp;AV$9,薪酬明细!$H:$H,"&lt;="&amp;AV$10,薪酬明细!$A:$A,AV$6)/10000</f>
        <v>17.2</v>
      </c>
      <c r="AW50" s="121">
        <f>SUMIFS(薪酬明细!$L:$L,薪酬明细!$D:$D,$E50,薪酬明细!$E:$E,$F50,薪酬明细!$H:$H,"&gt;="&amp;AW$9,薪酬明细!$H:$H,"&lt;="&amp;AW$10,薪酬明细!$A:$A,AW$6)/10000</f>
        <v>17.7</v>
      </c>
      <c r="AX50" s="121">
        <f>SUMIFS(薪酬明细!$L:$L,薪酬明细!$D:$D,$E50,薪酬明细!$E:$E,$F50,薪酬明细!$H:$H,"&gt;="&amp;AX$9,薪酬明细!$H:$H,"&lt;="&amp;AX$10,薪酬明细!$A:$A,AX$6)/10000</f>
        <v>17.2</v>
      </c>
      <c r="AY50" s="121">
        <f>SUMIFS(薪酬明细!$L:$L,薪酬明细!$D:$D,$E50,薪酬明细!$E:$E,$F50,薪酬明细!$H:$H,"&gt;="&amp;AY$9,薪酬明细!$H:$H,"&lt;="&amp;AY$10,薪酬明细!$A:$A,AY$6)/10000</f>
        <v>17.4</v>
      </c>
      <c r="AZ50" s="121">
        <f>SUMIFS(薪酬明细!$L:$L,薪酬明细!$D:$D,$E50,薪酬明细!$E:$E,$F50,薪酬明细!$H:$H,"&gt;="&amp;AZ$9,薪酬明细!$H:$H,"&lt;="&amp;AZ$10,薪酬明细!$A:$A,AZ$6)/10000</f>
        <v>17.4</v>
      </c>
      <c r="BA50" s="121">
        <f>SUMIFS(薪酬明细!$L:$L,薪酬明细!$D:$D,$E50,薪酬明细!$E:$E,$F50,薪酬明细!$H:$H,"&gt;="&amp;BA$9,薪酬明细!$H:$H,"&lt;="&amp;BA$10,薪酬明细!$A:$A,BA$6)/10000</f>
        <v>17.2</v>
      </c>
      <c r="BB50" s="121">
        <f>SUMIFS(薪酬明细!$L:$L,薪酬明细!$D:$D,$E50,薪酬明细!$E:$E,$F50,薪酬明细!$H:$H,"&gt;="&amp;BB$9,薪酬明细!$H:$H,"&lt;="&amp;BB$10,薪酬明细!$A:$A,BB$6)/10000</f>
        <v>17.4</v>
      </c>
      <c r="BC50" s="121">
        <f>SUMIFS(薪酬明细!$L:$L,薪酬明细!$D:$D,$E50,薪酬明细!$E:$E,$F50,薪酬明细!$H:$H,"&gt;="&amp;BC$9,薪酬明细!$H:$H,"&lt;="&amp;BC$10,薪酬明细!$A:$A,BC$6)/10000</f>
        <v>17.5</v>
      </c>
      <c r="BD50" s="121">
        <f>SUMIFS(薪酬明细!$L:$L,薪酬明细!$D:$D,$E50,薪酬明细!$E:$E,$F50,薪酬明细!$H:$H,"&gt;="&amp;BD$9,薪酬明细!$H:$H,"&lt;="&amp;BD$10,薪酬明细!$A:$A,BD$6)/10000</f>
        <v>17.4</v>
      </c>
      <c r="BE50" s="121">
        <f>SUMIFS(薪酬明细!$L:$L,薪酬明细!$D:$D,$E50,薪酬明细!$E:$E,$F50,薪酬明细!$H:$H,"&gt;="&amp;BE$9,薪酬明细!$H:$H,"&lt;="&amp;BE$10,薪酬明细!$A:$A,BE$6)/10000</f>
        <v>17.5</v>
      </c>
      <c r="BF50" s="121">
        <f>SUMIFS(薪酬明细!$L:$L,薪酬明细!$D:$D,$E50,薪酬明细!$E:$E,$F50,薪酬明细!$H:$H,"&gt;="&amp;BF$9,薪酬明细!$H:$H,"&lt;="&amp;BF$10,薪酬明细!$A:$A,BF$6)/10000</f>
        <v>17.2</v>
      </c>
      <c r="BG50" s="121">
        <f>SUMIFS(薪酬明细!$L:$L,薪酬明细!$D:$D,$E50,薪酬明细!$E:$E,$F50,薪酬明细!$H:$H,"&gt;="&amp;BG$9,薪酬明细!$H:$H,"&lt;="&amp;BG$10,薪酬明细!$A:$A,BG$6)/10000</f>
        <v>17.2</v>
      </c>
    </row>
    <row r="51" ht="16.2" spans="3:59">
      <c r="C51" s="42"/>
      <c r="D51" s="42" t="s">
        <v>87</v>
      </c>
      <c r="E51" s="116" t="str">
        <f t="shared" si="84"/>
        <v>支持中心</v>
      </c>
      <c r="F51" s="116" t="str">
        <f t="shared" si="85"/>
        <v>财务部</v>
      </c>
      <c r="G51" s="121">
        <f>SUMIFS(薪酬明细!$L:$L,薪酬明细!$D:$D,$E51,薪酬明细!$E:$E,$F51,薪酬明细!$H:$H,"&gt;="&amp;G$9,薪酬明细!$H:$H,"&lt;="&amp;G$10,薪酬明细!$A:$A,G$6)/10000</f>
        <v>81.4</v>
      </c>
      <c r="H51" s="121">
        <f>SUMIFS(薪酬明细!$L:$L,薪酬明细!$D:$D,$E51,薪酬明细!$E:$E,$F51,薪酬明细!$H:$H,"&gt;="&amp;H$9,薪酬明细!$H:$H,"&lt;="&amp;H$10,薪酬明细!$A:$A,H$6)/10000</f>
        <v>6.8</v>
      </c>
      <c r="I51" s="121">
        <f>SUMIFS(薪酬明细!$L:$L,薪酬明细!$D:$D,$E51,薪酬明细!$E:$E,$F51,薪酬明细!$H:$H,"&gt;="&amp;I$9,薪酬明细!$H:$H,"&lt;="&amp;I$10,薪酬明细!$A:$A,I$6)/10000</f>
        <v>6.8</v>
      </c>
      <c r="J51" s="121">
        <f>SUMIFS(薪酬明细!$L:$L,薪酬明细!$D:$D,$E51,薪酬明细!$E:$E,$F51,薪酬明细!$H:$H,"&gt;="&amp;J$9,薪酬明细!$H:$H,"&lt;="&amp;J$10,薪酬明细!$A:$A,J$6)/10000</f>
        <v>6.7</v>
      </c>
      <c r="K51" s="121">
        <f>SUMIFS(薪酬明细!$L:$L,薪酬明细!$D:$D,$E51,薪酬明细!$E:$E,$F51,薪酬明细!$H:$H,"&gt;="&amp;K$9,薪酬明细!$H:$H,"&lt;="&amp;K$10,薪酬明细!$A:$A,K$6)/10000</f>
        <v>6.8</v>
      </c>
      <c r="L51" s="121">
        <f>SUMIFS(薪酬明细!$L:$L,薪酬明细!$D:$D,$E51,薪酬明细!$E:$E,$F51,薪酬明细!$H:$H,"&gt;="&amp;L$9,薪酬明细!$H:$H,"&lt;="&amp;L$10,薪酬明细!$A:$A,L$6)/10000</f>
        <v>6.8</v>
      </c>
      <c r="M51" s="121">
        <f>SUMIFS(薪酬明细!$L:$L,薪酬明细!$D:$D,$E51,薪酬明细!$E:$E,$F51,薪酬明细!$H:$H,"&gt;="&amp;M$9,薪酬明细!$H:$H,"&lt;="&amp;M$10,薪酬明细!$A:$A,M$6)/10000</f>
        <v>6.9</v>
      </c>
      <c r="N51" s="121">
        <f>SUMIFS(薪酬明细!$L:$L,薪酬明细!$D:$D,$E51,薪酬明细!$E:$E,$F51,薪酬明细!$H:$H,"&gt;="&amp;N$9,薪酬明细!$H:$H,"&lt;="&amp;N$10,薪酬明细!$A:$A,N$6)/10000</f>
        <v>6.7</v>
      </c>
      <c r="O51" s="121">
        <f>SUMIFS(薪酬明细!$L:$L,薪酬明细!$D:$D,$E51,薪酬明细!$E:$E,$F51,薪酬明细!$H:$H,"&gt;="&amp;O$9,薪酬明细!$H:$H,"&lt;="&amp;O$10,薪酬明细!$A:$A,O$6)/10000</f>
        <v>6.7</v>
      </c>
      <c r="P51" s="121">
        <f>SUMIFS(薪酬明细!$L:$L,薪酬明细!$D:$D,$E51,薪酬明细!$E:$E,$F51,薪酬明细!$H:$H,"&gt;="&amp;P$9,薪酬明细!$H:$H,"&lt;="&amp;P$10,薪酬明细!$A:$A,P$6)/10000</f>
        <v>6.9</v>
      </c>
      <c r="Q51" s="121">
        <f>SUMIFS(薪酬明细!$L:$L,薪酬明细!$D:$D,$E51,薪酬明细!$E:$E,$F51,薪酬明细!$H:$H,"&gt;="&amp;Q$9,薪酬明细!$H:$H,"&lt;="&amp;Q$10,薪酬明细!$A:$A,Q$6)/10000</f>
        <v>6.9</v>
      </c>
      <c r="R51" s="121">
        <f>SUMIFS(薪酬明细!$L:$L,薪酬明细!$D:$D,$E51,薪酬明细!$E:$E,$F51,薪酬明细!$H:$H,"&gt;="&amp;R$9,薪酬明细!$H:$H,"&lt;="&amp;R$10,薪酬明细!$A:$A,R$6)/10000</f>
        <v>6.8</v>
      </c>
      <c r="S51" s="121">
        <f>SUMIFS(薪酬明细!$L:$L,薪酬明细!$D:$D,$E51,薪酬明细!$E:$E,$F51,薪酬明细!$H:$H,"&gt;="&amp;S$9,薪酬明细!$H:$H,"&lt;="&amp;S$10,薪酬明细!$A:$A,S$6)/10000</f>
        <v>6.8</v>
      </c>
      <c r="T51" s="125">
        <f t="shared" si="86"/>
        <v>81.6</v>
      </c>
      <c r="U51" s="121">
        <f>SUMIFS(薪酬明细!$L:$L,薪酬明细!$D:$D,$E51,薪酬明细!$E:$E,$F51,薪酬明细!$H:$H,"&gt;="&amp;U$9,薪酬明细!$H:$H,"&lt;="&amp;U$10,薪酬明细!$A:$A,U$6)/10000</f>
        <v>61.1</v>
      </c>
      <c r="V51" s="121">
        <f>SUMIFS(薪酬明细!$L:$L,薪酬明细!$D:$D,$E51,薪酬明细!$E:$E,$F51,薪酬明细!$H:$H,"&gt;="&amp;V$9,薪酬明细!$H:$H,"&lt;="&amp;V$10,薪酬明细!$A:$A,V$6)/10000</f>
        <v>6.8</v>
      </c>
      <c r="W51" s="121">
        <f>SUMIFS(薪酬明细!$L:$L,薪酬明细!$D:$D,$E51,薪酬明细!$E:$E,$F51,薪酬明细!$H:$H,"&gt;="&amp;W$9,薪酬明细!$H:$H,"&lt;="&amp;W$10,薪酬明细!$A:$A,W$6)/10000</f>
        <v>6.8</v>
      </c>
      <c r="X51" s="121">
        <f>SUMIFS(薪酬明细!$L:$L,薪酬明细!$D:$D,$E51,薪酬明细!$E:$E,$F51,薪酬明细!$H:$H,"&gt;="&amp;X$9,薪酬明细!$H:$H,"&lt;="&amp;X$10,薪酬明细!$A:$A,X$6)/10000</f>
        <v>6.8</v>
      </c>
      <c r="Y51" s="121">
        <f>SUMIFS(薪酬明细!$L:$L,薪酬明细!$D:$D,$E51,薪酬明细!$E:$E,$F51,薪酬明细!$H:$H,"&gt;="&amp;Y$9,薪酬明细!$H:$H,"&lt;="&amp;Y$10,薪酬明细!$A:$A,Y$6)/10000</f>
        <v>6.7</v>
      </c>
      <c r="Z51" s="121">
        <f>SUMIFS(薪酬明细!$L:$L,薪酬明细!$D:$D,$E51,薪酬明细!$E:$E,$F51,薪酬明细!$H:$H,"&gt;="&amp;Z$9,薪酬明细!$H:$H,"&lt;="&amp;Z$10,薪酬明细!$A:$A,Z$6)/10000</f>
        <v>6.8</v>
      </c>
      <c r="AA51" s="121">
        <f>SUMIFS(薪酬明细!$L:$L,薪酬明细!$D:$D,$E51,薪酬明细!$E:$E,$F51,薪酬明细!$H:$H,"&gt;="&amp;AA$9,薪酬明细!$H:$H,"&lt;="&amp;AA$10,薪酬明细!$A:$A,AA$6)/10000</f>
        <v>6.8</v>
      </c>
      <c r="AB51" s="121">
        <f>SUMIFS(薪酬明细!$L:$L,薪酬明细!$D:$D,$E51,薪酬明细!$E:$E,$F51,薪酬明细!$H:$H,"&gt;="&amp;AB$9,薪酬明细!$H:$H,"&lt;="&amp;AB$10,薪酬明细!$A:$A,AB$6)/10000</f>
        <v>6.8</v>
      </c>
      <c r="AC51" s="121">
        <f>SUMIFS(薪酬明细!$L:$L,薪酬明细!$D:$D,$E51,薪酬明细!$E:$E,$F51,薪酬明细!$H:$H,"&gt;="&amp;AC$9,薪酬明细!$H:$H,"&lt;="&amp;AC$10,薪酬明细!$A:$A,AC$6)/10000</f>
        <v>6.8</v>
      </c>
      <c r="AD51" s="121">
        <f>SUMIFS(薪酬明细!$L:$L,薪酬明细!$D:$D,$E51,薪酬明细!$E:$E,$F51,薪酬明细!$H:$H,"&gt;="&amp;AD$9,薪酬明细!$H:$H,"&lt;="&amp;AD$10,薪酬明细!$A:$A,AD$6)/10000</f>
        <v>6.7</v>
      </c>
      <c r="AE51" s="121">
        <f>SUMIFS(薪酬明细!$L:$L,薪酬明细!$D:$D,$E51,薪酬明细!$E:$E,$F51,薪酬明细!$H:$H,"&gt;="&amp;AE$9,薪酬明细!$H:$H,"&lt;="&amp;AE$10,薪酬明细!$A:$A,AE$6)/10000</f>
        <v>0</v>
      </c>
      <c r="AF51" s="121">
        <f>SUMIFS(薪酬明细!$L:$L,薪酬明细!$D:$D,$E51,薪酬明细!$E:$E,$F51,薪酬明细!$H:$H,"&gt;="&amp;AF$9,薪酬明细!$H:$H,"&lt;="&amp;AF$10,薪酬明细!$A:$A,AF$6)/10000</f>
        <v>0</v>
      </c>
      <c r="AG51" s="121">
        <f>SUMIFS(薪酬明细!$L:$L,薪酬明细!$D:$D,$E51,薪酬明细!$E:$E,$F51,薪酬明细!$H:$H,"&gt;="&amp;AG$9,薪酬明细!$H:$H,"&lt;="&amp;AG$10,薪酬明细!$A:$A,AG$6)/10000</f>
        <v>0</v>
      </c>
      <c r="AH51" s="121">
        <f>SUMIFS(薪酬明细!$L:$L,薪酬明细!$D:$D,$E51,薪酬明细!$E:$E,$F51,薪酬明细!$H:$H,"&gt;="&amp;AH$9,薪酬明细!$H:$H,"&lt;="&amp;AH$10,薪酬明细!$A:$A,AH$6)/10000</f>
        <v>20.5</v>
      </c>
      <c r="AI51" s="121">
        <f>SUMIFS(薪酬明细!$L:$L,薪酬明细!$D:$D,$E51,薪酬明细!$E:$E,$F51,薪酬明细!$H:$H,"&gt;="&amp;AI$9,薪酬明细!$H:$H,"&lt;="&amp;AI$10,薪酬明细!$A:$A,AI$6)/10000</f>
        <v>0</v>
      </c>
      <c r="AJ51" s="121">
        <f>SUMIFS(薪酬明细!$L:$L,薪酬明细!$D:$D,$E51,薪酬明细!$E:$E,$F51,薪酬明细!$H:$H,"&gt;="&amp;AJ$9,薪酬明细!$H:$H,"&lt;="&amp;AJ$10,薪酬明细!$A:$A,AJ$6)/10000</f>
        <v>0</v>
      </c>
      <c r="AK51" s="121">
        <f>SUMIFS(薪酬明细!$L:$L,薪酬明细!$D:$D,$E51,薪酬明细!$E:$E,$F51,薪酬明细!$H:$H,"&gt;="&amp;AK$9,薪酬明细!$H:$H,"&lt;="&amp;AK$10,薪酬明细!$A:$A,AK$6)/10000</f>
        <v>0</v>
      </c>
      <c r="AL51" s="121">
        <f>SUMIFS(薪酬明细!$L:$L,薪酬明细!$D:$D,$E51,薪酬明细!$E:$E,$F51,薪酬明细!$H:$H,"&gt;="&amp;AL$9,薪酬明细!$H:$H,"&lt;="&amp;AL$10,薪酬明细!$A:$A,AL$6)/10000</f>
        <v>0</v>
      </c>
      <c r="AM51" s="121">
        <f>SUMIFS(薪酬明细!$L:$L,薪酬明细!$D:$D,$E51,薪酬明细!$E:$E,$F51,薪酬明细!$H:$H,"&gt;="&amp;AM$9,薪酬明细!$H:$H,"&lt;="&amp;AM$10,薪酬明细!$A:$A,AM$6)/10000</f>
        <v>0</v>
      </c>
      <c r="AN51" s="121">
        <f>SUMIFS(薪酬明细!$L:$L,薪酬明细!$D:$D,$E51,薪酬明细!$E:$E,$F51,薪酬明细!$H:$H,"&gt;="&amp;AN$9,薪酬明细!$H:$H,"&lt;="&amp;AN$10,薪酬明细!$A:$A,AN$6)/10000</f>
        <v>0</v>
      </c>
      <c r="AO51" s="121">
        <f>SUMIFS(薪酬明细!$L:$L,薪酬明细!$D:$D,$E51,薪酬明细!$E:$E,$F51,薪酬明细!$H:$H,"&gt;="&amp;AO$9,薪酬明细!$H:$H,"&lt;="&amp;AO$10,薪酬明细!$A:$A,AO$6)/10000</f>
        <v>0</v>
      </c>
      <c r="AP51" s="121">
        <f>SUMIFS(薪酬明细!$L:$L,薪酬明细!$D:$D,$E51,薪酬明细!$E:$E,$F51,薪酬明细!$H:$H,"&gt;="&amp;AP$9,薪酬明细!$H:$H,"&lt;="&amp;AP$10,薪酬明细!$A:$A,AP$6)/10000</f>
        <v>0</v>
      </c>
      <c r="AQ51" s="121">
        <f>SUMIFS(薪酬明细!$L:$L,薪酬明细!$D:$D,$E51,薪酬明细!$E:$E,$F51,薪酬明细!$H:$H,"&gt;="&amp;AQ$9,薪酬明细!$H:$H,"&lt;="&amp;AQ$10,薪酬明细!$A:$A,AQ$6)/10000</f>
        <v>0</v>
      </c>
      <c r="AR51" s="121">
        <f>SUMIFS(薪酬明细!$L:$L,薪酬明细!$D:$D,$E51,薪酬明细!$E:$E,$F51,薪酬明细!$H:$H,"&gt;="&amp;AR$9,薪酬明细!$H:$H,"&lt;="&amp;AR$10,薪酬明细!$A:$A,AR$6)/10000</f>
        <v>6.9</v>
      </c>
      <c r="AS51" s="121">
        <f>SUMIFS(薪酬明细!$L:$L,薪酬明细!$D:$D,$E51,薪酬明细!$E:$E,$F51,薪酬明细!$H:$H,"&gt;="&amp;AS$9,薪酬明细!$H:$H,"&lt;="&amp;AS$10,薪酬明细!$A:$A,AS$6)/10000</f>
        <v>6.8</v>
      </c>
      <c r="AT51" s="121">
        <f>SUMIFS(薪酬明细!$L:$L,薪酬明细!$D:$D,$E51,薪酬明细!$E:$E,$F51,薪酬明细!$H:$H,"&gt;="&amp;AT$9,薪酬明细!$H:$H,"&lt;="&amp;AT$10,薪酬明细!$A:$A,AT$6)/10000</f>
        <v>6.8</v>
      </c>
      <c r="AU51" s="121">
        <f>SUMIFS(薪酬明细!$L:$L,薪酬明细!$D:$D,$E51,薪酬明细!$E:$E,$F51,薪酬明细!$H:$H,"&gt;="&amp;AU$9,薪酬明细!$H:$H,"&lt;="&amp;AU$10,薪酬明细!$A:$A,AU$6)/10000</f>
        <v>81.7</v>
      </c>
      <c r="AV51" s="121">
        <f>SUMIFS(薪酬明细!$L:$L,薪酬明细!$D:$D,$E51,薪酬明细!$E:$E,$F51,薪酬明细!$H:$H,"&gt;="&amp;AV$9,薪酬明细!$H:$H,"&lt;="&amp;AV$10,薪酬明细!$A:$A,AV$6)/10000</f>
        <v>6.7</v>
      </c>
      <c r="AW51" s="121">
        <f>SUMIFS(薪酬明细!$L:$L,薪酬明细!$D:$D,$E51,薪酬明细!$E:$E,$F51,薪酬明细!$H:$H,"&gt;="&amp;AW$9,薪酬明细!$H:$H,"&lt;="&amp;AW$10,薪酬明细!$A:$A,AW$6)/10000</f>
        <v>7</v>
      </c>
      <c r="AX51" s="121">
        <f>SUMIFS(薪酬明细!$L:$L,薪酬明细!$D:$D,$E51,薪酬明细!$E:$E,$F51,薪酬明细!$H:$H,"&gt;="&amp;AX$9,薪酬明细!$H:$H,"&lt;="&amp;AX$10,薪酬明细!$A:$A,AX$6)/10000</f>
        <v>6.7</v>
      </c>
      <c r="AY51" s="121">
        <f>SUMIFS(薪酬明细!$L:$L,薪酬明细!$D:$D,$E51,薪酬明细!$E:$E,$F51,薪酬明细!$H:$H,"&gt;="&amp;AY$9,薪酬明细!$H:$H,"&lt;="&amp;AY$10,薪酬明细!$A:$A,AY$6)/10000</f>
        <v>6.9</v>
      </c>
      <c r="AZ51" s="121">
        <f>SUMIFS(薪酬明细!$L:$L,薪酬明细!$D:$D,$E51,薪酬明细!$E:$E,$F51,薪酬明细!$H:$H,"&gt;="&amp;AZ$9,薪酬明细!$H:$H,"&lt;="&amp;AZ$10,薪酬明细!$A:$A,AZ$6)/10000</f>
        <v>6.8</v>
      </c>
      <c r="BA51" s="121">
        <f>SUMIFS(薪酬明细!$L:$L,薪酬明细!$D:$D,$E51,薪酬明细!$E:$E,$F51,薪酬明细!$H:$H,"&gt;="&amp;BA$9,薪酬明细!$H:$H,"&lt;="&amp;BA$10,薪酬明细!$A:$A,BA$6)/10000</f>
        <v>6.7</v>
      </c>
      <c r="BB51" s="121">
        <f>SUMIFS(薪酬明细!$L:$L,薪酬明细!$D:$D,$E51,薪酬明细!$E:$E,$F51,薪酬明细!$H:$H,"&gt;="&amp;BB$9,薪酬明细!$H:$H,"&lt;="&amp;BB$10,薪酬明细!$A:$A,BB$6)/10000</f>
        <v>6.8</v>
      </c>
      <c r="BC51" s="121">
        <f>SUMIFS(薪酬明细!$L:$L,薪酬明细!$D:$D,$E51,薪酬明细!$E:$E,$F51,薪酬明细!$H:$H,"&gt;="&amp;BC$9,薪酬明细!$H:$H,"&lt;="&amp;BC$10,薪酬明细!$A:$A,BC$6)/10000</f>
        <v>6.9</v>
      </c>
      <c r="BD51" s="121">
        <f>SUMIFS(薪酬明细!$L:$L,薪酬明细!$D:$D,$E51,薪酬明细!$E:$E,$F51,薪酬明细!$H:$H,"&gt;="&amp;BD$9,薪酬明细!$H:$H,"&lt;="&amp;BD$10,薪酬明细!$A:$A,BD$6)/10000</f>
        <v>6.8</v>
      </c>
      <c r="BE51" s="121">
        <f>SUMIFS(薪酬明细!$L:$L,薪酬明细!$D:$D,$E51,薪酬明细!$E:$E,$F51,薪酬明细!$H:$H,"&gt;="&amp;BE$9,薪酬明细!$H:$H,"&lt;="&amp;BE$10,薪酬明细!$A:$A,BE$6)/10000</f>
        <v>6.9</v>
      </c>
      <c r="BF51" s="121">
        <f>SUMIFS(薪酬明细!$L:$L,薪酬明细!$D:$D,$E51,薪酬明细!$E:$E,$F51,薪酬明细!$H:$H,"&gt;="&amp;BF$9,薪酬明细!$H:$H,"&lt;="&amp;BF$10,薪酬明细!$A:$A,BF$6)/10000</f>
        <v>6.8</v>
      </c>
      <c r="BG51" s="121">
        <f>SUMIFS(薪酬明细!$L:$L,薪酬明细!$D:$D,$E51,薪酬明细!$E:$E,$F51,薪酬明细!$H:$H,"&gt;="&amp;BG$9,薪酬明细!$H:$H,"&lt;="&amp;BG$10,薪酬明细!$A:$A,BG$6)/10000</f>
        <v>6.7</v>
      </c>
    </row>
    <row r="52" ht="16.2" spans="3:59">
      <c r="C52" s="42"/>
      <c r="D52" s="42" t="s">
        <v>88</v>
      </c>
      <c r="E52" s="116" t="str">
        <f t="shared" si="84"/>
        <v>支持中心</v>
      </c>
      <c r="F52" s="116" t="str">
        <f t="shared" si="85"/>
        <v>人力资源部</v>
      </c>
      <c r="G52" s="121">
        <f>SUMIFS(薪酬明细!$L:$L,薪酬明细!$D:$D,$E52,薪酬明细!$E:$E,$F52,薪酬明细!$H:$H,"&gt;="&amp;G$9,薪酬明细!$H:$H,"&lt;="&amp;G$10,薪酬明细!$A:$A,G$6)/10000</f>
        <v>72.5</v>
      </c>
      <c r="H52" s="121">
        <f>SUMIFS(薪酬明细!$L:$L,薪酬明细!$D:$D,$E52,薪酬明细!$E:$E,$F52,薪酬明细!$H:$H,"&gt;="&amp;H$9,薪酬明细!$H:$H,"&lt;="&amp;H$10,薪酬明细!$A:$A,H$6)/10000</f>
        <v>6</v>
      </c>
      <c r="I52" s="121">
        <f>SUMIFS(薪酬明细!$L:$L,薪酬明细!$D:$D,$E52,薪酬明细!$E:$E,$F52,薪酬明细!$H:$H,"&gt;="&amp;I$9,薪酬明细!$H:$H,"&lt;="&amp;I$10,薪酬明细!$A:$A,I$6)/10000</f>
        <v>5.9</v>
      </c>
      <c r="J52" s="121">
        <f>SUMIFS(薪酬明细!$L:$L,薪酬明细!$D:$D,$E52,薪酬明细!$E:$E,$F52,薪酬明细!$H:$H,"&gt;="&amp;J$9,薪酬明细!$H:$H,"&lt;="&amp;J$10,薪酬明细!$A:$A,J$6)/10000</f>
        <v>6</v>
      </c>
      <c r="K52" s="121">
        <f>SUMIFS(薪酬明细!$L:$L,薪酬明细!$D:$D,$E52,薪酬明细!$E:$E,$F52,薪酬明细!$H:$H,"&gt;="&amp;K$9,薪酬明细!$H:$H,"&lt;="&amp;K$10,薪酬明细!$A:$A,K$6)/10000</f>
        <v>6.1</v>
      </c>
      <c r="L52" s="121">
        <f>SUMIFS(薪酬明细!$L:$L,薪酬明细!$D:$D,$E52,薪酬明细!$E:$E,$F52,薪酬明细!$H:$H,"&gt;="&amp;L$9,薪酬明细!$H:$H,"&lt;="&amp;L$10,薪酬明细!$A:$A,L$6)/10000</f>
        <v>5.9</v>
      </c>
      <c r="M52" s="121">
        <f>SUMIFS(薪酬明细!$L:$L,薪酬明细!$D:$D,$E52,薪酬明细!$E:$E,$F52,薪酬明细!$H:$H,"&gt;="&amp;M$9,薪酬明细!$H:$H,"&lt;="&amp;M$10,薪酬明细!$A:$A,M$6)/10000</f>
        <v>6</v>
      </c>
      <c r="N52" s="121">
        <f>SUMIFS(薪酬明细!$L:$L,薪酬明细!$D:$D,$E52,薪酬明细!$E:$E,$F52,薪酬明细!$H:$H,"&gt;="&amp;N$9,薪酬明细!$H:$H,"&lt;="&amp;N$10,薪酬明细!$A:$A,N$6)/10000</f>
        <v>6.2</v>
      </c>
      <c r="O52" s="121">
        <f>SUMIFS(薪酬明细!$L:$L,薪酬明细!$D:$D,$E52,薪酬明细!$E:$E,$F52,薪酬明细!$H:$H,"&gt;="&amp;O$9,薪酬明细!$H:$H,"&lt;="&amp;O$10,薪酬明细!$A:$A,O$6)/10000</f>
        <v>6.1</v>
      </c>
      <c r="P52" s="121">
        <f>SUMIFS(薪酬明细!$L:$L,薪酬明细!$D:$D,$E52,薪酬明细!$E:$E,$F52,薪酬明细!$H:$H,"&gt;="&amp;P$9,薪酬明细!$H:$H,"&lt;="&amp;P$10,薪酬明细!$A:$A,P$6)/10000</f>
        <v>6</v>
      </c>
      <c r="Q52" s="121">
        <f>SUMIFS(薪酬明细!$L:$L,薪酬明细!$D:$D,$E52,薪酬明细!$E:$E,$F52,薪酬明细!$H:$H,"&gt;="&amp;Q$9,薪酬明细!$H:$H,"&lt;="&amp;Q$10,薪酬明细!$A:$A,Q$6)/10000</f>
        <v>6</v>
      </c>
      <c r="R52" s="121">
        <f>SUMIFS(薪酬明细!$L:$L,薪酬明细!$D:$D,$E52,薪酬明细!$E:$E,$F52,薪酬明细!$H:$H,"&gt;="&amp;R$9,薪酬明细!$H:$H,"&lt;="&amp;R$10,薪酬明细!$A:$A,R$6)/10000</f>
        <v>6.2</v>
      </c>
      <c r="S52" s="121">
        <f>SUMIFS(薪酬明细!$L:$L,薪酬明细!$D:$D,$E52,薪酬明细!$E:$E,$F52,薪酬明细!$H:$H,"&gt;="&amp;S$9,薪酬明细!$H:$H,"&lt;="&amp;S$10,薪酬明细!$A:$A,S$6)/10000</f>
        <v>6.1</v>
      </c>
      <c r="T52" s="125">
        <f t="shared" si="86"/>
        <v>73</v>
      </c>
      <c r="U52" s="121">
        <f>SUMIFS(薪酬明细!$L:$L,薪酬明细!$D:$D,$E52,薪酬明细!$E:$E,$F52,薪酬明细!$H:$H,"&gt;="&amp;U$9,薪酬明细!$H:$H,"&lt;="&amp;U$10,薪酬明细!$A:$A,U$6)/10000</f>
        <v>54.7</v>
      </c>
      <c r="V52" s="121">
        <f>SUMIFS(薪酬明细!$L:$L,薪酬明细!$D:$D,$E52,薪酬明细!$E:$E,$F52,薪酬明细!$H:$H,"&gt;="&amp;V$9,薪酬明细!$H:$H,"&lt;="&amp;V$10,薪酬明细!$A:$A,V$6)/10000</f>
        <v>6.1</v>
      </c>
      <c r="W52" s="121">
        <f>SUMIFS(薪酬明细!$L:$L,薪酬明细!$D:$D,$E52,薪酬明细!$E:$E,$F52,薪酬明细!$H:$H,"&gt;="&amp;W$9,薪酬明细!$H:$H,"&lt;="&amp;W$10,薪酬明细!$A:$A,W$6)/10000</f>
        <v>6</v>
      </c>
      <c r="X52" s="121">
        <f>SUMIFS(薪酬明细!$L:$L,薪酬明细!$D:$D,$E52,薪酬明细!$E:$E,$F52,薪酬明细!$H:$H,"&gt;="&amp;X$9,薪酬明细!$H:$H,"&lt;="&amp;X$10,薪酬明细!$A:$A,X$6)/10000</f>
        <v>6</v>
      </c>
      <c r="Y52" s="121">
        <f>SUMIFS(薪酬明细!$L:$L,薪酬明细!$D:$D,$E52,薪酬明细!$E:$E,$F52,薪酬明细!$H:$H,"&gt;="&amp;Y$9,薪酬明细!$H:$H,"&lt;="&amp;Y$10,薪酬明细!$A:$A,Y$6)/10000</f>
        <v>6.2</v>
      </c>
      <c r="Z52" s="121">
        <f>SUMIFS(薪酬明细!$L:$L,薪酬明细!$D:$D,$E52,薪酬明细!$E:$E,$F52,薪酬明细!$H:$H,"&gt;="&amp;Z$9,薪酬明细!$H:$H,"&lt;="&amp;Z$10,薪酬明细!$A:$A,Z$6)/10000</f>
        <v>6.1</v>
      </c>
      <c r="AA52" s="121">
        <f>SUMIFS(薪酬明细!$L:$L,薪酬明细!$D:$D,$E52,薪酬明细!$E:$E,$F52,薪酬明细!$H:$H,"&gt;="&amp;AA$9,薪酬明细!$H:$H,"&lt;="&amp;AA$10,薪酬明细!$A:$A,AA$6)/10000</f>
        <v>6.2</v>
      </c>
      <c r="AB52" s="121">
        <f>SUMIFS(薪酬明细!$L:$L,薪酬明细!$D:$D,$E52,薪酬明细!$E:$E,$F52,薪酬明细!$H:$H,"&gt;="&amp;AB$9,薪酬明细!$H:$H,"&lt;="&amp;AB$10,薪酬明细!$A:$A,AB$6)/10000</f>
        <v>6.1</v>
      </c>
      <c r="AC52" s="121">
        <f>SUMIFS(薪酬明细!$L:$L,薪酬明细!$D:$D,$E52,薪酬明细!$E:$E,$F52,薪酬明细!$H:$H,"&gt;="&amp;AC$9,薪酬明细!$H:$H,"&lt;="&amp;AC$10,薪酬明细!$A:$A,AC$6)/10000</f>
        <v>6</v>
      </c>
      <c r="AD52" s="121">
        <f>SUMIFS(薪酬明细!$L:$L,薪酬明细!$D:$D,$E52,薪酬明细!$E:$E,$F52,薪酬明细!$H:$H,"&gt;="&amp;AD$9,薪酬明细!$H:$H,"&lt;="&amp;AD$10,薪酬明细!$A:$A,AD$6)/10000</f>
        <v>6</v>
      </c>
      <c r="AE52" s="121">
        <f>SUMIFS(薪酬明细!$L:$L,薪酬明细!$D:$D,$E52,薪酬明细!$E:$E,$F52,薪酬明细!$H:$H,"&gt;="&amp;AE$9,薪酬明细!$H:$H,"&lt;="&amp;AE$10,薪酬明细!$A:$A,AE$6)/10000</f>
        <v>0</v>
      </c>
      <c r="AF52" s="121">
        <f>SUMIFS(薪酬明细!$L:$L,薪酬明细!$D:$D,$E52,薪酬明细!$E:$E,$F52,薪酬明细!$H:$H,"&gt;="&amp;AF$9,薪酬明细!$H:$H,"&lt;="&amp;AF$10,薪酬明细!$A:$A,AF$6)/10000</f>
        <v>0</v>
      </c>
      <c r="AG52" s="121">
        <f>SUMIFS(薪酬明细!$L:$L,薪酬明细!$D:$D,$E52,薪酬明细!$E:$E,$F52,薪酬明细!$H:$H,"&gt;="&amp;AG$9,薪酬明细!$H:$H,"&lt;="&amp;AG$10,薪酬明细!$A:$A,AG$6)/10000</f>
        <v>0</v>
      </c>
      <c r="AH52" s="121">
        <f>SUMIFS(薪酬明细!$L:$L,薪酬明细!$D:$D,$E52,薪酬明细!$E:$E,$F52,薪酬明细!$H:$H,"&gt;="&amp;AH$9,薪酬明细!$H:$H,"&lt;="&amp;AH$10,薪酬明细!$A:$A,AH$6)/10000</f>
        <v>18.3</v>
      </c>
      <c r="AI52" s="121">
        <f>SUMIFS(薪酬明细!$L:$L,薪酬明细!$D:$D,$E52,薪酬明细!$E:$E,$F52,薪酬明细!$H:$H,"&gt;="&amp;AI$9,薪酬明细!$H:$H,"&lt;="&amp;AI$10,薪酬明细!$A:$A,AI$6)/10000</f>
        <v>0</v>
      </c>
      <c r="AJ52" s="121">
        <f>SUMIFS(薪酬明细!$L:$L,薪酬明细!$D:$D,$E52,薪酬明细!$E:$E,$F52,薪酬明细!$H:$H,"&gt;="&amp;AJ$9,薪酬明细!$H:$H,"&lt;="&amp;AJ$10,薪酬明细!$A:$A,AJ$6)/10000</f>
        <v>0</v>
      </c>
      <c r="AK52" s="121">
        <f>SUMIFS(薪酬明细!$L:$L,薪酬明细!$D:$D,$E52,薪酬明细!$E:$E,$F52,薪酬明细!$H:$H,"&gt;="&amp;AK$9,薪酬明细!$H:$H,"&lt;="&amp;AK$10,薪酬明细!$A:$A,AK$6)/10000</f>
        <v>0</v>
      </c>
      <c r="AL52" s="121">
        <f>SUMIFS(薪酬明细!$L:$L,薪酬明细!$D:$D,$E52,薪酬明细!$E:$E,$F52,薪酬明细!$H:$H,"&gt;="&amp;AL$9,薪酬明细!$H:$H,"&lt;="&amp;AL$10,薪酬明细!$A:$A,AL$6)/10000</f>
        <v>0</v>
      </c>
      <c r="AM52" s="121">
        <f>SUMIFS(薪酬明细!$L:$L,薪酬明细!$D:$D,$E52,薪酬明细!$E:$E,$F52,薪酬明细!$H:$H,"&gt;="&amp;AM$9,薪酬明细!$H:$H,"&lt;="&amp;AM$10,薪酬明细!$A:$A,AM$6)/10000</f>
        <v>0</v>
      </c>
      <c r="AN52" s="121">
        <f>SUMIFS(薪酬明细!$L:$L,薪酬明细!$D:$D,$E52,薪酬明细!$E:$E,$F52,薪酬明细!$H:$H,"&gt;="&amp;AN$9,薪酬明细!$H:$H,"&lt;="&amp;AN$10,薪酬明细!$A:$A,AN$6)/10000</f>
        <v>0</v>
      </c>
      <c r="AO52" s="121">
        <f>SUMIFS(薪酬明细!$L:$L,薪酬明细!$D:$D,$E52,薪酬明细!$E:$E,$F52,薪酬明细!$H:$H,"&gt;="&amp;AO$9,薪酬明细!$H:$H,"&lt;="&amp;AO$10,薪酬明细!$A:$A,AO$6)/10000</f>
        <v>0</v>
      </c>
      <c r="AP52" s="121">
        <f>SUMIFS(薪酬明细!$L:$L,薪酬明细!$D:$D,$E52,薪酬明细!$E:$E,$F52,薪酬明细!$H:$H,"&gt;="&amp;AP$9,薪酬明细!$H:$H,"&lt;="&amp;AP$10,薪酬明细!$A:$A,AP$6)/10000</f>
        <v>0</v>
      </c>
      <c r="AQ52" s="121">
        <f>SUMIFS(薪酬明细!$L:$L,薪酬明细!$D:$D,$E52,薪酬明细!$E:$E,$F52,薪酬明细!$H:$H,"&gt;="&amp;AQ$9,薪酬明细!$H:$H,"&lt;="&amp;AQ$10,薪酬明细!$A:$A,AQ$6)/10000</f>
        <v>0</v>
      </c>
      <c r="AR52" s="121">
        <f>SUMIFS(薪酬明细!$L:$L,薪酬明细!$D:$D,$E52,薪酬明细!$E:$E,$F52,薪酬明细!$H:$H,"&gt;="&amp;AR$9,薪酬明细!$H:$H,"&lt;="&amp;AR$10,薪酬明细!$A:$A,AR$6)/10000</f>
        <v>6.2</v>
      </c>
      <c r="AS52" s="121">
        <f>SUMIFS(薪酬明细!$L:$L,薪酬明细!$D:$D,$E52,薪酬明细!$E:$E,$F52,薪酬明细!$H:$H,"&gt;="&amp;AS$9,薪酬明细!$H:$H,"&lt;="&amp;AS$10,薪酬明细!$A:$A,AS$6)/10000</f>
        <v>6.1</v>
      </c>
      <c r="AT52" s="121">
        <f>SUMIFS(薪酬明细!$L:$L,薪酬明细!$D:$D,$E52,薪酬明细!$E:$E,$F52,薪酬明细!$H:$H,"&gt;="&amp;AT$9,薪酬明细!$H:$H,"&lt;="&amp;AT$10,薪酬明细!$A:$A,AT$6)/10000</f>
        <v>6.1</v>
      </c>
      <c r="AU52" s="121">
        <f>SUMIFS(薪酬明细!$L:$L,薪酬明细!$D:$D,$E52,薪酬明细!$E:$E,$F52,薪酬明细!$H:$H,"&gt;="&amp;AU$9,薪酬明细!$H:$H,"&lt;="&amp;AU$10,薪酬明细!$A:$A,AU$6)/10000</f>
        <v>72.3</v>
      </c>
      <c r="AV52" s="121">
        <f>SUMIFS(薪酬明细!$L:$L,薪酬明细!$D:$D,$E52,薪酬明细!$E:$E,$F52,薪酬明细!$H:$H,"&gt;="&amp;AV$9,薪酬明细!$H:$H,"&lt;="&amp;AV$10,薪酬明细!$A:$A,AV$6)/10000</f>
        <v>5.9</v>
      </c>
      <c r="AW52" s="121">
        <f>SUMIFS(薪酬明细!$L:$L,薪酬明细!$D:$D,$E52,薪酬明细!$E:$E,$F52,薪酬明细!$H:$H,"&gt;="&amp;AW$9,薪酬明细!$H:$H,"&lt;="&amp;AW$10,薪酬明细!$A:$A,AW$6)/10000</f>
        <v>6.1</v>
      </c>
      <c r="AX52" s="121">
        <f>SUMIFS(薪酬明细!$L:$L,薪酬明细!$D:$D,$E52,薪酬明细!$E:$E,$F52,薪酬明细!$H:$H,"&gt;="&amp;AX$9,薪酬明细!$H:$H,"&lt;="&amp;AX$10,薪酬明细!$A:$A,AX$6)/10000</f>
        <v>6</v>
      </c>
      <c r="AY52" s="121">
        <f>SUMIFS(薪酬明细!$L:$L,薪酬明细!$D:$D,$E52,薪酬明细!$E:$E,$F52,薪酬明细!$H:$H,"&gt;="&amp;AY$9,薪酬明细!$H:$H,"&lt;="&amp;AY$10,薪酬明细!$A:$A,AY$6)/10000</f>
        <v>6</v>
      </c>
      <c r="AZ52" s="121">
        <f>SUMIFS(薪酬明细!$L:$L,薪酬明细!$D:$D,$E52,薪酬明细!$E:$E,$F52,薪酬明细!$H:$H,"&gt;="&amp;AZ$9,薪酬明细!$H:$H,"&lt;="&amp;AZ$10,薪酬明细!$A:$A,AZ$6)/10000</f>
        <v>6.1</v>
      </c>
      <c r="BA52" s="121">
        <f>SUMIFS(薪酬明细!$L:$L,薪酬明细!$D:$D,$E52,薪酬明细!$E:$E,$F52,薪酬明细!$H:$H,"&gt;="&amp;BA$9,薪酬明细!$H:$H,"&lt;="&amp;BA$10,薪酬明细!$A:$A,BA$6)/10000</f>
        <v>6</v>
      </c>
      <c r="BB52" s="121">
        <f>SUMIFS(薪酬明细!$L:$L,薪酬明细!$D:$D,$E52,薪酬明细!$E:$E,$F52,薪酬明细!$H:$H,"&gt;="&amp;BB$9,薪酬明细!$H:$H,"&lt;="&amp;BB$10,薪酬明细!$A:$A,BB$6)/10000</f>
        <v>6</v>
      </c>
      <c r="BC52" s="121">
        <f>SUMIFS(薪酬明细!$L:$L,薪酬明细!$D:$D,$E52,薪酬明细!$E:$E,$F52,薪酬明细!$H:$H,"&gt;="&amp;BC$9,薪酬明细!$H:$H,"&lt;="&amp;BC$10,薪酬明细!$A:$A,BC$6)/10000</f>
        <v>6</v>
      </c>
      <c r="BD52" s="121">
        <f>SUMIFS(薪酬明细!$L:$L,薪酬明细!$D:$D,$E52,薪酬明细!$E:$E,$F52,薪酬明细!$H:$H,"&gt;="&amp;BD$9,薪酬明细!$H:$H,"&lt;="&amp;BD$10,薪酬明细!$A:$A,BD$6)/10000</f>
        <v>6.1</v>
      </c>
      <c r="BE52" s="121">
        <f>SUMIFS(薪酬明细!$L:$L,薪酬明细!$D:$D,$E52,薪酬明细!$E:$E,$F52,薪酬明细!$H:$H,"&gt;="&amp;BE$9,薪酬明细!$H:$H,"&lt;="&amp;BE$10,薪酬明细!$A:$A,BE$6)/10000</f>
        <v>6.1</v>
      </c>
      <c r="BF52" s="121">
        <f>SUMIFS(薪酬明细!$L:$L,薪酬明细!$D:$D,$E52,薪酬明细!$E:$E,$F52,薪酬明细!$H:$H,"&gt;="&amp;BF$9,薪酬明细!$H:$H,"&lt;="&amp;BF$10,薪酬明细!$A:$A,BF$6)/10000</f>
        <v>6</v>
      </c>
      <c r="BG52" s="121">
        <f>SUMIFS(薪酬明细!$L:$L,薪酬明细!$D:$D,$E52,薪酬明细!$E:$E,$F52,薪酬明细!$H:$H,"&gt;="&amp;BG$9,薪酬明细!$H:$H,"&lt;="&amp;BG$10,薪酬明细!$A:$A,BG$6)/10000</f>
        <v>6</v>
      </c>
    </row>
    <row r="53" ht="16.2" spans="3:59">
      <c r="C53" s="42"/>
      <c r="D53" s="42" t="s">
        <v>89</v>
      </c>
      <c r="E53" s="116" t="str">
        <f t="shared" si="84"/>
        <v>支持中心</v>
      </c>
      <c r="F53" s="116" t="str">
        <f t="shared" si="85"/>
        <v>IT部</v>
      </c>
      <c r="G53" s="121">
        <f>SUMIFS(薪酬明细!$L:$L,薪酬明细!$D:$D,$E53,薪酬明细!$E:$E,$F53,薪酬明细!$H:$H,"&gt;="&amp;G$9,薪酬明细!$H:$H,"&lt;="&amp;G$10,薪酬明细!$A:$A,G$6)/10000</f>
        <v>34.2</v>
      </c>
      <c r="H53" s="121">
        <f>SUMIFS(薪酬明细!$L:$L,薪酬明细!$D:$D,$E53,薪酬明细!$E:$E,$F53,薪酬明细!$H:$H,"&gt;="&amp;H$9,薪酬明细!$H:$H,"&lt;="&amp;H$10,薪酬明细!$A:$A,H$6)/10000</f>
        <v>2.9</v>
      </c>
      <c r="I53" s="121">
        <f>SUMIFS(薪酬明细!$L:$L,薪酬明细!$D:$D,$E53,薪酬明细!$E:$E,$F53,薪酬明细!$H:$H,"&gt;="&amp;I$9,薪酬明细!$H:$H,"&lt;="&amp;I$10,薪酬明细!$A:$A,I$6)/10000</f>
        <v>2.9</v>
      </c>
      <c r="J53" s="121">
        <f>SUMIFS(薪酬明细!$L:$L,薪酬明细!$D:$D,$E53,薪酬明细!$E:$E,$F53,薪酬明细!$H:$H,"&gt;="&amp;J$9,薪酬明细!$H:$H,"&lt;="&amp;J$10,薪酬明细!$A:$A,J$6)/10000</f>
        <v>2.8</v>
      </c>
      <c r="K53" s="121">
        <f>SUMIFS(薪酬明细!$L:$L,薪酬明细!$D:$D,$E53,薪酬明细!$E:$E,$F53,薪酬明细!$H:$H,"&gt;="&amp;K$9,薪酬明细!$H:$H,"&lt;="&amp;K$10,薪酬明细!$A:$A,K$6)/10000</f>
        <v>2.9</v>
      </c>
      <c r="L53" s="121">
        <f>SUMIFS(薪酬明细!$L:$L,薪酬明细!$D:$D,$E53,薪酬明细!$E:$E,$F53,薪酬明细!$H:$H,"&gt;="&amp;L$9,薪酬明细!$H:$H,"&lt;="&amp;L$10,薪酬明细!$A:$A,L$6)/10000</f>
        <v>2.9</v>
      </c>
      <c r="M53" s="121">
        <f>SUMIFS(薪酬明细!$L:$L,薪酬明细!$D:$D,$E53,薪酬明细!$E:$E,$F53,薪酬明细!$H:$H,"&gt;="&amp;M$9,薪酬明细!$H:$H,"&lt;="&amp;M$10,薪酬明细!$A:$A,M$6)/10000</f>
        <v>2.8</v>
      </c>
      <c r="N53" s="121">
        <f>SUMIFS(薪酬明细!$L:$L,薪酬明细!$D:$D,$E53,薪酬明细!$E:$E,$F53,薪酬明细!$H:$H,"&gt;="&amp;N$9,薪酬明细!$H:$H,"&lt;="&amp;N$10,薪酬明细!$A:$A,N$6)/10000</f>
        <v>2.9</v>
      </c>
      <c r="O53" s="121">
        <f>SUMIFS(薪酬明细!$L:$L,薪酬明细!$D:$D,$E53,薪酬明细!$E:$E,$F53,薪酬明细!$H:$H,"&gt;="&amp;O$9,薪酬明细!$H:$H,"&lt;="&amp;O$10,薪酬明细!$A:$A,O$6)/10000</f>
        <v>2.8</v>
      </c>
      <c r="P53" s="121">
        <f>SUMIFS(薪酬明细!$L:$L,薪酬明细!$D:$D,$E53,薪酬明细!$E:$E,$F53,薪酬明细!$H:$H,"&gt;="&amp;P$9,薪酬明细!$H:$H,"&lt;="&amp;P$10,薪酬明细!$A:$A,P$6)/10000</f>
        <v>2.8</v>
      </c>
      <c r="Q53" s="121">
        <f>SUMIFS(薪酬明细!$L:$L,薪酬明细!$D:$D,$E53,薪酬明细!$E:$E,$F53,薪酬明细!$H:$H,"&gt;="&amp;Q$9,薪酬明细!$H:$H,"&lt;="&amp;Q$10,薪酬明细!$A:$A,Q$6)/10000</f>
        <v>2.8</v>
      </c>
      <c r="R53" s="121">
        <f>SUMIFS(薪酬明细!$L:$L,薪酬明细!$D:$D,$E53,薪酬明细!$E:$E,$F53,薪酬明细!$H:$H,"&gt;="&amp;R$9,薪酬明细!$H:$H,"&lt;="&amp;R$10,薪酬明细!$A:$A,R$6)/10000</f>
        <v>2.9</v>
      </c>
      <c r="S53" s="121">
        <f>SUMIFS(薪酬明细!$L:$L,薪酬明细!$D:$D,$E53,薪酬明细!$E:$E,$F53,薪酬明细!$H:$H,"&gt;="&amp;S$9,薪酬明细!$H:$H,"&lt;="&amp;S$10,薪酬明细!$A:$A,S$6)/10000</f>
        <v>2.8</v>
      </c>
      <c r="T53" s="125">
        <f t="shared" si="86"/>
        <v>34.2</v>
      </c>
      <c r="U53" s="121">
        <f>SUMIFS(薪酬明细!$L:$L,薪酬明细!$D:$D,$E53,薪酬明细!$E:$E,$F53,薪酬明细!$H:$H,"&gt;="&amp;U$9,薪酬明细!$H:$H,"&lt;="&amp;U$10,薪酬明细!$A:$A,U$6)/10000</f>
        <v>25.6</v>
      </c>
      <c r="V53" s="121">
        <f>SUMIFS(薪酬明细!$L:$L,薪酬明细!$D:$D,$E53,薪酬明细!$E:$E,$F53,薪酬明细!$H:$H,"&gt;="&amp;V$9,薪酬明细!$H:$H,"&lt;="&amp;V$10,薪酬明细!$A:$A,V$6)/10000</f>
        <v>2.9</v>
      </c>
      <c r="W53" s="121">
        <f>SUMIFS(薪酬明细!$L:$L,薪酬明细!$D:$D,$E53,薪酬明细!$E:$E,$F53,薪酬明细!$H:$H,"&gt;="&amp;W$9,薪酬明细!$H:$H,"&lt;="&amp;W$10,薪酬明细!$A:$A,W$6)/10000</f>
        <v>2.8</v>
      </c>
      <c r="X53" s="121">
        <f>SUMIFS(薪酬明细!$L:$L,薪酬明细!$D:$D,$E53,薪酬明细!$E:$E,$F53,薪酬明细!$H:$H,"&gt;="&amp;X$9,薪酬明细!$H:$H,"&lt;="&amp;X$10,薪酬明细!$A:$A,X$6)/10000</f>
        <v>2.9</v>
      </c>
      <c r="Y53" s="121">
        <f>SUMIFS(薪酬明细!$L:$L,薪酬明细!$D:$D,$E53,薪酬明细!$E:$E,$F53,薪酬明细!$H:$H,"&gt;="&amp;Y$9,薪酬明细!$H:$H,"&lt;="&amp;Y$10,薪酬明细!$A:$A,Y$6)/10000</f>
        <v>2.8</v>
      </c>
      <c r="Z53" s="121">
        <f>SUMIFS(薪酬明细!$L:$L,薪酬明细!$D:$D,$E53,薪酬明细!$E:$E,$F53,薪酬明细!$H:$H,"&gt;="&amp;Z$9,薪酬明细!$H:$H,"&lt;="&amp;Z$10,薪酬明细!$A:$A,Z$6)/10000</f>
        <v>2.8</v>
      </c>
      <c r="AA53" s="121">
        <f>SUMIFS(薪酬明细!$L:$L,薪酬明细!$D:$D,$E53,薪酬明细!$E:$E,$F53,薪酬明细!$H:$H,"&gt;="&amp;AA$9,薪酬明细!$H:$H,"&lt;="&amp;AA$10,薪酬明细!$A:$A,AA$6)/10000</f>
        <v>2.9</v>
      </c>
      <c r="AB53" s="121">
        <f>SUMIFS(薪酬明细!$L:$L,薪酬明细!$D:$D,$E53,薪酬明细!$E:$E,$F53,薪酬明细!$H:$H,"&gt;="&amp;AB$9,薪酬明细!$H:$H,"&lt;="&amp;AB$10,薪酬明细!$A:$A,AB$6)/10000</f>
        <v>2.9</v>
      </c>
      <c r="AC53" s="121">
        <f>SUMIFS(薪酬明细!$L:$L,薪酬明细!$D:$D,$E53,薪酬明细!$E:$E,$F53,薪酬明细!$H:$H,"&gt;="&amp;AC$9,薪酬明细!$H:$H,"&lt;="&amp;AC$10,薪酬明细!$A:$A,AC$6)/10000</f>
        <v>2.8</v>
      </c>
      <c r="AD53" s="121">
        <f>SUMIFS(薪酬明细!$L:$L,薪酬明细!$D:$D,$E53,薪酬明细!$E:$E,$F53,薪酬明细!$H:$H,"&gt;="&amp;AD$9,薪酬明细!$H:$H,"&lt;="&amp;AD$10,薪酬明细!$A:$A,AD$6)/10000</f>
        <v>2.8</v>
      </c>
      <c r="AE53" s="121">
        <f>SUMIFS(薪酬明细!$L:$L,薪酬明细!$D:$D,$E53,薪酬明细!$E:$E,$F53,薪酬明细!$H:$H,"&gt;="&amp;AE$9,薪酬明细!$H:$H,"&lt;="&amp;AE$10,薪酬明细!$A:$A,AE$6)/10000</f>
        <v>0</v>
      </c>
      <c r="AF53" s="121">
        <f>SUMIFS(薪酬明细!$L:$L,薪酬明细!$D:$D,$E53,薪酬明细!$E:$E,$F53,薪酬明细!$H:$H,"&gt;="&amp;AF$9,薪酬明细!$H:$H,"&lt;="&amp;AF$10,薪酬明细!$A:$A,AF$6)/10000</f>
        <v>0</v>
      </c>
      <c r="AG53" s="121">
        <f>SUMIFS(薪酬明细!$L:$L,薪酬明细!$D:$D,$E53,薪酬明细!$E:$E,$F53,薪酬明细!$H:$H,"&gt;="&amp;AG$9,薪酬明细!$H:$H,"&lt;="&amp;AG$10,薪酬明细!$A:$A,AG$6)/10000</f>
        <v>0</v>
      </c>
      <c r="AH53" s="121">
        <f>SUMIFS(薪酬明细!$L:$L,薪酬明细!$D:$D,$E53,薪酬明细!$E:$E,$F53,薪酬明细!$H:$H,"&gt;="&amp;AH$9,薪酬明细!$H:$H,"&lt;="&amp;AH$10,薪酬明细!$A:$A,AH$6)/10000</f>
        <v>8.6</v>
      </c>
      <c r="AI53" s="121">
        <f>SUMIFS(薪酬明细!$L:$L,薪酬明细!$D:$D,$E53,薪酬明细!$E:$E,$F53,薪酬明细!$H:$H,"&gt;="&amp;AI$9,薪酬明细!$H:$H,"&lt;="&amp;AI$10,薪酬明细!$A:$A,AI$6)/10000</f>
        <v>0</v>
      </c>
      <c r="AJ53" s="121">
        <f>SUMIFS(薪酬明细!$L:$L,薪酬明细!$D:$D,$E53,薪酬明细!$E:$E,$F53,薪酬明细!$H:$H,"&gt;="&amp;AJ$9,薪酬明细!$H:$H,"&lt;="&amp;AJ$10,薪酬明细!$A:$A,AJ$6)/10000</f>
        <v>0</v>
      </c>
      <c r="AK53" s="121">
        <f>SUMIFS(薪酬明细!$L:$L,薪酬明细!$D:$D,$E53,薪酬明细!$E:$E,$F53,薪酬明细!$H:$H,"&gt;="&amp;AK$9,薪酬明细!$H:$H,"&lt;="&amp;AK$10,薪酬明细!$A:$A,AK$6)/10000</f>
        <v>0</v>
      </c>
      <c r="AL53" s="121">
        <f>SUMIFS(薪酬明细!$L:$L,薪酬明细!$D:$D,$E53,薪酬明细!$E:$E,$F53,薪酬明细!$H:$H,"&gt;="&amp;AL$9,薪酬明细!$H:$H,"&lt;="&amp;AL$10,薪酬明细!$A:$A,AL$6)/10000</f>
        <v>0</v>
      </c>
      <c r="AM53" s="121">
        <f>SUMIFS(薪酬明细!$L:$L,薪酬明细!$D:$D,$E53,薪酬明细!$E:$E,$F53,薪酬明细!$H:$H,"&gt;="&amp;AM$9,薪酬明细!$H:$H,"&lt;="&amp;AM$10,薪酬明细!$A:$A,AM$6)/10000</f>
        <v>0</v>
      </c>
      <c r="AN53" s="121">
        <f>SUMIFS(薪酬明细!$L:$L,薪酬明细!$D:$D,$E53,薪酬明细!$E:$E,$F53,薪酬明细!$H:$H,"&gt;="&amp;AN$9,薪酬明细!$H:$H,"&lt;="&amp;AN$10,薪酬明细!$A:$A,AN$6)/10000</f>
        <v>0</v>
      </c>
      <c r="AO53" s="121">
        <f>SUMIFS(薪酬明细!$L:$L,薪酬明细!$D:$D,$E53,薪酬明细!$E:$E,$F53,薪酬明细!$H:$H,"&gt;="&amp;AO$9,薪酬明细!$H:$H,"&lt;="&amp;AO$10,薪酬明细!$A:$A,AO$6)/10000</f>
        <v>0</v>
      </c>
      <c r="AP53" s="121">
        <f>SUMIFS(薪酬明细!$L:$L,薪酬明细!$D:$D,$E53,薪酬明细!$E:$E,$F53,薪酬明细!$H:$H,"&gt;="&amp;AP$9,薪酬明细!$H:$H,"&lt;="&amp;AP$10,薪酬明细!$A:$A,AP$6)/10000</f>
        <v>0</v>
      </c>
      <c r="AQ53" s="121">
        <f>SUMIFS(薪酬明细!$L:$L,薪酬明细!$D:$D,$E53,薪酬明细!$E:$E,$F53,薪酬明细!$H:$H,"&gt;="&amp;AQ$9,薪酬明细!$H:$H,"&lt;="&amp;AQ$10,薪酬明细!$A:$A,AQ$6)/10000</f>
        <v>0</v>
      </c>
      <c r="AR53" s="121">
        <f>SUMIFS(薪酬明细!$L:$L,薪酬明细!$D:$D,$E53,薪酬明细!$E:$E,$F53,薪酬明细!$H:$H,"&gt;="&amp;AR$9,薪酬明细!$H:$H,"&lt;="&amp;AR$10,薪酬明细!$A:$A,AR$6)/10000</f>
        <v>2.8</v>
      </c>
      <c r="AS53" s="121">
        <f>SUMIFS(薪酬明细!$L:$L,薪酬明细!$D:$D,$E53,薪酬明细!$E:$E,$F53,薪酬明细!$H:$H,"&gt;="&amp;AS$9,薪酬明细!$H:$H,"&lt;="&amp;AS$10,薪酬明细!$A:$A,AS$6)/10000</f>
        <v>2.9</v>
      </c>
      <c r="AT53" s="121">
        <f>SUMIFS(薪酬明细!$L:$L,薪酬明细!$D:$D,$E53,薪酬明细!$E:$E,$F53,薪酬明细!$H:$H,"&gt;="&amp;AT$9,薪酬明细!$H:$H,"&lt;="&amp;AT$10,薪酬明细!$A:$A,AT$6)/10000</f>
        <v>2.9</v>
      </c>
      <c r="AU53" s="121">
        <f>SUMIFS(薪酬明细!$L:$L,薪酬明细!$D:$D,$E53,薪酬明细!$E:$E,$F53,薪酬明细!$H:$H,"&gt;="&amp;AU$9,薪酬明细!$H:$H,"&lt;="&amp;AU$10,薪酬明细!$A:$A,AU$6)/10000</f>
        <v>34.1</v>
      </c>
      <c r="AV53" s="121">
        <f>SUMIFS(薪酬明细!$L:$L,薪酬明细!$D:$D,$E53,薪酬明细!$E:$E,$F53,薪酬明细!$H:$H,"&gt;="&amp;AV$9,薪酬明细!$H:$H,"&lt;="&amp;AV$10,薪酬明细!$A:$A,AV$6)/10000</f>
        <v>2.9</v>
      </c>
      <c r="AW53" s="121">
        <f>SUMIFS(薪酬明细!$L:$L,薪酬明细!$D:$D,$E53,薪酬明细!$E:$E,$F53,薪酬明细!$H:$H,"&gt;="&amp;AW$9,薪酬明细!$H:$H,"&lt;="&amp;AW$10,薪酬明细!$A:$A,AW$6)/10000</f>
        <v>3</v>
      </c>
      <c r="AX53" s="121">
        <f>SUMIFS(薪酬明细!$L:$L,薪酬明细!$D:$D,$E53,薪酬明细!$E:$E,$F53,薪酬明细!$H:$H,"&gt;="&amp;AX$9,薪酬明细!$H:$H,"&lt;="&amp;AX$10,薪酬明细!$A:$A,AX$6)/10000</f>
        <v>2.8</v>
      </c>
      <c r="AY53" s="121">
        <f>SUMIFS(薪酬明细!$L:$L,薪酬明细!$D:$D,$E53,薪酬明细!$E:$E,$F53,薪酬明细!$H:$H,"&gt;="&amp;AY$9,薪酬明细!$H:$H,"&lt;="&amp;AY$10,薪酬明细!$A:$A,AY$6)/10000</f>
        <v>2.9</v>
      </c>
      <c r="AZ53" s="121">
        <f>SUMIFS(薪酬明细!$L:$L,薪酬明细!$D:$D,$E53,薪酬明细!$E:$E,$F53,薪酬明细!$H:$H,"&gt;="&amp;AZ$9,薪酬明细!$H:$H,"&lt;="&amp;AZ$10,薪酬明细!$A:$A,AZ$6)/10000</f>
        <v>2.8</v>
      </c>
      <c r="BA53" s="121">
        <f>SUMIFS(薪酬明细!$L:$L,薪酬明细!$D:$D,$E53,薪酬明细!$E:$E,$F53,薪酬明细!$H:$H,"&gt;="&amp;BA$9,薪酬明细!$H:$H,"&lt;="&amp;BA$10,薪酬明细!$A:$A,BA$6)/10000</f>
        <v>2.8</v>
      </c>
      <c r="BB53" s="121">
        <f>SUMIFS(薪酬明细!$L:$L,薪酬明细!$D:$D,$E53,薪酬明细!$E:$E,$F53,薪酬明细!$H:$H,"&gt;="&amp;BB$9,薪酬明细!$H:$H,"&lt;="&amp;BB$10,薪酬明细!$A:$A,BB$6)/10000</f>
        <v>2.9</v>
      </c>
      <c r="BC53" s="121">
        <f>SUMIFS(薪酬明细!$L:$L,薪酬明细!$D:$D,$E53,薪酬明细!$E:$E,$F53,薪酬明细!$H:$H,"&gt;="&amp;BC$9,薪酬明细!$H:$H,"&lt;="&amp;BC$10,薪酬明细!$A:$A,BC$6)/10000</f>
        <v>2.8</v>
      </c>
      <c r="BD53" s="121">
        <f>SUMIFS(薪酬明细!$L:$L,薪酬明细!$D:$D,$E53,薪酬明细!$E:$E,$F53,薪酬明细!$H:$H,"&gt;="&amp;BD$9,薪酬明细!$H:$H,"&lt;="&amp;BD$10,薪酬明细!$A:$A,BD$6)/10000</f>
        <v>2.9</v>
      </c>
      <c r="BE53" s="121">
        <f>SUMIFS(薪酬明细!$L:$L,薪酬明细!$D:$D,$E53,薪酬明细!$E:$E,$F53,薪酬明细!$H:$H,"&gt;="&amp;BE$9,薪酬明细!$H:$H,"&lt;="&amp;BE$10,薪酬明细!$A:$A,BE$6)/10000</f>
        <v>2.8</v>
      </c>
      <c r="BF53" s="121">
        <f>SUMIFS(薪酬明细!$L:$L,薪酬明细!$D:$D,$E53,薪酬明细!$E:$E,$F53,薪酬明细!$H:$H,"&gt;="&amp;BF$9,薪酬明细!$H:$H,"&lt;="&amp;BF$10,薪酬明细!$A:$A,BF$6)/10000</f>
        <v>2.8</v>
      </c>
      <c r="BG53" s="121">
        <f>SUMIFS(薪酬明细!$L:$L,薪酬明细!$D:$D,$E53,薪酬明细!$E:$E,$F53,薪酬明细!$H:$H,"&gt;="&amp;BG$9,薪酬明细!$H:$H,"&lt;="&amp;BG$10,薪酬明细!$A:$A,BG$6)/10000</f>
        <v>2.8</v>
      </c>
    </row>
    <row r="54" ht="16.2" spans="3:59">
      <c r="C54" s="42"/>
      <c r="D54" s="42" t="s">
        <v>90</v>
      </c>
      <c r="E54" s="116" t="str">
        <f t="shared" si="84"/>
        <v>支持中心</v>
      </c>
      <c r="F54" s="116" t="str">
        <f t="shared" si="85"/>
        <v>总经办</v>
      </c>
      <c r="G54" s="121">
        <f>SUMIFS(薪酬明细!$L:$L,薪酬明细!$D:$D,$E54,薪酬明细!$E:$E,$F54,薪酬明细!$H:$H,"&gt;="&amp;G$9,薪酬明细!$H:$H,"&lt;="&amp;G$10,薪酬明细!$A:$A,G$6)/10000</f>
        <v>20.4</v>
      </c>
      <c r="H54" s="121">
        <f>SUMIFS(薪酬明细!$L:$L,薪酬明细!$D:$D,$E54,薪酬明细!$E:$E,$F54,薪酬明细!$H:$H,"&gt;="&amp;H$9,薪酬明细!$H:$H,"&lt;="&amp;H$10,薪酬明细!$A:$A,H$6)/10000</f>
        <v>1.7</v>
      </c>
      <c r="I54" s="121">
        <f>SUMIFS(薪酬明细!$L:$L,薪酬明细!$D:$D,$E54,薪酬明细!$E:$E,$F54,薪酬明细!$H:$H,"&gt;="&amp;I$9,薪酬明细!$H:$H,"&lt;="&amp;I$10,薪酬明细!$A:$A,I$6)/10000</f>
        <v>1.7</v>
      </c>
      <c r="J54" s="121">
        <f>SUMIFS(薪酬明细!$L:$L,薪酬明细!$D:$D,$E54,薪酬明细!$E:$E,$F54,薪酬明细!$H:$H,"&gt;="&amp;J$9,薪酬明细!$H:$H,"&lt;="&amp;J$10,薪酬明细!$A:$A,J$6)/10000</f>
        <v>1.7</v>
      </c>
      <c r="K54" s="121">
        <f>SUMIFS(薪酬明细!$L:$L,薪酬明细!$D:$D,$E54,薪酬明细!$E:$E,$F54,薪酬明细!$H:$H,"&gt;="&amp;K$9,薪酬明细!$H:$H,"&lt;="&amp;K$10,薪酬明细!$A:$A,K$6)/10000</f>
        <v>1.7</v>
      </c>
      <c r="L54" s="121">
        <f>SUMIFS(薪酬明细!$L:$L,薪酬明细!$D:$D,$E54,薪酬明细!$E:$E,$F54,薪酬明细!$H:$H,"&gt;="&amp;L$9,薪酬明细!$H:$H,"&lt;="&amp;L$10,薪酬明细!$A:$A,L$6)/10000</f>
        <v>1.7</v>
      </c>
      <c r="M54" s="121">
        <f>SUMIFS(薪酬明细!$L:$L,薪酬明细!$D:$D,$E54,薪酬明细!$E:$E,$F54,薪酬明细!$H:$H,"&gt;="&amp;M$9,薪酬明细!$H:$H,"&lt;="&amp;M$10,薪酬明细!$A:$A,M$6)/10000</f>
        <v>1.7</v>
      </c>
      <c r="N54" s="121">
        <f>SUMIFS(薪酬明细!$L:$L,薪酬明细!$D:$D,$E54,薪酬明细!$E:$E,$F54,薪酬明细!$H:$H,"&gt;="&amp;N$9,薪酬明细!$H:$H,"&lt;="&amp;N$10,薪酬明细!$A:$A,N$6)/10000</f>
        <v>1.7</v>
      </c>
      <c r="O54" s="121">
        <f>SUMIFS(薪酬明细!$L:$L,薪酬明细!$D:$D,$E54,薪酬明细!$E:$E,$F54,薪酬明细!$H:$H,"&gt;="&amp;O$9,薪酬明细!$H:$H,"&lt;="&amp;O$10,薪酬明细!$A:$A,O$6)/10000</f>
        <v>1.7</v>
      </c>
      <c r="P54" s="121">
        <f>SUMIFS(薪酬明细!$L:$L,薪酬明细!$D:$D,$E54,薪酬明细!$E:$E,$F54,薪酬明细!$H:$H,"&gt;="&amp;P$9,薪酬明细!$H:$H,"&lt;="&amp;P$10,薪酬明细!$A:$A,P$6)/10000</f>
        <v>1.6</v>
      </c>
      <c r="Q54" s="121">
        <f>SUMIFS(薪酬明细!$L:$L,薪酬明细!$D:$D,$E54,薪酬明细!$E:$E,$F54,薪酬明细!$H:$H,"&gt;="&amp;Q$9,薪酬明细!$H:$H,"&lt;="&amp;Q$10,薪酬明细!$A:$A,Q$6)/10000</f>
        <v>1.7</v>
      </c>
      <c r="R54" s="121">
        <f>SUMIFS(薪酬明细!$L:$L,薪酬明细!$D:$D,$E54,薪酬明细!$E:$E,$F54,薪酬明细!$H:$H,"&gt;="&amp;R$9,薪酬明细!$H:$H,"&lt;="&amp;R$10,薪酬明细!$A:$A,R$6)/10000</f>
        <v>1.7</v>
      </c>
      <c r="S54" s="121">
        <f>SUMIFS(薪酬明细!$L:$L,薪酬明细!$D:$D,$E54,薪酬明细!$E:$E,$F54,薪酬明细!$H:$H,"&gt;="&amp;S$9,薪酬明细!$H:$H,"&lt;="&amp;S$10,薪酬明细!$A:$A,S$6)/10000</f>
        <v>1.7</v>
      </c>
      <c r="T54" s="125">
        <f t="shared" si="86"/>
        <v>20.3</v>
      </c>
      <c r="U54" s="121">
        <f>SUMIFS(薪酬明细!$L:$L,薪酬明细!$D:$D,$E54,薪酬明细!$E:$E,$F54,薪酬明细!$H:$H,"&gt;="&amp;U$9,薪酬明细!$H:$H,"&lt;="&amp;U$10,薪酬明细!$A:$A,U$6)/10000</f>
        <v>15.3</v>
      </c>
      <c r="V54" s="121">
        <f>SUMIFS(薪酬明细!$L:$L,薪酬明细!$D:$D,$E54,薪酬明细!$E:$E,$F54,薪酬明细!$H:$H,"&gt;="&amp;V$9,薪酬明细!$H:$H,"&lt;="&amp;V$10,薪酬明细!$A:$A,V$6)/10000</f>
        <v>1.7</v>
      </c>
      <c r="W54" s="121">
        <f>SUMIFS(薪酬明细!$L:$L,薪酬明细!$D:$D,$E54,薪酬明细!$E:$E,$F54,薪酬明细!$H:$H,"&gt;="&amp;W$9,薪酬明细!$H:$H,"&lt;="&amp;W$10,薪酬明细!$A:$A,W$6)/10000</f>
        <v>1.7</v>
      </c>
      <c r="X54" s="121">
        <f>SUMIFS(薪酬明细!$L:$L,薪酬明细!$D:$D,$E54,薪酬明细!$E:$E,$F54,薪酬明细!$H:$H,"&gt;="&amp;X$9,薪酬明细!$H:$H,"&lt;="&amp;X$10,薪酬明细!$A:$A,X$6)/10000</f>
        <v>1.6</v>
      </c>
      <c r="Y54" s="121">
        <f>SUMIFS(薪酬明细!$L:$L,薪酬明细!$D:$D,$E54,薪酬明细!$E:$E,$F54,薪酬明细!$H:$H,"&gt;="&amp;Y$9,薪酬明细!$H:$H,"&lt;="&amp;Y$10,薪酬明细!$A:$A,Y$6)/10000</f>
        <v>1.8</v>
      </c>
      <c r="Z54" s="121">
        <f>SUMIFS(薪酬明细!$L:$L,薪酬明细!$D:$D,$E54,薪酬明细!$E:$E,$F54,薪酬明细!$H:$H,"&gt;="&amp;Z$9,薪酬明细!$H:$H,"&lt;="&amp;Z$10,薪酬明细!$A:$A,Z$6)/10000</f>
        <v>1.7</v>
      </c>
      <c r="AA54" s="121">
        <f>SUMIFS(薪酬明细!$L:$L,薪酬明细!$D:$D,$E54,薪酬明细!$E:$E,$F54,薪酬明细!$H:$H,"&gt;="&amp;AA$9,薪酬明细!$H:$H,"&lt;="&amp;AA$10,薪酬明细!$A:$A,AA$6)/10000</f>
        <v>1.7</v>
      </c>
      <c r="AB54" s="121">
        <f>SUMIFS(薪酬明细!$L:$L,薪酬明细!$D:$D,$E54,薪酬明细!$E:$E,$F54,薪酬明细!$H:$H,"&gt;="&amp;AB$9,薪酬明细!$H:$H,"&lt;="&amp;AB$10,薪酬明细!$A:$A,AB$6)/10000</f>
        <v>1.7</v>
      </c>
      <c r="AC54" s="121">
        <f>SUMIFS(薪酬明细!$L:$L,薪酬明细!$D:$D,$E54,薪酬明细!$E:$E,$F54,薪酬明细!$H:$H,"&gt;="&amp;AC$9,薪酬明细!$H:$H,"&lt;="&amp;AC$10,薪酬明细!$A:$A,AC$6)/10000</f>
        <v>1.7</v>
      </c>
      <c r="AD54" s="121">
        <f>SUMIFS(薪酬明细!$L:$L,薪酬明细!$D:$D,$E54,薪酬明细!$E:$E,$F54,薪酬明细!$H:$H,"&gt;="&amp;AD$9,薪酬明细!$H:$H,"&lt;="&amp;AD$10,薪酬明细!$A:$A,AD$6)/10000</f>
        <v>1.6</v>
      </c>
      <c r="AE54" s="121">
        <f>SUMIFS(薪酬明细!$L:$L,薪酬明细!$D:$D,$E54,薪酬明细!$E:$E,$F54,薪酬明细!$H:$H,"&gt;="&amp;AE$9,薪酬明细!$H:$H,"&lt;="&amp;AE$10,薪酬明细!$A:$A,AE$6)/10000</f>
        <v>0</v>
      </c>
      <c r="AF54" s="121">
        <f>SUMIFS(薪酬明细!$L:$L,薪酬明细!$D:$D,$E54,薪酬明细!$E:$E,$F54,薪酬明细!$H:$H,"&gt;="&amp;AF$9,薪酬明细!$H:$H,"&lt;="&amp;AF$10,薪酬明细!$A:$A,AF$6)/10000</f>
        <v>0</v>
      </c>
      <c r="AG54" s="121">
        <f>SUMIFS(薪酬明细!$L:$L,薪酬明细!$D:$D,$E54,薪酬明细!$E:$E,$F54,薪酬明细!$H:$H,"&gt;="&amp;AG$9,薪酬明细!$H:$H,"&lt;="&amp;AG$10,薪酬明细!$A:$A,AG$6)/10000</f>
        <v>0</v>
      </c>
      <c r="AH54" s="121">
        <f>SUMIFS(薪酬明细!$L:$L,薪酬明细!$D:$D,$E54,薪酬明细!$E:$E,$F54,薪酬明细!$H:$H,"&gt;="&amp;AH$9,薪酬明细!$H:$H,"&lt;="&amp;AH$10,薪酬明细!$A:$A,AH$6)/10000</f>
        <v>5</v>
      </c>
      <c r="AI54" s="121">
        <f>SUMIFS(薪酬明细!$L:$L,薪酬明细!$D:$D,$E54,薪酬明细!$E:$E,$F54,薪酬明细!$H:$H,"&gt;="&amp;AI$9,薪酬明细!$H:$H,"&lt;="&amp;AI$10,薪酬明细!$A:$A,AI$6)/10000</f>
        <v>0</v>
      </c>
      <c r="AJ54" s="121">
        <f>SUMIFS(薪酬明细!$L:$L,薪酬明细!$D:$D,$E54,薪酬明细!$E:$E,$F54,薪酬明细!$H:$H,"&gt;="&amp;AJ$9,薪酬明细!$H:$H,"&lt;="&amp;AJ$10,薪酬明细!$A:$A,AJ$6)/10000</f>
        <v>0</v>
      </c>
      <c r="AK54" s="121">
        <f>SUMIFS(薪酬明细!$L:$L,薪酬明细!$D:$D,$E54,薪酬明细!$E:$E,$F54,薪酬明细!$H:$H,"&gt;="&amp;AK$9,薪酬明细!$H:$H,"&lt;="&amp;AK$10,薪酬明细!$A:$A,AK$6)/10000</f>
        <v>0</v>
      </c>
      <c r="AL54" s="121">
        <f>SUMIFS(薪酬明细!$L:$L,薪酬明细!$D:$D,$E54,薪酬明细!$E:$E,$F54,薪酬明细!$H:$H,"&gt;="&amp;AL$9,薪酬明细!$H:$H,"&lt;="&amp;AL$10,薪酬明细!$A:$A,AL$6)/10000</f>
        <v>0</v>
      </c>
      <c r="AM54" s="121">
        <f>SUMIFS(薪酬明细!$L:$L,薪酬明细!$D:$D,$E54,薪酬明细!$E:$E,$F54,薪酬明细!$H:$H,"&gt;="&amp;AM$9,薪酬明细!$H:$H,"&lt;="&amp;AM$10,薪酬明细!$A:$A,AM$6)/10000</f>
        <v>0</v>
      </c>
      <c r="AN54" s="121">
        <f>SUMIFS(薪酬明细!$L:$L,薪酬明细!$D:$D,$E54,薪酬明细!$E:$E,$F54,薪酬明细!$H:$H,"&gt;="&amp;AN$9,薪酬明细!$H:$H,"&lt;="&amp;AN$10,薪酬明细!$A:$A,AN$6)/10000</f>
        <v>0</v>
      </c>
      <c r="AO54" s="121">
        <f>SUMIFS(薪酬明细!$L:$L,薪酬明细!$D:$D,$E54,薪酬明细!$E:$E,$F54,薪酬明细!$H:$H,"&gt;="&amp;AO$9,薪酬明细!$H:$H,"&lt;="&amp;AO$10,薪酬明细!$A:$A,AO$6)/10000</f>
        <v>0</v>
      </c>
      <c r="AP54" s="121">
        <f>SUMIFS(薪酬明细!$L:$L,薪酬明细!$D:$D,$E54,薪酬明细!$E:$E,$F54,薪酬明细!$H:$H,"&gt;="&amp;AP$9,薪酬明细!$H:$H,"&lt;="&amp;AP$10,薪酬明细!$A:$A,AP$6)/10000</f>
        <v>0</v>
      </c>
      <c r="AQ54" s="121">
        <f>SUMIFS(薪酬明细!$L:$L,薪酬明细!$D:$D,$E54,薪酬明细!$E:$E,$F54,薪酬明细!$H:$H,"&gt;="&amp;AQ$9,薪酬明细!$H:$H,"&lt;="&amp;AQ$10,薪酬明细!$A:$A,AQ$6)/10000</f>
        <v>0</v>
      </c>
      <c r="AR54" s="121">
        <f>SUMIFS(薪酬明细!$L:$L,薪酬明细!$D:$D,$E54,薪酬明细!$E:$E,$F54,薪酬明细!$H:$H,"&gt;="&amp;AR$9,薪酬明细!$H:$H,"&lt;="&amp;AR$10,薪酬明细!$A:$A,AR$6)/10000</f>
        <v>1.6</v>
      </c>
      <c r="AS54" s="121">
        <f>SUMIFS(薪酬明细!$L:$L,薪酬明细!$D:$D,$E54,薪酬明细!$E:$E,$F54,薪酬明细!$H:$H,"&gt;="&amp;AS$9,薪酬明细!$H:$H,"&lt;="&amp;AS$10,薪酬明细!$A:$A,AS$6)/10000</f>
        <v>1.7</v>
      </c>
      <c r="AT54" s="121">
        <f>SUMIFS(薪酬明细!$L:$L,薪酬明细!$D:$D,$E54,薪酬明细!$E:$E,$F54,薪酬明细!$H:$H,"&gt;="&amp;AT$9,薪酬明细!$H:$H,"&lt;="&amp;AT$10,薪酬明细!$A:$A,AT$6)/10000</f>
        <v>1.7</v>
      </c>
      <c r="AU54" s="121">
        <f>SUMIFS(薪酬明细!$L:$L,薪酬明细!$D:$D,$E54,薪酬明细!$E:$E,$F54,薪酬明细!$H:$H,"&gt;="&amp;AU$9,薪酬明细!$H:$H,"&lt;="&amp;AU$10,薪酬明细!$A:$A,AU$6)/10000</f>
        <v>20.3</v>
      </c>
      <c r="AV54" s="121">
        <f>SUMIFS(薪酬明细!$L:$L,薪酬明细!$D:$D,$E54,薪酬明细!$E:$E,$F54,薪酬明细!$H:$H,"&gt;="&amp;AV$9,薪酬明细!$H:$H,"&lt;="&amp;AV$10,薪酬明细!$A:$A,AV$6)/10000</f>
        <v>1.8</v>
      </c>
      <c r="AW54" s="121">
        <f>SUMIFS(薪酬明细!$L:$L,薪酬明细!$D:$D,$E54,薪酬明细!$E:$E,$F54,薪酬明细!$H:$H,"&gt;="&amp;AW$9,薪酬明细!$H:$H,"&lt;="&amp;AW$10,薪酬明细!$A:$A,AW$6)/10000</f>
        <v>1.7</v>
      </c>
      <c r="AX54" s="121">
        <f>SUMIFS(薪酬明细!$L:$L,薪酬明细!$D:$D,$E54,薪酬明细!$E:$E,$F54,薪酬明细!$H:$H,"&gt;="&amp;AX$9,薪酬明细!$H:$H,"&lt;="&amp;AX$10,薪酬明细!$A:$A,AX$6)/10000</f>
        <v>1.7</v>
      </c>
      <c r="AY54" s="121">
        <f>SUMIFS(薪酬明细!$L:$L,薪酬明细!$D:$D,$E54,薪酬明细!$E:$E,$F54,薪酬明细!$H:$H,"&gt;="&amp;AY$9,薪酬明细!$H:$H,"&lt;="&amp;AY$10,薪酬明细!$A:$A,AY$6)/10000</f>
        <v>1.6</v>
      </c>
      <c r="AZ54" s="121">
        <f>SUMIFS(薪酬明细!$L:$L,薪酬明细!$D:$D,$E54,薪酬明细!$E:$E,$F54,薪酬明细!$H:$H,"&gt;="&amp;AZ$9,薪酬明细!$H:$H,"&lt;="&amp;AZ$10,薪酬明细!$A:$A,AZ$6)/10000</f>
        <v>1.7</v>
      </c>
      <c r="BA54" s="121">
        <f>SUMIFS(薪酬明细!$L:$L,薪酬明细!$D:$D,$E54,薪酬明细!$E:$E,$F54,薪酬明细!$H:$H,"&gt;="&amp;BA$9,薪酬明细!$H:$H,"&lt;="&amp;BA$10,薪酬明细!$A:$A,BA$6)/10000</f>
        <v>1.6</v>
      </c>
      <c r="BB54" s="121">
        <f>SUMIFS(薪酬明细!$L:$L,薪酬明细!$D:$D,$E54,薪酬明细!$E:$E,$F54,薪酬明细!$H:$H,"&gt;="&amp;BB$9,薪酬明细!$H:$H,"&lt;="&amp;BB$10,薪酬明细!$A:$A,BB$6)/10000</f>
        <v>1.7</v>
      </c>
      <c r="BC54" s="121">
        <f>SUMIFS(薪酬明细!$L:$L,薪酬明细!$D:$D,$E54,薪酬明细!$E:$E,$F54,薪酬明细!$H:$H,"&gt;="&amp;BC$9,薪酬明细!$H:$H,"&lt;="&amp;BC$10,薪酬明细!$A:$A,BC$6)/10000</f>
        <v>1.8</v>
      </c>
      <c r="BD54" s="121">
        <f>SUMIFS(薪酬明细!$L:$L,薪酬明细!$D:$D,$E54,薪酬明细!$E:$E,$F54,薪酬明细!$H:$H,"&gt;="&amp;BD$9,薪酬明细!$H:$H,"&lt;="&amp;BD$10,薪酬明细!$A:$A,BD$6)/10000</f>
        <v>1.7</v>
      </c>
      <c r="BE54" s="121">
        <f>SUMIFS(薪酬明细!$L:$L,薪酬明细!$D:$D,$E54,薪酬明细!$E:$E,$F54,薪酬明细!$H:$H,"&gt;="&amp;BE$9,薪酬明细!$H:$H,"&lt;="&amp;BE$10,薪酬明细!$A:$A,BE$6)/10000</f>
        <v>1.7</v>
      </c>
      <c r="BF54" s="121">
        <f>SUMIFS(薪酬明细!$L:$L,薪酬明细!$D:$D,$E54,薪酬明细!$E:$E,$F54,薪酬明细!$H:$H,"&gt;="&amp;BF$9,薪酬明细!$H:$H,"&lt;="&amp;BF$10,薪酬明细!$A:$A,BF$6)/10000</f>
        <v>1.6</v>
      </c>
      <c r="BG54" s="121">
        <f>SUMIFS(薪酬明细!$L:$L,薪酬明细!$D:$D,$E54,薪酬明细!$E:$E,$F54,薪酬明细!$H:$H,"&gt;="&amp;BG$9,薪酬明细!$H:$H,"&lt;="&amp;BG$10,薪酬明细!$A:$A,BG$6)/10000</f>
        <v>1.7</v>
      </c>
    </row>
    <row r="56" ht="20.4" spans="2:2">
      <c r="B56" s="118" t="s">
        <v>93</v>
      </c>
    </row>
    <row r="57" s="101" customFormat="1" ht="19.2" customHeight="1" spans="2:59">
      <c r="B57" s="42" t="s">
        <v>76</v>
      </c>
      <c r="C57" s="119"/>
      <c r="D57" s="119"/>
      <c r="E57" s="119" t="s">
        <v>78</v>
      </c>
      <c r="F57" s="119" t="s">
        <v>78</v>
      </c>
      <c r="G57" s="120">
        <f>SUMIFS(薪酬明细!$M:$M,薪酬明细!$D:$D,$E57,薪酬明细!$E:$E,$F57,薪酬明细!$H:$H,"&gt;="&amp;G$9,薪酬明细!$H:$H,"&lt;="&amp;G$10,薪酬明细!$A:$A,G$6)/10000</f>
        <v>275.6</v>
      </c>
      <c r="H57" s="120">
        <f>SUMIFS(薪酬明细!$M:$M,薪酬明细!$D:$D,$E57,薪酬明细!$E:$E,$F57,薪酬明细!$H:$H,"&gt;="&amp;H$9,薪酬明细!$H:$H,"&lt;="&amp;H$10,薪酬明细!$A:$A,H$6)/10000</f>
        <v>23</v>
      </c>
      <c r="I57" s="120">
        <f>SUMIFS(薪酬明细!$M:$M,薪酬明细!$D:$D,$E57,薪酬明细!$E:$E,$F57,薪酬明细!$H:$H,"&gt;="&amp;I$9,薪酬明细!$H:$H,"&lt;="&amp;I$10,薪酬明细!$A:$A,I$6)/10000</f>
        <v>23.1</v>
      </c>
      <c r="J57" s="120">
        <f>SUMIFS(薪酬明细!$M:$M,薪酬明细!$D:$D,$E57,薪酬明细!$E:$E,$F57,薪酬明细!$H:$H,"&gt;="&amp;J$9,薪酬明细!$H:$H,"&lt;="&amp;J$10,薪酬明细!$A:$A,J$6)/10000</f>
        <v>23.1</v>
      </c>
      <c r="K57" s="120">
        <f>SUMIFS(薪酬明细!$M:$M,薪酬明细!$D:$D,$E57,薪酬明细!$E:$E,$F57,薪酬明细!$H:$H,"&gt;="&amp;K$9,薪酬明细!$H:$H,"&lt;="&amp;K$10,薪酬明细!$A:$A,K$6)/10000</f>
        <v>22.9</v>
      </c>
      <c r="L57" s="120">
        <f>SUMIFS(薪酬明细!$M:$M,薪酬明细!$D:$D,$E57,薪酬明细!$E:$E,$F57,薪酬明细!$H:$H,"&gt;="&amp;L$9,薪酬明细!$H:$H,"&lt;="&amp;L$10,薪酬明细!$A:$A,L$6)/10000</f>
        <v>22.8</v>
      </c>
      <c r="M57" s="120">
        <f>SUMIFS(薪酬明细!$M:$M,薪酬明细!$D:$D,$E57,薪酬明细!$E:$E,$F57,薪酬明细!$H:$H,"&gt;="&amp;M$9,薪酬明细!$H:$H,"&lt;="&amp;M$10,薪酬明细!$A:$A,M$6)/10000</f>
        <v>23</v>
      </c>
      <c r="N57" s="120">
        <f>SUMIFS(薪酬明细!$M:$M,薪酬明细!$D:$D,$E57,薪酬明细!$E:$E,$F57,薪酬明细!$H:$H,"&gt;="&amp;N$9,薪酬明细!$H:$H,"&lt;="&amp;N$10,薪酬明细!$A:$A,N$6)/10000</f>
        <v>23</v>
      </c>
      <c r="O57" s="120">
        <f>SUMIFS(薪酬明细!$M:$M,薪酬明细!$D:$D,$E57,薪酬明细!$E:$E,$F57,薪酬明细!$H:$H,"&gt;="&amp;O$9,薪酬明细!$H:$H,"&lt;="&amp;O$10,薪酬明细!$A:$A,O$6)/10000</f>
        <v>22.8</v>
      </c>
      <c r="P57" s="120">
        <f>SUMIFS(薪酬明细!$M:$M,薪酬明细!$D:$D,$E57,薪酬明细!$E:$E,$F57,薪酬明细!$H:$H,"&gt;="&amp;P$9,薪酬明细!$H:$H,"&lt;="&amp;P$10,薪酬明细!$A:$A,P$6)/10000</f>
        <v>23</v>
      </c>
      <c r="Q57" s="120">
        <f>SUMIFS(薪酬明细!$M:$M,薪酬明细!$D:$D,$E57,薪酬明细!$E:$E,$F57,薪酬明细!$H:$H,"&gt;="&amp;Q$9,薪酬明细!$H:$H,"&lt;="&amp;Q$10,薪酬明细!$A:$A,Q$6)/10000</f>
        <v>23</v>
      </c>
      <c r="R57" s="120">
        <f>SUMIFS(薪酬明细!$M:$M,薪酬明细!$D:$D,$E57,薪酬明细!$E:$E,$F57,薪酬明细!$H:$H,"&gt;="&amp;R$9,薪酬明细!$H:$H,"&lt;="&amp;R$10,薪酬明细!$A:$A,R$6)/10000</f>
        <v>23</v>
      </c>
      <c r="S57" s="120">
        <f>SUMIFS(薪酬明细!$M:$M,薪酬明细!$D:$D,$E57,薪酬明细!$E:$E,$F57,薪酬明细!$H:$H,"&gt;="&amp;S$9,薪酬明细!$H:$H,"&lt;="&amp;S$10,薪酬明细!$A:$A,S$6)/10000</f>
        <v>23</v>
      </c>
      <c r="T57" s="124">
        <f>U57+AH57</f>
        <v>276.1</v>
      </c>
      <c r="U57" s="120">
        <f>SUMIFS(薪酬明细!$M:$M,薪酬明细!$D:$D,$E57,薪酬明细!$E:$E,$F57,薪酬明细!$H:$H,"&gt;="&amp;U$9,薪酬明细!$H:$H,"&lt;="&amp;U$10,薪酬明细!$A:$A,U$6)/10000</f>
        <v>207</v>
      </c>
      <c r="V57" s="120">
        <f>SUMIFS(薪酬明细!$M:$M,薪酬明细!$D:$D,$E57,薪酬明细!$E:$E,$F57,薪酬明细!$H:$H,"&gt;="&amp;V$9,薪酬明细!$H:$H,"&lt;="&amp;V$10,薪酬明细!$A:$A,V$6)/10000</f>
        <v>22.8</v>
      </c>
      <c r="W57" s="120">
        <f>SUMIFS(薪酬明细!$M:$M,薪酬明细!$D:$D,$E57,薪酬明细!$E:$E,$F57,薪酬明细!$H:$H,"&gt;="&amp;W$9,薪酬明细!$H:$H,"&lt;="&amp;W$10,薪酬明细!$A:$A,W$6)/10000</f>
        <v>23</v>
      </c>
      <c r="X57" s="120">
        <f>SUMIFS(薪酬明细!$M:$M,薪酬明细!$D:$D,$E57,薪酬明细!$E:$E,$F57,薪酬明细!$H:$H,"&gt;="&amp;X$9,薪酬明细!$H:$H,"&lt;="&amp;X$10,薪酬明细!$A:$A,X$6)/10000</f>
        <v>23</v>
      </c>
      <c r="Y57" s="120">
        <f>SUMIFS(薪酬明细!$M:$M,薪酬明细!$D:$D,$E57,薪酬明细!$E:$E,$F57,薪酬明细!$H:$H,"&gt;="&amp;Y$9,薪酬明细!$H:$H,"&lt;="&amp;Y$10,薪酬明细!$A:$A,Y$6)/10000</f>
        <v>23</v>
      </c>
      <c r="Z57" s="120">
        <f>SUMIFS(薪酬明细!$M:$M,薪酬明细!$D:$D,$E57,薪酬明细!$E:$E,$F57,薪酬明细!$H:$H,"&gt;="&amp;Z$9,薪酬明细!$H:$H,"&lt;="&amp;Z$10,薪酬明细!$A:$A,Z$6)/10000</f>
        <v>23</v>
      </c>
      <c r="AA57" s="120">
        <f>SUMIFS(薪酬明细!$M:$M,薪酬明细!$D:$D,$E57,薪酬明细!$E:$E,$F57,薪酬明细!$H:$H,"&gt;="&amp;AA$9,薪酬明细!$H:$H,"&lt;="&amp;AA$10,薪酬明细!$A:$A,AA$6)/10000</f>
        <v>23.1</v>
      </c>
      <c r="AB57" s="120">
        <f>SUMIFS(薪酬明细!$M:$M,薪酬明细!$D:$D,$E57,薪酬明细!$E:$E,$F57,薪酬明细!$H:$H,"&gt;="&amp;AB$9,薪酬明细!$H:$H,"&lt;="&amp;AB$10,薪酬明细!$A:$A,AB$6)/10000</f>
        <v>23.1</v>
      </c>
      <c r="AC57" s="120">
        <f>SUMIFS(薪酬明细!$M:$M,薪酬明细!$D:$D,$E57,薪酬明细!$E:$E,$F57,薪酬明细!$H:$H,"&gt;="&amp;AC$9,薪酬明细!$H:$H,"&lt;="&amp;AC$10,薪酬明细!$A:$A,AC$6)/10000</f>
        <v>23.1</v>
      </c>
      <c r="AD57" s="120">
        <f>SUMIFS(薪酬明细!$M:$M,薪酬明细!$D:$D,$E57,薪酬明细!$E:$E,$F57,薪酬明细!$H:$H,"&gt;="&amp;AD$9,薪酬明细!$H:$H,"&lt;="&amp;AD$10,薪酬明细!$A:$A,AD$6)/10000</f>
        <v>23</v>
      </c>
      <c r="AE57" s="120">
        <f>SUMIFS(薪酬明细!$M:$M,薪酬明细!$D:$D,$E57,薪酬明细!$E:$E,$F57,薪酬明细!$H:$H,"&gt;="&amp;AE$9,薪酬明细!$H:$H,"&lt;="&amp;AE$10,薪酬明细!$A:$A,AE$6)/10000</f>
        <v>0</v>
      </c>
      <c r="AF57" s="120">
        <f>SUMIFS(薪酬明细!$M:$M,薪酬明细!$D:$D,$E57,薪酬明细!$E:$E,$F57,薪酬明细!$H:$H,"&gt;="&amp;AF$9,薪酬明细!$H:$H,"&lt;="&amp;AF$10,薪酬明细!$A:$A,AF$6)/10000</f>
        <v>0</v>
      </c>
      <c r="AG57" s="120">
        <f>SUMIFS(薪酬明细!$M:$M,薪酬明细!$D:$D,$E57,薪酬明细!$E:$E,$F57,薪酬明细!$H:$H,"&gt;="&amp;AG$9,薪酬明细!$H:$H,"&lt;="&amp;AG$10,薪酬明细!$A:$A,AG$6)/10000</f>
        <v>0</v>
      </c>
      <c r="AH57" s="120">
        <f>SUMIFS(薪酬明细!$M:$M,薪酬明细!$D:$D,$E57,薪酬明细!$E:$E,$F57,薪酬明细!$H:$H,"&gt;="&amp;AH$9,薪酬明细!$H:$H,"&lt;="&amp;AH$10,薪酬明细!$A:$A,AH$6)/10000</f>
        <v>69.1</v>
      </c>
      <c r="AI57" s="120">
        <f>SUMIFS(薪酬明细!$M:$M,薪酬明细!$D:$D,$E57,薪酬明细!$E:$E,$F57,薪酬明细!$H:$H,"&gt;="&amp;AI$9,薪酬明细!$H:$H,"&lt;="&amp;AI$10,薪酬明细!$A:$A,AI$6)/10000</f>
        <v>0</v>
      </c>
      <c r="AJ57" s="120">
        <f>SUMIFS(薪酬明细!$M:$M,薪酬明细!$D:$D,$E57,薪酬明细!$E:$E,$F57,薪酬明细!$H:$H,"&gt;="&amp;AJ$9,薪酬明细!$H:$H,"&lt;="&amp;AJ$10,薪酬明细!$A:$A,AJ$6)/10000</f>
        <v>0</v>
      </c>
      <c r="AK57" s="120">
        <f>SUMIFS(薪酬明细!$M:$M,薪酬明细!$D:$D,$E57,薪酬明细!$E:$E,$F57,薪酬明细!$H:$H,"&gt;="&amp;AK$9,薪酬明细!$H:$H,"&lt;="&amp;AK$10,薪酬明细!$A:$A,AK$6)/10000</f>
        <v>0</v>
      </c>
      <c r="AL57" s="120">
        <f>SUMIFS(薪酬明细!$M:$M,薪酬明细!$D:$D,$E57,薪酬明细!$E:$E,$F57,薪酬明细!$H:$H,"&gt;="&amp;AL$9,薪酬明细!$H:$H,"&lt;="&amp;AL$10,薪酬明细!$A:$A,AL$6)/10000</f>
        <v>0</v>
      </c>
      <c r="AM57" s="120">
        <f>SUMIFS(薪酬明细!$M:$M,薪酬明细!$D:$D,$E57,薪酬明细!$E:$E,$F57,薪酬明细!$H:$H,"&gt;="&amp;AM$9,薪酬明细!$H:$H,"&lt;="&amp;AM$10,薪酬明细!$A:$A,AM$6)/10000</f>
        <v>0</v>
      </c>
      <c r="AN57" s="120">
        <f>SUMIFS(薪酬明细!$M:$M,薪酬明细!$D:$D,$E57,薪酬明细!$E:$E,$F57,薪酬明细!$H:$H,"&gt;="&amp;AN$9,薪酬明细!$H:$H,"&lt;="&amp;AN$10,薪酬明细!$A:$A,AN$6)/10000</f>
        <v>0</v>
      </c>
      <c r="AO57" s="120">
        <f>SUMIFS(薪酬明细!$M:$M,薪酬明细!$D:$D,$E57,薪酬明细!$E:$E,$F57,薪酬明细!$H:$H,"&gt;="&amp;AO$9,薪酬明细!$H:$H,"&lt;="&amp;AO$10,薪酬明细!$A:$A,AO$6)/10000</f>
        <v>0</v>
      </c>
      <c r="AP57" s="120">
        <f>SUMIFS(薪酬明细!$M:$M,薪酬明细!$D:$D,$E57,薪酬明细!$E:$E,$F57,薪酬明细!$H:$H,"&gt;="&amp;AP$9,薪酬明细!$H:$H,"&lt;="&amp;AP$10,薪酬明细!$A:$A,AP$6)/10000</f>
        <v>0</v>
      </c>
      <c r="AQ57" s="120">
        <f>SUMIFS(薪酬明细!$M:$M,薪酬明细!$D:$D,$E57,薪酬明细!$E:$E,$F57,薪酬明细!$H:$H,"&gt;="&amp;AQ$9,薪酬明细!$H:$H,"&lt;="&amp;AQ$10,薪酬明细!$A:$A,AQ$6)/10000</f>
        <v>0</v>
      </c>
      <c r="AR57" s="120">
        <f>SUMIFS(薪酬明细!$M:$M,薪酬明细!$D:$D,$E57,薪酬明细!$E:$E,$F57,薪酬明细!$H:$H,"&gt;="&amp;AR$9,薪酬明细!$H:$H,"&lt;="&amp;AR$10,薪酬明细!$A:$A,AR$6)/10000</f>
        <v>23.1</v>
      </c>
      <c r="AS57" s="120">
        <f>SUMIFS(薪酬明细!$M:$M,薪酬明细!$D:$D,$E57,薪酬明细!$E:$E,$F57,薪酬明细!$H:$H,"&gt;="&amp;AS$9,薪酬明细!$H:$H,"&lt;="&amp;AS$10,薪酬明细!$A:$A,AS$6)/10000</f>
        <v>23</v>
      </c>
      <c r="AT57" s="120">
        <f>SUMIFS(薪酬明细!$M:$M,薪酬明细!$D:$D,$E57,薪酬明细!$E:$E,$F57,薪酬明细!$H:$H,"&gt;="&amp;AT$9,薪酬明细!$H:$H,"&lt;="&amp;AT$10,薪酬明细!$A:$A,AT$6)/10000</f>
        <v>23</v>
      </c>
      <c r="AU57" s="120">
        <f>SUMIFS(薪酬明细!$M:$M,薪酬明细!$D:$D,$E57,薪酬明细!$E:$E,$F57,薪酬明细!$H:$H,"&gt;="&amp;AU$9,薪酬明细!$H:$H,"&lt;="&amp;AU$10,薪酬明细!$A:$A,AU$6)/10000</f>
        <v>275.5</v>
      </c>
      <c r="AV57" s="120">
        <f>SUMIFS(薪酬明细!$M:$M,薪酬明细!$D:$D,$E57,薪酬明细!$E:$E,$F57,薪酬明细!$H:$H,"&gt;="&amp;AV$9,薪酬明细!$H:$H,"&lt;="&amp;AV$10,薪酬明细!$A:$A,AV$6)/10000</f>
        <v>23</v>
      </c>
      <c r="AW57" s="120">
        <f>SUMIFS(薪酬明细!$M:$M,薪酬明细!$D:$D,$E57,薪酬明细!$E:$E,$F57,薪酬明细!$H:$H,"&gt;="&amp;AW$9,薪酬明细!$H:$H,"&lt;="&amp;AW$10,薪酬明细!$A:$A,AW$6)/10000</f>
        <v>23</v>
      </c>
      <c r="AX57" s="120">
        <f>SUMIFS(薪酬明细!$M:$M,薪酬明细!$D:$D,$E57,薪酬明细!$E:$E,$F57,薪酬明细!$H:$H,"&gt;="&amp;AX$9,薪酬明细!$H:$H,"&lt;="&amp;AX$10,薪酬明细!$A:$A,AX$6)/10000</f>
        <v>22.9</v>
      </c>
      <c r="AY57" s="120">
        <f>SUMIFS(薪酬明细!$M:$M,薪酬明细!$D:$D,$E57,薪酬明细!$E:$E,$F57,薪酬明细!$H:$H,"&gt;="&amp;AY$9,薪酬明细!$H:$H,"&lt;="&amp;AY$10,薪酬明细!$A:$A,AY$6)/10000</f>
        <v>22.9</v>
      </c>
      <c r="AZ57" s="120">
        <f>SUMIFS(薪酬明细!$M:$M,薪酬明细!$D:$D,$E57,薪酬明细!$E:$E,$F57,薪酬明细!$H:$H,"&gt;="&amp;AZ$9,薪酬明细!$H:$H,"&lt;="&amp;AZ$10,薪酬明细!$A:$A,AZ$6)/10000</f>
        <v>22.9</v>
      </c>
      <c r="BA57" s="120">
        <f>SUMIFS(薪酬明细!$M:$M,薪酬明细!$D:$D,$E57,薪酬明细!$E:$E,$F57,薪酬明细!$H:$H,"&gt;="&amp;BA$9,薪酬明细!$H:$H,"&lt;="&amp;BA$10,薪酬明细!$A:$A,BA$6)/10000</f>
        <v>22.9</v>
      </c>
      <c r="BB57" s="120">
        <f>SUMIFS(薪酬明细!$M:$M,薪酬明细!$D:$D,$E57,薪酬明细!$E:$E,$F57,薪酬明细!$H:$H,"&gt;="&amp;BB$9,薪酬明细!$H:$H,"&lt;="&amp;BB$10,薪酬明细!$A:$A,BB$6)/10000</f>
        <v>23</v>
      </c>
      <c r="BC57" s="120">
        <f>SUMIFS(薪酬明细!$M:$M,薪酬明细!$D:$D,$E57,薪酬明细!$E:$E,$F57,薪酬明细!$H:$H,"&gt;="&amp;BC$9,薪酬明细!$H:$H,"&lt;="&amp;BC$10,薪酬明细!$A:$A,BC$6)/10000</f>
        <v>23</v>
      </c>
      <c r="BD57" s="120">
        <f>SUMIFS(薪酬明细!$M:$M,薪酬明细!$D:$D,$E57,薪酬明细!$E:$E,$F57,薪酬明细!$H:$H,"&gt;="&amp;BD$9,薪酬明细!$H:$H,"&lt;="&amp;BD$10,薪酬明细!$A:$A,BD$6)/10000</f>
        <v>23</v>
      </c>
      <c r="BE57" s="120">
        <f>SUMIFS(薪酬明细!$M:$M,薪酬明细!$D:$D,$E57,薪酬明细!$E:$E,$F57,薪酬明细!$H:$H,"&gt;="&amp;BE$9,薪酬明细!$H:$H,"&lt;="&amp;BE$10,薪酬明细!$A:$A,BE$6)/10000</f>
        <v>22.9</v>
      </c>
      <c r="BF57" s="120">
        <f>SUMIFS(薪酬明细!$M:$M,薪酬明细!$D:$D,$E57,薪酬明细!$E:$E,$F57,薪酬明细!$H:$H,"&gt;="&amp;BF$9,薪酬明细!$H:$H,"&lt;="&amp;BF$10,薪酬明细!$A:$A,BF$6)/10000</f>
        <v>22.9</v>
      </c>
      <c r="BG57" s="120">
        <f>SUMIFS(薪酬明细!$M:$M,薪酬明细!$D:$D,$E57,薪酬明细!$E:$E,$F57,薪酬明细!$H:$H,"&gt;="&amp;BG$9,薪酬明细!$H:$H,"&lt;="&amp;BG$10,薪酬明细!$A:$A,BG$6)/10000</f>
        <v>22.9</v>
      </c>
    </row>
    <row r="58" ht="16.2" spans="3:59">
      <c r="C58" s="42" t="s">
        <v>79</v>
      </c>
      <c r="D58" s="42"/>
      <c r="E58" s="116" t="str">
        <f>IF(C58&lt;&gt;"",C58,E55)</f>
        <v>流程中心</v>
      </c>
      <c r="F58" s="116" t="str">
        <f>IF(D58&lt;&gt;"",D58,"*")</f>
        <v>*</v>
      </c>
      <c r="G58" s="121">
        <f>SUMIFS(薪酬明细!$M:$M,薪酬明细!$D:$D,$E58,薪酬明细!$E:$E,$F58,薪酬明细!$H:$H,"&gt;="&amp;G$9,薪酬明细!$H:$H,"&lt;="&amp;G$10,薪酬明细!$A:$A,G$6)/10000</f>
        <v>136</v>
      </c>
      <c r="H58" s="121">
        <f>SUMIFS(薪酬明细!$M:$M,薪酬明细!$D:$D,$E58,薪酬明细!$E:$E,$F58,薪酬明细!$H:$H,"&gt;="&amp;H$9,薪酬明细!$H:$H,"&lt;="&amp;H$10,薪酬明细!$A:$A,H$6)/10000</f>
        <v>11.3</v>
      </c>
      <c r="I58" s="121">
        <f>SUMIFS(薪酬明细!$M:$M,薪酬明细!$D:$D,$E58,薪酬明细!$E:$E,$F58,薪酬明细!$H:$H,"&gt;="&amp;I$9,薪酬明细!$H:$H,"&lt;="&amp;I$10,薪酬明细!$A:$A,I$6)/10000</f>
        <v>11.4</v>
      </c>
      <c r="J58" s="121">
        <f>SUMIFS(薪酬明细!$M:$M,薪酬明细!$D:$D,$E58,薪酬明细!$E:$E,$F58,薪酬明细!$H:$H,"&gt;="&amp;J$9,薪酬明细!$H:$H,"&lt;="&amp;J$10,薪酬明细!$A:$A,J$6)/10000</f>
        <v>11.3</v>
      </c>
      <c r="K58" s="121">
        <f>SUMIFS(薪酬明细!$M:$M,薪酬明细!$D:$D,$E58,薪酬明细!$E:$E,$F58,薪酬明细!$H:$H,"&gt;="&amp;K$9,薪酬明细!$H:$H,"&lt;="&amp;K$10,薪酬明细!$A:$A,K$6)/10000</f>
        <v>11.3</v>
      </c>
      <c r="L58" s="121">
        <f>SUMIFS(薪酬明细!$M:$M,薪酬明细!$D:$D,$E58,薪酬明细!$E:$E,$F58,薪酬明细!$H:$H,"&gt;="&amp;L$9,薪酬明细!$H:$H,"&lt;="&amp;L$10,薪酬明细!$A:$A,L$6)/10000</f>
        <v>11.3</v>
      </c>
      <c r="M58" s="121">
        <f>SUMIFS(薪酬明细!$M:$M,薪酬明细!$D:$D,$E58,薪酬明细!$E:$E,$F58,薪酬明细!$H:$H,"&gt;="&amp;M$9,薪酬明细!$H:$H,"&lt;="&amp;M$10,薪酬明细!$A:$A,M$6)/10000</f>
        <v>11.4</v>
      </c>
      <c r="N58" s="121">
        <f>SUMIFS(薪酬明细!$M:$M,薪酬明细!$D:$D,$E58,薪酬明细!$E:$E,$F58,薪酬明细!$H:$H,"&gt;="&amp;N$9,薪酬明细!$H:$H,"&lt;="&amp;N$10,薪酬明细!$A:$A,N$6)/10000</f>
        <v>11.4</v>
      </c>
      <c r="O58" s="121">
        <f>SUMIFS(薪酬明细!$M:$M,薪酬明细!$D:$D,$E58,薪酬明细!$E:$E,$F58,薪酬明细!$H:$H,"&gt;="&amp;O$9,薪酬明细!$H:$H,"&lt;="&amp;O$10,薪酬明细!$A:$A,O$6)/10000</f>
        <v>11.3</v>
      </c>
      <c r="P58" s="121">
        <f>SUMIFS(薪酬明细!$M:$M,薪酬明细!$D:$D,$E58,薪酬明细!$E:$E,$F58,薪酬明细!$H:$H,"&gt;="&amp;P$9,薪酬明细!$H:$H,"&lt;="&amp;P$10,薪酬明细!$A:$A,P$6)/10000</f>
        <v>11.4</v>
      </c>
      <c r="Q58" s="121">
        <f>SUMIFS(薪酬明细!$M:$M,薪酬明细!$D:$D,$E58,薪酬明细!$E:$E,$F58,薪酬明细!$H:$H,"&gt;="&amp;Q$9,薪酬明细!$H:$H,"&lt;="&amp;Q$10,薪酬明细!$A:$A,Q$6)/10000</f>
        <v>11.4</v>
      </c>
      <c r="R58" s="121">
        <f>SUMIFS(薪酬明细!$M:$M,薪酬明细!$D:$D,$E58,薪酬明细!$E:$E,$F58,薪酬明细!$H:$H,"&gt;="&amp;R$9,薪酬明细!$H:$H,"&lt;="&amp;R$10,薪酬明细!$A:$A,R$6)/10000</f>
        <v>11.3</v>
      </c>
      <c r="S58" s="121">
        <f>SUMIFS(薪酬明细!$M:$M,薪酬明细!$D:$D,$E58,薪酬明细!$E:$E,$F58,薪酬明细!$H:$H,"&gt;="&amp;S$9,薪酬明细!$H:$H,"&lt;="&amp;S$10,薪酬明细!$A:$A,S$6)/10000</f>
        <v>11.3</v>
      </c>
      <c r="T58" s="125">
        <f>U58+AH58</f>
        <v>136.2</v>
      </c>
      <c r="U58" s="121">
        <f>SUMIFS(薪酬明细!$M:$M,薪酬明细!$D:$D,$E58,薪酬明细!$E:$E,$F58,薪酬明细!$H:$H,"&gt;="&amp;U$9,薪酬明细!$H:$H,"&lt;="&amp;U$10,薪酬明细!$A:$A,U$6)/10000</f>
        <v>102.1</v>
      </c>
      <c r="V58" s="121">
        <f>SUMIFS(薪酬明细!$M:$M,薪酬明细!$D:$D,$E58,薪酬明细!$E:$E,$F58,薪酬明细!$H:$H,"&gt;="&amp;V$9,薪酬明细!$H:$H,"&lt;="&amp;V$10,薪酬明细!$A:$A,V$6)/10000</f>
        <v>11.2</v>
      </c>
      <c r="W58" s="121">
        <f>SUMIFS(薪酬明细!$M:$M,薪酬明细!$D:$D,$E58,薪酬明细!$E:$E,$F58,薪酬明细!$H:$H,"&gt;="&amp;W$9,薪酬明细!$H:$H,"&lt;="&amp;W$10,薪酬明细!$A:$A,W$6)/10000</f>
        <v>11.3</v>
      </c>
      <c r="X58" s="121">
        <f>SUMIFS(薪酬明细!$M:$M,薪酬明细!$D:$D,$E58,薪酬明细!$E:$E,$F58,薪酬明细!$H:$H,"&gt;="&amp;X$9,薪酬明细!$H:$H,"&lt;="&amp;X$10,薪酬明细!$A:$A,X$6)/10000</f>
        <v>11.4</v>
      </c>
      <c r="Y58" s="121">
        <f>SUMIFS(薪酬明细!$M:$M,薪酬明细!$D:$D,$E58,薪酬明细!$E:$E,$F58,薪酬明细!$H:$H,"&gt;="&amp;Y$9,薪酬明细!$H:$H,"&lt;="&amp;Y$10,薪酬明细!$A:$A,Y$6)/10000</f>
        <v>11.3</v>
      </c>
      <c r="Z58" s="121">
        <f>SUMIFS(薪酬明细!$M:$M,薪酬明细!$D:$D,$E58,薪酬明细!$E:$E,$F58,薪酬明细!$H:$H,"&gt;="&amp;Z$9,薪酬明细!$H:$H,"&lt;="&amp;Z$10,薪酬明细!$A:$A,Z$6)/10000</f>
        <v>11.4</v>
      </c>
      <c r="AA58" s="121">
        <f>SUMIFS(薪酬明细!$M:$M,薪酬明细!$D:$D,$E58,薪酬明细!$E:$E,$F58,薪酬明细!$H:$H,"&gt;="&amp;AA$9,薪酬明细!$H:$H,"&lt;="&amp;AA$10,薪酬明细!$A:$A,AA$6)/10000</f>
        <v>11.4</v>
      </c>
      <c r="AB58" s="121">
        <f>SUMIFS(薪酬明细!$M:$M,薪酬明细!$D:$D,$E58,薪酬明细!$E:$E,$F58,薪酬明细!$H:$H,"&gt;="&amp;AB$9,薪酬明细!$H:$H,"&lt;="&amp;AB$10,薪酬明细!$A:$A,AB$6)/10000</f>
        <v>11.4</v>
      </c>
      <c r="AC58" s="121">
        <f>SUMIFS(薪酬明细!$M:$M,薪酬明细!$D:$D,$E58,薪酬明细!$E:$E,$F58,薪酬明细!$H:$H,"&gt;="&amp;AC$9,薪酬明细!$H:$H,"&lt;="&amp;AC$10,薪酬明细!$A:$A,AC$6)/10000</f>
        <v>11.4</v>
      </c>
      <c r="AD58" s="121">
        <f>SUMIFS(薪酬明细!$M:$M,薪酬明细!$D:$D,$E58,薪酬明细!$E:$E,$F58,薪酬明细!$H:$H,"&gt;="&amp;AD$9,薪酬明细!$H:$H,"&lt;="&amp;AD$10,薪酬明细!$A:$A,AD$6)/10000</f>
        <v>11.4</v>
      </c>
      <c r="AE58" s="121">
        <f>SUMIFS(薪酬明细!$M:$M,薪酬明细!$D:$D,$E58,薪酬明细!$E:$E,$F58,薪酬明细!$H:$H,"&gt;="&amp;AE$9,薪酬明细!$H:$H,"&lt;="&amp;AE$10,薪酬明细!$A:$A,AE$6)/10000</f>
        <v>0</v>
      </c>
      <c r="AF58" s="121">
        <f>SUMIFS(薪酬明细!$M:$M,薪酬明细!$D:$D,$E58,薪酬明细!$E:$E,$F58,薪酬明细!$H:$H,"&gt;="&amp;AF$9,薪酬明细!$H:$H,"&lt;="&amp;AF$10,薪酬明细!$A:$A,AF$6)/10000</f>
        <v>0</v>
      </c>
      <c r="AG58" s="121">
        <f>SUMIFS(薪酬明细!$M:$M,薪酬明细!$D:$D,$E58,薪酬明细!$E:$E,$F58,薪酬明细!$H:$H,"&gt;="&amp;AG$9,薪酬明细!$H:$H,"&lt;="&amp;AG$10,薪酬明细!$A:$A,AG$6)/10000</f>
        <v>0</v>
      </c>
      <c r="AH58" s="121">
        <f>SUMIFS(薪酬明细!$M:$M,薪酬明细!$D:$D,$E58,薪酬明细!$E:$E,$F58,薪酬明细!$H:$H,"&gt;="&amp;AH$9,薪酬明细!$H:$H,"&lt;="&amp;AH$10,薪酬明细!$A:$A,AH$6)/10000</f>
        <v>34.1</v>
      </c>
      <c r="AI58" s="121">
        <f>SUMIFS(薪酬明细!$M:$M,薪酬明细!$D:$D,$E58,薪酬明细!$E:$E,$F58,薪酬明细!$H:$H,"&gt;="&amp;AI$9,薪酬明细!$H:$H,"&lt;="&amp;AI$10,薪酬明细!$A:$A,AI$6)/10000</f>
        <v>0</v>
      </c>
      <c r="AJ58" s="121">
        <f>SUMIFS(薪酬明细!$M:$M,薪酬明细!$D:$D,$E58,薪酬明细!$E:$E,$F58,薪酬明细!$H:$H,"&gt;="&amp;AJ$9,薪酬明细!$H:$H,"&lt;="&amp;AJ$10,薪酬明细!$A:$A,AJ$6)/10000</f>
        <v>0</v>
      </c>
      <c r="AK58" s="121">
        <f>SUMIFS(薪酬明细!$M:$M,薪酬明细!$D:$D,$E58,薪酬明细!$E:$E,$F58,薪酬明细!$H:$H,"&gt;="&amp;AK$9,薪酬明细!$H:$H,"&lt;="&amp;AK$10,薪酬明细!$A:$A,AK$6)/10000</f>
        <v>0</v>
      </c>
      <c r="AL58" s="121">
        <f>SUMIFS(薪酬明细!$M:$M,薪酬明细!$D:$D,$E58,薪酬明细!$E:$E,$F58,薪酬明细!$H:$H,"&gt;="&amp;AL$9,薪酬明细!$H:$H,"&lt;="&amp;AL$10,薪酬明细!$A:$A,AL$6)/10000</f>
        <v>0</v>
      </c>
      <c r="AM58" s="121">
        <f>SUMIFS(薪酬明细!$M:$M,薪酬明细!$D:$D,$E58,薪酬明细!$E:$E,$F58,薪酬明细!$H:$H,"&gt;="&amp;AM$9,薪酬明细!$H:$H,"&lt;="&amp;AM$10,薪酬明细!$A:$A,AM$6)/10000</f>
        <v>0</v>
      </c>
      <c r="AN58" s="121">
        <f>SUMIFS(薪酬明细!$M:$M,薪酬明细!$D:$D,$E58,薪酬明细!$E:$E,$F58,薪酬明细!$H:$H,"&gt;="&amp;AN$9,薪酬明细!$H:$H,"&lt;="&amp;AN$10,薪酬明细!$A:$A,AN$6)/10000</f>
        <v>0</v>
      </c>
      <c r="AO58" s="121">
        <f>SUMIFS(薪酬明细!$M:$M,薪酬明细!$D:$D,$E58,薪酬明细!$E:$E,$F58,薪酬明细!$H:$H,"&gt;="&amp;AO$9,薪酬明细!$H:$H,"&lt;="&amp;AO$10,薪酬明细!$A:$A,AO$6)/10000</f>
        <v>0</v>
      </c>
      <c r="AP58" s="121">
        <f>SUMIFS(薪酬明细!$M:$M,薪酬明细!$D:$D,$E58,薪酬明细!$E:$E,$F58,薪酬明细!$H:$H,"&gt;="&amp;AP$9,薪酬明细!$H:$H,"&lt;="&amp;AP$10,薪酬明细!$A:$A,AP$6)/10000</f>
        <v>0</v>
      </c>
      <c r="AQ58" s="121">
        <f>SUMIFS(薪酬明细!$M:$M,薪酬明细!$D:$D,$E58,薪酬明细!$E:$E,$F58,薪酬明细!$H:$H,"&gt;="&amp;AQ$9,薪酬明细!$H:$H,"&lt;="&amp;AQ$10,薪酬明细!$A:$A,AQ$6)/10000</f>
        <v>0</v>
      </c>
      <c r="AR58" s="121">
        <f>SUMIFS(薪酬明细!$M:$M,薪酬明细!$D:$D,$E58,薪酬明细!$E:$E,$F58,薪酬明细!$H:$H,"&gt;="&amp;AR$9,薪酬明细!$H:$H,"&lt;="&amp;AR$10,薪酬明细!$A:$A,AR$6)/10000</f>
        <v>11.4</v>
      </c>
      <c r="AS58" s="121">
        <f>SUMIFS(薪酬明细!$M:$M,薪酬明细!$D:$D,$E58,薪酬明细!$E:$E,$F58,薪酬明细!$H:$H,"&gt;="&amp;AS$9,薪酬明细!$H:$H,"&lt;="&amp;AS$10,薪酬明细!$A:$A,AS$6)/10000</f>
        <v>11.3</v>
      </c>
      <c r="AT58" s="121">
        <f>SUMIFS(薪酬明细!$M:$M,薪酬明细!$D:$D,$E58,薪酬明细!$E:$E,$F58,薪酬明细!$H:$H,"&gt;="&amp;AT$9,薪酬明细!$H:$H,"&lt;="&amp;AT$10,薪酬明细!$A:$A,AT$6)/10000</f>
        <v>11.4</v>
      </c>
      <c r="AU58" s="121">
        <f>SUMIFS(薪酬明细!$M:$M,薪酬明细!$D:$D,$E58,薪酬明细!$E:$E,$F58,薪酬明细!$H:$H,"&gt;="&amp;AU$9,薪酬明细!$H:$H,"&lt;="&amp;AU$10,薪酬明细!$A:$A,AU$6)/10000</f>
        <v>135.9</v>
      </c>
      <c r="AV58" s="121">
        <f>SUMIFS(薪酬明细!$M:$M,薪酬明细!$D:$D,$E58,薪酬明细!$E:$E,$F58,薪酬明细!$H:$H,"&gt;="&amp;AV$9,薪酬明细!$H:$H,"&lt;="&amp;AV$10,薪酬明细!$A:$A,AV$6)/10000</f>
        <v>11.3</v>
      </c>
      <c r="AW58" s="121">
        <f>SUMIFS(薪酬明细!$M:$M,薪酬明细!$D:$D,$E58,薪酬明细!$E:$E,$F58,薪酬明细!$H:$H,"&gt;="&amp;AW$9,薪酬明细!$H:$H,"&lt;="&amp;AW$10,薪酬明细!$A:$A,AW$6)/10000</f>
        <v>11.4</v>
      </c>
      <c r="AX58" s="121">
        <f>SUMIFS(薪酬明细!$M:$M,薪酬明细!$D:$D,$E58,薪酬明细!$E:$E,$F58,薪酬明细!$H:$H,"&gt;="&amp;AX$9,薪酬明细!$H:$H,"&lt;="&amp;AX$10,薪酬明细!$A:$A,AX$6)/10000</f>
        <v>11.3</v>
      </c>
      <c r="AY58" s="121">
        <f>SUMIFS(薪酬明细!$M:$M,薪酬明细!$D:$D,$E58,薪酬明细!$E:$E,$F58,薪酬明细!$H:$H,"&gt;="&amp;AY$9,薪酬明细!$H:$H,"&lt;="&amp;AY$10,薪酬明细!$A:$A,AY$6)/10000</f>
        <v>11.3</v>
      </c>
      <c r="AZ58" s="121">
        <f>SUMIFS(薪酬明细!$M:$M,薪酬明细!$D:$D,$E58,薪酬明细!$E:$E,$F58,薪酬明细!$H:$H,"&gt;="&amp;AZ$9,薪酬明细!$H:$H,"&lt;="&amp;AZ$10,薪酬明细!$A:$A,AZ$6)/10000</f>
        <v>11.3</v>
      </c>
      <c r="BA58" s="121">
        <f>SUMIFS(薪酬明细!$M:$M,薪酬明细!$D:$D,$E58,薪酬明细!$E:$E,$F58,薪酬明细!$H:$H,"&gt;="&amp;BA$9,薪酬明细!$H:$H,"&lt;="&amp;BA$10,薪酬明细!$A:$A,BA$6)/10000</f>
        <v>11.3</v>
      </c>
      <c r="BB58" s="121">
        <f>SUMIFS(薪酬明细!$M:$M,薪酬明细!$D:$D,$E58,薪酬明细!$E:$E,$F58,薪酬明细!$H:$H,"&gt;="&amp;BB$9,薪酬明细!$H:$H,"&lt;="&amp;BB$10,薪酬明细!$A:$A,BB$6)/10000</f>
        <v>11.4</v>
      </c>
      <c r="BC58" s="121">
        <f>SUMIFS(薪酬明细!$M:$M,薪酬明细!$D:$D,$E58,薪酬明细!$E:$E,$F58,薪酬明细!$H:$H,"&gt;="&amp;BC$9,薪酬明细!$H:$H,"&lt;="&amp;BC$10,薪酬明细!$A:$A,BC$6)/10000</f>
        <v>11.4</v>
      </c>
      <c r="BD58" s="121">
        <f>SUMIFS(薪酬明细!$M:$M,薪酬明细!$D:$D,$E58,薪酬明细!$E:$E,$F58,薪酬明细!$H:$H,"&gt;="&amp;BD$9,薪酬明细!$H:$H,"&lt;="&amp;BD$10,薪酬明细!$A:$A,BD$6)/10000</f>
        <v>11.3</v>
      </c>
      <c r="BE58" s="121">
        <f>SUMIFS(薪酬明细!$M:$M,薪酬明细!$D:$D,$E58,薪酬明细!$E:$E,$F58,薪酬明细!$H:$H,"&gt;="&amp;BE$9,薪酬明细!$H:$H,"&lt;="&amp;BE$10,薪酬明细!$A:$A,BE$6)/10000</f>
        <v>11.3</v>
      </c>
      <c r="BF58" s="121">
        <f>SUMIFS(薪酬明细!$M:$M,薪酬明细!$D:$D,$E58,薪酬明细!$E:$E,$F58,薪酬明细!$H:$H,"&gt;="&amp;BF$9,薪酬明细!$H:$H,"&lt;="&amp;BF$10,薪酬明细!$A:$A,BF$6)/10000</f>
        <v>11.4</v>
      </c>
      <c r="BG58" s="121">
        <f>SUMIFS(薪酬明细!$M:$M,薪酬明细!$D:$D,$E58,薪酬明细!$E:$E,$F58,薪酬明细!$H:$H,"&gt;="&amp;BG$9,薪酬明细!$H:$H,"&lt;="&amp;BG$10,薪酬明细!$A:$A,BG$6)/10000</f>
        <v>11.3</v>
      </c>
    </row>
    <row r="59" ht="16.2" spans="3:59">
      <c r="C59" s="42"/>
      <c r="D59" s="42" t="s">
        <v>80</v>
      </c>
      <c r="E59" s="116" t="str">
        <f t="shared" ref="E59:E69" si="87">IF(C59&lt;&gt;"",C59,E58)</f>
        <v>流程中心</v>
      </c>
      <c r="F59" s="116" t="str">
        <f t="shared" ref="F59:F69" si="88">IF(D59&lt;&gt;"",D59,"*")</f>
        <v>销售中心</v>
      </c>
      <c r="G59" s="121">
        <f>SUMIFS(薪酬明细!$M:$M,薪酬明细!$D:$D,$E59,薪酬明细!$E:$E,$F59,薪酬明细!$H:$H,"&gt;="&amp;G$9,薪酬明细!$H:$H,"&lt;="&amp;G$10,薪酬明细!$A:$A,G$6)/10000</f>
        <v>53</v>
      </c>
      <c r="H59" s="121">
        <f>SUMIFS(薪酬明细!$M:$M,薪酬明细!$D:$D,$E59,薪酬明细!$E:$E,$F59,薪酬明细!$H:$H,"&gt;="&amp;H$9,薪酬明细!$H:$H,"&lt;="&amp;H$10,薪酬明细!$A:$A,H$6)/10000</f>
        <v>4.4</v>
      </c>
      <c r="I59" s="121">
        <f>SUMIFS(薪酬明细!$M:$M,薪酬明细!$D:$D,$E59,薪酬明细!$E:$E,$F59,薪酬明细!$H:$H,"&gt;="&amp;I$9,薪酬明细!$H:$H,"&lt;="&amp;I$10,薪酬明细!$A:$A,I$6)/10000</f>
        <v>4.4</v>
      </c>
      <c r="J59" s="121">
        <f>SUMIFS(薪酬明细!$M:$M,薪酬明细!$D:$D,$E59,薪酬明细!$E:$E,$F59,薪酬明细!$H:$H,"&gt;="&amp;J$9,薪酬明细!$H:$H,"&lt;="&amp;J$10,薪酬明细!$A:$A,J$6)/10000</f>
        <v>4.4</v>
      </c>
      <c r="K59" s="121">
        <f>SUMIFS(薪酬明细!$M:$M,薪酬明细!$D:$D,$E59,薪酬明细!$E:$E,$F59,薪酬明细!$H:$H,"&gt;="&amp;K$9,薪酬明细!$H:$H,"&lt;="&amp;K$10,薪酬明细!$A:$A,K$6)/10000</f>
        <v>4.4</v>
      </c>
      <c r="L59" s="121">
        <f>SUMIFS(薪酬明细!$M:$M,薪酬明细!$D:$D,$E59,薪酬明细!$E:$E,$F59,薪酬明细!$H:$H,"&gt;="&amp;L$9,薪酬明细!$H:$H,"&lt;="&amp;L$10,薪酬明细!$A:$A,L$6)/10000</f>
        <v>4.4</v>
      </c>
      <c r="M59" s="121">
        <f>SUMIFS(薪酬明细!$M:$M,薪酬明细!$D:$D,$E59,薪酬明细!$E:$E,$F59,薪酬明细!$H:$H,"&gt;="&amp;M$9,薪酬明细!$H:$H,"&lt;="&amp;M$10,薪酬明细!$A:$A,M$6)/10000</f>
        <v>4.4</v>
      </c>
      <c r="N59" s="121">
        <f>SUMIFS(薪酬明细!$M:$M,薪酬明细!$D:$D,$E59,薪酬明细!$E:$E,$F59,薪酬明细!$H:$H,"&gt;="&amp;N$9,薪酬明细!$H:$H,"&lt;="&amp;N$10,薪酬明细!$A:$A,N$6)/10000</f>
        <v>4.4</v>
      </c>
      <c r="O59" s="121">
        <f>SUMIFS(薪酬明细!$M:$M,薪酬明细!$D:$D,$E59,薪酬明细!$E:$E,$F59,薪酬明细!$H:$H,"&gt;="&amp;O$9,薪酬明细!$H:$H,"&lt;="&amp;O$10,薪酬明细!$A:$A,O$6)/10000</f>
        <v>4.4</v>
      </c>
      <c r="P59" s="121">
        <f>SUMIFS(薪酬明细!$M:$M,薪酬明细!$D:$D,$E59,薪酬明细!$E:$E,$F59,薪酬明细!$H:$H,"&gt;="&amp;P$9,薪酬明细!$H:$H,"&lt;="&amp;P$10,薪酬明细!$A:$A,P$6)/10000</f>
        <v>4.4</v>
      </c>
      <c r="Q59" s="121">
        <f>SUMIFS(薪酬明细!$M:$M,薪酬明细!$D:$D,$E59,薪酬明细!$E:$E,$F59,薪酬明细!$H:$H,"&gt;="&amp;Q$9,薪酬明细!$H:$H,"&lt;="&amp;Q$10,薪酬明细!$A:$A,Q$6)/10000</f>
        <v>4.4</v>
      </c>
      <c r="R59" s="121">
        <f>SUMIFS(薪酬明细!$M:$M,薪酬明细!$D:$D,$E59,薪酬明细!$E:$E,$F59,薪酬明细!$H:$H,"&gt;="&amp;R$9,薪酬明细!$H:$H,"&lt;="&amp;R$10,薪酬明细!$A:$A,R$6)/10000</f>
        <v>4.4</v>
      </c>
      <c r="S59" s="121">
        <f>SUMIFS(薪酬明细!$M:$M,薪酬明细!$D:$D,$E59,薪酬明细!$E:$E,$F59,薪酬明细!$H:$H,"&gt;="&amp;S$9,薪酬明细!$H:$H,"&lt;="&amp;S$10,薪酬明细!$A:$A,S$6)/10000</f>
        <v>4.4</v>
      </c>
      <c r="T59" s="125">
        <f t="shared" ref="T59:T69" si="89">U59+AH59</f>
        <v>53</v>
      </c>
      <c r="U59" s="121">
        <f>SUMIFS(薪酬明细!$M:$M,薪酬明细!$D:$D,$E59,薪酬明细!$E:$E,$F59,薪酬明细!$H:$H,"&gt;="&amp;U$9,薪酬明细!$H:$H,"&lt;="&amp;U$10,薪酬明细!$A:$A,U$6)/10000</f>
        <v>39.7</v>
      </c>
      <c r="V59" s="121">
        <f>SUMIFS(薪酬明细!$M:$M,薪酬明细!$D:$D,$E59,薪酬明细!$E:$E,$F59,薪酬明细!$H:$H,"&gt;="&amp;V$9,薪酬明细!$H:$H,"&lt;="&amp;V$10,薪酬明细!$A:$A,V$6)/10000</f>
        <v>4.4</v>
      </c>
      <c r="W59" s="121">
        <f>SUMIFS(薪酬明细!$M:$M,薪酬明细!$D:$D,$E59,薪酬明细!$E:$E,$F59,薪酬明细!$H:$H,"&gt;="&amp;W$9,薪酬明细!$H:$H,"&lt;="&amp;W$10,薪酬明细!$A:$A,W$6)/10000</f>
        <v>4.4</v>
      </c>
      <c r="X59" s="121">
        <f>SUMIFS(薪酬明细!$M:$M,薪酬明细!$D:$D,$E59,薪酬明细!$E:$E,$F59,薪酬明细!$H:$H,"&gt;="&amp;X$9,薪酬明细!$H:$H,"&lt;="&amp;X$10,薪酬明细!$A:$A,X$6)/10000</f>
        <v>4.4</v>
      </c>
      <c r="Y59" s="121">
        <f>SUMIFS(薪酬明细!$M:$M,薪酬明细!$D:$D,$E59,薪酬明细!$E:$E,$F59,薪酬明细!$H:$H,"&gt;="&amp;Y$9,薪酬明细!$H:$H,"&lt;="&amp;Y$10,薪酬明细!$A:$A,Y$6)/10000</f>
        <v>4.4</v>
      </c>
      <c r="Z59" s="121">
        <f>SUMIFS(薪酬明细!$M:$M,薪酬明细!$D:$D,$E59,薪酬明细!$E:$E,$F59,薪酬明细!$H:$H,"&gt;="&amp;Z$9,薪酬明细!$H:$H,"&lt;="&amp;Z$10,薪酬明细!$A:$A,Z$6)/10000</f>
        <v>4.4</v>
      </c>
      <c r="AA59" s="121">
        <f>SUMIFS(薪酬明细!$M:$M,薪酬明细!$D:$D,$E59,薪酬明细!$E:$E,$F59,薪酬明细!$H:$H,"&gt;="&amp;AA$9,薪酬明细!$H:$H,"&lt;="&amp;AA$10,薪酬明细!$A:$A,AA$6)/10000</f>
        <v>4.5</v>
      </c>
      <c r="AB59" s="121">
        <f>SUMIFS(薪酬明细!$M:$M,薪酬明细!$D:$D,$E59,薪酬明细!$E:$E,$F59,薪酬明细!$H:$H,"&gt;="&amp;AB$9,薪酬明细!$H:$H,"&lt;="&amp;AB$10,薪酬明细!$A:$A,AB$6)/10000</f>
        <v>4.4</v>
      </c>
      <c r="AC59" s="121">
        <f>SUMIFS(薪酬明细!$M:$M,薪酬明细!$D:$D,$E59,薪酬明细!$E:$E,$F59,薪酬明细!$H:$H,"&gt;="&amp;AC$9,薪酬明细!$H:$H,"&lt;="&amp;AC$10,薪酬明细!$A:$A,AC$6)/10000</f>
        <v>4.4</v>
      </c>
      <c r="AD59" s="121">
        <f>SUMIFS(薪酬明细!$M:$M,薪酬明细!$D:$D,$E59,薪酬明细!$E:$E,$F59,薪酬明细!$H:$H,"&gt;="&amp;AD$9,薪酬明细!$H:$H,"&lt;="&amp;AD$10,薪酬明细!$A:$A,AD$6)/10000</f>
        <v>4.4</v>
      </c>
      <c r="AE59" s="121">
        <f>SUMIFS(薪酬明细!$M:$M,薪酬明细!$D:$D,$E59,薪酬明细!$E:$E,$F59,薪酬明细!$H:$H,"&gt;="&amp;AE$9,薪酬明细!$H:$H,"&lt;="&amp;AE$10,薪酬明细!$A:$A,AE$6)/10000</f>
        <v>0</v>
      </c>
      <c r="AF59" s="121">
        <f>SUMIFS(薪酬明细!$M:$M,薪酬明细!$D:$D,$E59,薪酬明细!$E:$E,$F59,薪酬明细!$H:$H,"&gt;="&amp;AF$9,薪酬明细!$H:$H,"&lt;="&amp;AF$10,薪酬明细!$A:$A,AF$6)/10000</f>
        <v>0</v>
      </c>
      <c r="AG59" s="121">
        <f>SUMIFS(薪酬明细!$M:$M,薪酬明细!$D:$D,$E59,薪酬明细!$E:$E,$F59,薪酬明细!$H:$H,"&gt;="&amp;AG$9,薪酬明细!$H:$H,"&lt;="&amp;AG$10,薪酬明细!$A:$A,AG$6)/10000</f>
        <v>0</v>
      </c>
      <c r="AH59" s="121">
        <f>SUMIFS(薪酬明细!$M:$M,薪酬明细!$D:$D,$E59,薪酬明细!$E:$E,$F59,薪酬明细!$H:$H,"&gt;="&amp;AH$9,薪酬明细!$H:$H,"&lt;="&amp;AH$10,薪酬明细!$A:$A,AH$6)/10000</f>
        <v>13.3</v>
      </c>
      <c r="AI59" s="121">
        <f>SUMIFS(薪酬明细!$M:$M,薪酬明细!$D:$D,$E59,薪酬明细!$E:$E,$F59,薪酬明细!$H:$H,"&gt;="&amp;AI$9,薪酬明细!$H:$H,"&lt;="&amp;AI$10,薪酬明细!$A:$A,AI$6)/10000</f>
        <v>0</v>
      </c>
      <c r="AJ59" s="121">
        <f>SUMIFS(薪酬明细!$M:$M,薪酬明细!$D:$D,$E59,薪酬明细!$E:$E,$F59,薪酬明细!$H:$H,"&gt;="&amp;AJ$9,薪酬明细!$H:$H,"&lt;="&amp;AJ$10,薪酬明细!$A:$A,AJ$6)/10000</f>
        <v>0</v>
      </c>
      <c r="AK59" s="121">
        <f>SUMIFS(薪酬明细!$M:$M,薪酬明细!$D:$D,$E59,薪酬明细!$E:$E,$F59,薪酬明细!$H:$H,"&gt;="&amp;AK$9,薪酬明细!$H:$H,"&lt;="&amp;AK$10,薪酬明细!$A:$A,AK$6)/10000</f>
        <v>0</v>
      </c>
      <c r="AL59" s="121">
        <f>SUMIFS(薪酬明细!$M:$M,薪酬明细!$D:$D,$E59,薪酬明细!$E:$E,$F59,薪酬明细!$H:$H,"&gt;="&amp;AL$9,薪酬明细!$H:$H,"&lt;="&amp;AL$10,薪酬明细!$A:$A,AL$6)/10000</f>
        <v>0</v>
      </c>
      <c r="AM59" s="121">
        <f>SUMIFS(薪酬明细!$M:$M,薪酬明细!$D:$D,$E59,薪酬明细!$E:$E,$F59,薪酬明细!$H:$H,"&gt;="&amp;AM$9,薪酬明细!$H:$H,"&lt;="&amp;AM$10,薪酬明细!$A:$A,AM$6)/10000</f>
        <v>0</v>
      </c>
      <c r="AN59" s="121">
        <f>SUMIFS(薪酬明细!$M:$M,薪酬明细!$D:$D,$E59,薪酬明细!$E:$E,$F59,薪酬明细!$H:$H,"&gt;="&amp;AN$9,薪酬明细!$H:$H,"&lt;="&amp;AN$10,薪酬明细!$A:$A,AN$6)/10000</f>
        <v>0</v>
      </c>
      <c r="AO59" s="121">
        <f>SUMIFS(薪酬明细!$M:$M,薪酬明细!$D:$D,$E59,薪酬明细!$E:$E,$F59,薪酬明细!$H:$H,"&gt;="&amp;AO$9,薪酬明细!$H:$H,"&lt;="&amp;AO$10,薪酬明细!$A:$A,AO$6)/10000</f>
        <v>0</v>
      </c>
      <c r="AP59" s="121">
        <f>SUMIFS(薪酬明细!$M:$M,薪酬明细!$D:$D,$E59,薪酬明细!$E:$E,$F59,薪酬明细!$H:$H,"&gt;="&amp;AP$9,薪酬明细!$H:$H,"&lt;="&amp;AP$10,薪酬明细!$A:$A,AP$6)/10000</f>
        <v>0</v>
      </c>
      <c r="AQ59" s="121">
        <f>SUMIFS(薪酬明细!$M:$M,薪酬明细!$D:$D,$E59,薪酬明细!$E:$E,$F59,薪酬明细!$H:$H,"&gt;="&amp;AQ$9,薪酬明细!$H:$H,"&lt;="&amp;AQ$10,薪酬明细!$A:$A,AQ$6)/10000</f>
        <v>0</v>
      </c>
      <c r="AR59" s="121">
        <f>SUMIFS(薪酬明细!$M:$M,薪酬明细!$D:$D,$E59,薪酬明细!$E:$E,$F59,薪酬明细!$H:$H,"&gt;="&amp;AR$9,薪酬明细!$H:$H,"&lt;="&amp;AR$10,薪酬明细!$A:$A,AR$6)/10000</f>
        <v>4.5</v>
      </c>
      <c r="AS59" s="121">
        <f>SUMIFS(薪酬明细!$M:$M,薪酬明细!$D:$D,$E59,薪酬明细!$E:$E,$F59,薪酬明细!$H:$H,"&gt;="&amp;AS$9,薪酬明细!$H:$H,"&lt;="&amp;AS$10,薪酬明细!$A:$A,AS$6)/10000</f>
        <v>4.4</v>
      </c>
      <c r="AT59" s="121">
        <f>SUMIFS(薪酬明细!$M:$M,薪酬明细!$D:$D,$E59,薪酬明细!$E:$E,$F59,薪酬明细!$H:$H,"&gt;="&amp;AT$9,薪酬明细!$H:$H,"&lt;="&amp;AT$10,薪酬明细!$A:$A,AT$6)/10000</f>
        <v>4.4</v>
      </c>
      <c r="AU59" s="121">
        <f>SUMIFS(薪酬明细!$M:$M,薪酬明细!$D:$D,$E59,薪酬明细!$E:$E,$F59,薪酬明细!$H:$H,"&gt;="&amp;AU$9,薪酬明细!$H:$H,"&lt;="&amp;AU$10,薪酬明细!$A:$A,AU$6)/10000</f>
        <v>52.9</v>
      </c>
      <c r="AV59" s="121">
        <f>SUMIFS(薪酬明细!$M:$M,薪酬明细!$D:$D,$E59,薪酬明细!$E:$E,$F59,薪酬明细!$H:$H,"&gt;="&amp;AV$9,薪酬明细!$H:$H,"&lt;="&amp;AV$10,薪酬明细!$A:$A,AV$6)/10000</f>
        <v>4.4</v>
      </c>
      <c r="AW59" s="121">
        <f>SUMIFS(薪酬明细!$M:$M,薪酬明细!$D:$D,$E59,薪酬明细!$E:$E,$F59,薪酬明细!$H:$H,"&gt;="&amp;AW$9,薪酬明细!$H:$H,"&lt;="&amp;AW$10,薪酬明细!$A:$A,AW$6)/10000</f>
        <v>4.4</v>
      </c>
      <c r="AX59" s="121">
        <f>SUMIFS(薪酬明细!$M:$M,薪酬明细!$D:$D,$E59,薪酬明细!$E:$E,$F59,薪酬明细!$H:$H,"&gt;="&amp;AX$9,薪酬明细!$H:$H,"&lt;="&amp;AX$10,薪酬明细!$A:$A,AX$6)/10000</f>
        <v>4.4</v>
      </c>
      <c r="AY59" s="121">
        <f>SUMIFS(薪酬明细!$M:$M,薪酬明细!$D:$D,$E59,薪酬明细!$E:$E,$F59,薪酬明细!$H:$H,"&gt;="&amp;AY$9,薪酬明细!$H:$H,"&lt;="&amp;AY$10,薪酬明细!$A:$A,AY$6)/10000</f>
        <v>4.4</v>
      </c>
      <c r="AZ59" s="121">
        <f>SUMIFS(薪酬明细!$M:$M,薪酬明细!$D:$D,$E59,薪酬明细!$E:$E,$F59,薪酬明细!$H:$H,"&gt;="&amp;AZ$9,薪酬明细!$H:$H,"&lt;="&amp;AZ$10,薪酬明细!$A:$A,AZ$6)/10000</f>
        <v>4.5</v>
      </c>
      <c r="BA59" s="121">
        <f>SUMIFS(薪酬明细!$M:$M,薪酬明细!$D:$D,$E59,薪酬明细!$E:$E,$F59,薪酬明细!$H:$H,"&gt;="&amp;BA$9,薪酬明细!$H:$H,"&lt;="&amp;BA$10,薪酬明细!$A:$A,BA$6)/10000</f>
        <v>4.4</v>
      </c>
      <c r="BB59" s="121">
        <f>SUMIFS(薪酬明细!$M:$M,薪酬明细!$D:$D,$E59,薪酬明细!$E:$E,$F59,薪酬明细!$H:$H,"&gt;="&amp;BB$9,薪酬明细!$H:$H,"&lt;="&amp;BB$10,薪酬明细!$A:$A,BB$6)/10000</f>
        <v>4.4</v>
      </c>
      <c r="BC59" s="121">
        <f>SUMIFS(薪酬明细!$M:$M,薪酬明细!$D:$D,$E59,薪酬明细!$E:$E,$F59,薪酬明细!$H:$H,"&gt;="&amp;BC$9,薪酬明细!$H:$H,"&lt;="&amp;BC$10,薪酬明细!$A:$A,BC$6)/10000</f>
        <v>4.4</v>
      </c>
      <c r="BD59" s="121">
        <f>SUMIFS(薪酬明细!$M:$M,薪酬明细!$D:$D,$E59,薪酬明细!$E:$E,$F59,薪酬明细!$H:$H,"&gt;="&amp;BD$9,薪酬明细!$H:$H,"&lt;="&amp;BD$10,薪酬明细!$A:$A,BD$6)/10000</f>
        <v>4.4</v>
      </c>
      <c r="BE59" s="121">
        <f>SUMIFS(薪酬明细!$M:$M,薪酬明细!$D:$D,$E59,薪酬明细!$E:$E,$F59,薪酬明细!$H:$H,"&gt;="&amp;BE$9,薪酬明细!$H:$H,"&lt;="&amp;BE$10,薪酬明细!$A:$A,BE$6)/10000</f>
        <v>4.4</v>
      </c>
      <c r="BF59" s="121">
        <f>SUMIFS(薪酬明细!$M:$M,薪酬明细!$D:$D,$E59,薪酬明细!$E:$E,$F59,薪酬明细!$H:$H,"&gt;="&amp;BF$9,薪酬明细!$H:$H,"&lt;="&amp;BF$10,薪酬明细!$A:$A,BF$6)/10000</f>
        <v>4.5</v>
      </c>
      <c r="BG59" s="121">
        <f>SUMIFS(薪酬明细!$M:$M,薪酬明细!$D:$D,$E59,薪酬明细!$E:$E,$F59,薪酬明细!$H:$H,"&gt;="&amp;BG$9,薪酬明细!$H:$H,"&lt;="&amp;BG$10,薪酬明细!$A:$A,BG$6)/10000</f>
        <v>4.4</v>
      </c>
    </row>
    <row r="60" ht="16.2" spans="3:59">
      <c r="C60" s="42"/>
      <c r="D60" s="42" t="s">
        <v>81</v>
      </c>
      <c r="E60" s="116" t="str">
        <f t="shared" si="87"/>
        <v>流程中心</v>
      </c>
      <c r="F60" s="116" t="str">
        <f t="shared" si="88"/>
        <v>制造中心</v>
      </c>
      <c r="G60" s="121">
        <f>SUMIFS(薪酬明细!$M:$M,薪酬明细!$D:$D,$E60,薪酬明细!$E:$E,$F60,薪酬明细!$H:$H,"&gt;="&amp;G$9,薪酬明细!$H:$H,"&lt;="&amp;G$10,薪酬明细!$A:$A,G$6)/10000</f>
        <v>83.1</v>
      </c>
      <c r="H60" s="121">
        <f>SUMIFS(薪酬明细!$M:$M,薪酬明细!$D:$D,$E60,薪酬明细!$E:$E,$F60,薪酬明细!$H:$H,"&gt;="&amp;H$9,薪酬明细!$H:$H,"&lt;="&amp;H$10,薪酬明细!$A:$A,H$6)/10000</f>
        <v>6.9</v>
      </c>
      <c r="I60" s="121">
        <f>SUMIFS(薪酬明细!$M:$M,薪酬明细!$D:$D,$E60,薪酬明细!$E:$E,$F60,薪酬明细!$H:$H,"&gt;="&amp;I$9,薪酬明细!$H:$H,"&lt;="&amp;I$10,薪酬明细!$A:$A,I$6)/10000</f>
        <v>7</v>
      </c>
      <c r="J60" s="121">
        <f>SUMIFS(薪酬明细!$M:$M,薪酬明细!$D:$D,$E60,薪酬明细!$E:$E,$F60,薪酬明细!$H:$H,"&gt;="&amp;J$9,薪酬明细!$H:$H,"&lt;="&amp;J$10,薪酬明细!$A:$A,J$6)/10000</f>
        <v>6.9</v>
      </c>
      <c r="K60" s="121">
        <f>SUMIFS(薪酬明细!$M:$M,薪酬明细!$D:$D,$E60,薪酬明细!$E:$E,$F60,薪酬明细!$H:$H,"&gt;="&amp;K$9,薪酬明细!$H:$H,"&lt;="&amp;K$10,薪酬明细!$A:$A,K$6)/10000</f>
        <v>6.9</v>
      </c>
      <c r="L60" s="121">
        <f>SUMIFS(薪酬明细!$M:$M,薪酬明细!$D:$D,$E60,薪酬明细!$E:$E,$F60,薪酬明细!$H:$H,"&gt;="&amp;L$9,薪酬明细!$H:$H,"&lt;="&amp;L$10,薪酬明细!$A:$A,L$6)/10000</f>
        <v>6.9</v>
      </c>
      <c r="M60" s="121">
        <f>SUMIFS(薪酬明细!$M:$M,薪酬明细!$D:$D,$E60,薪酬明细!$E:$E,$F60,薪酬明细!$H:$H,"&gt;="&amp;M$9,薪酬明细!$H:$H,"&lt;="&amp;M$10,薪酬明细!$A:$A,M$6)/10000</f>
        <v>7</v>
      </c>
      <c r="N60" s="121">
        <f>SUMIFS(薪酬明细!$M:$M,薪酬明细!$D:$D,$E60,薪酬明细!$E:$E,$F60,薪酬明细!$H:$H,"&gt;="&amp;N$9,薪酬明细!$H:$H,"&lt;="&amp;N$10,薪酬明细!$A:$A,N$6)/10000</f>
        <v>6.9</v>
      </c>
      <c r="O60" s="121">
        <f>SUMIFS(薪酬明细!$M:$M,薪酬明细!$D:$D,$E60,薪酬明细!$E:$E,$F60,薪酬明细!$H:$H,"&gt;="&amp;O$9,薪酬明细!$H:$H,"&lt;="&amp;O$10,薪酬明细!$A:$A,O$6)/10000</f>
        <v>6.9</v>
      </c>
      <c r="P60" s="121">
        <f>SUMIFS(薪酬明细!$M:$M,薪酬明细!$D:$D,$E60,薪酬明细!$E:$E,$F60,薪酬明细!$H:$H,"&gt;="&amp;P$9,薪酬明细!$H:$H,"&lt;="&amp;P$10,薪酬明细!$A:$A,P$6)/10000</f>
        <v>7</v>
      </c>
      <c r="Q60" s="121">
        <f>SUMIFS(薪酬明细!$M:$M,薪酬明细!$D:$D,$E60,薪酬明细!$E:$E,$F60,薪酬明细!$H:$H,"&gt;="&amp;Q$9,薪酬明细!$H:$H,"&lt;="&amp;Q$10,薪酬明细!$A:$A,Q$6)/10000</f>
        <v>6.9</v>
      </c>
      <c r="R60" s="121">
        <f>SUMIFS(薪酬明细!$M:$M,薪酬明细!$D:$D,$E60,薪酬明细!$E:$E,$F60,薪酬明细!$H:$H,"&gt;="&amp;R$9,薪酬明细!$H:$H,"&lt;="&amp;R$10,薪酬明细!$A:$A,R$6)/10000</f>
        <v>6.9</v>
      </c>
      <c r="S60" s="121">
        <f>SUMIFS(薪酬明细!$M:$M,薪酬明细!$D:$D,$E60,薪酬明细!$E:$E,$F60,薪酬明细!$H:$H,"&gt;="&amp;S$9,薪酬明细!$H:$H,"&lt;="&amp;S$10,薪酬明细!$A:$A,S$6)/10000</f>
        <v>6.9</v>
      </c>
      <c r="T60" s="125">
        <f t="shared" si="89"/>
        <v>83.2</v>
      </c>
      <c r="U60" s="121">
        <f>SUMIFS(薪酬明细!$M:$M,薪酬明细!$D:$D,$E60,薪酬明细!$E:$E,$F60,薪酬明细!$H:$H,"&gt;="&amp;U$9,薪酬明细!$H:$H,"&lt;="&amp;U$10,薪酬明细!$A:$A,U$6)/10000</f>
        <v>62.4</v>
      </c>
      <c r="V60" s="121">
        <f>SUMIFS(薪酬明细!$M:$M,薪酬明细!$D:$D,$E60,薪酬明细!$E:$E,$F60,薪酬明细!$H:$H,"&gt;="&amp;V$9,薪酬明细!$H:$H,"&lt;="&amp;V$10,薪酬明细!$A:$A,V$6)/10000</f>
        <v>6.9</v>
      </c>
      <c r="W60" s="121">
        <f>SUMIFS(薪酬明细!$M:$M,薪酬明细!$D:$D,$E60,薪酬明细!$E:$E,$F60,薪酬明细!$H:$H,"&gt;="&amp;W$9,薪酬明细!$H:$H,"&lt;="&amp;W$10,薪酬明细!$A:$A,W$6)/10000</f>
        <v>6.9</v>
      </c>
      <c r="X60" s="121">
        <f>SUMIFS(薪酬明细!$M:$M,薪酬明细!$D:$D,$E60,薪酬明细!$E:$E,$F60,薪酬明细!$H:$H,"&gt;="&amp;X$9,薪酬明细!$H:$H,"&lt;="&amp;X$10,薪酬明细!$A:$A,X$6)/10000</f>
        <v>6.9</v>
      </c>
      <c r="Y60" s="121">
        <f>SUMIFS(薪酬明细!$M:$M,薪酬明细!$D:$D,$E60,薪酬明细!$E:$E,$F60,薪酬明细!$H:$H,"&gt;="&amp;Y$9,薪酬明细!$H:$H,"&lt;="&amp;Y$10,薪酬明细!$A:$A,Y$6)/10000</f>
        <v>6.9</v>
      </c>
      <c r="Z60" s="121">
        <f>SUMIFS(薪酬明细!$M:$M,薪酬明细!$D:$D,$E60,薪酬明细!$E:$E,$F60,薪酬明细!$H:$H,"&gt;="&amp;Z$9,薪酬明细!$H:$H,"&lt;="&amp;Z$10,薪酬明细!$A:$A,Z$6)/10000</f>
        <v>6.9</v>
      </c>
      <c r="AA60" s="121">
        <f>SUMIFS(薪酬明细!$M:$M,薪酬明细!$D:$D,$E60,薪酬明细!$E:$E,$F60,薪酬明细!$H:$H,"&gt;="&amp;AA$9,薪酬明细!$H:$H,"&lt;="&amp;AA$10,薪酬明细!$A:$A,AA$6)/10000</f>
        <v>6.9</v>
      </c>
      <c r="AB60" s="121">
        <f>SUMIFS(薪酬明细!$M:$M,薪酬明细!$D:$D,$E60,薪酬明细!$E:$E,$F60,薪酬明细!$H:$H,"&gt;="&amp;AB$9,薪酬明细!$H:$H,"&lt;="&amp;AB$10,薪酬明细!$A:$A,AB$6)/10000</f>
        <v>7</v>
      </c>
      <c r="AC60" s="121">
        <f>SUMIFS(薪酬明细!$M:$M,薪酬明细!$D:$D,$E60,薪酬明细!$E:$E,$F60,薪酬明细!$H:$H,"&gt;="&amp;AC$9,薪酬明细!$H:$H,"&lt;="&amp;AC$10,薪酬明细!$A:$A,AC$6)/10000</f>
        <v>7</v>
      </c>
      <c r="AD60" s="121">
        <f>SUMIFS(薪酬明细!$M:$M,薪酬明细!$D:$D,$E60,薪酬明细!$E:$E,$F60,薪酬明细!$H:$H,"&gt;="&amp;AD$9,薪酬明细!$H:$H,"&lt;="&amp;AD$10,薪酬明细!$A:$A,AD$6)/10000</f>
        <v>7</v>
      </c>
      <c r="AE60" s="121">
        <f>SUMIFS(薪酬明细!$M:$M,薪酬明细!$D:$D,$E60,薪酬明细!$E:$E,$F60,薪酬明细!$H:$H,"&gt;="&amp;AE$9,薪酬明细!$H:$H,"&lt;="&amp;AE$10,薪酬明细!$A:$A,AE$6)/10000</f>
        <v>0</v>
      </c>
      <c r="AF60" s="121">
        <f>SUMIFS(薪酬明细!$M:$M,薪酬明细!$D:$D,$E60,薪酬明细!$E:$E,$F60,薪酬明细!$H:$H,"&gt;="&amp;AF$9,薪酬明细!$H:$H,"&lt;="&amp;AF$10,薪酬明细!$A:$A,AF$6)/10000</f>
        <v>0</v>
      </c>
      <c r="AG60" s="121">
        <f>SUMIFS(薪酬明细!$M:$M,薪酬明细!$D:$D,$E60,薪酬明细!$E:$E,$F60,薪酬明细!$H:$H,"&gt;="&amp;AG$9,薪酬明细!$H:$H,"&lt;="&amp;AG$10,薪酬明细!$A:$A,AG$6)/10000</f>
        <v>0</v>
      </c>
      <c r="AH60" s="121">
        <f>SUMIFS(薪酬明细!$M:$M,薪酬明细!$D:$D,$E60,薪酬明细!$E:$E,$F60,薪酬明细!$H:$H,"&gt;="&amp;AH$9,薪酬明细!$H:$H,"&lt;="&amp;AH$10,薪酬明细!$A:$A,AH$6)/10000</f>
        <v>20.8</v>
      </c>
      <c r="AI60" s="121">
        <f>SUMIFS(薪酬明细!$M:$M,薪酬明细!$D:$D,$E60,薪酬明细!$E:$E,$F60,薪酬明细!$H:$H,"&gt;="&amp;AI$9,薪酬明细!$H:$H,"&lt;="&amp;AI$10,薪酬明细!$A:$A,AI$6)/10000</f>
        <v>0</v>
      </c>
      <c r="AJ60" s="121">
        <f>SUMIFS(薪酬明细!$M:$M,薪酬明细!$D:$D,$E60,薪酬明细!$E:$E,$F60,薪酬明细!$H:$H,"&gt;="&amp;AJ$9,薪酬明细!$H:$H,"&lt;="&amp;AJ$10,薪酬明细!$A:$A,AJ$6)/10000</f>
        <v>0</v>
      </c>
      <c r="AK60" s="121">
        <f>SUMIFS(薪酬明细!$M:$M,薪酬明细!$D:$D,$E60,薪酬明细!$E:$E,$F60,薪酬明细!$H:$H,"&gt;="&amp;AK$9,薪酬明细!$H:$H,"&lt;="&amp;AK$10,薪酬明细!$A:$A,AK$6)/10000</f>
        <v>0</v>
      </c>
      <c r="AL60" s="121">
        <f>SUMIFS(薪酬明细!$M:$M,薪酬明细!$D:$D,$E60,薪酬明细!$E:$E,$F60,薪酬明细!$H:$H,"&gt;="&amp;AL$9,薪酬明细!$H:$H,"&lt;="&amp;AL$10,薪酬明细!$A:$A,AL$6)/10000</f>
        <v>0</v>
      </c>
      <c r="AM60" s="121">
        <f>SUMIFS(薪酬明细!$M:$M,薪酬明细!$D:$D,$E60,薪酬明细!$E:$E,$F60,薪酬明细!$H:$H,"&gt;="&amp;AM$9,薪酬明细!$H:$H,"&lt;="&amp;AM$10,薪酬明细!$A:$A,AM$6)/10000</f>
        <v>0</v>
      </c>
      <c r="AN60" s="121">
        <f>SUMIFS(薪酬明细!$M:$M,薪酬明细!$D:$D,$E60,薪酬明细!$E:$E,$F60,薪酬明细!$H:$H,"&gt;="&amp;AN$9,薪酬明细!$H:$H,"&lt;="&amp;AN$10,薪酬明细!$A:$A,AN$6)/10000</f>
        <v>0</v>
      </c>
      <c r="AO60" s="121">
        <f>SUMIFS(薪酬明细!$M:$M,薪酬明细!$D:$D,$E60,薪酬明细!$E:$E,$F60,薪酬明细!$H:$H,"&gt;="&amp;AO$9,薪酬明细!$H:$H,"&lt;="&amp;AO$10,薪酬明细!$A:$A,AO$6)/10000</f>
        <v>0</v>
      </c>
      <c r="AP60" s="121">
        <f>SUMIFS(薪酬明细!$M:$M,薪酬明细!$D:$D,$E60,薪酬明细!$E:$E,$F60,薪酬明细!$H:$H,"&gt;="&amp;AP$9,薪酬明细!$H:$H,"&lt;="&amp;AP$10,薪酬明细!$A:$A,AP$6)/10000</f>
        <v>0</v>
      </c>
      <c r="AQ60" s="121">
        <f>SUMIFS(薪酬明细!$M:$M,薪酬明细!$D:$D,$E60,薪酬明细!$E:$E,$F60,薪酬明细!$H:$H,"&gt;="&amp;AQ$9,薪酬明细!$H:$H,"&lt;="&amp;AQ$10,薪酬明细!$A:$A,AQ$6)/10000</f>
        <v>0</v>
      </c>
      <c r="AR60" s="121">
        <f>SUMIFS(薪酬明细!$M:$M,薪酬明细!$D:$D,$E60,薪酬明细!$E:$E,$F60,薪酬明细!$H:$H,"&gt;="&amp;AR$9,薪酬明细!$H:$H,"&lt;="&amp;AR$10,薪酬明细!$A:$A,AR$6)/10000</f>
        <v>7</v>
      </c>
      <c r="AS60" s="121">
        <f>SUMIFS(薪酬明细!$M:$M,薪酬明细!$D:$D,$E60,薪酬明细!$E:$E,$F60,薪酬明细!$H:$H,"&gt;="&amp;AS$9,薪酬明细!$H:$H,"&lt;="&amp;AS$10,薪酬明细!$A:$A,AS$6)/10000</f>
        <v>6.9</v>
      </c>
      <c r="AT60" s="121">
        <f>SUMIFS(薪酬明细!$M:$M,薪酬明细!$D:$D,$E60,薪酬明细!$E:$E,$F60,薪酬明细!$H:$H,"&gt;="&amp;AT$9,薪酬明细!$H:$H,"&lt;="&amp;AT$10,薪酬明细!$A:$A,AT$6)/10000</f>
        <v>6.9</v>
      </c>
      <c r="AU60" s="121">
        <f>SUMIFS(薪酬明细!$M:$M,薪酬明细!$D:$D,$E60,薪酬明细!$E:$E,$F60,薪酬明细!$H:$H,"&gt;="&amp;AU$9,薪酬明细!$H:$H,"&lt;="&amp;AU$10,薪酬明细!$A:$A,AU$6)/10000</f>
        <v>83</v>
      </c>
      <c r="AV60" s="121">
        <f>SUMIFS(薪酬明细!$M:$M,薪酬明细!$D:$D,$E60,薪酬明细!$E:$E,$F60,薪酬明细!$H:$H,"&gt;="&amp;AV$9,薪酬明细!$H:$H,"&lt;="&amp;AV$10,薪酬明细!$A:$A,AV$6)/10000</f>
        <v>6.9</v>
      </c>
      <c r="AW60" s="121">
        <f>SUMIFS(薪酬明细!$M:$M,薪酬明细!$D:$D,$E60,薪酬明细!$E:$E,$F60,薪酬明细!$H:$H,"&gt;="&amp;AW$9,薪酬明细!$H:$H,"&lt;="&amp;AW$10,薪酬明细!$A:$A,AW$6)/10000</f>
        <v>6.9</v>
      </c>
      <c r="AX60" s="121">
        <f>SUMIFS(薪酬明细!$M:$M,薪酬明细!$D:$D,$E60,薪酬明细!$E:$E,$F60,薪酬明细!$H:$H,"&gt;="&amp;AX$9,薪酬明细!$H:$H,"&lt;="&amp;AX$10,薪酬明细!$A:$A,AX$6)/10000</f>
        <v>6.9</v>
      </c>
      <c r="AY60" s="121">
        <f>SUMIFS(薪酬明细!$M:$M,薪酬明细!$D:$D,$E60,薪酬明细!$E:$E,$F60,薪酬明细!$H:$H,"&gt;="&amp;AY$9,薪酬明细!$H:$H,"&lt;="&amp;AY$10,薪酬明细!$A:$A,AY$6)/10000</f>
        <v>6.9</v>
      </c>
      <c r="AZ60" s="121">
        <f>SUMIFS(薪酬明细!$M:$M,薪酬明细!$D:$D,$E60,薪酬明细!$E:$E,$F60,薪酬明细!$H:$H,"&gt;="&amp;AZ$9,薪酬明细!$H:$H,"&lt;="&amp;AZ$10,薪酬明细!$A:$A,AZ$6)/10000</f>
        <v>6.9</v>
      </c>
      <c r="BA60" s="121">
        <f>SUMIFS(薪酬明细!$M:$M,薪酬明细!$D:$D,$E60,薪酬明细!$E:$E,$F60,薪酬明细!$H:$H,"&gt;="&amp;BA$9,薪酬明细!$H:$H,"&lt;="&amp;BA$10,薪酬明细!$A:$A,BA$6)/10000</f>
        <v>6.9</v>
      </c>
      <c r="BB60" s="121">
        <f>SUMIFS(薪酬明细!$M:$M,薪酬明细!$D:$D,$E60,薪酬明细!$E:$E,$F60,薪酬明细!$H:$H,"&gt;="&amp;BB$9,薪酬明细!$H:$H,"&lt;="&amp;BB$10,薪酬明细!$A:$A,BB$6)/10000</f>
        <v>7</v>
      </c>
      <c r="BC60" s="121">
        <f>SUMIFS(薪酬明细!$M:$M,薪酬明细!$D:$D,$E60,薪酬明细!$E:$E,$F60,薪酬明细!$H:$H,"&gt;="&amp;BC$9,薪酬明细!$H:$H,"&lt;="&amp;BC$10,薪酬明细!$A:$A,BC$6)/10000</f>
        <v>6.9</v>
      </c>
      <c r="BD60" s="121">
        <f>SUMIFS(薪酬明细!$M:$M,薪酬明细!$D:$D,$E60,薪酬明细!$E:$E,$F60,薪酬明细!$H:$H,"&gt;="&amp;BD$9,薪酬明细!$H:$H,"&lt;="&amp;BD$10,薪酬明细!$A:$A,BD$6)/10000</f>
        <v>6.9</v>
      </c>
      <c r="BE60" s="121">
        <f>SUMIFS(薪酬明细!$M:$M,薪酬明细!$D:$D,$E60,薪酬明细!$E:$E,$F60,薪酬明细!$H:$H,"&gt;="&amp;BE$9,薪酬明细!$H:$H,"&lt;="&amp;BE$10,薪酬明细!$A:$A,BE$6)/10000</f>
        <v>6.9</v>
      </c>
      <c r="BF60" s="121">
        <f>SUMIFS(薪酬明细!$M:$M,薪酬明细!$D:$D,$E60,薪酬明细!$E:$E,$F60,薪酬明细!$H:$H,"&gt;="&amp;BF$9,薪酬明细!$H:$H,"&lt;="&amp;BF$10,薪酬明细!$A:$A,BF$6)/10000</f>
        <v>6.9</v>
      </c>
      <c r="BG60" s="121">
        <f>SUMIFS(薪酬明细!$M:$M,薪酬明细!$D:$D,$E60,薪酬明细!$E:$E,$F60,薪酬明细!$H:$H,"&gt;="&amp;BG$9,薪酬明细!$H:$H,"&lt;="&amp;BG$10,薪酬明细!$A:$A,BG$6)/10000</f>
        <v>6.9</v>
      </c>
    </row>
    <row r="61" ht="16.2" spans="3:59">
      <c r="C61" s="42" t="s">
        <v>82</v>
      </c>
      <c r="D61" s="42"/>
      <c r="E61" s="116" t="str">
        <f t="shared" si="87"/>
        <v>创新中心</v>
      </c>
      <c r="F61" s="116" t="str">
        <f t="shared" si="88"/>
        <v>*</v>
      </c>
      <c r="G61" s="121">
        <f>SUMIFS(薪酬明细!$M:$M,薪酬明细!$D:$D,$E61,薪酬明细!$E:$E,$F61,薪酬明细!$H:$H,"&gt;="&amp;G$9,薪酬明细!$H:$H,"&lt;="&amp;G$10,薪酬明细!$A:$A,G$6)/10000</f>
        <v>75.4</v>
      </c>
      <c r="H61" s="121">
        <f>SUMIFS(薪酬明细!$M:$M,薪酬明细!$D:$D,$E61,薪酬明细!$E:$E,$F61,薪酬明细!$H:$H,"&gt;="&amp;H$9,薪酬明细!$H:$H,"&lt;="&amp;H$10,薪酬明细!$A:$A,H$6)/10000</f>
        <v>6.3</v>
      </c>
      <c r="I61" s="121">
        <f>SUMIFS(薪酬明细!$M:$M,薪酬明细!$D:$D,$E61,薪酬明细!$E:$E,$F61,薪酬明细!$H:$H,"&gt;="&amp;I$9,薪酬明细!$H:$H,"&lt;="&amp;I$10,薪酬明细!$A:$A,I$6)/10000</f>
        <v>6.3</v>
      </c>
      <c r="J61" s="121">
        <f>SUMIFS(薪酬明细!$M:$M,薪酬明细!$D:$D,$E61,薪酬明细!$E:$E,$F61,薪酬明细!$H:$H,"&gt;="&amp;J$9,薪酬明细!$H:$H,"&lt;="&amp;J$10,薪酬明细!$A:$A,J$6)/10000</f>
        <v>6.4</v>
      </c>
      <c r="K61" s="121">
        <f>SUMIFS(薪酬明细!$M:$M,薪酬明细!$D:$D,$E61,薪酬明细!$E:$E,$F61,薪酬明细!$H:$H,"&gt;="&amp;K$9,薪酬明细!$H:$H,"&lt;="&amp;K$10,薪酬明细!$A:$A,K$6)/10000</f>
        <v>6.3</v>
      </c>
      <c r="L61" s="121">
        <f>SUMIFS(薪酬明细!$M:$M,薪酬明细!$D:$D,$E61,薪酬明细!$E:$E,$F61,薪酬明细!$H:$H,"&gt;="&amp;L$9,薪酬明细!$H:$H,"&lt;="&amp;L$10,薪酬明细!$A:$A,L$6)/10000</f>
        <v>6.2</v>
      </c>
      <c r="M61" s="121">
        <f>SUMIFS(薪酬明细!$M:$M,薪酬明细!$D:$D,$E61,薪酬明细!$E:$E,$F61,薪酬明细!$H:$H,"&gt;="&amp;M$9,薪酬明细!$H:$H,"&lt;="&amp;M$10,薪酬明细!$A:$A,M$6)/10000</f>
        <v>6.3</v>
      </c>
      <c r="N61" s="121">
        <f>SUMIFS(薪酬明细!$M:$M,薪酬明细!$D:$D,$E61,薪酬明细!$E:$E,$F61,薪酬明细!$H:$H,"&gt;="&amp;N$9,薪酬明细!$H:$H,"&lt;="&amp;N$10,薪酬明细!$A:$A,N$6)/10000</f>
        <v>6.3</v>
      </c>
      <c r="O61" s="121">
        <f>SUMIFS(薪酬明细!$M:$M,薪酬明细!$D:$D,$E61,薪酬明细!$E:$E,$F61,薪酬明细!$H:$H,"&gt;="&amp;O$9,薪酬明细!$H:$H,"&lt;="&amp;O$10,薪酬明细!$A:$A,O$6)/10000</f>
        <v>6.2</v>
      </c>
      <c r="P61" s="121">
        <f>SUMIFS(薪酬明细!$M:$M,薪酬明细!$D:$D,$E61,薪酬明细!$E:$E,$F61,薪酬明细!$H:$H,"&gt;="&amp;P$9,薪酬明细!$H:$H,"&lt;="&amp;P$10,薪酬明细!$A:$A,P$6)/10000</f>
        <v>6.2</v>
      </c>
      <c r="Q61" s="121">
        <f>SUMIFS(薪酬明细!$M:$M,薪酬明细!$D:$D,$E61,薪酬明细!$E:$E,$F61,薪酬明细!$H:$H,"&gt;="&amp;Q$9,薪酬明细!$H:$H,"&lt;="&amp;Q$10,薪酬明细!$A:$A,Q$6)/10000</f>
        <v>6.3</v>
      </c>
      <c r="R61" s="121">
        <f>SUMIFS(薪酬明细!$M:$M,薪酬明细!$D:$D,$E61,薪酬明细!$E:$E,$F61,薪酬明细!$H:$H,"&gt;="&amp;R$9,薪酬明细!$H:$H,"&lt;="&amp;R$10,薪酬明细!$A:$A,R$6)/10000</f>
        <v>6.3</v>
      </c>
      <c r="S61" s="121">
        <f>SUMIFS(薪酬明细!$M:$M,薪酬明细!$D:$D,$E61,薪酬明细!$E:$E,$F61,薪酬明细!$H:$H,"&gt;="&amp;S$9,薪酬明细!$H:$H,"&lt;="&amp;S$10,薪酬明细!$A:$A,S$6)/10000</f>
        <v>6.4</v>
      </c>
      <c r="T61" s="125">
        <f t="shared" si="89"/>
        <v>75.7</v>
      </c>
      <c r="U61" s="121">
        <f>SUMIFS(薪酬明细!$M:$M,薪酬明细!$D:$D,$E61,薪酬明细!$E:$E,$F61,薪酬明细!$H:$H,"&gt;="&amp;U$9,薪酬明细!$H:$H,"&lt;="&amp;U$10,薪酬明细!$A:$A,U$6)/10000</f>
        <v>56.7</v>
      </c>
      <c r="V61" s="121">
        <f>SUMIFS(薪酬明细!$M:$M,薪酬明细!$D:$D,$E61,薪酬明细!$E:$E,$F61,薪酬明细!$H:$H,"&gt;="&amp;V$9,薪酬明细!$H:$H,"&lt;="&amp;V$10,薪酬明细!$A:$A,V$6)/10000</f>
        <v>6.3</v>
      </c>
      <c r="W61" s="121">
        <f>SUMIFS(薪酬明细!$M:$M,薪酬明细!$D:$D,$E61,薪酬明细!$E:$E,$F61,薪酬明细!$H:$H,"&gt;="&amp;W$9,薪酬明细!$H:$H,"&lt;="&amp;W$10,薪酬明细!$A:$A,W$6)/10000</f>
        <v>6.3</v>
      </c>
      <c r="X61" s="121">
        <f>SUMIFS(薪酬明细!$M:$M,薪酬明细!$D:$D,$E61,薪酬明细!$E:$E,$F61,薪酬明细!$H:$H,"&gt;="&amp;X$9,薪酬明细!$H:$H,"&lt;="&amp;X$10,薪酬明细!$A:$A,X$6)/10000</f>
        <v>6.3</v>
      </c>
      <c r="Y61" s="121">
        <f>SUMIFS(薪酬明细!$M:$M,薪酬明细!$D:$D,$E61,薪酬明细!$E:$E,$F61,薪酬明细!$H:$H,"&gt;="&amp;Y$9,薪酬明细!$H:$H,"&lt;="&amp;Y$10,薪酬明细!$A:$A,Y$6)/10000</f>
        <v>6.3</v>
      </c>
      <c r="Z61" s="121">
        <f>SUMIFS(薪酬明细!$M:$M,薪酬明细!$D:$D,$E61,薪酬明细!$E:$E,$F61,薪酬明细!$H:$H,"&gt;="&amp;Z$9,薪酬明细!$H:$H,"&lt;="&amp;Z$10,薪酬明细!$A:$A,Z$6)/10000</f>
        <v>6.3</v>
      </c>
      <c r="AA61" s="121">
        <f>SUMIFS(薪酬明细!$M:$M,薪酬明细!$D:$D,$E61,薪酬明细!$E:$E,$F61,薪酬明细!$H:$H,"&gt;="&amp;AA$9,薪酬明细!$H:$H,"&lt;="&amp;AA$10,薪酬明细!$A:$A,AA$6)/10000</f>
        <v>6.3</v>
      </c>
      <c r="AB61" s="121">
        <f>SUMIFS(薪酬明细!$M:$M,薪酬明细!$D:$D,$E61,薪酬明细!$E:$E,$F61,薪酬明细!$H:$H,"&gt;="&amp;AB$9,薪酬明细!$H:$H,"&lt;="&amp;AB$10,薪酬明细!$A:$A,AB$6)/10000</f>
        <v>6.3</v>
      </c>
      <c r="AC61" s="121">
        <f>SUMIFS(薪酬明细!$M:$M,薪酬明细!$D:$D,$E61,薪酬明细!$E:$E,$F61,薪酬明细!$H:$H,"&gt;="&amp;AC$9,薪酬明细!$H:$H,"&lt;="&amp;AC$10,薪酬明细!$A:$A,AC$6)/10000</f>
        <v>6.4</v>
      </c>
      <c r="AD61" s="121">
        <f>SUMIFS(薪酬明细!$M:$M,薪酬明细!$D:$D,$E61,薪酬明细!$E:$E,$F61,薪酬明细!$H:$H,"&gt;="&amp;AD$9,薪酬明细!$H:$H,"&lt;="&amp;AD$10,薪酬明细!$A:$A,AD$6)/10000</f>
        <v>6.3</v>
      </c>
      <c r="AE61" s="121">
        <f>SUMIFS(薪酬明细!$M:$M,薪酬明细!$D:$D,$E61,薪酬明细!$E:$E,$F61,薪酬明细!$H:$H,"&gt;="&amp;AE$9,薪酬明细!$H:$H,"&lt;="&amp;AE$10,薪酬明细!$A:$A,AE$6)/10000</f>
        <v>0</v>
      </c>
      <c r="AF61" s="121">
        <f>SUMIFS(薪酬明细!$M:$M,薪酬明细!$D:$D,$E61,薪酬明细!$E:$E,$F61,薪酬明细!$H:$H,"&gt;="&amp;AF$9,薪酬明细!$H:$H,"&lt;="&amp;AF$10,薪酬明细!$A:$A,AF$6)/10000</f>
        <v>0</v>
      </c>
      <c r="AG61" s="121">
        <f>SUMIFS(薪酬明细!$M:$M,薪酬明细!$D:$D,$E61,薪酬明细!$E:$E,$F61,薪酬明细!$H:$H,"&gt;="&amp;AG$9,薪酬明细!$H:$H,"&lt;="&amp;AG$10,薪酬明细!$A:$A,AG$6)/10000</f>
        <v>0</v>
      </c>
      <c r="AH61" s="121">
        <f>SUMIFS(薪酬明细!$M:$M,薪酬明细!$D:$D,$E61,薪酬明细!$E:$E,$F61,薪酬明细!$H:$H,"&gt;="&amp;AH$9,薪酬明细!$H:$H,"&lt;="&amp;AH$10,薪酬明细!$A:$A,AH$6)/10000</f>
        <v>19</v>
      </c>
      <c r="AI61" s="121">
        <f>SUMIFS(薪酬明细!$M:$M,薪酬明细!$D:$D,$E61,薪酬明细!$E:$E,$F61,薪酬明细!$H:$H,"&gt;="&amp;AI$9,薪酬明细!$H:$H,"&lt;="&amp;AI$10,薪酬明细!$A:$A,AI$6)/10000</f>
        <v>0</v>
      </c>
      <c r="AJ61" s="121">
        <f>SUMIFS(薪酬明细!$M:$M,薪酬明细!$D:$D,$E61,薪酬明细!$E:$E,$F61,薪酬明细!$H:$H,"&gt;="&amp;AJ$9,薪酬明细!$H:$H,"&lt;="&amp;AJ$10,薪酬明细!$A:$A,AJ$6)/10000</f>
        <v>0</v>
      </c>
      <c r="AK61" s="121">
        <f>SUMIFS(薪酬明细!$M:$M,薪酬明细!$D:$D,$E61,薪酬明细!$E:$E,$F61,薪酬明细!$H:$H,"&gt;="&amp;AK$9,薪酬明细!$H:$H,"&lt;="&amp;AK$10,薪酬明细!$A:$A,AK$6)/10000</f>
        <v>0</v>
      </c>
      <c r="AL61" s="121">
        <f>SUMIFS(薪酬明细!$M:$M,薪酬明细!$D:$D,$E61,薪酬明细!$E:$E,$F61,薪酬明细!$H:$H,"&gt;="&amp;AL$9,薪酬明细!$H:$H,"&lt;="&amp;AL$10,薪酬明细!$A:$A,AL$6)/10000</f>
        <v>0</v>
      </c>
      <c r="AM61" s="121">
        <f>SUMIFS(薪酬明细!$M:$M,薪酬明细!$D:$D,$E61,薪酬明细!$E:$E,$F61,薪酬明细!$H:$H,"&gt;="&amp;AM$9,薪酬明细!$H:$H,"&lt;="&amp;AM$10,薪酬明细!$A:$A,AM$6)/10000</f>
        <v>0</v>
      </c>
      <c r="AN61" s="121">
        <f>SUMIFS(薪酬明细!$M:$M,薪酬明细!$D:$D,$E61,薪酬明细!$E:$E,$F61,薪酬明细!$H:$H,"&gt;="&amp;AN$9,薪酬明细!$H:$H,"&lt;="&amp;AN$10,薪酬明细!$A:$A,AN$6)/10000</f>
        <v>0</v>
      </c>
      <c r="AO61" s="121">
        <f>SUMIFS(薪酬明细!$M:$M,薪酬明细!$D:$D,$E61,薪酬明细!$E:$E,$F61,薪酬明细!$H:$H,"&gt;="&amp;AO$9,薪酬明细!$H:$H,"&lt;="&amp;AO$10,薪酬明细!$A:$A,AO$6)/10000</f>
        <v>0</v>
      </c>
      <c r="AP61" s="121">
        <f>SUMIFS(薪酬明细!$M:$M,薪酬明细!$D:$D,$E61,薪酬明细!$E:$E,$F61,薪酬明细!$H:$H,"&gt;="&amp;AP$9,薪酬明细!$H:$H,"&lt;="&amp;AP$10,薪酬明细!$A:$A,AP$6)/10000</f>
        <v>0</v>
      </c>
      <c r="AQ61" s="121">
        <f>SUMIFS(薪酬明细!$M:$M,薪酬明细!$D:$D,$E61,薪酬明细!$E:$E,$F61,薪酬明细!$H:$H,"&gt;="&amp;AQ$9,薪酬明细!$H:$H,"&lt;="&amp;AQ$10,薪酬明细!$A:$A,AQ$6)/10000</f>
        <v>0</v>
      </c>
      <c r="AR61" s="121">
        <f>SUMIFS(薪酬明细!$M:$M,薪酬明细!$D:$D,$E61,薪酬明细!$E:$E,$F61,薪酬明细!$H:$H,"&gt;="&amp;AR$9,薪酬明细!$H:$H,"&lt;="&amp;AR$10,薪酬明细!$A:$A,AR$6)/10000</f>
        <v>6.3</v>
      </c>
      <c r="AS61" s="121">
        <f>SUMIFS(薪酬明细!$M:$M,薪酬明细!$D:$D,$E61,薪酬明细!$E:$E,$F61,薪酬明细!$H:$H,"&gt;="&amp;AS$9,薪酬明细!$H:$H,"&lt;="&amp;AS$10,薪酬明细!$A:$A,AS$6)/10000</f>
        <v>6.3</v>
      </c>
      <c r="AT61" s="121">
        <f>SUMIFS(薪酬明细!$M:$M,薪酬明细!$D:$D,$E61,薪酬明细!$E:$E,$F61,薪酬明细!$H:$H,"&gt;="&amp;AT$9,薪酬明细!$H:$H,"&lt;="&amp;AT$10,薪酬明细!$A:$A,AT$6)/10000</f>
        <v>6.3</v>
      </c>
      <c r="AU61" s="121">
        <f>SUMIFS(薪酬明细!$M:$M,薪酬明细!$D:$D,$E61,薪酬明细!$E:$E,$F61,薪酬明细!$H:$H,"&gt;="&amp;AU$9,薪酬明细!$H:$H,"&lt;="&amp;AU$10,薪酬明细!$A:$A,AU$6)/10000</f>
        <v>75.5</v>
      </c>
      <c r="AV61" s="121">
        <f>SUMIFS(薪酬明细!$M:$M,薪酬明细!$D:$D,$E61,薪酬明细!$E:$E,$F61,薪酬明细!$H:$H,"&gt;="&amp;AV$9,薪酬明细!$H:$H,"&lt;="&amp;AV$10,薪酬明细!$A:$A,AV$6)/10000</f>
        <v>6.3</v>
      </c>
      <c r="AW61" s="121">
        <f>SUMIFS(薪酬明细!$M:$M,薪酬明细!$D:$D,$E61,薪酬明细!$E:$E,$F61,薪酬明细!$H:$H,"&gt;="&amp;AW$9,薪酬明细!$H:$H,"&lt;="&amp;AW$10,薪酬明细!$A:$A,AW$6)/10000</f>
        <v>6.3</v>
      </c>
      <c r="AX61" s="121">
        <f>SUMIFS(薪酬明细!$M:$M,薪酬明细!$D:$D,$E61,薪酬明细!$E:$E,$F61,薪酬明细!$H:$H,"&gt;="&amp;AX$9,薪酬明细!$H:$H,"&lt;="&amp;AX$10,薪酬明细!$A:$A,AX$6)/10000</f>
        <v>6.3</v>
      </c>
      <c r="AY61" s="121">
        <f>SUMIFS(薪酬明细!$M:$M,薪酬明细!$D:$D,$E61,薪酬明细!$E:$E,$F61,薪酬明细!$H:$H,"&gt;="&amp;AY$9,薪酬明细!$H:$H,"&lt;="&amp;AY$10,薪酬明细!$A:$A,AY$6)/10000</f>
        <v>6.3</v>
      </c>
      <c r="AZ61" s="121">
        <f>SUMIFS(薪酬明细!$M:$M,薪酬明细!$D:$D,$E61,薪酬明细!$E:$E,$F61,薪酬明细!$H:$H,"&gt;="&amp;AZ$9,薪酬明细!$H:$H,"&lt;="&amp;AZ$10,薪酬明细!$A:$A,AZ$6)/10000</f>
        <v>6.3</v>
      </c>
      <c r="BA61" s="121">
        <f>SUMIFS(薪酬明细!$M:$M,薪酬明细!$D:$D,$E61,薪酬明细!$E:$E,$F61,薪酬明细!$H:$H,"&gt;="&amp;BA$9,薪酬明细!$H:$H,"&lt;="&amp;BA$10,薪酬明细!$A:$A,BA$6)/10000</f>
        <v>6.3</v>
      </c>
      <c r="BB61" s="121">
        <f>SUMIFS(薪酬明细!$M:$M,薪酬明细!$D:$D,$E61,薪酬明细!$E:$E,$F61,薪酬明细!$H:$H,"&gt;="&amp;BB$9,薪酬明细!$H:$H,"&lt;="&amp;BB$10,薪酬明细!$A:$A,BB$6)/10000</f>
        <v>6.3</v>
      </c>
      <c r="BC61" s="121">
        <f>SUMIFS(薪酬明细!$M:$M,薪酬明细!$D:$D,$E61,薪酬明细!$E:$E,$F61,薪酬明细!$H:$H,"&gt;="&amp;BC$9,薪酬明细!$H:$H,"&lt;="&amp;BC$10,薪酬明细!$A:$A,BC$6)/10000</f>
        <v>6.3</v>
      </c>
      <c r="BD61" s="121">
        <f>SUMIFS(薪酬明细!$M:$M,薪酬明细!$D:$D,$E61,薪酬明细!$E:$E,$F61,薪酬明细!$H:$H,"&gt;="&amp;BD$9,薪酬明细!$H:$H,"&lt;="&amp;BD$10,薪酬明细!$A:$A,BD$6)/10000</f>
        <v>6.3</v>
      </c>
      <c r="BE61" s="121">
        <f>SUMIFS(薪酬明细!$M:$M,薪酬明细!$D:$D,$E61,薪酬明细!$E:$E,$F61,薪酬明细!$H:$H,"&gt;="&amp;BE$9,薪酬明细!$H:$H,"&lt;="&amp;BE$10,薪酬明细!$A:$A,BE$6)/10000</f>
        <v>6.3</v>
      </c>
      <c r="BF61" s="121">
        <f>SUMIFS(薪酬明细!$M:$M,薪酬明细!$D:$D,$E61,薪酬明细!$E:$E,$F61,薪酬明细!$H:$H,"&gt;="&amp;BF$9,薪酬明细!$H:$H,"&lt;="&amp;BF$10,薪酬明细!$A:$A,BF$6)/10000</f>
        <v>6.2</v>
      </c>
      <c r="BG61" s="121">
        <f>SUMIFS(薪酬明细!$M:$M,薪酬明细!$D:$D,$E61,薪酬明细!$E:$E,$F61,薪酬明细!$H:$H,"&gt;="&amp;BG$9,薪酬明细!$H:$H,"&lt;="&amp;BG$10,薪酬明细!$A:$A,BG$6)/10000</f>
        <v>6.3</v>
      </c>
    </row>
    <row r="62" ht="16.2" spans="3:59">
      <c r="C62" s="42"/>
      <c r="D62" s="42" t="s">
        <v>83</v>
      </c>
      <c r="E62" s="116" t="str">
        <f t="shared" si="87"/>
        <v>创新中心</v>
      </c>
      <c r="F62" s="116" t="str">
        <f t="shared" si="88"/>
        <v>产品
研发部</v>
      </c>
      <c r="G62" s="121">
        <f>SUMIFS(薪酬明细!$M:$M,薪酬明细!$D:$D,$E62,薪酬明细!$E:$E,$F62,薪酬明细!$H:$H,"&gt;="&amp;G$9,薪酬明细!$H:$H,"&lt;="&amp;G$10,薪酬明细!$A:$A,G$6)/10000</f>
        <v>30.1</v>
      </c>
      <c r="H62" s="121">
        <f>SUMIFS(薪酬明细!$M:$M,薪酬明细!$D:$D,$E62,薪酬明细!$E:$E,$F62,薪酬明细!$H:$H,"&gt;="&amp;H$9,薪酬明细!$H:$H,"&lt;="&amp;H$10,薪酬明细!$A:$A,H$6)/10000</f>
        <v>2.5</v>
      </c>
      <c r="I62" s="121">
        <f>SUMIFS(薪酬明细!$M:$M,薪酬明细!$D:$D,$E62,薪酬明细!$E:$E,$F62,薪酬明细!$H:$H,"&gt;="&amp;I$9,薪酬明细!$H:$H,"&lt;="&amp;I$10,薪酬明细!$A:$A,I$6)/10000</f>
        <v>2.5</v>
      </c>
      <c r="J62" s="121">
        <f>SUMIFS(薪酬明细!$M:$M,薪酬明细!$D:$D,$E62,薪酬明细!$E:$E,$F62,薪酬明细!$H:$H,"&gt;="&amp;J$9,薪酬明细!$H:$H,"&lt;="&amp;J$10,薪酬明细!$A:$A,J$6)/10000</f>
        <v>2.5</v>
      </c>
      <c r="K62" s="121">
        <f>SUMIFS(薪酬明细!$M:$M,薪酬明细!$D:$D,$E62,薪酬明细!$E:$E,$F62,薪酬明细!$H:$H,"&gt;="&amp;K$9,薪酬明细!$H:$H,"&lt;="&amp;K$10,薪酬明细!$A:$A,K$6)/10000</f>
        <v>2.6</v>
      </c>
      <c r="L62" s="121">
        <f>SUMIFS(薪酬明细!$M:$M,薪酬明细!$D:$D,$E62,薪酬明细!$E:$E,$F62,薪酬明细!$H:$H,"&gt;="&amp;L$9,薪酬明细!$H:$H,"&lt;="&amp;L$10,薪酬明细!$A:$A,L$6)/10000</f>
        <v>2.5</v>
      </c>
      <c r="M62" s="121">
        <f>SUMIFS(薪酬明细!$M:$M,薪酬明细!$D:$D,$E62,薪酬明细!$E:$E,$F62,薪酬明细!$H:$H,"&gt;="&amp;M$9,薪酬明细!$H:$H,"&lt;="&amp;M$10,薪酬明细!$A:$A,M$6)/10000</f>
        <v>2.5</v>
      </c>
      <c r="N62" s="121">
        <f>SUMIFS(薪酬明细!$M:$M,薪酬明细!$D:$D,$E62,薪酬明细!$E:$E,$F62,薪酬明细!$H:$H,"&gt;="&amp;N$9,薪酬明细!$H:$H,"&lt;="&amp;N$10,薪酬明细!$A:$A,N$6)/10000</f>
        <v>2.5</v>
      </c>
      <c r="O62" s="121">
        <f>SUMIFS(薪酬明细!$M:$M,薪酬明细!$D:$D,$E62,薪酬明细!$E:$E,$F62,薪酬明细!$H:$H,"&gt;="&amp;O$9,薪酬明细!$H:$H,"&lt;="&amp;O$10,薪酬明细!$A:$A,O$6)/10000</f>
        <v>2.4</v>
      </c>
      <c r="P62" s="121">
        <f>SUMIFS(薪酬明细!$M:$M,薪酬明细!$D:$D,$E62,薪酬明细!$E:$E,$F62,薪酬明细!$H:$H,"&gt;="&amp;P$9,薪酬明细!$H:$H,"&lt;="&amp;P$10,薪酬明细!$A:$A,P$6)/10000</f>
        <v>2.5</v>
      </c>
      <c r="Q62" s="121">
        <f>SUMIFS(薪酬明细!$M:$M,薪酬明细!$D:$D,$E62,薪酬明细!$E:$E,$F62,薪酬明细!$H:$H,"&gt;="&amp;Q$9,薪酬明细!$H:$H,"&lt;="&amp;Q$10,薪酬明细!$A:$A,Q$6)/10000</f>
        <v>2.5</v>
      </c>
      <c r="R62" s="121">
        <f>SUMIFS(薪酬明细!$M:$M,薪酬明细!$D:$D,$E62,薪酬明细!$E:$E,$F62,薪酬明细!$H:$H,"&gt;="&amp;R$9,薪酬明细!$H:$H,"&lt;="&amp;R$10,薪酬明细!$A:$A,R$6)/10000</f>
        <v>2.5</v>
      </c>
      <c r="S62" s="121">
        <f>SUMIFS(薪酬明细!$M:$M,薪酬明细!$D:$D,$E62,薪酬明细!$E:$E,$F62,薪酬明细!$H:$H,"&gt;="&amp;S$9,薪酬明细!$H:$H,"&lt;="&amp;S$10,薪酬明细!$A:$A,S$6)/10000</f>
        <v>2.6</v>
      </c>
      <c r="T62" s="125">
        <f t="shared" si="89"/>
        <v>30.4</v>
      </c>
      <c r="U62" s="121">
        <f>SUMIFS(薪酬明细!$M:$M,薪酬明细!$D:$D,$E62,薪酬明细!$E:$E,$F62,薪酬明细!$H:$H,"&gt;="&amp;U$9,薪酬明细!$H:$H,"&lt;="&amp;U$10,薪酬明细!$A:$A,U$6)/10000</f>
        <v>22.7</v>
      </c>
      <c r="V62" s="121">
        <f>SUMIFS(薪酬明细!$M:$M,薪酬明细!$D:$D,$E62,薪酬明细!$E:$E,$F62,薪酬明细!$H:$H,"&gt;="&amp;V$9,薪酬明细!$H:$H,"&lt;="&amp;V$10,薪酬明细!$A:$A,V$6)/10000</f>
        <v>2.5</v>
      </c>
      <c r="W62" s="121">
        <f>SUMIFS(薪酬明细!$M:$M,薪酬明细!$D:$D,$E62,薪酬明细!$E:$E,$F62,薪酬明细!$H:$H,"&gt;="&amp;W$9,薪酬明细!$H:$H,"&lt;="&amp;W$10,薪酬明细!$A:$A,W$6)/10000</f>
        <v>2.5</v>
      </c>
      <c r="X62" s="121">
        <f>SUMIFS(薪酬明细!$M:$M,薪酬明细!$D:$D,$E62,薪酬明细!$E:$E,$F62,薪酬明细!$H:$H,"&gt;="&amp;X$9,薪酬明细!$H:$H,"&lt;="&amp;X$10,薪酬明细!$A:$A,X$6)/10000</f>
        <v>2.5</v>
      </c>
      <c r="Y62" s="121">
        <f>SUMIFS(薪酬明细!$M:$M,薪酬明细!$D:$D,$E62,薪酬明细!$E:$E,$F62,薪酬明细!$H:$H,"&gt;="&amp;Y$9,薪酬明细!$H:$H,"&lt;="&amp;Y$10,薪酬明细!$A:$A,Y$6)/10000</f>
        <v>2.5</v>
      </c>
      <c r="Z62" s="121">
        <f>SUMIFS(薪酬明细!$M:$M,薪酬明细!$D:$D,$E62,薪酬明细!$E:$E,$F62,薪酬明细!$H:$H,"&gt;="&amp;Z$9,薪酬明细!$H:$H,"&lt;="&amp;Z$10,薪酬明细!$A:$A,Z$6)/10000</f>
        <v>2.5</v>
      </c>
      <c r="AA62" s="121">
        <f>SUMIFS(薪酬明细!$M:$M,薪酬明细!$D:$D,$E62,薪酬明细!$E:$E,$F62,薪酬明细!$H:$H,"&gt;="&amp;AA$9,薪酬明细!$H:$H,"&lt;="&amp;AA$10,薪酬明细!$A:$A,AA$6)/10000</f>
        <v>2.5</v>
      </c>
      <c r="AB62" s="121">
        <f>SUMIFS(薪酬明细!$M:$M,薪酬明细!$D:$D,$E62,薪酬明细!$E:$E,$F62,薪酬明细!$H:$H,"&gt;="&amp;AB$9,薪酬明细!$H:$H,"&lt;="&amp;AB$10,薪酬明细!$A:$A,AB$6)/10000</f>
        <v>2.5</v>
      </c>
      <c r="AC62" s="121">
        <f>SUMIFS(薪酬明细!$M:$M,薪酬明细!$D:$D,$E62,薪酬明细!$E:$E,$F62,薪酬明细!$H:$H,"&gt;="&amp;AC$9,薪酬明细!$H:$H,"&lt;="&amp;AC$10,薪酬明细!$A:$A,AC$6)/10000</f>
        <v>2.5</v>
      </c>
      <c r="AD62" s="121">
        <f>SUMIFS(薪酬明细!$M:$M,薪酬明细!$D:$D,$E62,薪酬明细!$E:$E,$F62,薪酬明细!$H:$H,"&gt;="&amp;AD$9,薪酬明细!$H:$H,"&lt;="&amp;AD$10,薪酬明细!$A:$A,AD$6)/10000</f>
        <v>2.5</v>
      </c>
      <c r="AE62" s="121">
        <f>SUMIFS(薪酬明细!$M:$M,薪酬明细!$D:$D,$E62,薪酬明细!$E:$E,$F62,薪酬明细!$H:$H,"&gt;="&amp;AE$9,薪酬明细!$H:$H,"&lt;="&amp;AE$10,薪酬明细!$A:$A,AE$6)/10000</f>
        <v>0</v>
      </c>
      <c r="AF62" s="121">
        <f>SUMIFS(薪酬明细!$M:$M,薪酬明细!$D:$D,$E62,薪酬明细!$E:$E,$F62,薪酬明细!$H:$H,"&gt;="&amp;AF$9,薪酬明细!$H:$H,"&lt;="&amp;AF$10,薪酬明细!$A:$A,AF$6)/10000</f>
        <v>0</v>
      </c>
      <c r="AG62" s="121">
        <f>SUMIFS(薪酬明细!$M:$M,薪酬明细!$D:$D,$E62,薪酬明细!$E:$E,$F62,薪酬明细!$H:$H,"&gt;="&amp;AG$9,薪酬明细!$H:$H,"&lt;="&amp;AG$10,薪酬明细!$A:$A,AG$6)/10000</f>
        <v>0</v>
      </c>
      <c r="AH62" s="121">
        <f>SUMIFS(薪酬明细!$M:$M,薪酬明细!$D:$D,$E62,薪酬明细!$E:$E,$F62,薪酬明细!$H:$H,"&gt;="&amp;AH$9,薪酬明细!$H:$H,"&lt;="&amp;AH$10,薪酬明细!$A:$A,AH$6)/10000</f>
        <v>7.7</v>
      </c>
      <c r="AI62" s="121">
        <f>SUMIFS(薪酬明细!$M:$M,薪酬明细!$D:$D,$E62,薪酬明细!$E:$E,$F62,薪酬明细!$H:$H,"&gt;="&amp;AI$9,薪酬明细!$H:$H,"&lt;="&amp;AI$10,薪酬明细!$A:$A,AI$6)/10000</f>
        <v>0</v>
      </c>
      <c r="AJ62" s="121">
        <f>SUMIFS(薪酬明细!$M:$M,薪酬明细!$D:$D,$E62,薪酬明细!$E:$E,$F62,薪酬明细!$H:$H,"&gt;="&amp;AJ$9,薪酬明细!$H:$H,"&lt;="&amp;AJ$10,薪酬明细!$A:$A,AJ$6)/10000</f>
        <v>0</v>
      </c>
      <c r="AK62" s="121">
        <f>SUMIFS(薪酬明细!$M:$M,薪酬明细!$D:$D,$E62,薪酬明细!$E:$E,$F62,薪酬明细!$H:$H,"&gt;="&amp;AK$9,薪酬明细!$H:$H,"&lt;="&amp;AK$10,薪酬明细!$A:$A,AK$6)/10000</f>
        <v>0</v>
      </c>
      <c r="AL62" s="121">
        <f>SUMIFS(薪酬明细!$M:$M,薪酬明细!$D:$D,$E62,薪酬明细!$E:$E,$F62,薪酬明细!$H:$H,"&gt;="&amp;AL$9,薪酬明细!$H:$H,"&lt;="&amp;AL$10,薪酬明细!$A:$A,AL$6)/10000</f>
        <v>0</v>
      </c>
      <c r="AM62" s="121">
        <f>SUMIFS(薪酬明细!$M:$M,薪酬明细!$D:$D,$E62,薪酬明细!$E:$E,$F62,薪酬明细!$H:$H,"&gt;="&amp;AM$9,薪酬明细!$H:$H,"&lt;="&amp;AM$10,薪酬明细!$A:$A,AM$6)/10000</f>
        <v>0</v>
      </c>
      <c r="AN62" s="121">
        <f>SUMIFS(薪酬明细!$M:$M,薪酬明细!$D:$D,$E62,薪酬明细!$E:$E,$F62,薪酬明细!$H:$H,"&gt;="&amp;AN$9,薪酬明细!$H:$H,"&lt;="&amp;AN$10,薪酬明细!$A:$A,AN$6)/10000</f>
        <v>0</v>
      </c>
      <c r="AO62" s="121">
        <f>SUMIFS(薪酬明细!$M:$M,薪酬明细!$D:$D,$E62,薪酬明细!$E:$E,$F62,薪酬明细!$H:$H,"&gt;="&amp;AO$9,薪酬明细!$H:$H,"&lt;="&amp;AO$10,薪酬明细!$A:$A,AO$6)/10000</f>
        <v>0</v>
      </c>
      <c r="AP62" s="121">
        <f>SUMIFS(薪酬明细!$M:$M,薪酬明细!$D:$D,$E62,薪酬明细!$E:$E,$F62,薪酬明细!$H:$H,"&gt;="&amp;AP$9,薪酬明细!$H:$H,"&lt;="&amp;AP$10,薪酬明细!$A:$A,AP$6)/10000</f>
        <v>0</v>
      </c>
      <c r="AQ62" s="121">
        <f>SUMIFS(薪酬明细!$M:$M,薪酬明细!$D:$D,$E62,薪酬明细!$E:$E,$F62,薪酬明细!$H:$H,"&gt;="&amp;AQ$9,薪酬明细!$H:$H,"&lt;="&amp;AQ$10,薪酬明细!$A:$A,AQ$6)/10000</f>
        <v>0</v>
      </c>
      <c r="AR62" s="121">
        <f>SUMIFS(薪酬明细!$M:$M,薪酬明细!$D:$D,$E62,薪酬明细!$E:$E,$F62,薪酬明细!$H:$H,"&gt;="&amp;AR$9,薪酬明细!$H:$H,"&lt;="&amp;AR$10,薪酬明细!$A:$A,AR$6)/10000</f>
        <v>2.6</v>
      </c>
      <c r="AS62" s="121">
        <f>SUMIFS(薪酬明细!$M:$M,薪酬明细!$D:$D,$E62,薪酬明细!$E:$E,$F62,薪酬明细!$H:$H,"&gt;="&amp;AS$9,薪酬明细!$H:$H,"&lt;="&amp;AS$10,薪酬明细!$A:$A,AS$6)/10000</f>
        <v>2.6</v>
      </c>
      <c r="AT62" s="121">
        <f>SUMIFS(薪酬明细!$M:$M,薪酬明细!$D:$D,$E62,薪酬明细!$E:$E,$F62,薪酬明细!$H:$H,"&gt;="&amp;AT$9,薪酬明细!$H:$H,"&lt;="&amp;AT$10,薪酬明细!$A:$A,AT$6)/10000</f>
        <v>2.5</v>
      </c>
      <c r="AU62" s="121">
        <f>SUMIFS(薪酬明细!$M:$M,薪酬明细!$D:$D,$E62,薪酬明细!$E:$E,$F62,薪酬明细!$H:$H,"&gt;="&amp;AU$9,薪酬明细!$H:$H,"&lt;="&amp;AU$10,薪酬明细!$A:$A,AU$6)/10000</f>
        <v>30.3</v>
      </c>
      <c r="AV62" s="121">
        <f>SUMIFS(薪酬明细!$M:$M,薪酬明细!$D:$D,$E62,薪酬明细!$E:$E,$F62,薪酬明细!$H:$H,"&gt;="&amp;AV$9,薪酬明细!$H:$H,"&lt;="&amp;AV$10,薪酬明细!$A:$A,AV$6)/10000</f>
        <v>2.5</v>
      </c>
      <c r="AW62" s="121">
        <f>SUMIFS(薪酬明细!$M:$M,薪酬明细!$D:$D,$E62,薪酬明细!$E:$E,$F62,薪酬明细!$H:$H,"&gt;="&amp;AW$9,薪酬明细!$H:$H,"&lt;="&amp;AW$10,薪酬明细!$A:$A,AW$6)/10000</f>
        <v>2.5</v>
      </c>
      <c r="AX62" s="121">
        <f>SUMIFS(薪酬明细!$M:$M,薪酬明细!$D:$D,$E62,薪酬明细!$E:$E,$F62,薪酬明细!$H:$H,"&gt;="&amp;AX$9,薪酬明细!$H:$H,"&lt;="&amp;AX$10,薪酬明细!$A:$A,AX$6)/10000</f>
        <v>2.5</v>
      </c>
      <c r="AY62" s="121">
        <f>SUMIFS(薪酬明细!$M:$M,薪酬明细!$D:$D,$E62,薪酬明细!$E:$E,$F62,薪酬明细!$H:$H,"&gt;="&amp;AY$9,薪酬明细!$H:$H,"&lt;="&amp;AY$10,薪酬明细!$A:$A,AY$6)/10000</f>
        <v>2.5</v>
      </c>
      <c r="AZ62" s="121">
        <f>SUMIFS(薪酬明细!$M:$M,薪酬明细!$D:$D,$E62,薪酬明细!$E:$E,$F62,薪酬明细!$H:$H,"&gt;="&amp;AZ$9,薪酬明细!$H:$H,"&lt;="&amp;AZ$10,薪酬明细!$A:$A,AZ$6)/10000</f>
        <v>2.5</v>
      </c>
      <c r="BA62" s="121">
        <f>SUMIFS(薪酬明细!$M:$M,薪酬明细!$D:$D,$E62,薪酬明细!$E:$E,$F62,薪酬明细!$H:$H,"&gt;="&amp;BA$9,薪酬明细!$H:$H,"&lt;="&amp;BA$10,薪酬明细!$A:$A,BA$6)/10000</f>
        <v>2.5</v>
      </c>
      <c r="BB62" s="121">
        <f>SUMIFS(薪酬明细!$M:$M,薪酬明细!$D:$D,$E62,薪酬明细!$E:$E,$F62,薪酬明细!$H:$H,"&gt;="&amp;BB$9,薪酬明细!$H:$H,"&lt;="&amp;BB$10,薪酬明细!$A:$A,BB$6)/10000</f>
        <v>2.5</v>
      </c>
      <c r="BC62" s="121">
        <f>SUMIFS(薪酬明细!$M:$M,薪酬明细!$D:$D,$E62,薪酬明细!$E:$E,$F62,薪酬明细!$H:$H,"&gt;="&amp;BC$9,薪酬明细!$H:$H,"&lt;="&amp;BC$10,薪酬明细!$A:$A,BC$6)/10000</f>
        <v>2.6</v>
      </c>
      <c r="BD62" s="121">
        <f>SUMIFS(薪酬明细!$M:$M,薪酬明细!$D:$D,$E62,薪酬明细!$E:$E,$F62,薪酬明细!$H:$H,"&gt;="&amp;BD$9,薪酬明细!$H:$H,"&lt;="&amp;BD$10,薪酬明细!$A:$A,BD$6)/10000</f>
        <v>2.5</v>
      </c>
      <c r="BE62" s="121">
        <f>SUMIFS(薪酬明细!$M:$M,薪酬明细!$D:$D,$E62,薪酬明细!$E:$E,$F62,薪酬明细!$H:$H,"&gt;="&amp;BE$9,薪酬明细!$H:$H,"&lt;="&amp;BE$10,薪酬明细!$A:$A,BE$6)/10000</f>
        <v>2.5</v>
      </c>
      <c r="BF62" s="121">
        <f>SUMIFS(薪酬明细!$M:$M,薪酬明细!$D:$D,$E62,薪酬明细!$E:$E,$F62,薪酬明细!$H:$H,"&gt;="&amp;BF$9,薪酬明细!$H:$H,"&lt;="&amp;BF$10,薪酬明细!$A:$A,BF$6)/10000</f>
        <v>2.5</v>
      </c>
      <c r="BG62" s="121">
        <f>SUMIFS(薪酬明细!$M:$M,薪酬明细!$D:$D,$E62,薪酬明细!$E:$E,$F62,薪酬明细!$H:$H,"&gt;="&amp;BG$9,薪酬明细!$H:$H,"&lt;="&amp;BG$10,薪酬明细!$A:$A,BG$6)/10000</f>
        <v>2.5</v>
      </c>
    </row>
    <row r="63" ht="16.2" spans="3:59">
      <c r="C63" s="42"/>
      <c r="D63" s="42" t="s">
        <v>84</v>
      </c>
      <c r="E63" s="116" t="str">
        <f t="shared" si="87"/>
        <v>创新中心</v>
      </c>
      <c r="F63" s="116" t="str">
        <f t="shared" si="88"/>
        <v>XX
试验室</v>
      </c>
      <c r="G63" s="121">
        <f>SUMIFS(薪酬明细!$M:$M,薪酬明细!$D:$D,$E63,薪酬明细!$E:$E,$F63,薪酬明细!$H:$H,"&gt;="&amp;G$9,薪酬明细!$H:$H,"&lt;="&amp;G$10,薪酬明细!$A:$A,G$6)/10000</f>
        <v>18.9</v>
      </c>
      <c r="H63" s="121">
        <f>SUMIFS(薪酬明细!$M:$M,薪酬明细!$D:$D,$E63,薪酬明细!$E:$E,$F63,薪酬明细!$H:$H,"&gt;="&amp;H$9,薪酬明细!$H:$H,"&lt;="&amp;H$10,薪酬明细!$A:$A,H$6)/10000</f>
        <v>1.6</v>
      </c>
      <c r="I63" s="121">
        <f>SUMIFS(薪酬明细!$M:$M,薪酬明细!$D:$D,$E63,薪酬明细!$E:$E,$F63,薪酬明细!$H:$H,"&gt;="&amp;I$9,薪酬明细!$H:$H,"&lt;="&amp;I$10,薪酬明细!$A:$A,I$6)/10000</f>
        <v>1.6</v>
      </c>
      <c r="J63" s="121">
        <f>SUMIFS(薪酬明细!$M:$M,薪酬明细!$D:$D,$E63,薪酬明细!$E:$E,$F63,薪酬明细!$H:$H,"&gt;="&amp;J$9,薪酬明细!$H:$H,"&lt;="&amp;J$10,薪酬明细!$A:$A,J$6)/10000</f>
        <v>1.6</v>
      </c>
      <c r="K63" s="121">
        <f>SUMIFS(薪酬明细!$M:$M,薪酬明细!$D:$D,$E63,薪酬明细!$E:$E,$F63,薪酬明细!$H:$H,"&gt;="&amp;K$9,薪酬明细!$H:$H,"&lt;="&amp;K$10,薪酬明细!$A:$A,K$6)/10000</f>
        <v>1.6</v>
      </c>
      <c r="L63" s="121">
        <f>SUMIFS(薪酬明细!$M:$M,薪酬明细!$D:$D,$E63,薪酬明细!$E:$E,$F63,薪酬明细!$H:$H,"&gt;="&amp;L$9,薪酬明细!$H:$H,"&lt;="&amp;L$10,薪酬明细!$A:$A,L$6)/10000</f>
        <v>1.6</v>
      </c>
      <c r="M63" s="121">
        <f>SUMIFS(薪酬明细!$M:$M,薪酬明细!$D:$D,$E63,薪酬明细!$E:$E,$F63,薪酬明细!$H:$H,"&gt;="&amp;M$9,薪酬明细!$H:$H,"&lt;="&amp;M$10,薪酬明细!$A:$A,M$6)/10000</f>
        <v>1.6</v>
      </c>
      <c r="N63" s="121">
        <f>SUMIFS(薪酬明细!$M:$M,薪酬明细!$D:$D,$E63,薪酬明细!$E:$E,$F63,薪酬明细!$H:$H,"&gt;="&amp;N$9,薪酬明细!$H:$H,"&lt;="&amp;N$10,薪酬明细!$A:$A,N$6)/10000</f>
        <v>1.5</v>
      </c>
      <c r="O63" s="121">
        <f>SUMIFS(薪酬明细!$M:$M,薪酬明细!$D:$D,$E63,薪酬明细!$E:$E,$F63,薪酬明细!$H:$H,"&gt;="&amp;O$9,薪酬明细!$H:$H,"&lt;="&amp;O$10,薪酬明细!$A:$A,O$6)/10000</f>
        <v>1.5</v>
      </c>
      <c r="P63" s="121">
        <f>SUMIFS(薪酬明细!$M:$M,薪酬明细!$D:$D,$E63,薪酬明细!$E:$E,$F63,薪酬明细!$H:$H,"&gt;="&amp;P$9,薪酬明细!$H:$H,"&lt;="&amp;P$10,薪酬明细!$A:$A,P$6)/10000</f>
        <v>1.6</v>
      </c>
      <c r="Q63" s="121">
        <f>SUMIFS(薪酬明细!$M:$M,薪酬明细!$D:$D,$E63,薪酬明细!$E:$E,$F63,薪酬明细!$H:$H,"&gt;="&amp;Q$9,薪酬明细!$H:$H,"&lt;="&amp;Q$10,薪酬明细!$A:$A,Q$6)/10000</f>
        <v>1.6</v>
      </c>
      <c r="R63" s="121">
        <f>SUMIFS(薪酬明细!$M:$M,薪酬明细!$D:$D,$E63,薪酬明细!$E:$E,$F63,薪酬明细!$H:$H,"&gt;="&amp;R$9,薪酬明细!$H:$H,"&lt;="&amp;R$10,薪酬明细!$A:$A,R$6)/10000</f>
        <v>1.6</v>
      </c>
      <c r="S63" s="121">
        <f>SUMIFS(薪酬明细!$M:$M,薪酬明细!$D:$D,$E63,薪酬明细!$E:$E,$F63,薪酬明细!$H:$H,"&gt;="&amp;S$9,薪酬明细!$H:$H,"&lt;="&amp;S$10,薪酬明细!$A:$A,S$6)/10000</f>
        <v>1.6</v>
      </c>
      <c r="T63" s="125">
        <f t="shared" si="89"/>
        <v>18.9</v>
      </c>
      <c r="U63" s="121">
        <f>SUMIFS(薪酬明细!$M:$M,薪酬明细!$D:$D,$E63,薪酬明细!$E:$E,$F63,薪酬明细!$H:$H,"&gt;="&amp;U$9,薪酬明细!$H:$H,"&lt;="&amp;U$10,薪酬明细!$A:$A,U$6)/10000</f>
        <v>14.2</v>
      </c>
      <c r="V63" s="121">
        <f>SUMIFS(薪酬明细!$M:$M,薪酬明细!$D:$D,$E63,薪酬明细!$E:$E,$F63,薪酬明细!$H:$H,"&gt;="&amp;V$9,薪酬明细!$H:$H,"&lt;="&amp;V$10,薪酬明细!$A:$A,V$6)/10000</f>
        <v>1.6</v>
      </c>
      <c r="W63" s="121">
        <f>SUMIFS(薪酬明细!$M:$M,薪酬明细!$D:$D,$E63,薪酬明细!$E:$E,$F63,薪酬明细!$H:$H,"&gt;="&amp;W$9,薪酬明细!$H:$H,"&lt;="&amp;W$10,薪酬明细!$A:$A,W$6)/10000</f>
        <v>1.6</v>
      </c>
      <c r="X63" s="121">
        <f>SUMIFS(薪酬明细!$M:$M,薪酬明细!$D:$D,$E63,薪酬明细!$E:$E,$F63,薪酬明细!$H:$H,"&gt;="&amp;X$9,薪酬明细!$H:$H,"&lt;="&amp;X$10,薪酬明细!$A:$A,X$6)/10000</f>
        <v>1.6</v>
      </c>
      <c r="Y63" s="121">
        <f>SUMIFS(薪酬明细!$M:$M,薪酬明细!$D:$D,$E63,薪酬明细!$E:$E,$F63,薪酬明细!$H:$H,"&gt;="&amp;Y$9,薪酬明细!$H:$H,"&lt;="&amp;Y$10,薪酬明细!$A:$A,Y$6)/10000</f>
        <v>1.6</v>
      </c>
      <c r="Z63" s="121">
        <f>SUMIFS(薪酬明细!$M:$M,薪酬明细!$D:$D,$E63,薪酬明细!$E:$E,$F63,薪酬明细!$H:$H,"&gt;="&amp;Z$9,薪酬明细!$H:$H,"&lt;="&amp;Z$10,薪酬明细!$A:$A,Z$6)/10000</f>
        <v>1.5</v>
      </c>
      <c r="AA63" s="121">
        <f>SUMIFS(薪酬明细!$M:$M,薪酬明细!$D:$D,$E63,薪酬明细!$E:$E,$F63,薪酬明细!$H:$H,"&gt;="&amp;AA$9,薪酬明细!$H:$H,"&lt;="&amp;AA$10,薪酬明细!$A:$A,AA$6)/10000</f>
        <v>1.6</v>
      </c>
      <c r="AB63" s="121">
        <f>SUMIFS(薪酬明细!$M:$M,薪酬明细!$D:$D,$E63,薪酬明细!$E:$E,$F63,薪酬明细!$H:$H,"&gt;="&amp;AB$9,薪酬明细!$H:$H,"&lt;="&amp;AB$10,薪酬明细!$A:$A,AB$6)/10000</f>
        <v>1.6</v>
      </c>
      <c r="AC63" s="121">
        <f>SUMIFS(薪酬明细!$M:$M,薪酬明细!$D:$D,$E63,薪酬明细!$E:$E,$F63,薪酬明细!$H:$H,"&gt;="&amp;AC$9,薪酬明细!$H:$H,"&lt;="&amp;AC$10,薪酬明细!$A:$A,AC$6)/10000</f>
        <v>1.6</v>
      </c>
      <c r="AD63" s="121">
        <f>SUMIFS(薪酬明细!$M:$M,薪酬明细!$D:$D,$E63,薪酬明细!$E:$E,$F63,薪酬明细!$H:$H,"&gt;="&amp;AD$9,薪酬明细!$H:$H,"&lt;="&amp;AD$10,薪酬明细!$A:$A,AD$6)/10000</f>
        <v>1.6</v>
      </c>
      <c r="AE63" s="121">
        <f>SUMIFS(薪酬明细!$M:$M,薪酬明细!$D:$D,$E63,薪酬明细!$E:$E,$F63,薪酬明细!$H:$H,"&gt;="&amp;AE$9,薪酬明细!$H:$H,"&lt;="&amp;AE$10,薪酬明细!$A:$A,AE$6)/10000</f>
        <v>0</v>
      </c>
      <c r="AF63" s="121">
        <f>SUMIFS(薪酬明细!$M:$M,薪酬明细!$D:$D,$E63,薪酬明细!$E:$E,$F63,薪酬明细!$H:$H,"&gt;="&amp;AF$9,薪酬明细!$H:$H,"&lt;="&amp;AF$10,薪酬明细!$A:$A,AF$6)/10000</f>
        <v>0</v>
      </c>
      <c r="AG63" s="121">
        <f>SUMIFS(薪酬明细!$M:$M,薪酬明细!$D:$D,$E63,薪酬明细!$E:$E,$F63,薪酬明细!$H:$H,"&gt;="&amp;AG$9,薪酬明细!$H:$H,"&lt;="&amp;AG$10,薪酬明细!$A:$A,AG$6)/10000</f>
        <v>0</v>
      </c>
      <c r="AH63" s="121">
        <f>SUMIFS(薪酬明细!$M:$M,薪酬明细!$D:$D,$E63,薪酬明细!$E:$E,$F63,薪酬明细!$H:$H,"&gt;="&amp;AH$9,薪酬明细!$H:$H,"&lt;="&amp;AH$10,薪酬明细!$A:$A,AH$6)/10000</f>
        <v>4.7</v>
      </c>
      <c r="AI63" s="121">
        <f>SUMIFS(薪酬明细!$M:$M,薪酬明细!$D:$D,$E63,薪酬明细!$E:$E,$F63,薪酬明细!$H:$H,"&gt;="&amp;AI$9,薪酬明细!$H:$H,"&lt;="&amp;AI$10,薪酬明细!$A:$A,AI$6)/10000</f>
        <v>0</v>
      </c>
      <c r="AJ63" s="121">
        <f>SUMIFS(薪酬明细!$M:$M,薪酬明细!$D:$D,$E63,薪酬明细!$E:$E,$F63,薪酬明细!$H:$H,"&gt;="&amp;AJ$9,薪酬明细!$H:$H,"&lt;="&amp;AJ$10,薪酬明细!$A:$A,AJ$6)/10000</f>
        <v>0</v>
      </c>
      <c r="AK63" s="121">
        <f>SUMIFS(薪酬明细!$M:$M,薪酬明细!$D:$D,$E63,薪酬明细!$E:$E,$F63,薪酬明细!$H:$H,"&gt;="&amp;AK$9,薪酬明细!$H:$H,"&lt;="&amp;AK$10,薪酬明细!$A:$A,AK$6)/10000</f>
        <v>0</v>
      </c>
      <c r="AL63" s="121">
        <f>SUMIFS(薪酬明细!$M:$M,薪酬明细!$D:$D,$E63,薪酬明细!$E:$E,$F63,薪酬明细!$H:$H,"&gt;="&amp;AL$9,薪酬明细!$H:$H,"&lt;="&amp;AL$10,薪酬明细!$A:$A,AL$6)/10000</f>
        <v>0</v>
      </c>
      <c r="AM63" s="121">
        <f>SUMIFS(薪酬明细!$M:$M,薪酬明细!$D:$D,$E63,薪酬明细!$E:$E,$F63,薪酬明细!$H:$H,"&gt;="&amp;AM$9,薪酬明细!$H:$H,"&lt;="&amp;AM$10,薪酬明细!$A:$A,AM$6)/10000</f>
        <v>0</v>
      </c>
      <c r="AN63" s="121">
        <f>SUMIFS(薪酬明细!$M:$M,薪酬明细!$D:$D,$E63,薪酬明细!$E:$E,$F63,薪酬明细!$H:$H,"&gt;="&amp;AN$9,薪酬明细!$H:$H,"&lt;="&amp;AN$10,薪酬明细!$A:$A,AN$6)/10000</f>
        <v>0</v>
      </c>
      <c r="AO63" s="121">
        <f>SUMIFS(薪酬明细!$M:$M,薪酬明细!$D:$D,$E63,薪酬明细!$E:$E,$F63,薪酬明细!$H:$H,"&gt;="&amp;AO$9,薪酬明细!$H:$H,"&lt;="&amp;AO$10,薪酬明细!$A:$A,AO$6)/10000</f>
        <v>0</v>
      </c>
      <c r="AP63" s="121">
        <f>SUMIFS(薪酬明细!$M:$M,薪酬明细!$D:$D,$E63,薪酬明细!$E:$E,$F63,薪酬明细!$H:$H,"&gt;="&amp;AP$9,薪酬明细!$H:$H,"&lt;="&amp;AP$10,薪酬明细!$A:$A,AP$6)/10000</f>
        <v>0</v>
      </c>
      <c r="AQ63" s="121">
        <f>SUMIFS(薪酬明细!$M:$M,薪酬明细!$D:$D,$E63,薪酬明细!$E:$E,$F63,薪酬明细!$H:$H,"&gt;="&amp;AQ$9,薪酬明细!$H:$H,"&lt;="&amp;AQ$10,薪酬明细!$A:$A,AQ$6)/10000</f>
        <v>0</v>
      </c>
      <c r="AR63" s="121">
        <f>SUMIFS(薪酬明细!$M:$M,薪酬明细!$D:$D,$E63,薪酬明细!$E:$E,$F63,薪酬明细!$H:$H,"&gt;="&amp;AR$9,薪酬明细!$H:$H,"&lt;="&amp;AR$10,薪酬明细!$A:$A,AR$6)/10000</f>
        <v>1.5</v>
      </c>
      <c r="AS63" s="121">
        <f>SUMIFS(薪酬明细!$M:$M,薪酬明细!$D:$D,$E63,薪酬明细!$E:$E,$F63,薪酬明细!$H:$H,"&gt;="&amp;AS$9,薪酬明细!$H:$H,"&lt;="&amp;AS$10,薪酬明细!$A:$A,AS$6)/10000</f>
        <v>1.6</v>
      </c>
      <c r="AT63" s="121">
        <f>SUMIFS(薪酬明细!$M:$M,薪酬明细!$D:$D,$E63,薪酬明细!$E:$E,$F63,薪酬明细!$H:$H,"&gt;="&amp;AT$9,薪酬明细!$H:$H,"&lt;="&amp;AT$10,薪酬明细!$A:$A,AT$6)/10000</f>
        <v>1.6</v>
      </c>
      <c r="AU63" s="121">
        <f>SUMIFS(薪酬明细!$M:$M,薪酬明细!$D:$D,$E63,薪酬明细!$E:$E,$F63,薪酬明细!$H:$H,"&gt;="&amp;AU$9,薪酬明细!$H:$H,"&lt;="&amp;AU$10,薪酬明细!$A:$A,AU$6)/10000</f>
        <v>18.7</v>
      </c>
      <c r="AV63" s="121">
        <f>SUMIFS(薪酬明细!$M:$M,薪酬明细!$D:$D,$E63,薪酬明细!$E:$E,$F63,薪酬明细!$H:$H,"&gt;="&amp;AV$9,薪酬明细!$H:$H,"&lt;="&amp;AV$10,薪酬明细!$A:$A,AV$6)/10000</f>
        <v>1.6</v>
      </c>
      <c r="AW63" s="121">
        <f>SUMIFS(薪酬明细!$M:$M,薪酬明细!$D:$D,$E63,薪酬明细!$E:$E,$F63,薪酬明细!$H:$H,"&gt;="&amp;AW$9,薪酬明细!$H:$H,"&lt;="&amp;AW$10,薪酬明细!$A:$A,AW$6)/10000</f>
        <v>1.6</v>
      </c>
      <c r="AX63" s="121">
        <f>SUMIFS(薪酬明细!$M:$M,薪酬明细!$D:$D,$E63,薪酬明细!$E:$E,$F63,薪酬明细!$H:$H,"&gt;="&amp;AX$9,薪酬明细!$H:$H,"&lt;="&amp;AX$10,薪酬明细!$A:$A,AX$6)/10000</f>
        <v>1.5</v>
      </c>
      <c r="AY63" s="121">
        <f>SUMIFS(薪酬明细!$M:$M,薪酬明细!$D:$D,$E63,薪酬明细!$E:$E,$F63,薪酬明细!$H:$H,"&gt;="&amp;AY$9,薪酬明细!$H:$H,"&lt;="&amp;AY$10,薪酬明细!$A:$A,AY$6)/10000</f>
        <v>1.6</v>
      </c>
      <c r="AZ63" s="121">
        <f>SUMIFS(薪酬明细!$M:$M,薪酬明细!$D:$D,$E63,薪酬明细!$E:$E,$F63,薪酬明细!$H:$H,"&gt;="&amp;AZ$9,薪酬明细!$H:$H,"&lt;="&amp;AZ$10,薪酬明细!$A:$A,AZ$6)/10000</f>
        <v>1.6</v>
      </c>
      <c r="BA63" s="121">
        <f>SUMIFS(薪酬明细!$M:$M,薪酬明细!$D:$D,$E63,薪酬明细!$E:$E,$F63,薪酬明细!$H:$H,"&gt;="&amp;BA$9,薪酬明细!$H:$H,"&lt;="&amp;BA$10,薪酬明细!$A:$A,BA$6)/10000</f>
        <v>1.5</v>
      </c>
      <c r="BB63" s="121">
        <f>SUMIFS(薪酬明细!$M:$M,薪酬明细!$D:$D,$E63,薪酬明细!$E:$E,$F63,薪酬明细!$H:$H,"&gt;="&amp;BB$9,薪酬明细!$H:$H,"&lt;="&amp;BB$10,薪酬明细!$A:$A,BB$6)/10000</f>
        <v>1.6</v>
      </c>
      <c r="BC63" s="121">
        <f>SUMIFS(薪酬明细!$M:$M,薪酬明细!$D:$D,$E63,薪酬明细!$E:$E,$F63,薪酬明细!$H:$H,"&gt;="&amp;BC$9,薪酬明细!$H:$H,"&lt;="&amp;BC$10,薪酬明细!$A:$A,BC$6)/10000</f>
        <v>1.6</v>
      </c>
      <c r="BD63" s="121">
        <f>SUMIFS(薪酬明细!$M:$M,薪酬明细!$D:$D,$E63,薪酬明细!$E:$E,$F63,薪酬明细!$H:$H,"&gt;="&amp;BD$9,薪酬明细!$H:$H,"&lt;="&amp;BD$10,薪酬明细!$A:$A,BD$6)/10000</f>
        <v>1.6</v>
      </c>
      <c r="BE63" s="121">
        <f>SUMIFS(薪酬明细!$M:$M,薪酬明细!$D:$D,$E63,薪酬明细!$E:$E,$F63,薪酬明细!$H:$H,"&gt;="&amp;BE$9,薪酬明细!$H:$H,"&lt;="&amp;BE$10,薪酬明细!$A:$A,BE$6)/10000</f>
        <v>1.5</v>
      </c>
      <c r="BF63" s="121">
        <f>SUMIFS(薪酬明细!$M:$M,薪酬明细!$D:$D,$E63,薪酬明细!$E:$E,$F63,薪酬明细!$H:$H,"&gt;="&amp;BF$9,薪酬明细!$H:$H,"&lt;="&amp;BF$10,薪酬明细!$A:$A,BF$6)/10000</f>
        <v>1.6</v>
      </c>
      <c r="BG63" s="121">
        <f>SUMIFS(薪酬明细!$M:$M,薪酬明细!$D:$D,$E63,薪酬明细!$E:$E,$F63,薪酬明细!$H:$H,"&gt;="&amp;BG$9,薪酬明细!$H:$H,"&lt;="&amp;BG$10,薪酬明细!$A:$A,BG$6)/10000</f>
        <v>1.5</v>
      </c>
    </row>
    <row r="64" ht="16.2" spans="3:59">
      <c r="C64" s="42"/>
      <c r="D64" s="42" t="s">
        <v>85</v>
      </c>
      <c r="E64" s="116" t="str">
        <f t="shared" si="87"/>
        <v>创新中心</v>
      </c>
      <c r="F64" s="116" t="str">
        <f t="shared" si="88"/>
        <v>XX
孵化业务</v>
      </c>
      <c r="G64" s="121">
        <f>SUMIFS(薪酬明细!$M:$M,薪酬明细!$D:$D,$E64,薪酬明细!$E:$E,$F64,薪酬明细!$H:$H,"&gt;="&amp;G$9,薪酬明细!$H:$H,"&lt;="&amp;G$10,薪酬明细!$A:$A,G$6)/10000</f>
        <v>26.4</v>
      </c>
      <c r="H64" s="121">
        <f>SUMIFS(薪酬明细!$M:$M,薪酬明细!$D:$D,$E64,薪酬明细!$E:$E,$F64,薪酬明细!$H:$H,"&gt;="&amp;H$9,薪酬明细!$H:$H,"&lt;="&amp;H$10,薪酬明细!$A:$A,H$6)/10000</f>
        <v>2.2</v>
      </c>
      <c r="I64" s="121">
        <f>SUMIFS(薪酬明细!$M:$M,薪酬明细!$D:$D,$E64,薪酬明细!$E:$E,$F64,薪酬明细!$H:$H,"&gt;="&amp;I$9,薪酬明细!$H:$H,"&lt;="&amp;I$10,薪酬明细!$A:$A,I$6)/10000</f>
        <v>2.2</v>
      </c>
      <c r="J64" s="121">
        <f>SUMIFS(薪酬明细!$M:$M,薪酬明细!$D:$D,$E64,薪酬明细!$E:$E,$F64,薪酬明细!$H:$H,"&gt;="&amp;J$9,薪酬明细!$H:$H,"&lt;="&amp;J$10,薪酬明细!$A:$A,J$6)/10000</f>
        <v>2.2</v>
      </c>
      <c r="K64" s="121">
        <f>SUMIFS(薪酬明细!$M:$M,薪酬明细!$D:$D,$E64,薪酬明细!$E:$E,$F64,薪酬明细!$H:$H,"&gt;="&amp;K$9,薪酬明细!$H:$H,"&lt;="&amp;K$10,薪酬明细!$A:$A,K$6)/10000</f>
        <v>2.2</v>
      </c>
      <c r="L64" s="121">
        <f>SUMIFS(薪酬明细!$M:$M,薪酬明细!$D:$D,$E64,薪酬明细!$E:$E,$F64,薪酬明细!$H:$H,"&gt;="&amp;L$9,薪酬明细!$H:$H,"&lt;="&amp;L$10,薪酬明细!$A:$A,L$6)/10000</f>
        <v>2.2</v>
      </c>
      <c r="M64" s="121">
        <f>SUMIFS(薪酬明细!$M:$M,薪酬明细!$D:$D,$E64,薪酬明细!$E:$E,$F64,薪酬明细!$H:$H,"&gt;="&amp;M$9,薪酬明细!$H:$H,"&lt;="&amp;M$10,薪酬明细!$A:$A,M$6)/10000</f>
        <v>2.2</v>
      </c>
      <c r="N64" s="121">
        <f>SUMIFS(薪酬明细!$M:$M,薪酬明细!$D:$D,$E64,薪酬明细!$E:$E,$F64,薪酬明细!$H:$H,"&gt;="&amp;N$9,薪酬明细!$H:$H,"&lt;="&amp;N$10,薪酬明细!$A:$A,N$6)/10000</f>
        <v>2.2</v>
      </c>
      <c r="O64" s="121">
        <f>SUMIFS(薪酬明细!$M:$M,薪酬明细!$D:$D,$E64,薪酬明细!$E:$E,$F64,薪酬明细!$H:$H,"&gt;="&amp;O$9,薪酬明细!$H:$H,"&lt;="&amp;O$10,薪酬明细!$A:$A,O$6)/10000</f>
        <v>2.2</v>
      </c>
      <c r="P64" s="121">
        <f>SUMIFS(薪酬明细!$M:$M,薪酬明细!$D:$D,$E64,薪酬明细!$E:$E,$F64,薪酬明细!$H:$H,"&gt;="&amp;P$9,薪酬明细!$H:$H,"&lt;="&amp;P$10,薪酬明细!$A:$A,P$6)/10000</f>
        <v>2.2</v>
      </c>
      <c r="Q64" s="121">
        <f>SUMIFS(薪酬明细!$M:$M,薪酬明细!$D:$D,$E64,薪酬明细!$E:$E,$F64,薪酬明细!$H:$H,"&gt;="&amp;Q$9,薪酬明细!$H:$H,"&lt;="&amp;Q$10,薪酬明细!$A:$A,Q$6)/10000</f>
        <v>2.2</v>
      </c>
      <c r="R64" s="121">
        <f>SUMIFS(薪酬明细!$M:$M,薪酬明细!$D:$D,$E64,薪酬明细!$E:$E,$F64,薪酬明细!$H:$H,"&gt;="&amp;R$9,薪酬明细!$H:$H,"&lt;="&amp;R$10,薪酬明细!$A:$A,R$6)/10000</f>
        <v>2.2</v>
      </c>
      <c r="S64" s="121">
        <f>SUMIFS(薪酬明细!$M:$M,薪酬明细!$D:$D,$E64,薪酬明细!$E:$E,$F64,薪酬明细!$H:$H,"&gt;="&amp;S$9,薪酬明细!$H:$H,"&lt;="&amp;S$10,薪酬明细!$A:$A,S$6)/10000</f>
        <v>2.2</v>
      </c>
      <c r="T64" s="125">
        <f t="shared" si="89"/>
        <v>26.4</v>
      </c>
      <c r="U64" s="121">
        <f>SUMIFS(薪酬明细!$M:$M,薪酬明细!$D:$D,$E64,薪酬明细!$E:$E,$F64,薪酬明细!$H:$H,"&gt;="&amp;U$9,薪酬明细!$H:$H,"&lt;="&amp;U$10,薪酬明细!$A:$A,U$6)/10000</f>
        <v>19.8</v>
      </c>
      <c r="V64" s="121">
        <f>SUMIFS(薪酬明细!$M:$M,薪酬明细!$D:$D,$E64,薪酬明细!$E:$E,$F64,薪酬明细!$H:$H,"&gt;="&amp;V$9,薪酬明细!$H:$H,"&lt;="&amp;V$10,薪酬明细!$A:$A,V$6)/10000</f>
        <v>2.2</v>
      </c>
      <c r="W64" s="121">
        <f>SUMIFS(薪酬明细!$M:$M,薪酬明细!$D:$D,$E64,薪酬明细!$E:$E,$F64,薪酬明细!$H:$H,"&gt;="&amp;W$9,薪酬明细!$H:$H,"&lt;="&amp;W$10,薪酬明细!$A:$A,W$6)/10000</f>
        <v>2.2</v>
      </c>
      <c r="X64" s="121">
        <f>SUMIFS(薪酬明细!$M:$M,薪酬明细!$D:$D,$E64,薪酬明细!$E:$E,$F64,薪酬明细!$H:$H,"&gt;="&amp;X$9,薪酬明细!$H:$H,"&lt;="&amp;X$10,薪酬明细!$A:$A,X$6)/10000</f>
        <v>2.2</v>
      </c>
      <c r="Y64" s="121">
        <f>SUMIFS(薪酬明细!$M:$M,薪酬明细!$D:$D,$E64,薪酬明细!$E:$E,$F64,薪酬明细!$H:$H,"&gt;="&amp;Y$9,薪酬明细!$H:$H,"&lt;="&amp;Y$10,薪酬明细!$A:$A,Y$6)/10000</f>
        <v>2.2</v>
      </c>
      <c r="Z64" s="121">
        <f>SUMIFS(薪酬明细!$M:$M,薪酬明细!$D:$D,$E64,薪酬明细!$E:$E,$F64,薪酬明细!$H:$H,"&gt;="&amp;Z$9,薪酬明细!$H:$H,"&lt;="&amp;Z$10,薪酬明细!$A:$A,Z$6)/10000</f>
        <v>2.2</v>
      </c>
      <c r="AA64" s="121">
        <f>SUMIFS(薪酬明细!$M:$M,薪酬明细!$D:$D,$E64,薪酬明细!$E:$E,$F64,薪酬明细!$H:$H,"&gt;="&amp;AA$9,薪酬明细!$H:$H,"&lt;="&amp;AA$10,薪酬明细!$A:$A,AA$6)/10000</f>
        <v>2.2</v>
      </c>
      <c r="AB64" s="121">
        <f>SUMIFS(薪酬明细!$M:$M,薪酬明细!$D:$D,$E64,薪酬明细!$E:$E,$F64,薪酬明细!$H:$H,"&gt;="&amp;AB$9,薪酬明细!$H:$H,"&lt;="&amp;AB$10,薪酬明细!$A:$A,AB$6)/10000</f>
        <v>2.2</v>
      </c>
      <c r="AC64" s="121">
        <f>SUMIFS(薪酬明细!$M:$M,薪酬明细!$D:$D,$E64,薪酬明细!$E:$E,$F64,薪酬明细!$H:$H,"&gt;="&amp;AC$9,薪酬明细!$H:$H,"&lt;="&amp;AC$10,薪酬明细!$A:$A,AC$6)/10000</f>
        <v>2.2</v>
      </c>
      <c r="AD64" s="121">
        <f>SUMIFS(薪酬明细!$M:$M,薪酬明细!$D:$D,$E64,薪酬明细!$E:$E,$F64,薪酬明细!$H:$H,"&gt;="&amp;AD$9,薪酬明细!$H:$H,"&lt;="&amp;AD$10,薪酬明细!$A:$A,AD$6)/10000</f>
        <v>2.2</v>
      </c>
      <c r="AE64" s="121">
        <f>SUMIFS(薪酬明细!$M:$M,薪酬明细!$D:$D,$E64,薪酬明细!$E:$E,$F64,薪酬明细!$H:$H,"&gt;="&amp;AE$9,薪酬明细!$H:$H,"&lt;="&amp;AE$10,薪酬明细!$A:$A,AE$6)/10000</f>
        <v>0</v>
      </c>
      <c r="AF64" s="121">
        <f>SUMIFS(薪酬明细!$M:$M,薪酬明细!$D:$D,$E64,薪酬明细!$E:$E,$F64,薪酬明细!$H:$H,"&gt;="&amp;AF$9,薪酬明细!$H:$H,"&lt;="&amp;AF$10,薪酬明细!$A:$A,AF$6)/10000</f>
        <v>0</v>
      </c>
      <c r="AG64" s="121">
        <f>SUMIFS(薪酬明细!$M:$M,薪酬明细!$D:$D,$E64,薪酬明细!$E:$E,$F64,薪酬明细!$H:$H,"&gt;="&amp;AG$9,薪酬明细!$H:$H,"&lt;="&amp;AG$10,薪酬明细!$A:$A,AG$6)/10000</f>
        <v>0</v>
      </c>
      <c r="AH64" s="121">
        <f>SUMIFS(薪酬明细!$M:$M,薪酬明细!$D:$D,$E64,薪酬明细!$E:$E,$F64,薪酬明细!$H:$H,"&gt;="&amp;AH$9,薪酬明细!$H:$H,"&lt;="&amp;AH$10,薪酬明细!$A:$A,AH$6)/10000</f>
        <v>6.6</v>
      </c>
      <c r="AI64" s="121">
        <f>SUMIFS(薪酬明细!$M:$M,薪酬明细!$D:$D,$E64,薪酬明细!$E:$E,$F64,薪酬明细!$H:$H,"&gt;="&amp;AI$9,薪酬明细!$H:$H,"&lt;="&amp;AI$10,薪酬明细!$A:$A,AI$6)/10000</f>
        <v>0</v>
      </c>
      <c r="AJ64" s="121">
        <f>SUMIFS(薪酬明细!$M:$M,薪酬明细!$D:$D,$E64,薪酬明细!$E:$E,$F64,薪酬明细!$H:$H,"&gt;="&amp;AJ$9,薪酬明细!$H:$H,"&lt;="&amp;AJ$10,薪酬明细!$A:$A,AJ$6)/10000</f>
        <v>0</v>
      </c>
      <c r="AK64" s="121">
        <f>SUMIFS(薪酬明细!$M:$M,薪酬明细!$D:$D,$E64,薪酬明细!$E:$E,$F64,薪酬明细!$H:$H,"&gt;="&amp;AK$9,薪酬明细!$H:$H,"&lt;="&amp;AK$10,薪酬明细!$A:$A,AK$6)/10000</f>
        <v>0</v>
      </c>
      <c r="AL64" s="121">
        <f>SUMIFS(薪酬明细!$M:$M,薪酬明细!$D:$D,$E64,薪酬明细!$E:$E,$F64,薪酬明细!$H:$H,"&gt;="&amp;AL$9,薪酬明细!$H:$H,"&lt;="&amp;AL$10,薪酬明细!$A:$A,AL$6)/10000</f>
        <v>0</v>
      </c>
      <c r="AM64" s="121">
        <f>SUMIFS(薪酬明细!$M:$M,薪酬明细!$D:$D,$E64,薪酬明细!$E:$E,$F64,薪酬明细!$H:$H,"&gt;="&amp;AM$9,薪酬明细!$H:$H,"&lt;="&amp;AM$10,薪酬明细!$A:$A,AM$6)/10000</f>
        <v>0</v>
      </c>
      <c r="AN64" s="121">
        <f>SUMIFS(薪酬明细!$M:$M,薪酬明细!$D:$D,$E64,薪酬明细!$E:$E,$F64,薪酬明细!$H:$H,"&gt;="&amp;AN$9,薪酬明细!$H:$H,"&lt;="&amp;AN$10,薪酬明细!$A:$A,AN$6)/10000</f>
        <v>0</v>
      </c>
      <c r="AO64" s="121">
        <f>SUMIFS(薪酬明细!$M:$M,薪酬明细!$D:$D,$E64,薪酬明细!$E:$E,$F64,薪酬明细!$H:$H,"&gt;="&amp;AO$9,薪酬明细!$H:$H,"&lt;="&amp;AO$10,薪酬明细!$A:$A,AO$6)/10000</f>
        <v>0</v>
      </c>
      <c r="AP64" s="121">
        <f>SUMIFS(薪酬明细!$M:$M,薪酬明细!$D:$D,$E64,薪酬明细!$E:$E,$F64,薪酬明细!$H:$H,"&gt;="&amp;AP$9,薪酬明细!$H:$H,"&lt;="&amp;AP$10,薪酬明细!$A:$A,AP$6)/10000</f>
        <v>0</v>
      </c>
      <c r="AQ64" s="121">
        <f>SUMIFS(薪酬明细!$M:$M,薪酬明细!$D:$D,$E64,薪酬明细!$E:$E,$F64,薪酬明细!$H:$H,"&gt;="&amp;AQ$9,薪酬明细!$H:$H,"&lt;="&amp;AQ$10,薪酬明细!$A:$A,AQ$6)/10000</f>
        <v>0</v>
      </c>
      <c r="AR64" s="121">
        <f>SUMIFS(薪酬明细!$M:$M,薪酬明细!$D:$D,$E64,薪酬明细!$E:$E,$F64,薪酬明细!$H:$H,"&gt;="&amp;AR$9,薪酬明细!$H:$H,"&lt;="&amp;AR$10,薪酬明细!$A:$A,AR$6)/10000</f>
        <v>2.2</v>
      </c>
      <c r="AS64" s="121">
        <f>SUMIFS(薪酬明细!$M:$M,薪酬明细!$D:$D,$E64,薪酬明细!$E:$E,$F64,薪酬明细!$H:$H,"&gt;="&amp;AS$9,薪酬明细!$H:$H,"&lt;="&amp;AS$10,薪酬明细!$A:$A,AS$6)/10000</f>
        <v>2.2</v>
      </c>
      <c r="AT64" s="121">
        <f>SUMIFS(薪酬明细!$M:$M,薪酬明细!$D:$D,$E64,薪酬明细!$E:$E,$F64,薪酬明细!$H:$H,"&gt;="&amp;AT$9,薪酬明细!$H:$H,"&lt;="&amp;AT$10,薪酬明细!$A:$A,AT$6)/10000</f>
        <v>2.2</v>
      </c>
      <c r="AU64" s="121">
        <f>SUMIFS(薪酬明细!$M:$M,薪酬明细!$D:$D,$E64,薪酬明细!$E:$E,$F64,薪酬明细!$H:$H,"&gt;="&amp;AU$9,薪酬明细!$H:$H,"&lt;="&amp;AU$10,薪酬明细!$A:$A,AU$6)/10000</f>
        <v>26.5</v>
      </c>
      <c r="AV64" s="121">
        <f>SUMIFS(薪酬明细!$M:$M,薪酬明细!$D:$D,$E64,薪酬明细!$E:$E,$F64,薪酬明细!$H:$H,"&gt;="&amp;AV$9,薪酬明细!$H:$H,"&lt;="&amp;AV$10,薪酬明细!$A:$A,AV$6)/10000</f>
        <v>2.2</v>
      </c>
      <c r="AW64" s="121">
        <f>SUMIFS(薪酬明细!$M:$M,薪酬明细!$D:$D,$E64,薪酬明细!$E:$E,$F64,薪酬明细!$H:$H,"&gt;="&amp;AW$9,薪酬明细!$H:$H,"&lt;="&amp;AW$10,薪酬明细!$A:$A,AW$6)/10000</f>
        <v>2.2</v>
      </c>
      <c r="AX64" s="121">
        <f>SUMIFS(薪酬明细!$M:$M,薪酬明细!$D:$D,$E64,薪酬明细!$E:$E,$F64,薪酬明细!$H:$H,"&gt;="&amp;AX$9,薪酬明细!$H:$H,"&lt;="&amp;AX$10,薪酬明细!$A:$A,AX$6)/10000</f>
        <v>2.2</v>
      </c>
      <c r="AY64" s="121">
        <f>SUMIFS(薪酬明细!$M:$M,薪酬明细!$D:$D,$E64,薪酬明细!$E:$E,$F64,薪酬明细!$H:$H,"&gt;="&amp;AY$9,薪酬明细!$H:$H,"&lt;="&amp;AY$10,薪酬明细!$A:$A,AY$6)/10000</f>
        <v>2.2</v>
      </c>
      <c r="AZ64" s="121">
        <f>SUMIFS(薪酬明细!$M:$M,薪酬明细!$D:$D,$E64,薪酬明细!$E:$E,$F64,薪酬明细!$H:$H,"&gt;="&amp;AZ$9,薪酬明细!$H:$H,"&lt;="&amp;AZ$10,薪酬明细!$A:$A,AZ$6)/10000</f>
        <v>2.2</v>
      </c>
      <c r="BA64" s="121">
        <f>SUMIFS(薪酬明细!$M:$M,薪酬明细!$D:$D,$E64,薪酬明细!$E:$E,$F64,薪酬明细!$H:$H,"&gt;="&amp;BA$9,薪酬明细!$H:$H,"&lt;="&amp;BA$10,薪酬明细!$A:$A,BA$6)/10000</f>
        <v>2.2</v>
      </c>
      <c r="BB64" s="121">
        <f>SUMIFS(薪酬明细!$M:$M,薪酬明细!$D:$D,$E64,薪酬明细!$E:$E,$F64,薪酬明细!$H:$H,"&gt;="&amp;BB$9,薪酬明细!$H:$H,"&lt;="&amp;BB$10,薪酬明细!$A:$A,BB$6)/10000</f>
        <v>2.2</v>
      </c>
      <c r="BC64" s="121">
        <f>SUMIFS(薪酬明细!$M:$M,薪酬明细!$D:$D,$E64,薪酬明细!$E:$E,$F64,薪酬明细!$H:$H,"&gt;="&amp;BC$9,薪酬明细!$H:$H,"&lt;="&amp;BC$10,薪酬明细!$A:$A,BC$6)/10000</f>
        <v>2.2</v>
      </c>
      <c r="BD64" s="121">
        <f>SUMIFS(薪酬明细!$M:$M,薪酬明细!$D:$D,$E64,薪酬明细!$E:$E,$F64,薪酬明细!$H:$H,"&gt;="&amp;BD$9,薪酬明细!$H:$H,"&lt;="&amp;BD$10,薪酬明细!$A:$A,BD$6)/10000</f>
        <v>2.2</v>
      </c>
      <c r="BE64" s="121">
        <f>SUMIFS(薪酬明细!$M:$M,薪酬明细!$D:$D,$E64,薪酬明细!$E:$E,$F64,薪酬明细!$H:$H,"&gt;="&amp;BE$9,薪酬明细!$H:$H,"&lt;="&amp;BE$10,薪酬明细!$A:$A,BE$6)/10000</f>
        <v>2.2</v>
      </c>
      <c r="BF64" s="121">
        <f>SUMIFS(薪酬明细!$M:$M,薪酬明细!$D:$D,$E64,薪酬明细!$E:$E,$F64,薪酬明细!$H:$H,"&gt;="&amp;BF$9,薪酬明细!$H:$H,"&lt;="&amp;BF$10,薪酬明细!$A:$A,BF$6)/10000</f>
        <v>2.2</v>
      </c>
      <c r="BG64" s="121">
        <f>SUMIFS(薪酬明细!$M:$M,薪酬明细!$D:$D,$E64,薪酬明细!$E:$E,$F64,薪酬明细!$H:$H,"&gt;="&amp;BG$9,薪酬明细!$H:$H,"&lt;="&amp;BG$10,薪酬明细!$A:$A,BG$6)/10000</f>
        <v>2.2</v>
      </c>
    </row>
    <row r="65" ht="16.2" spans="3:59">
      <c r="C65" s="42" t="s">
        <v>86</v>
      </c>
      <c r="D65" s="42"/>
      <c r="E65" s="116" t="str">
        <f t="shared" si="87"/>
        <v>支持中心</v>
      </c>
      <c r="F65" s="116" t="str">
        <f t="shared" si="88"/>
        <v>*</v>
      </c>
      <c r="G65" s="121">
        <f>SUMIFS(薪酬明细!$M:$M,薪酬明细!$D:$D,$E65,薪酬明细!$E:$E,$F65,薪酬明细!$H:$H,"&gt;="&amp;G$9,薪酬明细!$H:$H,"&lt;="&amp;G$10,薪酬明细!$A:$A,G$6)/10000</f>
        <v>64.1</v>
      </c>
      <c r="H65" s="121">
        <f>SUMIFS(薪酬明细!$M:$M,薪酬明细!$D:$D,$E65,薪酬明细!$E:$E,$F65,薪酬明细!$H:$H,"&gt;="&amp;H$9,薪酬明细!$H:$H,"&lt;="&amp;H$10,薪酬明细!$A:$A,H$6)/10000</f>
        <v>5.4</v>
      </c>
      <c r="I65" s="121">
        <f>SUMIFS(薪酬明细!$M:$M,薪酬明细!$D:$D,$E65,薪酬明细!$E:$E,$F65,薪酬明细!$H:$H,"&gt;="&amp;I$9,薪酬明细!$H:$H,"&lt;="&amp;I$10,薪酬明细!$A:$A,I$6)/10000</f>
        <v>5.3</v>
      </c>
      <c r="J65" s="121">
        <f>SUMIFS(薪酬明细!$M:$M,薪酬明细!$D:$D,$E65,薪酬明细!$E:$E,$F65,薪酬明细!$H:$H,"&gt;="&amp;J$9,薪酬明细!$H:$H,"&lt;="&amp;J$10,薪酬明细!$A:$A,J$6)/10000</f>
        <v>5.4</v>
      </c>
      <c r="K65" s="121">
        <f>SUMIFS(薪酬明细!$M:$M,薪酬明细!$D:$D,$E65,薪酬明细!$E:$E,$F65,薪酬明细!$H:$H,"&gt;="&amp;K$9,薪酬明细!$H:$H,"&lt;="&amp;K$10,薪酬明细!$A:$A,K$6)/10000</f>
        <v>5.3</v>
      </c>
      <c r="L65" s="121">
        <f>SUMIFS(薪酬明细!$M:$M,薪酬明细!$D:$D,$E65,薪酬明细!$E:$E,$F65,薪酬明细!$H:$H,"&gt;="&amp;L$9,薪酬明细!$H:$H,"&lt;="&amp;L$10,薪酬明细!$A:$A,L$6)/10000</f>
        <v>5.3</v>
      </c>
      <c r="M65" s="121">
        <f>SUMIFS(薪酬明细!$M:$M,薪酬明细!$D:$D,$E65,薪酬明细!$E:$E,$F65,薪酬明细!$H:$H,"&gt;="&amp;M$9,薪酬明细!$H:$H,"&lt;="&amp;M$10,薪酬明细!$A:$A,M$6)/10000</f>
        <v>5.3</v>
      </c>
      <c r="N65" s="121">
        <f>SUMIFS(薪酬明细!$M:$M,薪酬明细!$D:$D,$E65,薪酬明细!$E:$E,$F65,薪酬明细!$H:$H,"&gt;="&amp;N$9,薪酬明细!$H:$H,"&lt;="&amp;N$10,薪酬明细!$A:$A,N$6)/10000</f>
        <v>5.4</v>
      </c>
      <c r="O65" s="121">
        <f>SUMIFS(薪酬明细!$M:$M,薪酬明细!$D:$D,$E65,薪酬明细!$E:$E,$F65,薪酬明细!$H:$H,"&gt;="&amp;O$9,薪酬明细!$H:$H,"&lt;="&amp;O$10,薪酬明细!$A:$A,O$6)/10000</f>
        <v>5.3</v>
      </c>
      <c r="P65" s="121">
        <f>SUMIFS(薪酬明细!$M:$M,薪酬明细!$D:$D,$E65,薪酬明细!$E:$E,$F65,薪酬明细!$H:$H,"&gt;="&amp;P$9,薪酬明细!$H:$H,"&lt;="&amp;P$10,薪酬明细!$A:$A,P$6)/10000</f>
        <v>5.3</v>
      </c>
      <c r="Q65" s="121">
        <f>SUMIFS(薪酬明细!$M:$M,薪酬明细!$D:$D,$E65,薪酬明细!$E:$E,$F65,薪酬明细!$H:$H,"&gt;="&amp;Q$9,薪酬明细!$H:$H,"&lt;="&amp;Q$10,薪酬明细!$A:$A,Q$6)/10000</f>
        <v>5.3</v>
      </c>
      <c r="R65" s="121">
        <f>SUMIFS(薪酬明细!$M:$M,薪酬明细!$D:$D,$E65,薪酬明细!$E:$E,$F65,薪酬明细!$H:$H,"&gt;="&amp;R$9,薪酬明细!$H:$H,"&lt;="&amp;R$10,薪酬明细!$A:$A,R$6)/10000</f>
        <v>5.3</v>
      </c>
      <c r="S65" s="121">
        <f>SUMIFS(薪酬明细!$M:$M,薪酬明细!$D:$D,$E65,薪酬明细!$E:$E,$F65,薪酬明细!$H:$H,"&gt;="&amp;S$9,薪酬明细!$H:$H,"&lt;="&amp;S$10,薪酬明细!$A:$A,S$6)/10000</f>
        <v>5.4</v>
      </c>
      <c r="T65" s="125">
        <f t="shared" si="89"/>
        <v>64.1</v>
      </c>
      <c r="U65" s="121">
        <f>SUMIFS(薪酬明细!$M:$M,薪酬明细!$D:$D,$E65,薪酬明细!$E:$E,$F65,薪酬明细!$H:$H,"&gt;="&amp;U$9,薪酬明细!$H:$H,"&lt;="&amp;U$10,薪酬明细!$A:$A,U$6)/10000</f>
        <v>48.1</v>
      </c>
      <c r="V65" s="121">
        <f>SUMIFS(薪酬明细!$M:$M,薪酬明细!$D:$D,$E65,薪酬明细!$E:$E,$F65,薪酬明细!$H:$H,"&gt;="&amp;V$9,薪酬明细!$H:$H,"&lt;="&amp;V$10,薪酬明细!$A:$A,V$6)/10000</f>
        <v>5.3</v>
      </c>
      <c r="W65" s="121">
        <f>SUMIFS(薪酬明细!$M:$M,薪酬明细!$D:$D,$E65,薪酬明细!$E:$E,$F65,薪酬明细!$H:$H,"&gt;="&amp;W$9,薪酬明细!$H:$H,"&lt;="&amp;W$10,薪酬明细!$A:$A,W$6)/10000</f>
        <v>5.3</v>
      </c>
      <c r="X65" s="121">
        <f>SUMIFS(薪酬明细!$M:$M,薪酬明细!$D:$D,$E65,薪酬明细!$E:$E,$F65,薪酬明细!$H:$H,"&gt;="&amp;X$9,薪酬明细!$H:$H,"&lt;="&amp;X$10,薪酬明细!$A:$A,X$6)/10000</f>
        <v>5.3</v>
      </c>
      <c r="Y65" s="121">
        <f>SUMIFS(薪酬明细!$M:$M,薪酬明细!$D:$D,$E65,薪酬明细!$E:$E,$F65,薪酬明细!$H:$H,"&gt;="&amp;Y$9,薪酬明细!$H:$H,"&lt;="&amp;Y$10,薪酬明细!$A:$A,Y$6)/10000</f>
        <v>5.4</v>
      </c>
      <c r="Z65" s="121">
        <f>SUMIFS(薪酬明细!$M:$M,薪酬明细!$D:$D,$E65,薪酬明细!$E:$E,$F65,薪酬明细!$H:$H,"&gt;="&amp;Z$9,薪酬明细!$H:$H,"&lt;="&amp;Z$10,薪酬明细!$A:$A,Z$6)/10000</f>
        <v>5.3</v>
      </c>
      <c r="AA65" s="121">
        <f>SUMIFS(薪酬明细!$M:$M,薪酬明细!$D:$D,$E65,薪酬明细!$E:$E,$F65,薪酬明细!$H:$H,"&gt;="&amp;AA$9,薪酬明细!$H:$H,"&lt;="&amp;AA$10,薪酬明细!$A:$A,AA$6)/10000</f>
        <v>5.4</v>
      </c>
      <c r="AB65" s="121">
        <f>SUMIFS(薪酬明细!$M:$M,薪酬明细!$D:$D,$E65,薪酬明细!$E:$E,$F65,薪酬明细!$H:$H,"&gt;="&amp;AB$9,薪酬明细!$H:$H,"&lt;="&amp;AB$10,薪酬明细!$A:$A,AB$6)/10000</f>
        <v>5.4</v>
      </c>
      <c r="AC65" s="121">
        <f>SUMIFS(薪酬明细!$M:$M,薪酬明细!$D:$D,$E65,薪酬明细!$E:$E,$F65,薪酬明细!$H:$H,"&gt;="&amp;AC$9,薪酬明细!$H:$H,"&lt;="&amp;AC$10,薪酬明细!$A:$A,AC$6)/10000</f>
        <v>5.3</v>
      </c>
      <c r="AD65" s="121">
        <f>SUMIFS(薪酬明细!$M:$M,薪酬明细!$D:$D,$E65,薪酬明细!$E:$E,$F65,薪酬明细!$H:$H,"&gt;="&amp;AD$9,薪酬明细!$H:$H,"&lt;="&amp;AD$10,薪酬明细!$A:$A,AD$6)/10000</f>
        <v>5.3</v>
      </c>
      <c r="AE65" s="121">
        <f>SUMIFS(薪酬明细!$M:$M,薪酬明细!$D:$D,$E65,薪酬明细!$E:$E,$F65,薪酬明细!$H:$H,"&gt;="&amp;AE$9,薪酬明细!$H:$H,"&lt;="&amp;AE$10,薪酬明细!$A:$A,AE$6)/10000</f>
        <v>0</v>
      </c>
      <c r="AF65" s="121">
        <f>SUMIFS(薪酬明细!$M:$M,薪酬明细!$D:$D,$E65,薪酬明细!$E:$E,$F65,薪酬明细!$H:$H,"&gt;="&amp;AF$9,薪酬明细!$H:$H,"&lt;="&amp;AF$10,薪酬明细!$A:$A,AF$6)/10000</f>
        <v>0</v>
      </c>
      <c r="AG65" s="121">
        <f>SUMIFS(薪酬明细!$M:$M,薪酬明细!$D:$D,$E65,薪酬明细!$E:$E,$F65,薪酬明细!$H:$H,"&gt;="&amp;AG$9,薪酬明细!$H:$H,"&lt;="&amp;AG$10,薪酬明细!$A:$A,AG$6)/10000</f>
        <v>0</v>
      </c>
      <c r="AH65" s="121">
        <f>SUMIFS(薪酬明细!$M:$M,薪酬明细!$D:$D,$E65,薪酬明细!$E:$E,$F65,薪酬明细!$H:$H,"&gt;="&amp;AH$9,薪酬明细!$H:$H,"&lt;="&amp;AH$10,薪酬明细!$A:$A,AH$6)/10000</f>
        <v>16</v>
      </c>
      <c r="AI65" s="121">
        <f>SUMIFS(薪酬明细!$M:$M,薪酬明细!$D:$D,$E65,薪酬明细!$E:$E,$F65,薪酬明细!$H:$H,"&gt;="&amp;AI$9,薪酬明细!$H:$H,"&lt;="&amp;AI$10,薪酬明细!$A:$A,AI$6)/10000</f>
        <v>0</v>
      </c>
      <c r="AJ65" s="121">
        <f>SUMIFS(薪酬明细!$M:$M,薪酬明细!$D:$D,$E65,薪酬明细!$E:$E,$F65,薪酬明细!$H:$H,"&gt;="&amp;AJ$9,薪酬明细!$H:$H,"&lt;="&amp;AJ$10,薪酬明细!$A:$A,AJ$6)/10000</f>
        <v>0</v>
      </c>
      <c r="AK65" s="121">
        <f>SUMIFS(薪酬明细!$M:$M,薪酬明细!$D:$D,$E65,薪酬明细!$E:$E,$F65,薪酬明细!$H:$H,"&gt;="&amp;AK$9,薪酬明细!$H:$H,"&lt;="&amp;AK$10,薪酬明细!$A:$A,AK$6)/10000</f>
        <v>0</v>
      </c>
      <c r="AL65" s="121">
        <f>SUMIFS(薪酬明细!$M:$M,薪酬明细!$D:$D,$E65,薪酬明细!$E:$E,$F65,薪酬明细!$H:$H,"&gt;="&amp;AL$9,薪酬明细!$H:$H,"&lt;="&amp;AL$10,薪酬明细!$A:$A,AL$6)/10000</f>
        <v>0</v>
      </c>
      <c r="AM65" s="121">
        <f>SUMIFS(薪酬明细!$M:$M,薪酬明细!$D:$D,$E65,薪酬明细!$E:$E,$F65,薪酬明细!$H:$H,"&gt;="&amp;AM$9,薪酬明细!$H:$H,"&lt;="&amp;AM$10,薪酬明细!$A:$A,AM$6)/10000</f>
        <v>0</v>
      </c>
      <c r="AN65" s="121">
        <f>SUMIFS(薪酬明细!$M:$M,薪酬明细!$D:$D,$E65,薪酬明细!$E:$E,$F65,薪酬明细!$H:$H,"&gt;="&amp;AN$9,薪酬明细!$H:$H,"&lt;="&amp;AN$10,薪酬明细!$A:$A,AN$6)/10000</f>
        <v>0</v>
      </c>
      <c r="AO65" s="121">
        <f>SUMIFS(薪酬明细!$M:$M,薪酬明细!$D:$D,$E65,薪酬明细!$E:$E,$F65,薪酬明细!$H:$H,"&gt;="&amp;AO$9,薪酬明细!$H:$H,"&lt;="&amp;AO$10,薪酬明细!$A:$A,AO$6)/10000</f>
        <v>0</v>
      </c>
      <c r="AP65" s="121">
        <f>SUMIFS(薪酬明细!$M:$M,薪酬明细!$D:$D,$E65,薪酬明细!$E:$E,$F65,薪酬明细!$H:$H,"&gt;="&amp;AP$9,薪酬明细!$H:$H,"&lt;="&amp;AP$10,薪酬明细!$A:$A,AP$6)/10000</f>
        <v>0</v>
      </c>
      <c r="AQ65" s="121">
        <f>SUMIFS(薪酬明细!$M:$M,薪酬明细!$D:$D,$E65,薪酬明细!$E:$E,$F65,薪酬明细!$H:$H,"&gt;="&amp;AQ$9,薪酬明细!$H:$H,"&lt;="&amp;AQ$10,薪酬明细!$A:$A,AQ$6)/10000</f>
        <v>0</v>
      </c>
      <c r="AR65" s="121">
        <f>SUMIFS(薪酬明细!$M:$M,薪酬明细!$D:$D,$E65,薪酬明细!$E:$E,$F65,薪酬明细!$H:$H,"&gt;="&amp;AR$9,薪酬明细!$H:$H,"&lt;="&amp;AR$10,薪酬明细!$A:$A,AR$6)/10000</f>
        <v>5.4</v>
      </c>
      <c r="AS65" s="121">
        <f>SUMIFS(薪酬明细!$M:$M,薪酬明细!$D:$D,$E65,薪酬明细!$E:$E,$F65,薪酬明细!$H:$H,"&gt;="&amp;AS$9,薪酬明细!$H:$H,"&lt;="&amp;AS$10,薪酬明细!$A:$A,AS$6)/10000</f>
        <v>5.3</v>
      </c>
      <c r="AT65" s="121">
        <f>SUMIFS(薪酬明细!$M:$M,薪酬明细!$D:$D,$E65,薪酬明细!$E:$E,$F65,薪酬明细!$H:$H,"&gt;="&amp;AT$9,薪酬明细!$H:$H,"&lt;="&amp;AT$10,薪酬明细!$A:$A,AT$6)/10000</f>
        <v>5.3</v>
      </c>
      <c r="AU65" s="121">
        <f>SUMIFS(薪酬明细!$M:$M,薪酬明细!$D:$D,$E65,薪酬明细!$E:$E,$F65,薪酬明细!$H:$H,"&gt;="&amp;AU$9,薪酬明细!$H:$H,"&lt;="&amp;AU$10,薪酬明细!$A:$A,AU$6)/10000</f>
        <v>64</v>
      </c>
      <c r="AV65" s="121">
        <f>SUMIFS(薪酬明细!$M:$M,薪酬明细!$D:$D,$E65,薪酬明细!$E:$E,$F65,薪酬明细!$H:$H,"&gt;="&amp;AV$9,薪酬明细!$H:$H,"&lt;="&amp;AV$10,薪酬明细!$A:$A,AV$6)/10000</f>
        <v>5.3</v>
      </c>
      <c r="AW65" s="121">
        <f>SUMIFS(薪酬明细!$M:$M,薪酬明细!$D:$D,$E65,薪酬明细!$E:$E,$F65,薪酬明细!$H:$H,"&gt;="&amp;AW$9,薪酬明细!$H:$H,"&lt;="&amp;AW$10,薪酬明细!$A:$A,AW$6)/10000</f>
        <v>5.3</v>
      </c>
      <c r="AX65" s="121">
        <f>SUMIFS(薪酬明细!$M:$M,薪酬明细!$D:$D,$E65,薪酬明细!$E:$E,$F65,薪酬明细!$H:$H,"&gt;="&amp;AX$9,薪酬明细!$H:$H,"&lt;="&amp;AX$10,薪酬明细!$A:$A,AX$6)/10000</f>
        <v>5.4</v>
      </c>
      <c r="AY65" s="121">
        <f>SUMIFS(薪酬明细!$M:$M,薪酬明细!$D:$D,$E65,薪酬明细!$E:$E,$F65,薪酬明细!$H:$H,"&gt;="&amp;AY$9,薪酬明细!$H:$H,"&lt;="&amp;AY$10,薪酬明细!$A:$A,AY$6)/10000</f>
        <v>5.4</v>
      </c>
      <c r="AZ65" s="121">
        <f>SUMIFS(薪酬明细!$M:$M,薪酬明细!$D:$D,$E65,薪酬明细!$E:$E,$F65,薪酬明细!$H:$H,"&gt;="&amp;AZ$9,薪酬明细!$H:$H,"&lt;="&amp;AZ$10,薪酬明细!$A:$A,AZ$6)/10000</f>
        <v>5.3</v>
      </c>
      <c r="BA65" s="121">
        <f>SUMIFS(薪酬明细!$M:$M,薪酬明细!$D:$D,$E65,薪酬明细!$E:$E,$F65,薪酬明细!$H:$H,"&gt;="&amp;BA$9,薪酬明细!$H:$H,"&lt;="&amp;BA$10,薪酬明细!$A:$A,BA$6)/10000</f>
        <v>5.3</v>
      </c>
      <c r="BB65" s="121">
        <f>SUMIFS(薪酬明细!$M:$M,薪酬明细!$D:$D,$E65,薪酬明细!$E:$E,$F65,薪酬明细!$H:$H,"&gt;="&amp;BB$9,薪酬明细!$H:$H,"&lt;="&amp;BB$10,薪酬明细!$A:$A,BB$6)/10000</f>
        <v>5.3</v>
      </c>
      <c r="BC65" s="121">
        <f>SUMIFS(薪酬明细!$M:$M,薪酬明细!$D:$D,$E65,薪酬明细!$E:$E,$F65,薪酬明细!$H:$H,"&gt;="&amp;BC$9,薪酬明细!$H:$H,"&lt;="&amp;BC$10,薪酬明细!$A:$A,BC$6)/10000</f>
        <v>5.3</v>
      </c>
      <c r="BD65" s="121">
        <f>SUMIFS(薪酬明细!$M:$M,薪酬明细!$D:$D,$E65,薪酬明细!$E:$E,$F65,薪酬明细!$H:$H,"&gt;="&amp;BD$9,薪酬明细!$H:$H,"&lt;="&amp;BD$10,薪酬明细!$A:$A,BD$6)/10000</f>
        <v>5.3</v>
      </c>
      <c r="BE65" s="121">
        <f>SUMIFS(薪酬明细!$M:$M,薪酬明细!$D:$D,$E65,薪酬明细!$E:$E,$F65,薪酬明细!$H:$H,"&gt;="&amp;BE$9,薪酬明细!$H:$H,"&lt;="&amp;BE$10,薪酬明细!$A:$A,BE$6)/10000</f>
        <v>5.4</v>
      </c>
      <c r="BF65" s="121">
        <f>SUMIFS(薪酬明细!$M:$M,薪酬明细!$D:$D,$E65,薪酬明细!$E:$E,$F65,薪酬明细!$H:$H,"&gt;="&amp;BF$9,薪酬明细!$H:$H,"&lt;="&amp;BF$10,薪酬明细!$A:$A,BF$6)/10000</f>
        <v>5.3</v>
      </c>
      <c r="BG65" s="121">
        <f>SUMIFS(薪酬明细!$M:$M,薪酬明细!$D:$D,$E65,薪酬明细!$E:$E,$F65,薪酬明细!$H:$H,"&gt;="&amp;BG$9,薪酬明细!$H:$H,"&lt;="&amp;BG$10,薪酬明细!$A:$A,BG$6)/10000</f>
        <v>5.3</v>
      </c>
    </row>
    <row r="66" ht="16.2" spans="3:59">
      <c r="C66" s="42"/>
      <c r="D66" s="42" t="s">
        <v>87</v>
      </c>
      <c r="E66" s="116" t="str">
        <f t="shared" si="87"/>
        <v>支持中心</v>
      </c>
      <c r="F66" s="116" t="str">
        <f t="shared" si="88"/>
        <v>财务部</v>
      </c>
      <c r="G66" s="121">
        <f>SUMIFS(薪酬明细!$M:$M,薪酬明细!$D:$D,$E66,薪酬明细!$E:$E,$F66,薪酬明细!$H:$H,"&gt;="&amp;G$9,薪酬明细!$H:$H,"&lt;="&amp;G$10,薪酬明细!$A:$A,G$6)/10000</f>
        <v>26.5</v>
      </c>
      <c r="H66" s="121">
        <f>SUMIFS(薪酬明细!$M:$M,薪酬明细!$D:$D,$E66,薪酬明细!$E:$E,$F66,薪酬明细!$H:$H,"&gt;="&amp;H$9,薪酬明细!$H:$H,"&lt;="&amp;H$10,薪酬明细!$A:$A,H$6)/10000</f>
        <v>2.2</v>
      </c>
      <c r="I66" s="121">
        <f>SUMIFS(薪酬明细!$M:$M,薪酬明细!$D:$D,$E66,薪酬明细!$E:$E,$F66,薪酬明细!$H:$H,"&gt;="&amp;I$9,薪酬明细!$H:$H,"&lt;="&amp;I$10,薪酬明细!$A:$A,I$6)/10000</f>
        <v>2.2</v>
      </c>
      <c r="J66" s="121">
        <f>SUMIFS(薪酬明细!$M:$M,薪酬明细!$D:$D,$E66,薪酬明细!$E:$E,$F66,薪酬明细!$H:$H,"&gt;="&amp;J$9,薪酬明细!$H:$H,"&lt;="&amp;J$10,薪酬明细!$A:$A,J$6)/10000</f>
        <v>2.2</v>
      </c>
      <c r="K66" s="121">
        <f>SUMIFS(薪酬明细!$M:$M,薪酬明细!$D:$D,$E66,薪酬明细!$E:$E,$F66,薪酬明细!$H:$H,"&gt;="&amp;K$9,薪酬明细!$H:$H,"&lt;="&amp;K$10,薪酬明细!$A:$A,K$6)/10000</f>
        <v>2.2</v>
      </c>
      <c r="L66" s="121">
        <f>SUMIFS(薪酬明细!$M:$M,薪酬明细!$D:$D,$E66,薪酬明细!$E:$E,$F66,薪酬明细!$H:$H,"&gt;="&amp;L$9,薪酬明细!$H:$H,"&lt;="&amp;L$10,薪酬明细!$A:$A,L$6)/10000</f>
        <v>2.2</v>
      </c>
      <c r="M66" s="121">
        <f>SUMIFS(薪酬明细!$M:$M,薪酬明细!$D:$D,$E66,薪酬明细!$E:$E,$F66,薪酬明细!$H:$H,"&gt;="&amp;M$9,薪酬明细!$H:$H,"&lt;="&amp;M$10,薪酬明细!$A:$A,M$6)/10000</f>
        <v>2.2</v>
      </c>
      <c r="N66" s="121">
        <f>SUMIFS(薪酬明细!$M:$M,薪酬明细!$D:$D,$E66,薪酬明细!$E:$E,$F66,薪酬明细!$H:$H,"&gt;="&amp;N$9,薪酬明细!$H:$H,"&lt;="&amp;N$10,薪酬明细!$A:$A,N$6)/10000</f>
        <v>2.2</v>
      </c>
      <c r="O66" s="121">
        <f>SUMIFS(薪酬明细!$M:$M,薪酬明细!$D:$D,$E66,薪酬明细!$E:$E,$F66,薪酬明细!$H:$H,"&gt;="&amp;O$9,薪酬明细!$H:$H,"&lt;="&amp;O$10,薪酬明细!$A:$A,O$6)/10000</f>
        <v>2.2</v>
      </c>
      <c r="P66" s="121">
        <f>SUMIFS(薪酬明细!$M:$M,薪酬明细!$D:$D,$E66,薪酬明细!$E:$E,$F66,薪酬明细!$H:$H,"&gt;="&amp;P$9,薪酬明细!$H:$H,"&lt;="&amp;P$10,薪酬明细!$A:$A,P$6)/10000</f>
        <v>2.2</v>
      </c>
      <c r="Q66" s="121">
        <f>SUMIFS(薪酬明细!$M:$M,薪酬明细!$D:$D,$E66,薪酬明细!$E:$E,$F66,薪酬明细!$H:$H,"&gt;="&amp;Q$9,薪酬明细!$H:$H,"&lt;="&amp;Q$10,薪酬明细!$A:$A,Q$6)/10000</f>
        <v>2.2</v>
      </c>
      <c r="R66" s="121">
        <f>SUMIFS(薪酬明细!$M:$M,薪酬明细!$D:$D,$E66,薪酬明细!$E:$E,$F66,薪酬明细!$H:$H,"&gt;="&amp;R$9,薪酬明细!$H:$H,"&lt;="&amp;R$10,薪酬明细!$A:$A,R$6)/10000</f>
        <v>2.2</v>
      </c>
      <c r="S66" s="121">
        <f>SUMIFS(薪酬明细!$M:$M,薪酬明细!$D:$D,$E66,薪酬明细!$E:$E,$F66,薪酬明细!$H:$H,"&gt;="&amp;S$9,薪酬明细!$H:$H,"&lt;="&amp;S$10,薪酬明细!$A:$A,S$6)/10000</f>
        <v>2.2</v>
      </c>
      <c r="T66" s="125">
        <f t="shared" si="89"/>
        <v>26.4</v>
      </c>
      <c r="U66" s="121">
        <f>SUMIFS(薪酬明细!$M:$M,薪酬明细!$D:$D,$E66,薪酬明细!$E:$E,$F66,薪酬明细!$H:$H,"&gt;="&amp;U$9,薪酬明细!$H:$H,"&lt;="&amp;U$10,薪酬明细!$A:$A,U$6)/10000</f>
        <v>19.8</v>
      </c>
      <c r="V66" s="121">
        <f>SUMIFS(薪酬明细!$M:$M,薪酬明细!$D:$D,$E66,薪酬明细!$E:$E,$F66,薪酬明细!$H:$H,"&gt;="&amp;V$9,薪酬明细!$H:$H,"&lt;="&amp;V$10,薪酬明细!$A:$A,V$6)/10000</f>
        <v>2.2</v>
      </c>
      <c r="W66" s="121">
        <f>SUMIFS(薪酬明细!$M:$M,薪酬明细!$D:$D,$E66,薪酬明细!$E:$E,$F66,薪酬明细!$H:$H,"&gt;="&amp;W$9,薪酬明细!$H:$H,"&lt;="&amp;W$10,薪酬明细!$A:$A,W$6)/10000</f>
        <v>2.2</v>
      </c>
      <c r="X66" s="121">
        <f>SUMIFS(薪酬明细!$M:$M,薪酬明细!$D:$D,$E66,薪酬明细!$E:$E,$F66,薪酬明细!$H:$H,"&gt;="&amp;X$9,薪酬明细!$H:$H,"&lt;="&amp;X$10,薪酬明细!$A:$A,X$6)/10000</f>
        <v>2.2</v>
      </c>
      <c r="Y66" s="121">
        <f>SUMIFS(薪酬明细!$M:$M,薪酬明细!$D:$D,$E66,薪酬明细!$E:$E,$F66,薪酬明细!$H:$H,"&gt;="&amp;Y$9,薪酬明细!$H:$H,"&lt;="&amp;Y$10,薪酬明细!$A:$A,Y$6)/10000</f>
        <v>2.2</v>
      </c>
      <c r="Z66" s="121">
        <f>SUMIFS(薪酬明细!$M:$M,薪酬明细!$D:$D,$E66,薪酬明细!$E:$E,$F66,薪酬明细!$H:$H,"&gt;="&amp;Z$9,薪酬明细!$H:$H,"&lt;="&amp;Z$10,薪酬明细!$A:$A,Z$6)/10000</f>
        <v>2.2</v>
      </c>
      <c r="AA66" s="121">
        <f>SUMIFS(薪酬明细!$M:$M,薪酬明细!$D:$D,$E66,薪酬明细!$E:$E,$F66,薪酬明细!$H:$H,"&gt;="&amp;AA$9,薪酬明细!$H:$H,"&lt;="&amp;AA$10,薪酬明细!$A:$A,AA$6)/10000</f>
        <v>2.2</v>
      </c>
      <c r="AB66" s="121">
        <f>SUMIFS(薪酬明细!$M:$M,薪酬明细!$D:$D,$E66,薪酬明细!$E:$E,$F66,薪酬明细!$H:$H,"&gt;="&amp;AB$9,薪酬明细!$H:$H,"&lt;="&amp;AB$10,薪酬明细!$A:$A,AB$6)/10000</f>
        <v>2.2</v>
      </c>
      <c r="AC66" s="121">
        <f>SUMIFS(薪酬明细!$M:$M,薪酬明细!$D:$D,$E66,薪酬明细!$E:$E,$F66,薪酬明细!$H:$H,"&gt;="&amp;AC$9,薪酬明细!$H:$H,"&lt;="&amp;AC$10,薪酬明细!$A:$A,AC$6)/10000</f>
        <v>2.2</v>
      </c>
      <c r="AD66" s="121">
        <f>SUMIFS(薪酬明细!$M:$M,薪酬明细!$D:$D,$E66,薪酬明细!$E:$E,$F66,薪酬明细!$H:$H,"&gt;="&amp;AD$9,薪酬明细!$H:$H,"&lt;="&amp;AD$10,薪酬明细!$A:$A,AD$6)/10000</f>
        <v>2.2</v>
      </c>
      <c r="AE66" s="121">
        <f>SUMIFS(薪酬明细!$M:$M,薪酬明细!$D:$D,$E66,薪酬明细!$E:$E,$F66,薪酬明细!$H:$H,"&gt;="&amp;AE$9,薪酬明细!$H:$H,"&lt;="&amp;AE$10,薪酬明细!$A:$A,AE$6)/10000</f>
        <v>0</v>
      </c>
      <c r="AF66" s="121">
        <f>SUMIFS(薪酬明细!$M:$M,薪酬明细!$D:$D,$E66,薪酬明细!$E:$E,$F66,薪酬明细!$H:$H,"&gt;="&amp;AF$9,薪酬明细!$H:$H,"&lt;="&amp;AF$10,薪酬明细!$A:$A,AF$6)/10000</f>
        <v>0</v>
      </c>
      <c r="AG66" s="121">
        <f>SUMIFS(薪酬明细!$M:$M,薪酬明细!$D:$D,$E66,薪酬明细!$E:$E,$F66,薪酬明细!$H:$H,"&gt;="&amp;AG$9,薪酬明细!$H:$H,"&lt;="&amp;AG$10,薪酬明细!$A:$A,AG$6)/10000</f>
        <v>0</v>
      </c>
      <c r="AH66" s="121">
        <f>SUMIFS(薪酬明细!$M:$M,薪酬明细!$D:$D,$E66,薪酬明细!$E:$E,$F66,薪酬明细!$H:$H,"&gt;="&amp;AH$9,薪酬明细!$H:$H,"&lt;="&amp;AH$10,薪酬明细!$A:$A,AH$6)/10000</f>
        <v>6.6</v>
      </c>
      <c r="AI66" s="121">
        <f>SUMIFS(薪酬明细!$M:$M,薪酬明细!$D:$D,$E66,薪酬明细!$E:$E,$F66,薪酬明细!$H:$H,"&gt;="&amp;AI$9,薪酬明细!$H:$H,"&lt;="&amp;AI$10,薪酬明细!$A:$A,AI$6)/10000</f>
        <v>0</v>
      </c>
      <c r="AJ66" s="121">
        <f>SUMIFS(薪酬明细!$M:$M,薪酬明细!$D:$D,$E66,薪酬明细!$E:$E,$F66,薪酬明细!$H:$H,"&gt;="&amp;AJ$9,薪酬明细!$H:$H,"&lt;="&amp;AJ$10,薪酬明细!$A:$A,AJ$6)/10000</f>
        <v>0</v>
      </c>
      <c r="AK66" s="121">
        <f>SUMIFS(薪酬明细!$M:$M,薪酬明细!$D:$D,$E66,薪酬明细!$E:$E,$F66,薪酬明细!$H:$H,"&gt;="&amp;AK$9,薪酬明细!$H:$H,"&lt;="&amp;AK$10,薪酬明细!$A:$A,AK$6)/10000</f>
        <v>0</v>
      </c>
      <c r="AL66" s="121">
        <f>SUMIFS(薪酬明细!$M:$M,薪酬明细!$D:$D,$E66,薪酬明细!$E:$E,$F66,薪酬明细!$H:$H,"&gt;="&amp;AL$9,薪酬明细!$H:$H,"&lt;="&amp;AL$10,薪酬明细!$A:$A,AL$6)/10000</f>
        <v>0</v>
      </c>
      <c r="AM66" s="121">
        <f>SUMIFS(薪酬明细!$M:$M,薪酬明细!$D:$D,$E66,薪酬明细!$E:$E,$F66,薪酬明细!$H:$H,"&gt;="&amp;AM$9,薪酬明细!$H:$H,"&lt;="&amp;AM$10,薪酬明细!$A:$A,AM$6)/10000</f>
        <v>0</v>
      </c>
      <c r="AN66" s="121">
        <f>SUMIFS(薪酬明细!$M:$M,薪酬明细!$D:$D,$E66,薪酬明细!$E:$E,$F66,薪酬明细!$H:$H,"&gt;="&amp;AN$9,薪酬明细!$H:$H,"&lt;="&amp;AN$10,薪酬明细!$A:$A,AN$6)/10000</f>
        <v>0</v>
      </c>
      <c r="AO66" s="121">
        <f>SUMIFS(薪酬明细!$M:$M,薪酬明细!$D:$D,$E66,薪酬明细!$E:$E,$F66,薪酬明细!$H:$H,"&gt;="&amp;AO$9,薪酬明细!$H:$H,"&lt;="&amp;AO$10,薪酬明细!$A:$A,AO$6)/10000</f>
        <v>0</v>
      </c>
      <c r="AP66" s="121">
        <f>SUMIFS(薪酬明细!$M:$M,薪酬明细!$D:$D,$E66,薪酬明细!$E:$E,$F66,薪酬明细!$H:$H,"&gt;="&amp;AP$9,薪酬明细!$H:$H,"&lt;="&amp;AP$10,薪酬明细!$A:$A,AP$6)/10000</f>
        <v>0</v>
      </c>
      <c r="AQ66" s="121">
        <f>SUMIFS(薪酬明细!$M:$M,薪酬明细!$D:$D,$E66,薪酬明细!$E:$E,$F66,薪酬明细!$H:$H,"&gt;="&amp;AQ$9,薪酬明细!$H:$H,"&lt;="&amp;AQ$10,薪酬明细!$A:$A,AQ$6)/10000</f>
        <v>0</v>
      </c>
      <c r="AR66" s="121">
        <f>SUMIFS(薪酬明细!$M:$M,薪酬明细!$D:$D,$E66,薪酬明细!$E:$E,$F66,薪酬明细!$H:$H,"&gt;="&amp;AR$9,薪酬明细!$H:$H,"&lt;="&amp;AR$10,薪酬明细!$A:$A,AR$6)/10000</f>
        <v>2.2</v>
      </c>
      <c r="AS66" s="121">
        <f>SUMIFS(薪酬明细!$M:$M,薪酬明细!$D:$D,$E66,薪酬明细!$E:$E,$F66,薪酬明细!$H:$H,"&gt;="&amp;AS$9,薪酬明细!$H:$H,"&lt;="&amp;AS$10,薪酬明细!$A:$A,AS$6)/10000</f>
        <v>2.2</v>
      </c>
      <c r="AT66" s="121">
        <f>SUMIFS(薪酬明细!$M:$M,薪酬明细!$D:$D,$E66,薪酬明细!$E:$E,$F66,薪酬明细!$H:$H,"&gt;="&amp;AT$9,薪酬明细!$H:$H,"&lt;="&amp;AT$10,薪酬明细!$A:$A,AT$6)/10000</f>
        <v>2.2</v>
      </c>
      <c r="AU66" s="121">
        <f>SUMIFS(薪酬明细!$M:$M,薪酬明细!$D:$D,$E66,薪酬明细!$E:$E,$F66,薪酬明细!$H:$H,"&gt;="&amp;AU$9,薪酬明细!$H:$H,"&lt;="&amp;AU$10,薪酬明细!$A:$A,AU$6)/10000</f>
        <v>26.3</v>
      </c>
      <c r="AV66" s="121">
        <f>SUMIFS(薪酬明细!$M:$M,薪酬明细!$D:$D,$E66,薪酬明细!$E:$E,$F66,薪酬明细!$H:$H,"&gt;="&amp;AV$9,薪酬明细!$H:$H,"&lt;="&amp;AV$10,薪酬明细!$A:$A,AV$6)/10000</f>
        <v>2.2</v>
      </c>
      <c r="AW66" s="121">
        <f>SUMIFS(薪酬明细!$M:$M,薪酬明细!$D:$D,$E66,薪酬明细!$E:$E,$F66,薪酬明细!$H:$H,"&gt;="&amp;AW$9,薪酬明细!$H:$H,"&lt;="&amp;AW$10,薪酬明细!$A:$A,AW$6)/10000</f>
        <v>2.2</v>
      </c>
      <c r="AX66" s="121">
        <f>SUMIFS(薪酬明细!$M:$M,薪酬明细!$D:$D,$E66,薪酬明细!$E:$E,$F66,薪酬明细!$H:$H,"&gt;="&amp;AX$9,薪酬明细!$H:$H,"&lt;="&amp;AX$10,薪酬明细!$A:$A,AX$6)/10000</f>
        <v>2.2</v>
      </c>
      <c r="AY66" s="121">
        <f>SUMIFS(薪酬明细!$M:$M,薪酬明细!$D:$D,$E66,薪酬明细!$E:$E,$F66,薪酬明细!$H:$H,"&gt;="&amp;AY$9,薪酬明细!$H:$H,"&lt;="&amp;AY$10,薪酬明细!$A:$A,AY$6)/10000</f>
        <v>2.2</v>
      </c>
      <c r="AZ66" s="121">
        <f>SUMIFS(薪酬明细!$M:$M,薪酬明细!$D:$D,$E66,薪酬明细!$E:$E,$F66,薪酬明细!$H:$H,"&gt;="&amp;AZ$9,薪酬明细!$H:$H,"&lt;="&amp;AZ$10,薪酬明细!$A:$A,AZ$6)/10000</f>
        <v>2.2</v>
      </c>
      <c r="BA66" s="121">
        <f>SUMIFS(薪酬明细!$M:$M,薪酬明细!$D:$D,$E66,薪酬明细!$E:$E,$F66,薪酬明细!$H:$H,"&gt;="&amp;BA$9,薪酬明细!$H:$H,"&lt;="&amp;BA$10,薪酬明细!$A:$A,BA$6)/10000</f>
        <v>2.2</v>
      </c>
      <c r="BB66" s="121">
        <f>SUMIFS(薪酬明细!$M:$M,薪酬明细!$D:$D,$E66,薪酬明细!$E:$E,$F66,薪酬明细!$H:$H,"&gt;="&amp;BB$9,薪酬明细!$H:$H,"&lt;="&amp;BB$10,薪酬明细!$A:$A,BB$6)/10000</f>
        <v>2.2</v>
      </c>
      <c r="BC66" s="121">
        <f>SUMIFS(薪酬明细!$M:$M,薪酬明细!$D:$D,$E66,薪酬明细!$E:$E,$F66,薪酬明细!$H:$H,"&gt;="&amp;BC$9,薪酬明细!$H:$H,"&lt;="&amp;BC$10,薪酬明细!$A:$A,BC$6)/10000</f>
        <v>2.2</v>
      </c>
      <c r="BD66" s="121">
        <f>SUMIFS(薪酬明细!$M:$M,薪酬明细!$D:$D,$E66,薪酬明细!$E:$E,$F66,薪酬明细!$H:$H,"&gt;="&amp;BD$9,薪酬明细!$H:$H,"&lt;="&amp;BD$10,薪酬明细!$A:$A,BD$6)/10000</f>
        <v>2.2</v>
      </c>
      <c r="BE66" s="121">
        <f>SUMIFS(薪酬明细!$M:$M,薪酬明细!$D:$D,$E66,薪酬明细!$E:$E,$F66,薪酬明细!$H:$H,"&gt;="&amp;BE$9,薪酬明细!$H:$H,"&lt;="&amp;BE$10,薪酬明细!$A:$A,BE$6)/10000</f>
        <v>2.2</v>
      </c>
      <c r="BF66" s="121">
        <f>SUMIFS(薪酬明细!$M:$M,薪酬明细!$D:$D,$E66,薪酬明细!$E:$E,$F66,薪酬明细!$H:$H,"&gt;="&amp;BF$9,薪酬明细!$H:$H,"&lt;="&amp;BF$10,薪酬明细!$A:$A,BF$6)/10000</f>
        <v>2.2</v>
      </c>
      <c r="BG66" s="121">
        <f>SUMIFS(薪酬明细!$M:$M,薪酬明细!$D:$D,$E66,薪酬明细!$E:$E,$F66,薪酬明细!$H:$H,"&gt;="&amp;BG$9,薪酬明细!$H:$H,"&lt;="&amp;BG$10,薪酬明细!$A:$A,BG$6)/10000</f>
        <v>2.2</v>
      </c>
    </row>
    <row r="67" ht="16.2" spans="3:59">
      <c r="C67" s="42"/>
      <c r="D67" s="42" t="s">
        <v>88</v>
      </c>
      <c r="E67" s="116" t="str">
        <f t="shared" si="87"/>
        <v>支持中心</v>
      </c>
      <c r="F67" s="116" t="str">
        <f t="shared" si="88"/>
        <v>人力资源部</v>
      </c>
      <c r="G67" s="121">
        <f>SUMIFS(薪酬明细!$M:$M,薪酬明细!$D:$D,$E67,薪酬明细!$E:$E,$F67,薪酬明细!$H:$H,"&gt;="&amp;G$9,薪酬明细!$H:$H,"&lt;="&amp;G$10,薪酬明细!$A:$A,G$6)/10000</f>
        <v>22.6</v>
      </c>
      <c r="H67" s="121">
        <f>SUMIFS(薪酬明细!$M:$M,薪酬明细!$D:$D,$E67,薪酬明细!$E:$E,$F67,薪酬明细!$H:$H,"&gt;="&amp;H$9,薪酬明细!$H:$H,"&lt;="&amp;H$10,薪酬明细!$A:$A,H$6)/10000</f>
        <v>1.9</v>
      </c>
      <c r="I67" s="121">
        <f>SUMIFS(薪酬明细!$M:$M,薪酬明细!$D:$D,$E67,薪酬明细!$E:$E,$F67,薪酬明细!$H:$H,"&gt;="&amp;I$9,薪酬明细!$H:$H,"&lt;="&amp;I$10,薪酬明细!$A:$A,I$6)/10000</f>
        <v>1.9</v>
      </c>
      <c r="J67" s="121">
        <f>SUMIFS(薪酬明细!$M:$M,薪酬明细!$D:$D,$E67,薪酬明细!$E:$E,$F67,薪酬明细!$H:$H,"&gt;="&amp;J$9,薪酬明细!$H:$H,"&lt;="&amp;J$10,薪酬明细!$A:$A,J$6)/10000</f>
        <v>1.9</v>
      </c>
      <c r="K67" s="121">
        <f>SUMIFS(薪酬明细!$M:$M,薪酬明细!$D:$D,$E67,薪酬明细!$E:$E,$F67,薪酬明细!$H:$H,"&gt;="&amp;K$9,薪酬明细!$H:$H,"&lt;="&amp;K$10,薪酬明细!$A:$A,K$6)/10000</f>
        <v>1.9</v>
      </c>
      <c r="L67" s="121">
        <f>SUMIFS(薪酬明细!$M:$M,薪酬明细!$D:$D,$E67,薪酬明细!$E:$E,$F67,薪酬明细!$H:$H,"&gt;="&amp;L$9,薪酬明细!$H:$H,"&lt;="&amp;L$10,薪酬明细!$A:$A,L$6)/10000</f>
        <v>1.9</v>
      </c>
      <c r="M67" s="121">
        <f>SUMIFS(薪酬明细!$M:$M,薪酬明细!$D:$D,$E67,薪酬明细!$E:$E,$F67,薪酬明细!$H:$H,"&gt;="&amp;M$9,薪酬明细!$H:$H,"&lt;="&amp;M$10,薪酬明细!$A:$A,M$6)/10000</f>
        <v>1.9</v>
      </c>
      <c r="N67" s="121">
        <f>SUMIFS(薪酬明细!$M:$M,薪酬明细!$D:$D,$E67,薪酬明细!$E:$E,$F67,薪酬明细!$H:$H,"&gt;="&amp;N$9,薪酬明细!$H:$H,"&lt;="&amp;N$10,薪酬明细!$A:$A,N$6)/10000</f>
        <v>1.9</v>
      </c>
      <c r="O67" s="121">
        <f>SUMIFS(薪酬明细!$M:$M,薪酬明细!$D:$D,$E67,薪酬明细!$E:$E,$F67,薪酬明细!$H:$H,"&gt;="&amp;O$9,薪酬明细!$H:$H,"&lt;="&amp;O$10,薪酬明细!$A:$A,O$6)/10000</f>
        <v>1.9</v>
      </c>
      <c r="P67" s="121">
        <f>SUMIFS(薪酬明细!$M:$M,薪酬明细!$D:$D,$E67,薪酬明细!$E:$E,$F67,薪酬明细!$H:$H,"&gt;="&amp;P$9,薪酬明细!$H:$H,"&lt;="&amp;P$10,薪酬明细!$A:$A,P$6)/10000</f>
        <v>1.9</v>
      </c>
      <c r="Q67" s="121">
        <f>SUMIFS(薪酬明细!$M:$M,薪酬明细!$D:$D,$E67,薪酬明细!$E:$E,$F67,薪酬明细!$H:$H,"&gt;="&amp;Q$9,薪酬明细!$H:$H,"&lt;="&amp;Q$10,薪酬明细!$A:$A,Q$6)/10000</f>
        <v>1.9</v>
      </c>
      <c r="R67" s="121">
        <f>SUMIFS(薪酬明细!$M:$M,薪酬明细!$D:$D,$E67,薪酬明细!$E:$E,$F67,薪酬明细!$H:$H,"&gt;="&amp;R$9,薪酬明细!$H:$H,"&lt;="&amp;R$10,薪酬明细!$A:$A,R$6)/10000</f>
        <v>1.9</v>
      </c>
      <c r="S67" s="121">
        <f>SUMIFS(薪酬明细!$M:$M,薪酬明细!$D:$D,$E67,薪酬明细!$E:$E,$F67,薪酬明细!$H:$H,"&gt;="&amp;S$9,薪酬明细!$H:$H,"&lt;="&amp;S$10,薪酬明细!$A:$A,S$6)/10000</f>
        <v>1.9</v>
      </c>
      <c r="T67" s="125">
        <f t="shared" si="89"/>
        <v>22.6</v>
      </c>
      <c r="U67" s="121">
        <f>SUMIFS(薪酬明细!$M:$M,薪酬明细!$D:$D,$E67,薪酬明细!$E:$E,$F67,薪酬明细!$H:$H,"&gt;="&amp;U$9,薪酬明细!$H:$H,"&lt;="&amp;U$10,薪酬明细!$A:$A,U$6)/10000</f>
        <v>16.9</v>
      </c>
      <c r="V67" s="121">
        <f>SUMIFS(薪酬明细!$M:$M,薪酬明细!$D:$D,$E67,薪酬明细!$E:$E,$F67,薪酬明细!$H:$H,"&gt;="&amp;V$9,薪酬明细!$H:$H,"&lt;="&amp;V$10,薪酬明细!$A:$A,V$6)/10000</f>
        <v>1.9</v>
      </c>
      <c r="W67" s="121">
        <f>SUMIFS(薪酬明细!$M:$M,薪酬明细!$D:$D,$E67,薪酬明细!$E:$E,$F67,薪酬明细!$H:$H,"&gt;="&amp;W$9,薪酬明细!$H:$H,"&lt;="&amp;W$10,薪酬明细!$A:$A,W$6)/10000</f>
        <v>1.9</v>
      </c>
      <c r="X67" s="121">
        <f>SUMIFS(薪酬明细!$M:$M,薪酬明细!$D:$D,$E67,薪酬明细!$E:$E,$F67,薪酬明细!$H:$H,"&gt;="&amp;X$9,薪酬明细!$H:$H,"&lt;="&amp;X$10,薪酬明细!$A:$A,X$6)/10000</f>
        <v>1.9</v>
      </c>
      <c r="Y67" s="121">
        <f>SUMIFS(薪酬明细!$M:$M,薪酬明细!$D:$D,$E67,薪酬明细!$E:$E,$F67,薪酬明细!$H:$H,"&gt;="&amp;Y$9,薪酬明细!$H:$H,"&lt;="&amp;Y$10,薪酬明细!$A:$A,Y$6)/10000</f>
        <v>1.9</v>
      </c>
      <c r="Z67" s="121">
        <f>SUMIFS(薪酬明细!$M:$M,薪酬明细!$D:$D,$E67,薪酬明细!$E:$E,$F67,薪酬明细!$H:$H,"&gt;="&amp;Z$9,薪酬明细!$H:$H,"&lt;="&amp;Z$10,薪酬明细!$A:$A,Z$6)/10000</f>
        <v>1.9</v>
      </c>
      <c r="AA67" s="121">
        <f>SUMIFS(薪酬明细!$M:$M,薪酬明细!$D:$D,$E67,薪酬明细!$E:$E,$F67,薪酬明细!$H:$H,"&gt;="&amp;AA$9,薪酬明细!$H:$H,"&lt;="&amp;AA$10,薪酬明细!$A:$A,AA$6)/10000</f>
        <v>1.9</v>
      </c>
      <c r="AB67" s="121">
        <f>SUMIFS(薪酬明细!$M:$M,薪酬明细!$D:$D,$E67,薪酬明细!$E:$E,$F67,薪酬明细!$H:$H,"&gt;="&amp;AB$9,薪酬明细!$H:$H,"&lt;="&amp;AB$10,薪酬明细!$A:$A,AB$6)/10000</f>
        <v>1.9</v>
      </c>
      <c r="AC67" s="121">
        <f>SUMIFS(薪酬明细!$M:$M,薪酬明细!$D:$D,$E67,薪酬明细!$E:$E,$F67,薪酬明细!$H:$H,"&gt;="&amp;AC$9,薪酬明细!$H:$H,"&lt;="&amp;AC$10,薪酬明细!$A:$A,AC$6)/10000</f>
        <v>1.9</v>
      </c>
      <c r="AD67" s="121">
        <f>SUMIFS(薪酬明细!$M:$M,薪酬明细!$D:$D,$E67,薪酬明细!$E:$E,$F67,薪酬明细!$H:$H,"&gt;="&amp;AD$9,薪酬明细!$H:$H,"&lt;="&amp;AD$10,薪酬明细!$A:$A,AD$6)/10000</f>
        <v>1.9</v>
      </c>
      <c r="AE67" s="121">
        <f>SUMIFS(薪酬明细!$M:$M,薪酬明细!$D:$D,$E67,薪酬明细!$E:$E,$F67,薪酬明细!$H:$H,"&gt;="&amp;AE$9,薪酬明细!$H:$H,"&lt;="&amp;AE$10,薪酬明细!$A:$A,AE$6)/10000</f>
        <v>0</v>
      </c>
      <c r="AF67" s="121">
        <f>SUMIFS(薪酬明细!$M:$M,薪酬明细!$D:$D,$E67,薪酬明细!$E:$E,$F67,薪酬明细!$H:$H,"&gt;="&amp;AF$9,薪酬明细!$H:$H,"&lt;="&amp;AF$10,薪酬明细!$A:$A,AF$6)/10000</f>
        <v>0</v>
      </c>
      <c r="AG67" s="121">
        <f>SUMIFS(薪酬明细!$M:$M,薪酬明细!$D:$D,$E67,薪酬明细!$E:$E,$F67,薪酬明细!$H:$H,"&gt;="&amp;AG$9,薪酬明细!$H:$H,"&lt;="&amp;AG$10,薪酬明细!$A:$A,AG$6)/10000</f>
        <v>0</v>
      </c>
      <c r="AH67" s="121">
        <f>SUMIFS(薪酬明细!$M:$M,薪酬明细!$D:$D,$E67,薪酬明细!$E:$E,$F67,薪酬明细!$H:$H,"&gt;="&amp;AH$9,薪酬明细!$H:$H,"&lt;="&amp;AH$10,薪酬明细!$A:$A,AH$6)/10000</f>
        <v>5.7</v>
      </c>
      <c r="AI67" s="121">
        <f>SUMIFS(薪酬明细!$M:$M,薪酬明细!$D:$D,$E67,薪酬明细!$E:$E,$F67,薪酬明细!$H:$H,"&gt;="&amp;AI$9,薪酬明细!$H:$H,"&lt;="&amp;AI$10,薪酬明细!$A:$A,AI$6)/10000</f>
        <v>0</v>
      </c>
      <c r="AJ67" s="121">
        <f>SUMIFS(薪酬明细!$M:$M,薪酬明细!$D:$D,$E67,薪酬明细!$E:$E,$F67,薪酬明细!$H:$H,"&gt;="&amp;AJ$9,薪酬明细!$H:$H,"&lt;="&amp;AJ$10,薪酬明细!$A:$A,AJ$6)/10000</f>
        <v>0</v>
      </c>
      <c r="AK67" s="121">
        <f>SUMIFS(薪酬明细!$M:$M,薪酬明细!$D:$D,$E67,薪酬明细!$E:$E,$F67,薪酬明细!$H:$H,"&gt;="&amp;AK$9,薪酬明细!$H:$H,"&lt;="&amp;AK$10,薪酬明细!$A:$A,AK$6)/10000</f>
        <v>0</v>
      </c>
      <c r="AL67" s="121">
        <f>SUMIFS(薪酬明细!$M:$M,薪酬明细!$D:$D,$E67,薪酬明细!$E:$E,$F67,薪酬明细!$H:$H,"&gt;="&amp;AL$9,薪酬明细!$H:$H,"&lt;="&amp;AL$10,薪酬明细!$A:$A,AL$6)/10000</f>
        <v>0</v>
      </c>
      <c r="AM67" s="121">
        <f>SUMIFS(薪酬明细!$M:$M,薪酬明细!$D:$D,$E67,薪酬明细!$E:$E,$F67,薪酬明细!$H:$H,"&gt;="&amp;AM$9,薪酬明细!$H:$H,"&lt;="&amp;AM$10,薪酬明细!$A:$A,AM$6)/10000</f>
        <v>0</v>
      </c>
      <c r="AN67" s="121">
        <f>SUMIFS(薪酬明细!$M:$M,薪酬明细!$D:$D,$E67,薪酬明细!$E:$E,$F67,薪酬明细!$H:$H,"&gt;="&amp;AN$9,薪酬明细!$H:$H,"&lt;="&amp;AN$10,薪酬明细!$A:$A,AN$6)/10000</f>
        <v>0</v>
      </c>
      <c r="AO67" s="121">
        <f>SUMIFS(薪酬明细!$M:$M,薪酬明细!$D:$D,$E67,薪酬明细!$E:$E,$F67,薪酬明细!$H:$H,"&gt;="&amp;AO$9,薪酬明细!$H:$H,"&lt;="&amp;AO$10,薪酬明细!$A:$A,AO$6)/10000</f>
        <v>0</v>
      </c>
      <c r="AP67" s="121">
        <f>SUMIFS(薪酬明细!$M:$M,薪酬明细!$D:$D,$E67,薪酬明细!$E:$E,$F67,薪酬明细!$H:$H,"&gt;="&amp;AP$9,薪酬明细!$H:$H,"&lt;="&amp;AP$10,薪酬明细!$A:$A,AP$6)/10000</f>
        <v>0</v>
      </c>
      <c r="AQ67" s="121">
        <f>SUMIFS(薪酬明细!$M:$M,薪酬明细!$D:$D,$E67,薪酬明细!$E:$E,$F67,薪酬明细!$H:$H,"&gt;="&amp;AQ$9,薪酬明细!$H:$H,"&lt;="&amp;AQ$10,薪酬明细!$A:$A,AQ$6)/10000</f>
        <v>0</v>
      </c>
      <c r="AR67" s="121">
        <f>SUMIFS(薪酬明细!$M:$M,薪酬明细!$D:$D,$E67,薪酬明细!$E:$E,$F67,薪酬明细!$H:$H,"&gt;="&amp;AR$9,薪酬明细!$H:$H,"&lt;="&amp;AR$10,薪酬明细!$A:$A,AR$6)/10000</f>
        <v>1.9</v>
      </c>
      <c r="AS67" s="121">
        <f>SUMIFS(薪酬明细!$M:$M,薪酬明细!$D:$D,$E67,薪酬明细!$E:$E,$F67,薪酬明细!$H:$H,"&gt;="&amp;AS$9,薪酬明细!$H:$H,"&lt;="&amp;AS$10,薪酬明细!$A:$A,AS$6)/10000</f>
        <v>1.9</v>
      </c>
      <c r="AT67" s="121">
        <f>SUMIFS(薪酬明细!$M:$M,薪酬明细!$D:$D,$E67,薪酬明细!$E:$E,$F67,薪酬明细!$H:$H,"&gt;="&amp;AT$9,薪酬明细!$H:$H,"&lt;="&amp;AT$10,薪酬明细!$A:$A,AT$6)/10000</f>
        <v>1.9</v>
      </c>
      <c r="AU67" s="121">
        <f>SUMIFS(薪酬明细!$M:$M,薪酬明细!$D:$D,$E67,薪酬明细!$E:$E,$F67,薪酬明细!$H:$H,"&gt;="&amp;AU$9,薪酬明细!$H:$H,"&lt;="&amp;AU$10,薪酬明细!$A:$A,AU$6)/10000</f>
        <v>22.6</v>
      </c>
      <c r="AV67" s="121">
        <f>SUMIFS(薪酬明细!$M:$M,薪酬明细!$D:$D,$E67,薪酬明细!$E:$E,$F67,薪酬明细!$H:$H,"&gt;="&amp;AV$9,薪酬明细!$H:$H,"&lt;="&amp;AV$10,薪酬明细!$A:$A,AV$6)/10000</f>
        <v>1.9</v>
      </c>
      <c r="AW67" s="121">
        <f>SUMIFS(薪酬明细!$M:$M,薪酬明细!$D:$D,$E67,薪酬明细!$E:$E,$F67,薪酬明细!$H:$H,"&gt;="&amp;AW$9,薪酬明细!$H:$H,"&lt;="&amp;AW$10,薪酬明细!$A:$A,AW$6)/10000</f>
        <v>1.9</v>
      </c>
      <c r="AX67" s="121">
        <f>SUMIFS(薪酬明细!$M:$M,薪酬明细!$D:$D,$E67,薪酬明细!$E:$E,$F67,薪酬明细!$H:$H,"&gt;="&amp;AX$9,薪酬明细!$H:$H,"&lt;="&amp;AX$10,薪酬明细!$A:$A,AX$6)/10000</f>
        <v>1.9</v>
      </c>
      <c r="AY67" s="121">
        <f>SUMIFS(薪酬明细!$M:$M,薪酬明细!$D:$D,$E67,薪酬明细!$E:$E,$F67,薪酬明细!$H:$H,"&gt;="&amp;AY$9,薪酬明细!$H:$H,"&lt;="&amp;AY$10,薪酬明细!$A:$A,AY$6)/10000</f>
        <v>1.9</v>
      </c>
      <c r="AZ67" s="121">
        <f>SUMIFS(薪酬明细!$M:$M,薪酬明细!$D:$D,$E67,薪酬明细!$E:$E,$F67,薪酬明细!$H:$H,"&gt;="&amp;AZ$9,薪酬明细!$H:$H,"&lt;="&amp;AZ$10,薪酬明细!$A:$A,AZ$6)/10000</f>
        <v>1.9</v>
      </c>
      <c r="BA67" s="121">
        <f>SUMIFS(薪酬明细!$M:$M,薪酬明细!$D:$D,$E67,薪酬明细!$E:$E,$F67,薪酬明细!$H:$H,"&gt;="&amp;BA$9,薪酬明细!$H:$H,"&lt;="&amp;BA$10,薪酬明细!$A:$A,BA$6)/10000</f>
        <v>1.9</v>
      </c>
      <c r="BB67" s="121">
        <f>SUMIFS(薪酬明细!$M:$M,薪酬明细!$D:$D,$E67,薪酬明细!$E:$E,$F67,薪酬明细!$H:$H,"&gt;="&amp;BB$9,薪酬明细!$H:$H,"&lt;="&amp;BB$10,薪酬明细!$A:$A,BB$6)/10000</f>
        <v>1.9</v>
      </c>
      <c r="BC67" s="121">
        <f>SUMIFS(薪酬明细!$M:$M,薪酬明细!$D:$D,$E67,薪酬明细!$E:$E,$F67,薪酬明细!$H:$H,"&gt;="&amp;BC$9,薪酬明细!$H:$H,"&lt;="&amp;BC$10,薪酬明细!$A:$A,BC$6)/10000</f>
        <v>1.9</v>
      </c>
      <c r="BD67" s="121">
        <f>SUMIFS(薪酬明细!$M:$M,薪酬明细!$D:$D,$E67,薪酬明细!$E:$E,$F67,薪酬明细!$H:$H,"&gt;="&amp;BD$9,薪酬明细!$H:$H,"&lt;="&amp;BD$10,薪酬明细!$A:$A,BD$6)/10000</f>
        <v>1.9</v>
      </c>
      <c r="BE67" s="121">
        <f>SUMIFS(薪酬明细!$M:$M,薪酬明细!$D:$D,$E67,薪酬明细!$E:$E,$F67,薪酬明细!$H:$H,"&gt;="&amp;BE$9,薪酬明细!$H:$H,"&lt;="&amp;BE$10,薪酬明细!$A:$A,BE$6)/10000</f>
        <v>1.9</v>
      </c>
      <c r="BF67" s="121">
        <f>SUMIFS(薪酬明细!$M:$M,薪酬明细!$D:$D,$E67,薪酬明细!$E:$E,$F67,薪酬明细!$H:$H,"&gt;="&amp;BF$9,薪酬明细!$H:$H,"&lt;="&amp;BF$10,薪酬明细!$A:$A,BF$6)/10000</f>
        <v>1.9</v>
      </c>
      <c r="BG67" s="121">
        <f>SUMIFS(薪酬明细!$M:$M,薪酬明细!$D:$D,$E67,薪酬明细!$E:$E,$F67,薪酬明细!$H:$H,"&gt;="&amp;BG$9,薪酬明细!$H:$H,"&lt;="&amp;BG$10,薪酬明细!$A:$A,BG$6)/10000</f>
        <v>1.9</v>
      </c>
    </row>
    <row r="68" ht="16.2" spans="3:59">
      <c r="C68" s="42"/>
      <c r="D68" s="42" t="s">
        <v>89</v>
      </c>
      <c r="E68" s="116" t="str">
        <f t="shared" si="87"/>
        <v>支持中心</v>
      </c>
      <c r="F68" s="116" t="str">
        <f t="shared" si="88"/>
        <v>IT部</v>
      </c>
      <c r="G68" s="121">
        <f>SUMIFS(薪酬明细!$M:$M,薪酬明细!$D:$D,$E68,薪酬明细!$E:$E,$F68,薪酬明细!$H:$H,"&gt;="&amp;G$9,薪酬明细!$H:$H,"&lt;="&amp;G$10,薪酬明细!$A:$A,G$6)/10000</f>
        <v>11.4</v>
      </c>
      <c r="H68" s="121">
        <f>SUMIFS(薪酬明细!$M:$M,薪酬明细!$D:$D,$E68,薪酬明细!$E:$E,$F68,薪酬明细!$H:$H,"&gt;="&amp;H$9,薪酬明细!$H:$H,"&lt;="&amp;H$10,薪酬明细!$A:$A,H$6)/10000</f>
        <v>0.9</v>
      </c>
      <c r="I68" s="121">
        <f>SUMIFS(薪酬明细!$M:$M,薪酬明细!$D:$D,$E68,薪酬明细!$E:$E,$F68,薪酬明细!$H:$H,"&gt;="&amp;I$9,薪酬明细!$H:$H,"&lt;="&amp;I$10,薪酬明细!$A:$A,I$6)/10000</f>
        <v>1</v>
      </c>
      <c r="J68" s="121">
        <f>SUMIFS(薪酬明细!$M:$M,薪酬明细!$D:$D,$E68,薪酬明细!$E:$E,$F68,薪酬明细!$H:$H,"&gt;="&amp;J$9,薪酬明细!$H:$H,"&lt;="&amp;J$10,薪酬明细!$A:$A,J$6)/10000</f>
        <v>1</v>
      </c>
      <c r="K68" s="121">
        <f>SUMIFS(薪酬明细!$M:$M,薪酬明细!$D:$D,$E68,薪酬明细!$E:$E,$F68,薪酬明细!$H:$H,"&gt;="&amp;K$9,薪酬明细!$H:$H,"&lt;="&amp;K$10,薪酬明细!$A:$A,K$6)/10000</f>
        <v>1</v>
      </c>
      <c r="L68" s="121">
        <f>SUMIFS(薪酬明细!$M:$M,薪酬明细!$D:$D,$E68,薪酬明细!$E:$E,$F68,薪酬明细!$H:$H,"&gt;="&amp;L$9,薪酬明细!$H:$H,"&lt;="&amp;L$10,薪酬明细!$A:$A,L$6)/10000</f>
        <v>0.9</v>
      </c>
      <c r="M68" s="121">
        <f>SUMIFS(薪酬明细!$M:$M,薪酬明细!$D:$D,$E68,薪酬明细!$E:$E,$F68,薪酬明细!$H:$H,"&gt;="&amp;M$9,薪酬明细!$H:$H,"&lt;="&amp;M$10,薪酬明细!$A:$A,M$6)/10000</f>
        <v>0.9</v>
      </c>
      <c r="N68" s="121">
        <f>SUMIFS(薪酬明细!$M:$M,薪酬明细!$D:$D,$E68,薪酬明细!$E:$E,$F68,薪酬明细!$H:$H,"&gt;="&amp;N$9,薪酬明细!$H:$H,"&lt;="&amp;N$10,薪酬明细!$A:$A,N$6)/10000</f>
        <v>0.9</v>
      </c>
      <c r="O68" s="121">
        <f>SUMIFS(薪酬明细!$M:$M,薪酬明细!$D:$D,$E68,薪酬明细!$E:$E,$F68,薪酬明细!$H:$H,"&gt;="&amp;O$9,薪酬明细!$H:$H,"&lt;="&amp;O$10,薪酬明细!$A:$A,O$6)/10000</f>
        <v>1</v>
      </c>
      <c r="P68" s="121">
        <f>SUMIFS(薪酬明细!$M:$M,薪酬明细!$D:$D,$E68,薪酬明细!$E:$E,$F68,薪酬明细!$H:$H,"&gt;="&amp;P$9,薪酬明细!$H:$H,"&lt;="&amp;P$10,薪酬明细!$A:$A,P$6)/10000</f>
        <v>1</v>
      </c>
      <c r="Q68" s="121">
        <f>SUMIFS(薪酬明细!$M:$M,薪酬明细!$D:$D,$E68,薪酬明细!$E:$E,$F68,薪酬明细!$H:$H,"&gt;="&amp;Q$9,薪酬明细!$H:$H,"&lt;="&amp;Q$10,薪酬明细!$A:$A,Q$6)/10000</f>
        <v>0.9</v>
      </c>
      <c r="R68" s="121">
        <f>SUMIFS(薪酬明细!$M:$M,薪酬明细!$D:$D,$E68,薪酬明细!$E:$E,$F68,薪酬明细!$H:$H,"&gt;="&amp;R$9,薪酬明细!$H:$H,"&lt;="&amp;R$10,薪酬明细!$A:$A,R$6)/10000</f>
        <v>0.9</v>
      </c>
      <c r="S68" s="121">
        <f>SUMIFS(薪酬明细!$M:$M,薪酬明细!$D:$D,$E68,薪酬明细!$E:$E,$F68,薪酬明细!$H:$H,"&gt;="&amp;S$9,薪酬明细!$H:$H,"&lt;="&amp;S$10,薪酬明细!$A:$A,S$6)/10000</f>
        <v>0.9</v>
      </c>
      <c r="T68" s="125">
        <f t="shared" si="89"/>
        <v>11.3</v>
      </c>
      <c r="U68" s="121">
        <f>SUMIFS(薪酬明细!$M:$M,薪酬明细!$D:$D,$E68,薪酬明细!$E:$E,$F68,薪酬明细!$H:$H,"&gt;="&amp;U$9,薪酬明细!$H:$H,"&lt;="&amp;U$10,薪酬明细!$A:$A,U$6)/10000</f>
        <v>8.5</v>
      </c>
      <c r="V68" s="121">
        <f>SUMIFS(薪酬明细!$M:$M,薪酬明细!$D:$D,$E68,薪酬明细!$E:$E,$F68,薪酬明细!$H:$H,"&gt;="&amp;V$9,薪酬明细!$H:$H,"&lt;="&amp;V$10,薪酬明细!$A:$A,V$6)/10000</f>
        <v>0.9</v>
      </c>
      <c r="W68" s="121">
        <f>SUMIFS(薪酬明细!$M:$M,薪酬明细!$D:$D,$E68,薪酬明细!$E:$E,$F68,薪酬明细!$H:$H,"&gt;="&amp;W$9,薪酬明细!$H:$H,"&lt;="&amp;W$10,薪酬明细!$A:$A,W$6)/10000</f>
        <v>1</v>
      </c>
      <c r="X68" s="121">
        <f>SUMIFS(薪酬明细!$M:$M,薪酬明细!$D:$D,$E68,薪酬明细!$E:$E,$F68,薪酬明细!$H:$H,"&gt;="&amp;X$9,薪酬明细!$H:$H,"&lt;="&amp;X$10,薪酬明细!$A:$A,X$6)/10000</f>
        <v>1</v>
      </c>
      <c r="Y68" s="121">
        <f>SUMIFS(薪酬明细!$M:$M,薪酬明细!$D:$D,$E68,薪酬明细!$E:$E,$F68,薪酬明细!$H:$H,"&gt;="&amp;Y$9,薪酬明细!$H:$H,"&lt;="&amp;Y$10,薪酬明细!$A:$A,Y$6)/10000</f>
        <v>0.9</v>
      </c>
      <c r="Z68" s="121">
        <f>SUMIFS(薪酬明细!$M:$M,薪酬明细!$D:$D,$E68,薪酬明细!$E:$E,$F68,薪酬明细!$H:$H,"&gt;="&amp;Z$9,薪酬明细!$H:$H,"&lt;="&amp;Z$10,薪酬明细!$A:$A,Z$6)/10000</f>
        <v>0.9</v>
      </c>
      <c r="AA68" s="121">
        <f>SUMIFS(薪酬明细!$M:$M,薪酬明细!$D:$D,$E68,薪酬明细!$E:$E,$F68,薪酬明细!$H:$H,"&gt;="&amp;AA$9,薪酬明细!$H:$H,"&lt;="&amp;AA$10,薪酬明细!$A:$A,AA$6)/10000</f>
        <v>0.9</v>
      </c>
      <c r="AB68" s="121">
        <f>SUMIFS(薪酬明细!$M:$M,薪酬明细!$D:$D,$E68,薪酬明细!$E:$E,$F68,薪酬明细!$H:$H,"&gt;="&amp;AB$9,薪酬明细!$H:$H,"&lt;="&amp;AB$10,薪酬明细!$A:$A,AB$6)/10000</f>
        <v>1</v>
      </c>
      <c r="AC68" s="121">
        <f>SUMIFS(薪酬明细!$M:$M,薪酬明细!$D:$D,$E68,薪酬明细!$E:$E,$F68,薪酬明细!$H:$H,"&gt;="&amp;AC$9,薪酬明细!$H:$H,"&lt;="&amp;AC$10,薪酬明细!$A:$A,AC$6)/10000</f>
        <v>0.9</v>
      </c>
      <c r="AD68" s="121">
        <f>SUMIFS(薪酬明细!$M:$M,薪酬明细!$D:$D,$E68,薪酬明细!$E:$E,$F68,薪酬明细!$H:$H,"&gt;="&amp;AD$9,薪酬明细!$H:$H,"&lt;="&amp;AD$10,薪酬明细!$A:$A,AD$6)/10000</f>
        <v>0.9</v>
      </c>
      <c r="AE68" s="121">
        <f>SUMIFS(薪酬明细!$M:$M,薪酬明细!$D:$D,$E68,薪酬明细!$E:$E,$F68,薪酬明细!$H:$H,"&gt;="&amp;AE$9,薪酬明细!$H:$H,"&lt;="&amp;AE$10,薪酬明细!$A:$A,AE$6)/10000</f>
        <v>0</v>
      </c>
      <c r="AF68" s="121">
        <f>SUMIFS(薪酬明细!$M:$M,薪酬明细!$D:$D,$E68,薪酬明细!$E:$E,$F68,薪酬明细!$H:$H,"&gt;="&amp;AF$9,薪酬明细!$H:$H,"&lt;="&amp;AF$10,薪酬明细!$A:$A,AF$6)/10000</f>
        <v>0</v>
      </c>
      <c r="AG68" s="121">
        <f>SUMIFS(薪酬明细!$M:$M,薪酬明细!$D:$D,$E68,薪酬明细!$E:$E,$F68,薪酬明细!$H:$H,"&gt;="&amp;AG$9,薪酬明细!$H:$H,"&lt;="&amp;AG$10,薪酬明细!$A:$A,AG$6)/10000</f>
        <v>0</v>
      </c>
      <c r="AH68" s="121">
        <f>SUMIFS(薪酬明细!$M:$M,薪酬明细!$D:$D,$E68,薪酬明细!$E:$E,$F68,薪酬明细!$H:$H,"&gt;="&amp;AH$9,薪酬明细!$H:$H,"&lt;="&amp;AH$10,薪酬明细!$A:$A,AH$6)/10000</f>
        <v>2.8</v>
      </c>
      <c r="AI68" s="121">
        <f>SUMIFS(薪酬明细!$M:$M,薪酬明细!$D:$D,$E68,薪酬明细!$E:$E,$F68,薪酬明细!$H:$H,"&gt;="&amp;AI$9,薪酬明细!$H:$H,"&lt;="&amp;AI$10,薪酬明细!$A:$A,AI$6)/10000</f>
        <v>0</v>
      </c>
      <c r="AJ68" s="121">
        <f>SUMIFS(薪酬明细!$M:$M,薪酬明细!$D:$D,$E68,薪酬明细!$E:$E,$F68,薪酬明细!$H:$H,"&gt;="&amp;AJ$9,薪酬明细!$H:$H,"&lt;="&amp;AJ$10,薪酬明细!$A:$A,AJ$6)/10000</f>
        <v>0</v>
      </c>
      <c r="AK68" s="121">
        <f>SUMIFS(薪酬明细!$M:$M,薪酬明细!$D:$D,$E68,薪酬明细!$E:$E,$F68,薪酬明细!$H:$H,"&gt;="&amp;AK$9,薪酬明细!$H:$H,"&lt;="&amp;AK$10,薪酬明细!$A:$A,AK$6)/10000</f>
        <v>0</v>
      </c>
      <c r="AL68" s="121">
        <f>SUMIFS(薪酬明细!$M:$M,薪酬明细!$D:$D,$E68,薪酬明细!$E:$E,$F68,薪酬明细!$H:$H,"&gt;="&amp;AL$9,薪酬明细!$H:$H,"&lt;="&amp;AL$10,薪酬明细!$A:$A,AL$6)/10000</f>
        <v>0</v>
      </c>
      <c r="AM68" s="121">
        <f>SUMIFS(薪酬明细!$M:$M,薪酬明细!$D:$D,$E68,薪酬明细!$E:$E,$F68,薪酬明细!$H:$H,"&gt;="&amp;AM$9,薪酬明细!$H:$H,"&lt;="&amp;AM$10,薪酬明细!$A:$A,AM$6)/10000</f>
        <v>0</v>
      </c>
      <c r="AN68" s="121">
        <f>SUMIFS(薪酬明细!$M:$M,薪酬明细!$D:$D,$E68,薪酬明细!$E:$E,$F68,薪酬明细!$H:$H,"&gt;="&amp;AN$9,薪酬明细!$H:$H,"&lt;="&amp;AN$10,薪酬明细!$A:$A,AN$6)/10000</f>
        <v>0</v>
      </c>
      <c r="AO68" s="121">
        <f>SUMIFS(薪酬明细!$M:$M,薪酬明细!$D:$D,$E68,薪酬明细!$E:$E,$F68,薪酬明细!$H:$H,"&gt;="&amp;AO$9,薪酬明细!$H:$H,"&lt;="&amp;AO$10,薪酬明细!$A:$A,AO$6)/10000</f>
        <v>0</v>
      </c>
      <c r="AP68" s="121">
        <f>SUMIFS(薪酬明细!$M:$M,薪酬明细!$D:$D,$E68,薪酬明细!$E:$E,$F68,薪酬明细!$H:$H,"&gt;="&amp;AP$9,薪酬明细!$H:$H,"&lt;="&amp;AP$10,薪酬明细!$A:$A,AP$6)/10000</f>
        <v>0</v>
      </c>
      <c r="AQ68" s="121">
        <f>SUMIFS(薪酬明细!$M:$M,薪酬明细!$D:$D,$E68,薪酬明细!$E:$E,$F68,薪酬明细!$H:$H,"&gt;="&amp;AQ$9,薪酬明细!$H:$H,"&lt;="&amp;AQ$10,薪酬明细!$A:$A,AQ$6)/10000</f>
        <v>0</v>
      </c>
      <c r="AR68" s="121">
        <f>SUMIFS(薪酬明细!$M:$M,薪酬明细!$D:$D,$E68,薪酬明细!$E:$E,$F68,薪酬明细!$H:$H,"&gt;="&amp;AR$9,薪酬明细!$H:$H,"&lt;="&amp;AR$10,薪酬明细!$A:$A,AR$6)/10000</f>
        <v>0.9</v>
      </c>
      <c r="AS68" s="121">
        <f>SUMIFS(薪酬明细!$M:$M,薪酬明细!$D:$D,$E68,薪酬明细!$E:$E,$F68,薪酬明细!$H:$H,"&gt;="&amp;AS$9,薪酬明细!$H:$H,"&lt;="&amp;AS$10,薪酬明细!$A:$A,AS$6)/10000</f>
        <v>0.9</v>
      </c>
      <c r="AT68" s="121">
        <f>SUMIFS(薪酬明细!$M:$M,薪酬明细!$D:$D,$E68,薪酬明细!$E:$E,$F68,薪酬明细!$H:$H,"&gt;="&amp;AT$9,薪酬明细!$H:$H,"&lt;="&amp;AT$10,薪酬明细!$A:$A,AT$6)/10000</f>
        <v>1</v>
      </c>
      <c r="AU68" s="121">
        <f>SUMIFS(薪酬明细!$M:$M,薪酬明细!$D:$D,$E68,薪酬明细!$E:$E,$F68,薪酬明细!$H:$H,"&gt;="&amp;AU$9,薪酬明细!$H:$H,"&lt;="&amp;AU$10,薪酬明细!$A:$A,AU$6)/10000</f>
        <v>11.4</v>
      </c>
      <c r="AV68" s="121">
        <f>SUMIFS(薪酬明细!$M:$M,薪酬明细!$D:$D,$E68,薪酬明细!$E:$E,$F68,薪酬明细!$H:$H,"&gt;="&amp;AV$9,薪酬明细!$H:$H,"&lt;="&amp;AV$10,薪酬明细!$A:$A,AV$6)/10000</f>
        <v>1</v>
      </c>
      <c r="AW68" s="121">
        <f>SUMIFS(薪酬明细!$M:$M,薪酬明细!$D:$D,$E68,薪酬明细!$E:$E,$F68,薪酬明细!$H:$H,"&gt;="&amp;AW$9,薪酬明细!$H:$H,"&lt;="&amp;AW$10,薪酬明细!$A:$A,AW$6)/10000</f>
        <v>0.9</v>
      </c>
      <c r="AX68" s="121">
        <f>SUMIFS(薪酬明细!$M:$M,薪酬明细!$D:$D,$E68,薪酬明细!$E:$E,$F68,薪酬明细!$H:$H,"&gt;="&amp;AX$9,薪酬明细!$H:$H,"&lt;="&amp;AX$10,薪酬明细!$A:$A,AX$6)/10000</f>
        <v>1</v>
      </c>
      <c r="AY68" s="121">
        <f>SUMIFS(薪酬明细!$M:$M,薪酬明细!$D:$D,$E68,薪酬明细!$E:$E,$F68,薪酬明细!$H:$H,"&gt;="&amp;AY$9,薪酬明细!$H:$H,"&lt;="&amp;AY$10,薪酬明细!$A:$A,AY$6)/10000</f>
        <v>1</v>
      </c>
      <c r="AZ68" s="121">
        <f>SUMIFS(薪酬明细!$M:$M,薪酬明细!$D:$D,$E68,薪酬明细!$E:$E,$F68,薪酬明细!$H:$H,"&gt;="&amp;AZ$9,薪酬明细!$H:$H,"&lt;="&amp;AZ$10,薪酬明细!$A:$A,AZ$6)/10000</f>
        <v>0.9</v>
      </c>
      <c r="BA68" s="121">
        <f>SUMIFS(薪酬明细!$M:$M,薪酬明细!$D:$D,$E68,薪酬明细!$E:$E,$F68,薪酬明细!$H:$H,"&gt;="&amp;BA$9,薪酬明细!$H:$H,"&lt;="&amp;BA$10,薪酬明细!$A:$A,BA$6)/10000</f>
        <v>0.9</v>
      </c>
      <c r="BB68" s="121">
        <f>SUMIFS(薪酬明细!$M:$M,薪酬明细!$D:$D,$E68,薪酬明细!$E:$E,$F68,薪酬明细!$H:$H,"&gt;="&amp;BB$9,薪酬明细!$H:$H,"&lt;="&amp;BB$10,薪酬明细!$A:$A,BB$6)/10000</f>
        <v>0.9</v>
      </c>
      <c r="BC68" s="121">
        <f>SUMIFS(薪酬明细!$M:$M,薪酬明细!$D:$D,$E68,薪酬明细!$E:$E,$F68,薪酬明细!$H:$H,"&gt;="&amp;BC$9,薪酬明细!$H:$H,"&lt;="&amp;BC$10,薪酬明细!$A:$A,BC$6)/10000</f>
        <v>0.9</v>
      </c>
      <c r="BD68" s="121">
        <f>SUMIFS(薪酬明细!$M:$M,薪酬明细!$D:$D,$E68,薪酬明细!$E:$E,$F68,薪酬明细!$H:$H,"&gt;="&amp;BD$9,薪酬明细!$H:$H,"&lt;="&amp;BD$10,薪酬明细!$A:$A,BD$6)/10000</f>
        <v>0.9</v>
      </c>
      <c r="BE68" s="121">
        <f>SUMIFS(薪酬明细!$M:$M,薪酬明细!$D:$D,$E68,薪酬明细!$E:$E,$F68,薪酬明细!$H:$H,"&gt;="&amp;BE$9,薪酬明细!$H:$H,"&lt;="&amp;BE$10,薪酬明细!$A:$A,BE$6)/10000</f>
        <v>1</v>
      </c>
      <c r="BF68" s="121">
        <f>SUMIFS(薪酬明细!$M:$M,薪酬明细!$D:$D,$E68,薪酬明细!$E:$E,$F68,薪酬明细!$H:$H,"&gt;="&amp;BF$9,薪酬明细!$H:$H,"&lt;="&amp;BF$10,薪酬明细!$A:$A,BF$6)/10000</f>
        <v>1</v>
      </c>
      <c r="BG68" s="121">
        <f>SUMIFS(薪酬明细!$M:$M,薪酬明细!$D:$D,$E68,薪酬明细!$E:$E,$F68,薪酬明细!$H:$H,"&gt;="&amp;BG$9,薪酬明细!$H:$H,"&lt;="&amp;BG$10,薪酬明细!$A:$A,BG$6)/10000</f>
        <v>0.9</v>
      </c>
    </row>
    <row r="69" ht="16.2" spans="3:59">
      <c r="C69" s="42"/>
      <c r="D69" s="42" t="s">
        <v>90</v>
      </c>
      <c r="E69" s="116" t="str">
        <f t="shared" si="87"/>
        <v>支持中心</v>
      </c>
      <c r="F69" s="116" t="str">
        <f t="shared" si="88"/>
        <v>总经办</v>
      </c>
      <c r="G69" s="121">
        <f>SUMIFS(薪酬明细!$M:$M,薪酬明细!$D:$D,$E69,薪酬明细!$E:$E,$F69,薪酬明细!$H:$H,"&gt;="&amp;G$9,薪酬明细!$H:$H,"&lt;="&amp;G$10,薪酬明细!$A:$A,G$6)/10000</f>
        <v>3.7</v>
      </c>
      <c r="H69" s="121">
        <f>SUMIFS(薪酬明细!$M:$M,薪酬明细!$D:$D,$E69,薪酬明细!$E:$E,$F69,薪酬明细!$H:$H,"&gt;="&amp;H$9,薪酬明细!$H:$H,"&lt;="&amp;H$10,薪酬明细!$A:$A,H$6)/10000</f>
        <v>0.3</v>
      </c>
      <c r="I69" s="121">
        <f>SUMIFS(薪酬明细!$M:$M,薪酬明细!$D:$D,$E69,薪酬明细!$E:$E,$F69,薪酬明细!$H:$H,"&gt;="&amp;I$9,薪酬明细!$H:$H,"&lt;="&amp;I$10,薪酬明细!$A:$A,I$6)/10000</f>
        <v>0.3</v>
      </c>
      <c r="J69" s="121">
        <f>SUMIFS(薪酬明细!$M:$M,薪酬明细!$D:$D,$E69,薪酬明细!$E:$E,$F69,薪酬明细!$H:$H,"&gt;="&amp;J$9,薪酬明细!$H:$H,"&lt;="&amp;J$10,薪酬明细!$A:$A,J$6)/10000</f>
        <v>0.3</v>
      </c>
      <c r="K69" s="121">
        <f>SUMIFS(薪酬明细!$M:$M,薪酬明细!$D:$D,$E69,薪酬明细!$E:$E,$F69,薪酬明细!$H:$H,"&gt;="&amp;K$9,薪酬明细!$H:$H,"&lt;="&amp;K$10,薪酬明细!$A:$A,K$6)/10000</f>
        <v>0.3</v>
      </c>
      <c r="L69" s="121">
        <f>SUMIFS(薪酬明细!$M:$M,薪酬明细!$D:$D,$E69,薪酬明细!$E:$E,$F69,薪酬明细!$H:$H,"&gt;="&amp;L$9,薪酬明细!$H:$H,"&lt;="&amp;L$10,薪酬明细!$A:$A,L$6)/10000</f>
        <v>0.3</v>
      </c>
      <c r="M69" s="121">
        <f>SUMIFS(薪酬明细!$M:$M,薪酬明细!$D:$D,$E69,薪酬明细!$E:$E,$F69,薪酬明细!$H:$H,"&gt;="&amp;M$9,薪酬明细!$H:$H,"&lt;="&amp;M$10,薪酬明细!$A:$A,M$6)/10000</f>
        <v>0.3</v>
      </c>
      <c r="N69" s="121">
        <f>SUMIFS(薪酬明细!$M:$M,薪酬明细!$D:$D,$E69,薪酬明细!$E:$E,$F69,薪酬明细!$H:$H,"&gt;="&amp;N$9,薪酬明细!$H:$H,"&lt;="&amp;N$10,薪酬明细!$A:$A,N$6)/10000</f>
        <v>0.3</v>
      </c>
      <c r="O69" s="121">
        <f>SUMIFS(薪酬明细!$M:$M,薪酬明细!$D:$D,$E69,薪酬明细!$E:$E,$F69,薪酬明细!$H:$H,"&gt;="&amp;O$9,薪酬明细!$H:$H,"&lt;="&amp;O$10,薪酬明细!$A:$A,O$6)/10000</f>
        <v>0.3</v>
      </c>
      <c r="P69" s="121">
        <f>SUMIFS(薪酬明细!$M:$M,薪酬明细!$D:$D,$E69,薪酬明细!$E:$E,$F69,薪酬明细!$H:$H,"&gt;="&amp;P$9,薪酬明细!$H:$H,"&lt;="&amp;P$10,薪酬明细!$A:$A,P$6)/10000</f>
        <v>0.3</v>
      </c>
      <c r="Q69" s="121">
        <f>SUMIFS(薪酬明细!$M:$M,薪酬明细!$D:$D,$E69,薪酬明细!$E:$E,$F69,薪酬明细!$H:$H,"&gt;="&amp;Q$9,薪酬明细!$H:$H,"&lt;="&amp;Q$10,薪酬明细!$A:$A,Q$6)/10000</f>
        <v>0.3</v>
      </c>
      <c r="R69" s="121">
        <f>SUMIFS(薪酬明细!$M:$M,薪酬明细!$D:$D,$E69,薪酬明细!$E:$E,$F69,薪酬明细!$H:$H,"&gt;="&amp;R$9,薪酬明细!$H:$H,"&lt;="&amp;R$10,薪酬明细!$A:$A,R$6)/10000</f>
        <v>0.3</v>
      </c>
      <c r="S69" s="121">
        <f>SUMIFS(薪酬明细!$M:$M,薪酬明细!$D:$D,$E69,薪酬明细!$E:$E,$F69,薪酬明细!$H:$H,"&gt;="&amp;S$9,薪酬明细!$H:$H,"&lt;="&amp;S$10,薪酬明细!$A:$A,S$6)/10000</f>
        <v>0.3</v>
      </c>
      <c r="T69" s="125">
        <f t="shared" si="89"/>
        <v>3.8</v>
      </c>
      <c r="U69" s="121">
        <f>SUMIFS(薪酬明细!$M:$M,薪酬明细!$D:$D,$E69,薪酬明细!$E:$E,$F69,薪酬明细!$H:$H,"&gt;="&amp;U$9,薪酬明细!$H:$H,"&lt;="&amp;U$10,薪酬明细!$A:$A,U$6)/10000</f>
        <v>2.9</v>
      </c>
      <c r="V69" s="121">
        <f>SUMIFS(薪酬明细!$M:$M,薪酬明细!$D:$D,$E69,薪酬明细!$E:$E,$F69,薪酬明细!$H:$H,"&gt;="&amp;V$9,薪酬明细!$H:$H,"&lt;="&amp;V$10,薪酬明细!$A:$A,V$6)/10000</f>
        <v>0.3</v>
      </c>
      <c r="W69" s="121">
        <f>SUMIFS(薪酬明细!$M:$M,薪酬明细!$D:$D,$E69,薪酬明细!$E:$E,$F69,薪酬明细!$H:$H,"&gt;="&amp;W$9,薪酬明细!$H:$H,"&lt;="&amp;W$10,薪酬明细!$A:$A,W$6)/10000</f>
        <v>0.3</v>
      </c>
      <c r="X69" s="121">
        <f>SUMIFS(薪酬明细!$M:$M,薪酬明细!$D:$D,$E69,薪酬明细!$E:$E,$F69,薪酬明细!$H:$H,"&gt;="&amp;X$9,薪酬明细!$H:$H,"&lt;="&amp;X$10,薪酬明细!$A:$A,X$6)/10000</f>
        <v>0.3</v>
      </c>
      <c r="Y69" s="121">
        <f>SUMIFS(薪酬明细!$M:$M,薪酬明细!$D:$D,$E69,薪酬明细!$E:$E,$F69,薪酬明细!$H:$H,"&gt;="&amp;Y$9,薪酬明细!$H:$H,"&lt;="&amp;Y$10,薪酬明细!$A:$A,Y$6)/10000</f>
        <v>0.3</v>
      </c>
      <c r="Z69" s="121">
        <f>SUMIFS(薪酬明细!$M:$M,薪酬明细!$D:$D,$E69,薪酬明细!$E:$E,$F69,薪酬明细!$H:$H,"&gt;="&amp;Z$9,薪酬明细!$H:$H,"&lt;="&amp;Z$10,薪酬明细!$A:$A,Z$6)/10000</f>
        <v>0.3</v>
      </c>
      <c r="AA69" s="121">
        <f>SUMIFS(薪酬明细!$M:$M,薪酬明细!$D:$D,$E69,薪酬明细!$E:$E,$F69,薪酬明细!$H:$H,"&gt;="&amp;AA$9,薪酬明细!$H:$H,"&lt;="&amp;AA$10,薪酬明细!$A:$A,AA$6)/10000</f>
        <v>0.3</v>
      </c>
      <c r="AB69" s="121">
        <f>SUMIFS(薪酬明细!$M:$M,薪酬明细!$D:$D,$E69,薪酬明细!$E:$E,$F69,薪酬明细!$H:$H,"&gt;="&amp;AB$9,薪酬明细!$H:$H,"&lt;="&amp;AB$10,薪酬明细!$A:$A,AB$6)/10000</f>
        <v>0.3</v>
      </c>
      <c r="AC69" s="121">
        <f>SUMIFS(薪酬明细!$M:$M,薪酬明细!$D:$D,$E69,薪酬明细!$E:$E,$F69,薪酬明细!$H:$H,"&gt;="&amp;AC$9,薪酬明细!$H:$H,"&lt;="&amp;AC$10,薪酬明细!$A:$A,AC$6)/10000</f>
        <v>0.3</v>
      </c>
      <c r="AD69" s="121">
        <f>SUMIFS(薪酬明细!$M:$M,薪酬明细!$D:$D,$E69,薪酬明细!$E:$E,$F69,薪酬明细!$H:$H,"&gt;="&amp;AD$9,薪酬明细!$H:$H,"&lt;="&amp;AD$10,薪酬明细!$A:$A,AD$6)/10000</f>
        <v>0.3</v>
      </c>
      <c r="AE69" s="121">
        <f>SUMIFS(薪酬明细!$M:$M,薪酬明细!$D:$D,$E69,薪酬明细!$E:$E,$F69,薪酬明细!$H:$H,"&gt;="&amp;AE$9,薪酬明细!$H:$H,"&lt;="&amp;AE$10,薪酬明细!$A:$A,AE$6)/10000</f>
        <v>0</v>
      </c>
      <c r="AF69" s="121">
        <f>SUMIFS(薪酬明细!$M:$M,薪酬明细!$D:$D,$E69,薪酬明细!$E:$E,$F69,薪酬明细!$H:$H,"&gt;="&amp;AF$9,薪酬明细!$H:$H,"&lt;="&amp;AF$10,薪酬明细!$A:$A,AF$6)/10000</f>
        <v>0</v>
      </c>
      <c r="AG69" s="121">
        <f>SUMIFS(薪酬明细!$M:$M,薪酬明细!$D:$D,$E69,薪酬明细!$E:$E,$F69,薪酬明细!$H:$H,"&gt;="&amp;AG$9,薪酬明细!$H:$H,"&lt;="&amp;AG$10,薪酬明细!$A:$A,AG$6)/10000</f>
        <v>0</v>
      </c>
      <c r="AH69" s="121">
        <f>SUMIFS(薪酬明细!$M:$M,薪酬明细!$D:$D,$E69,薪酬明细!$E:$E,$F69,薪酬明细!$H:$H,"&gt;="&amp;AH$9,薪酬明细!$H:$H,"&lt;="&amp;AH$10,薪酬明细!$A:$A,AH$6)/10000</f>
        <v>0.9</v>
      </c>
      <c r="AI69" s="121">
        <f>SUMIFS(薪酬明细!$M:$M,薪酬明细!$D:$D,$E69,薪酬明细!$E:$E,$F69,薪酬明细!$H:$H,"&gt;="&amp;AI$9,薪酬明细!$H:$H,"&lt;="&amp;AI$10,薪酬明细!$A:$A,AI$6)/10000</f>
        <v>0</v>
      </c>
      <c r="AJ69" s="121">
        <f>SUMIFS(薪酬明细!$M:$M,薪酬明细!$D:$D,$E69,薪酬明细!$E:$E,$F69,薪酬明细!$H:$H,"&gt;="&amp;AJ$9,薪酬明细!$H:$H,"&lt;="&amp;AJ$10,薪酬明细!$A:$A,AJ$6)/10000</f>
        <v>0</v>
      </c>
      <c r="AK69" s="121">
        <f>SUMIFS(薪酬明细!$M:$M,薪酬明细!$D:$D,$E69,薪酬明细!$E:$E,$F69,薪酬明细!$H:$H,"&gt;="&amp;AK$9,薪酬明细!$H:$H,"&lt;="&amp;AK$10,薪酬明细!$A:$A,AK$6)/10000</f>
        <v>0</v>
      </c>
      <c r="AL69" s="121">
        <f>SUMIFS(薪酬明细!$M:$M,薪酬明细!$D:$D,$E69,薪酬明细!$E:$E,$F69,薪酬明细!$H:$H,"&gt;="&amp;AL$9,薪酬明细!$H:$H,"&lt;="&amp;AL$10,薪酬明细!$A:$A,AL$6)/10000</f>
        <v>0</v>
      </c>
      <c r="AM69" s="121">
        <f>SUMIFS(薪酬明细!$M:$M,薪酬明细!$D:$D,$E69,薪酬明细!$E:$E,$F69,薪酬明细!$H:$H,"&gt;="&amp;AM$9,薪酬明细!$H:$H,"&lt;="&amp;AM$10,薪酬明细!$A:$A,AM$6)/10000</f>
        <v>0</v>
      </c>
      <c r="AN69" s="121">
        <f>SUMIFS(薪酬明细!$M:$M,薪酬明细!$D:$D,$E69,薪酬明细!$E:$E,$F69,薪酬明细!$H:$H,"&gt;="&amp;AN$9,薪酬明细!$H:$H,"&lt;="&amp;AN$10,薪酬明细!$A:$A,AN$6)/10000</f>
        <v>0</v>
      </c>
      <c r="AO69" s="121">
        <f>SUMIFS(薪酬明细!$M:$M,薪酬明细!$D:$D,$E69,薪酬明细!$E:$E,$F69,薪酬明细!$H:$H,"&gt;="&amp;AO$9,薪酬明细!$H:$H,"&lt;="&amp;AO$10,薪酬明细!$A:$A,AO$6)/10000</f>
        <v>0</v>
      </c>
      <c r="AP69" s="121">
        <f>SUMIFS(薪酬明细!$M:$M,薪酬明细!$D:$D,$E69,薪酬明细!$E:$E,$F69,薪酬明细!$H:$H,"&gt;="&amp;AP$9,薪酬明细!$H:$H,"&lt;="&amp;AP$10,薪酬明细!$A:$A,AP$6)/10000</f>
        <v>0</v>
      </c>
      <c r="AQ69" s="121">
        <f>SUMIFS(薪酬明细!$M:$M,薪酬明细!$D:$D,$E69,薪酬明细!$E:$E,$F69,薪酬明细!$H:$H,"&gt;="&amp;AQ$9,薪酬明细!$H:$H,"&lt;="&amp;AQ$10,薪酬明细!$A:$A,AQ$6)/10000</f>
        <v>0</v>
      </c>
      <c r="AR69" s="121">
        <f>SUMIFS(薪酬明细!$M:$M,薪酬明细!$D:$D,$E69,薪酬明细!$E:$E,$F69,薪酬明细!$H:$H,"&gt;="&amp;AR$9,薪酬明细!$H:$H,"&lt;="&amp;AR$10,薪酬明细!$A:$A,AR$6)/10000</f>
        <v>0.3</v>
      </c>
      <c r="AS69" s="121">
        <f>SUMIFS(薪酬明细!$M:$M,薪酬明细!$D:$D,$E69,薪酬明细!$E:$E,$F69,薪酬明细!$H:$H,"&gt;="&amp;AS$9,薪酬明细!$H:$H,"&lt;="&amp;AS$10,薪酬明细!$A:$A,AS$6)/10000</f>
        <v>0.3</v>
      </c>
      <c r="AT69" s="121">
        <f>SUMIFS(薪酬明细!$M:$M,薪酬明细!$D:$D,$E69,薪酬明细!$E:$E,$F69,薪酬明细!$H:$H,"&gt;="&amp;AT$9,薪酬明细!$H:$H,"&lt;="&amp;AT$10,薪酬明细!$A:$A,AT$6)/10000</f>
        <v>0.3</v>
      </c>
      <c r="AU69" s="121">
        <f>SUMIFS(薪酬明细!$M:$M,薪酬明细!$D:$D,$E69,薪酬明细!$E:$E,$F69,薪酬明细!$H:$H,"&gt;="&amp;AU$9,薪酬明细!$H:$H,"&lt;="&amp;AU$10,薪酬明细!$A:$A,AU$6)/10000</f>
        <v>3.8</v>
      </c>
      <c r="AV69" s="121">
        <f>SUMIFS(薪酬明细!$M:$M,薪酬明细!$D:$D,$E69,薪酬明细!$E:$E,$F69,薪酬明细!$H:$H,"&gt;="&amp;AV$9,薪酬明细!$H:$H,"&lt;="&amp;AV$10,薪酬明细!$A:$A,AV$6)/10000</f>
        <v>0.3</v>
      </c>
      <c r="AW69" s="121">
        <f>SUMIFS(薪酬明细!$M:$M,薪酬明细!$D:$D,$E69,薪酬明细!$E:$E,$F69,薪酬明细!$H:$H,"&gt;="&amp;AW$9,薪酬明细!$H:$H,"&lt;="&amp;AW$10,薪酬明细!$A:$A,AW$6)/10000</f>
        <v>0.3</v>
      </c>
      <c r="AX69" s="121">
        <f>SUMIFS(薪酬明细!$M:$M,薪酬明细!$D:$D,$E69,薪酬明细!$E:$E,$F69,薪酬明细!$H:$H,"&gt;="&amp;AX$9,薪酬明细!$H:$H,"&lt;="&amp;AX$10,薪酬明细!$A:$A,AX$6)/10000</f>
        <v>0.3</v>
      </c>
      <c r="AY69" s="121">
        <f>SUMIFS(薪酬明细!$M:$M,薪酬明细!$D:$D,$E69,薪酬明细!$E:$E,$F69,薪酬明细!$H:$H,"&gt;="&amp;AY$9,薪酬明细!$H:$H,"&lt;="&amp;AY$10,薪酬明细!$A:$A,AY$6)/10000</f>
        <v>0.3</v>
      </c>
      <c r="AZ69" s="121">
        <f>SUMIFS(薪酬明细!$M:$M,薪酬明细!$D:$D,$E69,薪酬明细!$E:$E,$F69,薪酬明细!$H:$H,"&gt;="&amp;AZ$9,薪酬明细!$H:$H,"&lt;="&amp;AZ$10,薪酬明细!$A:$A,AZ$6)/10000</f>
        <v>0.3</v>
      </c>
      <c r="BA69" s="121">
        <f>SUMIFS(薪酬明细!$M:$M,薪酬明细!$D:$D,$E69,薪酬明细!$E:$E,$F69,薪酬明细!$H:$H,"&gt;="&amp;BA$9,薪酬明细!$H:$H,"&lt;="&amp;BA$10,薪酬明细!$A:$A,BA$6)/10000</f>
        <v>0.3</v>
      </c>
      <c r="BB69" s="121">
        <f>SUMIFS(薪酬明细!$M:$M,薪酬明细!$D:$D,$E69,薪酬明细!$E:$E,$F69,薪酬明细!$H:$H,"&gt;="&amp;BB$9,薪酬明细!$H:$H,"&lt;="&amp;BB$10,薪酬明细!$A:$A,BB$6)/10000</f>
        <v>0.3</v>
      </c>
      <c r="BC69" s="121">
        <f>SUMIFS(薪酬明细!$M:$M,薪酬明细!$D:$D,$E69,薪酬明细!$E:$E,$F69,薪酬明细!$H:$H,"&gt;="&amp;BC$9,薪酬明细!$H:$H,"&lt;="&amp;BC$10,薪酬明细!$A:$A,BC$6)/10000</f>
        <v>0.3</v>
      </c>
      <c r="BD69" s="121">
        <f>SUMIFS(薪酬明细!$M:$M,薪酬明细!$D:$D,$E69,薪酬明细!$E:$E,$F69,薪酬明细!$H:$H,"&gt;="&amp;BD$9,薪酬明细!$H:$H,"&lt;="&amp;BD$10,薪酬明细!$A:$A,BD$6)/10000</f>
        <v>0.3</v>
      </c>
      <c r="BE69" s="121">
        <f>SUMIFS(薪酬明细!$M:$M,薪酬明细!$D:$D,$E69,薪酬明细!$E:$E,$F69,薪酬明细!$H:$H,"&gt;="&amp;BE$9,薪酬明细!$H:$H,"&lt;="&amp;BE$10,薪酬明细!$A:$A,BE$6)/10000</f>
        <v>0.3</v>
      </c>
      <c r="BF69" s="121">
        <f>SUMIFS(薪酬明细!$M:$M,薪酬明细!$D:$D,$E69,薪酬明细!$E:$E,$F69,薪酬明细!$H:$H,"&gt;="&amp;BF$9,薪酬明细!$H:$H,"&lt;="&amp;BF$10,薪酬明细!$A:$A,BF$6)/10000</f>
        <v>0.3</v>
      </c>
      <c r="BG69" s="121">
        <f>SUMIFS(薪酬明细!$M:$M,薪酬明细!$D:$D,$E69,薪酬明细!$E:$E,$F69,薪酬明细!$H:$H,"&gt;="&amp;BG$9,薪酬明细!$H:$H,"&lt;="&amp;BG$10,薪酬明细!$A:$A,BG$6)/10000</f>
        <v>0.3</v>
      </c>
    </row>
    <row r="71" ht="20.4" spans="2:2">
      <c r="B71" s="118" t="s">
        <v>94</v>
      </c>
    </row>
    <row r="72" s="101" customFormat="1" ht="19.2" customHeight="1" spans="2:59">
      <c r="B72" s="42" t="s">
        <v>76</v>
      </c>
      <c r="C72" s="119"/>
      <c r="D72" s="119"/>
      <c r="E72" s="119" t="s">
        <v>78</v>
      </c>
      <c r="F72" s="119" t="s">
        <v>78</v>
      </c>
      <c r="G72" s="120">
        <f>SUMIFS(薪酬明细!$N:$N,薪酬明细!$D:$D,$E72,薪酬明细!$E:$E,$F72,薪酬明细!$H:$H,"&gt;="&amp;G$9,薪酬明细!$H:$H,"&lt;="&amp;G$10,薪酬明细!$A:$A,G$6)/10000</f>
        <v>76.2</v>
      </c>
      <c r="H72" s="120">
        <f>SUMIFS(薪酬明细!$N:$N,薪酬明细!$D:$D,$E72,薪酬明细!$E:$E,$F72,薪酬明细!$H:$H,"&gt;="&amp;H$9,薪酬明细!$H:$H,"&lt;="&amp;H$10,薪酬明细!$A:$A,H$6)/10000</f>
        <v>6.4</v>
      </c>
      <c r="I72" s="120">
        <f>SUMIFS(薪酬明细!$N:$N,薪酬明细!$D:$D,$E72,薪酬明细!$E:$E,$F72,薪酬明细!$H:$H,"&gt;="&amp;I$9,薪酬明细!$H:$H,"&lt;="&amp;I$10,薪酬明细!$A:$A,I$6)/10000</f>
        <v>6.4</v>
      </c>
      <c r="J72" s="120">
        <f>SUMIFS(薪酬明细!$N:$N,薪酬明细!$D:$D,$E72,薪酬明细!$E:$E,$F72,薪酬明细!$H:$H,"&gt;="&amp;J$9,薪酬明细!$H:$H,"&lt;="&amp;J$10,薪酬明细!$A:$A,J$6)/10000</f>
        <v>6.4</v>
      </c>
      <c r="K72" s="120">
        <f>SUMIFS(薪酬明细!$N:$N,薪酬明细!$D:$D,$E72,薪酬明细!$E:$E,$F72,薪酬明细!$H:$H,"&gt;="&amp;K$9,薪酬明细!$H:$H,"&lt;="&amp;K$10,薪酬明细!$A:$A,K$6)/10000</f>
        <v>6.3</v>
      </c>
      <c r="L72" s="120">
        <f>SUMIFS(薪酬明细!$N:$N,薪酬明细!$D:$D,$E72,薪酬明细!$E:$E,$F72,薪酬明细!$H:$H,"&gt;="&amp;L$9,薪酬明细!$H:$H,"&lt;="&amp;L$10,薪酬明细!$A:$A,L$6)/10000</f>
        <v>6.3</v>
      </c>
      <c r="M72" s="120">
        <f>SUMIFS(薪酬明细!$N:$N,薪酬明细!$D:$D,$E72,薪酬明细!$E:$E,$F72,薪酬明细!$H:$H,"&gt;="&amp;M$9,薪酬明细!$H:$H,"&lt;="&amp;M$10,薪酬明细!$A:$A,M$6)/10000</f>
        <v>6.4</v>
      </c>
      <c r="N72" s="120">
        <f>SUMIFS(薪酬明细!$N:$N,薪酬明细!$D:$D,$E72,薪酬明细!$E:$E,$F72,薪酬明细!$H:$H,"&gt;="&amp;N$9,薪酬明细!$H:$H,"&lt;="&amp;N$10,薪酬明细!$A:$A,N$6)/10000</f>
        <v>6.4</v>
      </c>
      <c r="O72" s="120">
        <f>SUMIFS(薪酬明细!$N:$N,薪酬明细!$D:$D,$E72,薪酬明细!$E:$E,$F72,薪酬明细!$H:$H,"&gt;="&amp;O$9,薪酬明细!$H:$H,"&lt;="&amp;O$10,薪酬明细!$A:$A,O$6)/10000</f>
        <v>6.3</v>
      </c>
      <c r="P72" s="120">
        <f>SUMIFS(薪酬明细!$N:$N,薪酬明细!$D:$D,$E72,薪酬明细!$E:$E,$F72,薪酬明细!$H:$H,"&gt;="&amp;P$9,薪酬明细!$H:$H,"&lt;="&amp;P$10,薪酬明细!$A:$A,P$6)/10000</f>
        <v>6.4</v>
      </c>
      <c r="Q72" s="120">
        <f>SUMIFS(薪酬明细!$N:$N,薪酬明细!$D:$D,$E72,薪酬明细!$E:$E,$F72,薪酬明细!$H:$H,"&gt;="&amp;Q$9,薪酬明细!$H:$H,"&lt;="&amp;Q$10,薪酬明细!$A:$A,Q$6)/10000</f>
        <v>6.4</v>
      </c>
      <c r="R72" s="120">
        <f>SUMIFS(薪酬明细!$N:$N,薪酬明细!$D:$D,$E72,薪酬明细!$E:$E,$F72,薪酬明细!$H:$H,"&gt;="&amp;R$9,薪酬明细!$H:$H,"&lt;="&amp;R$10,薪酬明细!$A:$A,R$6)/10000</f>
        <v>6.3</v>
      </c>
      <c r="S72" s="120">
        <f>SUMIFS(薪酬明细!$N:$N,薪酬明细!$D:$D,$E72,薪酬明细!$E:$E,$F72,薪酬明细!$H:$H,"&gt;="&amp;S$9,薪酬明细!$H:$H,"&lt;="&amp;S$10,薪酬明细!$A:$A,S$6)/10000</f>
        <v>6.3</v>
      </c>
      <c r="T72" s="124">
        <f>U72+AH72</f>
        <v>76.3</v>
      </c>
      <c r="U72" s="120">
        <f>SUMIFS(薪酬明细!$N:$N,薪酬明细!$D:$D,$E72,薪酬明细!$E:$E,$F72,薪酬明细!$H:$H,"&gt;="&amp;U$9,薪酬明细!$H:$H,"&lt;="&amp;U$10,薪酬明细!$A:$A,U$6)/10000</f>
        <v>57.2</v>
      </c>
      <c r="V72" s="120">
        <f>SUMIFS(薪酬明细!$N:$N,薪酬明细!$D:$D,$E72,薪酬明细!$E:$E,$F72,薪酬明细!$H:$H,"&gt;="&amp;V$9,薪酬明细!$H:$H,"&lt;="&amp;V$10,薪酬明细!$A:$A,V$6)/10000</f>
        <v>6.4</v>
      </c>
      <c r="W72" s="120">
        <f>SUMIFS(薪酬明细!$N:$N,薪酬明细!$D:$D,$E72,薪酬明细!$E:$E,$F72,薪酬明细!$H:$H,"&gt;="&amp;W$9,薪酬明细!$H:$H,"&lt;="&amp;W$10,薪酬明细!$A:$A,W$6)/10000</f>
        <v>6.4</v>
      </c>
      <c r="X72" s="120">
        <f>SUMIFS(薪酬明细!$N:$N,薪酬明细!$D:$D,$E72,薪酬明细!$E:$E,$F72,薪酬明细!$H:$H,"&gt;="&amp;X$9,薪酬明细!$H:$H,"&lt;="&amp;X$10,薪酬明细!$A:$A,X$6)/10000</f>
        <v>6.4</v>
      </c>
      <c r="Y72" s="120">
        <f>SUMIFS(薪酬明细!$N:$N,薪酬明细!$D:$D,$E72,薪酬明细!$E:$E,$F72,薪酬明细!$H:$H,"&gt;="&amp;Y$9,薪酬明细!$H:$H,"&lt;="&amp;Y$10,薪酬明细!$A:$A,Y$6)/10000</f>
        <v>6.4</v>
      </c>
      <c r="Z72" s="120">
        <f>SUMIFS(薪酬明细!$N:$N,薪酬明细!$D:$D,$E72,薪酬明细!$E:$E,$F72,薪酬明细!$H:$H,"&gt;="&amp;Z$9,薪酬明细!$H:$H,"&lt;="&amp;Z$10,薪酬明细!$A:$A,Z$6)/10000</f>
        <v>6.4</v>
      </c>
      <c r="AA72" s="120">
        <f>SUMIFS(薪酬明细!$N:$N,薪酬明细!$D:$D,$E72,薪酬明细!$E:$E,$F72,薪酬明细!$H:$H,"&gt;="&amp;AA$9,薪酬明细!$H:$H,"&lt;="&amp;AA$10,薪酬明细!$A:$A,AA$6)/10000</f>
        <v>6.3</v>
      </c>
      <c r="AB72" s="120">
        <f>SUMIFS(薪酬明细!$N:$N,薪酬明细!$D:$D,$E72,薪酬明细!$E:$E,$F72,薪酬明细!$H:$H,"&gt;="&amp;AB$9,薪酬明细!$H:$H,"&lt;="&amp;AB$10,薪酬明细!$A:$A,AB$6)/10000</f>
        <v>6.3</v>
      </c>
      <c r="AC72" s="120">
        <f>SUMIFS(薪酬明细!$N:$N,薪酬明细!$D:$D,$E72,薪酬明细!$E:$E,$F72,薪酬明细!$H:$H,"&gt;="&amp;AC$9,薪酬明细!$H:$H,"&lt;="&amp;AC$10,薪酬明细!$A:$A,AC$6)/10000</f>
        <v>6.4</v>
      </c>
      <c r="AD72" s="120">
        <f>SUMIFS(薪酬明细!$N:$N,薪酬明细!$D:$D,$E72,薪酬明细!$E:$E,$F72,薪酬明细!$H:$H,"&gt;="&amp;AD$9,薪酬明细!$H:$H,"&lt;="&amp;AD$10,薪酬明细!$A:$A,AD$6)/10000</f>
        <v>6.3</v>
      </c>
      <c r="AE72" s="120">
        <f>SUMIFS(薪酬明细!$N:$N,薪酬明细!$D:$D,$E72,薪酬明细!$E:$E,$F72,薪酬明细!$H:$H,"&gt;="&amp;AE$9,薪酬明细!$H:$H,"&lt;="&amp;AE$10,薪酬明细!$A:$A,AE$6)/10000</f>
        <v>0</v>
      </c>
      <c r="AF72" s="120">
        <f>SUMIFS(薪酬明细!$N:$N,薪酬明细!$D:$D,$E72,薪酬明细!$E:$E,$F72,薪酬明细!$H:$H,"&gt;="&amp;AF$9,薪酬明细!$H:$H,"&lt;="&amp;AF$10,薪酬明细!$A:$A,AF$6)/10000</f>
        <v>0</v>
      </c>
      <c r="AG72" s="120">
        <f>SUMIFS(薪酬明细!$N:$N,薪酬明细!$D:$D,$E72,薪酬明细!$E:$E,$F72,薪酬明细!$H:$H,"&gt;="&amp;AG$9,薪酬明细!$H:$H,"&lt;="&amp;AG$10,薪酬明细!$A:$A,AG$6)/10000</f>
        <v>0</v>
      </c>
      <c r="AH72" s="120">
        <f>SUMIFS(薪酬明细!$N:$N,薪酬明细!$D:$D,$E72,薪酬明细!$E:$E,$F72,薪酬明细!$H:$H,"&gt;="&amp;AH$9,薪酬明细!$H:$H,"&lt;="&amp;AH$10,薪酬明细!$A:$A,AH$6)/10000</f>
        <v>19.1</v>
      </c>
      <c r="AI72" s="120">
        <f>SUMIFS(薪酬明细!$N:$N,薪酬明细!$D:$D,$E72,薪酬明细!$E:$E,$F72,薪酬明细!$H:$H,"&gt;="&amp;AI$9,薪酬明细!$H:$H,"&lt;="&amp;AI$10,薪酬明细!$A:$A,AI$6)/10000</f>
        <v>0</v>
      </c>
      <c r="AJ72" s="120">
        <f>SUMIFS(薪酬明细!$N:$N,薪酬明细!$D:$D,$E72,薪酬明细!$E:$E,$F72,薪酬明细!$H:$H,"&gt;="&amp;AJ$9,薪酬明细!$H:$H,"&lt;="&amp;AJ$10,薪酬明细!$A:$A,AJ$6)/10000</f>
        <v>0</v>
      </c>
      <c r="AK72" s="120">
        <f>SUMIFS(薪酬明细!$N:$N,薪酬明细!$D:$D,$E72,薪酬明细!$E:$E,$F72,薪酬明细!$H:$H,"&gt;="&amp;AK$9,薪酬明细!$H:$H,"&lt;="&amp;AK$10,薪酬明细!$A:$A,AK$6)/10000</f>
        <v>0</v>
      </c>
      <c r="AL72" s="120">
        <f>SUMIFS(薪酬明细!$N:$N,薪酬明细!$D:$D,$E72,薪酬明细!$E:$E,$F72,薪酬明细!$H:$H,"&gt;="&amp;AL$9,薪酬明细!$H:$H,"&lt;="&amp;AL$10,薪酬明细!$A:$A,AL$6)/10000</f>
        <v>0</v>
      </c>
      <c r="AM72" s="120">
        <f>SUMIFS(薪酬明细!$N:$N,薪酬明细!$D:$D,$E72,薪酬明细!$E:$E,$F72,薪酬明细!$H:$H,"&gt;="&amp;AM$9,薪酬明细!$H:$H,"&lt;="&amp;AM$10,薪酬明细!$A:$A,AM$6)/10000</f>
        <v>0</v>
      </c>
      <c r="AN72" s="120">
        <f>SUMIFS(薪酬明细!$N:$N,薪酬明细!$D:$D,$E72,薪酬明细!$E:$E,$F72,薪酬明细!$H:$H,"&gt;="&amp;AN$9,薪酬明细!$H:$H,"&lt;="&amp;AN$10,薪酬明细!$A:$A,AN$6)/10000</f>
        <v>0</v>
      </c>
      <c r="AO72" s="120">
        <f>SUMIFS(薪酬明细!$N:$N,薪酬明细!$D:$D,$E72,薪酬明细!$E:$E,$F72,薪酬明细!$H:$H,"&gt;="&amp;AO$9,薪酬明细!$H:$H,"&lt;="&amp;AO$10,薪酬明细!$A:$A,AO$6)/10000</f>
        <v>0</v>
      </c>
      <c r="AP72" s="120">
        <f>SUMIFS(薪酬明细!$N:$N,薪酬明细!$D:$D,$E72,薪酬明细!$E:$E,$F72,薪酬明细!$H:$H,"&gt;="&amp;AP$9,薪酬明细!$H:$H,"&lt;="&amp;AP$10,薪酬明细!$A:$A,AP$6)/10000</f>
        <v>0</v>
      </c>
      <c r="AQ72" s="120">
        <f>SUMIFS(薪酬明细!$N:$N,薪酬明细!$D:$D,$E72,薪酬明细!$E:$E,$F72,薪酬明细!$H:$H,"&gt;="&amp;AQ$9,薪酬明细!$H:$H,"&lt;="&amp;AQ$10,薪酬明细!$A:$A,AQ$6)/10000</f>
        <v>0</v>
      </c>
      <c r="AR72" s="120">
        <f>SUMIFS(薪酬明细!$N:$N,薪酬明细!$D:$D,$E72,薪酬明细!$E:$E,$F72,薪酬明细!$H:$H,"&gt;="&amp;AR$9,薪酬明细!$H:$H,"&lt;="&amp;AR$10,薪酬明细!$A:$A,AR$6)/10000</f>
        <v>6.4</v>
      </c>
      <c r="AS72" s="120">
        <f>SUMIFS(薪酬明细!$N:$N,薪酬明细!$D:$D,$E72,薪酬明细!$E:$E,$F72,薪酬明细!$H:$H,"&gt;="&amp;AS$9,薪酬明细!$H:$H,"&lt;="&amp;AS$10,薪酬明细!$A:$A,AS$6)/10000</f>
        <v>6.4</v>
      </c>
      <c r="AT72" s="120">
        <f>SUMIFS(薪酬明细!$N:$N,薪酬明细!$D:$D,$E72,薪酬明细!$E:$E,$F72,薪酬明细!$H:$H,"&gt;="&amp;AT$9,薪酬明细!$H:$H,"&lt;="&amp;AT$10,薪酬明细!$A:$A,AT$6)/10000</f>
        <v>6.3</v>
      </c>
      <c r="AU72" s="120">
        <f>SUMIFS(薪酬明细!$N:$N,薪酬明细!$D:$D,$E72,薪酬明细!$E:$E,$F72,薪酬明细!$H:$H,"&gt;="&amp;AU$9,薪酬明细!$H:$H,"&lt;="&amp;AU$10,薪酬明细!$A:$A,AU$6)/10000</f>
        <v>76.4</v>
      </c>
      <c r="AV72" s="120">
        <f>SUMIFS(薪酬明细!$N:$N,薪酬明细!$D:$D,$E72,薪酬明细!$E:$E,$F72,薪酬明细!$H:$H,"&gt;="&amp;AV$9,薪酬明细!$H:$H,"&lt;="&amp;AV$10,薪酬明细!$A:$A,AV$6)/10000</f>
        <v>6.4</v>
      </c>
      <c r="AW72" s="120">
        <f>SUMIFS(薪酬明细!$N:$N,薪酬明细!$D:$D,$E72,薪酬明细!$E:$E,$F72,薪酬明细!$H:$H,"&gt;="&amp;AW$9,薪酬明细!$H:$H,"&lt;="&amp;AW$10,薪酬明细!$A:$A,AW$6)/10000</f>
        <v>6.3</v>
      </c>
      <c r="AX72" s="120">
        <f>SUMIFS(薪酬明细!$N:$N,薪酬明细!$D:$D,$E72,薪酬明细!$E:$E,$F72,薪酬明细!$H:$H,"&gt;="&amp;AX$9,薪酬明细!$H:$H,"&lt;="&amp;AX$10,薪酬明细!$A:$A,AX$6)/10000</f>
        <v>6.4</v>
      </c>
      <c r="AY72" s="120">
        <f>SUMIFS(薪酬明细!$N:$N,薪酬明细!$D:$D,$E72,薪酬明细!$E:$E,$F72,薪酬明细!$H:$H,"&gt;="&amp;AY$9,薪酬明细!$H:$H,"&lt;="&amp;AY$10,薪酬明细!$A:$A,AY$6)/10000</f>
        <v>6.3</v>
      </c>
      <c r="AZ72" s="120">
        <f>SUMIFS(薪酬明细!$N:$N,薪酬明细!$D:$D,$E72,薪酬明细!$E:$E,$F72,薪酬明细!$H:$H,"&gt;="&amp;AZ$9,薪酬明细!$H:$H,"&lt;="&amp;AZ$10,薪酬明细!$A:$A,AZ$6)/10000</f>
        <v>6.4</v>
      </c>
      <c r="BA72" s="120">
        <f>SUMIFS(薪酬明细!$N:$N,薪酬明细!$D:$D,$E72,薪酬明细!$E:$E,$F72,薪酬明细!$H:$H,"&gt;="&amp;BA$9,薪酬明细!$H:$H,"&lt;="&amp;BA$10,薪酬明细!$A:$A,BA$6)/10000</f>
        <v>6.3</v>
      </c>
      <c r="BB72" s="120">
        <f>SUMIFS(薪酬明细!$N:$N,薪酬明细!$D:$D,$E72,薪酬明细!$E:$E,$F72,薪酬明细!$H:$H,"&gt;="&amp;BB$9,薪酬明细!$H:$H,"&lt;="&amp;BB$10,薪酬明细!$A:$A,BB$6)/10000</f>
        <v>6.4</v>
      </c>
      <c r="BC72" s="120">
        <f>SUMIFS(薪酬明细!$N:$N,薪酬明细!$D:$D,$E72,薪酬明细!$E:$E,$F72,薪酬明细!$H:$H,"&gt;="&amp;BC$9,薪酬明细!$H:$H,"&lt;="&amp;BC$10,薪酬明细!$A:$A,BC$6)/10000</f>
        <v>6.4</v>
      </c>
      <c r="BD72" s="120">
        <f>SUMIFS(薪酬明细!$N:$N,薪酬明细!$D:$D,$E72,薪酬明细!$E:$E,$F72,薪酬明细!$H:$H,"&gt;="&amp;BD$9,薪酬明细!$H:$H,"&lt;="&amp;BD$10,薪酬明细!$A:$A,BD$6)/10000</f>
        <v>6.4</v>
      </c>
      <c r="BE72" s="120">
        <f>SUMIFS(薪酬明细!$N:$N,薪酬明细!$D:$D,$E72,薪酬明细!$E:$E,$F72,薪酬明细!$H:$H,"&gt;="&amp;BE$9,薪酬明细!$H:$H,"&lt;="&amp;BE$10,薪酬明细!$A:$A,BE$6)/10000</f>
        <v>6.4</v>
      </c>
      <c r="BF72" s="120">
        <f>SUMIFS(薪酬明细!$N:$N,薪酬明细!$D:$D,$E72,薪酬明细!$E:$E,$F72,薪酬明细!$H:$H,"&gt;="&amp;BF$9,薪酬明细!$H:$H,"&lt;="&amp;BF$10,薪酬明细!$A:$A,BF$6)/10000</f>
        <v>6.4</v>
      </c>
      <c r="BG72" s="120">
        <f>SUMIFS(薪酬明细!$N:$N,薪酬明细!$D:$D,$E72,薪酬明细!$E:$E,$F72,薪酬明细!$H:$H,"&gt;="&amp;BG$9,薪酬明细!$H:$H,"&lt;="&amp;BG$10,薪酬明细!$A:$A,BG$6)/10000</f>
        <v>6.4</v>
      </c>
    </row>
    <row r="73" ht="16.2" spans="3:59">
      <c r="C73" s="42" t="s">
        <v>79</v>
      </c>
      <c r="D73" s="42"/>
      <c r="E73" s="116" t="str">
        <f>IF(C73&lt;&gt;"",C73,E70)</f>
        <v>流程中心</v>
      </c>
      <c r="F73" s="116" t="str">
        <f>IF(D73&lt;&gt;"",D73,"*")</f>
        <v>*</v>
      </c>
      <c r="G73" s="121">
        <f>SUMIFS(薪酬明细!$N:$N,薪酬明细!$D:$D,$E73,薪酬明细!$E:$E,$F73,薪酬明细!$H:$H,"&gt;="&amp;G$9,薪酬明细!$H:$H,"&lt;="&amp;G$10,薪酬明细!$A:$A,G$6)/10000</f>
        <v>26.1</v>
      </c>
      <c r="H73" s="121">
        <f>SUMIFS(薪酬明细!$N:$N,薪酬明细!$D:$D,$E73,薪酬明细!$E:$E,$F73,薪酬明细!$H:$H,"&gt;="&amp;H$9,薪酬明细!$H:$H,"&lt;="&amp;H$10,薪酬明细!$A:$A,H$6)/10000</f>
        <v>2.2</v>
      </c>
      <c r="I73" s="121">
        <f>SUMIFS(薪酬明细!$N:$N,薪酬明细!$D:$D,$E73,薪酬明细!$E:$E,$F73,薪酬明细!$H:$H,"&gt;="&amp;I$9,薪酬明细!$H:$H,"&lt;="&amp;I$10,薪酬明细!$A:$A,I$6)/10000</f>
        <v>2.2</v>
      </c>
      <c r="J73" s="121">
        <f>SUMIFS(薪酬明细!$N:$N,薪酬明细!$D:$D,$E73,薪酬明细!$E:$E,$F73,薪酬明细!$H:$H,"&gt;="&amp;J$9,薪酬明细!$H:$H,"&lt;="&amp;J$10,薪酬明细!$A:$A,J$6)/10000</f>
        <v>2.2</v>
      </c>
      <c r="K73" s="121">
        <f>SUMIFS(薪酬明细!$N:$N,薪酬明细!$D:$D,$E73,薪酬明细!$E:$E,$F73,薪酬明细!$H:$H,"&gt;="&amp;K$9,薪酬明细!$H:$H,"&lt;="&amp;K$10,薪酬明细!$A:$A,K$6)/10000</f>
        <v>2.2</v>
      </c>
      <c r="L73" s="121">
        <f>SUMIFS(薪酬明细!$N:$N,薪酬明细!$D:$D,$E73,薪酬明细!$E:$E,$F73,薪酬明细!$H:$H,"&gt;="&amp;L$9,薪酬明细!$H:$H,"&lt;="&amp;L$10,薪酬明细!$A:$A,L$6)/10000</f>
        <v>2.2</v>
      </c>
      <c r="M73" s="121">
        <f>SUMIFS(薪酬明细!$N:$N,薪酬明细!$D:$D,$E73,薪酬明细!$E:$E,$F73,薪酬明细!$H:$H,"&gt;="&amp;M$9,薪酬明细!$H:$H,"&lt;="&amp;M$10,薪酬明细!$A:$A,M$6)/10000</f>
        <v>2.2</v>
      </c>
      <c r="N73" s="121">
        <f>SUMIFS(薪酬明细!$N:$N,薪酬明细!$D:$D,$E73,薪酬明细!$E:$E,$F73,薪酬明细!$H:$H,"&gt;="&amp;N$9,薪酬明细!$H:$H,"&lt;="&amp;N$10,薪酬明细!$A:$A,N$6)/10000</f>
        <v>2.2</v>
      </c>
      <c r="O73" s="121">
        <f>SUMIFS(薪酬明细!$N:$N,薪酬明细!$D:$D,$E73,薪酬明细!$E:$E,$F73,薪酬明细!$H:$H,"&gt;="&amp;O$9,薪酬明细!$H:$H,"&lt;="&amp;O$10,薪酬明细!$A:$A,O$6)/10000</f>
        <v>2.2</v>
      </c>
      <c r="P73" s="121">
        <f>SUMIFS(薪酬明细!$N:$N,薪酬明细!$D:$D,$E73,薪酬明细!$E:$E,$F73,薪酬明细!$H:$H,"&gt;="&amp;P$9,薪酬明细!$H:$H,"&lt;="&amp;P$10,薪酬明细!$A:$A,P$6)/10000</f>
        <v>2.2</v>
      </c>
      <c r="Q73" s="121">
        <f>SUMIFS(薪酬明细!$N:$N,薪酬明细!$D:$D,$E73,薪酬明细!$E:$E,$F73,薪酬明细!$H:$H,"&gt;="&amp;Q$9,薪酬明细!$H:$H,"&lt;="&amp;Q$10,薪酬明细!$A:$A,Q$6)/10000</f>
        <v>2.2</v>
      </c>
      <c r="R73" s="121">
        <f>SUMIFS(薪酬明细!$N:$N,薪酬明细!$D:$D,$E73,薪酬明细!$E:$E,$F73,薪酬明细!$H:$H,"&gt;="&amp;R$9,薪酬明细!$H:$H,"&lt;="&amp;R$10,薪酬明细!$A:$A,R$6)/10000</f>
        <v>2.2</v>
      </c>
      <c r="S73" s="121">
        <f>SUMIFS(薪酬明细!$N:$N,薪酬明细!$D:$D,$E73,薪酬明细!$E:$E,$F73,薪酬明细!$H:$H,"&gt;="&amp;S$9,薪酬明细!$H:$H,"&lt;="&amp;S$10,薪酬明细!$A:$A,S$6)/10000</f>
        <v>2.2</v>
      </c>
      <c r="T73" s="125">
        <f>U73+AH73</f>
        <v>26.2</v>
      </c>
      <c r="U73" s="121">
        <f>SUMIFS(薪酬明细!$N:$N,薪酬明细!$D:$D,$E73,薪酬明细!$E:$E,$F73,薪酬明细!$H:$H,"&gt;="&amp;U$9,薪酬明细!$H:$H,"&lt;="&amp;U$10,薪酬明细!$A:$A,U$6)/10000</f>
        <v>19.6</v>
      </c>
      <c r="V73" s="121">
        <f>SUMIFS(薪酬明细!$N:$N,薪酬明细!$D:$D,$E73,薪酬明细!$E:$E,$F73,薪酬明细!$H:$H,"&gt;="&amp;V$9,薪酬明细!$H:$H,"&lt;="&amp;V$10,薪酬明细!$A:$A,V$6)/10000</f>
        <v>2.2</v>
      </c>
      <c r="W73" s="121">
        <f>SUMIFS(薪酬明细!$N:$N,薪酬明细!$D:$D,$E73,薪酬明细!$E:$E,$F73,薪酬明细!$H:$H,"&gt;="&amp;W$9,薪酬明细!$H:$H,"&lt;="&amp;W$10,薪酬明细!$A:$A,W$6)/10000</f>
        <v>2.2</v>
      </c>
      <c r="X73" s="121">
        <f>SUMIFS(薪酬明细!$N:$N,薪酬明细!$D:$D,$E73,薪酬明细!$E:$E,$F73,薪酬明细!$H:$H,"&gt;="&amp;X$9,薪酬明细!$H:$H,"&lt;="&amp;X$10,薪酬明细!$A:$A,X$6)/10000</f>
        <v>2.2</v>
      </c>
      <c r="Y73" s="121">
        <f>SUMIFS(薪酬明细!$N:$N,薪酬明细!$D:$D,$E73,薪酬明细!$E:$E,$F73,薪酬明细!$H:$H,"&gt;="&amp;Y$9,薪酬明细!$H:$H,"&lt;="&amp;Y$10,薪酬明细!$A:$A,Y$6)/10000</f>
        <v>2.2</v>
      </c>
      <c r="Z73" s="121">
        <f>SUMIFS(薪酬明细!$N:$N,薪酬明细!$D:$D,$E73,薪酬明细!$E:$E,$F73,薪酬明细!$H:$H,"&gt;="&amp;Z$9,薪酬明细!$H:$H,"&lt;="&amp;Z$10,薪酬明细!$A:$A,Z$6)/10000</f>
        <v>2.2</v>
      </c>
      <c r="AA73" s="121">
        <f>SUMIFS(薪酬明细!$N:$N,薪酬明细!$D:$D,$E73,薪酬明细!$E:$E,$F73,薪酬明细!$H:$H,"&gt;="&amp;AA$9,薪酬明细!$H:$H,"&lt;="&amp;AA$10,薪酬明细!$A:$A,AA$6)/10000</f>
        <v>2.2</v>
      </c>
      <c r="AB73" s="121">
        <f>SUMIFS(薪酬明细!$N:$N,薪酬明细!$D:$D,$E73,薪酬明细!$E:$E,$F73,薪酬明细!$H:$H,"&gt;="&amp;AB$9,薪酬明细!$H:$H,"&lt;="&amp;AB$10,薪酬明细!$A:$A,AB$6)/10000</f>
        <v>2.2</v>
      </c>
      <c r="AC73" s="121">
        <f>SUMIFS(薪酬明细!$N:$N,薪酬明细!$D:$D,$E73,薪酬明细!$E:$E,$F73,薪酬明细!$H:$H,"&gt;="&amp;AC$9,薪酬明细!$H:$H,"&lt;="&amp;AC$10,薪酬明细!$A:$A,AC$6)/10000</f>
        <v>2.2</v>
      </c>
      <c r="AD73" s="121">
        <f>SUMIFS(薪酬明细!$N:$N,薪酬明细!$D:$D,$E73,薪酬明细!$E:$E,$F73,薪酬明细!$H:$H,"&gt;="&amp;AD$9,薪酬明细!$H:$H,"&lt;="&amp;AD$10,薪酬明细!$A:$A,AD$6)/10000</f>
        <v>2.2</v>
      </c>
      <c r="AE73" s="121">
        <f>SUMIFS(薪酬明细!$N:$N,薪酬明细!$D:$D,$E73,薪酬明细!$E:$E,$F73,薪酬明细!$H:$H,"&gt;="&amp;AE$9,薪酬明细!$H:$H,"&lt;="&amp;AE$10,薪酬明细!$A:$A,AE$6)/10000</f>
        <v>0</v>
      </c>
      <c r="AF73" s="121">
        <f>SUMIFS(薪酬明细!$N:$N,薪酬明细!$D:$D,$E73,薪酬明细!$E:$E,$F73,薪酬明细!$H:$H,"&gt;="&amp;AF$9,薪酬明细!$H:$H,"&lt;="&amp;AF$10,薪酬明细!$A:$A,AF$6)/10000</f>
        <v>0</v>
      </c>
      <c r="AG73" s="121">
        <f>SUMIFS(薪酬明细!$N:$N,薪酬明细!$D:$D,$E73,薪酬明细!$E:$E,$F73,薪酬明细!$H:$H,"&gt;="&amp;AG$9,薪酬明细!$H:$H,"&lt;="&amp;AG$10,薪酬明细!$A:$A,AG$6)/10000</f>
        <v>0</v>
      </c>
      <c r="AH73" s="121">
        <f>SUMIFS(薪酬明细!$N:$N,薪酬明细!$D:$D,$E73,薪酬明细!$E:$E,$F73,薪酬明细!$H:$H,"&gt;="&amp;AH$9,薪酬明细!$H:$H,"&lt;="&amp;AH$10,薪酬明细!$A:$A,AH$6)/10000</f>
        <v>6.6</v>
      </c>
      <c r="AI73" s="121">
        <f>SUMIFS(薪酬明细!$N:$N,薪酬明细!$D:$D,$E73,薪酬明细!$E:$E,$F73,薪酬明细!$H:$H,"&gt;="&amp;AI$9,薪酬明细!$H:$H,"&lt;="&amp;AI$10,薪酬明细!$A:$A,AI$6)/10000</f>
        <v>0</v>
      </c>
      <c r="AJ73" s="121">
        <f>SUMIFS(薪酬明细!$N:$N,薪酬明细!$D:$D,$E73,薪酬明细!$E:$E,$F73,薪酬明细!$H:$H,"&gt;="&amp;AJ$9,薪酬明细!$H:$H,"&lt;="&amp;AJ$10,薪酬明细!$A:$A,AJ$6)/10000</f>
        <v>0</v>
      </c>
      <c r="AK73" s="121">
        <f>SUMIFS(薪酬明细!$N:$N,薪酬明细!$D:$D,$E73,薪酬明细!$E:$E,$F73,薪酬明细!$H:$H,"&gt;="&amp;AK$9,薪酬明细!$H:$H,"&lt;="&amp;AK$10,薪酬明细!$A:$A,AK$6)/10000</f>
        <v>0</v>
      </c>
      <c r="AL73" s="121">
        <f>SUMIFS(薪酬明细!$N:$N,薪酬明细!$D:$D,$E73,薪酬明细!$E:$E,$F73,薪酬明细!$H:$H,"&gt;="&amp;AL$9,薪酬明细!$H:$H,"&lt;="&amp;AL$10,薪酬明细!$A:$A,AL$6)/10000</f>
        <v>0</v>
      </c>
      <c r="AM73" s="121">
        <f>SUMIFS(薪酬明细!$N:$N,薪酬明细!$D:$D,$E73,薪酬明细!$E:$E,$F73,薪酬明细!$H:$H,"&gt;="&amp;AM$9,薪酬明细!$H:$H,"&lt;="&amp;AM$10,薪酬明细!$A:$A,AM$6)/10000</f>
        <v>0</v>
      </c>
      <c r="AN73" s="121">
        <f>SUMIFS(薪酬明细!$N:$N,薪酬明细!$D:$D,$E73,薪酬明细!$E:$E,$F73,薪酬明细!$H:$H,"&gt;="&amp;AN$9,薪酬明细!$H:$H,"&lt;="&amp;AN$10,薪酬明细!$A:$A,AN$6)/10000</f>
        <v>0</v>
      </c>
      <c r="AO73" s="121">
        <f>SUMIFS(薪酬明细!$N:$N,薪酬明细!$D:$D,$E73,薪酬明细!$E:$E,$F73,薪酬明细!$H:$H,"&gt;="&amp;AO$9,薪酬明细!$H:$H,"&lt;="&amp;AO$10,薪酬明细!$A:$A,AO$6)/10000</f>
        <v>0</v>
      </c>
      <c r="AP73" s="121">
        <f>SUMIFS(薪酬明细!$N:$N,薪酬明细!$D:$D,$E73,薪酬明细!$E:$E,$F73,薪酬明细!$H:$H,"&gt;="&amp;AP$9,薪酬明细!$H:$H,"&lt;="&amp;AP$10,薪酬明细!$A:$A,AP$6)/10000</f>
        <v>0</v>
      </c>
      <c r="AQ73" s="121">
        <f>SUMIFS(薪酬明细!$N:$N,薪酬明细!$D:$D,$E73,薪酬明细!$E:$E,$F73,薪酬明细!$H:$H,"&gt;="&amp;AQ$9,薪酬明细!$H:$H,"&lt;="&amp;AQ$10,薪酬明细!$A:$A,AQ$6)/10000</f>
        <v>0</v>
      </c>
      <c r="AR73" s="121">
        <f>SUMIFS(薪酬明细!$N:$N,薪酬明细!$D:$D,$E73,薪酬明细!$E:$E,$F73,薪酬明细!$H:$H,"&gt;="&amp;AR$9,薪酬明细!$H:$H,"&lt;="&amp;AR$10,薪酬明细!$A:$A,AR$6)/10000</f>
        <v>2.2</v>
      </c>
      <c r="AS73" s="121">
        <f>SUMIFS(薪酬明细!$N:$N,薪酬明细!$D:$D,$E73,薪酬明细!$E:$E,$F73,薪酬明细!$H:$H,"&gt;="&amp;AS$9,薪酬明细!$H:$H,"&lt;="&amp;AS$10,薪酬明细!$A:$A,AS$6)/10000</f>
        <v>2.2</v>
      </c>
      <c r="AT73" s="121">
        <f>SUMIFS(薪酬明细!$N:$N,薪酬明细!$D:$D,$E73,薪酬明细!$E:$E,$F73,薪酬明细!$H:$H,"&gt;="&amp;AT$9,薪酬明细!$H:$H,"&lt;="&amp;AT$10,薪酬明细!$A:$A,AT$6)/10000</f>
        <v>2.2</v>
      </c>
      <c r="AU73" s="121">
        <f>SUMIFS(薪酬明细!$N:$N,薪酬明细!$D:$D,$E73,薪酬明细!$E:$E,$F73,薪酬明细!$H:$H,"&gt;="&amp;AU$9,薪酬明细!$H:$H,"&lt;="&amp;AU$10,薪酬明细!$A:$A,AU$6)/10000</f>
        <v>26.1</v>
      </c>
      <c r="AV73" s="121">
        <f>SUMIFS(薪酬明细!$N:$N,薪酬明细!$D:$D,$E73,薪酬明细!$E:$E,$F73,薪酬明细!$H:$H,"&gt;="&amp;AV$9,薪酬明细!$H:$H,"&lt;="&amp;AV$10,薪酬明细!$A:$A,AV$6)/10000</f>
        <v>2.2</v>
      </c>
      <c r="AW73" s="121">
        <f>SUMIFS(薪酬明细!$N:$N,薪酬明细!$D:$D,$E73,薪酬明细!$E:$E,$F73,薪酬明细!$H:$H,"&gt;="&amp;AW$9,薪酬明细!$H:$H,"&lt;="&amp;AW$10,薪酬明细!$A:$A,AW$6)/10000</f>
        <v>2.1</v>
      </c>
      <c r="AX73" s="121">
        <f>SUMIFS(薪酬明细!$N:$N,薪酬明细!$D:$D,$E73,薪酬明细!$E:$E,$F73,薪酬明细!$H:$H,"&gt;="&amp;AX$9,薪酬明细!$H:$H,"&lt;="&amp;AX$10,薪酬明细!$A:$A,AX$6)/10000</f>
        <v>2.2</v>
      </c>
      <c r="AY73" s="121">
        <f>SUMIFS(薪酬明细!$N:$N,薪酬明细!$D:$D,$E73,薪酬明细!$E:$E,$F73,薪酬明细!$H:$H,"&gt;="&amp;AY$9,薪酬明细!$H:$H,"&lt;="&amp;AY$10,薪酬明细!$A:$A,AY$6)/10000</f>
        <v>2.2</v>
      </c>
      <c r="AZ73" s="121">
        <f>SUMIFS(薪酬明细!$N:$N,薪酬明细!$D:$D,$E73,薪酬明细!$E:$E,$F73,薪酬明细!$H:$H,"&gt;="&amp;AZ$9,薪酬明细!$H:$H,"&lt;="&amp;AZ$10,薪酬明细!$A:$A,AZ$6)/10000</f>
        <v>2.2</v>
      </c>
      <c r="BA73" s="121">
        <f>SUMIFS(薪酬明细!$N:$N,薪酬明细!$D:$D,$E73,薪酬明细!$E:$E,$F73,薪酬明细!$H:$H,"&gt;="&amp;BA$9,薪酬明细!$H:$H,"&lt;="&amp;BA$10,薪酬明细!$A:$A,BA$6)/10000</f>
        <v>2.2</v>
      </c>
      <c r="BB73" s="121">
        <f>SUMIFS(薪酬明细!$N:$N,薪酬明细!$D:$D,$E73,薪酬明细!$E:$E,$F73,薪酬明细!$H:$H,"&gt;="&amp;BB$9,薪酬明细!$H:$H,"&lt;="&amp;BB$10,薪酬明细!$A:$A,BB$6)/10000</f>
        <v>2.2</v>
      </c>
      <c r="BC73" s="121">
        <f>SUMIFS(薪酬明细!$N:$N,薪酬明细!$D:$D,$E73,薪酬明细!$E:$E,$F73,薪酬明细!$H:$H,"&gt;="&amp;BC$9,薪酬明细!$H:$H,"&lt;="&amp;BC$10,薪酬明细!$A:$A,BC$6)/10000</f>
        <v>2.2</v>
      </c>
      <c r="BD73" s="121">
        <f>SUMIFS(薪酬明细!$N:$N,薪酬明细!$D:$D,$E73,薪酬明细!$E:$E,$F73,薪酬明细!$H:$H,"&gt;="&amp;BD$9,薪酬明细!$H:$H,"&lt;="&amp;BD$10,薪酬明细!$A:$A,BD$6)/10000</f>
        <v>2.2</v>
      </c>
      <c r="BE73" s="121">
        <f>SUMIFS(薪酬明细!$N:$N,薪酬明细!$D:$D,$E73,薪酬明细!$E:$E,$F73,薪酬明细!$H:$H,"&gt;="&amp;BE$9,薪酬明细!$H:$H,"&lt;="&amp;BE$10,薪酬明细!$A:$A,BE$6)/10000</f>
        <v>2.2</v>
      </c>
      <c r="BF73" s="121">
        <f>SUMIFS(薪酬明细!$N:$N,薪酬明细!$D:$D,$E73,薪酬明细!$E:$E,$F73,薪酬明细!$H:$H,"&gt;="&amp;BF$9,薪酬明细!$H:$H,"&lt;="&amp;BF$10,薪酬明细!$A:$A,BF$6)/10000</f>
        <v>2.2</v>
      </c>
      <c r="BG73" s="121">
        <f>SUMIFS(薪酬明细!$N:$N,薪酬明细!$D:$D,$E73,薪酬明细!$E:$E,$F73,薪酬明细!$H:$H,"&gt;="&amp;BG$9,薪酬明细!$H:$H,"&lt;="&amp;BG$10,薪酬明细!$A:$A,BG$6)/10000</f>
        <v>2.2</v>
      </c>
    </row>
    <row r="74" ht="16.2" spans="3:59">
      <c r="C74" s="42"/>
      <c r="D74" s="42" t="s">
        <v>80</v>
      </c>
      <c r="E74" s="116" t="str">
        <f t="shared" ref="E74:E84" si="90">IF(C74&lt;&gt;"",C74,E73)</f>
        <v>流程中心</v>
      </c>
      <c r="F74" s="116" t="str">
        <f t="shared" ref="F74:F84" si="91">IF(D74&lt;&gt;"",D74,"*")</f>
        <v>销售中心</v>
      </c>
      <c r="G74" s="121">
        <f>SUMIFS(薪酬明细!$N:$N,薪酬明细!$D:$D,$E74,薪酬明细!$E:$E,$F74,薪酬明细!$H:$H,"&gt;="&amp;G$9,薪酬明细!$H:$H,"&lt;="&amp;G$10,薪酬明细!$A:$A,G$6)/10000</f>
        <v>15.2</v>
      </c>
      <c r="H74" s="121">
        <f>SUMIFS(薪酬明细!$N:$N,薪酬明细!$D:$D,$E74,薪酬明细!$E:$E,$F74,薪酬明细!$H:$H,"&gt;="&amp;H$9,薪酬明细!$H:$H,"&lt;="&amp;H$10,薪酬明细!$A:$A,H$6)/10000</f>
        <v>1.3</v>
      </c>
      <c r="I74" s="121">
        <f>SUMIFS(薪酬明细!$N:$N,薪酬明细!$D:$D,$E74,薪酬明细!$E:$E,$F74,薪酬明细!$H:$H,"&gt;="&amp;I$9,薪酬明细!$H:$H,"&lt;="&amp;I$10,薪酬明细!$A:$A,I$6)/10000</f>
        <v>1.3</v>
      </c>
      <c r="J74" s="121">
        <f>SUMIFS(薪酬明细!$N:$N,薪酬明细!$D:$D,$E74,薪酬明细!$E:$E,$F74,薪酬明细!$H:$H,"&gt;="&amp;J$9,薪酬明细!$H:$H,"&lt;="&amp;J$10,薪酬明细!$A:$A,J$6)/10000</f>
        <v>1.3</v>
      </c>
      <c r="K74" s="121">
        <f>SUMIFS(薪酬明细!$N:$N,薪酬明细!$D:$D,$E74,薪酬明细!$E:$E,$F74,薪酬明细!$H:$H,"&gt;="&amp;K$9,薪酬明细!$H:$H,"&lt;="&amp;K$10,薪酬明细!$A:$A,K$6)/10000</f>
        <v>1.3</v>
      </c>
      <c r="L74" s="121">
        <f>SUMIFS(薪酬明细!$N:$N,薪酬明细!$D:$D,$E74,薪酬明细!$E:$E,$F74,薪酬明细!$H:$H,"&gt;="&amp;L$9,薪酬明细!$H:$H,"&lt;="&amp;L$10,薪酬明细!$A:$A,L$6)/10000</f>
        <v>1.3</v>
      </c>
      <c r="M74" s="121">
        <f>SUMIFS(薪酬明细!$N:$N,薪酬明细!$D:$D,$E74,薪酬明细!$E:$E,$F74,薪酬明细!$H:$H,"&gt;="&amp;M$9,薪酬明细!$H:$H,"&lt;="&amp;M$10,薪酬明细!$A:$A,M$6)/10000</f>
        <v>1.3</v>
      </c>
      <c r="N74" s="121">
        <f>SUMIFS(薪酬明细!$N:$N,薪酬明细!$D:$D,$E74,薪酬明细!$E:$E,$F74,薪酬明细!$H:$H,"&gt;="&amp;N$9,薪酬明细!$H:$H,"&lt;="&amp;N$10,薪酬明细!$A:$A,N$6)/10000</f>
        <v>1.3</v>
      </c>
      <c r="O74" s="121">
        <f>SUMIFS(薪酬明细!$N:$N,薪酬明细!$D:$D,$E74,薪酬明细!$E:$E,$F74,薪酬明细!$H:$H,"&gt;="&amp;O$9,薪酬明细!$H:$H,"&lt;="&amp;O$10,薪酬明细!$A:$A,O$6)/10000</f>
        <v>1.3</v>
      </c>
      <c r="P74" s="121">
        <f>SUMIFS(薪酬明细!$N:$N,薪酬明细!$D:$D,$E74,薪酬明细!$E:$E,$F74,薪酬明细!$H:$H,"&gt;="&amp;P$9,薪酬明细!$H:$H,"&lt;="&amp;P$10,薪酬明细!$A:$A,P$6)/10000</f>
        <v>1.3</v>
      </c>
      <c r="Q74" s="121">
        <f>SUMIFS(薪酬明细!$N:$N,薪酬明细!$D:$D,$E74,薪酬明细!$E:$E,$F74,薪酬明细!$H:$H,"&gt;="&amp;Q$9,薪酬明细!$H:$H,"&lt;="&amp;Q$10,薪酬明细!$A:$A,Q$6)/10000</f>
        <v>1.3</v>
      </c>
      <c r="R74" s="121">
        <f>SUMIFS(薪酬明细!$N:$N,薪酬明细!$D:$D,$E74,薪酬明细!$E:$E,$F74,薪酬明细!$H:$H,"&gt;="&amp;R$9,薪酬明细!$H:$H,"&lt;="&amp;R$10,薪酬明细!$A:$A,R$6)/10000</f>
        <v>1.3</v>
      </c>
      <c r="S74" s="121">
        <f>SUMIFS(薪酬明细!$N:$N,薪酬明细!$D:$D,$E74,薪酬明细!$E:$E,$F74,薪酬明细!$H:$H,"&gt;="&amp;S$9,薪酬明细!$H:$H,"&lt;="&amp;S$10,薪酬明细!$A:$A,S$6)/10000</f>
        <v>1.3</v>
      </c>
      <c r="T74" s="125">
        <f t="shared" ref="T74:T84" si="92">U74+AH74</f>
        <v>15.1</v>
      </c>
      <c r="U74" s="121">
        <f>SUMIFS(薪酬明细!$N:$N,薪酬明细!$D:$D,$E74,薪酬明细!$E:$E,$F74,薪酬明细!$H:$H,"&gt;="&amp;U$9,薪酬明细!$H:$H,"&lt;="&amp;U$10,薪酬明细!$A:$A,U$6)/10000</f>
        <v>11.3</v>
      </c>
      <c r="V74" s="121">
        <f>SUMIFS(薪酬明细!$N:$N,薪酬明细!$D:$D,$E74,薪酬明细!$E:$E,$F74,薪酬明细!$H:$H,"&gt;="&amp;V$9,薪酬明细!$H:$H,"&lt;="&amp;V$10,薪酬明细!$A:$A,V$6)/10000</f>
        <v>1.3</v>
      </c>
      <c r="W74" s="121">
        <f>SUMIFS(薪酬明细!$N:$N,薪酬明细!$D:$D,$E74,薪酬明细!$E:$E,$F74,薪酬明细!$H:$H,"&gt;="&amp;W$9,薪酬明细!$H:$H,"&lt;="&amp;W$10,薪酬明细!$A:$A,W$6)/10000</f>
        <v>1.3</v>
      </c>
      <c r="X74" s="121">
        <f>SUMIFS(薪酬明细!$N:$N,薪酬明细!$D:$D,$E74,薪酬明细!$E:$E,$F74,薪酬明细!$H:$H,"&gt;="&amp;X$9,薪酬明细!$H:$H,"&lt;="&amp;X$10,薪酬明细!$A:$A,X$6)/10000</f>
        <v>1.2</v>
      </c>
      <c r="Y74" s="121">
        <f>SUMIFS(薪酬明细!$N:$N,薪酬明细!$D:$D,$E74,薪酬明细!$E:$E,$F74,薪酬明细!$H:$H,"&gt;="&amp;Y$9,薪酬明细!$H:$H,"&lt;="&amp;Y$10,薪酬明细!$A:$A,Y$6)/10000</f>
        <v>1.3</v>
      </c>
      <c r="Z74" s="121">
        <f>SUMIFS(薪酬明细!$N:$N,薪酬明细!$D:$D,$E74,薪酬明细!$E:$E,$F74,薪酬明细!$H:$H,"&gt;="&amp;Z$9,薪酬明细!$H:$H,"&lt;="&amp;Z$10,薪酬明细!$A:$A,Z$6)/10000</f>
        <v>1.3</v>
      </c>
      <c r="AA74" s="121">
        <f>SUMIFS(薪酬明细!$N:$N,薪酬明细!$D:$D,$E74,薪酬明细!$E:$E,$F74,薪酬明细!$H:$H,"&gt;="&amp;AA$9,薪酬明细!$H:$H,"&lt;="&amp;AA$10,薪酬明细!$A:$A,AA$6)/10000</f>
        <v>1.2</v>
      </c>
      <c r="AB74" s="121">
        <f>SUMIFS(薪酬明细!$N:$N,薪酬明细!$D:$D,$E74,薪酬明细!$E:$E,$F74,薪酬明细!$H:$H,"&gt;="&amp;AB$9,薪酬明细!$H:$H,"&lt;="&amp;AB$10,薪酬明细!$A:$A,AB$6)/10000</f>
        <v>1.3</v>
      </c>
      <c r="AC74" s="121">
        <f>SUMIFS(薪酬明细!$N:$N,薪酬明细!$D:$D,$E74,薪酬明细!$E:$E,$F74,薪酬明细!$H:$H,"&gt;="&amp;AC$9,薪酬明细!$H:$H,"&lt;="&amp;AC$10,薪酬明细!$A:$A,AC$6)/10000</f>
        <v>1.2</v>
      </c>
      <c r="AD74" s="121">
        <f>SUMIFS(薪酬明细!$N:$N,薪酬明细!$D:$D,$E74,薪酬明细!$E:$E,$F74,薪酬明细!$H:$H,"&gt;="&amp;AD$9,薪酬明细!$H:$H,"&lt;="&amp;AD$10,薪酬明细!$A:$A,AD$6)/10000</f>
        <v>1.3</v>
      </c>
      <c r="AE74" s="121">
        <f>SUMIFS(薪酬明细!$N:$N,薪酬明细!$D:$D,$E74,薪酬明细!$E:$E,$F74,薪酬明细!$H:$H,"&gt;="&amp;AE$9,薪酬明细!$H:$H,"&lt;="&amp;AE$10,薪酬明细!$A:$A,AE$6)/10000</f>
        <v>0</v>
      </c>
      <c r="AF74" s="121">
        <f>SUMIFS(薪酬明细!$N:$N,薪酬明细!$D:$D,$E74,薪酬明细!$E:$E,$F74,薪酬明细!$H:$H,"&gt;="&amp;AF$9,薪酬明细!$H:$H,"&lt;="&amp;AF$10,薪酬明细!$A:$A,AF$6)/10000</f>
        <v>0</v>
      </c>
      <c r="AG74" s="121">
        <f>SUMIFS(薪酬明细!$N:$N,薪酬明细!$D:$D,$E74,薪酬明细!$E:$E,$F74,薪酬明细!$H:$H,"&gt;="&amp;AG$9,薪酬明细!$H:$H,"&lt;="&amp;AG$10,薪酬明细!$A:$A,AG$6)/10000</f>
        <v>0</v>
      </c>
      <c r="AH74" s="121">
        <f>SUMIFS(薪酬明细!$N:$N,薪酬明细!$D:$D,$E74,薪酬明细!$E:$E,$F74,薪酬明细!$H:$H,"&gt;="&amp;AH$9,薪酬明细!$H:$H,"&lt;="&amp;AH$10,薪酬明细!$A:$A,AH$6)/10000</f>
        <v>3.8</v>
      </c>
      <c r="AI74" s="121">
        <f>SUMIFS(薪酬明细!$N:$N,薪酬明细!$D:$D,$E74,薪酬明细!$E:$E,$F74,薪酬明细!$H:$H,"&gt;="&amp;AI$9,薪酬明细!$H:$H,"&lt;="&amp;AI$10,薪酬明细!$A:$A,AI$6)/10000</f>
        <v>0</v>
      </c>
      <c r="AJ74" s="121">
        <f>SUMIFS(薪酬明细!$N:$N,薪酬明细!$D:$D,$E74,薪酬明细!$E:$E,$F74,薪酬明细!$H:$H,"&gt;="&amp;AJ$9,薪酬明细!$H:$H,"&lt;="&amp;AJ$10,薪酬明细!$A:$A,AJ$6)/10000</f>
        <v>0</v>
      </c>
      <c r="AK74" s="121">
        <f>SUMIFS(薪酬明细!$N:$N,薪酬明细!$D:$D,$E74,薪酬明细!$E:$E,$F74,薪酬明细!$H:$H,"&gt;="&amp;AK$9,薪酬明细!$H:$H,"&lt;="&amp;AK$10,薪酬明细!$A:$A,AK$6)/10000</f>
        <v>0</v>
      </c>
      <c r="AL74" s="121">
        <f>SUMIFS(薪酬明细!$N:$N,薪酬明细!$D:$D,$E74,薪酬明细!$E:$E,$F74,薪酬明细!$H:$H,"&gt;="&amp;AL$9,薪酬明细!$H:$H,"&lt;="&amp;AL$10,薪酬明细!$A:$A,AL$6)/10000</f>
        <v>0</v>
      </c>
      <c r="AM74" s="121">
        <f>SUMIFS(薪酬明细!$N:$N,薪酬明细!$D:$D,$E74,薪酬明细!$E:$E,$F74,薪酬明细!$H:$H,"&gt;="&amp;AM$9,薪酬明细!$H:$H,"&lt;="&amp;AM$10,薪酬明细!$A:$A,AM$6)/10000</f>
        <v>0</v>
      </c>
      <c r="AN74" s="121">
        <f>SUMIFS(薪酬明细!$N:$N,薪酬明细!$D:$D,$E74,薪酬明细!$E:$E,$F74,薪酬明细!$H:$H,"&gt;="&amp;AN$9,薪酬明细!$H:$H,"&lt;="&amp;AN$10,薪酬明细!$A:$A,AN$6)/10000</f>
        <v>0</v>
      </c>
      <c r="AO74" s="121">
        <f>SUMIFS(薪酬明细!$N:$N,薪酬明细!$D:$D,$E74,薪酬明细!$E:$E,$F74,薪酬明细!$H:$H,"&gt;="&amp;AO$9,薪酬明细!$H:$H,"&lt;="&amp;AO$10,薪酬明细!$A:$A,AO$6)/10000</f>
        <v>0</v>
      </c>
      <c r="AP74" s="121">
        <f>SUMIFS(薪酬明细!$N:$N,薪酬明细!$D:$D,$E74,薪酬明细!$E:$E,$F74,薪酬明细!$H:$H,"&gt;="&amp;AP$9,薪酬明细!$H:$H,"&lt;="&amp;AP$10,薪酬明细!$A:$A,AP$6)/10000</f>
        <v>0</v>
      </c>
      <c r="AQ74" s="121">
        <f>SUMIFS(薪酬明细!$N:$N,薪酬明细!$D:$D,$E74,薪酬明细!$E:$E,$F74,薪酬明细!$H:$H,"&gt;="&amp;AQ$9,薪酬明细!$H:$H,"&lt;="&amp;AQ$10,薪酬明细!$A:$A,AQ$6)/10000</f>
        <v>0</v>
      </c>
      <c r="AR74" s="121">
        <f>SUMIFS(薪酬明细!$N:$N,薪酬明细!$D:$D,$E74,薪酬明细!$E:$E,$F74,薪酬明细!$H:$H,"&gt;="&amp;AR$9,薪酬明细!$H:$H,"&lt;="&amp;AR$10,薪酬明细!$A:$A,AR$6)/10000</f>
        <v>1.3</v>
      </c>
      <c r="AS74" s="121">
        <f>SUMIFS(薪酬明细!$N:$N,薪酬明细!$D:$D,$E74,薪酬明细!$E:$E,$F74,薪酬明细!$H:$H,"&gt;="&amp;AS$9,薪酬明细!$H:$H,"&lt;="&amp;AS$10,薪酬明细!$A:$A,AS$6)/10000</f>
        <v>1.3</v>
      </c>
      <c r="AT74" s="121">
        <f>SUMIFS(薪酬明细!$N:$N,薪酬明细!$D:$D,$E74,薪酬明细!$E:$E,$F74,薪酬明细!$H:$H,"&gt;="&amp;AT$9,薪酬明细!$H:$H,"&lt;="&amp;AT$10,薪酬明细!$A:$A,AT$6)/10000</f>
        <v>1.3</v>
      </c>
      <c r="AU74" s="121">
        <f>SUMIFS(薪酬明细!$N:$N,薪酬明细!$D:$D,$E74,薪酬明细!$E:$E,$F74,薪酬明细!$H:$H,"&gt;="&amp;AU$9,薪酬明细!$H:$H,"&lt;="&amp;AU$10,薪酬明细!$A:$A,AU$6)/10000</f>
        <v>15.1</v>
      </c>
      <c r="AV74" s="121">
        <f>SUMIFS(薪酬明细!$N:$N,薪酬明细!$D:$D,$E74,薪酬明细!$E:$E,$F74,薪酬明细!$H:$H,"&gt;="&amp;AV$9,薪酬明细!$H:$H,"&lt;="&amp;AV$10,薪酬明细!$A:$A,AV$6)/10000</f>
        <v>1.3</v>
      </c>
      <c r="AW74" s="121">
        <f>SUMIFS(薪酬明细!$N:$N,薪酬明细!$D:$D,$E74,薪酬明细!$E:$E,$F74,薪酬明细!$H:$H,"&gt;="&amp;AW$9,薪酬明细!$H:$H,"&lt;="&amp;AW$10,薪酬明细!$A:$A,AW$6)/10000</f>
        <v>1.2</v>
      </c>
      <c r="AX74" s="121">
        <f>SUMIFS(薪酬明细!$N:$N,薪酬明细!$D:$D,$E74,薪酬明细!$E:$E,$F74,薪酬明细!$H:$H,"&gt;="&amp;AX$9,薪酬明细!$H:$H,"&lt;="&amp;AX$10,薪酬明细!$A:$A,AX$6)/10000</f>
        <v>1.3</v>
      </c>
      <c r="AY74" s="121">
        <f>SUMIFS(薪酬明细!$N:$N,薪酬明细!$D:$D,$E74,薪酬明细!$E:$E,$F74,薪酬明细!$H:$H,"&gt;="&amp;AY$9,薪酬明细!$H:$H,"&lt;="&amp;AY$10,薪酬明细!$A:$A,AY$6)/10000</f>
        <v>1.3</v>
      </c>
      <c r="AZ74" s="121">
        <f>SUMIFS(薪酬明细!$N:$N,薪酬明细!$D:$D,$E74,薪酬明细!$E:$E,$F74,薪酬明细!$H:$H,"&gt;="&amp;AZ$9,薪酬明细!$H:$H,"&lt;="&amp;AZ$10,薪酬明细!$A:$A,AZ$6)/10000</f>
        <v>1.3</v>
      </c>
      <c r="BA74" s="121">
        <f>SUMIFS(薪酬明细!$N:$N,薪酬明细!$D:$D,$E74,薪酬明细!$E:$E,$F74,薪酬明细!$H:$H,"&gt;="&amp;BA$9,薪酬明细!$H:$H,"&lt;="&amp;BA$10,薪酬明细!$A:$A,BA$6)/10000</f>
        <v>1.2</v>
      </c>
      <c r="BB74" s="121">
        <f>SUMIFS(薪酬明细!$N:$N,薪酬明细!$D:$D,$E74,薪酬明细!$E:$E,$F74,薪酬明细!$H:$H,"&gt;="&amp;BB$9,薪酬明细!$H:$H,"&lt;="&amp;BB$10,薪酬明细!$A:$A,BB$6)/10000</f>
        <v>1.3</v>
      </c>
      <c r="BC74" s="121">
        <f>SUMIFS(薪酬明细!$N:$N,薪酬明细!$D:$D,$E74,薪酬明细!$E:$E,$F74,薪酬明细!$H:$H,"&gt;="&amp;BC$9,薪酬明细!$H:$H,"&lt;="&amp;BC$10,薪酬明细!$A:$A,BC$6)/10000</f>
        <v>1.3</v>
      </c>
      <c r="BD74" s="121">
        <f>SUMIFS(薪酬明细!$N:$N,薪酬明细!$D:$D,$E74,薪酬明细!$E:$E,$F74,薪酬明细!$H:$H,"&gt;="&amp;BD$9,薪酬明细!$H:$H,"&lt;="&amp;BD$10,薪酬明细!$A:$A,BD$6)/10000</f>
        <v>1.3</v>
      </c>
      <c r="BE74" s="121">
        <f>SUMIFS(薪酬明细!$N:$N,薪酬明细!$D:$D,$E74,薪酬明细!$E:$E,$F74,薪酬明细!$H:$H,"&gt;="&amp;BE$9,薪酬明细!$H:$H,"&lt;="&amp;BE$10,薪酬明细!$A:$A,BE$6)/10000</f>
        <v>1.3</v>
      </c>
      <c r="BF74" s="121">
        <f>SUMIFS(薪酬明细!$N:$N,薪酬明细!$D:$D,$E74,薪酬明细!$E:$E,$F74,薪酬明细!$H:$H,"&gt;="&amp;BF$9,薪酬明细!$H:$H,"&lt;="&amp;BF$10,薪酬明细!$A:$A,BF$6)/10000</f>
        <v>1.3</v>
      </c>
      <c r="BG74" s="121">
        <f>SUMIFS(薪酬明细!$N:$N,薪酬明细!$D:$D,$E74,薪酬明细!$E:$E,$F74,薪酬明细!$H:$H,"&gt;="&amp;BG$9,薪酬明细!$H:$H,"&lt;="&amp;BG$10,薪酬明细!$A:$A,BG$6)/10000</f>
        <v>1.3</v>
      </c>
    </row>
    <row r="75" ht="16.2" spans="3:59">
      <c r="C75" s="42"/>
      <c r="D75" s="42" t="s">
        <v>81</v>
      </c>
      <c r="E75" s="116" t="str">
        <f t="shared" si="90"/>
        <v>流程中心</v>
      </c>
      <c r="F75" s="116" t="str">
        <f t="shared" si="91"/>
        <v>制造中心</v>
      </c>
      <c r="G75" s="121">
        <f>SUMIFS(薪酬明细!$N:$N,薪酬明细!$D:$D,$E75,薪酬明细!$E:$E,$F75,薪酬明细!$H:$H,"&gt;="&amp;G$9,薪酬明细!$H:$H,"&lt;="&amp;G$10,薪酬明细!$A:$A,G$6)/10000</f>
        <v>11</v>
      </c>
      <c r="H75" s="121">
        <f>SUMIFS(薪酬明细!$N:$N,薪酬明细!$D:$D,$E75,薪酬明细!$E:$E,$F75,薪酬明细!$H:$H,"&gt;="&amp;H$9,薪酬明细!$H:$H,"&lt;="&amp;H$10,薪酬明细!$A:$A,H$6)/10000</f>
        <v>0.9</v>
      </c>
      <c r="I75" s="121">
        <f>SUMIFS(薪酬明细!$N:$N,薪酬明细!$D:$D,$E75,薪酬明细!$E:$E,$F75,薪酬明细!$H:$H,"&gt;="&amp;I$9,薪酬明细!$H:$H,"&lt;="&amp;I$10,薪酬明细!$A:$A,I$6)/10000</f>
        <v>0.9</v>
      </c>
      <c r="J75" s="121">
        <f>SUMIFS(薪酬明细!$N:$N,薪酬明细!$D:$D,$E75,薪酬明细!$E:$E,$F75,薪酬明细!$H:$H,"&gt;="&amp;J$9,薪酬明细!$H:$H,"&lt;="&amp;J$10,薪酬明细!$A:$A,J$6)/10000</f>
        <v>0.9</v>
      </c>
      <c r="K75" s="121">
        <f>SUMIFS(薪酬明细!$N:$N,薪酬明细!$D:$D,$E75,薪酬明细!$E:$E,$F75,薪酬明细!$H:$H,"&gt;="&amp;K$9,薪酬明细!$H:$H,"&lt;="&amp;K$10,薪酬明细!$A:$A,K$6)/10000</f>
        <v>0.9</v>
      </c>
      <c r="L75" s="121">
        <f>SUMIFS(薪酬明细!$N:$N,薪酬明细!$D:$D,$E75,薪酬明细!$E:$E,$F75,薪酬明细!$H:$H,"&gt;="&amp;L$9,薪酬明细!$H:$H,"&lt;="&amp;L$10,薪酬明细!$A:$A,L$6)/10000</f>
        <v>0.9</v>
      </c>
      <c r="M75" s="121">
        <f>SUMIFS(薪酬明细!$N:$N,薪酬明细!$D:$D,$E75,薪酬明细!$E:$E,$F75,薪酬明细!$H:$H,"&gt;="&amp;M$9,薪酬明细!$H:$H,"&lt;="&amp;M$10,薪酬明细!$A:$A,M$6)/10000</f>
        <v>0.9</v>
      </c>
      <c r="N75" s="121">
        <f>SUMIFS(薪酬明细!$N:$N,薪酬明细!$D:$D,$E75,薪酬明细!$E:$E,$F75,薪酬明细!$H:$H,"&gt;="&amp;N$9,薪酬明细!$H:$H,"&lt;="&amp;N$10,薪酬明细!$A:$A,N$6)/10000</f>
        <v>0.9</v>
      </c>
      <c r="O75" s="121">
        <f>SUMIFS(薪酬明细!$N:$N,薪酬明细!$D:$D,$E75,薪酬明细!$E:$E,$F75,薪酬明细!$H:$H,"&gt;="&amp;O$9,薪酬明细!$H:$H,"&lt;="&amp;O$10,薪酬明细!$A:$A,O$6)/10000</f>
        <v>0.9</v>
      </c>
      <c r="P75" s="121">
        <f>SUMIFS(薪酬明细!$N:$N,薪酬明细!$D:$D,$E75,薪酬明细!$E:$E,$F75,薪酬明细!$H:$H,"&gt;="&amp;P$9,薪酬明细!$H:$H,"&lt;="&amp;P$10,薪酬明细!$A:$A,P$6)/10000</f>
        <v>0.9</v>
      </c>
      <c r="Q75" s="121">
        <f>SUMIFS(薪酬明细!$N:$N,薪酬明细!$D:$D,$E75,薪酬明细!$E:$E,$F75,薪酬明细!$H:$H,"&gt;="&amp;Q$9,薪酬明细!$H:$H,"&lt;="&amp;Q$10,薪酬明细!$A:$A,Q$6)/10000</f>
        <v>0.9</v>
      </c>
      <c r="R75" s="121">
        <f>SUMIFS(薪酬明细!$N:$N,薪酬明细!$D:$D,$E75,薪酬明细!$E:$E,$F75,薪酬明细!$H:$H,"&gt;="&amp;R$9,薪酬明细!$H:$H,"&lt;="&amp;R$10,薪酬明细!$A:$A,R$6)/10000</f>
        <v>0.9</v>
      </c>
      <c r="S75" s="121">
        <f>SUMIFS(薪酬明细!$N:$N,薪酬明细!$D:$D,$E75,薪酬明细!$E:$E,$F75,薪酬明细!$H:$H,"&gt;="&amp;S$9,薪酬明细!$H:$H,"&lt;="&amp;S$10,薪酬明细!$A:$A,S$6)/10000</f>
        <v>0.9</v>
      </c>
      <c r="T75" s="125">
        <f t="shared" si="92"/>
        <v>11</v>
      </c>
      <c r="U75" s="121">
        <f>SUMIFS(薪酬明细!$N:$N,薪酬明细!$D:$D,$E75,薪酬明细!$E:$E,$F75,薪酬明细!$H:$H,"&gt;="&amp;U$9,薪酬明细!$H:$H,"&lt;="&amp;U$10,薪酬明细!$A:$A,U$6)/10000</f>
        <v>8.2</v>
      </c>
      <c r="V75" s="121">
        <f>SUMIFS(薪酬明细!$N:$N,薪酬明细!$D:$D,$E75,薪酬明细!$E:$E,$F75,薪酬明细!$H:$H,"&gt;="&amp;V$9,薪酬明细!$H:$H,"&lt;="&amp;V$10,薪酬明细!$A:$A,V$6)/10000</f>
        <v>0.9</v>
      </c>
      <c r="W75" s="121">
        <f>SUMIFS(薪酬明细!$N:$N,薪酬明细!$D:$D,$E75,薪酬明细!$E:$E,$F75,薪酬明细!$H:$H,"&gt;="&amp;W$9,薪酬明细!$H:$H,"&lt;="&amp;W$10,薪酬明细!$A:$A,W$6)/10000</f>
        <v>0.9</v>
      </c>
      <c r="X75" s="121">
        <f>SUMIFS(薪酬明细!$N:$N,薪酬明细!$D:$D,$E75,薪酬明细!$E:$E,$F75,薪酬明细!$H:$H,"&gt;="&amp;X$9,薪酬明细!$H:$H,"&lt;="&amp;X$10,薪酬明细!$A:$A,X$6)/10000</f>
        <v>0.9</v>
      </c>
      <c r="Y75" s="121">
        <f>SUMIFS(薪酬明细!$N:$N,薪酬明细!$D:$D,$E75,薪酬明细!$E:$E,$F75,薪酬明细!$H:$H,"&gt;="&amp;Y$9,薪酬明细!$H:$H,"&lt;="&amp;Y$10,薪酬明细!$A:$A,Y$6)/10000</f>
        <v>0.9</v>
      </c>
      <c r="Z75" s="121">
        <f>SUMIFS(薪酬明细!$N:$N,薪酬明细!$D:$D,$E75,薪酬明细!$E:$E,$F75,薪酬明细!$H:$H,"&gt;="&amp;Z$9,薪酬明细!$H:$H,"&lt;="&amp;Z$10,薪酬明细!$A:$A,Z$6)/10000</f>
        <v>0.9</v>
      </c>
      <c r="AA75" s="121">
        <f>SUMIFS(薪酬明细!$N:$N,薪酬明细!$D:$D,$E75,薪酬明细!$E:$E,$F75,薪酬明细!$H:$H,"&gt;="&amp;AA$9,薪酬明细!$H:$H,"&lt;="&amp;AA$10,薪酬明细!$A:$A,AA$6)/10000</f>
        <v>0.9</v>
      </c>
      <c r="AB75" s="121">
        <f>SUMIFS(薪酬明细!$N:$N,薪酬明细!$D:$D,$E75,薪酬明细!$E:$E,$F75,薪酬明细!$H:$H,"&gt;="&amp;AB$9,薪酬明细!$H:$H,"&lt;="&amp;AB$10,薪酬明细!$A:$A,AB$6)/10000</f>
        <v>0.9</v>
      </c>
      <c r="AC75" s="121">
        <f>SUMIFS(薪酬明细!$N:$N,薪酬明细!$D:$D,$E75,薪酬明细!$E:$E,$F75,薪酬明细!$H:$H,"&gt;="&amp;AC$9,薪酬明细!$H:$H,"&lt;="&amp;AC$10,薪酬明细!$A:$A,AC$6)/10000</f>
        <v>0.9</v>
      </c>
      <c r="AD75" s="121">
        <f>SUMIFS(薪酬明细!$N:$N,薪酬明细!$D:$D,$E75,薪酬明细!$E:$E,$F75,薪酬明细!$H:$H,"&gt;="&amp;AD$9,薪酬明细!$H:$H,"&lt;="&amp;AD$10,薪酬明细!$A:$A,AD$6)/10000</f>
        <v>0.9</v>
      </c>
      <c r="AE75" s="121">
        <f>SUMIFS(薪酬明细!$N:$N,薪酬明细!$D:$D,$E75,薪酬明细!$E:$E,$F75,薪酬明细!$H:$H,"&gt;="&amp;AE$9,薪酬明细!$H:$H,"&lt;="&amp;AE$10,薪酬明细!$A:$A,AE$6)/10000</f>
        <v>0</v>
      </c>
      <c r="AF75" s="121">
        <f>SUMIFS(薪酬明细!$N:$N,薪酬明细!$D:$D,$E75,薪酬明细!$E:$E,$F75,薪酬明细!$H:$H,"&gt;="&amp;AF$9,薪酬明细!$H:$H,"&lt;="&amp;AF$10,薪酬明细!$A:$A,AF$6)/10000</f>
        <v>0</v>
      </c>
      <c r="AG75" s="121">
        <f>SUMIFS(薪酬明细!$N:$N,薪酬明细!$D:$D,$E75,薪酬明细!$E:$E,$F75,薪酬明细!$H:$H,"&gt;="&amp;AG$9,薪酬明细!$H:$H,"&lt;="&amp;AG$10,薪酬明细!$A:$A,AG$6)/10000</f>
        <v>0</v>
      </c>
      <c r="AH75" s="121">
        <f>SUMIFS(薪酬明细!$N:$N,薪酬明细!$D:$D,$E75,薪酬明细!$E:$E,$F75,薪酬明细!$H:$H,"&gt;="&amp;AH$9,薪酬明细!$H:$H,"&lt;="&amp;AH$10,薪酬明细!$A:$A,AH$6)/10000</f>
        <v>2.8</v>
      </c>
      <c r="AI75" s="121">
        <f>SUMIFS(薪酬明细!$N:$N,薪酬明细!$D:$D,$E75,薪酬明细!$E:$E,$F75,薪酬明细!$H:$H,"&gt;="&amp;AI$9,薪酬明细!$H:$H,"&lt;="&amp;AI$10,薪酬明细!$A:$A,AI$6)/10000</f>
        <v>0</v>
      </c>
      <c r="AJ75" s="121">
        <f>SUMIFS(薪酬明细!$N:$N,薪酬明细!$D:$D,$E75,薪酬明细!$E:$E,$F75,薪酬明细!$H:$H,"&gt;="&amp;AJ$9,薪酬明细!$H:$H,"&lt;="&amp;AJ$10,薪酬明细!$A:$A,AJ$6)/10000</f>
        <v>0</v>
      </c>
      <c r="AK75" s="121">
        <f>SUMIFS(薪酬明细!$N:$N,薪酬明细!$D:$D,$E75,薪酬明细!$E:$E,$F75,薪酬明细!$H:$H,"&gt;="&amp;AK$9,薪酬明细!$H:$H,"&lt;="&amp;AK$10,薪酬明细!$A:$A,AK$6)/10000</f>
        <v>0</v>
      </c>
      <c r="AL75" s="121">
        <f>SUMIFS(薪酬明细!$N:$N,薪酬明细!$D:$D,$E75,薪酬明细!$E:$E,$F75,薪酬明细!$H:$H,"&gt;="&amp;AL$9,薪酬明细!$H:$H,"&lt;="&amp;AL$10,薪酬明细!$A:$A,AL$6)/10000</f>
        <v>0</v>
      </c>
      <c r="AM75" s="121">
        <f>SUMIFS(薪酬明细!$N:$N,薪酬明细!$D:$D,$E75,薪酬明细!$E:$E,$F75,薪酬明细!$H:$H,"&gt;="&amp;AM$9,薪酬明细!$H:$H,"&lt;="&amp;AM$10,薪酬明细!$A:$A,AM$6)/10000</f>
        <v>0</v>
      </c>
      <c r="AN75" s="121">
        <f>SUMIFS(薪酬明细!$N:$N,薪酬明细!$D:$D,$E75,薪酬明细!$E:$E,$F75,薪酬明细!$H:$H,"&gt;="&amp;AN$9,薪酬明细!$H:$H,"&lt;="&amp;AN$10,薪酬明细!$A:$A,AN$6)/10000</f>
        <v>0</v>
      </c>
      <c r="AO75" s="121">
        <f>SUMIFS(薪酬明细!$N:$N,薪酬明细!$D:$D,$E75,薪酬明细!$E:$E,$F75,薪酬明细!$H:$H,"&gt;="&amp;AO$9,薪酬明细!$H:$H,"&lt;="&amp;AO$10,薪酬明细!$A:$A,AO$6)/10000</f>
        <v>0</v>
      </c>
      <c r="AP75" s="121">
        <f>SUMIFS(薪酬明细!$N:$N,薪酬明细!$D:$D,$E75,薪酬明细!$E:$E,$F75,薪酬明细!$H:$H,"&gt;="&amp;AP$9,薪酬明细!$H:$H,"&lt;="&amp;AP$10,薪酬明细!$A:$A,AP$6)/10000</f>
        <v>0</v>
      </c>
      <c r="AQ75" s="121">
        <f>SUMIFS(薪酬明细!$N:$N,薪酬明细!$D:$D,$E75,薪酬明细!$E:$E,$F75,薪酬明细!$H:$H,"&gt;="&amp;AQ$9,薪酬明细!$H:$H,"&lt;="&amp;AQ$10,薪酬明细!$A:$A,AQ$6)/10000</f>
        <v>0</v>
      </c>
      <c r="AR75" s="121">
        <f>SUMIFS(薪酬明细!$N:$N,薪酬明细!$D:$D,$E75,薪酬明细!$E:$E,$F75,薪酬明细!$H:$H,"&gt;="&amp;AR$9,薪酬明细!$H:$H,"&lt;="&amp;AR$10,薪酬明细!$A:$A,AR$6)/10000</f>
        <v>0.9</v>
      </c>
      <c r="AS75" s="121">
        <f>SUMIFS(薪酬明细!$N:$N,薪酬明细!$D:$D,$E75,薪酬明细!$E:$E,$F75,薪酬明细!$H:$H,"&gt;="&amp;AS$9,薪酬明细!$H:$H,"&lt;="&amp;AS$10,薪酬明细!$A:$A,AS$6)/10000</f>
        <v>0.9</v>
      </c>
      <c r="AT75" s="121">
        <f>SUMIFS(薪酬明细!$N:$N,薪酬明细!$D:$D,$E75,薪酬明细!$E:$E,$F75,薪酬明细!$H:$H,"&gt;="&amp;AT$9,薪酬明细!$H:$H,"&lt;="&amp;AT$10,薪酬明细!$A:$A,AT$6)/10000</f>
        <v>0.9</v>
      </c>
      <c r="AU75" s="121">
        <f>SUMIFS(薪酬明细!$N:$N,薪酬明细!$D:$D,$E75,薪酬明细!$E:$E,$F75,薪酬明细!$H:$H,"&gt;="&amp;AU$9,薪酬明细!$H:$H,"&lt;="&amp;AU$10,薪酬明细!$A:$A,AU$6)/10000</f>
        <v>11</v>
      </c>
      <c r="AV75" s="121">
        <f>SUMIFS(薪酬明细!$N:$N,薪酬明细!$D:$D,$E75,薪酬明细!$E:$E,$F75,薪酬明细!$H:$H,"&gt;="&amp;AV$9,薪酬明细!$H:$H,"&lt;="&amp;AV$10,薪酬明细!$A:$A,AV$6)/10000</f>
        <v>0.9</v>
      </c>
      <c r="AW75" s="121">
        <f>SUMIFS(薪酬明细!$N:$N,薪酬明细!$D:$D,$E75,薪酬明细!$E:$E,$F75,薪酬明细!$H:$H,"&gt;="&amp;AW$9,薪酬明细!$H:$H,"&lt;="&amp;AW$10,薪酬明细!$A:$A,AW$6)/10000</f>
        <v>0.9</v>
      </c>
      <c r="AX75" s="121">
        <f>SUMIFS(薪酬明细!$N:$N,薪酬明细!$D:$D,$E75,薪酬明细!$E:$E,$F75,薪酬明细!$H:$H,"&gt;="&amp;AX$9,薪酬明细!$H:$H,"&lt;="&amp;AX$10,薪酬明细!$A:$A,AX$6)/10000</f>
        <v>0.9</v>
      </c>
      <c r="AY75" s="121">
        <f>SUMIFS(薪酬明细!$N:$N,薪酬明细!$D:$D,$E75,薪酬明细!$E:$E,$F75,薪酬明细!$H:$H,"&gt;="&amp;AY$9,薪酬明细!$H:$H,"&lt;="&amp;AY$10,薪酬明细!$A:$A,AY$6)/10000</f>
        <v>0.9</v>
      </c>
      <c r="AZ75" s="121">
        <f>SUMIFS(薪酬明细!$N:$N,薪酬明细!$D:$D,$E75,薪酬明细!$E:$E,$F75,薪酬明细!$H:$H,"&gt;="&amp;AZ$9,薪酬明细!$H:$H,"&lt;="&amp;AZ$10,薪酬明细!$A:$A,AZ$6)/10000</f>
        <v>0.9</v>
      </c>
      <c r="BA75" s="121">
        <f>SUMIFS(薪酬明细!$N:$N,薪酬明细!$D:$D,$E75,薪酬明细!$E:$E,$F75,薪酬明细!$H:$H,"&gt;="&amp;BA$9,薪酬明细!$H:$H,"&lt;="&amp;BA$10,薪酬明细!$A:$A,BA$6)/10000</f>
        <v>0.9</v>
      </c>
      <c r="BB75" s="121">
        <f>SUMIFS(薪酬明细!$N:$N,薪酬明细!$D:$D,$E75,薪酬明细!$E:$E,$F75,薪酬明细!$H:$H,"&gt;="&amp;BB$9,薪酬明细!$H:$H,"&lt;="&amp;BB$10,薪酬明细!$A:$A,BB$6)/10000</f>
        <v>0.9</v>
      </c>
      <c r="BC75" s="121">
        <f>SUMIFS(薪酬明细!$N:$N,薪酬明细!$D:$D,$E75,薪酬明细!$E:$E,$F75,薪酬明细!$H:$H,"&gt;="&amp;BC$9,薪酬明细!$H:$H,"&lt;="&amp;BC$10,薪酬明细!$A:$A,BC$6)/10000</f>
        <v>0.9</v>
      </c>
      <c r="BD75" s="121">
        <f>SUMIFS(薪酬明细!$N:$N,薪酬明细!$D:$D,$E75,薪酬明细!$E:$E,$F75,薪酬明细!$H:$H,"&gt;="&amp;BD$9,薪酬明细!$H:$H,"&lt;="&amp;BD$10,薪酬明细!$A:$A,BD$6)/10000</f>
        <v>0.9</v>
      </c>
      <c r="BE75" s="121">
        <f>SUMIFS(薪酬明细!$N:$N,薪酬明细!$D:$D,$E75,薪酬明细!$E:$E,$F75,薪酬明细!$H:$H,"&gt;="&amp;BE$9,薪酬明细!$H:$H,"&lt;="&amp;BE$10,薪酬明细!$A:$A,BE$6)/10000</f>
        <v>0.9</v>
      </c>
      <c r="BF75" s="121">
        <f>SUMIFS(薪酬明细!$N:$N,薪酬明细!$D:$D,$E75,薪酬明细!$E:$E,$F75,薪酬明细!$H:$H,"&gt;="&amp;BF$9,薪酬明细!$H:$H,"&lt;="&amp;BF$10,薪酬明细!$A:$A,BF$6)/10000</f>
        <v>0.9</v>
      </c>
      <c r="BG75" s="121">
        <f>SUMIFS(薪酬明细!$N:$N,薪酬明细!$D:$D,$E75,薪酬明细!$E:$E,$F75,薪酬明细!$H:$H,"&gt;="&amp;BG$9,薪酬明细!$H:$H,"&lt;="&amp;BG$10,薪酬明细!$A:$A,BG$6)/10000</f>
        <v>0.9</v>
      </c>
    </row>
    <row r="76" ht="16.2" spans="3:59">
      <c r="C76" s="42" t="s">
        <v>82</v>
      </c>
      <c r="D76" s="42"/>
      <c r="E76" s="116" t="str">
        <f t="shared" si="90"/>
        <v>创新中心</v>
      </c>
      <c r="F76" s="116" t="str">
        <f t="shared" si="91"/>
        <v>*</v>
      </c>
      <c r="G76" s="121">
        <f>SUMIFS(薪酬明细!$N:$N,薪酬明细!$D:$D,$E76,薪酬明细!$E:$E,$F76,薪酬明细!$H:$H,"&gt;="&amp;G$9,薪酬明细!$H:$H,"&lt;="&amp;G$10,薪酬明细!$A:$A,G$6)/10000</f>
        <v>24.1</v>
      </c>
      <c r="H76" s="121">
        <f>SUMIFS(薪酬明细!$N:$N,薪酬明细!$D:$D,$E76,薪酬明细!$E:$E,$F76,薪酬明细!$H:$H,"&gt;="&amp;H$9,薪酬明细!$H:$H,"&lt;="&amp;H$10,薪酬明细!$A:$A,H$6)/10000</f>
        <v>2</v>
      </c>
      <c r="I76" s="121">
        <f>SUMIFS(薪酬明细!$N:$N,薪酬明细!$D:$D,$E76,薪酬明细!$E:$E,$F76,薪酬明细!$H:$H,"&gt;="&amp;I$9,薪酬明细!$H:$H,"&lt;="&amp;I$10,薪酬明细!$A:$A,I$6)/10000</f>
        <v>2</v>
      </c>
      <c r="J76" s="121">
        <f>SUMIFS(薪酬明细!$N:$N,薪酬明细!$D:$D,$E76,薪酬明细!$E:$E,$F76,薪酬明细!$H:$H,"&gt;="&amp;J$9,薪酬明细!$H:$H,"&lt;="&amp;J$10,薪酬明细!$A:$A,J$6)/10000</f>
        <v>2</v>
      </c>
      <c r="K76" s="121">
        <f>SUMIFS(薪酬明细!$N:$N,薪酬明细!$D:$D,$E76,薪酬明细!$E:$E,$F76,薪酬明细!$H:$H,"&gt;="&amp;K$9,薪酬明细!$H:$H,"&lt;="&amp;K$10,薪酬明细!$A:$A,K$6)/10000</f>
        <v>2</v>
      </c>
      <c r="L76" s="121">
        <f>SUMIFS(薪酬明细!$N:$N,薪酬明细!$D:$D,$E76,薪酬明细!$E:$E,$F76,薪酬明细!$H:$H,"&gt;="&amp;L$9,薪酬明细!$H:$H,"&lt;="&amp;L$10,薪酬明细!$A:$A,L$6)/10000</f>
        <v>2</v>
      </c>
      <c r="M76" s="121">
        <f>SUMIFS(薪酬明细!$N:$N,薪酬明细!$D:$D,$E76,薪酬明细!$E:$E,$F76,薪酬明细!$H:$H,"&gt;="&amp;M$9,薪酬明细!$H:$H,"&lt;="&amp;M$10,薪酬明细!$A:$A,M$6)/10000</f>
        <v>2</v>
      </c>
      <c r="N76" s="121">
        <f>SUMIFS(薪酬明细!$N:$N,薪酬明细!$D:$D,$E76,薪酬明细!$E:$E,$F76,薪酬明细!$H:$H,"&gt;="&amp;N$9,薪酬明细!$H:$H,"&lt;="&amp;N$10,薪酬明细!$A:$A,N$6)/10000</f>
        <v>2</v>
      </c>
      <c r="O76" s="121">
        <f>SUMIFS(薪酬明细!$N:$N,薪酬明细!$D:$D,$E76,薪酬明细!$E:$E,$F76,薪酬明细!$H:$H,"&gt;="&amp;O$9,薪酬明细!$H:$H,"&lt;="&amp;O$10,薪酬明细!$A:$A,O$6)/10000</f>
        <v>2</v>
      </c>
      <c r="P76" s="121">
        <f>SUMIFS(薪酬明细!$N:$N,薪酬明细!$D:$D,$E76,薪酬明细!$E:$E,$F76,薪酬明细!$H:$H,"&gt;="&amp;P$9,薪酬明细!$H:$H,"&lt;="&amp;P$10,薪酬明细!$A:$A,P$6)/10000</f>
        <v>2</v>
      </c>
      <c r="Q76" s="121">
        <f>SUMIFS(薪酬明细!$N:$N,薪酬明细!$D:$D,$E76,薪酬明细!$E:$E,$F76,薪酬明细!$H:$H,"&gt;="&amp;Q$9,薪酬明细!$H:$H,"&lt;="&amp;Q$10,薪酬明细!$A:$A,Q$6)/10000</f>
        <v>2</v>
      </c>
      <c r="R76" s="121">
        <f>SUMIFS(薪酬明细!$N:$N,薪酬明细!$D:$D,$E76,薪酬明细!$E:$E,$F76,薪酬明细!$H:$H,"&gt;="&amp;R$9,薪酬明细!$H:$H,"&lt;="&amp;R$10,薪酬明细!$A:$A,R$6)/10000</f>
        <v>2</v>
      </c>
      <c r="S76" s="121">
        <f>SUMIFS(薪酬明细!$N:$N,薪酬明细!$D:$D,$E76,薪酬明细!$E:$E,$F76,薪酬明细!$H:$H,"&gt;="&amp;S$9,薪酬明细!$H:$H,"&lt;="&amp;S$10,薪酬明细!$A:$A,S$6)/10000</f>
        <v>2</v>
      </c>
      <c r="T76" s="125">
        <f t="shared" si="92"/>
        <v>24.1</v>
      </c>
      <c r="U76" s="121">
        <f>SUMIFS(薪酬明细!$N:$N,薪酬明细!$D:$D,$E76,薪酬明细!$E:$E,$F76,薪酬明细!$H:$H,"&gt;="&amp;U$9,薪酬明细!$H:$H,"&lt;="&amp;U$10,薪酬明细!$A:$A,U$6)/10000</f>
        <v>18.1</v>
      </c>
      <c r="V76" s="121">
        <f>SUMIFS(薪酬明细!$N:$N,薪酬明细!$D:$D,$E76,薪酬明细!$E:$E,$F76,薪酬明细!$H:$H,"&gt;="&amp;V$9,薪酬明细!$H:$H,"&lt;="&amp;V$10,薪酬明细!$A:$A,V$6)/10000</f>
        <v>2</v>
      </c>
      <c r="W76" s="121">
        <f>SUMIFS(薪酬明细!$N:$N,薪酬明细!$D:$D,$E76,薪酬明细!$E:$E,$F76,薪酬明细!$H:$H,"&gt;="&amp;W$9,薪酬明细!$H:$H,"&lt;="&amp;W$10,薪酬明细!$A:$A,W$6)/10000</f>
        <v>2</v>
      </c>
      <c r="X76" s="121">
        <f>SUMIFS(薪酬明细!$N:$N,薪酬明细!$D:$D,$E76,薪酬明细!$E:$E,$F76,薪酬明细!$H:$H,"&gt;="&amp;X$9,薪酬明细!$H:$H,"&lt;="&amp;X$10,薪酬明细!$A:$A,X$6)/10000</f>
        <v>2</v>
      </c>
      <c r="Y76" s="121">
        <f>SUMIFS(薪酬明细!$N:$N,薪酬明细!$D:$D,$E76,薪酬明细!$E:$E,$F76,薪酬明细!$H:$H,"&gt;="&amp;Y$9,薪酬明细!$H:$H,"&lt;="&amp;Y$10,薪酬明细!$A:$A,Y$6)/10000</f>
        <v>2</v>
      </c>
      <c r="Z76" s="121">
        <f>SUMIFS(薪酬明细!$N:$N,薪酬明细!$D:$D,$E76,薪酬明细!$E:$E,$F76,薪酬明细!$H:$H,"&gt;="&amp;Z$9,薪酬明细!$H:$H,"&lt;="&amp;Z$10,薪酬明细!$A:$A,Z$6)/10000</f>
        <v>2</v>
      </c>
      <c r="AA76" s="121">
        <f>SUMIFS(薪酬明细!$N:$N,薪酬明细!$D:$D,$E76,薪酬明细!$E:$E,$F76,薪酬明细!$H:$H,"&gt;="&amp;AA$9,薪酬明细!$H:$H,"&lt;="&amp;AA$10,薪酬明细!$A:$A,AA$6)/10000</f>
        <v>2</v>
      </c>
      <c r="AB76" s="121">
        <f>SUMIFS(薪酬明细!$N:$N,薪酬明细!$D:$D,$E76,薪酬明细!$E:$E,$F76,薪酬明细!$H:$H,"&gt;="&amp;AB$9,薪酬明细!$H:$H,"&lt;="&amp;AB$10,薪酬明细!$A:$A,AB$6)/10000</f>
        <v>2</v>
      </c>
      <c r="AC76" s="121">
        <f>SUMIFS(薪酬明细!$N:$N,薪酬明细!$D:$D,$E76,薪酬明细!$E:$E,$F76,薪酬明细!$H:$H,"&gt;="&amp;AC$9,薪酬明细!$H:$H,"&lt;="&amp;AC$10,薪酬明细!$A:$A,AC$6)/10000</f>
        <v>2</v>
      </c>
      <c r="AD76" s="121">
        <f>SUMIFS(薪酬明细!$N:$N,薪酬明细!$D:$D,$E76,薪酬明细!$E:$E,$F76,薪酬明细!$H:$H,"&gt;="&amp;AD$9,薪酬明细!$H:$H,"&lt;="&amp;AD$10,薪酬明细!$A:$A,AD$6)/10000</f>
        <v>2</v>
      </c>
      <c r="AE76" s="121">
        <f>SUMIFS(薪酬明细!$N:$N,薪酬明细!$D:$D,$E76,薪酬明细!$E:$E,$F76,薪酬明细!$H:$H,"&gt;="&amp;AE$9,薪酬明细!$H:$H,"&lt;="&amp;AE$10,薪酬明细!$A:$A,AE$6)/10000</f>
        <v>0</v>
      </c>
      <c r="AF76" s="121">
        <f>SUMIFS(薪酬明细!$N:$N,薪酬明细!$D:$D,$E76,薪酬明细!$E:$E,$F76,薪酬明细!$H:$H,"&gt;="&amp;AF$9,薪酬明细!$H:$H,"&lt;="&amp;AF$10,薪酬明细!$A:$A,AF$6)/10000</f>
        <v>0</v>
      </c>
      <c r="AG76" s="121">
        <f>SUMIFS(薪酬明细!$N:$N,薪酬明细!$D:$D,$E76,薪酬明细!$E:$E,$F76,薪酬明细!$H:$H,"&gt;="&amp;AG$9,薪酬明细!$H:$H,"&lt;="&amp;AG$10,薪酬明细!$A:$A,AG$6)/10000</f>
        <v>0</v>
      </c>
      <c r="AH76" s="121">
        <f>SUMIFS(薪酬明细!$N:$N,薪酬明细!$D:$D,$E76,薪酬明细!$E:$E,$F76,薪酬明细!$H:$H,"&gt;="&amp;AH$9,薪酬明细!$H:$H,"&lt;="&amp;AH$10,薪酬明细!$A:$A,AH$6)/10000</f>
        <v>6</v>
      </c>
      <c r="AI76" s="121">
        <f>SUMIFS(薪酬明细!$N:$N,薪酬明细!$D:$D,$E76,薪酬明细!$E:$E,$F76,薪酬明细!$H:$H,"&gt;="&amp;AI$9,薪酬明细!$H:$H,"&lt;="&amp;AI$10,薪酬明细!$A:$A,AI$6)/10000</f>
        <v>0</v>
      </c>
      <c r="AJ76" s="121">
        <f>SUMIFS(薪酬明细!$N:$N,薪酬明细!$D:$D,$E76,薪酬明细!$E:$E,$F76,薪酬明细!$H:$H,"&gt;="&amp;AJ$9,薪酬明细!$H:$H,"&lt;="&amp;AJ$10,薪酬明细!$A:$A,AJ$6)/10000</f>
        <v>0</v>
      </c>
      <c r="AK76" s="121">
        <f>SUMIFS(薪酬明细!$N:$N,薪酬明细!$D:$D,$E76,薪酬明细!$E:$E,$F76,薪酬明细!$H:$H,"&gt;="&amp;AK$9,薪酬明细!$H:$H,"&lt;="&amp;AK$10,薪酬明细!$A:$A,AK$6)/10000</f>
        <v>0</v>
      </c>
      <c r="AL76" s="121">
        <f>SUMIFS(薪酬明细!$N:$N,薪酬明细!$D:$D,$E76,薪酬明细!$E:$E,$F76,薪酬明细!$H:$H,"&gt;="&amp;AL$9,薪酬明细!$H:$H,"&lt;="&amp;AL$10,薪酬明细!$A:$A,AL$6)/10000</f>
        <v>0</v>
      </c>
      <c r="AM76" s="121">
        <f>SUMIFS(薪酬明细!$N:$N,薪酬明细!$D:$D,$E76,薪酬明细!$E:$E,$F76,薪酬明细!$H:$H,"&gt;="&amp;AM$9,薪酬明细!$H:$H,"&lt;="&amp;AM$10,薪酬明细!$A:$A,AM$6)/10000</f>
        <v>0</v>
      </c>
      <c r="AN76" s="121">
        <f>SUMIFS(薪酬明细!$N:$N,薪酬明细!$D:$D,$E76,薪酬明细!$E:$E,$F76,薪酬明细!$H:$H,"&gt;="&amp;AN$9,薪酬明细!$H:$H,"&lt;="&amp;AN$10,薪酬明细!$A:$A,AN$6)/10000</f>
        <v>0</v>
      </c>
      <c r="AO76" s="121">
        <f>SUMIFS(薪酬明细!$N:$N,薪酬明细!$D:$D,$E76,薪酬明细!$E:$E,$F76,薪酬明细!$H:$H,"&gt;="&amp;AO$9,薪酬明细!$H:$H,"&lt;="&amp;AO$10,薪酬明细!$A:$A,AO$6)/10000</f>
        <v>0</v>
      </c>
      <c r="AP76" s="121">
        <f>SUMIFS(薪酬明细!$N:$N,薪酬明细!$D:$D,$E76,薪酬明细!$E:$E,$F76,薪酬明细!$H:$H,"&gt;="&amp;AP$9,薪酬明细!$H:$H,"&lt;="&amp;AP$10,薪酬明细!$A:$A,AP$6)/10000</f>
        <v>0</v>
      </c>
      <c r="AQ76" s="121">
        <f>SUMIFS(薪酬明细!$N:$N,薪酬明细!$D:$D,$E76,薪酬明细!$E:$E,$F76,薪酬明细!$H:$H,"&gt;="&amp;AQ$9,薪酬明细!$H:$H,"&lt;="&amp;AQ$10,薪酬明细!$A:$A,AQ$6)/10000</f>
        <v>0</v>
      </c>
      <c r="AR76" s="121">
        <f>SUMIFS(薪酬明细!$N:$N,薪酬明细!$D:$D,$E76,薪酬明细!$E:$E,$F76,薪酬明细!$H:$H,"&gt;="&amp;AR$9,薪酬明细!$H:$H,"&lt;="&amp;AR$10,薪酬明细!$A:$A,AR$6)/10000</f>
        <v>2</v>
      </c>
      <c r="AS76" s="121">
        <f>SUMIFS(薪酬明细!$N:$N,薪酬明细!$D:$D,$E76,薪酬明细!$E:$E,$F76,薪酬明细!$H:$H,"&gt;="&amp;AS$9,薪酬明细!$H:$H,"&lt;="&amp;AS$10,薪酬明细!$A:$A,AS$6)/10000</f>
        <v>2</v>
      </c>
      <c r="AT76" s="121">
        <f>SUMIFS(薪酬明细!$N:$N,薪酬明细!$D:$D,$E76,薪酬明细!$E:$E,$F76,薪酬明细!$H:$H,"&gt;="&amp;AT$9,薪酬明细!$H:$H,"&lt;="&amp;AT$10,薪酬明细!$A:$A,AT$6)/10000</f>
        <v>2</v>
      </c>
      <c r="AU76" s="121">
        <f>SUMIFS(薪酬明细!$N:$N,薪酬明细!$D:$D,$E76,薪酬明细!$E:$E,$F76,薪酬明细!$H:$H,"&gt;="&amp;AU$9,薪酬明细!$H:$H,"&lt;="&amp;AU$10,薪酬明细!$A:$A,AU$6)/10000</f>
        <v>24.1</v>
      </c>
      <c r="AV76" s="121">
        <f>SUMIFS(薪酬明细!$N:$N,薪酬明细!$D:$D,$E76,薪酬明细!$E:$E,$F76,薪酬明细!$H:$H,"&gt;="&amp;AV$9,薪酬明细!$H:$H,"&lt;="&amp;AV$10,薪酬明细!$A:$A,AV$6)/10000</f>
        <v>2</v>
      </c>
      <c r="AW76" s="121">
        <f>SUMIFS(薪酬明细!$N:$N,薪酬明细!$D:$D,$E76,薪酬明细!$E:$E,$F76,薪酬明细!$H:$H,"&gt;="&amp;AW$9,薪酬明细!$H:$H,"&lt;="&amp;AW$10,薪酬明细!$A:$A,AW$6)/10000</f>
        <v>2</v>
      </c>
      <c r="AX76" s="121">
        <f>SUMIFS(薪酬明细!$N:$N,薪酬明细!$D:$D,$E76,薪酬明细!$E:$E,$F76,薪酬明细!$H:$H,"&gt;="&amp;AX$9,薪酬明细!$H:$H,"&lt;="&amp;AX$10,薪酬明细!$A:$A,AX$6)/10000</f>
        <v>2</v>
      </c>
      <c r="AY76" s="121">
        <f>SUMIFS(薪酬明细!$N:$N,薪酬明细!$D:$D,$E76,薪酬明细!$E:$E,$F76,薪酬明细!$H:$H,"&gt;="&amp;AY$9,薪酬明细!$H:$H,"&lt;="&amp;AY$10,薪酬明细!$A:$A,AY$6)/10000</f>
        <v>2</v>
      </c>
      <c r="AZ76" s="121">
        <f>SUMIFS(薪酬明细!$N:$N,薪酬明细!$D:$D,$E76,薪酬明细!$E:$E,$F76,薪酬明细!$H:$H,"&gt;="&amp;AZ$9,薪酬明细!$H:$H,"&lt;="&amp;AZ$10,薪酬明细!$A:$A,AZ$6)/10000</f>
        <v>2</v>
      </c>
      <c r="BA76" s="121">
        <f>SUMIFS(薪酬明细!$N:$N,薪酬明细!$D:$D,$E76,薪酬明细!$E:$E,$F76,薪酬明细!$H:$H,"&gt;="&amp;BA$9,薪酬明细!$H:$H,"&lt;="&amp;BA$10,薪酬明细!$A:$A,BA$6)/10000</f>
        <v>2</v>
      </c>
      <c r="BB76" s="121">
        <f>SUMIFS(薪酬明细!$N:$N,薪酬明细!$D:$D,$E76,薪酬明细!$E:$E,$F76,薪酬明细!$H:$H,"&gt;="&amp;BB$9,薪酬明细!$H:$H,"&lt;="&amp;BB$10,薪酬明细!$A:$A,BB$6)/10000</f>
        <v>2</v>
      </c>
      <c r="BC76" s="121">
        <f>SUMIFS(薪酬明细!$N:$N,薪酬明细!$D:$D,$E76,薪酬明细!$E:$E,$F76,薪酬明细!$H:$H,"&gt;="&amp;BC$9,薪酬明细!$H:$H,"&lt;="&amp;BC$10,薪酬明细!$A:$A,BC$6)/10000</f>
        <v>2</v>
      </c>
      <c r="BD76" s="121">
        <f>SUMIFS(薪酬明细!$N:$N,薪酬明细!$D:$D,$E76,薪酬明细!$E:$E,$F76,薪酬明细!$H:$H,"&gt;="&amp;BD$9,薪酬明细!$H:$H,"&lt;="&amp;BD$10,薪酬明细!$A:$A,BD$6)/10000</f>
        <v>2</v>
      </c>
      <c r="BE76" s="121">
        <f>SUMIFS(薪酬明细!$N:$N,薪酬明细!$D:$D,$E76,薪酬明细!$E:$E,$F76,薪酬明细!$H:$H,"&gt;="&amp;BE$9,薪酬明细!$H:$H,"&lt;="&amp;BE$10,薪酬明细!$A:$A,BE$6)/10000</f>
        <v>2</v>
      </c>
      <c r="BF76" s="121">
        <f>SUMIFS(薪酬明细!$N:$N,薪酬明细!$D:$D,$E76,薪酬明细!$E:$E,$F76,薪酬明细!$H:$H,"&gt;="&amp;BF$9,薪酬明细!$H:$H,"&lt;="&amp;BF$10,薪酬明细!$A:$A,BF$6)/10000</f>
        <v>2</v>
      </c>
      <c r="BG76" s="121">
        <f>SUMIFS(薪酬明细!$N:$N,薪酬明细!$D:$D,$E76,薪酬明细!$E:$E,$F76,薪酬明细!$H:$H,"&gt;="&amp;BG$9,薪酬明细!$H:$H,"&lt;="&amp;BG$10,薪酬明细!$A:$A,BG$6)/10000</f>
        <v>2</v>
      </c>
    </row>
    <row r="77" ht="16.2" spans="3:59">
      <c r="C77" s="42"/>
      <c r="D77" s="42" t="s">
        <v>83</v>
      </c>
      <c r="E77" s="116" t="str">
        <f t="shared" si="90"/>
        <v>创新中心</v>
      </c>
      <c r="F77" s="116" t="str">
        <f t="shared" si="91"/>
        <v>产品
研发部</v>
      </c>
      <c r="G77" s="121">
        <f>SUMIFS(薪酬明细!$N:$N,薪酬明细!$D:$D,$E77,薪酬明细!$E:$E,$F77,薪酬明细!$H:$H,"&gt;="&amp;G$9,薪酬明细!$H:$H,"&lt;="&amp;G$10,薪酬明细!$A:$A,G$6)/10000</f>
        <v>8.3</v>
      </c>
      <c r="H77" s="121">
        <f>SUMIFS(薪酬明细!$N:$N,薪酬明细!$D:$D,$E77,薪酬明细!$E:$E,$F77,薪酬明细!$H:$H,"&gt;="&amp;H$9,薪酬明细!$H:$H,"&lt;="&amp;H$10,薪酬明细!$A:$A,H$6)/10000</f>
        <v>0.7</v>
      </c>
      <c r="I77" s="121">
        <f>SUMIFS(薪酬明细!$N:$N,薪酬明细!$D:$D,$E77,薪酬明细!$E:$E,$F77,薪酬明细!$H:$H,"&gt;="&amp;I$9,薪酬明细!$H:$H,"&lt;="&amp;I$10,薪酬明细!$A:$A,I$6)/10000</f>
        <v>0.7</v>
      </c>
      <c r="J77" s="121">
        <f>SUMIFS(薪酬明细!$N:$N,薪酬明细!$D:$D,$E77,薪酬明细!$E:$E,$F77,薪酬明细!$H:$H,"&gt;="&amp;J$9,薪酬明细!$H:$H,"&lt;="&amp;J$10,薪酬明细!$A:$A,J$6)/10000</f>
        <v>0.7</v>
      </c>
      <c r="K77" s="121">
        <f>SUMIFS(薪酬明细!$N:$N,薪酬明细!$D:$D,$E77,薪酬明细!$E:$E,$F77,薪酬明细!$H:$H,"&gt;="&amp;K$9,薪酬明细!$H:$H,"&lt;="&amp;K$10,薪酬明细!$A:$A,K$6)/10000</f>
        <v>0.7</v>
      </c>
      <c r="L77" s="121">
        <f>SUMIFS(薪酬明细!$N:$N,薪酬明细!$D:$D,$E77,薪酬明细!$E:$E,$F77,薪酬明细!$H:$H,"&gt;="&amp;L$9,薪酬明细!$H:$H,"&lt;="&amp;L$10,薪酬明细!$A:$A,L$6)/10000</f>
        <v>0.7</v>
      </c>
      <c r="M77" s="121">
        <f>SUMIFS(薪酬明细!$N:$N,薪酬明细!$D:$D,$E77,薪酬明细!$E:$E,$F77,薪酬明细!$H:$H,"&gt;="&amp;M$9,薪酬明细!$H:$H,"&lt;="&amp;M$10,薪酬明细!$A:$A,M$6)/10000</f>
        <v>0.7</v>
      </c>
      <c r="N77" s="121">
        <f>SUMIFS(薪酬明细!$N:$N,薪酬明细!$D:$D,$E77,薪酬明细!$E:$E,$F77,薪酬明细!$H:$H,"&gt;="&amp;N$9,薪酬明细!$H:$H,"&lt;="&amp;N$10,薪酬明细!$A:$A,N$6)/10000</f>
        <v>0.7</v>
      </c>
      <c r="O77" s="121">
        <f>SUMIFS(薪酬明细!$N:$N,薪酬明细!$D:$D,$E77,薪酬明细!$E:$E,$F77,薪酬明细!$H:$H,"&gt;="&amp;O$9,薪酬明细!$H:$H,"&lt;="&amp;O$10,薪酬明细!$A:$A,O$6)/10000</f>
        <v>0.7</v>
      </c>
      <c r="P77" s="121">
        <f>SUMIFS(薪酬明细!$N:$N,薪酬明细!$D:$D,$E77,薪酬明细!$E:$E,$F77,薪酬明细!$H:$H,"&gt;="&amp;P$9,薪酬明细!$H:$H,"&lt;="&amp;P$10,薪酬明细!$A:$A,P$6)/10000</f>
        <v>0.7</v>
      </c>
      <c r="Q77" s="121">
        <f>SUMIFS(薪酬明细!$N:$N,薪酬明细!$D:$D,$E77,薪酬明细!$E:$E,$F77,薪酬明细!$H:$H,"&gt;="&amp;Q$9,薪酬明细!$H:$H,"&lt;="&amp;Q$10,薪酬明细!$A:$A,Q$6)/10000</f>
        <v>0.7</v>
      </c>
      <c r="R77" s="121">
        <f>SUMIFS(薪酬明细!$N:$N,薪酬明细!$D:$D,$E77,薪酬明细!$E:$E,$F77,薪酬明细!$H:$H,"&gt;="&amp;R$9,薪酬明细!$H:$H,"&lt;="&amp;R$10,薪酬明细!$A:$A,R$6)/10000</f>
        <v>0.7</v>
      </c>
      <c r="S77" s="121">
        <f>SUMIFS(薪酬明细!$N:$N,薪酬明细!$D:$D,$E77,薪酬明细!$E:$E,$F77,薪酬明细!$H:$H,"&gt;="&amp;S$9,薪酬明细!$H:$H,"&lt;="&amp;S$10,薪酬明细!$A:$A,S$6)/10000</f>
        <v>0.7</v>
      </c>
      <c r="T77" s="125">
        <f t="shared" si="92"/>
        <v>8.3</v>
      </c>
      <c r="U77" s="121">
        <f>SUMIFS(薪酬明细!$N:$N,薪酬明细!$D:$D,$E77,薪酬明细!$E:$E,$F77,薪酬明细!$H:$H,"&gt;="&amp;U$9,薪酬明细!$H:$H,"&lt;="&amp;U$10,薪酬明细!$A:$A,U$6)/10000</f>
        <v>6.3</v>
      </c>
      <c r="V77" s="121">
        <f>SUMIFS(薪酬明细!$N:$N,薪酬明细!$D:$D,$E77,薪酬明细!$E:$E,$F77,薪酬明细!$H:$H,"&gt;="&amp;V$9,薪酬明细!$H:$H,"&lt;="&amp;V$10,薪酬明细!$A:$A,V$6)/10000</f>
        <v>0.7</v>
      </c>
      <c r="W77" s="121">
        <f>SUMIFS(薪酬明细!$N:$N,薪酬明细!$D:$D,$E77,薪酬明细!$E:$E,$F77,薪酬明细!$H:$H,"&gt;="&amp;W$9,薪酬明细!$H:$H,"&lt;="&amp;W$10,薪酬明细!$A:$A,W$6)/10000</f>
        <v>0.7</v>
      </c>
      <c r="X77" s="121">
        <f>SUMIFS(薪酬明细!$N:$N,薪酬明细!$D:$D,$E77,薪酬明细!$E:$E,$F77,薪酬明细!$H:$H,"&gt;="&amp;X$9,薪酬明细!$H:$H,"&lt;="&amp;X$10,薪酬明细!$A:$A,X$6)/10000</f>
        <v>0.7</v>
      </c>
      <c r="Y77" s="121">
        <f>SUMIFS(薪酬明细!$N:$N,薪酬明细!$D:$D,$E77,薪酬明细!$E:$E,$F77,薪酬明细!$H:$H,"&gt;="&amp;Y$9,薪酬明细!$H:$H,"&lt;="&amp;Y$10,薪酬明细!$A:$A,Y$6)/10000</f>
        <v>0.7</v>
      </c>
      <c r="Z77" s="121">
        <f>SUMIFS(薪酬明细!$N:$N,薪酬明细!$D:$D,$E77,薪酬明细!$E:$E,$F77,薪酬明细!$H:$H,"&gt;="&amp;Z$9,薪酬明细!$H:$H,"&lt;="&amp;Z$10,薪酬明细!$A:$A,Z$6)/10000</f>
        <v>0.7</v>
      </c>
      <c r="AA77" s="121">
        <f>SUMIFS(薪酬明细!$N:$N,薪酬明细!$D:$D,$E77,薪酬明细!$E:$E,$F77,薪酬明细!$H:$H,"&gt;="&amp;AA$9,薪酬明细!$H:$H,"&lt;="&amp;AA$10,薪酬明细!$A:$A,AA$6)/10000</f>
        <v>0.7</v>
      </c>
      <c r="AB77" s="121">
        <f>SUMIFS(薪酬明细!$N:$N,薪酬明细!$D:$D,$E77,薪酬明细!$E:$E,$F77,薪酬明细!$H:$H,"&gt;="&amp;AB$9,薪酬明细!$H:$H,"&lt;="&amp;AB$10,薪酬明细!$A:$A,AB$6)/10000</f>
        <v>0.7</v>
      </c>
      <c r="AC77" s="121">
        <f>SUMIFS(薪酬明细!$N:$N,薪酬明细!$D:$D,$E77,薪酬明细!$E:$E,$F77,薪酬明细!$H:$H,"&gt;="&amp;AC$9,薪酬明细!$H:$H,"&lt;="&amp;AC$10,薪酬明细!$A:$A,AC$6)/10000</f>
        <v>0.7</v>
      </c>
      <c r="AD77" s="121">
        <f>SUMIFS(薪酬明细!$N:$N,薪酬明细!$D:$D,$E77,薪酬明细!$E:$E,$F77,薪酬明细!$H:$H,"&gt;="&amp;AD$9,薪酬明细!$H:$H,"&lt;="&amp;AD$10,薪酬明细!$A:$A,AD$6)/10000</f>
        <v>0.7</v>
      </c>
      <c r="AE77" s="121">
        <f>SUMIFS(薪酬明细!$N:$N,薪酬明细!$D:$D,$E77,薪酬明细!$E:$E,$F77,薪酬明细!$H:$H,"&gt;="&amp;AE$9,薪酬明细!$H:$H,"&lt;="&amp;AE$10,薪酬明细!$A:$A,AE$6)/10000</f>
        <v>0</v>
      </c>
      <c r="AF77" s="121">
        <f>SUMIFS(薪酬明细!$N:$N,薪酬明细!$D:$D,$E77,薪酬明细!$E:$E,$F77,薪酬明细!$H:$H,"&gt;="&amp;AF$9,薪酬明细!$H:$H,"&lt;="&amp;AF$10,薪酬明细!$A:$A,AF$6)/10000</f>
        <v>0</v>
      </c>
      <c r="AG77" s="121">
        <f>SUMIFS(薪酬明细!$N:$N,薪酬明细!$D:$D,$E77,薪酬明细!$E:$E,$F77,薪酬明细!$H:$H,"&gt;="&amp;AG$9,薪酬明细!$H:$H,"&lt;="&amp;AG$10,薪酬明细!$A:$A,AG$6)/10000</f>
        <v>0</v>
      </c>
      <c r="AH77" s="121">
        <f>SUMIFS(薪酬明细!$N:$N,薪酬明细!$D:$D,$E77,薪酬明细!$E:$E,$F77,薪酬明细!$H:$H,"&gt;="&amp;AH$9,薪酬明细!$H:$H,"&lt;="&amp;AH$10,薪酬明细!$A:$A,AH$6)/10000</f>
        <v>2</v>
      </c>
      <c r="AI77" s="121">
        <f>SUMIFS(薪酬明细!$N:$N,薪酬明细!$D:$D,$E77,薪酬明细!$E:$E,$F77,薪酬明细!$H:$H,"&gt;="&amp;AI$9,薪酬明细!$H:$H,"&lt;="&amp;AI$10,薪酬明细!$A:$A,AI$6)/10000</f>
        <v>0</v>
      </c>
      <c r="AJ77" s="121">
        <f>SUMIFS(薪酬明细!$N:$N,薪酬明细!$D:$D,$E77,薪酬明细!$E:$E,$F77,薪酬明细!$H:$H,"&gt;="&amp;AJ$9,薪酬明细!$H:$H,"&lt;="&amp;AJ$10,薪酬明细!$A:$A,AJ$6)/10000</f>
        <v>0</v>
      </c>
      <c r="AK77" s="121">
        <f>SUMIFS(薪酬明细!$N:$N,薪酬明细!$D:$D,$E77,薪酬明细!$E:$E,$F77,薪酬明细!$H:$H,"&gt;="&amp;AK$9,薪酬明细!$H:$H,"&lt;="&amp;AK$10,薪酬明细!$A:$A,AK$6)/10000</f>
        <v>0</v>
      </c>
      <c r="AL77" s="121">
        <f>SUMIFS(薪酬明细!$N:$N,薪酬明细!$D:$D,$E77,薪酬明细!$E:$E,$F77,薪酬明细!$H:$H,"&gt;="&amp;AL$9,薪酬明细!$H:$H,"&lt;="&amp;AL$10,薪酬明细!$A:$A,AL$6)/10000</f>
        <v>0</v>
      </c>
      <c r="AM77" s="121">
        <f>SUMIFS(薪酬明细!$N:$N,薪酬明细!$D:$D,$E77,薪酬明细!$E:$E,$F77,薪酬明细!$H:$H,"&gt;="&amp;AM$9,薪酬明细!$H:$H,"&lt;="&amp;AM$10,薪酬明细!$A:$A,AM$6)/10000</f>
        <v>0</v>
      </c>
      <c r="AN77" s="121">
        <f>SUMIFS(薪酬明细!$N:$N,薪酬明细!$D:$D,$E77,薪酬明细!$E:$E,$F77,薪酬明细!$H:$H,"&gt;="&amp;AN$9,薪酬明细!$H:$H,"&lt;="&amp;AN$10,薪酬明细!$A:$A,AN$6)/10000</f>
        <v>0</v>
      </c>
      <c r="AO77" s="121">
        <f>SUMIFS(薪酬明细!$N:$N,薪酬明细!$D:$D,$E77,薪酬明细!$E:$E,$F77,薪酬明细!$H:$H,"&gt;="&amp;AO$9,薪酬明细!$H:$H,"&lt;="&amp;AO$10,薪酬明细!$A:$A,AO$6)/10000</f>
        <v>0</v>
      </c>
      <c r="AP77" s="121">
        <f>SUMIFS(薪酬明细!$N:$N,薪酬明细!$D:$D,$E77,薪酬明细!$E:$E,$F77,薪酬明细!$H:$H,"&gt;="&amp;AP$9,薪酬明细!$H:$H,"&lt;="&amp;AP$10,薪酬明细!$A:$A,AP$6)/10000</f>
        <v>0</v>
      </c>
      <c r="AQ77" s="121">
        <f>SUMIFS(薪酬明细!$N:$N,薪酬明细!$D:$D,$E77,薪酬明细!$E:$E,$F77,薪酬明细!$H:$H,"&gt;="&amp;AQ$9,薪酬明细!$H:$H,"&lt;="&amp;AQ$10,薪酬明细!$A:$A,AQ$6)/10000</f>
        <v>0</v>
      </c>
      <c r="AR77" s="121">
        <f>SUMIFS(薪酬明细!$N:$N,薪酬明细!$D:$D,$E77,薪酬明细!$E:$E,$F77,薪酬明细!$H:$H,"&gt;="&amp;AR$9,薪酬明细!$H:$H,"&lt;="&amp;AR$10,薪酬明细!$A:$A,AR$6)/10000</f>
        <v>0.7</v>
      </c>
      <c r="AS77" s="121">
        <f>SUMIFS(薪酬明细!$N:$N,薪酬明细!$D:$D,$E77,薪酬明细!$E:$E,$F77,薪酬明细!$H:$H,"&gt;="&amp;AS$9,薪酬明细!$H:$H,"&lt;="&amp;AS$10,薪酬明细!$A:$A,AS$6)/10000</f>
        <v>0.7</v>
      </c>
      <c r="AT77" s="121">
        <f>SUMIFS(薪酬明细!$N:$N,薪酬明细!$D:$D,$E77,薪酬明细!$E:$E,$F77,薪酬明细!$H:$H,"&gt;="&amp;AT$9,薪酬明细!$H:$H,"&lt;="&amp;AT$10,薪酬明细!$A:$A,AT$6)/10000</f>
        <v>0.7</v>
      </c>
      <c r="AU77" s="121">
        <f>SUMIFS(薪酬明细!$N:$N,薪酬明细!$D:$D,$E77,薪酬明细!$E:$E,$F77,薪酬明细!$H:$H,"&gt;="&amp;AU$9,薪酬明细!$H:$H,"&lt;="&amp;AU$10,薪酬明细!$A:$A,AU$6)/10000</f>
        <v>8.3</v>
      </c>
      <c r="AV77" s="121">
        <f>SUMIFS(薪酬明细!$N:$N,薪酬明细!$D:$D,$E77,薪酬明细!$E:$E,$F77,薪酬明细!$H:$H,"&gt;="&amp;AV$9,薪酬明细!$H:$H,"&lt;="&amp;AV$10,薪酬明细!$A:$A,AV$6)/10000</f>
        <v>0.7</v>
      </c>
      <c r="AW77" s="121">
        <f>SUMIFS(薪酬明细!$N:$N,薪酬明细!$D:$D,$E77,薪酬明细!$E:$E,$F77,薪酬明细!$H:$H,"&gt;="&amp;AW$9,薪酬明细!$H:$H,"&lt;="&amp;AW$10,薪酬明细!$A:$A,AW$6)/10000</f>
        <v>0.7</v>
      </c>
      <c r="AX77" s="121">
        <f>SUMIFS(薪酬明细!$N:$N,薪酬明细!$D:$D,$E77,薪酬明细!$E:$E,$F77,薪酬明细!$H:$H,"&gt;="&amp;AX$9,薪酬明细!$H:$H,"&lt;="&amp;AX$10,薪酬明细!$A:$A,AX$6)/10000</f>
        <v>0.7</v>
      </c>
      <c r="AY77" s="121">
        <f>SUMIFS(薪酬明细!$N:$N,薪酬明细!$D:$D,$E77,薪酬明细!$E:$E,$F77,薪酬明细!$H:$H,"&gt;="&amp;AY$9,薪酬明细!$H:$H,"&lt;="&amp;AY$10,薪酬明细!$A:$A,AY$6)/10000</f>
        <v>0.7</v>
      </c>
      <c r="AZ77" s="121">
        <f>SUMIFS(薪酬明细!$N:$N,薪酬明细!$D:$D,$E77,薪酬明细!$E:$E,$F77,薪酬明细!$H:$H,"&gt;="&amp;AZ$9,薪酬明细!$H:$H,"&lt;="&amp;AZ$10,薪酬明细!$A:$A,AZ$6)/10000</f>
        <v>0.7</v>
      </c>
      <c r="BA77" s="121">
        <f>SUMIFS(薪酬明细!$N:$N,薪酬明细!$D:$D,$E77,薪酬明细!$E:$E,$F77,薪酬明细!$H:$H,"&gt;="&amp;BA$9,薪酬明细!$H:$H,"&lt;="&amp;BA$10,薪酬明细!$A:$A,BA$6)/10000</f>
        <v>0.7</v>
      </c>
      <c r="BB77" s="121">
        <f>SUMIFS(薪酬明细!$N:$N,薪酬明细!$D:$D,$E77,薪酬明细!$E:$E,$F77,薪酬明细!$H:$H,"&gt;="&amp;BB$9,薪酬明细!$H:$H,"&lt;="&amp;BB$10,薪酬明细!$A:$A,BB$6)/10000</f>
        <v>0.7</v>
      </c>
      <c r="BC77" s="121">
        <f>SUMIFS(薪酬明细!$N:$N,薪酬明细!$D:$D,$E77,薪酬明细!$E:$E,$F77,薪酬明细!$H:$H,"&gt;="&amp;BC$9,薪酬明细!$H:$H,"&lt;="&amp;BC$10,薪酬明细!$A:$A,BC$6)/10000</f>
        <v>0.7</v>
      </c>
      <c r="BD77" s="121">
        <f>SUMIFS(薪酬明细!$N:$N,薪酬明细!$D:$D,$E77,薪酬明细!$E:$E,$F77,薪酬明细!$H:$H,"&gt;="&amp;BD$9,薪酬明细!$H:$H,"&lt;="&amp;BD$10,薪酬明细!$A:$A,BD$6)/10000</f>
        <v>0.7</v>
      </c>
      <c r="BE77" s="121">
        <f>SUMIFS(薪酬明细!$N:$N,薪酬明细!$D:$D,$E77,薪酬明细!$E:$E,$F77,薪酬明细!$H:$H,"&gt;="&amp;BE$9,薪酬明细!$H:$H,"&lt;="&amp;BE$10,薪酬明细!$A:$A,BE$6)/10000</f>
        <v>0.7</v>
      </c>
      <c r="BF77" s="121">
        <f>SUMIFS(薪酬明细!$N:$N,薪酬明细!$D:$D,$E77,薪酬明细!$E:$E,$F77,薪酬明细!$H:$H,"&gt;="&amp;BF$9,薪酬明细!$H:$H,"&lt;="&amp;BF$10,薪酬明细!$A:$A,BF$6)/10000</f>
        <v>0.7</v>
      </c>
      <c r="BG77" s="121">
        <f>SUMIFS(薪酬明细!$N:$N,薪酬明细!$D:$D,$E77,薪酬明细!$E:$E,$F77,薪酬明细!$H:$H,"&gt;="&amp;BG$9,薪酬明细!$H:$H,"&lt;="&amp;BG$10,薪酬明细!$A:$A,BG$6)/10000</f>
        <v>0.7</v>
      </c>
    </row>
    <row r="78" ht="16.2" spans="3:59">
      <c r="C78" s="42"/>
      <c r="D78" s="42" t="s">
        <v>84</v>
      </c>
      <c r="E78" s="116" t="str">
        <f t="shared" si="90"/>
        <v>创新中心</v>
      </c>
      <c r="F78" s="116" t="str">
        <f t="shared" si="91"/>
        <v>XX
试验室</v>
      </c>
      <c r="G78" s="121">
        <f>SUMIFS(薪酬明细!$N:$N,薪酬明细!$D:$D,$E78,薪酬明细!$E:$E,$F78,薪酬明细!$H:$H,"&gt;="&amp;G$9,薪酬明细!$H:$H,"&lt;="&amp;G$10,薪酬明细!$A:$A,G$6)/10000</f>
        <v>5.7</v>
      </c>
      <c r="H78" s="121">
        <f>SUMIFS(薪酬明细!$N:$N,薪酬明细!$D:$D,$E78,薪酬明细!$E:$E,$F78,薪酬明细!$H:$H,"&gt;="&amp;H$9,薪酬明细!$H:$H,"&lt;="&amp;H$10,薪酬明细!$A:$A,H$6)/10000</f>
        <v>0.5</v>
      </c>
      <c r="I78" s="121">
        <f>SUMIFS(薪酬明细!$N:$N,薪酬明细!$D:$D,$E78,薪酬明细!$E:$E,$F78,薪酬明细!$H:$H,"&gt;="&amp;I$9,薪酬明细!$H:$H,"&lt;="&amp;I$10,薪酬明细!$A:$A,I$6)/10000</f>
        <v>0.5</v>
      </c>
      <c r="J78" s="121">
        <f>SUMIFS(薪酬明细!$N:$N,薪酬明细!$D:$D,$E78,薪酬明细!$E:$E,$F78,薪酬明细!$H:$H,"&gt;="&amp;J$9,薪酬明细!$H:$H,"&lt;="&amp;J$10,薪酬明细!$A:$A,J$6)/10000</f>
        <v>0.5</v>
      </c>
      <c r="K78" s="121">
        <f>SUMIFS(薪酬明细!$N:$N,薪酬明细!$D:$D,$E78,薪酬明细!$E:$E,$F78,薪酬明细!$H:$H,"&gt;="&amp;K$9,薪酬明细!$H:$H,"&lt;="&amp;K$10,薪酬明细!$A:$A,K$6)/10000</f>
        <v>0.5</v>
      </c>
      <c r="L78" s="121">
        <f>SUMIFS(薪酬明细!$N:$N,薪酬明细!$D:$D,$E78,薪酬明细!$E:$E,$F78,薪酬明细!$H:$H,"&gt;="&amp;L$9,薪酬明细!$H:$H,"&lt;="&amp;L$10,薪酬明细!$A:$A,L$6)/10000</f>
        <v>0.5</v>
      </c>
      <c r="M78" s="121">
        <f>SUMIFS(薪酬明细!$N:$N,薪酬明细!$D:$D,$E78,薪酬明细!$E:$E,$F78,薪酬明细!$H:$H,"&gt;="&amp;M$9,薪酬明细!$H:$H,"&lt;="&amp;M$10,薪酬明细!$A:$A,M$6)/10000</f>
        <v>0.5</v>
      </c>
      <c r="N78" s="121">
        <f>SUMIFS(薪酬明细!$N:$N,薪酬明细!$D:$D,$E78,薪酬明细!$E:$E,$F78,薪酬明细!$H:$H,"&gt;="&amp;N$9,薪酬明细!$H:$H,"&lt;="&amp;N$10,薪酬明细!$A:$A,N$6)/10000</f>
        <v>0.5</v>
      </c>
      <c r="O78" s="121">
        <f>SUMIFS(薪酬明细!$N:$N,薪酬明细!$D:$D,$E78,薪酬明细!$E:$E,$F78,薪酬明细!$H:$H,"&gt;="&amp;O$9,薪酬明细!$H:$H,"&lt;="&amp;O$10,薪酬明细!$A:$A,O$6)/10000</f>
        <v>0.5</v>
      </c>
      <c r="P78" s="121">
        <f>SUMIFS(薪酬明细!$N:$N,薪酬明细!$D:$D,$E78,薪酬明细!$E:$E,$F78,薪酬明细!$H:$H,"&gt;="&amp;P$9,薪酬明细!$H:$H,"&lt;="&amp;P$10,薪酬明细!$A:$A,P$6)/10000</f>
        <v>0.5</v>
      </c>
      <c r="Q78" s="121">
        <f>SUMIFS(薪酬明细!$N:$N,薪酬明细!$D:$D,$E78,薪酬明细!$E:$E,$F78,薪酬明细!$H:$H,"&gt;="&amp;Q$9,薪酬明细!$H:$H,"&lt;="&amp;Q$10,薪酬明细!$A:$A,Q$6)/10000</f>
        <v>0.5</v>
      </c>
      <c r="R78" s="121">
        <f>SUMIFS(薪酬明细!$N:$N,薪酬明细!$D:$D,$E78,薪酬明细!$E:$E,$F78,薪酬明细!$H:$H,"&gt;="&amp;R$9,薪酬明细!$H:$H,"&lt;="&amp;R$10,薪酬明细!$A:$A,R$6)/10000</f>
        <v>0.5</v>
      </c>
      <c r="S78" s="121">
        <f>SUMIFS(薪酬明细!$N:$N,薪酬明细!$D:$D,$E78,薪酬明细!$E:$E,$F78,薪酬明细!$H:$H,"&gt;="&amp;S$9,薪酬明细!$H:$H,"&lt;="&amp;S$10,薪酬明细!$A:$A,S$6)/10000</f>
        <v>0.5</v>
      </c>
      <c r="T78" s="125">
        <f t="shared" si="92"/>
        <v>5.6</v>
      </c>
      <c r="U78" s="121">
        <f>SUMIFS(薪酬明细!$N:$N,薪酬明细!$D:$D,$E78,薪酬明细!$E:$E,$F78,薪酬明细!$H:$H,"&gt;="&amp;U$9,薪酬明细!$H:$H,"&lt;="&amp;U$10,薪酬明细!$A:$A,U$6)/10000</f>
        <v>4.2</v>
      </c>
      <c r="V78" s="121">
        <f>SUMIFS(薪酬明细!$N:$N,薪酬明细!$D:$D,$E78,薪酬明细!$E:$E,$F78,薪酬明细!$H:$H,"&gt;="&amp;V$9,薪酬明细!$H:$H,"&lt;="&amp;V$10,薪酬明细!$A:$A,V$6)/10000</f>
        <v>0.5</v>
      </c>
      <c r="W78" s="121">
        <f>SUMIFS(薪酬明细!$N:$N,薪酬明细!$D:$D,$E78,薪酬明细!$E:$E,$F78,薪酬明细!$H:$H,"&gt;="&amp;W$9,薪酬明细!$H:$H,"&lt;="&amp;W$10,薪酬明细!$A:$A,W$6)/10000</f>
        <v>0.5</v>
      </c>
      <c r="X78" s="121">
        <f>SUMIFS(薪酬明细!$N:$N,薪酬明细!$D:$D,$E78,薪酬明细!$E:$E,$F78,薪酬明细!$H:$H,"&gt;="&amp;X$9,薪酬明细!$H:$H,"&lt;="&amp;X$10,薪酬明细!$A:$A,X$6)/10000</f>
        <v>0.5</v>
      </c>
      <c r="Y78" s="121">
        <f>SUMIFS(薪酬明细!$N:$N,薪酬明细!$D:$D,$E78,薪酬明细!$E:$E,$F78,薪酬明细!$H:$H,"&gt;="&amp;Y$9,薪酬明细!$H:$H,"&lt;="&amp;Y$10,薪酬明细!$A:$A,Y$6)/10000</f>
        <v>0.5</v>
      </c>
      <c r="Z78" s="121">
        <f>SUMIFS(薪酬明细!$N:$N,薪酬明细!$D:$D,$E78,薪酬明细!$E:$E,$F78,薪酬明细!$H:$H,"&gt;="&amp;Z$9,薪酬明细!$H:$H,"&lt;="&amp;Z$10,薪酬明细!$A:$A,Z$6)/10000</f>
        <v>0.5</v>
      </c>
      <c r="AA78" s="121">
        <f>SUMIFS(薪酬明细!$N:$N,薪酬明细!$D:$D,$E78,薪酬明细!$E:$E,$F78,薪酬明细!$H:$H,"&gt;="&amp;AA$9,薪酬明细!$H:$H,"&lt;="&amp;AA$10,薪酬明细!$A:$A,AA$6)/10000</f>
        <v>0.5</v>
      </c>
      <c r="AB78" s="121">
        <f>SUMIFS(薪酬明细!$N:$N,薪酬明细!$D:$D,$E78,薪酬明细!$E:$E,$F78,薪酬明细!$H:$H,"&gt;="&amp;AB$9,薪酬明细!$H:$H,"&lt;="&amp;AB$10,薪酬明细!$A:$A,AB$6)/10000</f>
        <v>0.5</v>
      </c>
      <c r="AC78" s="121">
        <f>SUMIFS(薪酬明细!$N:$N,薪酬明细!$D:$D,$E78,薪酬明细!$E:$E,$F78,薪酬明细!$H:$H,"&gt;="&amp;AC$9,薪酬明细!$H:$H,"&lt;="&amp;AC$10,薪酬明细!$A:$A,AC$6)/10000</f>
        <v>0.5</v>
      </c>
      <c r="AD78" s="121">
        <f>SUMIFS(薪酬明细!$N:$N,薪酬明细!$D:$D,$E78,薪酬明细!$E:$E,$F78,薪酬明细!$H:$H,"&gt;="&amp;AD$9,薪酬明细!$H:$H,"&lt;="&amp;AD$10,薪酬明细!$A:$A,AD$6)/10000</f>
        <v>0.5</v>
      </c>
      <c r="AE78" s="121">
        <f>SUMIFS(薪酬明细!$N:$N,薪酬明细!$D:$D,$E78,薪酬明细!$E:$E,$F78,薪酬明细!$H:$H,"&gt;="&amp;AE$9,薪酬明细!$H:$H,"&lt;="&amp;AE$10,薪酬明细!$A:$A,AE$6)/10000</f>
        <v>0</v>
      </c>
      <c r="AF78" s="121">
        <f>SUMIFS(薪酬明细!$N:$N,薪酬明细!$D:$D,$E78,薪酬明细!$E:$E,$F78,薪酬明细!$H:$H,"&gt;="&amp;AF$9,薪酬明细!$H:$H,"&lt;="&amp;AF$10,薪酬明细!$A:$A,AF$6)/10000</f>
        <v>0</v>
      </c>
      <c r="AG78" s="121">
        <f>SUMIFS(薪酬明细!$N:$N,薪酬明细!$D:$D,$E78,薪酬明细!$E:$E,$F78,薪酬明细!$H:$H,"&gt;="&amp;AG$9,薪酬明细!$H:$H,"&lt;="&amp;AG$10,薪酬明细!$A:$A,AG$6)/10000</f>
        <v>0</v>
      </c>
      <c r="AH78" s="121">
        <f>SUMIFS(薪酬明细!$N:$N,薪酬明细!$D:$D,$E78,薪酬明细!$E:$E,$F78,薪酬明细!$H:$H,"&gt;="&amp;AH$9,薪酬明细!$H:$H,"&lt;="&amp;AH$10,薪酬明细!$A:$A,AH$6)/10000</f>
        <v>1.4</v>
      </c>
      <c r="AI78" s="121">
        <f>SUMIFS(薪酬明细!$N:$N,薪酬明细!$D:$D,$E78,薪酬明细!$E:$E,$F78,薪酬明细!$H:$H,"&gt;="&amp;AI$9,薪酬明细!$H:$H,"&lt;="&amp;AI$10,薪酬明细!$A:$A,AI$6)/10000</f>
        <v>0</v>
      </c>
      <c r="AJ78" s="121">
        <f>SUMIFS(薪酬明细!$N:$N,薪酬明细!$D:$D,$E78,薪酬明细!$E:$E,$F78,薪酬明细!$H:$H,"&gt;="&amp;AJ$9,薪酬明细!$H:$H,"&lt;="&amp;AJ$10,薪酬明细!$A:$A,AJ$6)/10000</f>
        <v>0</v>
      </c>
      <c r="AK78" s="121">
        <f>SUMIFS(薪酬明细!$N:$N,薪酬明细!$D:$D,$E78,薪酬明细!$E:$E,$F78,薪酬明细!$H:$H,"&gt;="&amp;AK$9,薪酬明细!$H:$H,"&lt;="&amp;AK$10,薪酬明细!$A:$A,AK$6)/10000</f>
        <v>0</v>
      </c>
      <c r="AL78" s="121">
        <f>SUMIFS(薪酬明细!$N:$N,薪酬明细!$D:$D,$E78,薪酬明细!$E:$E,$F78,薪酬明细!$H:$H,"&gt;="&amp;AL$9,薪酬明细!$H:$H,"&lt;="&amp;AL$10,薪酬明细!$A:$A,AL$6)/10000</f>
        <v>0</v>
      </c>
      <c r="AM78" s="121">
        <f>SUMIFS(薪酬明细!$N:$N,薪酬明细!$D:$D,$E78,薪酬明细!$E:$E,$F78,薪酬明细!$H:$H,"&gt;="&amp;AM$9,薪酬明细!$H:$H,"&lt;="&amp;AM$10,薪酬明细!$A:$A,AM$6)/10000</f>
        <v>0</v>
      </c>
      <c r="AN78" s="121">
        <f>SUMIFS(薪酬明细!$N:$N,薪酬明细!$D:$D,$E78,薪酬明细!$E:$E,$F78,薪酬明细!$H:$H,"&gt;="&amp;AN$9,薪酬明细!$H:$H,"&lt;="&amp;AN$10,薪酬明细!$A:$A,AN$6)/10000</f>
        <v>0</v>
      </c>
      <c r="AO78" s="121">
        <f>SUMIFS(薪酬明细!$N:$N,薪酬明细!$D:$D,$E78,薪酬明细!$E:$E,$F78,薪酬明细!$H:$H,"&gt;="&amp;AO$9,薪酬明细!$H:$H,"&lt;="&amp;AO$10,薪酬明细!$A:$A,AO$6)/10000</f>
        <v>0</v>
      </c>
      <c r="AP78" s="121">
        <f>SUMIFS(薪酬明细!$N:$N,薪酬明细!$D:$D,$E78,薪酬明细!$E:$E,$F78,薪酬明细!$H:$H,"&gt;="&amp;AP$9,薪酬明细!$H:$H,"&lt;="&amp;AP$10,薪酬明细!$A:$A,AP$6)/10000</f>
        <v>0</v>
      </c>
      <c r="AQ78" s="121">
        <f>SUMIFS(薪酬明细!$N:$N,薪酬明细!$D:$D,$E78,薪酬明细!$E:$E,$F78,薪酬明细!$H:$H,"&gt;="&amp;AQ$9,薪酬明细!$H:$H,"&lt;="&amp;AQ$10,薪酬明细!$A:$A,AQ$6)/10000</f>
        <v>0</v>
      </c>
      <c r="AR78" s="121">
        <f>SUMIFS(薪酬明细!$N:$N,薪酬明细!$D:$D,$E78,薪酬明细!$E:$E,$F78,薪酬明细!$H:$H,"&gt;="&amp;AR$9,薪酬明细!$H:$H,"&lt;="&amp;AR$10,薪酬明细!$A:$A,AR$6)/10000</f>
        <v>0.5</v>
      </c>
      <c r="AS78" s="121">
        <f>SUMIFS(薪酬明细!$N:$N,薪酬明细!$D:$D,$E78,薪酬明细!$E:$E,$F78,薪酬明细!$H:$H,"&gt;="&amp;AS$9,薪酬明细!$H:$H,"&lt;="&amp;AS$10,薪酬明细!$A:$A,AS$6)/10000</f>
        <v>0.5</v>
      </c>
      <c r="AT78" s="121">
        <f>SUMIFS(薪酬明细!$N:$N,薪酬明细!$D:$D,$E78,薪酬明细!$E:$E,$F78,薪酬明细!$H:$H,"&gt;="&amp;AT$9,薪酬明细!$H:$H,"&lt;="&amp;AT$10,薪酬明细!$A:$A,AT$6)/10000</f>
        <v>0.5</v>
      </c>
      <c r="AU78" s="121">
        <f>SUMIFS(薪酬明细!$N:$N,薪酬明细!$D:$D,$E78,薪酬明细!$E:$E,$F78,薪酬明细!$H:$H,"&gt;="&amp;AU$9,薪酬明细!$H:$H,"&lt;="&amp;AU$10,薪酬明细!$A:$A,AU$6)/10000</f>
        <v>5.7</v>
      </c>
      <c r="AV78" s="121">
        <f>SUMIFS(薪酬明细!$N:$N,薪酬明细!$D:$D,$E78,薪酬明细!$E:$E,$F78,薪酬明细!$H:$H,"&gt;="&amp;AV$9,薪酬明细!$H:$H,"&lt;="&amp;AV$10,薪酬明细!$A:$A,AV$6)/10000</f>
        <v>0.5</v>
      </c>
      <c r="AW78" s="121">
        <f>SUMIFS(薪酬明细!$N:$N,薪酬明细!$D:$D,$E78,薪酬明细!$E:$E,$F78,薪酬明细!$H:$H,"&gt;="&amp;AW$9,薪酬明细!$H:$H,"&lt;="&amp;AW$10,薪酬明细!$A:$A,AW$6)/10000</f>
        <v>0.5</v>
      </c>
      <c r="AX78" s="121">
        <f>SUMIFS(薪酬明细!$N:$N,薪酬明细!$D:$D,$E78,薪酬明细!$E:$E,$F78,薪酬明细!$H:$H,"&gt;="&amp;AX$9,薪酬明细!$H:$H,"&lt;="&amp;AX$10,薪酬明细!$A:$A,AX$6)/10000</f>
        <v>0.5</v>
      </c>
      <c r="AY78" s="121">
        <f>SUMIFS(薪酬明细!$N:$N,薪酬明细!$D:$D,$E78,薪酬明细!$E:$E,$F78,薪酬明细!$H:$H,"&gt;="&amp;AY$9,薪酬明细!$H:$H,"&lt;="&amp;AY$10,薪酬明细!$A:$A,AY$6)/10000</f>
        <v>0.5</v>
      </c>
      <c r="AZ78" s="121">
        <f>SUMIFS(薪酬明细!$N:$N,薪酬明细!$D:$D,$E78,薪酬明细!$E:$E,$F78,薪酬明细!$H:$H,"&gt;="&amp;AZ$9,薪酬明细!$H:$H,"&lt;="&amp;AZ$10,薪酬明细!$A:$A,AZ$6)/10000</f>
        <v>0.5</v>
      </c>
      <c r="BA78" s="121">
        <f>SUMIFS(薪酬明细!$N:$N,薪酬明细!$D:$D,$E78,薪酬明细!$E:$E,$F78,薪酬明细!$H:$H,"&gt;="&amp;BA$9,薪酬明细!$H:$H,"&lt;="&amp;BA$10,薪酬明细!$A:$A,BA$6)/10000</f>
        <v>0.5</v>
      </c>
      <c r="BB78" s="121">
        <f>SUMIFS(薪酬明细!$N:$N,薪酬明细!$D:$D,$E78,薪酬明细!$E:$E,$F78,薪酬明细!$H:$H,"&gt;="&amp;BB$9,薪酬明细!$H:$H,"&lt;="&amp;BB$10,薪酬明细!$A:$A,BB$6)/10000</f>
        <v>0.5</v>
      </c>
      <c r="BC78" s="121">
        <f>SUMIFS(薪酬明细!$N:$N,薪酬明细!$D:$D,$E78,薪酬明细!$E:$E,$F78,薪酬明细!$H:$H,"&gt;="&amp;BC$9,薪酬明细!$H:$H,"&lt;="&amp;BC$10,薪酬明细!$A:$A,BC$6)/10000</f>
        <v>0.5</v>
      </c>
      <c r="BD78" s="121">
        <f>SUMIFS(薪酬明细!$N:$N,薪酬明细!$D:$D,$E78,薪酬明细!$E:$E,$F78,薪酬明细!$H:$H,"&gt;="&amp;BD$9,薪酬明细!$H:$H,"&lt;="&amp;BD$10,薪酬明细!$A:$A,BD$6)/10000</f>
        <v>0.5</v>
      </c>
      <c r="BE78" s="121">
        <f>SUMIFS(薪酬明细!$N:$N,薪酬明细!$D:$D,$E78,薪酬明细!$E:$E,$F78,薪酬明细!$H:$H,"&gt;="&amp;BE$9,薪酬明细!$H:$H,"&lt;="&amp;BE$10,薪酬明细!$A:$A,BE$6)/10000</f>
        <v>0.5</v>
      </c>
      <c r="BF78" s="121">
        <f>SUMIFS(薪酬明细!$N:$N,薪酬明细!$D:$D,$E78,薪酬明细!$E:$E,$F78,薪酬明细!$H:$H,"&gt;="&amp;BF$9,薪酬明细!$H:$H,"&lt;="&amp;BF$10,薪酬明细!$A:$A,BF$6)/10000</f>
        <v>0.5</v>
      </c>
      <c r="BG78" s="121">
        <f>SUMIFS(薪酬明细!$N:$N,薪酬明细!$D:$D,$E78,薪酬明细!$E:$E,$F78,薪酬明细!$H:$H,"&gt;="&amp;BG$9,薪酬明细!$H:$H,"&lt;="&amp;BG$10,薪酬明细!$A:$A,BG$6)/10000</f>
        <v>0.5</v>
      </c>
    </row>
    <row r="79" ht="16.2" spans="3:59">
      <c r="C79" s="42"/>
      <c r="D79" s="42" t="s">
        <v>85</v>
      </c>
      <c r="E79" s="116" t="str">
        <f t="shared" si="90"/>
        <v>创新中心</v>
      </c>
      <c r="F79" s="116" t="str">
        <f t="shared" si="91"/>
        <v>XX
孵化业务</v>
      </c>
      <c r="G79" s="121">
        <f>SUMIFS(薪酬明细!$N:$N,薪酬明细!$D:$D,$E79,薪酬明细!$E:$E,$F79,薪酬明细!$H:$H,"&gt;="&amp;G$9,薪酬明细!$H:$H,"&lt;="&amp;G$10,薪酬明细!$A:$A,G$6)/10000</f>
        <v>10</v>
      </c>
      <c r="H79" s="121">
        <f>SUMIFS(薪酬明细!$N:$N,薪酬明细!$D:$D,$E79,薪酬明细!$E:$E,$F79,薪酬明细!$H:$H,"&gt;="&amp;H$9,薪酬明细!$H:$H,"&lt;="&amp;H$10,薪酬明细!$A:$A,H$6)/10000</f>
        <v>0.8</v>
      </c>
      <c r="I79" s="121">
        <f>SUMIFS(薪酬明细!$N:$N,薪酬明细!$D:$D,$E79,薪酬明细!$E:$E,$F79,薪酬明细!$H:$H,"&gt;="&amp;I$9,薪酬明细!$H:$H,"&lt;="&amp;I$10,薪酬明细!$A:$A,I$6)/10000</f>
        <v>0.8</v>
      </c>
      <c r="J79" s="121">
        <f>SUMIFS(薪酬明细!$N:$N,薪酬明细!$D:$D,$E79,薪酬明细!$E:$E,$F79,薪酬明细!$H:$H,"&gt;="&amp;J$9,薪酬明细!$H:$H,"&lt;="&amp;J$10,薪酬明细!$A:$A,J$6)/10000</f>
        <v>0.8</v>
      </c>
      <c r="K79" s="121">
        <f>SUMIFS(薪酬明细!$N:$N,薪酬明细!$D:$D,$E79,薪酬明细!$E:$E,$F79,薪酬明细!$H:$H,"&gt;="&amp;K$9,薪酬明细!$H:$H,"&lt;="&amp;K$10,薪酬明细!$A:$A,K$6)/10000</f>
        <v>0.8</v>
      </c>
      <c r="L79" s="121">
        <f>SUMIFS(薪酬明细!$N:$N,薪酬明细!$D:$D,$E79,薪酬明细!$E:$E,$F79,薪酬明细!$H:$H,"&gt;="&amp;L$9,薪酬明细!$H:$H,"&lt;="&amp;L$10,薪酬明细!$A:$A,L$6)/10000</f>
        <v>0.8</v>
      </c>
      <c r="M79" s="121">
        <f>SUMIFS(薪酬明细!$N:$N,薪酬明细!$D:$D,$E79,薪酬明细!$E:$E,$F79,薪酬明细!$H:$H,"&gt;="&amp;M$9,薪酬明细!$H:$H,"&lt;="&amp;M$10,薪酬明细!$A:$A,M$6)/10000</f>
        <v>0.8</v>
      </c>
      <c r="N79" s="121">
        <f>SUMIFS(薪酬明细!$N:$N,薪酬明细!$D:$D,$E79,薪酬明细!$E:$E,$F79,薪酬明细!$H:$H,"&gt;="&amp;N$9,薪酬明细!$H:$H,"&lt;="&amp;N$10,薪酬明细!$A:$A,N$6)/10000</f>
        <v>0.8</v>
      </c>
      <c r="O79" s="121">
        <f>SUMIFS(薪酬明细!$N:$N,薪酬明细!$D:$D,$E79,薪酬明细!$E:$E,$F79,薪酬明细!$H:$H,"&gt;="&amp;O$9,薪酬明细!$H:$H,"&lt;="&amp;O$10,薪酬明细!$A:$A,O$6)/10000</f>
        <v>0.8</v>
      </c>
      <c r="P79" s="121">
        <f>SUMIFS(薪酬明细!$N:$N,薪酬明细!$D:$D,$E79,薪酬明细!$E:$E,$F79,薪酬明细!$H:$H,"&gt;="&amp;P$9,薪酬明细!$H:$H,"&lt;="&amp;P$10,薪酬明细!$A:$A,P$6)/10000</f>
        <v>0.8</v>
      </c>
      <c r="Q79" s="121">
        <f>SUMIFS(薪酬明细!$N:$N,薪酬明细!$D:$D,$E79,薪酬明细!$E:$E,$F79,薪酬明细!$H:$H,"&gt;="&amp;Q$9,薪酬明细!$H:$H,"&lt;="&amp;Q$10,薪酬明细!$A:$A,Q$6)/10000</f>
        <v>0.8</v>
      </c>
      <c r="R79" s="121">
        <f>SUMIFS(薪酬明细!$N:$N,薪酬明细!$D:$D,$E79,薪酬明细!$E:$E,$F79,薪酬明细!$H:$H,"&gt;="&amp;R$9,薪酬明细!$H:$H,"&lt;="&amp;R$10,薪酬明细!$A:$A,R$6)/10000</f>
        <v>0.8</v>
      </c>
      <c r="S79" s="121">
        <f>SUMIFS(薪酬明细!$N:$N,薪酬明细!$D:$D,$E79,薪酬明细!$E:$E,$F79,薪酬明细!$H:$H,"&gt;="&amp;S$9,薪酬明细!$H:$H,"&lt;="&amp;S$10,薪酬明细!$A:$A,S$6)/10000</f>
        <v>0.8</v>
      </c>
      <c r="T79" s="125">
        <f t="shared" si="92"/>
        <v>10.1</v>
      </c>
      <c r="U79" s="121">
        <f>SUMIFS(薪酬明细!$N:$N,薪酬明细!$D:$D,$E79,薪酬明细!$E:$E,$F79,薪酬明细!$H:$H,"&gt;="&amp;U$9,薪酬明细!$H:$H,"&lt;="&amp;U$10,薪酬明细!$A:$A,U$6)/10000</f>
        <v>7.6</v>
      </c>
      <c r="V79" s="121">
        <f>SUMIFS(薪酬明细!$N:$N,薪酬明细!$D:$D,$E79,薪酬明细!$E:$E,$F79,薪酬明细!$H:$H,"&gt;="&amp;V$9,薪酬明细!$H:$H,"&lt;="&amp;V$10,薪酬明细!$A:$A,V$6)/10000</f>
        <v>0.9</v>
      </c>
      <c r="W79" s="121">
        <f>SUMIFS(薪酬明细!$N:$N,薪酬明细!$D:$D,$E79,薪酬明细!$E:$E,$F79,薪酬明细!$H:$H,"&gt;="&amp;W$9,薪酬明细!$H:$H,"&lt;="&amp;W$10,薪酬明细!$A:$A,W$6)/10000</f>
        <v>0.8</v>
      </c>
      <c r="X79" s="121">
        <f>SUMIFS(薪酬明细!$N:$N,薪酬明细!$D:$D,$E79,薪酬明细!$E:$E,$F79,薪酬明细!$H:$H,"&gt;="&amp;X$9,薪酬明细!$H:$H,"&lt;="&amp;X$10,薪酬明细!$A:$A,X$6)/10000</f>
        <v>0.8</v>
      </c>
      <c r="Y79" s="121">
        <f>SUMIFS(薪酬明细!$N:$N,薪酬明细!$D:$D,$E79,薪酬明细!$E:$E,$F79,薪酬明细!$H:$H,"&gt;="&amp;Y$9,薪酬明细!$H:$H,"&lt;="&amp;Y$10,薪酬明细!$A:$A,Y$6)/10000</f>
        <v>0.8</v>
      </c>
      <c r="Z79" s="121">
        <f>SUMIFS(薪酬明细!$N:$N,薪酬明细!$D:$D,$E79,薪酬明细!$E:$E,$F79,薪酬明细!$H:$H,"&gt;="&amp;Z$9,薪酬明细!$H:$H,"&lt;="&amp;Z$10,薪酬明细!$A:$A,Z$6)/10000</f>
        <v>0.9</v>
      </c>
      <c r="AA79" s="121">
        <f>SUMIFS(薪酬明细!$N:$N,薪酬明细!$D:$D,$E79,薪酬明细!$E:$E,$F79,薪酬明细!$H:$H,"&gt;="&amp;AA$9,薪酬明细!$H:$H,"&lt;="&amp;AA$10,薪酬明细!$A:$A,AA$6)/10000</f>
        <v>0.8</v>
      </c>
      <c r="AB79" s="121">
        <f>SUMIFS(薪酬明细!$N:$N,薪酬明细!$D:$D,$E79,薪酬明细!$E:$E,$F79,薪酬明细!$H:$H,"&gt;="&amp;AB$9,薪酬明细!$H:$H,"&lt;="&amp;AB$10,薪酬明细!$A:$A,AB$6)/10000</f>
        <v>0.8</v>
      </c>
      <c r="AC79" s="121">
        <f>SUMIFS(薪酬明细!$N:$N,薪酬明细!$D:$D,$E79,薪酬明细!$E:$E,$F79,薪酬明细!$H:$H,"&gt;="&amp;AC$9,薪酬明细!$H:$H,"&lt;="&amp;AC$10,薪酬明细!$A:$A,AC$6)/10000</f>
        <v>0.9</v>
      </c>
      <c r="AD79" s="121">
        <f>SUMIFS(薪酬明细!$N:$N,薪酬明细!$D:$D,$E79,薪酬明细!$E:$E,$F79,薪酬明细!$H:$H,"&gt;="&amp;AD$9,薪酬明细!$H:$H,"&lt;="&amp;AD$10,薪酬明细!$A:$A,AD$6)/10000</f>
        <v>0.8</v>
      </c>
      <c r="AE79" s="121">
        <f>SUMIFS(薪酬明细!$N:$N,薪酬明细!$D:$D,$E79,薪酬明细!$E:$E,$F79,薪酬明细!$H:$H,"&gt;="&amp;AE$9,薪酬明细!$H:$H,"&lt;="&amp;AE$10,薪酬明细!$A:$A,AE$6)/10000</f>
        <v>0</v>
      </c>
      <c r="AF79" s="121">
        <f>SUMIFS(薪酬明细!$N:$N,薪酬明细!$D:$D,$E79,薪酬明细!$E:$E,$F79,薪酬明细!$H:$H,"&gt;="&amp;AF$9,薪酬明细!$H:$H,"&lt;="&amp;AF$10,薪酬明细!$A:$A,AF$6)/10000</f>
        <v>0</v>
      </c>
      <c r="AG79" s="121">
        <f>SUMIFS(薪酬明细!$N:$N,薪酬明细!$D:$D,$E79,薪酬明细!$E:$E,$F79,薪酬明细!$H:$H,"&gt;="&amp;AG$9,薪酬明细!$H:$H,"&lt;="&amp;AG$10,薪酬明细!$A:$A,AG$6)/10000</f>
        <v>0</v>
      </c>
      <c r="AH79" s="121">
        <f>SUMIFS(薪酬明细!$N:$N,薪酬明细!$D:$D,$E79,薪酬明细!$E:$E,$F79,薪酬明细!$H:$H,"&gt;="&amp;AH$9,薪酬明细!$H:$H,"&lt;="&amp;AH$10,薪酬明细!$A:$A,AH$6)/10000</f>
        <v>2.5</v>
      </c>
      <c r="AI79" s="121">
        <f>SUMIFS(薪酬明细!$N:$N,薪酬明细!$D:$D,$E79,薪酬明细!$E:$E,$F79,薪酬明细!$H:$H,"&gt;="&amp;AI$9,薪酬明细!$H:$H,"&lt;="&amp;AI$10,薪酬明细!$A:$A,AI$6)/10000</f>
        <v>0</v>
      </c>
      <c r="AJ79" s="121">
        <f>SUMIFS(薪酬明细!$N:$N,薪酬明细!$D:$D,$E79,薪酬明细!$E:$E,$F79,薪酬明细!$H:$H,"&gt;="&amp;AJ$9,薪酬明细!$H:$H,"&lt;="&amp;AJ$10,薪酬明细!$A:$A,AJ$6)/10000</f>
        <v>0</v>
      </c>
      <c r="AK79" s="121">
        <f>SUMIFS(薪酬明细!$N:$N,薪酬明细!$D:$D,$E79,薪酬明细!$E:$E,$F79,薪酬明细!$H:$H,"&gt;="&amp;AK$9,薪酬明细!$H:$H,"&lt;="&amp;AK$10,薪酬明细!$A:$A,AK$6)/10000</f>
        <v>0</v>
      </c>
      <c r="AL79" s="121">
        <f>SUMIFS(薪酬明细!$N:$N,薪酬明细!$D:$D,$E79,薪酬明细!$E:$E,$F79,薪酬明细!$H:$H,"&gt;="&amp;AL$9,薪酬明细!$H:$H,"&lt;="&amp;AL$10,薪酬明细!$A:$A,AL$6)/10000</f>
        <v>0</v>
      </c>
      <c r="AM79" s="121">
        <f>SUMIFS(薪酬明细!$N:$N,薪酬明细!$D:$D,$E79,薪酬明细!$E:$E,$F79,薪酬明细!$H:$H,"&gt;="&amp;AM$9,薪酬明细!$H:$H,"&lt;="&amp;AM$10,薪酬明细!$A:$A,AM$6)/10000</f>
        <v>0</v>
      </c>
      <c r="AN79" s="121">
        <f>SUMIFS(薪酬明细!$N:$N,薪酬明细!$D:$D,$E79,薪酬明细!$E:$E,$F79,薪酬明细!$H:$H,"&gt;="&amp;AN$9,薪酬明细!$H:$H,"&lt;="&amp;AN$10,薪酬明细!$A:$A,AN$6)/10000</f>
        <v>0</v>
      </c>
      <c r="AO79" s="121">
        <f>SUMIFS(薪酬明细!$N:$N,薪酬明细!$D:$D,$E79,薪酬明细!$E:$E,$F79,薪酬明细!$H:$H,"&gt;="&amp;AO$9,薪酬明细!$H:$H,"&lt;="&amp;AO$10,薪酬明细!$A:$A,AO$6)/10000</f>
        <v>0</v>
      </c>
      <c r="AP79" s="121">
        <f>SUMIFS(薪酬明细!$N:$N,薪酬明细!$D:$D,$E79,薪酬明细!$E:$E,$F79,薪酬明细!$H:$H,"&gt;="&amp;AP$9,薪酬明细!$H:$H,"&lt;="&amp;AP$10,薪酬明细!$A:$A,AP$6)/10000</f>
        <v>0</v>
      </c>
      <c r="AQ79" s="121">
        <f>SUMIFS(薪酬明细!$N:$N,薪酬明细!$D:$D,$E79,薪酬明细!$E:$E,$F79,薪酬明细!$H:$H,"&gt;="&amp;AQ$9,薪酬明细!$H:$H,"&lt;="&amp;AQ$10,薪酬明细!$A:$A,AQ$6)/10000</f>
        <v>0</v>
      </c>
      <c r="AR79" s="121">
        <f>SUMIFS(薪酬明细!$N:$N,薪酬明细!$D:$D,$E79,薪酬明细!$E:$E,$F79,薪酬明细!$H:$H,"&gt;="&amp;AR$9,薪酬明细!$H:$H,"&lt;="&amp;AR$10,薪酬明细!$A:$A,AR$6)/10000</f>
        <v>0.9</v>
      </c>
      <c r="AS79" s="121">
        <f>SUMIFS(薪酬明细!$N:$N,薪酬明细!$D:$D,$E79,薪酬明细!$E:$E,$F79,薪酬明细!$H:$H,"&gt;="&amp;AS$9,薪酬明细!$H:$H,"&lt;="&amp;AS$10,薪酬明细!$A:$A,AS$6)/10000</f>
        <v>0.8</v>
      </c>
      <c r="AT79" s="121">
        <f>SUMIFS(薪酬明细!$N:$N,薪酬明细!$D:$D,$E79,薪酬明细!$E:$E,$F79,薪酬明细!$H:$H,"&gt;="&amp;AT$9,薪酬明细!$H:$H,"&lt;="&amp;AT$10,薪酬明细!$A:$A,AT$6)/10000</f>
        <v>0.8</v>
      </c>
      <c r="AU79" s="121">
        <f>SUMIFS(薪酬明细!$N:$N,薪酬明细!$D:$D,$E79,薪酬明细!$E:$E,$F79,薪酬明细!$H:$H,"&gt;="&amp;AU$9,薪酬明细!$H:$H,"&lt;="&amp;AU$10,薪酬明细!$A:$A,AU$6)/10000</f>
        <v>10.1</v>
      </c>
      <c r="AV79" s="121">
        <f>SUMIFS(薪酬明细!$N:$N,薪酬明细!$D:$D,$E79,薪酬明细!$E:$E,$F79,薪酬明细!$H:$H,"&gt;="&amp;AV$9,薪酬明细!$H:$H,"&lt;="&amp;AV$10,薪酬明细!$A:$A,AV$6)/10000</f>
        <v>0.8</v>
      </c>
      <c r="AW79" s="121">
        <f>SUMIFS(薪酬明细!$N:$N,薪酬明细!$D:$D,$E79,薪酬明细!$E:$E,$F79,薪酬明细!$H:$H,"&gt;="&amp;AW$9,薪酬明细!$H:$H,"&lt;="&amp;AW$10,薪酬明细!$A:$A,AW$6)/10000</f>
        <v>0.8</v>
      </c>
      <c r="AX79" s="121">
        <f>SUMIFS(薪酬明细!$N:$N,薪酬明细!$D:$D,$E79,薪酬明细!$E:$E,$F79,薪酬明细!$H:$H,"&gt;="&amp;AX$9,薪酬明细!$H:$H,"&lt;="&amp;AX$10,薪酬明细!$A:$A,AX$6)/10000</f>
        <v>0.8</v>
      </c>
      <c r="AY79" s="121">
        <f>SUMIFS(薪酬明细!$N:$N,薪酬明细!$D:$D,$E79,薪酬明细!$E:$E,$F79,薪酬明细!$H:$H,"&gt;="&amp;AY$9,薪酬明细!$H:$H,"&lt;="&amp;AY$10,薪酬明细!$A:$A,AY$6)/10000</f>
        <v>0.8</v>
      </c>
      <c r="AZ79" s="121">
        <f>SUMIFS(薪酬明细!$N:$N,薪酬明细!$D:$D,$E79,薪酬明细!$E:$E,$F79,薪酬明细!$H:$H,"&gt;="&amp;AZ$9,薪酬明细!$H:$H,"&lt;="&amp;AZ$10,薪酬明细!$A:$A,AZ$6)/10000</f>
        <v>0.9</v>
      </c>
      <c r="BA79" s="121">
        <f>SUMIFS(薪酬明细!$N:$N,薪酬明细!$D:$D,$E79,薪酬明细!$E:$E,$F79,薪酬明细!$H:$H,"&gt;="&amp;BA$9,薪酬明细!$H:$H,"&lt;="&amp;BA$10,薪酬明细!$A:$A,BA$6)/10000</f>
        <v>0.8</v>
      </c>
      <c r="BB79" s="121">
        <f>SUMIFS(薪酬明细!$N:$N,薪酬明细!$D:$D,$E79,薪酬明细!$E:$E,$F79,薪酬明细!$H:$H,"&gt;="&amp;BB$9,薪酬明细!$H:$H,"&lt;="&amp;BB$10,薪酬明细!$A:$A,BB$6)/10000</f>
        <v>0.8</v>
      </c>
      <c r="BC79" s="121">
        <f>SUMIFS(薪酬明细!$N:$N,薪酬明细!$D:$D,$E79,薪酬明细!$E:$E,$F79,薪酬明细!$H:$H,"&gt;="&amp;BC$9,薪酬明细!$H:$H,"&lt;="&amp;BC$10,薪酬明细!$A:$A,BC$6)/10000</f>
        <v>0.8</v>
      </c>
      <c r="BD79" s="121">
        <f>SUMIFS(薪酬明细!$N:$N,薪酬明细!$D:$D,$E79,薪酬明细!$E:$E,$F79,薪酬明细!$H:$H,"&gt;="&amp;BD$9,薪酬明细!$H:$H,"&lt;="&amp;BD$10,薪酬明细!$A:$A,BD$6)/10000</f>
        <v>0.8</v>
      </c>
      <c r="BE79" s="121">
        <f>SUMIFS(薪酬明细!$N:$N,薪酬明细!$D:$D,$E79,薪酬明细!$E:$E,$F79,薪酬明细!$H:$H,"&gt;="&amp;BE$9,薪酬明细!$H:$H,"&lt;="&amp;BE$10,薪酬明细!$A:$A,BE$6)/10000</f>
        <v>0.8</v>
      </c>
      <c r="BF79" s="121">
        <f>SUMIFS(薪酬明细!$N:$N,薪酬明细!$D:$D,$E79,薪酬明细!$E:$E,$F79,薪酬明细!$H:$H,"&gt;="&amp;BF$9,薪酬明细!$H:$H,"&lt;="&amp;BF$10,薪酬明细!$A:$A,BF$6)/10000</f>
        <v>0.8</v>
      </c>
      <c r="BG79" s="121">
        <f>SUMIFS(薪酬明细!$N:$N,薪酬明细!$D:$D,$E79,薪酬明细!$E:$E,$F79,薪酬明细!$H:$H,"&gt;="&amp;BG$9,薪酬明细!$H:$H,"&lt;="&amp;BG$10,薪酬明细!$A:$A,BG$6)/10000</f>
        <v>0.8</v>
      </c>
    </row>
    <row r="80" ht="16.2" spans="3:59">
      <c r="C80" s="42" t="s">
        <v>86</v>
      </c>
      <c r="D80" s="42"/>
      <c r="E80" s="116" t="str">
        <f t="shared" si="90"/>
        <v>支持中心</v>
      </c>
      <c r="F80" s="116" t="str">
        <f t="shared" si="91"/>
        <v>*</v>
      </c>
      <c r="G80" s="121">
        <f>SUMIFS(薪酬明细!$N:$N,薪酬明细!$D:$D,$E80,薪酬明细!$E:$E,$F80,薪酬明细!$H:$H,"&gt;="&amp;G$9,薪酬明细!$H:$H,"&lt;="&amp;G$10,薪酬明细!$A:$A,G$6)/10000</f>
        <v>26.1</v>
      </c>
      <c r="H80" s="121">
        <f>SUMIFS(薪酬明细!$N:$N,薪酬明细!$D:$D,$E80,薪酬明细!$E:$E,$F80,薪酬明细!$H:$H,"&gt;="&amp;H$9,薪酬明细!$H:$H,"&lt;="&amp;H$10,薪酬明细!$A:$A,H$6)/10000</f>
        <v>2.2</v>
      </c>
      <c r="I80" s="121">
        <f>SUMIFS(薪酬明细!$N:$N,薪酬明细!$D:$D,$E80,薪酬明细!$E:$E,$F80,薪酬明细!$H:$H,"&gt;="&amp;I$9,薪酬明细!$H:$H,"&lt;="&amp;I$10,薪酬明细!$A:$A,I$6)/10000</f>
        <v>2.2</v>
      </c>
      <c r="J80" s="121">
        <f>SUMIFS(薪酬明细!$N:$N,薪酬明细!$D:$D,$E80,薪酬明细!$E:$E,$F80,薪酬明细!$H:$H,"&gt;="&amp;J$9,薪酬明细!$H:$H,"&lt;="&amp;J$10,薪酬明细!$A:$A,J$6)/10000</f>
        <v>2.2</v>
      </c>
      <c r="K80" s="121">
        <f>SUMIFS(薪酬明细!$N:$N,薪酬明细!$D:$D,$E80,薪酬明细!$E:$E,$F80,薪酬明细!$H:$H,"&gt;="&amp;K$9,薪酬明细!$H:$H,"&lt;="&amp;K$10,薪酬明细!$A:$A,K$6)/10000</f>
        <v>2.2</v>
      </c>
      <c r="L80" s="121">
        <f>SUMIFS(薪酬明细!$N:$N,薪酬明细!$D:$D,$E80,薪酬明细!$E:$E,$F80,薪酬明细!$H:$H,"&gt;="&amp;L$9,薪酬明细!$H:$H,"&lt;="&amp;L$10,薪酬明细!$A:$A,L$6)/10000</f>
        <v>2.2</v>
      </c>
      <c r="M80" s="121">
        <f>SUMIFS(薪酬明细!$N:$N,薪酬明细!$D:$D,$E80,薪酬明细!$E:$E,$F80,薪酬明细!$H:$H,"&gt;="&amp;M$9,薪酬明细!$H:$H,"&lt;="&amp;M$10,薪酬明细!$A:$A,M$6)/10000</f>
        <v>2.2</v>
      </c>
      <c r="N80" s="121">
        <f>SUMIFS(薪酬明细!$N:$N,薪酬明细!$D:$D,$E80,薪酬明细!$E:$E,$F80,薪酬明细!$H:$H,"&gt;="&amp;N$9,薪酬明细!$H:$H,"&lt;="&amp;N$10,薪酬明细!$A:$A,N$6)/10000</f>
        <v>2.2</v>
      </c>
      <c r="O80" s="121">
        <f>SUMIFS(薪酬明细!$N:$N,薪酬明细!$D:$D,$E80,薪酬明细!$E:$E,$F80,薪酬明细!$H:$H,"&gt;="&amp;O$9,薪酬明细!$H:$H,"&lt;="&amp;O$10,薪酬明细!$A:$A,O$6)/10000</f>
        <v>2.2</v>
      </c>
      <c r="P80" s="121">
        <f>SUMIFS(薪酬明细!$N:$N,薪酬明细!$D:$D,$E80,薪酬明细!$E:$E,$F80,薪酬明细!$H:$H,"&gt;="&amp;P$9,薪酬明细!$H:$H,"&lt;="&amp;P$10,薪酬明细!$A:$A,P$6)/10000</f>
        <v>2.2</v>
      </c>
      <c r="Q80" s="121">
        <f>SUMIFS(薪酬明细!$N:$N,薪酬明细!$D:$D,$E80,薪酬明细!$E:$E,$F80,薪酬明细!$H:$H,"&gt;="&amp;Q$9,薪酬明细!$H:$H,"&lt;="&amp;Q$10,薪酬明细!$A:$A,Q$6)/10000</f>
        <v>2.2</v>
      </c>
      <c r="R80" s="121">
        <f>SUMIFS(薪酬明细!$N:$N,薪酬明细!$D:$D,$E80,薪酬明细!$E:$E,$F80,薪酬明细!$H:$H,"&gt;="&amp;R$9,薪酬明细!$H:$H,"&lt;="&amp;R$10,薪酬明细!$A:$A,R$6)/10000</f>
        <v>2.2</v>
      </c>
      <c r="S80" s="121">
        <f>SUMIFS(薪酬明细!$N:$N,薪酬明细!$D:$D,$E80,薪酬明细!$E:$E,$F80,薪酬明细!$H:$H,"&gt;="&amp;S$9,薪酬明细!$H:$H,"&lt;="&amp;S$10,薪酬明细!$A:$A,S$6)/10000</f>
        <v>2.2</v>
      </c>
      <c r="T80" s="125">
        <f t="shared" si="92"/>
        <v>26.1</v>
      </c>
      <c r="U80" s="121">
        <f>SUMIFS(薪酬明细!$N:$N,薪酬明细!$D:$D,$E80,薪酬明细!$E:$E,$F80,薪酬明细!$H:$H,"&gt;="&amp;U$9,薪酬明细!$H:$H,"&lt;="&amp;U$10,薪酬明细!$A:$A,U$6)/10000</f>
        <v>19.6</v>
      </c>
      <c r="V80" s="121">
        <f>SUMIFS(薪酬明细!$N:$N,薪酬明细!$D:$D,$E80,薪酬明细!$E:$E,$F80,薪酬明细!$H:$H,"&gt;="&amp;V$9,薪酬明细!$H:$H,"&lt;="&amp;V$10,薪酬明细!$A:$A,V$6)/10000</f>
        <v>2.2</v>
      </c>
      <c r="W80" s="121">
        <f>SUMIFS(薪酬明细!$N:$N,薪酬明细!$D:$D,$E80,薪酬明细!$E:$E,$F80,薪酬明细!$H:$H,"&gt;="&amp;W$9,薪酬明细!$H:$H,"&lt;="&amp;W$10,薪酬明细!$A:$A,W$6)/10000</f>
        <v>2.2</v>
      </c>
      <c r="X80" s="121">
        <f>SUMIFS(薪酬明细!$N:$N,薪酬明细!$D:$D,$E80,薪酬明细!$E:$E,$F80,薪酬明细!$H:$H,"&gt;="&amp;X$9,薪酬明细!$H:$H,"&lt;="&amp;X$10,薪酬明细!$A:$A,X$6)/10000</f>
        <v>2.2</v>
      </c>
      <c r="Y80" s="121">
        <f>SUMIFS(薪酬明细!$N:$N,薪酬明细!$D:$D,$E80,薪酬明细!$E:$E,$F80,薪酬明细!$H:$H,"&gt;="&amp;Y$9,薪酬明细!$H:$H,"&lt;="&amp;Y$10,薪酬明细!$A:$A,Y$6)/10000</f>
        <v>2.2</v>
      </c>
      <c r="Z80" s="121">
        <f>SUMIFS(薪酬明细!$N:$N,薪酬明细!$D:$D,$E80,薪酬明细!$E:$E,$F80,薪酬明细!$H:$H,"&gt;="&amp;Z$9,薪酬明细!$H:$H,"&lt;="&amp;Z$10,薪酬明细!$A:$A,Z$6)/10000</f>
        <v>2.2</v>
      </c>
      <c r="AA80" s="121">
        <f>SUMIFS(薪酬明细!$N:$N,薪酬明细!$D:$D,$E80,薪酬明细!$E:$E,$F80,薪酬明细!$H:$H,"&gt;="&amp;AA$9,薪酬明细!$H:$H,"&lt;="&amp;AA$10,薪酬明细!$A:$A,AA$6)/10000</f>
        <v>2.2</v>
      </c>
      <c r="AB80" s="121">
        <f>SUMIFS(薪酬明细!$N:$N,薪酬明细!$D:$D,$E80,薪酬明细!$E:$E,$F80,薪酬明细!$H:$H,"&gt;="&amp;AB$9,薪酬明细!$H:$H,"&lt;="&amp;AB$10,薪酬明细!$A:$A,AB$6)/10000</f>
        <v>2.2</v>
      </c>
      <c r="AC80" s="121">
        <f>SUMIFS(薪酬明细!$N:$N,薪酬明细!$D:$D,$E80,薪酬明细!$E:$E,$F80,薪酬明细!$H:$H,"&gt;="&amp;AC$9,薪酬明细!$H:$H,"&lt;="&amp;AC$10,薪酬明细!$A:$A,AC$6)/10000</f>
        <v>2.2</v>
      </c>
      <c r="AD80" s="121">
        <f>SUMIFS(薪酬明细!$N:$N,薪酬明细!$D:$D,$E80,薪酬明细!$E:$E,$F80,薪酬明细!$H:$H,"&gt;="&amp;AD$9,薪酬明细!$H:$H,"&lt;="&amp;AD$10,薪酬明细!$A:$A,AD$6)/10000</f>
        <v>2.1</v>
      </c>
      <c r="AE80" s="121">
        <f>SUMIFS(薪酬明细!$N:$N,薪酬明细!$D:$D,$E80,薪酬明细!$E:$E,$F80,薪酬明细!$H:$H,"&gt;="&amp;AE$9,薪酬明细!$H:$H,"&lt;="&amp;AE$10,薪酬明细!$A:$A,AE$6)/10000</f>
        <v>0</v>
      </c>
      <c r="AF80" s="121">
        <f>SUMIFS(薪酬明细!$N:$N,薪酬明细!$D:$D,$E80,薪酬明细!$E:$E,$F80,薪酬明细!$H:$H,"&gt;="&amp;AF$9,薪酬明细!$H:$H,"&lt;="&amp;AF$10,薪酬明细!$A:$A,AF$6)/10000</f>
        <v>0</v>
      </c>
      <c r="AG80" s="121">
        <f>SUMIFS(薪酬明细!$N:$N,薪酬明细!$D:$D,$E80,薪酬明细!$E:$E,$F80,薪酬明细!$H:$H,"&gt;="&amp;AG$9,薪酬明细!$H:$H,"&lt;="&amp;AG$10,薪酬明细!$A:$A,AG$6)/10000</f>
        <v>0</v>
      </c>
      <c r="AH80" s="121">
        <f>SUMIFS(薪酬明细!$N:$N,薪酬明细!$D:$D,$E80,薪酬明细!$E:$E,$F80,薪酬明细!$H:$H,"&gt;="&amp;AH$9,薪酬明细!$H:$H,"&lt;="&amp;AH$10,薪酬明细!$A:$A,AH$6)/10000</f>
        <v>6.5</v>
      </c>
      <c r="AI80" s="121">
        <f>SUMIFS(薪酬明细!$N:$N,薪酬明细!$D:$D,$E80,薪酬明细!$E:$E,$F80,薪酬明细!$H:$H,"&gt;="&amp;AI$9,薪酬明细!$H:$H,"&lt;="&amp;AI$10,薪酬明细!$A:$A,AI$6)/10000</f>
        <v>0</v>
      </c>
      <c r="AJ80" s="121">
        <f>SUMIFS(薪酬明细!$N:$N,薪酬明细!$D:$D,$E80,薪酬明细!$E:$E,$F80,薪酬明细!$H:$H,"&gt;="&amp;AJ$9,薪酬明细!$H:$H,"&lt;="&amp;AJ$10,薪酬明细!$A:$A,AJ$6)/10000</f>
        <v>0</v>
      </c>
      <c r="AK80" s="121">
        <f>SUMIFS(薪酬明细!$N:$N,薪酬明细!$D:$D,$E80,薪酬明细!$E:$E,$F80,薪酬明细!$H:$H,"&gt;="&amp;AK$9,薪酬明细!$H:$H,"&lt;="&amp;AK$10,薪酬明细!$A:$A,AK$6)/10000</f>
        <v>0</v>
      </c>
      <c r="AL80" s="121">
        <f>SUMIFS(薪酬明细!$N:$N,薪酬明细!$D:$D,$E80,薪酬明细!$E:$E,$F80,薪酬明细!$H:$H,"&gt;="&amp;AL$9,薪酬明细!$H:$H,"&lt;="&amp;AL$10,薪酬明细!$A:$A,AL$6)/10000</f>
        <v>0</v>
      </c>
      <c r="AM80" s="121">
        <f>SUMIFS(薪酬明细!$N:$N,薪酬明细!$D:$D,$E80,薪酬明细!$E:$E,$F80,薪酬明细!$H:$H,"&gt;="&amp;AM$9,薪酬明细!$H:$H,"&lt;="&amp;AM$10,薪酬明细!$A:$A,AM$6)/10000</f>
        <v>0</v>
      </c>
      <c r="AN80" s="121">
        <f>SUMIFS(薪酬明细!$N:$N,薪酬明细!$D:$D,$E80,薪酬明细!$E:$E,$F80,薪酬明细!$H:$H,"&gt;="&amp;AN$9,薪酬明细!$H:$H,"&lt;="&amp;AN$10,薪酬明细!$A:$A,AN$6)/10000</f>
        <v>0</v>
      </c>
      <c r="AO80" s="121">
        <f>SUMIFS(薪酬明细!$N:$N,薪酬明细!$D:$D,$E80,薪酬明细!$E:$E,$F80,薪酬明细!$H:$H,"&gt;="&amp;AO$9,薪酬明细!$H:$H,"&lt;="&amp;AO$10,薪酬明细!$A:$A,AO$6)/10000</f>
        <v>0</v>
      </c>
      <c r="AP80" s="121">
        <f>SUMIFS(薪酬明细!$N:$N,薪酬明细!$D:$D,$E80,薪酬明细!$E:$E,$F80,薪酬明细!$H:$H,"&gt;="&amp;AP$9,薪酬明细!$H:$H,"&lt;="&amp;AP$10,薪酬明细!$A:$A,AP$6)/10000</f>
        <v>0</v>
      </c>
      <c r="AQ80" s="121">
        <f>SUMIFS(薪酬明细!$N:$N,薪酬明细!$D:$D,$E80,薪酬明细!$E:$E,$F80,薪酬明细!$H:$H,"&gt;="&amp;AQ$9,薪酬明细!$H:$H,"&lt;="&amp;AQ$10,薪酬明细!$A:$A,AQ$6)/10000</f>
        <v>0</v>
      </c>
      <c r="AR80" s="121">
        <f>SUMIFS(薪酬明细!$N:$N,薪酬明细!$D:$D,$E80,薪酬明细!$E:$E,$F80,薪酬明细!$H:$H,"&gt;="&amp;AR$9,薪酬明细!$H:$H,"&lt;="&amp;AR$10,薪酬明细!$A:$A,AR$6)/10000</f>
        <v>2.2</v>
      </c>
      <c r="AS80" s="121">
        <f>SUMIFS(薪酬明细!$N:$N,薪酬明细!$D:$D,$E80,薪酬明细!$E:$E,$F80,薪酬明细!$H:$H,"&gt;="&amp;AS$9,薪酬明细!$H:$H,"&lt;="&amp;AS$10,薪酬明细!$A:$A,AS$6)/10000</f>
        <v>2.2</v>
      </c>
      <c r="AT80" s="121">
        <f>SUMIFS(薪酬明细!$N:$N,薪酬明细!$D:$D,$E80,薪酬明细!$E:$E,$F80,薪酬明细!$H:$H,"&gt;="&amp;AT$9,薪酬明细!$H:$H,"&lt;="&amp;AT$10,薪酬明细!$A:$A,AT$6)/10000</f>
        <v>2.2</v>
      </c>
      <c r="AU80" s="121">
        <f>SUMIFS(薪酬明细!$N:$N,薪酬明细!$D:$D,$E80,薪酬明细!$E:$E,$F80,薪酬明细!$H:$H,"&gt;="&amp;AU$9,薪酬明细!$H:$H,"&lt;="&amp;AU$10,薪酬明细!$A:$A,AU$6)/10000</f>
        <v>26.1</v>
      </c>
      <c r="AV80" s="121">
        <f>SUMIFS(薪酬明细!$N:$N,薪酬明细!$D:$D,$E80,薪酬明细!$E:$E,$F80,薪酬明细!$H:$H,"&gt;="&amp;AV$9,薪酬明细!$H:$H,"&lt;="&amp;AV$10,薪酬明细!$A:$A,AV$6)/10000</f>
        <v>2.2</v>
      </c>
      <c r="AW80" s="121">
        <f>SUMIFS(薪酬明细!$N:$N,薪酬明细!$D:$D,$E80,薪酬明细!$E:$E,$F80,薪酬明细!$H:$H,"&gt;="&amp;AW$9,薪酬明细!$H:$H,"&lt;="&amp;AW$10,薪酬明细!$A:$A,AW$6)/10000</f>
        <v>2.2</v>
      </c>
      <c r="AX80" s="121">
        <f>SUMIFS(薪酬明细!$N:$N,薪酬明细!$D:$D,$E80,薪酬明细!$E:$E,$F80,薪酬明细!$H:$H,"&gt;="&amp;AX$9,薪酬明细!$H:$H,"&lt;="&amp;AX$10,薪酬明细!$A:$A,AX$6)/10000</f>
        <v>2.2</v>
      </c>
      <c r="AY80" s="121">
        <f>SUMIFS(薪酬明细!$N:$N,薪酬明细!$D:$D,$E80,薪酬明细!$E:$E,$F80,薪酬明细!$H:$H,"&gt;="&amp;AY$9,薪酬明细!$H:$H,"&lt;="&amp;AY$10,薪酬明细!$A:$A,AY$6)/10000</f>
        <v>2.2</v>
      </c>
      <c r="AZ80" s="121">
        <f>SUMIFS(薪酬明细!$N:$N,薪酬明细!$D:$D,$E80,薪酬明细!$E:$E,$F80,薪酬明细!$H:$H,"&gt;="&amp;AZ$9,薪酬明细!$H:$H,"&lt;="&amp;AZ$10,薪酬明细!$A:$A,AZ$6)/10000</f>
        <v>2.2</v>
      </c>
      <c r="BA80" s="121">
        <f>SUMIFS(薪酬明细!$N:$N,薪酬明细!$D:$D,$E80,薪酬明细!$E:$E,$F80,薪酬明细!$H:$H,"&gt;="&amp;BA$9,薪酬明细!$H:$H,"&lt;="&amp;BA$10,薪酬明细!$A:$A,BA$6)/10000</f>
        <v>2.2</v>
      </c>
      <c r="BB80" s="121">
        <f>SUMIFS(薪酬明细!$N:$N,薪酬明细!$D:$D,$E80,薪酬明细!$E:$E,$F80,薪酬明细!$H:$H,"&gt;="&amp;BB$9,薪酬明细!$H:$H,"&lt;="&amp;BB$10,薪酬明细!$A:$A,BB$6)/10000</f>
        <v>2.2</v>
      </c>
      <c r="BC80" s="121">
        <f>SUMIFS(薪酬明细!$N:$N,薪酬明细!$D:$D,$E80,薪酬明细!$E:$E,$F80,薪酬明细!$H:$H,"&gt;="&amp;BC$9,薪酬明细!$H:$H,"&lt;="&amp;BC$10,薪酬明细!$A:$A,BC$6)/10000</f>
        <v>2.2</v>
      </c>
      <c r="BD80" s="121">
        <f>SUMIFS(薪酬明细!$N:$N,薪酬明细!$D:$D,$E80,薪酬明细!$E:$E,$F80,薪酬明细!$H:$H,"&gt;="&amp;BD$9,薪酬明细!$H:$H,"&lt;="&amp;BD$10,薪酬明细!$A:$A,BD$6)/10000</f>
        <v>2.2</v>
      </c>
      <c r="BE80" s="121">
        <f>SUMIFS(薪酬明细!$N:$N,薪酬明细!$D:$D,$E80,薪酬明细!$E:$E,$F80,薪酬明细!$H:$H,"&gt;="&amp;BE$9,薪酬明细!$H:$H,"&lt;="&amp;BE$10,薪酬明细!$A:$A,BE$6)/10000</f>
        <v>2.2</v>
      </c>
      <c r="BF80" s="121">
        <f>SUMIFS(薪酬明细!$N:$N,薪酬明细!$D:$D,$E80,薪酬明细!$E:$E,$F80,薪酬明细!$H:$H,"&gt;="&amp;BF$9,薪酬明细!$H:$H,"&lt;="&amp;BF$10,薪酬明细!$A:$A,BF$6)/10000</f>
        <v>2.2</v>
      </c>
      <c r="BG80" s="121">
        <f>SUMIFS(薪酬明细!$N:$N,薪酬明细!$D:$D,$E80,薪酬明细!$E:$E,$F80,薪酬明细!$H:$H,"&gt;="&amp;BG$9,薪酬明细!$H:$H,"&lt;="&amp;BG$10,薪酬明细!$A:$A,BG$6)/10000</f>
        <v>2.2</v>
      </c>
    </row>
    <row r="81" ht="16.2" spans="3:59">
      <c r="C81" s="42"/>
      <c r="D81" s="42" t="s">
        <v>87</v>
      </c>
      <c r="E81" s="116" t="str">
        <f t="shared" si="90"/>
        <v>支持中心</v>
      </c>
      <c r="F81" s="116" t="str">
        <f t="shared" si="91"/>
        <v>财务部</v>
      </c>
      <c r="G81" s="121">
        <f>SUMIFS(薪酬明细!$N:$N,薪酬明细!$D:$D,$E81,薪酬明细!$E:$E,$F81,薪酬明细!$H:$H,"&gt;="&amp;G$9,薪酬明细!$H:$H,"&lt;="&amp;G$10,薪酬明细!$A:$A,G$6)/10000</f>
        <v>10.2</v>
      </c>
      <c r="H81" s="121">
        <f>SUMIFS(薪酬明细!$N:$N,薪酬明细!$D:$D,$E81,薪酬明细!$E:$E,$F81,薪酬明细!$H:$H,"&gt;="&amp;H$9,薪酬明细!$H:$H,"&lt;="&amp;H$10,薪酬明细!$A:$A,H$6)/10000</f>
        <v>0.9</v>
      </c>
      <c r="I81" s="121">
        <f>SUMIFS(薪酬明细!$N:$N,薪酬明细!$D:$D,$E81,薪酬明细!$E:$E,$F81,薪酬明细!$H:$H,"&gt;="&amp;I$9,薪酬明细!$H:$H,"&lt;="&amp;I$10,薪酬明细!$A:$A,I$6)/10000</f>
        <v>0.9</v>
      </c>
      <c r="J81" s="121">
        <f>SUMIFS(薪酬明细!$N:$N,薪酬明细!$D:$D,$E81,薪酬明细!$E:$E,$F81,薪酬明细!$H:$H,"&gt;="&amp;J$9,薪酬明细!$H:$H,"&lt;="&amp;J$10,薪酬明细!$A:$A,J$6)/10000</f>
        <v>0.8</v>
      </c>
      <c r="K81" s="121">
        <f>SUMIFS(薪酬明细!$N:$N,薪酬明细!$D:$D,$E81,薪酬明细!$E:$E,$F81,薪酬明细!$H:$H,"&gt;="&amp;K$9,薪酬明细!$H:$H,"&lt;="&amp;K$10,薪酬明细!$A:$A,K$6)/10000</f>
        <v>0.8</v>
      </c>
      <c r="L81" s="121">
        <f>SUMIFS(薪酬明细!$N:$N,薪酬明细!$D:$D,$E81,薪酬明细!$E:$E,$F81,薪酬明细!$H:$H,"&gt;="&amp;L$9,薪酬明细!$H:$H,"&lt;="&amp;L$10,薪酬明细!$A:$A,L$6)/10000</f>
        <v>0.9</v>
      </c>
      <c r="M81" s="121">
        <f>SUMIFS(薪酬明细!$N:$N,薪酬明细!$D:$D,$E81,薪酬明细!$E:$E,$F81,薪酬明细!$H:$H,"&gt;="&amp;M$9,薪酬明细!$H:$H,"&lt;="&amp;M$10,薪酬明细!$A:$A,M$6)/10000</f>
        <v>0.9</v>
      </c>
      <c r="N81" s="121">
        <f>SUMIFS(薪酬明细!$N:$N,薪酬明细!$D:$D,$E81,薪酬明细!$E:$E,$F81,薪酬明细!$H:$H,"&gt;="&amp;N$9,薪酬明细!$H:$H,"&lt;="&amp;N$10,薪酬明细!$A:$A,N$6)/10000</f>
        <v>0.9</v>
      </c>
      <c r="O81" s="121">
        <f>SUMIFS(薪酬明细!$N:$N,薪酬明细!$D:$D,$E81,薪酬明细!$E:$E,$F81,薪酬明细!$H:$H,"&gt;="&amp;O$9,薪酬明细!$H:$H,"&lt;="&amp;O$10,薪酬明细!$A:$A,O$6)/10000</f>
        <v>0.9</v>
      </c>
      <c r="P81" s="121">
        <f>SUMIFS(薪酬明细!$N:$N,薪酬明细!$D:$D,$E81,薪酬明细!$E:$E,$F81,薪酬明细!$H:$H,"&gt;="&amp;P$9,薪酬明细!$H:$H,"&lt;="&amp;P$10,薪酬明细!$A:$A,P$6)/10000</f>
        <v>0.8</v>
      </c>
      <c r="Q81" s="121">
        <f>SUMIFS(薪酬明细!$N:$N,薪酬明细!$D:$D,$E81,薪酬明细!$E:$E,$F81,薪酬明细!$H:$H,"&gt;="&amp;Q$9,薪酬明细!$H:$H,"&lt;="&amp;Q$10,薪酬明细!$A:$A,Q$6)/10000</f>
        <v>0.9</v>
      </c>
      <c r="R81" s="121">
        <f>SUMIFS(薪酬明细!$N:$N,薪酬明细!$D:$D,$E81,薪酬明细!$E:$E,$F81,薪酬明细!$H:$H,"&gt;="&amp;R$9,薪酬明细!$H:$H,"&lt;="&amp;R$10,薪酬明细!$A:$A,R$6)/10000</f>
        <v>0.8</v>
      </c>
      <c r="S81" s="121">
        <f>SUMIFS(薪酬明细!$N:$N,薪酬明细!$D:$D,$E81,薪酬明细!$E:$E,$F81,薪酬明细!$H:$H,"&gt;="&amp;S$9,薪酬明细!$H:$H,"&lt;="&amp;S$10,薪酬明细!$A:$A,S$6)/10000</f>
        <v>0.9</v>
      </c>
      <c r="T81" s="125">
        <f t="shared" si="92"/>
        <v>10.2</v>
      </c>
      <c r="U81" s="121">
        <f>SUMIFS(薪酬明细!$N:$N,薪酬明细!$D:$D,$E81,薪酬明细!$E:$E,$F81,薪酬明细!$H:$H,"&gt;="&amp;U$9,薪酬明细!$H:$H,"&lt;="&amp;U$10,薪酬明细!$A:$A,U$6)/10000</f>
        <v>7.6</v>
      </c>
      <c r="V81" s="121">
        <f>SUMIFS(薪酬明细!$N:$N,薪酬明细!$D:$D,$E81,薪酬明细!$E:$E,$F81,薪酬明细!$H:$H,"&gt;="&amp;V$9,薪酬明细!$H:$H,"&lt;="&amp;V$10,薪酬明细!$A:$A,V$6)/10000</f>
        <v>0.9</v>
      </c>
      <c r="W81" s="121">
        <f>SUMIFS(薪酬明细!$N:$N,薪酬明细!$D:$D,$E81,薪酬明细!$E:$E,$F81,薪酬明细!$H:$H,"&gt;="&amp;W$9,薪酬明细!$H:$H,"&lt;="&amp;W$10,薪酬明细!$A:$A,W$6)/10000</f>
        <v>0.9</v>
      </c>
      <c r="X81" s="121">
        <f>SUMIFS(薪酬明细!$N:$N,薪酬明细!$D:$D,$E81,薪酬明细!$E:$E,$F81,薪酬明细!$H:$H,"&gt;="&amp;X$9,薪酬明细!$H:$H,"&lt;="&amp;X$10,薪酬明细!$A:$A,X$6)/10000</f>
        <v>0.8</v>
      </c>
      <c r="Y81" s="121">
        <f>SUMIFS(薪酬明细!$N:$N,薪酬明细!$D:$D,$E81,薪酬明细!$E:$E,$F81,薪酬明细!$H:$H,"&gt;="&amp;Y$9,薪酬明细!$H:$H,"&lt;="&amp;Y$10,薪酬明细!$A:$A,Y$6)/10000</f>
        <v>0.9</v>
      </c>
      <c r="Z81" s="121">
        <f>SUMIFS(薪酬明细!$N:$N,薪酬明细!$D:$D,$E81,薪酬明细!$E:$E,$F81,薪酬明细!$H:$H,"&gt;="&amp;Z$9,薪酬明细!$H:$H,"&lt;="&amp;Z$10,薪酬明细!$A:$A,Z$6)/10000</f>
        <v>0.8</v>
      </c>
      <c r="AA81" s="121">
        <f>SUMIFS(薪酬明细!$N:$N,薪酬明细!$D:$D,$E81,薪酬明细!$E:$E,$F81,薪酬明细!$H:$H,"&gt;="&amp;AA$9,薪酬明细!$H:$H,"&lt;="&amp;AA$10,薪酬明细!$A:$A,AA$6)/10000</f>
        <v>0.8</v>
      </c>
      <c r="AB81" s="121">
        <f>SUMIFS(薪酬明细!$N:$N,薪酬明细!$D:$D,$E81,薪酬明细!$E:$E,$F81,薪酬明细!$H:$H,"&gt;="&amp;AB$9,薪酬明细!$H:$H,"&lt;="&amp;AB$10,薪酬明细!$A:$A,AB$6)/10000</f>
        <v>0.8</v>
      </c>
      <c r="AC81" s="121">
        <f>SUMIFS(薪酬明细!$N:$N,薪酬明细!$D:$D,$E81,薪酬明细!$E:$E,$F81,薪酬明细!$H:$H,"&gt;="&amp;AC$9,薪酬明细!$H:$H,"&lt;="&amp;AC$10,薪酬明细!$A:$A,AC$6)/10000</f>
        <v>0.8</v>
      </c>
      <c r="AD81" s="121">
        <f>SUMIFS(薪酬明细!$N:$N,薪酬明细!$D:$D,$E81,薪酬明细!$E:$E,$F81,薪酬明细!$H:$H,"&gt;="&amp;AD$9,薪酬明细!$H:$H,"&lt;="&amp;AD$10,薪酬明细!$A:$A,AD$6)/10000</f>
        <v>0.8</v>
      </c>
      <c r="AE81" s="121">
        <f>SUMIFS(薪酬明细!$N:$N,薪酬明细!$D:$D,$E81,薪酬明细!$E:$E,$F81,薪酬明细!$H:$H,"&gt;="&amp;AE$9,薪酬明细!$H:$H,"&lt;="&amp;AE$10,薪酬明细!$A:$A,AE$6)/10000</f>
        <v>0</v>
      </c>
      <c r="AF81" s="121">
        <f>SUMIFS(薪酬明细!$N:$N,薪酬明细!$D:$D,$E81,薪酬明细!$E:$E,$F81,薪酬明细!$H:$H,"&gt;="&amp;AF$9,薪酬明细!$H:$H,"&lt;="&amp;AF$10,薪酬明细!$A:$A,AF$6)/10000</f>
        <v>0</v>
      </c>
      <c r="AG81" s="121">
        <f>SUMIFS(薪酬明细!$N:$N,薪酬明细!$D:$D,$E81,薪酬明细!$E:$E,$F81,薪酬明细!$H:$H,"&gt;="&amp;AG$9,薪酬明细!$H:$H,"&lt;="&amp;AG$10,薪酬明细!$A:$A,AG$6)/10000</f>
        <v>0</v>
      </c>
      <c r="AH81" s="121">
        <f>SUMIFS(薪酬明细!$N:$N,薪酬明细!$D:$D,$E81,薪酬明细!$E:$E,$F81,薪酬明细!$H:$H,"&gt;="&amp;AH$9,薪酬明细!$H:$H,"&lt;="&amp;AH$10,薪酬明细!$A:$A,AH$6)/10000</f>
        <v>2.6</v>
      </c>
      <c r="AI81" s="121">
        <f>SUMIFS(薪酬明细!$N:$N,薪酬明细!$D:$D,$E81,薪酬明细!$E:$E,$F81,薪酬明细!$H:$H,"&gt;="&amp;AI$9,薪酬明细!$H:$H,"&lt;="&amp;AI$10,薪酬明细!$A:$A,AI$6)/10000</f>
        <v>0</v>
      </c>
      <c r="AJ81" s="121">
        <f>SUMIFS(薪酬明细!$N:$N,薪酬明细!$D:$D,$E81,薪酬明细!$E:$E,$F81,薪酬明细!$H:$H,"&gt;="&amp;AJ$9,薪酬明细!$H:$H,"&lt;="&amp;AJ$10,薪酬明细!$A:$A,AJ$6)/10000</f>
        <v>0</v>
      </c>
      <c r="AK81" s="121">
        <f>SUMIFS(薪酬明细!$N:$N,薪酬明细!$D:$D,$E81,薪酬明细!$E:$E,$F81,薪酬明细!$H:$H,"&gt;="&amp;AK$9,薪酬明细!$H:$H,"&lt;="&amp;AK$10,薪酬明细!$A:$A,AK$6)/10000</f>
        <v>0</v>
      </c>
      <c r="AL81" s="121">
        <f>SUMIFS(薪酬明细!$N:$N,薪酬明细!$D:$D,$E81,薪酬明细!$E:$E,$F81,薪酬明细!$H:$H,"&gt;="&amp;AL$9,薪酬明细!$H:$H,"&lt;="&amp;AL$10,薪酬明细!$A:$A,AL$6)/10000</f>
        <v>0</v>
      </c>
      <c r="AM81" s="121">
        <f>SUMIFS(薪酬明细!$N:$N,薪酬明细!$D:$D,$E81,薪酬明细!$E:$E,$F81,薪酬明细!$H:$H,"&gt;="&amp;AM$9,薪酬明细!$H:$H,"&lt;="&amp;AM$10,薪酬明细!$A:$A,AM$6)/10000</f>
        <v>0</v>
      </c>
      <c r="AN81" s="121">
        <f>SUMIFS(薪酬明细!$N:$N,薪酬明细!$D:$D,$E81,薪酬明细!$E:$E,$F81,薪酬明细!$H:$H,"&gt;="&amp;AN$9,薪酬明细!$H:$H,"&lt;="&amp;AN$10,薪酬明细!$A:$A,AN$6)/10000</f>
        <v>0</v>
      </c>
      <c r="AO81" s="121">
        <f>SUMIFS(薪酬明细!$N:$N,薪酬明细!$D:$D,$E81,薪酬明细!$E:$E,$F81,薪酬明细!$H:$H,"&gt;="&amp;AO$9,薪酬明细!$H:$H,"&lt;="&amp;AO$10,薪酬明细!$A:$A,AO$6)/10000</f>
        <v>0</v>
      </c>
      <c r="AP81" s="121">
        <f>SUMIFS(薪酬明细!$N:$N,薪酬明细!$D:$D,$E81,薪酬明细!$E:$E,$F81,薪酬明细!$H:$H,"&gt;="&amp;AP$9,薪酬明细!$H:$H,"&lt;="&amp;AP$10,薪酬明细!$A:$A,AP$6)/10000</f>
        <v>0</v>
      </c>
      <c r="AQ81" s="121">
        <f>SUMIFS(薪酬明细!$N:$N,薪酬明细!$D:$D,$E81,薪酬明细!$E:$E,$F81,薪酬明细!$H:$H,"&gt;="&amp;AQ$9,薪酬明细!$H:$H,"&lt;="&amp;AQ$10,薪酬明细!$A:$A,AQ$6)/10000</f>
        <v>0</v>
      </c>
      <c r="AR81" s="121">
        <f>SUMIFS(薪酬明细!$N:$N,薪酬明细!$D:$D,$E81,薪酬明细!$E:$E,$F81,薪酬明细!$H:$H,"&gt;="&amp;AR$9,薪酬明细!$H:$H,"&lt;="&amp;AR$10,薪酬明细!$A:$A,AR$6)/10000</f>
        <v>0.9</v>
      </c>
      <c r="AS81" s="121">
        <f>SUMIFS(薪酬明细!$N:$N,薪酬明细!$D:$D,$E81,薪酬明细!$E:$E,$F81,薪酬明细!$H:$H,"&gt;="&amp;AS$9,薪酬明细!$H:$H,"&lt;="&amp;AS$10,薪酬明细!$A:$A,AS$6)/10000</f>
        <v>0.8</v>
      </c>
      <c r="AT81" s="121">
        <f>SUMIFS(薪酬明细!$N:$N,薪酬明细!$D:$D,$E81,薪酬明细!$E:$E,$F81,薪酬明细!$H:$H,"&gt;="&amp;AT$9,薪酬明细!$H:$H,"&lt;="&amp;AT$10,薪酬明细!$A:$A,AT$6)/10000</f>
        <v>0.8</v>
      </c>
      <c r="AU81" s="121">
        <f>SUMIFS(薪酬明细!$N:$N,薪酬明细!$D:$D,$E81,薪酬明细!$E:$E,$F81,薪酬明细!$H:$H,"&gt;="&amp;AU$9,薪酬明细!$H:$H,"&lt;="&amp;AU$10,薪酬明细!$A:$A,AU$6)/10000</f>
        <v>10.2</v>
      </c>
      <c r="AV81" s="121">
        <f>SUMIFS(薪酬明细!$N:$N,薪酬明细!$D:$D,$E81,薪酬明细!$E:$E,$F81,薪酬明细!$H:$H,"&gt;="&amp;AV$9,薪酬明细!$H:$H,"&lt;="&amp;AV$10,薪酬明细!$A:$A,AV$6)/10000</f>
        <v>0.8</v>
      </c>
      <c r="AW81" s="121">
        <f>SUMIFS(薪酬明细!$N:$N,薪酬明细!$D:$D,$E81,薪酬明细!$E:$E,$F81,薪酬明细!$H:$H,"&gt;="&amp;AW$9,薪酬明细!$H:$H,"&lt;="&amp;AW$10,薪酬明细!$A:$A,AW$6)/10000</f>
        <v>0.8</v>
      </c>
      <c r="AX81" s="121">
        <f>SUMIFS(薪酬明细!$N:$N,薪酬明细!$D:$D,$E81,薪酬明细!$E:$E,$F81,薪酬明细!$H:$H,"&gt;="&amp;AX$9,薪酬明细!$H:$H,"&lt;="&amp;AX$10,薪酬明细!$A:$A,AX$6)/10000</f>
        <v>0.9</v>
      </c>
      <c r="AY81" s="121">
        <f>SUMIFS(薪酬明细!$N:$N,薪酬明细!$D:$D,$E81,薪酬明细!$E:$E,$F81,薪酬明细!$H:$H,"&gt;="&amp;AY$9,薪酬明细!$H:$H,"&lt;="&amp;AY$10,薪酬明细!$A:$A,AY$6)/10000</f>
        <v>0.8</v>
      </c>
      <c r="AZ81" s="121">
        <f>SUMIFS(薪酬明细!$N:$N,薪酬明细!$D:$D,$E81,薪酬明细!$E:$E,$F81,薪酬明细!$H:$H,"&gt;="&amp;AZ$9,薪酬明细!$H:$H,"&lt;="&amp;AZ$10,薪酬明细!$A:$A,AZ$6)/10000</f>
        <v>0.8</v>
      </c>
      <c r="BA81" s="121">
        <f>SUMIFS(薪酬明细!$N:$N,薪酬明细!$D:$D,$E81,薪酬明细!$E:$E,$F81,薪酬明细!$H:$H,"&gt;="&amp;BA$9,薪酬明细!$H:$H,"&lt;="&amp;BA$10,薪酬明细!$A:$A,BA$6)/10000</f>
        <v>0.8</v>
      </c>
      <c r="BB81" s="121">
        <f>SUMIFS(薪酬明细!$N:$N,薪酬明细!$D:$D,$E81,薪酬明细!$E:$E,$F81,薪酬明细!$H:$H,"&gt;="&amp;BB$9,薪酬明细!$H:$H,"&lt;="&amp;BB$10,薪酬明细!$A:$A,BB$6)/10000</f>
        <v>0.9</v>
      </c>
      <c r="BC81" s="121">
        <f>SUMIFS(薪酬明细!$N:$N,薪酬明细!$D:$D,$E81,薪酬明细!$E:$E,$F81,薪酬明细!$H:$H,"&gt;="&amp;BC$9,薪酬明细!$H:$H,"&lt;="&amp;BC$10,薪酬明细!$A:$A,BC$6)/10000</f>
        <v>0.8</v>
      </c>
      <c r="BD81" s="121">
        <f>SUMIFS(薪酬明细!$N:$N,薪酬明细!$D:$D,$E81,薪酬明细!$E:$E,$F81,薪酬明细!$H:$H,"&gt;="&amp;BD$9,薪酬明细!$H:$H,"&lt;="&amp;BD$10,薪酬明细!$A:$A,BD$6)/10000</f>
        <v>0.9</v>
      </c>
      <c r="BE81" s="121">
        <f>SUMIFS(薪酬明细!$N:$N,薪酬明细!$D:$D,$E81,薪酬明细!$E:$E,$F81,薪酬明细!$H:$H,"&gt;="&amp;BE$9,薪酬明细!$H:$H,"&lt;="&amp;BE$10,薪酬明细!$A:$A,BE$6)/10000</f>
        <v>0.9</v>
      </c>
      <c r="BF81" s="121">
        <f>SUMIFS(薪酬明细!$N:$N,薪酬明细!$D:$D,$E81,薪酬明细!$E:$E,$F81,薪酬明细!$H:$H,"&gt;="&amp;BF$9,薪酬明细!$H:$H,"&lt;="&amp;BF$10,薪酬明细!$A:$A,BF$6)/10000</f>
        <v>0.8</v>
      </c>
      <c r="BG81" s="121">
        <f>SUMIFS(薪酬明细!$N:$N,薪酬明细!$D:$D,$E81,薪酬明细!$E:$E,$F81,薪酬明细!$H:$H,"&gt;="&amp;BG$9,薪酬明细!$H:$H,"&lt;="&amp;BG$10,薪酬明细!$A:$A,BG$6)/10000</f>
        <v>0.8</v>
      </c>
    </row>
    <row r="82" ht="16.2" spans="3:59">
      <c r="C82" s="42"/>
      <c r="D82" s="42" t="s">
        <v>88</v>
      </c>
      <c r="E82" s="116" t="str">
        <f t="shared" si="90"/>
        <v>支持中心</v>
      </c>
      <c r="F82" s="116" t="str">
        <f t="shared" si="91"/>
        <v>人力资源部</v>
      </c>
      <c r="G82" s="121">
        <f>SUMIFS(薪酬明细!$N:$N,薪酬明细!$D:$D,$E82,薪酬明细!$E:$E,$F82,薪酬明细!$H:$H,"&gt;="&amp;G$9,薪酬明细!$H:$H,"&lt;="&amp;G$10,薪酬明细!$A:$A,G$6)/10000</f>
        <v>9.1</v>
      </c>
      <c r="H82" s="121">
        <f>SUMIFS(薪酬明细!$N:$N,薪酬明细!$D:$D,$E82,薪酬明细!$E:$E,$F82,薪酬明细!$H:$H,"&gt;="&amp;H$9,薪酬明细!$H:$H,"&lt;="&amp;H$10,薪酬明细!$A:$A,H$6)/10000</f>
        <v>0.8</v>
      </c>
      <c r="I82" s="121">
        <f>SUMIFS(薪酬明细!$N:$N,薪酬明细!$D:$D,$E82,薪酬明细!$E:$E,$F82,薪酬明细!$H:$H,"&gt;="&amp;I$9,薪酬明细!$H:$H,"&lt;="&amp;I$10,薪酬明细!$A:$A,I$6)/10000</f>
        <v>0.8</v>
      </c>
      <c r="J82" s="121">
        <f>SUMIFS(薪酬明细!$N:$N,薪酬明细!$D:$D,$E82,薪酬明细!$E:$E,$F82,薪酬明细!$H:$H,"&gt;="&amp;J$9,薪酬明细!$H:$H,"&lt;="&amp;J$10,薪酬明细!$A:$A,J$6)/10000</f>
        <v>0.7</v>
      </c>
      <c r="K82" s="121">
        <f>SUMIFS(薪酬明细!$N:$N,薪酬明细!$D:$D,$E82,薪酬明细!$E:$E,$F82,薪酬明细!$H:$H,"&gt;="&amp;K$9,薪酬明细!$H:$H,"&lt;="&amp;K$10,薪酬明细!$A:$A,K$6)/10000</f>
        <v>0.8</v>
      </c>
      <c r="L82" s="121">
        <f>SUMIFS(薪酬明细!$N:$N,薪酬明细!$D:$D,$E82,薪酬明细!$E:$E,$F82,薪酬明细!$H:$H,"&gt;="&amp;L$9,薪酬明细!$H:$H,"&lt;="&amp;L$10,薪酬明细!$A:$A,L$6)/10000</f>
        <v>0.7</v>
      </c>
      <c r="M82" s="121">
        <f>SUMIFS(薪酬明细!$N:$N,薪酬明细!$D:$D,$E82,薪酬明细!$E:$E,$F82,薪酬明细!$H:$H,"&gt;="&amp;M$9,薪酬明细!$H:$H,"&lt;="&amp;M$10,薪酬明细!$A:$A,M$6)/10000</f>
        <v>0.8</v>
      </c>
      <c r="N82" s="121">
        <f>SUMIFS(薪酬明细!$N:$N,薪酬明细!$D:$D,$E82,薪酬明细!$E:$E,$F82,薪酬明细!$H:$H,"&gt;="&amp;N$9,薪酬明细!$H:$H,"&lt;="&amp;N$10,薪酬明细!$A:$A,N$6)/10000</f>
        <v>0.8</v>
      </c>
      <c r="O82" s="121">
        <f>SUMIFS(薪酬明细!$N:$N,薪酬明细!$D:$D,$E82,薪酬明细!$E:$E,$F82,薪酬明细!$H:$H,"&gt;="&amp;O$9,薪酬明细!$H:$H,"&lt;="&amp;O$10,薪酬明细!$A:$A,O$6)/10000</f>
        <v>0.7</v>
      </c>
      <c r="P82" s="121">
        <f>SUMIFS(薪酬明细!$N:$N,薪酬明细!$D:$D,$E82,薪酬明细!$E:$E,$F82,薪酬明细!$H:$H,"&gt;="&amp;P$9,薪酬明细!$H:$H,"&lt;="&amp;P$10,薪酬明细!$A:$A,P$6)/10000</f>
        <v>0.8</v>
      </c>
      <c r="Q82" s="121">
        <f>SUMIFS(薪酬明细!$N:$N,薪酬明细!$D:$D,$E82,薪酬明细!$E:$E,$F82,薪酬明细!$H:$H,"&gt;="&amp;Q$9,薪酬明细!$H:$H,"&lt;="&amp;Q$10,薪酬明细!$A:$A,Q$6)/10000</f>
        <v>0.8</v>
      </c>
      <c r="R82" s="121">
        <f>SUMIFS(薪酬明细!$N:$N,薪酬明细!$D:$D,$E82,薪酬明细!$E:$E,$F82,薪酬明细!$H:$H,"&gt;="&amp;R$9,薪酬明细!$H:$H,"&lt;="&amp;R$10,薪酬明细!$A:$A,R$6)/10000</f>
        <v>0.8</v>
      </c>
      <c r="S82" s="121">
        <f>SUMIFS(薪酬明细!$N:$N,薪酬明细!$D:$D,$E82,薪酬明细!$E:$E,$F82,薪酬明细!$H:$H,"&gt;="&amp;S$9,薪酬明细!$H:$H,"&lt;="&amp;S$10,薪酬明细!$A:$A,S$6)/10000</f>
        <v>0.8</v>
      </c>
      <c r="T82" s="125">
        <f t="shared" si="92"/>
        <v>9.1</v>
      </c>
      <c r="U82" s="121">
        <f>SUMIFS(薪酬明细!$N:$N,薪酬明细!$D:$D,$E82,薪酬明细!$E:$E,$F82,薪酬明细!$H:$H,"&gt;="&amp;U$9,薪酬明细!$H:$H,"&lt;="&amp;U$10,薪酬明细!$A:$A,U$6)/10000</f>
        <v>6.8</v>
      </c>
      <c r="V82" s="121">
        <f>SUMIFS(薪酬明细!$N:$N,薪酬明细!$D:$D,$E82,薪酬明细!$E:$E,$F82,薪酬明细!$H:$H,"&gt;="&amp;V$9,薪酬明细!$H:$H,"&lt;="&amp;V$10,薪酬明细!$A:$A,V$6)/10000</f>
        <v>0.7</v>
      </c>
      <c r="W82" s="121">
        <f>SUMIFS(薪酬明细!$N:$N,薪酬明细!$D:$D,$E82,薪酬明细!$E:$E,$F82,薪酬明细!$H:$H,"&gt;="&amp;W$9,薪酬明细!$H:$H,"&lt;="&amp;W$10,薪酬明细!$A:$A,W$6)/10000</f>
        <v>0.8</v>
      </c>
      <c r="X82" s="121">
        <f>SUMIFS(薪酬明细!$N:$N,薪酬明细!$D:$D,$E82,薪酬明细!$E:$E,$F82,薪酬明细!$H:$H,"&gt;="&amp;X$9,薪酬明细!$H:$H,"&lt;="&amp;X$10,薪酬明细!$A:$A,X$6)/10000</f>
        <v>0.8</v>
      </c>
      <c r="Y82" s="121">
        <f>SUMIFS(薪酬明细!$N:$N,薪酬明细!$D:$D,$E82,薪酬明细!$E:$E,$F82,薪酬明细!$H:$H,"&gt;="&amp;Y$9,薪酬明细!$H:$H,"&lt;="&amp;Y$10,薪酬明细!$A:$A,Y$6)/10000</f>
        <v>0.8</v>
      </c>
      <c r="Z82" s="121">
        <f>SUMIFS(薪酬明细!$N:$N,薪酬明细!$D:$D,$E82,薪酬明细!$E:$E,$F82,薪酬明细!$H:$H,"&gt;="&amp;Z$9,薪酬明细!$H:$H,"&lt;="&amp;Z$10,薪酬明细!$A:$A,Z$6)/10000</f>
        <v>0.8</v>
      </c>
      <c r="AA82" s="121">
        <f>SUMIFS(薪酬明细!$N:$N,薪酬明细!$D:$D,$E82,薪酬明细!$E:$E,$F82,薪酬明细!$H:$H,"&gt;="&amp;AA$9,薪酬明细!$H:$H,"&lt;="&amp;AA$10,薪酬明细!$A:$A,AA$6)/10000</f>
        <v>0.7</v>
      </c>
      <c r="AB82" s="121">
        <f>SUMIFS(薪酬明细!$N:$N,薪酬明细!$D:$D,$E82,薪酬明细!$E:$E,$F82,薪酬明细!$H:$H,"&gt;="&amp;AB$9,薪酬明细!$H:$H,"&lt;="&amp;AB$10,薪酬明细!$A:$A,AB$6)/10000</f>
        <v>0.8</v>
      </c>
      <c r="AC82" s="121">
        <f>SUMIFS(薪酬明细!$N:$N,薪酬明细!$D:$D,$E82,薪酬明细!$E:$E,$F82,薪酬明细!$H:$H,"&gt;="&amp;AC$9,薪酬明细!$H:$H,"&lt;="&amp;AC$10,薪酬明细!$A:$A,AC$6)/10000</f>
        <v>0.8</v>
      </c>
      <c r="AD82" s="121">
        <f>SUMIFS(薪酬明细!$N:$N,薪酬明细!$D:$D,$E82,薪酬明细!$E:$E,$F82,薪酬明细!$H:$H,"&gt;="&amp;AD$9,薪酬明细!$H:$H,"&lt;="&amp;AD$10,薪酬明细!$A:$A,AD$6)/10000</f>
        <v>0.7</v>
      </c>
      <c r="AE82" s="121">
        <f>SUMIFS(薪酬明细!$N:$N,薪酬明细!$D:$D,$E82,薪酬明细!$E:$E,$F82,薪酬明细!$H:$H,"&gt;="&amp;AE$9,薪酬明细!$H:$H,"&lt;="&amp;AE$10,薪酬明细!$A:$A,AE$6)/10000</f>
        <v>0</v>
      </c>
      <c r="AF82" s="121">
        <f>SUMIFS(薪酬明细!$N:$N,薪酬明细!$D:$D,$E82,薪酬明细!$E:$E,$F82,薪酬明细!$H:$H,"&gt;="&amp;AF$9,薪酬明细!$H:$H,"&lt;="&amp;AF$10,薪酬明细!$A:$A,AF$6)/10000</f>
        <v>0</v>
      </c>
      <c r="AG82" s="121">
        <f>SUMIFS(薪酬明细!$N:$N,薪酬明细!$D:$D,$E82,薪酬明细!$E:$E,$F82,薪酬明细!$H:$H,"&gt;="&amp;AG$9,薪酬明细!$H:$H,"&lt;="&amp;AG$10,薪酬明细!$A:$A,AG$6)/10000</f>
        <v>0</v>
      </c>
      <c r="AH82" s="121">
        <f>SUMIFS(薪酬明细!$N:$N,薪酬明细!$D:$D,$E82,薪酬明细!$E:$E,$F82,薪酬明细!$H:$H,"&gt;="&amp;AH$9,薪酬明细!$H:$H,"&lt;="&amp;AH$10,薪酬明细!$A:$A,AH$6)/10000</f>
        <v>2.3</v>
      </c>
      <c r="AI82" s="121">
        <f>SUMIFS(薪酬明细!$N:$N,薪酬明细!$D:$D,$E82,薪酬明细!$E:$E,$F82,薪酬明细!$H:$H,"&gt;="&amp;AI$9,薪酬明细!$H:$H,"&lt;="&amp;AI$10,薪酬明细!$A:$A,AI$6)/10000</f>
        <v>0</v>
      </c>
      <c r="AJ82" s="121">
        <f>SUMIFS(薪酬明细!$N:$N,薪酬明细!$D:$D,$E82,薪酬明细!$E:$E,$F82,薪酬明细!$H:$H,"&gt;="&amp;AJ$9,薪酬明细!$H:$H,"&lt;="&amp;AJ$10,薪酬明细!$A:$A,AJ$6)/10000</f>
        <v>0</v>
      </c>
      <c r="AK82" s="121">
        <f>SUMIFS(薪酬明细!$N:$N,薪酬明细!$D:$D,$E82,薪酬明细!$E:$E,$F82,薪酬明细!$H:$H,"&gt;="&amp;AK$9,薪酬明细!$H:$H,"&lt;="&amp;AK$10,薪酬明细!$A:$A,AK$6)/10000</f>
        <v>0</v>
      </c>
      <c r="AL82" s="121">
        <f>SUMIFS(薪酬明细!$N:$N,薪酬明细!$D:$D,$E82,薪酬明细!$E:$E,$F82,薪酬明细!$H:$H,"&gt;="&amp;AL$9,薪酬明细!$H:$H,"&lt;="&amp;AL$10,薪酬明细!$A:$A,AL$6)/10000</f>
        <v>0</v>
      </c>
      <c r="AM82" s="121">
        <f>SUMIFS(薪酬明细!$N:$N,薪酬明细!$D:$D,$E82,薪酬明细!$E:$E,$F82,薪酬明细!$H:$H,"&gt;="&amp;AM$9,薪酬明细!$H:$H,"&lt;="&amp;AM$10,薪酬明细!$A:$A,AM$6)/10000</f>
        <v>0</v>
      </c>
      <c r="AN82" s="121">
        <f>SUMIFS(薪酬明细!$N:$N,薪酬明细!$D:$D,$E82,薪酬明细!$E:$E,$F82,薪酬明细!$H:$H,"&gt;="&amp;AN$9,薪酬明细!$H:$H,"&lt;="&amp;AN$10,薪酬明细!$A:$A,AN$6)/10000</f>
        <v>0</v>
      </c>
      <c r="AO82" s="121">
        <f>SUMIFS(薪酬明细!$N:$N,薪酬明细!$D:$D,$E82,薪酬明细!$E:$E,$F82,薪酬明细!$H:$H,"&gt;="&amp;AO$9,薪酬明细!$H:$H,"&lt;="&amp;AO$10,薪酬明细!$A:$A,AO$6)/10000</f>
        <v>0</v>
      </c>
      <c r="AP82" s="121">
        <f>SUMIFS(薪酬明细!$N:$N,薪酬明细!$D:$D,$E82,薪酬明细!$E:$E,$F82,薪酬明细!$H:$H,"&gt;="&amp;AP$9,薪酬明细!$H:$H,"&lt;="&amp;AP$10,薪酬明细!$A:$A,AP$6)/10000</f>
        <v>0</v>
      </c>
      <c r="AQ82" s="121">
        <f>SUMIFS(薪酬明细!$N:$N,薪酬明细!$D:$D,$E82,薪酬明细!$E:$E,$F82,薪酬明细!$H:$H,"&gt;="&amp;AQ$9,薪酬明细!$H:$H,"&lt;="&amp;AQ$10,薪酬明细!$A:$A,AQ$6)/10000</f>
        <v>0</v>
      </c>
      <c r="AR82" s="121">
        <f>SUMIFS(薪酬明细!$N:$N,薪酬明细!$D:$D,$E82,薪酬明细!$E:$E,$F82,薪酬明细!$H:$H,"&gt;="&amp;AR$9,薪酬明细!$H:$H,"&lt;="&amp;AR$10,薪酬明细!$A:$A,AR$6)/10000</f>
        <v>0.7</v>
      </c>
      <c r="AS82" s="121">
        <f>SUMIFS(薪酬明细!$N:$N,薪酬明细!$D:$D,$E82,薪酬明细!$E:$E,$F82,薪酬明细!$H:$H,"&gt;="&amp;AS$9,薪酬明细!$H:$H,"&lt;="&amp;AS$10,薪酬明细!$A:$A,AS$6)/10000</f>
        <v>0.8</v>
      </c>
      <c r="AT82" s="121">
        <f>SUMIFS(薪酬明细!$N:$N,薪酬明细!$D:$D,$E82,薪酬明细!$E:$E,$F82,薪酬明细!$H:$H,"&gt;="&amp;AT$9,薪酬明细!$H:$H,"&lt;="&amp;AT$10,薪酬明细!$A:$A,AT$6)/10000</f>
        <v>0.8</v>
      </c>
      <c r="AU82" s="121">
        <f>SUMIFS(薪酬明细!$N:$N,薪酬明细!$D:$D,$E82,薪酬明细!$E:$E,$F82,薪酬明细!$H:$H,"&gt;="&amp;AU$9,薪酬明细!$H:$H,"&lt;="&amp;AU$10,薪酬明细!$A:$A,AU$6)/10000</f>
        <v>9.1</v>
      </c>
      <c r="AV82" s="121">
        <f>SUMIFS(薪酬明细!$N:$N,薪酬明细!$D:$D,$E82,薪酬明细!$E:$E,$F82,薪酬明细!$H:$H,"&gt;="&amp;AV$9,薪酬明细!$H:$H,"&lt;="&amp;AV$10,薪酬明细!$A:$A,AV$6)/10000</f>
        <v>0.8</v>
      </c>
      <c r="AW82" s="121">
        <f>SUMIFS(薪酬明细!$N:$N,薪酬明细!$D:$D,$E82,薪酬明细!$E:$E,$F82,薪酬明细!$H:$H,"&gt;="&amp;AW$9,薪酬明细!$H:$H,"&lt;="&amp;AW$10,薪酬明细!$A:$A,AW$6)/10000</f>
        <v>0.7</v>
      </c>
      <c r="AX82" s="121">
        <f>SUMIFS(薪酬明细!$N:$N,薪酬明细!$D:$D,$E82,薪酬明细!$E:$E,$F82,薪酬明细!$H:$H,"&gt;="&amp;AX$9,薪酬明细!$H:$H,"&lt;="&amp;AX$10,薪酬明细!$A:$A,AX$6)/10000</f>
        <v>0.8</v>
      </c>
      <c r="AY82" s="121">
        <f>SUMIFS(薪酬明细!$N:$N,薪酬明细!$D:$D,$E82,薪酬明细!$E:$E,$F82,薪酬明细!$H:$H,"&gt;="&amp;AY$9,薪酬明细!$H:$H,"&lt;="&amp;AY$10,薪酬明细!$A:$A,AY$6)/10000</f>
        <v>0.8</v>
      </c>
      <c r="AZ82" s="121">
        <f>SUMIFS(薪酬明细!$N:$N,薪酬明细!$D:$D,$E82,薪酬明细!$E:$E,$F82,薪酬明细!$H:$H,"&gt;="&amp;AZ$9,薪酬明细!$H:$H,"&lt;="&amp;AZ$10,薪酬明细!$A:$A,AZ$6)/10000</f>
        <v>0.8</v>
      </c>
      <c r="BA82" s="121">
        <f>SUMIFS(薪酬明细!$N:$N,薪酬明细!$D:$D,$E82,薪酬明细!$E:$E,$F82,薪酬明细!$H:$H,"&gt;="&amp;BA$9,薪酬明细!$H:$H,"&lt;="&amp;BA$10,薪酬明细!$A:$A,BA$6)/10000</f>
        <v>0.8</v>
      </c>
      <c r="BB82" s="121">
        <f>SUMIFS(薪酬明细!$N:$N,薪酬明细!$D:$D,$E82,薪酬明细!$E:$E,$F82,薪酬明细!$H:$H,"&gt;="&amp;BB$9,薪酬明细!$H:$H,"&lt;="&amp;BB$10,薪酬明细!$A:$A,BB$6)/10000</f>
        <v>0.8</v>
      </c>
      <c r="BC82" s="121">
        <f>SUMIFS(薪酬明细!$N:$N,薪酬明细!$D:$D,$E82,薪酬明细!$E:$E,$F82,薪酬明细!$H:$H,"&gt;="&amp;BC$9,薪酬明细!$H:$H,"&lt;="&amp;BC$10,薪酬明细!$A:$A,BC$6)/10000</f>
        <v>0.8</v>
      </c>
      <c r="BD82" s="121">
        <f>SUMIFS(薪酬明细!$N:$N,薪酬明细!$D:$D,$E82,薪酬明细!$E:$E,$F82,薪酬明细!$H:$H,"&gt;="&amp;BD$9,薪酬明细!$H:$H,"&lt;="&amp;BD$10,薪酬明细!$A:$A,BD$6)/10000</f>
        <v>0.8</v>
      </c>
      <c r="BE82" s="121">
        <f>SUMIFS(薪酬明细!$N:$N,薪酬明细!$D:$D,$E82,薪酬明细!$E:$E,$F82,薪酬明细!$H:$H,"&gt;="&amp;BE$9,薪酬明细!$H:$H,"&lt;="&amp;BE$10,薪酬明细!$A:$A,BE$6)/10000</f>
        <v>0.8</v>
      </c>
      <c r="BF82" s="121">
        <f>SUMIFS(薪酬明细!$N:$N,薪酬明细!$D:$D,$E82,薪酬明细!$E:$E,$F82,薪酬明细!$H:$H,"&gt;="&amp;BF$9,薪酬明细!$H:$H,"&lt;="&amp;BF$10,薪酬明细!$A:$A,BF$6)/10000</f>
        <v>0.8</v>
      </c>
      <c r="BG82" s="121">
        <f>SUMIFS(薪酬明细!$N:$N,薪酬明细!$D:$D,$E82,薪酬明细!$E:$E,$F82,薪酬明细!$H:$H,"&gt;="&amp;BG$9,薪酬明细!$H:$H,"&lt;="&amp;BG$10,薪酬明细!$A:$A,BG$6)/10000</f>
        <v>0.8</v>
      </c>
    </row>
    <row r="83" ht="16.2" spans="3:59">
      <c r="C83" s="42"/>
      <c r="D83" s="42" t="s">
        <v>89</v>
      </c>
      <c r="E83" s="116" t="str">
        <f t="shared" si="90"/>
        <v>支持中心</v>
      </c>
      <c r="F83" s="116" t="str">
        <f t="shared" si="91"/>
        <v>IT部</v>
      </c>
      <c r="G83" s="121">
        <f>SUMIFS(薪酬明细!$N:$N,薪酬明细!$D:$D,$E83,薪酬明细!$E:$E,$F83,薪酬明细!$H:$H,"&gt;="&amp;G$9,薪酬明细!$H:$H,"&lt;="&amp;G$10,薪酬明细!$A:$A,G$6)/10000</f>
        <v>4.3</v>
      </c>
      <c r="H83" s="121">
        <f>SUMIFS(薪酬明细!$N:$N,薪酬明细!$D:$D,$E83,薪酬明细!$E:$E,$F83,薪酬明细!$H:$H,"&gt;="&amp;H$9,薪酬明细!$H:$H,"&lt;="&amp;H$10,薪酬明细!$A:$A,H$6)/10000</f>
        <v>0.4</v>
      </c>
      <c r="I83" s="121">
        <f>SUMIFS(薪酬明细!$N:$N,薪酬明细!$D:$D,$E83,薪酬明细!$E:$E,$F83,薪酬明细!$H:$H,"&gt;="&amp;I$9,薪酬明细!$H:$H,"&lt;="&amp;I$10,薪酬明细!$A:$A,I$6)/10000</f>
        <v>0.4</v>
      </c>
      <c r="J83" s="121">
        <f>SUMIFS(薪酬明细!$N:$N,薪酬明细!$D:$D,$E83,薪酬明细!$E:$E,$F83,薪酬明细!$H:$H,"&gt;="&amp;J$9,薪酬明细!$H:$H,"&lt;="&amp;J$10,薪酬明细!$A:$A,J$6)/10000</f>
        <v>0.4</v>
      </c>
      <c r="K83" s="121">
        <f>SUMIFS(薪酬明细!$N:$N,薪酬明细!$D:$D,$E83,薪酬明细!$E:$E,$F83,薪酬明细!$H:$H,"&gt;="&amp;K$9,薪酬明细!$H:$H,"&lt;="&amp;K$10,薪酬明细!$A:$A,K$6)/10000</f>
        <v>0.4</v>
      </c>
      <c r="L83" s="121">
        <f>SUMIFS(薪酬明细!$N:$N,薪酬明细!$D:$D,$E83,薪酬明细!$E:$E,$F83,薪酬明细!$H:$H,"&gt;="&amp;L$9,薪酬明细!$H:$H,"&lt;="&amp;L$10,薪酬明细!$A:$A,L$6)/10000</f>
        <v>0.4</v>
      </c>
      <c r="M83" s="121">
        <f>SUMIFS(薪酬明细!$N:$N,薪酬明细!$D:$D,$E83,薪酬明细!$E:$E,$F83,薪酬明细!$H:$H,"&gt;="&amp;M$9,薪酬明细!$H:$H,"&lt;="&amp;M$10,薪酬明细!$A:$A,M$6)/10000</f>
        <v>0.4</v>
      </c>
      <c r="N83" s="121">
        <f>SUMIFS(薪酬明细!$N:$N,薪酬明细!$D:$D,$E83,薪酬明细!$E:$E,$F83,薪酬明细!$H:$H,"&gt;="&amp;N$9,薪酬明细!$H:$H,"&lt;="&amp;N$10,薪酬明细!$A:$A,N$6)/10000</f>
        <v>0.4</v>
      </c>
      <c r="O83" s="121">
        <f>SUMIFS(薪酬明细!$N:$N,薪酬明细!$D:$D,$E83,薪酬明细!$E:$E,$F83,薪酬明细!$H:$H,"&gt;="&amp;O$9,薪酬明细!$H:$H,"&lt;="&amp;O$10,薪酬明细!$A:$A,O$6)/10000</f>
        <v>0.4</v>
      </c>
      <c r="P83" s="121">
        <f>SUMIFS(薪酬明细!$N:$N,薪酬明细!$D:$D,$E83,薪酬明细!$E:$E,$F83,薪酬明细!$H:$H,"&gt;="&amp;P$9,薪酬明细!$H:$H,"&lt;="&amp;P$10,薪酬明细!$A:$A,P$6)/10000</f>
        <v>0.4</v>
      </c>
      <c r="Q83" s="121">
        <f>SUMIFS(薪酬明细!$N:$N,薪酬明细!$D:$D,$E83,薪酬明细!$E:$E,$F83,薪酬明细!$H:$H,"&gt;="&amp;Q$9,薪酬明细!$H:$H,"&lt;="&amp;Q$10,薪酬明细!$A:$A,Q$6)/10000</f>
        <v>0.4</v>
      </c>
      <c r="R83" s="121">
        <f>SUMIFS(薪酬明细!$N:$N,薪酬明细!$D:$D,$E83,薪酬明细!$E:$E,$F83,薪酬明细!$H:$H,"&gt;="&amp;R$9,薪酬明细!$H:$H,"&lt;="&amp;R$10,薪酬明细!$A:$A,R$6)/10000</f>
        <v>0.4</v>
      </c>
      <c r="S83" s="121">
        <f>SUMIFS(薪酬明细!$N:$N,薪酬明细!$D:$D,$E83,薪酬明细!$E:$E,$F83,薪酬明细!$H:$H,"&gt;="&amp;S$9,薪酬明细!$H:$H,"&lt;="&amp;S$10,薪酬明细!$A:$A,S$6)/10000</f>
        <v>0.3</v>
      </c>
      <c r="T83" s="125">
        <f t="shared" si="92"/>
        <v>4.3</v>
      </c>
      <c r="U83" s="121">
        <f>SUMIFS(薪酬明细!$N:$N,薪酬明细!$D:$D,$E83,薪酬明细!$E:$E,$F83,薪酬明细!$H:$H,"&gt;="&amp;U$9,薪酬明细!$H:$H,"&lt;="&amp;U$10,薪酬明细!$A:$A,U$6)/10000</f>
        <v>3.2</v>
      </c>
      <c r="V83" s="121">
        <f>SUMIFS(薪酬明细!$N:$N,薪酬明细!$D:$D,$E83,薪酬明细!$E:$E,$F83,薪酬明细!$H:$H,"&gt;="&amp;V$9,薪酬明细!$H:$H,"&lt;="&amp;V$10,薪酬明细!$A:$A,V$6)/10000</f>
        <v>0.3</v>
      </c>
      <c r="W83" s="121">
        <f>SUMIFS(薪酬明细!$N:$N,薪酬明细!$D:$D,$E83,薪酬明细!$E:$E,$F83,薪酬明细!$H:$H,"&gt;="&amp;W$9,薪酬明细!$H:$H,"&lt;="&amp;W$10,薪酬明细!$A:$A,W$6)/10000</f>
        <v>0.4</v>
      </c>
      <c r="X83" s="121">
        <f>SUMIFS(薪酬明细!$N:$N,薪酬明细!$D:$D,$E83,薪酬明细!$E:$E,$F83,薪酬明细!$H:$H,"&gt;="&amp;X$9,薪酬明细!$H:$H,"&lt;="&amp;X$10,薪酬明细!$A:$A,X$6)/10000</f>
        <v>0.4</v>
      </c>
      <c r="Y83" s="121">
        <f>SUMIFS(薪酬明细!$N:$N,薪酬明细!$D:$D,$E83,薪酬明细!$E:$E,$F83,薪酬明细!$H:$H,"&gt;="&amp;Y$9,薪酬明细!$H:$H,"&lt;="&amp;Y$10,薪酬明细!$A:$A,Y$6)/10000</f>
        <v>0.4</v>
      </c>
      <c r="Z83" s="121">
        <f>SUMIFS(薪酬明细!$N:$N,薪酬明细!$D:$D,$E83,薪酬明细!$E:$E,$F83,薪酬明细!$H:$H,"&gt;="&amp;Z$9,薪酬明细!$H:$H,"&lt;="&amp;Z$10,薪酬明细!$A:$A,Z$6)/10000</f>
        <v>0.4</v>
      </c>
      <c r="AA83" s="121">
        <f>SUMIFS(薪酬明细!$N:$N,薪酬明细!$D:$D,$E83,薪酬明细!$E:$E,$F83,薪酬明细!$H:$H,"&gt;="&amp;AA$9,薪酬明细!$H:$H,"&lt;="&amp;AA$10,薪酬明细!$A:$A,AA$6)/10000</f>
        <v>0.4</v>
      </c>
      <c r="AB83" s="121">
        <f>SUMIFS(薪酬明细!$N:$N,薪酬明细!$D:$D,$E83,薪酬明细!$E:$E,$F83,薪酬明细!$H:$H,"&gt;="&amp;AB$9,薪酬明细!$H:$H,"&lt;="&amp;AB$10,薪酬明细!$A:$A,AB$6)/10000</f>
        <v>0.3</v>
      </c>
      <c r="AC83" s="121">
        <f>SUMIFS(薪酬明细!$N:$N,薪酬明细!$D:$D,$E83,薪酬明细!$E:$E,$F83,薪酬明细!$H:$H,"&gt;="&amp;AC$9,薪酬明细!$H:$H,"&lt;="&amp;AC$10,薪酬明细!$A:$A,AC$6)/10000</f>
        <v>0.4</v>
      </c>
      <c r="AD83" s="121">
        <f>SUMIFS(薪酬明细!$N:$N,薪酬明细!$D:$D,$E83,薪酬明细!$E:$E,$F83,薪酬明细!$H:$H,"&gt;="&amp;AD$9,薪酬明细!$H:$H,"&lt;="&amp;AD$10,薪酬明细!$A:$A,AD$6)/10000</f>
        <v>0.4</v>
      </c>
      <c r="AE83" s="121">
        <f>SUMIFS(薪酬明细!$N:$N,薪酬明细!$D:$D,$E83,薪酬明细!$E:$E,$F83,薪酬明细!$H:$H,"&gt;="&amp;AE$9,薪酬明细!$H:$H,"&lt;="&amp;AE$10,薪酬明细!$A:$A,AE$6)/10000</f>
        <v>0</v>
      </c>
      <c r="AF83" s="121">
        <f>SUMIFS(薪酬明细!$N:$N,薪酬明细!$D:$D,$E83,薪酬明细!$E:$E,$F83,薪酬明细!$H:$H,"&gt;="&amp;AF$9,薪酬明细!$H:$H,"&lt;="&amp;AF$10,薪酬明细!$A:$A,AF$6)/10000</f>
        <v>0</v>
      </c>
      <c r="AG83" s="121">
        <f>SUMIFS(薪酬明细!$N:$N,薪酬明细!$D:$D,$E83,薪酬明细!$E:$E,$F83,薪酬明细!$H:$H,"&gt;="&amp;AG$9,薪酬明细!$H:$H,"&lt;="&amp;AG$10,薪酬明细!$A:$A,AG$6)/10000</f>
        <v>0</v>
      </c>
      <c r="AH83" s="121">
        <f>SUMIFS(薪酬明细!$N:$N,薪酬明细!$D:$D,$E83,薪酬明细!$E:$E,$F83,薪酬明细!$H:$H,"&gt;="&amp;AH$9,薪酬明细!$H:$H,"&lt;="&amp;AH$10,薪酬明细!$A:$A,AH$6)/10000</f>
        <v>1.1</v>
      </c>
      <c r="AI83" s="121">
        <f>SUMIFS(薪酬明细!$N:$N,薪酬明细!$D:$D,$E83,薪酬明细!$E:$E,$F83,薪酬明细!$H:$H,"&gt;="&amp;AI$9,薪酬明细!$H:$H,"&lt;="&amp;AI$10,薪酬明细!$A:$A,AI$6)/10000</f>
        <v>0</v>
      </c>
      <c r="AJ83" s="121">
        <f>SUMIFS(薪酬明细!$N:$N,薪酬明细!$D:$D,$E83,薪酬明细!$E:$E,$F83,薪酬明细!$H:$H,"&gt;="&amp;AJ$9,薪酬明细!$H:$H,"&lt;="&amp;AJ$10,薪酬明细!$A:$A,AJ$6)/10000</f>
        <v>0</v>
      </c>
      <c r="AK83" s="121">
        <f>SUMIFS(薪酬明细!$N:$N,薪酬明细!$D:$D,$E83,薪酬明细!$E:$E,$F83,薪酬明细!$H:$H,"&gt;="&amp;AK$9,薪酬明细!$H:$H,"&lt;="&amp;AK$10,薪酬明细!$A:$A,AK$6)/10000</f>
        <v>0</v>
      </c>
      <c r="AL83" s="121">
        <f>SUMIFS(薪酬明细!$N:$N,薪酬明细!$D:$D,$E83,薪酬明细!$E:$E,$F83,薪酬明细!$H:$H,"&gt;="&amp;AL$9,薪酬明细!$H:$H,"&lt;="&amp;AL$10,薪酬明细!$A:$A,AL$6)/10000</f>
        <v>0</v>
      </c>
      <c r="AM83" s="121">
        <f>SUMIFS(薪酬明细!$N:$N,薪酬明细!$D:$D,$E83,薪酬明细!$E:$E,$F83,薪酬明细!$H:$H,"&gt;="&amp;AM$9,薪酬明细!$H:$H,"&lt;="&amp;AM$10,薪酬明细!$A:$A,AM$6)/10000</f>
        <v>0</v>
      </c>
      <c r="AN83" s="121">
        <f>SUMIFS(薪酬明细!$N:$N,薪酬明细!$D:$D,$E83,薪酬明细!$E:$E,$F83,薪酬明细!$H:$H,"&gt;="&amp;AN$9,薪酬明细!$H:$H,"&lt;="&amp;AN$10,薪酬明细!$A:$A,AN$6)/10000</f>
        <v>0</v>
      </c>
      <c r="AO83" s="121">
        <f>SUMIFS(薪酬明细!$N:$N,薪酬明细!$D:$D,$E83,薪酬明细!$E:$E,$F83,薪酬明细!$H:$H,"&gt;="&amp;AO$9,薪酬明细!$H:$H,"&lt;="&amp;AO$10,薪酬明细!$A:$A,AO$6)/10000</f>
        <v>0</v>
      </c>
      <c r="AP83" s="121">
        <f>SUMIFS(薪酬明细!$N:$N,薪酬明细!$D:$D,$E83,薪酬明细!$E:$E,$F83,薪酬明细!$H:$H,"&gt;="&amp;AP$9,薪酬明细!$H:$H,"&lt;="&amp;AP$10,薪酬明细!$A:$A,AP$6)/10000</f>
        <v>0</v>
      </c>
      <c r="AQ83" s="121">
        <f>SUMIFS(薪酬明细!$N:$N,薪酬明细!$D:$D,$E83,薪酬明细!$E:$E,$F83,薪酬明细!$H:$H,"&gt;="&amp;AQ$9,薪酬明细!$H:$H,"&lt;="&amp;AQ$10,薪酬明细!$A:$A,AQ$6)/10000</f>
        <v>0</v>
      </c>
      <c r="AR83" s="121">
        <f>SUMIFS(薪酬明细!$N:$N,薪酬明细!$D:$D,$E83,薪酬明细!$E:$E,$F83,薪酬明细!$H:$H,"&gt;="&amp;AR$9,薪酬明细!$H:$H,"&lt;="&amp;AR$10,薪酬明细!$A:$A,AR$6)/10000</f>
        <v>0.4</v>
      </c>
      <c r="AS83" s="121">
        <f>SUMIFS(薪酬明细!$N:$N,薪酬明细!$D:$D,$E83,薪酬明细!$E:$E,$F83,薪酬明细!$H:$H,"&gt;="&amp;AS$9,薪酬明细!$H:$H,"&lt;="&amp;AS$10,薪酬明细!$A:$A,AS$6)/10000</f>
        <v>0.4</v>
      </c>
      <c r="AT83" s="121">
        <f>SUMIFS(薪酬明细!$N:$N,薪酬明细!$D:$D,$E83,薪酬明细!$E:$E,$F83,薪酬明细!$H:$H,"&gt;="&amp;AT$9,薪酬明细!$H:$H,"&lt;="&amp;AT$10,薪酬明细!$A:$A,AT$6)/10000</f>
        <v>0.4</v>
      </c>
      <c r="AU83" s="121">
        <f>SUMIFS(薪酬明细!$N:$N,薪酬明细!$D:$D,$E83,薪酬明细!$E:$E,$F83,薪酬明细!$H:$H,"&gt;="&amp;AU$9,薪酬明细!$H:$H,"&lt;="&amp;AU$10,薪酬明细!$A:$A,AU$6)/10000</f>
        <v>4.3</v>
      </c>
      <c r="AV83" s="121">
        <f>SUMIFS(薪酬明细!$N:$N,薪酬明细!$D:$D,$E83,薪酬明细!$E:$E,$F83,薪酬明细!$H:$H,"&gt;="&amp;AV$9,薪酬明细!$H:$H,"&lt;="&amp;AV$10,薪酬明细!$A:$A,AV$6)/10000</f>
        <v>0.4</v>
      </c>
      <c r="AW83" s="121">
        <f>SUMIFS(薪酬明细!$N:$N,薪酬明细!$D:$D,$E83,薪酬明细!$E:$E,$F83,薪酬明细!$H:$H,"&gt;="&amp;AW$9,薪酬明细!$H:$H,"&lt;="&amp;AW$10,薪酬明细!$A:$A,AW$6)/10000</f>
        <v>0.4</v>
      </c>
      <c r="AX83" s="121">
        <f>SUMIFS(薪酬明细!$N:$N,薪酬明细!$D:$D,$E83,薪酬明细!$E:$E,$F83,薪酬明细!$H:$H,"&gt;="&amp;AX$9,薪酬明细!$H:$H,"&lt;="&amp;AX$10,薪酬明细!$A:$A,AX$6)/10000</f>
        <v>0.4</v>
      </c>
      <c r="AY83" s="121">
        <f>SUMIFS(薪酬明细!$N:$N,薪酬明细!$D:$D,$E83,薪酬明细!$E:$E,$F83,薪酬明细!$H:$H,"&gt;="&amp;AY$9,薪酬明细!$H:$H,"&lt;="&amp;AY$10,薪酬明细!$A:$A,AY$6)/10000</f>
        <v>0.4</v>
      </c>
      <c r="AZ83" s="121">
        <f>SUMIFS(薪酬明细!$N:$N,薪酬明细!$D:$D,$E83,薪酬明细!$E:$E,$F83,薪酬明细!$H:$H,"&gt;="&amp;AZ$9,薪酬明细!$H:$H,"&lt;="&amp;AZ$10,薪酬明细!$A:$A,AZ$6)/10000</f>
        <v>0.4</v>
      </c>
      <c r="BA83" s="121">
        <f>SUMIFS(薪酬明细!$N:$N,薪酬明细!$D:$D,$E83,薪酬明细!$E:$E,$F83,薪酬明细!$H:$H,"&gt;="&amp;BA$9,薪酬明细!$H:$H,"&lt;="&amp;BA$10,薪酬明细!$A:$A,BA$6)/10000</f>
        <v>0.4</v>
      </c>
      <c r="BB83" s="121">
        <f>SUMIFS(薪酬明细!$N:$N,薪酬明细!$D:$D,$E83,薪酬明细!$E:$E,$F83,薪酬明细!$H:$H,"&gt;="&amp;BB$9,薪酬明细!$H:$H,"&lt;="&amp;BB$10,薪酬明细!$A:$A,BB$6)/10000</f>
        <v>0.4</v>
      </c>
      <c r="BC83" s="121">
        <f>SUMIFS(薪酬明细!$N:$N,薪酬明细!$D:$D,$E83,薪酬明细!$E:$E,$F83,薪酬明细!$H:$H,"&gt;="&amp;BC$9,薪酬明细!$H:$H,"&lt;="&amp;BC$10,薪酬明细!$A:$A,BC$6)/10000</f>
        <v>0.4</v>
      </c>
      <c r="BD83" s="121">
        <f>SUMIFS(薪酬明细!$N:$N,薪酬明细!$D:$D,$E83,薪酬明细!$E:$E,$F83,薪酬明细!$H:$H,"&gt;="&amp;BD$9,薪酬明细!$H:$H,"&lt;="&amp;BD$10,薪酬明细!$A:$A,BD$6)/10000</f>
        <v>0.4</v>
      </c>
      <c r="BE83" s="121">
        <f>SUMIFS(薪酬明细!$N:$N,薪酬明细!$D:$D,$E83,薪酬明细!$E:$E,$F83,薪酬明细!$H:$H,"&gt;="&amp;BE$9,薪酬明细!$H:$H,"&lt;="&amp;BE$10,薪酬明细!$A:$A,BE$6)/10000</f>
        <v>0.4</v>
      </c>
      <c r="BF83" s="121">
        <f>SUMIFS(薪酬明细!$N:$N,薪酬明细!$D:$D,$E83,薪酬明细!$E:$E,$F83,薪酬明细!$H:$H,"&gt;="&amp;BF$9,薪酬明细!$H:$H,"&lt;="&amp;BF$10,薪酬明细!$A:$A,BF$6)/10000</f>
        <v>0.4</v>
      </c>
      <c r="BG83" s="121">
        <f>SUMIFS(薪酬明细!$N:$N,薪酬明细!$D:$D,$E83,薪酬明细!$E:$E,$F83,薪酬明细!$H:$H,"&gt;="&amp;BG$9,薪酬明细!$H:$H,"&lt;="&amp;BG$10,薪酬明细!$A:$A,BG$6)/10000</f>
        <v>0.4</v>
      </c>
    </row>
    <row r="84" ht="16.2" spans="3:59">
      <c r="C84" s="42"/>
      <c r="D84" s="42" t="s">
        <v>90</v>
      </c>
      <c r="E84" s="116" t="str">
        <f t="shared" si="90"/>
        <v>支持中心</v>
      </c>
      <c r="F84" s="116" t="str">
        <f t="shared" si="91"/>
        <v>总经办</v>
      </c>
      <c r="G84" s="121">
        <f>SUMIFS(薪酬明细!$N:$N,薪酬明细!$D:$D,$E84,薪酬明细!$E:$E,$F84,薪酬明细!$H:$H,"&gt;="&amp;G$9,薪酬明细!$H:$H,"&lt;="&amp;G$10,薪酬明细!$A:$A,G$6)/10000</f>
        <v>2.5</v>
      </c>
      <c r="H84" s="121">
        <f>SUMIFS(薪酬明细!$N:$N,薪酬明细!$D:$D,$E84,薪酬明细!$E:$E,$F84,薪酬明细!$H:$H,"&gt;="&amp;H$9,薪酬明细!$H:$H,"&lt;="&amp;H$10,薪酬明细!$A:$A,H$6)/10000</f>
        <v>0.2</v>
      </c>
      <c r="I84" s="121">
        <f>SUMIFS(薪酬明细!$N:$N,薪酬明细!$D:$D,$E84,薪酬明细!$E:$E,$F84,薪酬明细!$H:$H,"&gt;="&amp;I$9,薪酬明细!$H:$H,"&lt;="&amp;I$10,薪酬明细!$A:$A,I$6)/10000</f>
        <v>0.2</v>
      </c>
      <c r="J84" s="121">
        <f>SUMIFS(薪酬明细!$N:$N,薪酬明细!$D:$D,$E84,薪酬明细!$E:$E,$F84,薪酬明细!$H:$H,"&gt;="&amp;J$9,薪酬明细!$H:$H,"&lt;="&amp;J$10,薪酬明细!$A:$A,J$6)/10000</f>
        <v>0.2</v>
      </c>
      <c r="K84" s="121">
        <f>SUMIFS(薪酬明细!$N:$N,薪酬明细!$D:$D,$E84,薪酬明细!$E:$E,$F84,薪酬明细!$H:$H,"&gt;="&amp;K$9,薪酬明细!$H:$H,"&lt;="&amp;K$10,薪酬明细!$A:$A,K$6)/10000</f>
        <v>0.2</v>
      </c>
      <c r="L84" s="121">
        <f>SUMIFS(薪酬明细!$N:$N,薪酬明细!$D:$D,$E84,薪酬明细!$E:$E,$F84,薪酬明细!$H:$H,"&gt;="&amp;L$9,薪酬明细!$H:$H,"&lt;="&amp;L$10,薪酬明细!$A:$A,L$6)/10000</f>
        <v>0.2</v>
      </c>
      <c r="M84" s="121">
        <f>SUMIFS(薪酬明细!$N:$N,薪酬明细!$D:$D,$E84,薪酬明细!$E:$E,$F84,薪酬明细!$H:$H,"&gt;="&amp;M$9,薪酬明细!$H:$H,"&lt;="&amp;M$10,薪酬明细!$A:$A,M$6)/10000</f>
        <v>0.2</v>
      </c>
      <c r="N84" s="121">
        <f>SUMIFS(薪酬明细!$N:$N,薪酬明细!$D:$D,$E84,薪酬明细!$E:$E,$F84,薪酬明细!$H:$H,"&gt;="&amp;N$9,薪酬明细!$H:$H,"&lt;="&amp;N$10,薪酬明细!$A:$A,N$6)/10000</f>
        <v>0.2</v>
      </c>
      <c r="O84" s="121">
        <f>SUMIFS(薪酬明细!$N:$N,薪酬明细!$D:$D,$E84,薪酬明细!$E:$E,$F84,薪酬明细!$H:$H,"&gt;="&amp;O$9,薪酬明细!$H:$H,"&lt;="&amp;O$10,薪酬明细!$A:$A,O$6)/10000</f>
        <v>0.2</v>
      </c>
      <c r="P84" s="121">
        <f>SUMIFS(薪酬明细!$N:$N,薪酬明细!$D:$D,$E84,薪酬明细!$E:$E,$F84,薪酬明细!$H:$H,"&gt;="&amp;P$9,薪酬明细!$H:$H,"&lt;="&amp;P$10,薪酬明细!$A:$A,P$6)/10000</f>
        <v>0.2</v>
      </c>
      <c r="Q84" s="121">
        <f>SUMIFS(薪酬明细!$N:$N,薪酬明细!$D:$D,$E84,薪酬明细!$E:$E,$F84,薪酬明细!$H:$H,"&gt;="&amp;Q$9,薪酬明细!$H:$H,"&lt;="&amp;Q$10,薪酬明细!$A:$A,Q$6)/10000</f>
        <v>0.2</v>
      </c>
      <c r="R84" s="121">
        <f>SUMIFS(薪酬明细!$N:$N,薪酬明细!$D:$D,$E84,薪酬明细!$E:$E,$F84,薪酬明细!$H:$H,"&gt;="&amp;R$9,薪酬明细!$H:$H,"&lt;="&amp;R$10,薪酬明细!$A:$A,R$6)/10000</f>
        <v>0.2</v>
      </c>
      <c r="S84" s="121">
        <f>SUMIFS(薪酬明细!$N:$N,薪酬明细!$D:$D,$E84,薪酬明细!$E:$E,$F84,薪酬明细!$H:$H,"&gt;="&amp;S$9,薪酬明细!$H:$H,"&lt;="&amp;S$10,薪酬明细!$A:$A,S$6)/10000</f>
        <v>0.2</v>
      </c>
      <c r="T84" s="125">
        <f t="shared" si="92"/>
        <v>2.5</v>
      </c>
      <c r="U84" s="121">
        <f>SUMIFS(薪酬明细!$N:$N,薪酬明细!$D:$D,$E84,薪酬明细!$E:$E,$F84,薪酬明细!$H:$H,"&gt;="&amp;U$9,薪酬明细!$H:$H,"&lt;="&amp;U$10,薪酬明细!$A:$A,U$6)/10000</f>
        <v>1.9</v>
      </c>
      <c r="V84" s="121">
        <f>SUMIFS(薪酬明细!$N:$N,薪酬明细!$D:$D,$E84,薪酬明细!$E:$E,$F84,薪酬明细!$H:$H,"&gt;="&amp;V$9,薪酬明细!$H:$H,"&lt;="&amp;V$10,薪酬明细!$A:$A,V$6)/10000</f>
        <v>0.2</v>
      </c>
      <c r="W84" s="121">
        <f>SUMIFS(薪酬明细!$N:$N,薪酬明细!$D:$D,$E84,薪酬明细!$E:$E,$F84,薪酬明细!$H:$H,"&gt;="&amp;W$9,薪酬明细!$H:$H,"&lt;="&amp;W$10,薪酬明细!$A:$A,W$6)/10000</f>
        <v>0.2</v>
      </c>
      <c r="X84" s="121">
        <f>SUMIFS(薪酬明细!$N:$N,薪酬明细!$D:$D,$E84,薪酬明细!$E:$E,$F84,薪酬明细!$H:$H,"&gt;="&amp;X$9,薪酬明细!$H:$H,"&lt;="&amp;X$10,薪酬明细!$A:$A,X$6)/10000</f>
        <v>0.2</v>
      </c>
      <c r="Y84" s="121">
        <f>SUMIFS(薪酬明细!$N:$N,薪酬明细!$D:$D,$E84,薪酬明细!$E:$E,$F84,薪酬明细!$H:$H,"&gt;="&amp;Y$9,薪酬明细!$H:$H,"&lt;="&amp;Y$10,薪酬明细!$A:$A,Y$6)/10000</f>
        <v>0.2</v>
      </c>
      <c r="Z84" s="121">
        <f>SUMIFS(薪酬明细!$N:$N,薪酬明细!$D:$D,$E84,薪酬明细!$E:$E,$F84,薪酬明细!$H:$H,"&gt;="&amp;Z$9,薪酬明细!$H:$H,"&lt;="&amp;Z$10,薪酬明细!$A:$A,Z$6)/10000</f>
        <v>0.2</v>
      </c>
      <c r="AA84" s="121">
        <f>SUMIFS(薪酬明细!$N:$N,薪酬明细!$D:$D,$E84,薪酬明细!$E:$E,$F84,薪酬明细!$H:$H,"&gt;="&amp;AA$9,薪酬明细!$H:$H,"&lt;="&amp;AA$10,薪酬明细!$A:$A,AA$6)/10000</f>
        <v>0.2</v>
      </c>
      <c r="AB84" s="121">
        <f>SUMIFS(薪酬明细!$N:$N,薪酬明细!$D:$D,$E84,薪酬明细!$E:$E,$F84,薪酬明细!$H:$H,"&gt;="&amp;AB$9,薪酬明细!$H:$H,"&lt;="&amp;AB$10,薪酬明细!$A:$A,AB$6)/10000</f>
        <v>0.2</v>
      </c>
      <c r="AC84" s="121">
        <f>SUMIFS(薪酬明细!$N:$N,薪酬明细!$D:$D,$E84,薪酬明细!$E:$E,$F84,薪酬明细!$H:$H,"&gt;="&amp;AC$9,薪酬明细!$H:$H,"&lt;="&amp;AC$10,薪酬明细!$A:$A,AC$6)/10000</f>
        <v>0.2</v>
      </c>
      <c r="AD84" s="121">
        <f>SUMIFS(薪酬明细!$N:$N,薪酬明细!$D:$D,$E84,薪酬明细!$E:$E,$F84,薪酬明细!$H:$H,"&gt;="&amp;AD$9,薪酬明细!$H:$H,"&lt;="&amp;AD$10,薪酬明细!$A:$A,AD$6)/10000</f>
        <v>0.2</v>
      </c>
      <c r="AE84" s="121">
        <f>SUMIFS(薪酬明细!$N:$N,薪酬明细!$D:$D,$E84,薪酬明细!$E:$E,$F84,薪酬明细!$H:$H,"&gt;="&amp;AE$9,薪酬明细!$H:$H,"&lt;="&amp;AE$10,薪酬明细!$A:$A,AE$6)/10000</f>
        <v>0</v>
      </c>
      <c r="AF84" s="121">
        <f>SUMIFS(薪酬明细!$N:$N,薪酬明细!$D:$D,$E84,薪酬明细!$E:$E,$F84,薪酬明细!$H:$H,"&gt;="&amp;AF$9,薪酬明细!$H:$H,"&lt;="&amp;AF$10,薪酬明细!$A:$A,AF$6)/10000</f>
        <v>0</v>
      </c>
      <c r="AG84" s="121">
        <f>SUMIFS(薪酬明细!$N:$N,薪酬明细!$D:$D,$E84,薪酬明细!$E:$E,$F84,薪酬明细!$H:$H,"&gt;="&amp;AG$9,薪酬明细!$H:$H,"&lt;="&amp;AG$10,薪酬明细!$A:$A,AG$6)/10000</f>
        <v>0</v>
      </c>
      <c r="AH84" s="121">
        <f>SUMIFS(薪酬明细!$N:$N,薪酬明细!$D:$D,$E84,薪酬明细!$E:$E,$F84,薪酬明细!$H:$H,"&gt;="&amp;AH$9,薪酬明细!$H:$H,"&lt;="&amp;AH$10,薪酬明细!$A:$A,AH$6)/10000</f>
        <v>0.6</v>
      </c>
      <c r="AI84" s="121">
        <f>SUMIFS(薪酬明细!$N:$N,薪酬明细!$D:$D,$E84,薪酬明细!$E:$E,$F84,薪酬明细!$H:$H,"&gt;="&amp;AI$9,薪酬明细!$H:$H,"&lt;="&amp;AI$10,薪酬明细!$A:$A,AI$6)/10000</f>
        <v>0</v>
      </c>
      <c r="AJ84" s="121">
        <f>SUMIFS(薪酬明细!$N:$N,薪酬明细!$D:$D,$E84,薪酬明细!$E:$E,$F84,薪酬明细!$H:$H,"&gt;="&amp;AJ$9,薪酬明细!$H:$H,"&lt;="&amp;AJ$10,薪酬明细!$A:$A,AJ$6)/10000</f>
        <v>0</v>
      </c>
      <c r="AK84" s="121">
        <f>SUMIFS(薪酬明细!$N:$N,薪酬明细!$D:$D,$E84,薪酬明细!$E:$E,$F84,薪酬明细!$H:$H,"&gt;="&amp;AK$9,薪酬明细!$H:$H,"&lt;="&amp;AK$10,薪酬明细!$A:$A,AK$6)/10000</f>
        <v>0</v>
      </c>
      <c r="AL84" s="121">
        <f>SUMIFS(薪酬明细!$N:$N,薪酬明细!$D:$D,$E84,薪酬明细!$E:$E,$F84,薪酬明细!$H:$H,"&gt;="&amp;AL$9,薪酬明细!$H:$H,"&lt;="&amp;AL$10,薪酬明细!$A:$A,AL$6)/10000</f>
        <v>0</v>
      </c>
      <c r="AM84" s="121">
        <f>SUMIFS(薪酬明细!$N:$N,薪酬明细!$D:$D,$E84,薪酬明细!$E:$E,$F84,薪酬明细!$H:$H,"&gt;="&amp;AM$9,薪酬明细!$H:$H,"&lt;="&amp;AM$10,薪酬明细!$A:$A,AM$6)/10000</f>
        <v>0</v>
      </c>
      <c r="AN84" s="121">
        <f>SUMIFS(薪酬明细!$N:$N,薪酬明细!$D:$D,$E84,薪酬明细!$E:$E,$F84,薪酬明细!$H:$H,"&gt;="&amp;AN$9,薪酬明细!$H:$H,"&lt;="&amp;AN$10,薪酬明细!$A:$A,AN$6)/10000</f>
        <v>0</v>
      </c>
      <c r="AO84" s="121">
        <f>SUMIFS(薪酬明细!$N:$N,薪酬明细!$D:$D,$E84,薪酬明细!$E:$E,$F84,薪酬明细!$H:$H,"&gt;="&amp;AO$9,薪酬明细!$H:$H,"&lt;="&amp;AO$10,薪酬明细!$A:$A,AO$6)/10000</f>
        <v>0</v>
      </c>
      <c r="AP84" s="121">
        <f>SUMIFS(薪酬明细!$N:$N,薪酬明细!$D:$D,$E84,薪酬明细!$E:$E,$F84,薪酬明细!$H:$H,"&gt;="&amp;AP$9,薪酬明细!$H:$H,"&lt;="&amp;AP$10,薪酬明细!$A:$A,AP$6)/10000</f>
        <v>0</v>
      </c>
      <c r="AQ84" s="121">
        <f>SUMIFS(薪酬明细!$N:$N,薪酬明细!$D:$D,$E84,薪酬明细!$E:$E,$F84,薪酬明细!$H:$H,"&gt;="&amp;AQ$9,薪酬明细!$H:$H,"&lt;="&amp;AQ$10,薪酬明细!$A:$A,AQ$6)/10000</f>
        <v>0</v>
      </c>
      <c r="AR84" s="121">
        <f>SUMIFS(薪酬明细!$N:$N,薪酬明细!$D:$D,$E84,薪酬明细!$E:$E,$F84,薪酬明细!$H:$H,"&gt;="&amp;AR$9,薪酬明细!$H:$H,"&lt;="&amp;AR$10,薪酬明细!$A:$A,AR$6)/10000</f>
        <v>0.2</v>
      </c>
      <c r="AS84" s="121">
        <f>SUMIFS(薪酬明细!$N:$N,薪酬明细!$D:$D,$E84,薪酬明细!$E:$E,$F84,薪酬明细!$H:$H,"&gt;="&amp;AS$9,薪酬明细!$H:$H,"&lt;="&amp;AS$10,薪酬明细!$A:$A,AS$6)/10000</f>
        <v>0.2</v>
      </c>
      <c r="AT84" s="121">
        <f>SUMIFS(薪酬明细!$N:$N,薪酬明细!$D:$D,$E84,薪酬明细!$E:$E,$F84,薪酬明细!$H:$H,"&gt;="&amp;AT$9,薪酬明细!$H:$H,"&lt;="&amp;AT$10,薪酬明细!$A:$A,AT$6)/10000</f>
        <v>0.2</v>
      </c>
      <c r="AU84" s="121">
        <f>SUMIFS(薪酬明细!$N:$N,薪酬明细!$D:$D,$E84,薪酬明细!$E:$E,$F84,薪酬明细!$H:$H,"&gt;="&amp;AU$9,薪酬明细!$H:$H,"&lt;="&amp;AU$10,薪酬明细!$A:$A,AU$6)/10000</f>
        <v>2.5</v>
      </c>
      <c r="AV84" s="121">
        <f>SUMIFS(薪酬明细!$N:$N,薪酬明细!$D:$D,$E84,薪酬明细!$E:$E,$F84,薪酬明细!$H:$H,"&gt;="&amp;AV$9,薪酬明细!$H:$H,"&lt;="&amp;AV$10,薪酬明细!$A:$A,AV$6)/10000</f>
        <v>0.2</v>
      </c>
      <c r="AW84" s="121">
        <f>SUMIFS(薪酬明细!$N:$N,薪酬明细!$D:$D,$E84,薪酬明细!$E:$E,$F84,薪酬明细!$H:$H,"&gt;="&amp;AW$9,薪酬明细!$H:$H,"&lt;="&amp;AW$10,薪酬明细!$A:$A,AW$6)/10000</f>
        <v>0.2</v>
      </c>
      <c r="AX84" s="121">
        <f>SUMIFS(薪酬明细!$N:$N,薪酬明细!$D:$D,$E84,薪酬明细!$E:$E,$F84,薪酬明细!$H:$H,"&gt;="&amp;AX$9,薪酬明细!$H:$H,"&lt;="&amp;AX$10,薪酬明细!$A:$A,AX$6)/10000</f>
        <v>0.2</v>
      </c>
      <c r="AY84" s="121">
        <f>SUMIFS(薪酬明细!$N:$N,薪酬明细!$D:$D,$E84,薪酬明细!$E:$E,$F84,薪酬明细!$H:$H,"&gt;="&amp;AY$9,薪酬明细!$H:$H,"&lt;="&amp;AY$10,薪酬明细!$A:$A,AY$6)/10000</f>
        <v>0.2</v>
      </c>
      <c r="AZ84" s="121">
        <f>SUMIFS(薪酬明细!$N:$N,薪酬明细!$D:$D,$E84,薪酬明细!$E:$E,$F84,薪酬明细!$H:$H,"&gt;="&amp;AZ$9,薪酬明细!$H:$H,"&lt;="&amp;AZ$10,薪酬明细!$A:$A,AZ$6)/10000</f>
        <v>0.2</v>
      </c>
      <c r="BA84" s="121">
        <f>SUMIFS(薪酬明细!$N:$N,薪酬明细!$D:$D,$E84,薪酬明细!$E:$E,$F84,薪酬明细!$H:$H,"&gt;="&amp;BA$9,薪酬明细!$H:$H,"&lt;="&amp;BA$10,薪酬明细!$A:$A,BA$6)/10000</f>
        <v>0.2</v>
      </c>
      <c r="BB84" s="121">
        <f>SUMIFS(薪酬明细!$N:$N,薪酬明细!$D:$D,$E84,薪酬明细!$E:$E,$F84,薪酬明细!$H:$H,"&gt;="&amp;BB$9,薪酬明细!$H:$H,"&lt;="&amp;BB$10,薪酬明细!$A:$A,BB$6)/10000</f>
        <v>0.2</v>
      </c>
      <c r="BC84" s="121">
        <f>SUMIFS(薪酬明细!$N:$N,薪酬明细!$D:$D,$E84,薪酬明细!$E:$E,$F84,薪酬明细!$H:$H,"&gt;="&amp;BC$9,薪酬明细!$H:$H,"&lt;="&amp;BC$10,薪酬明细!$A:$A,BC$6)/10000</f>
        <v>0.2</v>
      </c>
      <c r="BD84" s="121">
        <f>SUMIFS(薪酬明细!$N:$N,薪酬明细!$D:$D,$E84,薪酬明细!$E:$E,$F84,薪酬明细!$H:$H,"&gt;="&amp;BD$9,薪酬明细!$H:$H,"&lt;="&amp;BD$10,薪酬明细!$A:$A,BD$6)/10000</f>
        <v>0.2</v>
      </c>
      <c r="BE84" s="121">
        <f>SUMIFS(薪酬明细!$N:$N,薪酬明细!$D:$D,$E84,薪酬明细!$E:$E,$F84,薪酬明细!$H:$H,"&gt;="&amp;BE$9,薪酬明细!$H:$H,"&lt;="&amp;BE$10,薪酬明细!$A:$A,BE$6)/10000</f>
        <v>0.2</v>
      </c>
      <c r="BF84" s="121">
        <f>SUMIFS(薪酬明细!$N:$N,薪酬明细!$D:$D,$E84,薪酬明细!$E:$E,$F84,薪酬明细!$H:$H,"&gt;="&amp;BF$9,薪酬明细!$H:$H,"&lt;="&amp;BF$10,薪酬明细!$A:$A,BF$6)/10000</f>
        <v>0.2</v>
      </c>
      <c r="BG84" s="121">
        <f>SUMIFS(薪酬明细!$N:$N,薪酬明细!$D:$D,$E84,薪酬明细!$E:$E,$F84,薪酬明细!$H:$H,"&gt;="&amp;BG$9,薪酬明细!$H:$H,"&lt;="&amp;BG$10,薪酬明细!$A:$A,BG$6)/10000</f>
        <v>0.2</v>
      </c>
    </row>
    <row r="86" ht="20.4" spans="2:2">
      <c r="B86" s="118" t="s">
        <v>95</v>
      </c>
    </row>
    <row r="87" s="101" customFormat="1" ht="19.2" customHeight="1" spans="2:59">
      <c r="B87" s="42" t="s">
        <v>76</v>
      </c>
      <c r="C87" s="119"/>
      <c r="D87" s="119"/>
      <c r="E87" s="119" t="s">
        <v>78</v>
      </c>
      <c r="F87" s="119" t="s">
        <v>78</v>
      </c>
      <c r="G87" s="120">
        <f>SUMIFS(薪酬明细!$O:$O,薪酬明细!$D:$D,$E87,薪酬明细!$E:$E,$F87,薪酬明细!$H:$H,"&gt;="&amp;G$9,薪酬明细!$H:$H,"&lt;="&amp;G$10,薪酬明细!$A:$A,G$6)/10000</f>
        <v>1062</v>
      </c>
      <c r="H87" s="120">
        <f>SUMIFS(薪酬明细!$O:$O,薪酬明细!$D:$D,$E87,薪酬明细!$E:$E,$F87,薪酬明细!$H:$H,"&gt;="&amp;H$9,薪酬明细!$H:$H,"&lt;="&amp;H$10,薪酬明细!$A:$A,H$6)/10000</f>
        <v>88.6</v>
      </c>
      <c r="I87" s="120">
        <f>SUMIFS(薪酬明细!$O:$O,薪酬明细!$D:$D,$E87,薪酬明细!$E:$E,$F87,薪酬明细!$H:$H,"&gt;="&amp;I$9,薪酬明细!$H:$H,"&lt;="&amp;I$10,薪酬明细!$A:$A,I$6)/10000</f>
        <v>88.6</v>
      </c>
      <c r="J87" s="120">
        <f>SUMIFS(薪酬明细!$O:$O,薪酬明细!$D:$D,$E87,薪酬明细!$E:$E,$F87,薪酬明细!$H:$H,"&gt;="&amp;J$9,薪酬明细!$H:$H,"&lt;="&amp;J$10,薪酬明细!$A:$A,J$6)/10000</f>
        <v>88.6</v>
      </c>
      <c r="K87" s="120">
        <f>SUMIFS(薪酬明细!$O:$O,薪酬明细!$D:$D,$E87,薪酬明细!$E:$E,$F87,薪酬明细!$H:$H,"&gt;="&amp;K$9,薪酬明细!$H:$H,"&lt;="&amp;K$10,薪酬明细!$A:$A,K$6)/10000</f>
        <v>88.4</v>
      </c>
      <c r="L87" s="120">
        <f>SUMIFS(薪酬明细!$O:$O,薪酬明细!$D:$D,$E87,薪酬明细!$E:$E,$F87,薪酬明细!$H:$H,"&gt;="&amp;L$9,薪酬明细!$H:$H,"&lt;="&amp;L$10,薪酬明细!$A:$A,L$6)/10000</f>
        <v>88.3</v>
      </c>
      <c r="M87" s="120">
        <f>SUMIFS(薪酬明细!$O:$O,薪酬明细!$D:$D,$E87,薪酬明细!$E:$E,$F87,薪酬明细!$H:$H,"&gt;="&amp;M$9,薪酬明细!$H:$H,"&lt;="&amp;M$10,薪酬明细!$A:$A,M$6)/10000</f>
        <v>88.6</v>
      </c>
      <c r="N87" s="120">
        <f>SUMIFS(薪酬明细!$O:$O,薪酬明细!$D:$D,$E87,薪酬明细!$E:$E,$F87,薪酬明细!$H:$H,"&gt;="&amp;N$9,薪酬明细!$H:$H,"&lt;="&amp;N$10,薪酬明细!$A:$A,N$6)/10000</f>
        <v>88.7</v>
      </c>
      <c r="O87" s="120">
        <f>SUMIFS(薪酬明细!$O:$O,薪酬明细!$D:$D,$E87,薪酬明细!$E:$E,$F87,薪酬明细!$H:$H,"&gt;="&amp;O$9,薪酬明细!$H:$H,"&lt;="&amp;O$10,薪酬明细!$A:$A,O$6)/10000</f>
        <v>88.4</v>
      </c>
      <c r="P87" s="120">
        <f>SUMIFS(薪酬明细!$O:$O,薪酬明细!$D:$D,$E87,薪酬明细!$E:$E,$F87,薪酬明细!$H:$H,"&gt;="&amp;P$9,薪酬明细!$H:$H,"&lt;="&amp;P$10,薪酬明细!$A:$A,P$6)/10000</f>
        <v>88.7</v>
      </c>
      <c r="Q87" s="120">
        <f>SUMIFS(薪酬明细!$O:$O,薪酬明细!$D:$D,$E87,薪酬明细!$E:$E,$F87,薪酬明细!$H:$H,"&gt;="&amp;Q$9,薪酬明细!$H:$H,"&lt;="&amp;Q$10,薪酬明细!$A:$A,Q$6)/10000</f>
        <v>88.3</v>
      </c>
      <c r="R87" s="120">
        <f>SUMIFS(薪酬明细!$O:$O,薪酬明细!$D:$D,$E87,薪酬明细!$E:$E,$F87,薪酬明细!$H:$H,"&gt;="&amp;R$9,薪酬明细!$H:$H,"&lt;="&amp;R$10,薪酬明细!$A:$A,R$6)/10000</f>
        <v>88.5</v>
      </c>
      <c r="S87" s="120">
        <f>SUMIFS(薪酬明细!$O:$O,薪酬明细!$D:$D,$E87,薪酬明细!$E:$E,$F87,薪酬明细!$H:$H,"&gt;="&amp;S$9,薪酬明细!$H:$H,"&lt;="&amp;S$10,薪酬明细!$A:$A,S$6)/10000</f>
        <v>88.4</v>
      </c>
      <c r="T87" s="124">
        <f>U87+AH87</f>
        <v>1062.4</v>
      </c>
      <c r="U87" s="120">
        <f>SUMIFS(薪酬明细!$O:$O,薪酬明细!$D:$D,$E87,薪酬明细!$E:$E,$F87,薪酬明细!$H:$H,"&gt;="&amp;U$9,薪酬明细!$H:$H,"&lt;="&amp;U$10,薪酬明细!$A:$A,U$6)/10000</f>
        <v>796.6</v>
      </c>
      <c r="V87" s="120">
        <f>SUMIFS(薪酬明细!$O:$O,薪酬明细!$D:$D,$E87,薪酬明细!$E:$E,$F87,薪酬明细!$H:$H,"&gt;="&amp;V$9,薪酬明细!$H:$H,"&lt;="&amp;V$10,薪酬明细!$A:$A,V$6)/10000</f>
        <v>88.5</v>
      </c>
      <c r="W87" s="120">
        <f>SUMIFS(薪酬明细!$O:$O,薪酬明细!$D:$D,$E87,薪酬明细!$E:$E,$F87,薪酬明细!$H:$H,"&gt;="&amp;W$9,薪酬明细!$H:$H,"&lt;="&amp;W$10,薪酬明细!$A:$A,W$6)/10000</f>
        <v>88.5</v>
      </c>
      <c r="X87" s="120">
        <f>SUMIFS(薪酬明细!$O:$O,薪酬明细!$D:$D,$E87,薪酬明细!$E:$E,$F87,薪酬明细!$H:$H,"&gt;="&amp;X$9,薪酬明细!$H:$H,"&lt;="&amp;X$10,薪酬明细!$A:$A,X$6)/10000</f>
        <v>88.6</v>
      </c>
      <c r="Y87" s="120">
        <f>SUMIFS(薪酬明细!$O:$O,薪酬明细!$D:$D,$E87,薪酬明细!$E:$E,$F87,薪酬明细!$H:$H,"&gt;="&amp;Y$9,薪酬明细!$H:$H,"&lt;="&amp;Y$10,薪酬明细!$A:$A,Y$6)/10000</f>
        <v>88.5</v>
      </c>
      <c r="Z87" s="120">
        <f>SUMIFS(薪酬明细!$O:$O,薪酬明细!$D:$D,$E87,薪酬明细!$E:$E,$F87,薪酬明细!$H:$H,"&gt;="&amp;Z$9,薪酬明细!$H:$H,"&lt;="&amp;Z$10,薪酬明细!$A:$A,Z$6)/10000</f>
        <v>88.2</v>
      </c>
      <c r="AA87" s="120">
        <f>SUMIFS(薪酬明细!$O:$O,薪酬明细!$D:$D,$E87,薪酬明细!$E:$E,$F87,薪酬明细!$H:$H,"&gt;="&amp;AA$9,薪酬明细!$H:$H,"&lt;="&amp;AA$10,薪酬明细!$A:$A,AA$6)/10000</f>
        <v>88.5</v>
      </c>
      <c r="AB87" s="120">
        <f>SUMIFS(薪酬明细!$O:$O,薪酬明细!$D:$D,$E87,薪酬明细!$E:$E,$F87,薪酬明细!$H:$H,"&gt;="&amp;AB$9,薪酬明细!$H:$H,"&lt;="&amp;AB$10,薪酬明细!$A:$A,AB$6)/10000</f>
        <v>88.6</v>
      </c>
      <c r="AC87" s="120">
        <f>SUMIFS(薪酬明细!$O:$O,薪酬明细!$D:$D,$E87,薪酬明细!$E:$E,$F87,薪酬明细!$H:$H,"&gt;="&amp;AC$9,薪酬明细!$H:$H,"&lt;="&amp;AC$10,薪酬明细!$A:$A,AC$6)/10000</f>
        <v>88.6</v>
      </c>
      <c r="AD87" s="120">
        <f>SUMIFS(薪酬明细!$O:$O,薪酬明细!$D:$D,$E87,薪酬明细!$E:$E,$F87,薪酬明细!$H:$H,"&gt;="&amp;AD$9,薪酬明细!$H:$H,"&lt;="&amp;AD$10,薪酬明细!$A:$A,AD$6)/10000</f>
        <v>88.6</v>
      </c>
      <c r="AE87" s="120">
        <f>SUMIFS(薪酬明细!$O:$O,薪酬明细!$D:$D,$E87,薪酬明细!$E:$E,$F87,薪酬明细!$H:$H,"&gt;="&amp;AE$9,薪酬明细!$H:$H,"&lt;="&amp;AE$10,薪酬明细!$A:$A,AE$6)/10000</f>
        <v>0</v>
      </c>
      <c r="AF87" s="120">
        <f>SUMIFS(薪酬明细!$O:$O,薪酬明细!$D:$D,$E87,薪酬明细!$E:$E,$F87,薪酬明细!$H:$H,"&gt;="&amp;AF$9,薪酬明细!$H:$H,"&lt;="&amp;AF$10,薪酬明细!$A:$A,AF$6)/10000</f>
        <v>0</v>
      </c>
      <c r="AG87" s="120">
        <f>SUMIFS(薪酬明细!$O:$O,薪酬明细!$D:$D,$E87,薪酬明细!$E:$E,$F87,薪酬明细!$H:$H,"&gt;="&amp;AG$9,薪酬明细!$H:$H,"&lt;="&amp;AG$10,薪酬明细!$A:$A,AG$6)/10000</f>
        <v>0</v>
      </c>
      <c r="AH87" s="120">
        <f>SUMIFS(薪酬明细!$O:$O,薪酬明细!$D:$D,$E87,薪酬明细!$E:$E,$F87,薪酬明细!$H:$H,"&gt;="&amp;AH$9,薪酬明细!$H:$H,"&lt;="&amp;AH$10,薪酬明细!$A:$A,AH$6)/10000</f>
        <v>265.8</v>
      </c>
      <c r="AI87" s="120">
        <f>SUMIFS(薪酬明细!$O:$O,薪酬明细!$D:$D,$E87,薪酬明细!$E:$E,$F87,薪酬明细!$H:$H,"&gt;="&amp;AI$9,薪酬明细!$H:$H,"&lt;="&amp;AI$10,薪酬明细!$A:$A,AI$6)/10000</f>
        <v>0</v>
      </c>
      <c r="AJ87" s="120">
        <f>SUMIFS(薪酬明细!$O:$O,薪酬明细!$D:$D,$E87,薪酬明细!$E:$E,$F87,薪酬明细!$H:$H,"&gt;="&amp;AJ$9,薪酬明细!$H:$H,"&lt;="&amp;AJ$10,薪酬明细!$A:$A,AJ$6)/10000</f>
        <v>0</v>
      </c>
      <c r="AK87" s="120">
        <f>SUMIFS(薪酬明细!$O:$O,薪酬明细!$D:$D,$E87,薪酬明细!$E:$E,$F87,薪酬明细!$H:$H,"&gt;="&amp;AK$9,薪酬明细!$H:$H,"&lt;="&amp;AK$10,薪酬明细!$A:$A,AK$6)/10000</f>
        <v>0</v>
      </c>
      <c r="AL87" s="120">
        <f>SUMIFS(薪酬明细!$O:$O,薪酬明细!$D:$D,$E87,薪酬明细!$E:$E,$F87,薪酬明细!$H:$H,"&gt;="&amp;AL$9,薪酬明细!$H:$H,"&lt;="&amp;AL$10,薪酬明细!$A:$A,AL$6)/10000</f>
        <v>0</v>
      </c>
      <c r="AM87" s="120">
        <f>SUMIFS(薪酬明细!$O:$O,薪酬明细!$D:$D,$E87,薪酬明细!$E:$E,$F87,薪酬明细!$H:$H,"&gt;="&amp;AM$9,薪酬明细!$H:$H,"&lt;="&amp;AM$10,薪酬明细!$A:$A,AM$6)/10000</f>
        <v>0</v>
      </c>
      <c r="AN87" s="120">
        <f>SUMIFS(薪酬明细!$O:$O,薪酬明细!$D:$D,$E87,薪酬明细!$E:$E,$F87,薪酬明细!$H:$H,"&gt;="&amp;AN$9,薪酬明细!$H:$H,"&lt;="&amp;AN$10,薪酬明细!$A:$A,AN$6)/10000</f>
        <v>0</v>
      </c>
      <c r="AO87" s="120">
        <f>SUMIFS(薪酬明细!$O:$O,薪酬明细!$D:$D,$E87,薪酬明细!$E:$E,$F87,薪酬明细!$H:$H,"&gt;="&amp;AO$9,薪酬明细!$H:$H,"&lt;="&amp;AO$10,薪酬明细!$A:$A,AO$6)/10000</f>
        <v>0</v>
      </c>
      <c r="AP87" s="120">
        <f>SUMIFS(薪酬明细!$O:$O,薪酬明细!$D:$D,$E87,薪酬明细!$E:$E,$F87,薪酬明细!$H:$H,"&gt;="&amp;AP$9,薪酬明细!$H:$H,"&lt;="&amp;AP$10,薪酬明细!$A:$A,AP$6)/10000</f>
        <v>0</v>
      </c>
      <c r="AQ87" s="120">
        <f>SUMIFS(薪酬明细!$O:$O,薪酬明细!$D:$D,$E87,薪酬明细!$E:$E,$F87,薪酬明细!$H:$H,"&gt;="&amp;AQ$9,薪酬明细!$H:$H,"&lt;="&amp;AQ$10,薪酬明细!$A:$A,AQ$6)/10000</f>
        <v>0</v>
      </c>
      <c r="AR87" s="120">
        <f>SUMIFS(薪酬明细!$O:$O,薪酬明细!$D:$D,$E87,薪酬明细!$E:$E,$F87,薪酬明细!$H:$H,"&gt;="&amp;AR$9,薪酬明细!$H:$H,"&lt;="&amp;AR$10,薪酬明细!$A:$A,AR$6)/10000</f>
        <v>88.8</v>
      </c>
      <c r="AS87" s="120">
        <f>SUMIFS(薪酬明细!$O:$O,薪酬明细!$D:$D,$E87,薪酬明细!$E:$E,$F87,薪酬明细!$H:$H,"&gt;="&amp;AS$9,薪酬明细!$H:$H,"&lt;="&amp;AS$10,薪酬明细!$A:$A,AS$6)/10000</f>
        <v>88.8</v>
      </c>
      <c r="AT87" s="120">
        <f>SUMIFS(薪酬明细!$O:$O,薪酬明细!$D:$D,$E87,薪酬明细!$E:$E,$F87,薪酬明细!$H:$H,"&gt;="&amp;AT$9,薪酬明细!$H:$H,"&lt;="&amp;AT$10,薪酬明细!$A:$A,AT$6)/10000</f>
        <v>88.2</v>
      </c>
      <c r="AU87" s="120">
        <f>SUMIFS(薪酬明细!$O:$O,薪酬明细!$D:$D,$E87,薪酬明细!$E:$E,$F87,薪酬明细!$H:$H,"&gt;="&amp;AU$9,薪酬明细!$H:$H,"&lt;="&amp;AU$10,薪酬明细!$A:$A,AU$6)/10000</f>
        <v>1061.7</v>
      </c>
      <c r="AV87" s="120">
        <f>SUMIFS(薪酬明细!$O:$O,薪酬明细!$D:$D,$E87,薪酬明细!$E:$E,$F87,薪酬明细!$H:$H,"&gt;="&amp;AV$9,薪酬明细!$H:$H,"&lt;="&amp;AV$10,薪酬明细!$A:$A,AV$6)/10000</f>
        <v>88.4</v>
      </c>
      <c r="AW87" s="120">
        <f>SUMIFS(薪酬明细!$O:$O,薪酬明细!$D:$D,$E87,薪酬明细!$E:$E,$F87,薪酬明细!$H:$H,"&gt;="&amp;AW$9,薪酬明细!$H:$H,"&lt;="&amp;AW$10,薪酬明细!$A:$A,AW$6)/10000</f>
        <v>88.8</v>
      </c>
      <c r="AX87" s="120">
        <f>SUMIFS(薪酬明细!$O:$O,薪酬明细!$D:$D,$E87,薪酬明细!$E:$E,$F87,薪酬明细!$H:$H,"&gt;="&amp;AX$9,薪酬明细!$H:$H,"&lt;="&amp;AX$10,薪酬明细!$A:$A,AX$6)/10000</f>
        <v>88.6</v>
      </c>
      <c r="AY87" s="120">
        <f>SUMIFS(薪酬明细!$O:$O,薪酬明细!$D:$D,$E87,薪酬明细!$E:$E,$F87,薪酬明细!$H:$H,"&gt;="&amp;AY$9,薪酬明细!$H:$H,"&lt;="&amp;AY$10,薪酬明细!$A:$A,AY$6)/10000</f>
        <v>88.4</v>
      </c>
      <c r="AZ87" s="120">
        <f>SUMIFS(薪酬明细!$O:$O,薪酬明细!$D:$D,$E87,薪酬明细!$E:$E,$F87,薪酬明细!$H:$H,"&gt;="&amp;AZ$9,薪酬明细!$H:$H,"&lt;="&amp;AZ$10,薪酬明细!$A:$A,AZ$6)/10000</f>
        <v>88.7</v>
      </c>
      <c r="BA87" s="120">
        <f>SUMIFS(薪酬明细!$O:$O,薪酬明细!$D:$D,$E87,薪酬明细!$E:$E,$F87,薪酬明细!$H:$H,"&gt;="&amp;BA$9,薪酬明细!$H:$H,"&lt;="&amp;BA$10,薪酬明细!$A:$A,BA$6)/10000</f>
        <v>88.3</v>
      </c>
      <c r="BB87" s="120">
        <f>SUMIFS(薪酬明细!$O:$O,薪酬明细!$D:$D,$E87,薪酬明细!$E:$E,$F87,薪酬明细!$H:$H,"&gt;="&amp;BB$9,薪酬明细!$H:$H,"&lt;="&amp;BB$10,薪酬明细!$A:$A,BB$6)/10000</f>
        <v>88.5</v>
      </c>
      <c r="BC87" s="120">
        <f>SUMIFS(薪酬明细!$O:$O,薪酬明细!$D:$D,$E87,薪酬明细!$E:$E,$F87,薪酬明细!$H:$H,"&gt;="&amp;BC$9,薪酬明细!$H:$H,"&lt;="&amp;BC$10,薪酬明细!$A:$A,BC$6)/10000</f>
        <v>88.7</v>
      </c>
      <c r="BD87" s="120">
        <f>SUMIFS(薪酬明细!$O:$O,薪酬明细!$D:$D,$E87,薪酬明细!$E:$E,$F87,薪酬明细!$H:$H,"&gt;="&amp;BD$9,薪酬明细!$H:$H,"&lt;="&amp;BD$10,薪酬明细!$A:$A,BD$6)/10000</f>
        <v>88.5</v>
      </c>
      <c r="BE87" s="120">
        <f>SUMIFS(薪酬明细!$O:$O,薪酬明细!$D:$D,$E87,薪酬明细!$E:$E,$F87,薪酬明细!$H:$H,"&gt;="&amp;BE$9,薪酬明细!$H:$H,"&lt;="&amp;BE$10,薪酬明细!$A:$A,BE$6)/10000</f>
        <v>88.7</v>
      </c>
      <c r="BF87" s="120">
        <f>SUMIFS(薪酬明细!$O:$O,薪酬明细!$D:$D,$E87,薪酬明细!$E:$E,$F87,薪酬明细!$H:$H,"&gt;="&amp;BF$9,薪酬明细!$H:$H,"&lt;="&amp;BF$10,薪酬明细!$A:$A,BF$6)/10000</f>
        <v>87.9</v>
      </c>
      <c r="BG87" s="120">
        <f>SUMIFS(薪酬明细!$O:$O,薪酬明细!$D:$D,$E87,薪酬明细!$E:$E,$F87,薪酬明细!$H:$H,"&gt;="&amp;BG$9,薪酬明细!$H:$H,"&lt;="&amp;BG$10,薪酬明细!$A:$A,BG$6)/10000</f>
        <v>88.2</v>
      </c>
    </row>
    <row r="88" ht="16.2" spans="3:59">
      <c r="C88" s="42" t="s">
        <v>79</v>
      </c>
      <c r="D88" s="42"/>
      <c r="E88" s="116" t="str">
        <f>IF(C88&lt;&gt;"",C88,E85)</f>
        <v>流程中心</v>
      </c>
      <c r="F88" s="116" t="str">
        <f>IF(D88&lt;&gt;"",D88,"*")</f>
        <v>*</v>
      </c>
      <c r="G88" s="121">
        <f>SUMIFS(薪酬明细!$O:$O,薪酬明细!$D:$D,$E88,薪酬明细!$E:$E,$F88,薪酬明细!$H:$H,"&gt;="&amp;G$9,薪酬明细!$H:$H,"&lt;="&amp;G$10,薪酬明细!$A:$A,G$6)/10000</f>
        <v>423.7</v>
      </c>
      <c r="H88" s="121">
        <f>SUMIFS(薪酬明细!$O:$O,薪酬明细!$D:$D,$E88,薪酬明细!$E:$E,$F88,薪酬明细!$H:$H,"&gt;="&amp;H$9,薪酬明细!$H:$H,"&lt;="&amp;H$10,薪酬明细!$A:$A,H$6)/10000</f>
        <v>35.2</v>
      </c>
      <c r="I88" s="121">
        <f>SUMIFS(薪酬明细!$O:$O,薪酬明细!$D:$D,$E88,薪酬明细!$E:$E,$F88,薪酬明细!$H:$H,"&gt;="&amp;I$9,薪酬明细!$H:$H,"&lt;="&amp;I$10,薪酬明细!$A:$A,I$6)/10000</f>
        <v>35.4</v>
      </c>
      <c r="J88" s="121">
        <f>SUMIFS(薪酬明细!$O:$O,薪酬明细!$D:$D,$E88,薪酬明细!$E:$E,$F88,薪酬明细!$H:$H,"&gt;="&amp;J$9,薪酬明细!$H:$H,"&lt;="&amp;J$10,薪酬明细!$A:$A,J$6)/10000</f>
        <v>35.4</v>
      </c>
      <c r="K88" s="121">
        <f>SUMIFS(薪酬明细!$O:$O,薪酬明细!$D:$D,$E88,薪酬明细!$E:$E,$F88,薪酬明细!$H:$H,"&gt;="&amp;K$9,薪酬明细!$H:$H,"&lt;="&amp;K$10,薪酬明细!$A:$A,K$6)/10000</f>
        <v>35.1</v>
      </c>
      <c r="L88" s="121">
        <f>SUMIFS(薪酬明细!$O:$O,薪酬明细!$D:$D,$E88,薪酬明细!$E:$E,$F88,薪酬明细!$H:$H,"&gt;="&amp;L$9,薪酬明细!$H:$H,"&lt;="&amp;L$10,薪酬明细!$A:$A,L$6)/10000</f>
        <v>35.3</v>
      </c>
      <c r="M88" s="121">
        <f>SUMIFS(薪酬明细!$O:$O,薪酬明细!$D:$D,$E88,薪酬明细!$E:$E,$F88,薪酬明细!$H:$H,"&gt;="&amp;M$9,薪酬明细!$H:$H,"&lt;="&amp;M$10,薪酬明细!$A:$A,M$6)/10000</f>
        <v>35.3</v>
      </c>
      <c r="N88" s="121">
        <f>SUMIFS(薪酬明细!$O:$O,薪酬明细!$D:$D,$E88,薪酬明细!$E:$E,$F88,薪酬明细!$H:$H,"&gt;="&amp;N$9,薪酬明细!$H:$H,"&lt;="&amp;N$10,薪酬明细!$A:$A,N$6)/10000</f>
        <v>35.5</v>
      </c>
      <c r="O88" s="121">
        <f>SUMIFS(薪酬明细!$O:$O,薪酬明细!$D:$D,$E88,薪酬明细!$E:$E,$F88,薪酬明细!$H:$H,"&gt;="&amp;O$9,薪酬明细!$H:$H,"&lt;="&amp;O$10,薪酬明细!$A:$A,O$6)/10000</f>
        <v>35.3</v>
      </c>
      <c r="P88" s="121">
        <f>SUMIFS(薪酬明细!$O:$O,薪酬明细!$D:$D,$E88,薪酬明细!$E:$E,$F88,薪酬明细!$H:$H,"&gt;="&amp;P$9,薪酬明细!$H:$H,"&lt;="&amp;P$10,薪酬明细!$A:$A,P$6)/10000</f>
        <v>35.5</v>
      </c>
      <c r="Q88" s="121">
        <f>SUMIFS(薪酬明细!$O:$O,薪酬明细!$D:$D,$E88,薪酬明细!$E:$E,$F88,薪酬明细!$H:$H,"&gt;="&amp;Q$9,薪酬明细!$H:$H,"&lt;="&amp;Q$10,薪酬明细!$A:$A,Q$6)/10000</f>
        <v>35.3</v>
      </c>
      <c r="R88" s="121">
        <f>SUMIFS(薪酬明细!$O:$O,薪酬明细!$D:$D,$E88,薪酬明细!$E:$E,$F88,薪酬明细!$H:$H,"&gt;="&amp;R$9,薪酬明细!$H:$H,"&lt;="&amp;R$10,薪酬明细!$A:$A,R$6)/10000</f>
        <v>35.3</v>
      </c>
      <c r="S88" s="121">
        <f>SUMIFS(薪酬明细!$O:$O,薪酬明细!$D:$D,$E88,薪酬明细!$E:$E,$F88,薪酬明细!$H:$H,"&gt;="&amp;S$9,薪酬明细!$H:$H,"&lt;="&amp;S$10,薪酬明细!$A:$A,S$6)/10000</f>
        <v>35.2</v>
      </c>
      <c r="T88" s="125">
        <f>U88+AH88</f>
        <v>422.8</v>
      </c>
      <c r="U88" s="121">
        <f>SUMIFS(薪酬明细!$O:$O,薪酬明细!$D:$D,$E88,薪酬明细!$E:$E,$F88,薪酬明细!$H:$H,"&gt;="&amp;U$9,薪酬明细!$H:$H,"&lt;="&amp;U$10,薪酬明细!$A:$A,U$6)/10000</f>
        <v>317</v>
      </c>
      <c r="V88" s="121">
        <f>SUMIFS(薪酬明细!$O:$O,薪酬明细!$D:$D,$E88,薪酬明细!$E:$E,$F88,薪酬明细!$H:$H,"&gt;="&amp;V$9,薪酬明细!$H:$H,"&lt;="&amp;V$10,薪酬明细!$A:$A,V$6)/10000</f>
        <v>35.3</v>
      </c>
      <c r="W88" s="121">
        <f>SUMIFS(薪酬明细!$O:$O,薪酬明细!$D:$D,$E88,薪酬明细!$E:$E,$F88,薪酬明细!$H:$H,"&gt;="&amp;W$9,薪酬明细!$H:$H,"&lt;="&amp;W$10,薪酬明细!$A:$A,W$6)/10000</f>
        <v>35.2</v>
      </c>
      <c r="X88" s="121">
        <f>SUMIFS(薪酬明细!$O:$O,薪酬明细!$D:$D,$E88,薪酬明细!$E:$E,$F88,薪酬明细!$H:$H,"&gt;="&amp;X$9,薪酬明细!$H:$H,"&lt;="&amp;X$10,薪酬明细!$A:$A,X$6)/10000</f>
        <v>35.2</v>
      </c>
      <c r="Y88" s="121">
        <f>SUMIFS(薪酬明细!$O:$O,薪酬明细!$D:$D,$E88,薪酬明细!$E:$E,$F88,薪酬明细!$H:$H,"&gt;="&amp;Y$9,薪酬明细!$H:$H,"&lt;="&amp;Y$10,薪酬明细!$A:$A,Y$6)/10000</f>
        <v>35.2</v>
      </c>
      <c r="Z88" s="121">
        <f>SUMIFS(薪酬明细!$O:$O,薪酬明细!$D:$D,$E88,薪酬明细!$E:$E,$F88,薪酬明细!$H:$H,"&gt;="&amp;Z$9,薪酬明细!$H:$H,"&lt;="&amp;Z$10,薪酬明细!$A:$A,Z$6)/10000</f>
        <v>35.1</v>
      </c>
      <c r="AA88" s="121">
        <f>SUMIFS(薪酬明细!$O:$O,薪酬明细!$D:$D,$E88,薪酬明细!$E:$E,$F88,薪酬明细!$H:$H,"&gt;="&amp;AA$9,薪酬明细!$H:$H,"&lt;="&amp;AA$10,薪酬明细!$A:$A,AA$6)/10000</f>
        <v>35.2</v>
      </c>
      <c r="AB88" s="121">
        <f>SUMIFS(薪酬明细!$O:$O,薪酬明细!$D:$D,$E88,薪酬明细!$E:$E,$F88,薪酬明细!$H:$H,"&gt;="&amp;AB$9,薪酬明细!$H:$H,"&lt;="&amp;AB$10,薪酬明细!$A:$A,AB$6)/10000</f>
        <v>35.2</v>
      </c>
      <c r="AC88" s="121">
        <f>SUMIFS(薪酬明细!$O:$O,薪酬明细!$D:$D,$E88,薪酬明细!$E:$E,$F88,薪酬明细!$H:$H,"&gt;="&amp;AC$9,薪酬明细!$H:$H,"&lt;="&amp;AC$10,薪酬明细!$A:$A,AC$6)/10000</f>
        <v>35.3</v>
      </c>
      <c r="AD88" s="121">
        <f>SUMIFS(薪酬明细!$O:$O,薪酬明细!$D:$D,$E88,薪酬明细!$E:$E,$F88,薪酬明细!$H:$H,"&gt;="&amp;AD$9,薪酬明细!$H:$H,"&lt;="&amp;AD$10,薪酬明细!$A:$A,AD$6)/10000</f>
        <v>35.5</v>
      </c>
      <c r="AE88" s="121">
        <f>SUMIFS(薪酬明细!$O:$O,薪酬明细!$D:$D,$E88,薪酬明细!$E:$E,$F88,薪酬明细!$H:$H,"&gt;="&amp;AE$9,薪酬明细!$H:$H,"&lt;="&amp;AE$10,薪酬明细!$A:$A,AE$6)/10000</f>
        <v>0</v>
      </c>
      <c r="AF88" s="121">
        <f>SUMIFS(薪酬明细!$O:$O,薪酬明细!$D:$D,$E88,薪酬明细!$E:$E,$F88,薪酬明细!$H:$H,"&gt;="&amp;AF$9,薪酬明细!$H:$H,"&lt;="&amp;AF$10,薪酬明细!$A:$A,AF$6)/10000</f>
        <v>0</v>
      </c>
      <c r="AG88" s="121">
        <f>SUMIFS(薪酬明细!$O:$O,薪酬明细!$D:$D,$E88,薪酬明细!$E:$E,$F88,薪酬明细!$H:$H,"&gt;="&amp;AG$9,薪酬明细!$H:$H,"&lt;="&amp;AG$10,薪酬明细!$A:$A,AG$6)/10000</f>
        <v>0</v>
      </c>
      <c r="AH88" s="121">
        <f>SUMIFS(薪酬明细!$O:$O,薪酬明细!$D:$D,$E88,薪酬明细!$E:$E,$F88,薪酬明细!$H:$H,"&gt;="&amp;AH$9,薪酬明细!$H:$H,"&lt;="&amp;AH$10,薪酬明细!$A:$A,AH$6)/10000</f>
        <v>105.8</v>
      </c>
      <c r="AI88" s="121">
        <f>SUMIFS(薪酬明细!$O:$O,薪酬明细!$D:$D,$E88,薪酬明细!$E:$E,$F88,薪酬明细!$H:$H,"&gt;="&amp;AI$9,薪酬明细!$H:$H,"&lt;="&amp;AI$10,薪酬明细!$A:$A,AI$6)/10000</f>
        <v>0</v>
      </c>
      <c r="AJ88" s="121">
        <f>SUMIFS(薪酬明细!$O:$O,薪酬明细!$D:$D,$E88,薪酬明细!$E:$E,$F88,薪酬明细!$H:$H,"&gt;="&amp;AJ$9,薪酬明细!$H:$H,"&lt;="&amp;AJ$10,薪酬明细!$A:$A,AJ$6)/10000</f>
        <v>0</v>
      </c>
      <c r="AK88" s="121">
        <f>SUMIFS(薪酬明细!$O:$O,薪酬明细!$D:$D,$E88,薪酬明细!$E:$E,$F88,薪酬明细!$H:$H,"&gt;="&amp;AK$9,薪酬明细!$H:$H,"&lt;="&amp;AK$10,薪酬明细!$A:$A,AK$6)/10000</f>
        <v>0</v>
      </c>
      <c r="AL88" s="121">
        <f>SUMIFS(薪酬明细!$O:$O,薪酬明细!$D:$D,$E88,薪酬明细!$E:$E,$F88,薪酬明细!$H:$H,"&gt;="&amp;AL$9,薪酬明细!$H:$H,"&lt;="&amp;AL$10,薪酬明细!$A:$A,AL$6)/10000</f>
        <v>0</v>
      </c>
      <c r="AM88" s="121">
        <f>SUMIFS(薪酬明细!$O:$O,薪酬明细!$D:$D,$E88,薪酬明细!$E:$E,$F88,薪酬明细!$H:$H,"&gt;="&amp;AM$9,薪酬明细!$H:$H,"&lt;="&amp;AM$10,薪酬明细!$A:$A,AM$6)/10000</f>
        <v>0</v>
      </c>
      <c r="AN88" s="121">
        <f>SUMIFS(薪酬明细!$O:$O,薪酬明细!$D:$D,$E88,薪酬明细!$E:$E,$F88,薪酬明细!$H:$H,"&gt;="&amp;AN$9,薪酬明细!$H:$H,"&lt;="&amp;AN$10,薪酬明细!$A:$A,AN$6)/10000</f>
        <v>0</v>
      </c>
      <c r="AO88" s="121">
        <f>SUMIFS(薪酬明细!$O:$O,薪酬明细!$D:$D,$E88,薪酬明细!$E:$E,$F88,薪酬明细!$H:$H,"&gt;="&amp;AO$9,薪酬明细!$H:$H,"&lt;="&amp;AO$10,薪酬明细!$A:$A,AO$6)/10000</f>
        <v>0</v>
      </c>
      <c r="AP88" s="121">
        <f>SUMIFS(薪酬明细!$O:$O,薪酬明细!$D:$D,$E88,薪酬明细!$E:$E,$F88,薪酬明细!$H:$H,"&gt;="&amp;AP$9,薪酬明细!$H:$H,"&lt;="&amp;AP$10,薪酬明细!$A:$A,AP$6)/10000</f>
        <v>0</v>
      </c>
      <c r="AQ88" s="121">
        <f>SUMIFS(薪酬明细!$O:$O,薪酬明细!$D:$D,$E88,薪酬明细!$E:$E,$F88,薪酬明细!$H:$H,"&gt;="&amp;AQ$9,薪酬明细!$H:$H,"&lt;="&amp;AQ$10,薪酬明细!$A:$A,AQ$6)/10000</f>
        <v>0</v>
      </c>
      <c r="AR88" s="121">
        <f>SUMIFS(薪酬明细!$O:$O,薪酬明细!$D:$D,$E88,薪酬明细!$E:$E,$F88,薪酬明细!$H:$H,"&gt;="&amp;AR$9,薪酬明细!$H:$H,"&lt;="&amp;AR$10,薪酬明细!$A:$A,AR$6)/10000</f>
        <v>35.4</v>
      </c>
      <c r="AS88" s="121">
        <f>SUMIFS(薪酬明细!$O:$O,薪酬明细!$D:$D,$E88,薪酬明细!$E:$E,$F88,薪酬明细!$H:$H,"&gt;="&amp;AS$9,薪酬明细!$H:$H,"&lt;="&amp;AS$10,薪酬明细!$A:$A,AS$6)/10000</f>
        <v>35.3</v>
      </c>
      <c r="AT88" s="121">
        <f>SUMIFS(薪酬明细!$O:$O,薪酬明细!$D:$D,$E88,薪酬明细!$E:$E,$F88,薪酬明细!$H:$H,"&gt;="&amp;AT$9,薪酬明细!$H:$H,"&lt;="&amp;AT$10,薪酬明细!$A:$A,AT$6)/10000</f>
        <v>35.1</v>
      </c>
      <c r="AU88" s="121">
        <f>SUMIFS(薪酬明细!$O:$O,薪酬明细!$D:$D,$E88,薪酬明细!$E:$E,$F88,薪酬明细!$H:$H,"&gt;="&amp;AU$9,薪酬明细!$H:$H,"&lt;="&amp;AU$10,薪酬明细!$A:$A,AU$6)/10000</f>
        <v>423.1</v>
      </c>
      <c r="AV88" s="121">
        <f>SUMIFS(薪酬明细!$O:$O,薪酬明细!$D:$D,$E88,薪酬明细!$E:$E,$F88,薪酬明细!$H:$H,"&gt;="&amp;AV$9,薪酬明细!$H:$H,"&lt;="&amp;AV$10,薪酬明细!$A:$A,AV$6)/10000</f>
        <v>35.1</v>
      </c>
      <c r="AW88" s="121">
        <f>SUMIFS(薪酬明细!$O:$O,薪酬明细!$D:$D,$E88,薪酬明细!$E:$E,$F88,薪酬明细!$H:$H,"&gt;="&amp;AW$9,薪酬明细!$H:$H,"&lt;="&amp;AW$10,薪酬明细!$A:$A,AW$6)/10000</f>
        <v>35.4</v>
      </c>
      <c r="AX88" s="121">
        <f>SUMIFS(薪酬明细!$O:$O,薪酬明细!$D:$D,$E88,薪酬明细!$E:$E,$F88,薪酬明细!$H:$H,"&gt;="&amp;AX$9,薪酬明细!$H:$H,"&lt;="&amp;AX$10,薪酬明细!$A:$A,AX$6)/10000</f>
        <v>35.5</v>
      </c>
      <c r="AY88" s="121">
        <f>SUMIFS(薪酬明细!$O:$O,薪酬明细!$D:$D,$E88,薪酬明细!$E:$E,$F88,薪酬明细!$H:$H,"&gt;="&amp;AY$9,薪酬明细!$H:$H,"&lt;="&amp;AY$10,薪酬明细!$A:$A,AY$6)/10000</f>
        <v>35.2</v>
      </c>
      <c r="AZ88" s="121">
        <f>SUMIFS(薪酬明细!$O:$O,薪酬明细!$D:$D,$E88,薪酬明细!$E:$E,$F88,薪酬明细!$H:$H,"&gt;="&amp;AZ$9,薪酬明细!$H:$H,"&lt;="&amp;AZ$10,薪酬明细!$A:$A,AZ$6)/10000</f>
        <v>35.3</v>
      </c>
      <c r="BA88" s="121">
        <f>SUMIFS(薪酬明细!$O:$O,薪酬明细!$D:$D,$E88,薪酬明细!$E:$E,$F88,薪酬明细!$H:$H,"&gt;="&amp;BA$9,薪酬明细!$H:$H,"&lt;="&amp;BA$10,薪酬明细!$A:$A,BA$6)/10000</f>
        <v>35.2</v>
      </c>
      <c r="BB88" s="121">
        <f>SUMIFS(薪酬明细!$O:$O,薪酬明细!$D:$D,$E88,薪酬明细!$E:$E,$F88,薪酬明细!$H:$H,"&gt;="&amp;BB$9,薪酬明细!$H:$H,"&lt;="&amp;BB$10,薪酬明细!$A:$A,BB$6)/10000</f>
        <v>35.3</v>
      </c>
      <c r="BC88" s="121">
        <f>SUMIFS(薪酬明细!$O:$O,薪酬明细!$D:$D,$E88,薪酬明细!$E:$E,$F88,薪酬明细!$H:$H,"&gt;="&amp;BC$9,薪酬明细!$H:$H,"&lt;="&amp;BC$10,薪酬明细!$A:$A,BC$6)/10000</f>
        <v>35.5</v>
      </c>
      <c r="BD88" s="121">
        <f>SUMIFS(薪酬明细!$O:$O,薪酬明细!$D:$D,$E88,薪酬明细!$E:$E,$F88,薪酬明细!$H:$H,"&gt;="&amp;BD$9,薪酬明细!$H:$H,"&lt;="&amp;BD$10,薪酬明细!$A:$A,BD$6)/10000</f>
        <v>35</v>
      </c>
      <c r="BE88" s="121">
        <f>SUMIFS(薪酬明细!$O:$O,薪酬明细!$D:$D,$E88,薪酬明细!$E:$E,$F88,薪酬明细!$H:$H,"&gt;="&amp;BE$9,薪酬明细!$H:$H,"&lt;="&amp;BE$10,薪酬明细!$A:$A,BE$6)/10000</f>
        <v>35.2</v>
      </c>
      <c r="BF88" s="121">
        <f>SUMIFS(薪酬明细!$O:$O,薪酬明细!$D:$D,$E88,薪酬明细!$E:$E,$F88,薪酬明细!$H:$H,"&gt;="&amp;BF$9,薪酬明细!$H:$H,"&lt;="&amp;BF$10,薪酬明细!$A:$A,BF$6)/10000</f>
        <v>35.2</v>
      </c>
      <c r="BG88" s="121">
        <f>SUMIFS(薪酬明细!$O:$O,薪酬明细!$D:$D,$E88,薪酬明细!$E:$E,$F88,薪酬明细!$H:$H,"&gt;="&amp;BG$9,薪酬明细!$H:$H,"&lt;="&amp;BG$10,薪酬明细!$A:$A,BG$6)/10000</f>
        <v>35.1</v>
      </c>
    </row>
    <row r="89" ht="16.2" spans="3:59">
      <c r="C89" s="42"/>
      <c r="D89" s="42" t="s">
        <v>80</v>
      </c>
      <c r="E89" s="116" t="str">
        <f t="shared" ref="E89:E99" si="93">IF(C89&lt;&gt;"",C89,E88)</f>
        <v>流程中心</v>
      </c>
      <c r="F89" s="116" t="str">
        <f t="shared" ref="F89:F99" si="94">IF(D89&lt;&gt;"",D89,"*")</f>
        <v>销售中心</v>
      </c>
      <c r="G89" s="121">
        <f>SUMIFS(薪酬明细!$O:$O,薪酬明细!$D:$D,$E89,薪酬明细!$E:$E,$F89,薪酬明细!$H:$H,"&gt;="&amp;G$9,薪酬明细!$H:$H,"&lt;="&amp;G$10,薪酬明细!$A:$A,G$6)/10000</f>
        <v>219.7</v>
      </c>
      <c r="H89" s="121">
        <f>SUMIFS(薪酬明细!$O:$O,薪酬明细!$D:$D,$E89,薪酬明细!$E:$E,$F89,薪酬明细!$H:$H,"&gt;="&amp;H$9,薪酬明细!$H:$H,"&lt;="&amp;H$10,薪酬明细!$A:$A,H$6)/10000</f>
        <v>18.2</v>
      </c>
      <c r="I89" s="121">
        <f>SUMIFS(薪酬明细!$O:$O,薪酬明细!$D:$D,$E89,薪酬明细!$E:$E,$F89,薪酬明细!$H:$H,"&gt;="&amp;I$9,薪酬明细!$H:$H,"&lt;="&amp;I$10,薪酬明细!$A:$A,I$6)/10000</f>
        <v>18.2</v>
      </c>
      <c r="J89" s="121">
        <f>SUMIFS(薪酬明细!$O:$O,薪酬明细!$D:$D,$E89,薪酬明细!$E:$E,$F89,薪酬明细!$H:$H,"&gt;="&amp;J$9,薪酬明细!$H:$H,"&lt;="&amp;J$10,薪酬明细!$A:$A,J$6)/10000</f>
        <v>18.3</v>
      </c>
      <c r="K89" s="121">
        <f>SUMIFS(薪酬明细!$O:$O,薪酬明细!$D:$D,$E89,薪酬明细!$E:$E,$F89,薪酬明细!$H:$H,"&gt;="&amp;K$9,薪酬明细!$H:$H,"&lt;="&amp;K$10,薪酬明细!$A:$A,K$6)/10000</f>
        <v>18.1</v>
      </c>
      <c r="L89" s="121">
        <f>SUMIFS(薪酬明细!$O:$O,薪酬明细!$D:$D,$E89,薪酬明细!$E:$E,$F89,薪酬明细!$H:$H,"&gt;="&amp;L$9,薪酬明细!$H:$H,"&lt;="&amp;L$10,薪酬明细!$A:$A,L$6)/10000</f>
        <v>18.4</v>
      </c>
      <c r="M89" s="121">
        <f>SUMIFS(薪酬明细!$O:$O,薪酬明细!$D:$D,$E89,薪酬明细!$E:$E,$F89,薪酬明细!$H:$H,"&gt;="&amp;M$9,薪酬明细!$H:$H,"&lt;="&amp;M$10,薪酬明细!$A:$A,M$6)/10000</f>
        <v>18.3</v>
      </c>
      <c r="N89" s="121">
        <f>SUMIFS(薪酬明细!$O:$O,薪酬明细!$D:$D,$E89,薪酬明细!$E:$E,$F89,薪酬明细!$H:$H,"&gt;="&amp;N$9,薪酬明细!$H:$H,"&lt;="&amp;N$10,薪酬明细!$A:$A,N$6)/10000</f>
        <v>18.3</v>
      </c>
      <c r="O89" s="121">
        <f>SUMIFS(薪酬明细!$O:$O,薪酬明细!$D:$D,$E89,薪酬明细!$E:$E,$F89,薪酬明细!$H:$H,"&gt;="&amp;O$9,薪酬明细!$H:$H,"&lt;="&amp;O$10,薪酬明细!$A:$A,O$6)/10000</f>
        <v>18.4</v>
      </c>
      <c r="P89" s="121">
        <f>SUMIFS(薪酬明细!$O:$O,薪酬明细!$D:$D,$E89,薪酬明细!$E:$E,$F89,薪酬明细!$H:$H,"&gt;="&amp;P$9,薪酬明细!$H:$H,"&lt;="&amp;P$10,薪酬明细!$A:$A,P$6)/10000</f>
        <v>18.5</v>
      </c>
      <c r="Q89" s="121">
        <f>SUMIFS(薪酬明细!$O:$O,薪酬明细!$D:$D,$E89,薪酬明细!$E:$E,$F89,薪酬明细!$H:$H,"&gt;="&amp;Q$9,薪酬明细!$H:$H,"&lt;="&amp;Q$10,薪酬明细!$A:$A,Q$6)/10000</f>
        <v>18.4</v>
      </c>
      <c r="R89" s="121">
        <f>SUMIFS(薪酬明细!$O:$O,薪酬明细!$D:$D,$E89,薪酬明细!$E:$E,$F89,薪酬明细!$H:$H,"&gt;="&amp;R$9,薪酬明细!$H:$H,"&lt;="&amp;R$10,薪酬明细!$A:$A,R$6)/10000</f>
        <v>18.4</v>
      </c>
      <c r="S89" s="121">
        <f>SUMIFS(薪酬明细!$O:$O,薪酬明细!$D:$D,$E89,薪酬明细!$E:$E,$F89,薪酬明细!$H:$H,"&gt;="&amp;S$9,薪酬明细!$H:$H,"&lt;="&amp;S$10,薪酬明细!$A:$A,S$6)/10000</f>
        <v>18.3</v>
      </c>
      <c r="T89" s="125">
        <f t="shared" ref="T89:T99" si="95">U89+AH89</f>
        <v>219.2</v>
      </c>
      <c r="U89" s="121">
        <f>SUMIFS(薪酬明细!$O:$O,薪酬明细!$D:$D,$E89,薪酬明细!$E:$E,$F89,薪酬明细!$H:$H,"&gt;="&amp;U$9,薪酬明细!$H:$H,"&lt;="&amp;U$10,薪酬明细!$A:$A,U$6)/10000</f>
        <v>164.1</v>
      </c>
      <c r="V89" s="121">
        <f>SUMIFS(薪酬明细!$O:$O,薪酬明细!$D:$D,$E89,薪酬明细!$E:$E,$F89,薪酬明细!$H:$H,"&gt;="&amp;V$9,薪酬明细!$H:$H,"&lt;="&amp;V$10,薪酬明细!$A:$A,V$6)/10000</f>
        <v>18.4</v>
      </c>
      <c r="W89" s="121">
        <f>SUMIFS(薪酬明细!$O:$O,薪酬明细!$D:$D,$E89,薪酬明细!$E:$E,$F89,薪酬明细!$H:$H,"&gt;="&amp;W$9,薪酬明细!$H:$H,"&lt;="&amp;W$10,薪酬明细!$A:$A,W$6)/10000</f>
        <v>18.3</v>
      </c>
      <c r="X89" s="121">
        <f>SUMIFS(薪酬明细!$O:$O,薪酬明细!$D:$D,$E89,薪酬明细!$E:$E,$F89,薪酬明细!$H:$H,"&gt;="&amp;X$9,薪酬明细!$H:$H,"&lt;="&amp;X$10,薪酬明细!$A:$A,X$6)/10000</f>
        <v>18.1</v>
      </c>
      <c r="Y89" s="121">
        <f>SUMIFS(薪酬明细!$O:$O,薪酬明细!$D:$D,$E89,薪酬明细!$E:$E,$F89,薪酬明细!$H:$H,"&gt;="&amp;Y$9,薪酬明细!$H:$H,"&lt;="&amp;Y$10,薪酬明细!$A:$A,Y$6)/10000</f>
        <v>18.2</v>
      </c>
      <c r="Z89" s="121">
        <f>SUMIFS(薪酬明细!$O:$O,薪酬明细!$D:$D,$E89,薪酬明细!$E:$E,$F89,薪酬明细!$H:$H,"&gt;="&amp;Z$9,薪酬明细!$H:$H,"&lt;="&amp;Z$10,薪酬明细!$A:$A,Z$6)/10000</f>
        <v>18.2</v>
      </c>
      <c r="AA89" s="121">
        <f>SUMIFS(薪酬明细!$O:$O,薪酬明细!$D:$D,$E89,薪酬明细!$E:$E,$F89,薪酬明细!$H:$H,"&gt;="&amp;AA$9,薪酬明细!$H:$H,"&lt;="&amp;AA$10,薪酬明细!$A:$A,AA$6)/10000</f>
        <v>18.3</v>
      </c>
      <c r="AB89" s="121">
        <f>SUMIFS(薪酬明细!$O:$O,薪酬明细!$D:$D,$E89,薪酬明细!$E:$E,$F89,薪酬明细!$H:$H,"&gt;="&amp;AB$9,薪酬明细!$H:$H,"&lt;="&amp;AB$10,薪酬明细!$A:$A,AB$6)/10000</f>
        <v>18.1</v>
      </c>
      <c r="AC89" s="121">
        <f>SUMIFS(薪酬明细!$O:$O,薪酬明细!$D:$D,$E89,薪酬明细!$E:$E,$F89,薪酬明细!$H:$H,"&gt;="&amp;AC$9,薪酬明细!$H:$H,"&lt;="&amp;AC$10,薪酬明细!$A:$A,AC$6)/10000</f>
        <v>18.2</v>
      </c>
      <c r="AD89" s="121">
        <f>SUMIFS(薪酬明细!$O:$O,薪酬明细!$D:$D,$E89,薪酬明细!$E:$E,$F89,薪酬明细!$H:$H,"&gt;="&amp;AD$9,薪酬明细!$H:$H,"&lt;="&amp;AD$10,薪酬明细!$A:$A,AD$6)/10000</f>
        <v>18.4</v>
      </c>
      <c r="AE89" s="121">
        <f>SUMIFS(薪酬明细!$O:$O,薪酬明细!$D:$D,$E89,薪酬明细!$E:$E,$F89,薪酬明细!$H:$H,"&gt;="&amp;AE$9,薪酬明细!$H:$H,"&lt;="&amp;AE$10,薪酬明细!$A:$A,AE$6)/10000</f>
        <v>0</v>
      </c>
      <c r="AF89" s="121">
        <f>SUMIFS(薪酬明细!$O:$O,薪酬明细!$D:$D,$E89,薪酬明细!$E:$E,$F89,薪酬明细!$H:$H,"&gt;="&amp;AF$9,薪酬明细!$H:$H,"&lt;="&amp;AF$10,薪酬明细!$A:$A,AF$6)/10000</f>
        <v>0</v>
      </c>
      <c r="AG89" s="121">
        <f>SUMIFS(薪酬明细!$O:$O,薪酬明细!$D:$D,$E89,薪酬明细!$E:$E,$F89,薪酬明细!$H:$H,"&gt;="&amp;AG$9,薪酬明细!$H:$H,"&lt;="&amp;AG$10,薪酬明细!$A:$A,AG$6)/10000</f>
        <v>0</v>
      </c>
      <c r="AH89" s="121">
        <f>SUMIFS(薪酬明细!$O:$O,薪酬明细!$D:$D,$E89,薪酬明细!$E:$E,$F89,薪酬明细!$H:$H,"&gt;="&amp;AH$9,薪酬明细!$H:$H,"&lt;="&amp;AH$10,薪酬明细!$A:$A,AH$6)/10000</f>
        <v>55.1</v>
      </c>
      <c r="AI89" s="121">
        <f>SUMIFS(薪酬明细!$O:$O,薪酬明细!$D:$D,$E89,薪酬明细!$E:$E,$F89,薪酬明细!$H:$H,"&gt;="&amp;AI$9,薪酬明细!$H:$H,"&lt;="&amp;AI$10,薪酬明细!$A:$A,AI$6)/10000</f>
        <v>0</v>
      </c>
      <c r="AJ89" s="121">
        <f>SUMIFS(薪酬明细!$O:$O,薪酬明细!$D:$D,$E89,薪酬明细!$E:$E,$F89,薪酬明细!$H:$H,"&gt;="&amp;AJ$9,薪酬明细!$H:$H,"&lt;="&amp;AJ$10,薪酬明细!$A:$A,AJ$6)/10000</f>
        <v>0</v>
      </c>
      <c r="AK89" s="121">
        <f>SUMIFS(薪酬明细!$O:$O,薪酬明细!$D:$D,$E89,薪酬明细!$E:$E,$F89,薪酬明细!$H:$H,"&gt;="&amp;AK$9,薪酬明细!$H:$H,"&lt;="&amp;AK$10,薪酬明细!$A:$A,AK$6)/10000</f>
        <v>0</v>
      </c>
      <c r="AL89" s="121">
        <f>SUMIFS(薪酬明细!$O:$O,薪酬明细!$D:$D,$E89,薪酬明细!$E:$E,$F89,薪酬明细!$H:$H,"&gt;="&amp;AL$9,薪酬明细!$H:$H,"&lt;="&amp;AL$10,薪酬明细!$A:$A,AL$6)/10000</f>
        <v>0</v>
      </c>
      <c r="AM89" s="121">
        <f>SUMIFS(薪酬明细!$O:$O,薪酬明细!$D:$D,$E89,薪酬明细!$E:$E,$F89,薪酬明细!$H:$H,"&gt;="&amp;AM$9,薪酬明细!$H:$H,"&lt;="&amp;AM$10,薪酬明细!$A:$A,AM$6)/10000</f>
        <v>0</v>
      </c>
      <c r="AN89" s="121">
        <f>SUMIFS(薪酬明细!$O:$O,薪酬明细!$D:$D,$E89,薪酬明细!$E:$E,$F89,薪酬明细!$H:$H,"&gt;="&amp;AN$9,薪酬明细!$H:$H,"&lt;="&amp;AN$10,薪酬明细!$A:$A,AN$6)/10000</f>
        <v>0</v>
      </c>
      <c r="AO89" s="121">
        <f>SUMIFS(薪酬明细!$O:$O,薪酬明细!$D:$D,$E89,薪酬明细!$E:$E,$F89,薪酬明细!$H:$H,"&gt;="&amp;AO$9,薪酬明细!$H:$H,"&lt;="&amp;AO$10,薪酬明细!$A:$A,AO$6)/10000</f>
        <v>0</v>
      </c>
      <c r="AP89" s="121">
        <f>SUMIFS(薪酬明细!$O:$O,薪酬明细!$D:$D,$E89,薪酬明细!$E:$E,$F89,薪酬明细!$H:$H,"&gt;="&amp;AP$9,薪酬明细!$H:$H,"&lt;="&amp;AP$10,薪酬明细!$A:$A,AP$6)/10000</f>
        <v>0</v>
      </c>
      <c r="AQ89" s="121">
        <f>SUMIFS(薪酬明细!$O:$O,薪酬明细!$D:$D,$E89,薪酬明细!$E:$E,$F89,薪酬明细!$H:$H,"&gt;="&amp;AQ$9,薪酬明细!$H:$H,"&lt;="&amp;AQ$10,薪酬明细!$A:$A,AQ$6)/10000</f>
        <v>0</v>
      </c>
      <c r="AR89" s="121">
        <f>SUMIFS(薪酬明细!$O:$O,薪酬明细!$D:$D,$E89,薪酬明细!$E:$E,$F89,薪酬明细!$H:$H,"&gt;="&amp;AR$9,薪酬明细!$H:$H,"&lt;="&amp;AR$10,薪酬明细!$A:$A,AR$6)/10000</f>
        <v>18.4</v>
      </c>
      <c r="AS89" s="121">
        <f>SUMIFS(薪酬明细!$O:$O,薪酬明细!$D:$D,$E89,薪酬明细!$E:$E,$F89,薪酬明细!$H:$H,"&gt;="&amp;AS$9,薪酬明细!$H:$H,"&lt;="&amp;AS$10,薪酬明细!$A:$A,AS$6)/10000</f>
        <v>18.4</v>
      </c>
      <c r="AT89" s="121">
        <f>SUMIFS(薪酬明细!$O:$O,薪酬明细!$D:$D,$E89,薪酬明细!$E:$E,$F89,薪酬明细!$H:$H,"&gt;="&amp;AT$9,薪酬明细!$H:$H,"&lt;="&amp;AT$10,薪酬明细!$A:$A,AT$6)/10000</f>
        <v>18.2</v>
      </c>
      <c r="AU89" s="121">
        <f>SUMIFS(薪酬明细!$O:$O,薪酬明细!$D:$D,$E89,薪酬明细!$E:$E,$F89,薪酬明细!$H:$H,"&gt;="&amp;AU$9,薪酬明细!$H:$H,"&lt;="&amp;AU$10,薪酬明细!$A:$A,AU$6)/10000</f>
        <v>219.4</v>
      </c>
      <c r="AV89" s="121">
        <f>SUMIFS(薪酬明细!$O:$O,薪酬明细!$D:$D,$E89,薪酬明细!$E:$E,$F89,薪酬明细!$H:$H,"&gt;="&amp;AV$9,薪酬明细!$H:$H,"&lt;="&amp;AV$10,薪酬明细!$A:$A,AV$6)/10000</f>
        <v>18.2</v>
      </c>
      <c r="AW89" s="121">
        <f>SUMIFS(薪酬明细!$O:$O,薪酬明细!$D:$D,$E89,薪酬明细!$E:$E,$F89,薪酬明细!$H:$H,"&gt;="&amp;AW$9,薪酬明细!$H:$H,"&lt;="&amp;AW$10,薪酬明细!$A:$A,AW$6)/10000</f>
        <v>18.4</v>
      </c>
      <c r="AX89" s="121">
        <f>SUMIFS(薪酬明细!$O:$O,薪酬明细!$D:$D,$E89,薪酬明细!$E:$E,$F89,薪酬明细!$H:$H,"&gt;="&amp;AX$9,薪酬明细!$H:$H,"&lt;="&amp;AX$10,薪酬明细!$A:$A,AX$6)/10000</f>
        <v>18.4</v>
      </c>
      <c r="AY89" s="121">
        <f>SUMIFS(薪酬明细!$O:$O,薪酬明细!$D:$D,$E89,薪酬明细!$E:$E,$F89,薪酬明细!$H:$H,"&gt;="&amp;AY$9,薪酬明细!$H:$H,"&lt;="&amp;AY$10,薪酬明细!$A:$A,AY$6)/10000</f>
        <v>18.3</v>
      </c>
      <c r="AZ89" s="121">
        <f>SUMIFS(薪酬明细!$O:$O,薪酬明细!$D:$D,$E89,薪酬明细!$E:$E,$F89,薪酬明细!$H:$H,"&gt;="&amp;AZ$9,薪酬明细!$H:$H,"&lt;="&amp;AZ$10,薪酬明细!$A:$A,AZ$6)/10000</f>
        <v>18.4</v>
      </c>
      <c r="BA89" s="121">
        <f>SUMIFS(薪酬明细!$O:$O,薪酬明细!$D:$D,$E89,薪酬明细!$E:$E,$F89,薪酬明细!$H:$H,"&gt;="&amp;BA$9,薪酬明细!$H:$H,"&lt;="&amp;BA$10,薪酬明细!$A:$A,BA$6)/10000</f>
        <v>18.3</v>
      </c>
      <c r="BB89" s="121">
        <f>SUMIFS(薪酬明细!$O:$O,薪酬明细!$D:$D,$E89,薪酬明细!$E:$E,$F89,薪酬明细!$H:$H,"&gt;="&amp;BB$9,薪酬明细!$H:$H,"&lt;="&amp;BB$10,薪酬明细!$A:$A,BB$6)/10000</f>
        <v>18.3</v>
      </c>
      <c r="BC89" s="121">
        <f>SUMIFS(薪酬明细!$O:$O,薪酬明细!$D:$D,$E89,薪酬明细!$E:$E,$F89,薪酬明细!$H:$H,"&gt;="&amp;BC$9,薪酬明细!$H:$H,"&lt;="&amp;BC$10,薪酬明细!$A:$A,BC$6)/10000</f>
        <v>18.4</v>
      </c>
      <c r="BD89" s="121">
        <f>SUMIFS(薪酬明细!$O:$O,薪酬明细!$D:$D,$E89,薪酬明细!$E:$E,$F89,薪酬明细!$H:$H,"&gt;="&amp;BD$9,薪酬明细!$H:$H,"&lt;="&amp;BD$10,薪酬明细!$A:$A,BD$6)/10000</f>
        <v>18.1</v>
      </c>
      <c r="BE89" s="121">
        <f>SUMIFS(薪酬明细!$O:$O,薪酬明细!$D:$D,$E89,薪酬明细!$E:$E,$F89,薪酬明细!$H:$H,"&gt;="&amp;BE$9,薪酬明细!$H:$H,"&lt;="&amp;BE$10,薪酬明细!$A:$A,BE$6)/10000</f>
        <v>18.2</v>
      </c>
      <c r="BF89" s="121">
        <f>SUMIFS(薪酬明细!$O:$O,薪酬明细!$D:$D,$E89,薪酬明细!$E:$E,$F89,薪酬明细!$H:$H,"&gt;="&amp;BF$9,薪酬明细!$H:$H,"&lt;="&amp;BF$10,薪酬明细!$A:$A,BF$6)/10000</f>
        <v>18.3</v>
      </c>
      <c r="BG89" s="121">
        <f>SUMIFS(薪酬明细!$O:$O,薪酬明细!$D:$D,$E89,薪酬明细!$E:$E,$F89,薪酬明细!$H:$H,"&gt;="&amp;BG$9,薪酬明细!$H:$H,"&lt;="&amp;BG$10,薪酬明细!$A:$A,BG$6)/10000</f>
        <v>18.1</v>
      </c>
    </row>
    <row r="90" ht="16.2" spans="3:59">
      <c r="C90" s="42"/>
      <c r="D90" s="42" t="s">
        <v>81</v>
      </c>
      <c r="E90" s="116" t="str">
        <f t="shared" si="93"/>
        <v>流程中心</v>
      </c>
      <c r="F90" s="116" t="str">
        <f t="shared" si="94"/>
        <v>制造中心</v>
      </c>
      <c r="G90" s="121">
        <f>SUMIFS(薪酬明细!$O:$O,薪酬明细!$D:$D,$E90,薪酬明细!$E:$E,$F90,薪酬明细!$H:$H,"&gt;="&amp;G$9,薪酬明细!$H:$H,"&lt;="&amp;G$10,薪酬明细!$A:$A,G$6)/10000</f>
        <v>204</v>
      </c>
      <c r="H90" s="121">
        <f>SUMIFS(薪酬明细!$O:$O,薪酬明细!$D:$D,$E90,薪酬明细!$E:$E,$F90,薪酬明细!$H:$H,"&gt;="&amp;H$9,薪酬明细!$H:$H,"&lt;="&amp;H$10,薪酬明细!$A:$A,H$6)/10000</f>
        <v>17</v>
      </c>
      <c r="I90" s="121">
        <f>SUMIFS(薪酬明细!$O:$O,薪酬明细!$D:$D,$E90,薪酬明细!$E:$E,$F90,薪酬明细!$H:$H,"&gt;="&amp;I$9,薪酬明细!$H:$H,"&lt;="&amp;I$10,薪酬明细!$A:$A,I$6)/10000</f>
        <v>17.1</v>
      </c>
      <c r="J90" s="121">
        <f>SUMIFS(薪酬明细!$O:$O,薪酬明细!$D:$D,$E90,薪酬明细!$E:$E,$F90,薪酬明细!$H:$H,"&gt;="&amp;J$9,薪酬明细!$H:$H,"&lt;="&amp;J$10,薪酬明细!$A:$A,J$6)/10000</f>
        <v>17</v>
      </c>
      <c r="K90" s="121">
        <f>SUMIFS(薪酬明细!$O:$O,薪酬明细!$D:$D,$E90,薪酬明细!$E:$E,$F90,薪酬明细!$H:$H,"&gt;="&amp;K$9,薪酬明细!$H:$H,"&lt;="&amp;K$10,薪酬明细!$A:$A,K$6)/10000</f>
        <v>17</v>
      </c>
      <c r="L90" s="121">
        <f>SUMIFS(薪酬明细!$O:$O,薪酬明细!$D:$D,$E90,薪酬明细!$E:$E,$F90,薪酬明细!$H:$H,"&gt;="&amp;L$9,薪酬明细!$H:$H,"&lt;="&amp;L$10,薪酬明细!$A:$A,L$6)/10000</f>
        <v>17</v>
      </c>
      <c r="M90" s="121">
        <f>SUMIFS(薪酬明细!$O:$O,薪酬明细!$D:$D,$E90,薪酬明细!$E:$E,$F90,薪酬明细!$H:$H,"&gt;="&amp;M$9,薪酬明细!$H:$H,"&lt;="&amp;M$10,薪酬明细!$A:$A,M$6)/10000</f>
        <v>17</v>
      </c>
      <c r="N90" s="121">
        <f>SUMIFS(薪酬明细!$O:$O,薪酬明细!$D:$D,$E90,薪酬明细!$E:$E,$F90,薪酬明细!$H:$H,"&gt;="&amp;N$9,薪酬明细!$H:$H,"&lt;="&amp;N$10,薪酬明细!$A:$A,N$6)/10000</f>
        <v>17.1</v>
      </c>
      <c r="O90" s="121">
        <f>SUMIFS(薪酬明细!$O:$O,薪酬明细!$D:$D,$E90,薪酬明细!$E:$E,$F90,薪酬明细!$H:$H,"&gt;="&amp;O$9,薪酬明细!$H:$H,"&lt;="&amp;O$10,薪酬明细!$A:$A,O$6)/10000</f>
        <v>16.9</v>
      </c>
      <c r="P90" s="121">
        <f>SUMIFS(薪酬明细!$O:$O,薪酬明细!$D:$D,$E90,薪酬明细!$E:$E,$F90,薪酬明细!$H:$H,"&gt;="&amp;P$9,薪酬明细!$H:$H,"&lt;="&amp;P$10,薪酬明细!$A:$A,P$6)/10000</f>
        <v>17</v>
      </c>
      <c r="Q90" s="121">
        <f>SUMIFS(薪酬明细!$O:$O,薪酬明细!$D:$D,$E90,薪酬明细!$E:$E,$F90,薪酬明细!$H:$H,"&gt;="&amp;Q$9,薪酬明细!$H:$H,"&lt;="&amp;Q$10,薪酬明细!$A:$A,Q$6)/10000</f>
        <v>16.9</v>
      </c>
      <c r="R90" s="121">
        <f>SUMIFS(薪酬明细!$O:$O,薪酬明细!$D:$D,$E90,薪酬明细!$E:$E,$F90,薪酬明细!$H:$H,"&gt;="&amp;R$9,薪酬明细!$H:$H,"&lt;="&amp;R$10,薪酬明细!$A:$A,R$6)/10000</f>
        <v>16.9</v>
      </c>
      <c r="S90" s="121">
        <f>SUMIFS(薪酬明细!$O:$O,薪酬明细!$D:$D,$E90,薪酬明细!$E:$E,$F90,薪酬明细!$H:$H,"&gt;="&amp;S$9,薪酬明细!$H:$H,"&lt;="&amp;S$10,薪酬明细!$A:$A,S$6)/10000</f>
        <v>16.9</v>
      </c>
      <c r="T90" s="125">
        <f t="shared" si="95"/>
        <v>203.6</v>
      </c>
      <c r="U90" s="121">
        <f>SUMIFS(薪酬明细!$O:$O,薪酬明细!$D:$D,$E90,薪酬明细!$E:$E,$F90,薪酬明细!$H:$H,"&gt;="&amp;U$9,薪酬明细!$H:$H,"&lt;="&amp;U$10,薪酬明细!$A:$A,U$6)/10000</f>
        <v>152.9</v>
      </c>
      <c r="V90" s="121">
        <f>SUMIFS(薪酬明细!$O:$O,薪酬明细!$D:$D,$E90,薪酬明细!$E:$E,$F90,薪酬明细!$H:$H,"&gt;="&amp;V$9,薪酬明细!$H:$H,"&lt;="&amp;V$10,薪酬明细!$A:$A,V$6)/10000</f>
        <v>16.9</v>
      </c>
      <c r="W90" s="121">
        <f>SUMIFS(薪酬明细!$O:$O,薪酬明细!$D:$D,$E90,薪酬明细!$E:$E,$F90,薪酬明细!$H:$H,"&gt;="&amp;W$9,薪酬明细!$H:$H,"&lt;="&amp;W$10,薪酬明细!$A:$A,W$6)/10000</f>
        <v>16.9</v>
      </c>
      <c r="X90" s="121">
        <f>SUMIFS(薪酬明细!$O:$O,薪酬明细!$D:$D,$E90,薪酬明细!$E:$E,$F90,薪酬明细!$H:$H,"&gt;="&amp;X$9,薪酬明细!$H:$H,"&lt;="&amp;X$10,薪酬明细!$A:$A,X$6)/10000</f>
        <v>17.1</v>
      </c>
      <c r="Y90" s="121">
        <f>SUMIFS(薪酬明细!$O:$O,薪酬明细!$D:$D,$E90,薪酬明细!$E:$E,$F90,薪酬明细!$H:$H,"&gt;="&amp;Y$9,薪酬明细!$H:$H,"&lt;="&amp;Y$10,薪酬明细!$A:$A,Y$6)/10000</f>
        <v>17</v>
      </c>
      <c r="Z90" s="121">
        <f>SUMIFS(薪酬明细!$O:$O,薪酬明细!$D:$D,$E90,薪酬明细!$E:$E,$F90,薪酬明细!$H:$H,"&gt;="&amp;Z$9,薪酬明细!$H:$H,"&lt;="&amp;Z$10,薪酬明细!$A:$A,Z$6)/10000</f>
        <v>16.9</v>
      </c>
      <c r="AA90" s="121">
        <f>SUMIFS(薪酬明细!$O:$O,薪酬明细!$D:$D,$E90,薪酬明细!$E:$E,$F90,薪酬明细!$H:$H,"&gt;="&amp;AA$9,薪酬明细!$H:$H,"&lt;="&amp;AA$10,薪酬明细!$A:$A,AA$6)/10000</f>
        <v>16.9</v>
      </c>
      <c r="AB90" s="121">
        <f>SUMIFS(薪酬明细!$O:$O,薪酬明细!$D:$D,$E90,薪酬明细!$E:$E,$F90,薪酬明细!$H:$H,"&gt;="&amp;AB$9,薪酬明细!$H:$H,"&lt;="&amp;AB$10,薪酬明细!$A:$A,AB$6)/10000</f>
        <v>17.1</v>
      </c>
      <c r="AC90" s="121">
        <f>SUMIFS(薪酬明细!$O:$O,薪酬明细!$D:$D,$E90,薪酬明细!$E:$E,$F90,薪酬明细!$H:$H,"&gt;="&amp;AC$9,薪酬明细!$H:$H,"&lt;="&amp;AC$10,薪酬明细!$A:$A,AC$6)/10000</f>
        <v>17.1</v>
      </c>
      <c r="AD90" s="121">
        <f>SUMIFS(薪酬明细!$O:$O,薪酬明细!$D:$D,$E90,薪酬明细!$E:$E,$F90,薪酬明细!$H:$H,"&gt;="&amp;AD$9,薪酬明细!$H:$H,"&lt;="&amp;AD$10,薪酬明细!$A:$A,AD$6)/10000</f>
        <v>17.1</v>
      </c>
      <c r="AE90" s="121">
        <f>SUMIFS(薪酬明细!$O:$O,薪酬明细!$D:$D,$E90,薪酬明细!$E:$E,$F90,薪酬明细!$H:$H,"&gt;="&amp;AE$9,薪酬明细!$H:$H,"&lt;="&amp;AE$10,薪酬明细!$A:$A,AE$6)/10000</f>
        <v>0</v>
      </c>
      <c r="AF90" s="121">
        <f>SUMIFS(薪酬明细!$O:$O,薪酬明细!$D:$D,$E90,薪酬明细!$E:$E,$F90,薪酬明细!$H:$H,"&gt;="&amp;AF$9,薪酬明细!$H:$H,"&lt;="&amp;AF$10,薪酬明细!$A:$A,AF$6)/10000</f>
        <v>0</v>
      </c>
      <c r="AG90" s="121">
        <f>SUMIFS(薪酬明细!$O:$O,薪酬明细!$D:$D,$E90,薪酬明细!$E:$E,$F90,薪酬明细!$H:$H,"&gt;="&amp;AG$9,薪酬明细!$H:$H,"&lt;="&amp;AG$10,薪酬明细!$A:$A,AG$6)/10000</f>
        <v>0</v>
      </c>
      <c r="AH90" s="121">
        <f>SUMIFS(薪酬明细!$O:$O,薪酬明细!$D:$D,$E90,薪酬明细!$E:$E,$F90,薪酬明细!$H:$H,"&gt;="&amp;AH$9,薪酬明细!$H:$H,"&lt;="&amp;AH$10,薪酬明细!$A:$A,AH$6)/10000</f>
        <v>50.7</v>
      </c>
      <c r="AI90" s="121">
        <f>SUMIFS(薪酬明细!$O:$O,薪酬明细!$D:$D,$E90,薪酬明细!$E:$E,$F90,薪酬明细!$H:$H,"&gt;="&amp;AI$9,薪酬明细!$H:$H,"&lt;="&amp;AI$10,薪酬明细!$A:$A,AI$6)/10000</f>
        <v>0</v>
      </c>
      <c r="AJ90" s="121">
        <f>SUMIFS(薪酬明细!$O:$O,薪酬明细!$D:$D,$E90,薪酬明细!$E:$E,$F90,薪酬明细!$H:$H,"&gt;="&amp;AJ$9,薪酬明细!$H:$H,"&lt;="&amp;AJ$10,薪酬明细!$A:$A,AJ$6)/10000</f>
        <v>0</v>
      </c>
      <c r="AK90" s="121">
        <f>SUMIFS(薪酬明细!$O:$O,薪酬明细!$D:$D,$E90,薪酬明细!$E:$E,$F90,薪酬明细!$H:$H,"&gt;="&amp;AK$9,薪酬明细!$H:$H,"&lt;="&amp;AK$10,薪酬明细!$A:$A,AK$6)/10000</f>
        <v>0</v>
      </c>
      <c r="AL90" s="121">
        <f>SUMIFS(薪酬明细!$O:$O,薪酬明细!$D:$D,$E90,薪酬明细!$E:$E,$F90,薪酬明细!$H:$H,"&gt;="&amp;AL$9,薪酬明细!$H:$H,"&lt;="&amp;AL$10,薪酬明细!$A:$A,AL$6)/10000</f>
        <v>0</v>
      </c>
      <c r="AM90" s="121">
        <f>SUMIFS(薪酬明细!$O:$O,薪酬明细!$D:$D,$E90,薪酬明细!$E:$E,$F90,薪酬明细!$H:$H,"&gt;="&amp;AM$9,薪酬明细!$H:$H,"&lt;="&amp;AM$10,薪酬明细!$A:$A,AM$6)/10000</f>
        <v>0</v>
      </c>
      <c r="AN90" s="121">
        <f>SUMIFS(薪酬明细!$O:$O,薪酬明细!$D:$D,$E90,薪酬明细!$E:$E,$F90,薪酬明细!$H:$H,"&gt;="&amp;AN$9,薪酬明细!$H:$H,"&lt;="&amp;AN$10,薪酬明细!$A:$A,AN$6)/10000</f>
        <v>0</v>
      </c>
      <c r="AO90" s="121">
        <f>SUMIFS(薪酬明细!$O:$O,薪酬明细!$D:$D,$E90,薪酬明细!$E:$E,$F90,薪酬明细!$H:$H,"&gt;="&amp;AO$9,薪酬明细!$H:$H,"&lt;="&amp;AO$10,薪酬明细!$A:$A,AO$6)/10000</f>
        <v>0</v>
      </c>
      <c r="AP90" s="121">
        <f>SUMIFS(薪酬明细!$O:$O,薪酬明细!$D:$D,$E90,薪酬明细!$E:$E,$F90,薪酬明细!$H:$H,"&gt;="&amp;AP$9,薪酬明细!$H:$H,"&lt;="&amp;AP$10,薪酬明细!$A:$A,AP$6)/10000</f>
        <v>0</v>
      </c>
      <c r="AQ90" s="121">
        <f>SUMIFS(薪酬明细!$O:$O,薪酬明细!$D:$D,$E90,薪酬明细!$E:$E,$F90,薪酬明细!$H:$H,"&gt;="&amp;AQ$9,薪酬明细!$H:$H,"&lt;="&amp;AQ$10,薪酬明细!$A:$A,AQ$6)/10000</f>
        <v>0</v>
      </c>
      <c r="AR90" s="121">
        <f>SUMIFS(薪酬明细!$O:$O,薪酬明细!$D:$D,$E90,薪酬明细!$E:$E,$F90,薪酬明细!$H:$H,"&gt;="&amp;AR$9,薪酬明细!$H:$H,"&lt;="&amp;AR$10,薪酬明细!$A:$A,AR$6)/10000</f>
        <v>17</v>
      </c>
      <c r="AS90" s="121">
        <f>SUMIFS(薪酬明细!$O:$O,薪酬明细!$D:$D,$E90,薪酬明细!$E:$E,$F90,薪酬明细!$H:$H,"&gt;="&amp;AS$9,薪酬明细!$H:$H,"&lt;="&amp;AS$10,薪酬明细!$A:$A,AS$6)/10000</f>
        <v>16.9</v>
      </c>
      <c r="AT90" s="121">
        <f>SUMIFS(薪酬明细!$O:$O,薪酬明细!$D:$D,$E90,薪酬明细!$E:$E,$F90,薪酬明细!$H:$H,"&gt;="&amp;AT$9,薪酬明细!$H:$H,"&lt;="&amp;AT$10,薪酬明细!$A:$A,AT$6)/10000</f>
        <v>16.8</v>
      </c>
      <c r="AU90" s="121">
        <f>SUMIFS(薪酬明细!$O:$O,薪酬明细!$D:$D,$E90,薪酬明细!$E:$E,$F90,薪酬明细!$H:$H,"&gt;="&amp;AU$9,薪酬明细!$H:$H,"&lt;="&amp;AU$10,薪酬明细!$A:$A,AU$6)/10000</f>
        <v>203.8</v>
      </c>
      <c r="AV90" s="121">
        <f>SUMIFS(薪酬明细!$O:$O,薪酬明细!$D:$D,$E90,薪酬明细!$E:$E,$F90,薪酬明细!$H:$H,"&gt;="&amp;AV$9,薪酬明细!$H:$H,"&lt;="&amp;AV$10,薪酬明细!$A:$A,AV$6)/10000</f>
        <v>16.9</v>
      </c>
      <c r="AW90" s="121">
        <f>SUMIFS(薪酬明细!$O:$O,薪酬明细!$D:$D,$E90,薪酬明细!$E:$E,$F90,薪酬明细!$H:$H,"&gt;="&amp;AW$9,薪酬明细!$H:$H,"&lt;="&amp;AW$10,薪酬明细!$A:$A,AW$6)/10000</f>
        <v>17</v>
      </c>
      <c r="AX90" s="121">
        <f>SUMIFS(薪酬明细!$O:$O,薪酬明细!$D:$D,$E90,薪酬明细!$E:$E,$F90,薪酬明细!$H:$H,"&gt;="&amp;AX$9,薪酬明细!$H:$H,"&lt;="&amp;AX$10,薪酬明细!$A:$A,AX$6)/10000</f>
        <v>17.1</v>
      </c>
      <c r="AY90" s="121">
        <f>SUMIFS(薪酬明细!$O:$O,薪酬明细!$D:$D,$E90,薪酬明细!$E:$E,$F90,薪酬明细!$H:$H,"&gt;="&amp;AY$9,薪酬明细!$H:$H,"&lt;="&amp;AY$10,薪酬明细!$A:$A,AY$6)/10000</f>
        <v>16.9</v>
      </c>
      <c r="AZ90" s="121">
        <f>SUMIFS(薪酬明细!$O:$O,薪酬明细!$D:$D,$E90,薪酬明细!$E:$E,$F90,薪酬明细!$H:$H,"&gt;="&amp;AZ$9,薪酬明细!$H:$H,"&lt;="&amp;AZ$10,薪酬明细!$A:$A,AZ$6)/10000</f>
        <v>16.9</v>
      </c>
      <c r="BA90" s="121">
        <f>SUMIFS(薪酬明细!$O:$O,薪酬明细!$D:$D,$E90,薪酬明细!$E:$E,$F90,薪酬明细!$H:$H,"&gt;="&amp;BA$9,薪酬明细!$H:$H,"&lt;="&amp;BA$10,薪酬明细!$A:$A,BA$6)/10000</f>
        <v>17</v>
      </c>
      <c r="BB90" s="121">
        <f>SUMIFS(薪酬明细!$O:$O,薪酬明细!$D:$D,$E90,薪酬明细!$E:$E,$F90,薪酬明细!$H:$H,"&gt;="&amp;BB$9,薪酬明细!$H:$H,"&lt;="&amp;BB$10,薪酬明细!$A:$A,BB$6)/10000</f>
        <v>17.1</v>
      </c>
      <c r="BC90" s="121">
        <f>SUMIFS(薪酬明细!$O:$O,薪酬明细!$D:$D,$E90,薪酬明细!$E:$E,$F90,薪酬明细!$H:$H,"&gt;="&amp;BC$9,薪酬明细!$H:$H,"&lt;="&amp;BC$10,薪酬明细!$A:$A,BC$6)/10000</f>
        <v>17.1</v>
      </c>
      <c r="BD90" s="121">
        <f>SUMIFS(薪酬明细!$O:$O,薪酬明细!$D:$D,$E90,薪酬明细!$E:$E,$F90,薪酬明细!$H:$H,"&gt;="&amp;BD$9,薪酬明细!$H:$H,"&lt;="&amp;BD$10,薪酬明细!$A:$A,BD$6)/10000</f>
        <v>16.9</v>
      </c>
      <c r="BE90" s="121">
        <f>SUMIFS(薪酬明细!$O:$O,薪酬明细!$D:$D,$E90,薪酬明细!$E:$E,$F90,薪酬明细!$H:$H,"&gt;="&amp;BE$9,薪酬明细!$H:$H,"&lt;="&amp;BE$10,薪酬明细!$A:$A,BE$6)/10000</f>
        <v>16.9</v>
      </c>
      <c r="BF90" s="121">
        <f>SUMIFS(薪酬明细!$O:$O,薪酬明细!$D:$D,$E90,薪酬明细!$E:$E,$F90,薪酬明细!$H:$H,"&gt;="&amp;BF$9,薪酬明细!$H:$H,"&lt;="&amp;BF$10,薪酬明细!$A:$A,BF$6)/10000</f>
        <v>16.9</v>
      </c>
      <c r="BG90" s="121">
        <f>SUMIFS(薪酬明细!$O:$O,薪酬明细!$D:$D,$E90,薪酬明细!$E:$E,$F90,薪酬明细!$H:$H,"&gt;="&amp;BG$9,薪酬明细!$H:$H,"&lt;="&amp;BG$10,薪酬明细!$A:$A,BG$6)/10000</f>
        <v>17</v>
      </c>
    </row>
    <row r="91" ht="16.2" spans="3:59">
      <c r="C91" s="42" t="s">
        <v>82</v>
      </c>
      <c r="D91" s="42"/>
      <c r="E91" s="116" t="str">
        <f t="shared" si="93"/>
        <v>创新中心</v>
      </c>
      <c r="F91" s="116" t="str">
        <f t="shared" si="94"/>
        <v>*</v>
      </c>
      <c r="G91" s="121">
        <f>SUMIFS(薪酬明细!$O:$O,薪酬明细!$D:$D,$E91,薪酬明细!$E:$E,$F91,薪酬明细!$H:$H,"&gt;="&amp;G$9,薪酬明细!$H:$H,"&lt;="&amp;G$10,薪酬明细!$A:$A,G$6)/10000</f>
        <v>339.5</v>
      </c>
      <c r="H91" s="121">
        <f>SUMIFS(薪酬明细!$O:$O,薪酬明细!$D:$D,$E91,薪酬明细!$E:$E,$F91,薪酬明细!$H:$H,"&gt;="&amp;H$9,薪酬明细!$H:$H,"&lt;="&amp;H$10,薪酬明细!$A:$A,H$6)/10000</f>
        <v>28.3</v>
      </c>
      <c r="I91" s="121">
        <f>SUMIFS(薪酬明细!$O:$O,薪酬明细!$D:$D,$E91,薪酬明细!$E:$E,$F91,薪酬明细!$H:$H,"&gt;="&amp;I$9,薪酬明细!$H:$H,"&lt;="&amp;I$10,薪酬明细!$A:$A,I$6)/10000</f>
        <v>28.5</v>
      </c>
      <c r="J91" s="121">
        <f>SUMIFS(薪酬明细!$O:$O,薪酬明细!$D:$D,$E91,薪酬明细!$E:$E,$F91,薪酬明细!$H:$H,"&gt;="&amp;J$9,薪酬明细!$H:$H,"&lt;="&amp;J$10,薪酬明细!$A:$A,J$6)/10000</f>
        <v>28.4</v>
      </c>
      <c r="K91" s="121">
        <f>SUMIFS(薪酬明细!$O:$O,薪酬明细!$D:$D,$E91,薪酬明细!$E:$E,$F91,薪酬明细!$H:$H,"&gt;="&amp;K$9,薪酬明细!$H:$H,"&lt;="&amp;K$10,薪酬明细!$A:$A,K$6)/10000</f>
        <v>28.3</v>
      </c>
      <c r="L91" s="121">
        <f>SUMIFS(薪酬明细!$O:$O,薪酬明细!$D:$D,$E91,薪酬明细!$E:$E,$F91,薪酬明细!$H:$H,"&gt;="&amp;L$9,薪酬明细!$H:$H,"&lt;="&amp;L$10,薪酬明细!$A:$A,L$6)/10000</f>
        <v>28.2</v>
      </c>
      <c r="M91" s="121">
        <f>SUMIFS(薪酬明细!$O:$O,薪酬明细!$D:$D,$E91,薪酬明细!$E:$E,$F91,薪酬明细!$H:$H,"&gt;="&amp;M$9,薪酬明细!$H:$H,"&lt;="&amp;M$10,薪酬明细!$A:$A,M$6)/10000</f>
        <v>28.5</v>
      </c>
      <c r="N91" s="121">
        <f>SUMIFS(薪酬明细!$O:$O,薪酬明细!$D:$D,$E91,薪酬明细!$E:$E,$F91,薪酬明细!$H:$H,"&gt;="&amp;N$9,薪酬明细!$H:$H,"&lt;="&amp;N$10,薪酬明细!$A:$A,N$6)/10000</f>
        <v>28.2</v>
      </c>
      <c r="O91" s="121">
        <f>SUMIFS(薪酬明细!$O:$O,薪酬明细!$D:$D,$E91,薪酬明细!$E:$E,$F91,薪酬明细!$H:$H,"&gt;="&amp;O$9,薪酬明细!$H:$H,"&lt;="&amp;O$10,薪酬明细!$A:$A,O$6)/10000</f>
        <v>28.3</v>
      </c>
      <c r="P91" s="121">
        <f>SUMIFS(薪酬明细!$O:$O,薪酬明细!$D:$D,$E91,薪酬明细!$E:$E,$F91,薪酬明细!$H:$H,"&gt;="&amp;P$9,薪酬明细!$H:$H,"&lt;="&amp;P$10,薪酬明细!$A:$A,P$6)/10000</f>
        <v>28.5</v>
      </c>
      <c r="Q91" s="121">
        <f>SUMIFS(薪酬明细!$O:$O,薪酬明细!$D:$D,$E91,薪酬明细!$E:$E,$F91,薪酬明细!$H:$H,"&gt;="&amp;Q$9,薪酬明细!$H:$H,"&lt;="&amp;Q$10,薪酬明细!$A:$A,Q$6)/10000</f>
        <v>28.1</v>
      </c>
      <c r="R91" s="121">
        <f>SUMIFS(薪酬明细!$O:$O,薪酬明细!$D:$D,$E91,薪酬明细!$E:$E,$F91,薪酬明细!$H:$H,"&gt;="&amp;R$9,薪酬明细!$H:$H,"&lt;="&amp;R$10,薪酬明细!$A:$A,R$6)/10000</f>
        <v>28.1</v>
      </c>
      <c r="S91" s="121">
        <f>SUMIFS(薪酬明细!$O:$O,薪酬明细!$D:$D,$E91,薪酬明细!$E:$E,$F91,薪酬明细!$H:$H,"&gt;="&amp;S$9,薪酬明细!$H:$H,"&lt;="&amp;S$10,薪酬明细!$A:$A,S$6)/10000</f>
        <v>28.3</v>
      </c>
      <c r="T91" s="125">
        <f t="shared" si="95"/>
        <v>340.3</v>
      </c>
      <c r="U91" s="121">
        <f>SUMIFS(薪酬明细!$O:$O,薪酬明细!$D:$D,$E91,薪酬明细!$E:$E,$F91,薪酬明细!$H:$H,"&gt;="&amp;U$9,薪酬明细!$H:$H,"&lt;="&amp;U$10,薪酬明细!$A:$A,U$6)/10000</f>
        <v>255.2</v>
      </c>
      <c r="V91" s="121">
        <f>SUMIFS(薪酬明细!$O:$O,薪酬明细!$D:$D,$E91,薪酬明细!$E:$E,$F91,薪酬明细!$H:$H,"&gt;="&amp;V$9,薪酬明细!$H:$H,"&lt;="&amp;V$10,薪酬明细!$A:$A,V$6)/10000</f>
        <v>28.2</v>
      </c>
      <c r="W91" s="121">
        <f>SUMIFS(薪酬明细!$O:$O,薪酬明细!$D:$D,$E91,薪酬明细!$E:$E,$F91,薪酬明细!$H:$H,"&gt;="&amp;W$9,薪酬明细!$H:$H,"&lt;="&amp;W$10,薪酬明细!$A:$A,W$6)/10000</f>
        <v>28.5</v>
      </c>
      <c r="X91" s="121">
        <f>SUMIFS(薪酬明细!$O:$O,薪酬明细!$D:$D,$E91,薪酬明细!$E:$E,$F91,薪酬明细!$H:$H,"&gt;="&amp;X$9,薪酬明细!$H:$H,"&lt;="&amp;X$10,薪酬明细!$A:$A,X$6)/10000</f>
        <v>28.5</v>
      </c>
      <c r="Y91" s="121">
        <f>SUMIFS(薪酬明细!$O:$O,薪酬明细!$D:$D,$E91,薪酬明细!$E:$E,$F91,薪酬明细!$H:$H,"&gt;="&amp;Y$9,薪酬明细!$H:$H,"&lt;="&amp;Y$10,薪酬明细!$A:$A,Y$6)/10000</f>
        <v>28.3</v>
      </c>
      <c r="Z91" s="121">
        <f>SUMIFS(薪酬明细!$O:$O,薪酬明细!$D:$D,$E91,薪酬明细!$E:$E,$F91,薪酬明细!$H:$H,"&gt;="&amp;Z$9,薪酬明细!$H:$H,"&lt;="&amp;Z$10,薪酬明细!$A:$A,Z$6)/10000</f>
        <v>28.2</v>
      </c>
      <c r="AA91" s="121">
        <f>SUMIFS(薪酬明细!$O:$O,薪酬明细!$D:$D,$E91,薪酬明细!$E:$E,$F91,薪酬明细!$H:$H,"&gt;="&amp;AA$9,薪酬明细!$H:$H,"&lt;="&amp;AA$10,薪酬明细!$A:$A,AA$6)/10000</f>
        <v>28.3</v>
      </c>
      <c r="AB91" s="121">
        <f>SUMIFS(薪酬明细!$O:$O,薪酬明细!$D:$D,$E91,薪酬明细!$E:$E,$F91,薪酬明细!$H:$H,"&gt;="&amp;AB$9,薪酬明细!$H:$H,"&lt;="&amp;AB$10,薪酬明细!$A:$A,AB$6)/10000</f>
        <v>28.3</v>
      </c>
      <c r="AC91" s="121">
        <f>SUMIFS(薪酬明细!$O:$O,薪酬明细!$D:$D,$E91,薪酬明细!$E:$E,$F91,薪酬明细!$H:$H,"&gt;="&amp;AC$9,薪酬明细!$H:$H,"&lt;="&amp;AC$10,薪酬明细!$A:$A,AC$6)/10000</f>
        <v>28.4</v>
      </c>
      <c r="AD91" s="121">
        <f>SUMIFS(薪酬明细!$O:$O,薪酬明细!$D:$D,$E91,薪酬明细!$E:$E,$F91,薪酬明细!$H:$H,"&gt;="&amp;AD$9,薪酬明细!$H:$H,"&lt;="&amp;AD$10,薪酬明细!$A:$A,AD$6)/10000</f>
        <v>28.4</v>
      </c>
      <c r="AE91" s="121">
        <f>SUMIFS(薪酬明细!$O:$O,薪酬明细!$D:$D,$E91,薪酬明细!$E:$E,$F91,薪酬明细!$H:$H,"&gt;="&amp;AE$9,薪酬明细!$H:$H,"&lt;="&amp;AE$10,薪酬明细!$A:$A,AE$6)/10000</f>
        <v>0</v>
      </c>
      <c r="AF91" s="121">
        <f>SUMIFS(薪酬明细!$O:$O,薪酬明细!$D:$D,$E91,薪酬明细!$E:$E,$F91,薪酬明细!$H:$H,"&gt;="&amp;AF$9,薪酬明细!$H:$H,"&lt;="&amp;AF$10,薪酬明细!$A:$A,AF$6)/10000</f>
        <v>0</v>
      </c>
      <c r="AG91" s="121">
        <f>SUMIFS(薪酬明细!$O:$O,薪酬明细!$D:$D,$E91,薪酬明细!$E:$E,$F91,薪酬明细!$H:$H,"&gt;="&amp;AG$9,薪酬明细!$H:$H,"&lt;="&amp;AG$10,薪酬明细!$A:$A,AG$6)/10000</f>
        <v>0</v>
      </c>
      <c r="AH91" s="121">
        <f>SUMIFS(薪酬明细!$O:$O,薪酬明细!$D:$D,$E91,薪酬明细!$E:$E,$F91,薪酬明细!$H:$H,"&gt;="&amp;AH$9,薪酬明细!$H:$H,"&lt;="&amp;AH$10,薪酬明细!$A:$A,AH$6)/10000</f>
        <v>85.1</v>
      </c>
      <c r="AI91" s="121">
        <f>SUMIFS(薪酬明细!$O:$O,薪酬明细!$D:$D,$E91,薪酬明细!$E:$E,$F91,薪酬明细!$H:$H,"&gt;="&amp;AI$9,薪酬明细!$H:$H,"&lt;="&amp;AI$10,薪酬明细!$A:$A,AI$6)/10000</f>
        <v>0</v>
      </c>
      <c r="AJ91" s="121">
        <f>SUMIFS(薪酬明细!$O:$O,薪酬明细!$D:$D,$E91,薪酬明细!$E:$E,$F91,薪酬明细!$H:$H,"&gt;="&amp;AJ$9,薪酬明细!$H:$H,"&lt;="&amp;AJ$10,薪酬明细!$A:$A,AJ$6)/10000</f>
        <v>0</v>
      </c>
      <c r="AK91" s="121">
        <f>SUMIFS(薪酬明细!$O:$O,薪酬明细!$D:$D,$E91,薪酬明细!$E:$E,$F91,薪酬明细!$H:$H,"&gt;="&amp;AK$9,薪酬明细!$H:$H,"&lt;="&amp;AK$10,薪酬明细!$A:$A,AK$6)/10000</f>
        <v>0</v>
      </c>
      <c r="AL91" s="121">
        <f>SUMIFS(薪酬明细!$O:$O,薪酬明细!$D:$D,$E91,薪酬明细!$E:$E,$F91,薪酬明细!$H:$H,"&gt;="&amp;AL$9,薪酬明细!$H:$H,"&lt;="&amp;AL$10,薪酬明细!$A:$A,AL$6)/10000</f>
        <v>0</v>
      </c>
      <c r="AM91" s="121">
        <f>SUMIFS(薪酬明细!$O:$O,薪酬明细!$D:$D,$E91,薪酬明细!$E:$E,$F91,薪酬明细!$H:$H,"&gt;="&amp;AM$9,薪酬明细!$H:$H,"&lt;="&amp;AM$10,薪酬明细!$A:$A,AM$6)/10000</f>
        <v>0</v>
      </c>
      <c r="AN91" s="121">
        <f>SUMIFS(薪酬明细!$O:$O,薪酬明细!$D:$D,$E91,薪酬明细!$E:$E,$F91,薪酬明细!$H:$H,"&gt;="&amp;AN$9,薪酬明细!$H:$H,"&lt;="&amp;AN$10,薪酬明细!$A:$A,AN$6)/10000</f>
        <v>0</v>
      </c>
      <c r="AO91" s="121">
        <f>SUMIFS(薪酬明细!$O:$O,薪酬明细!$D:$D,$E91,薪酬明细!$E:$E,$F91,薪酬明细!$H:$H,"&gt;="&amp;AO$9,薪酬明细!$H:$H,"&lt;="&amp;AO$10,薪酬明细!$A:$A,AO$6)/10000</f>
        <v>0</v>
      </c>
      <c r="AP91" s="121">
        <f>SUMIFS(薪酬明细!$O:$O,薪酬明细!$D:$D,$E91,薪酬明细!$E:$E,$F91,薪酬明细!$H:$H,"&gt;="&amp;AP$9,薪酬明细!$H:$H,"&lt;="&amp;AP$10,薪酬明细!$A:$A,AP$6)/10000</f>
        <v>0</v>
      </c>
      <c r="AQ91" s="121">
        <f>SUMIFS(薪酬明细!$O:$O,薪酬明细!$D:$D,$E91,薪酬明细!$E:$E,$F91,薪酬明细!$H:$H,"&gt;="&amp;AQ$9,薪酬明细!$H:$H,"&lt;="&amp;AQ$10,薪酬明细!$A:$A,AQ$6)/10000</f>
        <v>0</v>
      </c>
      <c r="AR91" s="121">
        <f>SUMIFS(薪酬明细!$O:$O,薪酬明细!$D:$D,$E91,薪酬明细!$E:$E,$F91,薪酬明细!$H:$H,"&gt;="&amp;AR$9,薪酬明细!$H:$H,"&lt;="&amp;AR$10,薪酬明细!$A:$A,AR$6)/10000</f>
        <v>28.4</v>
      </c>
      <c r="AS91" s="121">
        <f>SUMIFS(薪酬明细!$O:$O,薪酬明细!$D:$D,$E91,薪酬明细!$E:$E,$F91,薪酬明细!$H:$H,"&gt;="&amp;AS$9,薪酬明细!$H:$H,"&lt;="&amp;AS$10,薪酬明细!$A:$A,AS$6)/10000</f>
        <v>28.5</v>
      </c>
      <c r="AT91" s="121">
        <f>SUMIFS(薪酬明细!$O:$O,薪酬明细!$D:$D,$E91,薪酬明细!$E:$E,$F91,薪酬明细!$H:$H,"&gt;="&amp;AT$9,薪酬明细!$H:$H,"&lt;="&amp;AT$10,薪酬明细!$A:$A,AT$6)/10000</f>
        <v>28.2</v>
      </c>
      <c r="AU91" s="121">
        <f>SUMIFS(薪酬明细!$O:$O,薪酬明细!$D:$D,$E91,薪酬明细!$E:$E,$F91,薪酬明细!$H:$H,"&gt;="&amp;AU$9,薪酬明细!$H:$H,"&lt;="&amp;AU$10,薪酬明细!$A:$A,AU$6)/10000</f>
        <v>339.9</v>
      </c>
      <c r="AV91" s="121">
        <f>SUMIFS(薪酬明细!$O:$O,薪酬明细!$D:$D,$E91,薪酬明细!$E:$E,$F91,薪酬明细!$H:$H,"&gt;="&amp;AV$9,薪酬明细!$H:$H,"&lt;="&amp;AV$10,薪酬明细!$A:$A,AV$6)/10000</f>
        <v>28.5</v>
      </c>
      <c r="AW91" s="121">
        <f>SUMIFS(薪酬明细!$O:$O,薪酬明细!$D:$D,$E91,薪酬明细!$E:$E,$F91,薪酬明细!$H:$H,"&gt;="&amp;AW$9,薪酬明细!$H:$H,"&lt;="&amp;AW$10,薪酬明细!$A:$A,AW$6)/10000</f>
        <v>28.2</v>
      </c>
      <c r="AX91" s="121">
        <f>SUMIFS(薪酬明细!$O:$O,薪酬明细!$D:$D,$E91,薪酬明细!$E:$E,$F91,薪酬明细!$H:$H,"&gt;="&amp;AX$9,薪酬明细!$H:$H,"&lt;="&amp;AX$10,薪酬明细!$A:$A,AX$6)/10000</f>
        <v>28.3</v>
      </c>
      <c r="AY91" s="121">
        <f>SUMIFS(薪酬明细!$O:$O,薪酬明细!$D:$D,$E91,薪酬明细!$E:$E,$F91,薪酬明细!$H:$H,"&gt;="&amp;AY$9,薪酬明细!$H:$H,"&lt;="&amp;AY$10,薪酬明细!$A:$A,AY$6)/10000</f>
        <v>28.3</v>
      </c>
      <c r="AZ91" s="121">
        <f>SUMIFS(薪酬明细!$O:$O,薪酬明细!$D:$D,$E91,薪酬明细!$E:$E,$F91,薪酬明细!$H:$H,"&gt;="&amp;AZ$9,薪酬明细!$H:$H,"&lt;="&amp;AZ$10,薪酬明细!$A:$A,AZ$6)/10000</f>
        <v>28.5</v>
      </c>
      <c r="BA91" s="121">
        <f>SUMIFS(薪酬明细!$O:$O,薪酬明细!$D:$D,$E91,薪酬明细!$E:$E,$F91,薪酬明细!$H:$H,"&gt;="&amp;BA$9,薪酬明细!$H:$H,"&lt;="&amp;BA$10,薪酬明细!$A:$A,BA$6)/10000</f>
        <v>28.4</v>
      </c>
      <c r="BB91" s="121">
        <f>SUMIFS(薪酬明细!$O:$O,薪酬明细!$D:$D,$E91,薪酬明细!$E:$E,$F91,薪酬明细!$H:$H,"&gt;="&amp;BB$9,薪酬明细!$H:$H,"&lt;="&amp;BB$10,薪酬明细!$A:$A,BB$6)/10000</f>
        <v>28.2</v>
      </c>
      <c r="BC91" s="121">
        <f>SUMIFS(薪酬明细!$O:$O,薪酬明细!$D:$D,$E91,薪酬明细!$E:$E,$F91,薪酬明细!$H:$H,"&gt;="&amp;BC$9,薪酬明细!$H:$H,"&lt;="&amp;BC$10,薪酬明细!$A:$A,BC$6)/10000</f>
        <v>28.2</v>
      </c>
      <c r="BD91" s="121">
        <f>SUMIFS(薪酬明细!$O:$O,薪酬明细!$D:$D,$E91,薪酬明细!$E:$E,$F91,薪酬明细!$H:$H,"&gt;="&amp;BD$9,薪酬明细!$H:$H,"&lt;="&amp;BD$10,薪酬明细!$A:$A,BD$6)/10000</f>
        <v>28.5</v>
      </c>
      <c r="BE91" s="121">
        <f>SUMIFS(薪酬明细!$O:$O,薪酬明细!$D:$D,$E91,薪酬明细!$E:$E,$F91,薪酬明细!$H:$H,"&gt;="&amp;BE$9,薪酬明细!$H:$H,"&lt;="&amp;BE$10,薪酬明细!$A:$A,BE$6)/10000</f>
        <v>28.4</v>
      </c>
      <c r="BF91" s="121">
        <f>SUMIFS(薪酬明细!$O:$O,薪酬明细!$D:$D,$E91,薪酬明细!$E:$E,$F91,薪酬明细!$H:$H,"&gt;="&amp;BF$9,薪酬明细!$H:$H,"&lt;="&amp;BF$10,薪酬明细!$A:$A,BF$6)/10000</f>
        <v>28</v>
      </c>
      <c r="BG91" s="121">
        <f>SUMIFS(薪酬明细!$O:$O,薪酬明细!$D:$D,$E91,薪酬明细!$E:$E,$F91,薪酬明细!$H:$H,"&gt;="&amp;BG$9,薪酬明细!$H:$H,"&lt;="&amp;BG$10,薪酬明细!$A:$A,BG$6)/10000</f>
        <v>28.4</v>
      </c>
    </row>
    <row r="92" ht="16.2" spans="3:59">
      <c r="C92" s="42"/>
      <c r="D92" s="42" t="s">
        <v>83</v>
      </c>
      <c r="E92" s="116" t="str">
        <f t="shared" si="93"/>
        <v>创新中心</v>
      </c>
      <c r="F92" s="116" t="str">
        <f t="shared" si="94"/>
        <v>产品
研发部</v>
      </c>
      <c r="G92" s="121">
        <f>SUMIFS(薪酬明细!$O:$O,薪酬明细!$D:$D,$E92,薪酬明细!$E:$E,$F92,薪酬明细!$H:$H,"&gt;="&amp;G$9,薪酬明细!$H:$H,"&lt;="&amp;G$10,薪酬明细!$A:$A,G$6)/10000</f>
        <v>121.4</v>
      </c>
      <c r="H92" s="121">
        <f>SUMIFS(薪酬明细!$O:$O,薪酬明细!$D:$D,$E92,薪酬明细!$E:$E,$F92,薪酬明细!$H:$H,"&gt;="&amp;H$9,薪酬明细!$H:$H,"&lt;="&amp;H$10,薪酬明细!$A:$A,H$6)/10000</f>
        <v>10.1</v>
      </c>
      <c r="I92" s="121">
        <f>SUMIFS(薪酬明细!$O:$O,薪酬明细!$D:$D,$E92,薪酬明细!$E:$E,$F92,薪酬明细!$H:$H,"&gt;="&amp;I$9,薪酬明细!$H:$H,"&lt;="&amp;I$10,薪酬明细!$A:$A,I$6)/10000</f>
        <v>10.2</v>
      </c>
      <c r="J92" s="121">
        <f>SUMIFS(薪酬明细!$O:$O,薪酬明细!$D:$D,$E92,薪酬明细!$E:$E,$F92,薪酬明细!$H:$H,"&gt;="&amp;J$9,薪酬明细!$H:$H,"&lt;="&amp;J$10,薪酬明细!$A:$A,J$6)/10000</f>
        <v>10.1</v>
      </c>
      <c r="K92" s="121">
        <f>SUMIFS(薪酬明细!$O:$O,薪酬明细!$D:$D,$E92,薪酬明细!$E:$E,$F92,薪酬明细!$H:$H,"&gt;="&amp;K$9,薪酬明细!$H:$H,"&lt;="&amp;K$10,薪酬明细!$A:$A,K$6)/10000</f>
        <v>10.1</v>
      </c>
      <c r="L92" s="121">
        <f>SUMIFS(薪酬明细!$O:$O,薪酬明细!$D:$D,$E92,薪酬明细!$E:$E,$F92,薪酬明细!$H:$H,"&gt;="&amp;L$9,薪酬明细!$H:$H,"&lt;="&amp;L$10,薪酬明细!$A:$A,L$6)/10000</f>
        <v>10.1</v>
      </c>
      <c r="M92" s="121">
        <f>SUMIFS(薪酬明细!$O:$O,薪酬明细!$D:$D,$E92,薪酬明细!$E:$E,$F92,薪酬明细!$H:$H,"&gt;="&amp;M$9,薪酬明细!$H:$H,"&lt;="&amp;M$10,薪酬明细!$A:$A,M$6)/10000</f>
        <v>10.2</v>
      </c>
      <c r="N92" s="121">
        <f>SUMIFS(薪酬明细!$O:$O,薪酬明细!$D:$D,$E92,薪酬明细!$E:$E,$F92,薪酬明细!$H:$H,"&gt;="&amp;N$9,薪酬明细!$H:$H,"&lt;="&amp;N$10,薪酬明细!$A:$A,N$6)/10000</f>
        <v>10</v>
      </c>
      <c r="O92" s="121">
        <f>SUMIFS(薪酬明细!$O:$O,薪酬明细!$D:$D,$E92,薪酬明细!$E:$E,$F92,薪酬明细!$H:$H,"&gt;="&amp;O$9,薪酬明细!$H:$H,"&lt;="&amp;O$10,薪酬明细!$A:$A,O$6)/10000</f>
        <v>10.2</v>
      </c>
      <c r="P92" s="121">
        <f>SUMIFS(薪酬明细!$O:$O,薪酬明细!$D:$D,$E92,薪酬明细!$E:$E,$F92,薪酬明细!$H:$H,"&gt;="&amp;P$9,薪酬明细!$H:$H,"&lt;="&amp;P$10,薪酬明细!$A:$A,P$6)/10000</f>
        <v>10.1</v>
      </c>
      <c r="Q92" s="121">
        <f>SUMIFS(薪酬明细!$O:$O,薪酬明细!$D:$D,$E92,薪酬明细!$E:$E,$F92,薪酬明细!$H:$H,"&gt;="&amp;Q$9,薪酬明细!$H:$H,"&lt;="&amp;Q$10,薪酬明细!$A:$A,Q$6)/10000</f>
        <v>10.1</v>
      </c>
      <c r="R92" s="121">
        <f>SUMIFS(薪酬明细!$O:$O,薪酬明细!$D:$D,$E92,薪酬明细!$E:$E,$F92,薪酬明细!$H:$H,"&gt;="&amp;R$9,薪酬明细!$H:$H,"&lt;="&amp;R$10,薪酬明细!$A:$A,R$6)/10000</f>
        <v>10.3</v>
      </c>
      <c r="S92" s="121">
        <f>SUMIFS(薪酬明细!$O:$O,薪酬明细!$D:$D,$E92,薪酬明细!$E:$E,$F92,薪酬明细!$H:$H,"&gt;="&amp;S$9,薪酬明细!$H:$H,"&lt;="&amp;S$10,薪酬明细!$A:$A,S$6)/10000</f>
        <v>10.1</v>
      </c>
      <c r="T92" s="125">
        <f t="shared" si="95"/>
        <v>122.2</v>
      </c>
      <c r="U92" s="121">
        <f>SUMIFS(薪酬明细!$O:$O,薪酬明细!$D:$D,$E92,薪酬明细!$E:$E,$F92,薪酬明细!$H:$H,"&gt;="&amp;U$9,薪酬明细!$H:$H,"&lt;="&amp;U$10,薪酬明细!$A:$A,U$6)/10000</f>
        <v>91.5</v>
      </c>
      <c r="V92" s="121">
        <f>SUMIFS(薪酬明细!$O:$O,薪酬明细!$D:$D,$E92,薪酬明细!$E:$E,$F92,薪酬明细!$H:$H,"&gt;="&amp;V$9,薪酬明细!$H:$H,"&lt;="&amp;V$10,薪酬明细!$A:$A,V$6)/10000</f>
        <v>10.2</v>
      </c>
      <c r="W92" s="121">
        <f>SUMIFS(薪酬明细!$O:$O,薪酬明细!$D:$D,$E92,薪酬明细!$E:$E,$F92,薪酬明细!$H:$H,"&gt;="&amp;W$9,薪酬明细!$H:$H,"&lt;="&amp;W$10,薪酬明细!$A:$A,W$6)/10000</f>
        <v>10.3</v>
      </c>
      <c r="X92" s="121">
        <f>SUMIFS(薪酬明细!$O:$O,薪酬明细!$D:$D,$E92,薪酬明细!$E:$E,$F92,薪酬明细!$H:$H,"&gt;="&amp;X$9,薪酬明细!$H:$H,"&lt;="&amp;X$10,薪酬明细!$A:$A,X$6)/10000</f>
        <v>10.2</v>
      </c>
      <c r="Y92" s="121">
        <f>SUMIFS(薪酬明细!$O:$O,薪酬明细!$D:$D,$E92,薪酬明细!$E:$E,$F92,薪酬明细!$H:$H,"&gt;="&amp;Y$9,薪酬明细!$H:$H,"&lt;="&amp;Y$10,薪酬明细!$A:$A,Y$6)/10000</f>
        <v>10.1</v>
      </c>
      <c r="Z92" s="121">
        <f>SUMIFS(薪酬明细!$O:$O,薪酬明细!$D:$D,$E92,薪酬明细!$E:$E,$F92,薪酬明细!$H:$H,"&gt;="&amp;Z$9,薪酬明细!$H:$H,"&lt;="&amp;Z$10,薪酬明细!$A:$A,Z$6)/10000</f>
        <v>10.1</v>
      </c>
      <c r="AA92" s="121">
        <f>SUMIFS(薪酬明细!$O:$O,薪酬明细!$D:$D,$E92,薪酬明细!$E:$E,$F92,薪酬明细!$H:$H,"&gt;="&amp;AA$9,薪酬明细!$H:$H,"&lt;="&amp;AA$10,薪酬明细!$A:$A,AA$6)/10000</f>
        <v>10.1</v>
      </c>
      <c r="AB92" s="121">
        <f>SUMIFS(薪酬明细!$O:$O,薪酬明细!$D:$D,$E92,薪酬明细!$E:$E,$F92,薪酬明细!$H:$H,"&gt;="&amp;AB$9,薪酬明细!$H:$H,"&lt;="&amp;AB$10,薪酬明细!$A:$A,AB$6)/10000</f>
        <v>10.2</v>
      </c>
      <c r="AC92" s="121">
        <f>SUMIFS(薪酬明细!$O:$O,薪酬明细!$D:$D,$E92,薪酬明细!$E:$E,$F92,薪酬明细!$H:$H,"&gt;="&amp;AC$9,薪酬明细!$H:$H,"&lt;="&amp;AC$10,薪酬明细!$A:$A,AC$6)/10000</f>
        <v>10.2</v>
      </c>
      <c r="AD92" s="121">
        <f>SUMIFS(薪酬明细!$O:$O,薪酬明细!$D:$D,$E92,薪酬明细!$E:$E,$F92,薪酬明细!$H:$H,"&gt;="&amp;AD$9,薪酬明细!$H:$H,"&lt;="&amp;AD$10,薪酬明细!$A:$A,AD$6)/10000</f>
        <v>10.2</v>
      </c>
      <c r="AE92" s="121">
        <f>SUMIFS(薪酬明细!$O:$O,薪酬明细!$D:$D,$E92,薪酬明细!$E:$E,$F92,薪酬明细!$H:$H,"&gt;="&amp;AE$9,薪酬明细!$H:$H,"&lt;="&amp;AE$10,薪酬明细!$A:$A,AE$6)/10000</f>
        <v>0</v>
      </c>
      <c r="AF92" s="121">
        <f>SUMIFS(薪酬明细!$O:$O,薪酬明细!$D:$D,$E92,薪酬明细!$E:$E,$F92,薪酬明细!$H:$H,"&gt;="&amp;AF$9,薪酬明细!$H:$H,"&lt;="&amp;AF$10,薪酬明细!$A:$A,AF$6)/10000</f>
        <v>0</v>
      </c>
      <c r="AG92" s="121">
        <f>SUMIFS(薪酬明细!$O:$O,薪酬明细!$D:$D,$E92,薪酬明细!$E:$E,$F92,薪酬明细!$H:$H,"&gt;="&amp;AG$9,薪酬明细!$H:$H,"&lt;="&amp;AG$10,薪酬明细!$A:$A,AG$6)/10000</f>
        <v>0</v>
      </c>
      <c r="AH92" s="121">
        <f>SUMIFS(薪酬明细!$O:$O,薪酬明细!$D:$D,$E92,薪酬明细!$E:$E,$F92,薪酬明细!$H:$H,"&gt;="&amp;AH$9,薪酬明细!$H:$H,"&lt;="&amp;AH$10,薪酬明细!$A:$A,AH$6)/10000</f>
        <v>30.7</v>
      </c>
      <c r="AI92" s="121">
        <f>SUMIFS(薪酬明细!$O:$O,薪酬明细!$D:$D,$E92,薪酬明细!$E:$E,$F92,薪酬明细!$H:$H,"&gt;="&amp;AI$9,薪酬明细!$H:$H,"&lt;="&amp;AI$10,薪酬明细!$A:$A,AI$6)/10000</f>
        <v>0</v>
      </c>
      <c r="AJ92" s="121">
        <f>SUMIFS(薪酬明细!$O:$O,薪酬明细!$D:$D,$E92,薪酬明细!$E:$E,$F92,薪酬明细!$H:$H,"&gt;="&amp;AJ$9,薪酬明细!$H:$H,"&lt;="&amp;AJ$10,薪酬明细!$A:$A,AJ$6)/10000</f>
        <v>0</v>
      </c>
      <c r="AK92" s="121">
        <f>SUMIFS(薪酬明细!$O:$O,薪酬明细!$D:$D,$E92,薪酬明细!$E:$E,$F92,薪酬明细!$H:$H,"&gt;="&amp;AK$9,薪酬明细!$H:$H,"&lt;="&amp;AK$10,薪酬明细!$A:$A,AK$6)/10000</f>
        <v>0</v>
      </c>
      <c r="AL92" s="121">
        <f>SUMIFS(薪酬明细!$O:$O,薪酬明细!$D:$D,$E92,薪酬明细!$E:$E,$F92,薪酬明细!$H:$H,"&gt;="&amp;AL$9,薪酬明细!$H:$H,"&lt;="&amp;AL$10,薪酬明细!$A:$A,AL$6)/10000</f>
        <v>0</v>
      </c>
      <c r="AM92" s="121">
        <f>SUMIFS(薪酬明细!$O:$O,薪酬明细!$D:$D,$E92,薪酬明细!$E:$E,$F92,薪酬明细!$H:$H,"&gt;="&amp;AM$9,薪酬明细!$H:$H,"&lt;="&amp;AM$10,薪酬明细!$A:$A,AM$6)/10000</f>
        <v>0</v>
      </c>
      <c r="AN92" s="121">
        <f>SUMIFS(薪酬明细!$O:$O,薪酬明细!$D:$D,$E92,薪酬明细!$E:$E,$F92,薪酬明细!$H:$H,"&gt;="&amp;AN$9,薪酬明细!$H:$H,"&lt;="&amp;AN$10,薪酬明细!$A:$A,AN$6)/10000</f>
        <v>0</v>
      </c>
      <c r="AO92" s="121">
        <f>SUMIFS(薪酬明细!$O:$O,薪酬明细!$D:$D,$E92,薪酬明细!$E:$E,$F92,薪酬明细!$H:$H,"&gt;="&amp;AO$9,薪酬明细!$H:$H,"&lt;="&amp;AO$10,薪酬明细!$A:$A,AO$6)/10000</f>
        <v>0</v>
      </c>
      <c r="AP92" s="121">
        <f>SUMIFS(薪酬明细!$O:$O,薪酬明细!$D:$D,$E92,薪酬明细!$E:$E,$F92,薪酬明细!$H:$H,"&gt;="&amp;AP$9,薪酬明细!$H:$H,"&lt;="&amp;AP$10,薪酬明细!$A:$A,AP$6)/10000</f>
        <v>0</v>
      </c>
      <c r="AQ92" s="121">
        <f>SUMIFS(薪酬明细!$O:$O,薪酬明细!$D:$D,$E92,薪酬明细!$E:$E,$F92,薪酬明细!$H:$H,"&gt;="&amp;AQ$9,薪酬明细!$H:$H,"&lt;="&amp;AQ$10,薪酬明细!$A:$A,AQ$6)/10000</f>
        <v>0</v>
      </c>
      <c r="AR92" s="121">
        <f>SUMIFS(薪酬明细!$O:$O,薪酬明细!$D:$D,$E92,薪酬明细!$E:$E,$F92,薪酬明细!$H:$H,"&gt;="&amp;AR$9,薪酬明细!$H:$H,"&lt;="&amp;AR$10,薪酬明细!$A:$A,AR$6)/10000</f>
        <v>10.2</v>
      </c>
      <c r="AS92" s="121">
        <f>SUMIFS(薪酬明细!$O:$O,薪酬明细!$D:$D,$E92,薪酬明细!$E:$E,$F92,薪酬明细!$H:$H,"&gt;="&amp;AS$9,薪酬明细!$H:$H,"&lt;="&amp;AS$10,薪酬明细!$A:$A,AS$6)/10000</f>
        <v>10.3</v>
      </c>
      <c r="AT92" s="121">
        <f>SUMIFS(薪酬明细!$O:$O,薪酬明细!$D:$D,$E92,薪酬明细!$E:$E,$F92,薪酬明细!$H:$H,"&gt;="&amp;AT$9,薪酬明细!$H:$H,"&lt;="&amp;AT$10,薪酬明细!$A:$A,AT$6)/10000</f>
        <v>10.2</v>
      </c>
      <c r="AU92" s="121">
        <f>SUMIFS(薪酬明细!$O:$O,薪酬明细!$D:$D,$E92,薪酬明细!$E:$E,$F92,薪酬明细!$H:$H,"&gt;="&amp;AU$9,薪酬明细!$H:$H,"&lt;="&amp;AU$10,薪酬明细!$A:$A,AU$6)/10000</f>
        <v>121.5</v>
      </c>
      <c r="AV92" s="121">
        <f>SUMIFS(薪酬明细!$O:$O,薪酬明细!$D:$D,$E92,薪酬明细!$E:$E,$F92,薪酬明细!$H:$H,"&gt;="&amp;AV$9,薪酬明细!$H:$H,"&lt;="&amp;AV$10,薪酬明细!$A:$A,AV$6)/10000</f>
        <v>10.2</v>
      </c>
      <c r="AW92" s="121">
        <f>SUMIFS(薪酬明细!$O:$O,薪酬明细!$D:$D,$E92,薪酬明细!$E:$E,$F92,薪酬明细!$H:$H,"&gt;="&amp;AW$9,薪酬明细!$H:$H,"&lt;="&amp;AW$10,薪酬明细!$A:$A,AW$6)/10000</f>
        <v>10</v>
      </c>
      <c r="AX92" s="121">
        <f>SUMIFS(薪酬明细!$O:$O,薪酬明细!$D:$D,$E92,薪酬明细!$E:$E,$F92,薪酬明细!$H:$H,"&gt;="&amp;AX$9,薪酬明细!$H:$H,"&lt;="&amp;AX$10,薪酬明细!$A:$A,AX$6)/10000</f>
        <v>10.1</v>
      </c>
      <c r="AY92" s="121">
        <f>SUMIFS(薪酬明细!$O:$O,薪酬明细!$D:$D,$E92,薪酬明细!$E:$E,$F92,薪酬明细!$H:$H,"&gt;="&amp;AY$9,薪酬明细!$H:$H,"&lt;="&amp;AY$10,薪酬明细!$A:$A,AY$6)/10000</f>
        <v>10.1</v>
      </c>
      <c r="AZ92" s="121">
        <f>SUMIFS(薪酬明细!$O:$O,薪酬明细!$D:$D,$E92,薪酬明细!$E:$E,$F92,薪酬明细!$H:$H,"&gt;="&amp;AZ$9,薪酬明细!$H:$H,"&lt;="&amp;AZ$10,薪酬明细!$A:$A,AZ$6)/10000</f>
        <v>10.1</v>
      </c>
      <c r="BA92" s="121">
        <f>SUMIFS(薪酬明细!$O:$O,薪酬明细!$D:$D,$E92,薪酬明细!$E:$E,$F92,薪酬明细!$H:$H,"&gt;="&amp;BA$9,薪酬明细!$H:$H,"&lt;="&amp;BA$10,薪酬明细!$A:$A,BA$6)/10000</f>
        <v>10.3</v>
      </c>
      <c r="BB92" s="121">
        <f>SUMIFS(薪酬明细!$O:$O,薪酬明细!$D:$D,$E92,薪酬明细!$E:$E,$F92,薪酬明细!$H:$H,"&gt;="&amp;BB$9,薪酬明细!$H:$H,"&lt;="&amp;BB$10,薪酬明细!$A:$A,BB$6)/10000</f>
        <v>10.2</v>
      </c>
      <c r="BC92" s="121">
        <f>SUMIFS(薪酬明细!$O:$O,薪酬明细!$D:$D,$E92,薪酬明细!$E:$E,$F92,薪酬明细!$H:$H,"&gt;="&amp;BC$9,薪酬明细!$H:$H,"&lt;="&amp;BC$10,薪酬明细!$A:$A,BC$6)/10000</f>
        <v>10.1</v>
      </c>
      <c r="BD92" s="121">
        <f>SUMIFS(薪酬明细!$O:$O,薪酬明细!$D:$D,$E92,薪酬明细!$E:$E,$F92,薪酬明细!$H:$H,"&gt;="&amp;BD$9,薪酬明细!$H:$H,"&lt;="&amp;BD$10,薪酬明细!$A:$A,BD$6)/10000</f>
        <v>10.1</v>
      </c>
      <c r="BE92" s="121">
        <f>SUMIFS(薪酬明细!$O:$O,薪酬明细!$D:$D,$E92,薪酬明细!$E:$E,$F92,薪酬明细!$H:$H,"&gt;="&amp;BE$9,薪酬明细!$H:$H,"&lt;="&amp;BE$10,薪酬明细!$A:$A,BE$6)/10000</f>
        <v>10.2</v>
      </c>
      <c r="BF92" s="121">
        <f>SUMIFS(薪酬明细!$O:$O,薪酬明细!$D:$D,$E92,薪酬明细!$E:$E,$F92,薪酬明细!$H:$H,"&gt;="&amp;BF$9,薪酬明细!$H:$H,"&lt;="&amp;BF$10,薪酬明细!$A:$A,BF$6)/10000</f>
        <v>10</v>
      </c>
      <c r="BG92" s="121">
        <f>SUMIFS(薪酬明细!$O:$O,薪酬明细!$D:$D,$E92,薪酬明细!$E:$E,$F92,薪酬明细!$H:$H,"&gt;="&amp;BG$9,薪酬明细!$H:$H,"&lt;="&amp;BG$10,薪酬明细!$A:$A,BG$6)/10000</f>
        <v>10.1</v>
      </c>
    </row>
    <row r="93" ht="16.2" spans="3:59">
      <c r="C93" s="42"/>
      <c r="D93" s="42" t="s">
        <v>84</v>
      </c>
      <c r="E93" s="116" t="str">
        <f t="shared" si="93"/>
        <v>创新中心</v>
      </c>
      <c r="F93" s="116" t="str">
        <f t="shared" si="94"/>
        <v>XX
试验室</v>
      </c>
      <c r="G93" s="121">
        <f>SUMIFS(薪酬明细!$O:$O,薪酬明细!$D:$D,$E93,薪酬明细!$E:$E,$F93,薪酬明细!$H:$H,"&gt;="&amp;G$9,薪酬明细!$H:$H,"&lt;="&amp;G$10,薪酬明细!$A:$A,G$6)/10000</f>
        <v>81.1</v>
      </c>
      <c r="H93" s="121">
        <f>SUMIFS(薪酬明细!$O:$O,薪酬明细!$D:$D,$E93,薪酬明细!$E:$E,$F93,薪酬明细!$H:$H,"&gt;="&amp;H$9,薪酬明细!$H:$H,"&lt;="&amp;H$10,薪酬明细!$A:$A,H$6)/10000</f>
        <v>6.8</v>
      </c>
      <c r="I93" s="121">
        <f>SUMIFS(薪酬明细!$O:$O,薪酬明细!$D:$D,$E93,薪酬明细!$E:$E,$F93,薪酬明细!$H:$H,"&gt;="&amp;I$9,薪酬明细!$H:$H,"&lt;="&amp;I$10,薪酬明细!$A:$A,I$6)/10000</f>
        <v>6.8</v>
      </c>
      <c r="J93" s="121">
        <f>SUMIFS(薪酬明细!$O:$O,薪酬明细!$D:$D,$E93,薪酬明细!$E:$E,$F93,薪酬明细!$H:$H,"&gt;="&amp;J$9,薪酬明细!$H:$H,"&lt;="&amp;J$10,薪酬明细!$A:$A,J$6)/10000</f>
        <v>6.8</v>
      </c>
      <c r="K93" s="121">
        <f>SUMIFS(薪酬明细!$O:$O,薪酬明细!$D:$D,$E93,薪酬明细!$E:$E,$F93,薪酬明细!$H:$H,"&gt;="&amp;K$9,薪酬明细!$H:$H,"&lt;="&amp;K$10,薪酬明细!$A:$A,K$6)/10000</f>
        <v>6.7</v>
      </c>
      <c r="L93" s="121">
        <f>SUMIFS(薪酬明细!$O:$O,薪酬明细!$D:$D,$E93,薪酬明细!$E:$E,$F93,薪酬明细!$H:$H,"&gt;="&amp;L$9,薪酬明细!$H:$H,"&lt;="&amp;L$10,薪酬明细!$A:$A,L$6)/10000</f>
        <v>6.8</v>
      </c>
      <c r="M93" s="121">
        <f>SUMIFS(薪酬明细!$O:$O,薪酬明细!$D:$D,$E93,薪酬明细!$E:$E,$F93,薪酬明细!$H:$H,"&gt;="&amp;M$9,薪酬明细!$H:$H,"&lt;="&amp;M$10,薪酬明细!$A:$A,M$6)/10000</f>
        <v>6.7</v>
      </c>
      <c r="N93" s="121">
        <f>SUMIFS(薪酬明细!$O:$O,薪酬明细!$D:$D,$E93,薪酬明细!$E:$E,$F93,薪酬明细!$H:$H,"&gt;="&amp;N$9,薪酬明细!$H:$H,"&lt;="&amp;N$10,薪酬明细!$A:$A,N$6)/10000</f>
        <v>6.7</v>
      </c>
      <c r="O93" s="121">
        <f>SUMIFS(薪酬明细!$O:$O,薪酬明细!$D:$D,$E93,薪酬明细!$E:$E,$F93,薪酬明细!$H:$H,"&gt;="&amp;O$9,薪酬明细!$H:$H,"&lt;="&amp;O$10,薪酬明细!$A:$A,O$6)/10000</f>
        <v>6.7</v>
      </c>
      <c r="P93" s="121">
        <f>SUMIFS(薪酬明细!$O:$O,薪酬明细!$D:$D,$E93,薪酬明细!$E:$E,$F93,薪酬明细!$H:$H,"&gt;="&amp;P$9,薪酬明细!$H:$H,"&lt;="&amp;P$10,薪酬明细!$A:$A,P$6)/10000</f>
        <v>6.9</v>
      </c>
      <c r="Q93" s="121">
        <f>SUMIFS(薪酬明细!$O:$O,薪酬明细!$D:$D,$E93,薪酬明细!$E:$E,$F93,薪酬明细!$H:$H,"&gt;="&amp;Q$9,薪酬明细!$H:$H,"&lt;="&amp;Q$10,薪酬明细!$A:$A,Q$6)/10000</f>
        <v>6.7</v>
      </c>
      <c r="R93" s="121">
        <f>SUMIFS(薪酬明细!$O:$O,薪酬明细!$D:$D,$E93,薪酬明细!$E:$E,$F93,薪酬明细!$H:$H,"&gt;="&amp;R$9,薪酬明细!$H:$H,"&lt;="&amp;R$10,薪酬明细!$A:$A,R$6)/10000</f>
        <v>6.7</v>
      </c>
      <c r="S93" s="121">
        <f>SUMIFS(薪酬明细!$O:$O,薪酬明细!$D:$D,$E93,薪酬明细!$E:$E,$F93,薪酬明细!$H:$H,"&gt;="&amp;S$9,薪酬明细!$H:$H,"&lt;="&amp;S$10,薪酬明细!$A:$A,S$6)/10000</f>
        <v>6.8</v>
      </c>
      <c r="T93" s="125">
        <f t="shared" si="95"/>
        <v>80.8</v>
      </c>
      <c r="U93" s="121">
        <f>SUMIFS(薪酬明细!$O:$O,薪酬明细!$D:$D,$E93,薪酬明细!$E:$E,$F93,薪酬明细!$H:$H,"&gt;="&amp;U$9,薪酬明细!$H:$H,"&lt;="&amp;U$10,薪酬明细!$A:$A,U$6)/10000</f>
        <v>60.7</v>
      </c>
      <c r="V93" s="121">
        <f>SUMIFS(薪酬明细!$O:$O,薪酬明细!$D:$D,$E93,薪酬明细!$E:$E,$F93,薪酬明细!$H:$H,"&gt;="&amp;V$9,薪酬明细!$H:$H,"&lt;="&amp;V$10,薪酬明细!$A:$A,V$6)/10000</f>
        <v>6.7</v>
      </c>
      <c r="W93" s="121">
        <f>SUMIFS(薪酬明细!$O:$O,薪酬明细!$D:$D,$E93,薪酬明细!$E:$E,$F93,薪酬明细!$H:$H,"&gt;="&amp;W$9,薪酬明细!$H:$H,"&lt;="&amp;W$10,薪酬明细!$A:$A,W$6)/10000</f>
        <v>6.9</v>
      </c>
      <c r="X93" s="121">
        <f>SUMIFS(薪酬明细!$O:$O,薪酬明细!$D:$D,$E93,薪酬明细!$E:$E,$F93,薪酬明细!$H:$H,"&gt;="&amp;X$9,薪酬明细!$H:$H,"&lt;="&amp;X$10,薪酬明细!$A:$A,X$6)/10000</f>
        <v>6.8</v>
      </c>
      <c r="Y93" s="121">
        <f>SUMIFS(薪酬明细!$O:$O,薪酬明细!$D:$D,$E93,薪酬明细!$E:$E,$F93,薪酬明细!$H:$H,"&gt;="&amp;Y$9,薪酬明细!$H:$H,"&lt;="&amp;Y$10,薪酬明细!$A:$A,Y$6)/10000</f>
        <v>6.7</v>
      </c>
      <c r="Z93" s="121">
        <f>SUMIFS(薪酬明细!$O:$O,薪酬明细!$D:$D,$E93,薪酬明细!$E:$E,$F93,薪酬明细!$H:$H,"&gt;="&amp;Z$9,薪酬明细!$H:$H,"&lt;="&amp;Z$10,薪酬明细!$A:$A,Z$6)/10000</f>
        <v>6.7</v>
      </c>
      <c r="AA93" s="121">
        <f>SUMIFS(薪酬明细!$O:$O,薪酬明细!$D:$D,$E93,薪酬明细!$E:$E,$F93,薪酬明细!$H:$H,"&gt;="&amp;AA$9,薪酬明细!$H:$H,"&lt;="&amp;AA$10,薪酬明细!$A:$A,AA$6)/10000</f>
        <v>6.8</v>
      </c>
      <c r="AB93" s="121">
        <f>SUMIFS(薪酬明细!$O:$O,薪酬明细!$D:$D,$E93,薪酬明细!$E:$E,$F93,薪酬明细!$H:$H,"&gt;="&amp;AB$9,薪酬明细!$H:$H,"&lt;="&amp;AB$10,薪酬明细!$A:$A,AB$6)/10000</f>
        <v>6.7</v>
      </c>
      <c r="AC93" s="121">
        <f>SUMIFS(薪酬明细!$O:$O,薪酬明细!$D:$D,$E93,薪酬明细!$E:$E,$F93,薪酬明细!$H:$H,"&gt;="&amp;AC$9,薪酬明细!$H:$H,"&lt;="&amp;AC$10,薪酬明细!$A:$A,AC$6)/10000</f>
        <v>6.7</v>
      </c>
      <c r="AD93" s="121">
        <f>SUMIFS(薪酬明细!$O:$O,薪酬明细!$D:$D,$E93,薪酬明细!$E:$E,$F93,薪酬明细!$H:$H,"&gt;="&amp;AD$9,薪酬明细!$H:$H,"&lt;="&amp;AD$10,薪酬明细!$A:$A,AD$6)/10000</f>
        <v>6.8</v>
      </c>
      <c r="AE93" s="121">
        <f>SUMIFS(薪酬明细!$O:$O,薪酬明细!$D:$D,$E93,薪酬明细!$E:$E,$F93,薪酬明细!$H:$H,"&gt;="&amp;AE$9,薪酬明细!$H:$H,"&lt;="&amp;AE$10,薪酬明细!$A:$A,AE$6)/10000</f>
        <v>0</v>
      </c>
      <c r="AF93" s="121">
        <f>SUMIFS(薪酬明细!$O:$O,薪酬明细!$D:$D,$E93,薪酬明细!$E:$E,$F93,薪酬明细!$H:$H,"&gt;="&amp;AF$9,薪酬明细!$H:$H,"&lt;="&amp;AF$10,薪酬明细!$A:$A,AF$6)/10000</f>
        <v>0</v>
      </c>
      <c r="AG93" s="121">
        <f>SUMIFS(薪酬明细!$O:$O,薪酬明细!$D:$D,$E93,薪酬明细!$E:$E,$F93,薪酬明细!$H:$H,"&gt;="&amp;AG$9,薪酬明细!$H:$H,"&lt;="&amp;AG$10,薪酬明细!$A:$A,AG$6)/10000</f>
        <v>0</v>
      </c>
      <c r="AH93" s="121">
        <f>SUMIFS(薪酬明细!$O:$O,薪酬明细!$D:$D,$E93,薪酬明细!$E:$E,$F93,薪酬明细!$H:$H,"&gt;="&amp;AH$9,薪酬明细!$H:$H,"&lt;="&amp;AH$10,薪酬明细!$A:$A,AH$6)/10000</f>
        <v>20.1</v>
      </c>
      <c r="AI93" s="121">
        <f>SUMIFS(薪酬明细!$O:$O,薪酬明细!$D:$D,$E93,薪酬明细!$E:$E,$F93,薪酬明细!$H:$H,"&gt;="&amp;AI$9,薪酬明细!$H:$H,"&lt;="&amp;AI$10,薪酬明细!$A:$A,AI$6)/10000</f>
        <v>0</v>
      </c>
      <c r="AJ93" s="121">
        <f>SUMIFS(薪酬明细!$O:$O,薪酬明细!$D:$D,$E93,薪酬明细!$E:$E,$F93,薪酬明细!$H:$H,"&gt;="&amp;AJ$9,薪酬明细!$H:$H,"&lt;="&amp;AJ$10,薪酬明细!$A:$A,AJ$6)/10000</f>
        <v>0</v>
      </c>
      <c r="AK93" s="121">
        <f>SUMIFS(薪酬明细!$O:$O,薪酬明细!$D:$D,$E93,薪酬明细!$E:$E,$F93,薪酬明细!$H:$H,"&gt;="&amp;AK$9,薪酬明细!$H:$H,"&lt;="&amp;AK$10,薪酬明细!$A:$A,AK$6)/10000</f>
        <v>0</v>
      </c>
      <c r="AL93" s="121">
        <f>SUMIFS(薪酬明细!$O:$O,薪酬明细!$D:$D,$E93,薪酬明细!$E:$E,$F93,薪酬明细!$H:$H,"&gt;="&amp;AL$9,薪酬明细!$H:$H,"&lt;="&amp;AL$10,薪酬明细!$A:$A,AL$6)/10000</f>
        <v>0</v>
      </c>
      <c r="AM93" s="121">
        <f>SUMIFS(薪酬明细!$O:$O,薪酬明细!$D:$D,$E93,薪酬明细!$E:$E,$F93,薪酬明细!$H:$H,"&gt;="&amp;AM$9,薪酬明细!$H:$H,"&lt;="&amp;AM$10,薪酬明细!$A:$A,AM$6)/10000</f>
        <v>0</v>
      </c>
      <c r="AN93" s="121">
        <f>SUMIFS(薪酬明细!$O:$O,薪酬明细!$D:$D,$E93,薪酬明细!$E:$E,$F93,薪酬明细!$H:$H,"&gt;="&amp;AN$9,薪酬明细!$H:$H,"&lt;="&amp;AN$10,薪酬明细!$A:$A,AN$6)/10000</f>
        <v>0</v>
      </c>
      <c r="AO93" s="121">
        <f>SUMIFS(薪酬明细!$O:$O,薪酬明细!$D:$D,$E93,薪酬明细!$E:$E,$F93,薪酬明细!$H:$H,"&gt;="&amp;AO$9,薪酬明细!$H:$H,"&lt;="&amp;AO$10,薪酬明细!$A:$A,AO$6)/10000</f>
        <v>0</v>
      </c>
      <c r="AP93" s="121">
        <f>SUMIFS(薪酬明细!$O:$O,薪酬明细!$D:$D,$E93,薪酬明细!$E:$E,$F93,薪酬明细!$H:$H,"&gt;="&amp;AP$9,薪酬明细!$H:$H,"&lt;="&amp;AP$10,薪酬明细!$A:$A,AP$6)/10000</f>
        <v>0</v>
      </c>
      <c r="AQ93" s="121">
        <f>SUMIFS(薪酬明细!$O:$O,薪酬明细!$D:$D,$E93,薪酬明细!$E:$E,$F93,薪酬明细!$H:$H,"&gt;="&amp;AQ$9,薪酬明细!$H:$H,"&lt;="&amp;AQ$10,薪酬明细!$A:$A,AQ$6)/10000</f>
        <v>0</v>
      </c>
      <c r="AR93" s="121">
        <f>SUMIFS(薪酬明细!$O:$O,薪酬明细!$D:$D,$E93,薪酬明细!$E:$E,$F93,薪酬明细!$H:$H,"&gt;="&amp;AR$9,薪酬明细!$H:$H,"&lt;="&amp;AR$10,薪酬明细!$A:$A,AR$6)/10000</f>
        <v>6.6</v>
      </c>
      <c r="AS93" s="121">
        <f>SUMIFS(薪酬明细!$O:$O,薪酬明细!$D:$D,$E93,薪酬明细!$E:$E,$F93,薪酬明细!$H:$H,"&gt;="&amp;AS$9,薪酬明细!$H:$H,"&lt;="&amp;AS$10,薪酬明细!$A:$A,AS$6)/10000</f>
        <v>6.8</v>
      </c>
      <c r="AT93" s="121">
        <f>SUMIFS(薪酬明细!$O:$O,薪酬明细!$D:$D,$E93,薪酬明细!$E:$E,$F93,薪酬明细!$H:$H,"&gt;="&amp;AT$9,薪酬明细!$H:$H,"&lt;="&amp;AT$10,薪酬明细!$A:$A,AT$6)/10000</f>
        <v>6.7</v>
      </c>
      <c r="AU93" s="121">
        <f>SUMIFS(薪酬明细!$O:$O,薪酬明细!$D:$D,$E93,薪酬明细!$E:$E,$F93,薪酬明细!$H:$H,"&gt;="&amp;AU$9,薪酬明细!$H:$H,"&lt;="&amp;AU$10,薪酬明细!$A:$A,AU$6)/10000</f>
        <v>80.9</v>
      </c>
      <c r="AV93" s="121">
        <f>SUMIFS(薪酬明细!$O:$O,薪酬明细!$D:$D,$E93,薪酬明细!$E:$E,$F93,薪酬明细!$H:$H,"&gt;="&amp;AV$9,薪酬明细!$H:$H,"&lt;="&amp;AV$10,薪酬明细!$A:$A,AV$6)/10000</f>
        <v>6.9</v>
      </c>
      <c r="AW93" s="121">
        <f>SUMIFS(薪酬明细!$O:$O,薪酬明细!$D:$D,$E93,薪酬明细!$E:$E,$F93,薪酬明细!$H:$H,"&gt;="&amp;AW$9,薪酬明细!$H:$H,"&lt;="&amp;AW$10,薪酬明细!$A:$A,AW$6)/10000</f>
        <v>6.7</v>
      </c>
      <c r="AX93" s="121">
        <f>SUMIFS(薪酬明细!$O:$O,薪酬明细!$D:$D,$E93,薪酬明细!$E:$E,$F93,薪酬明细!$H:$H,"&gt;="&amp;AX$9,薪酬明细!$H:$H,"&lt;="&amp;AX$10,薪酬明细!$A:$A,AX$6)/10000</f>
        <v>6.7</v>
      </c>
      <c r="AY93" s="121">
        <f>SUMIFS(薪酬明细!$O:$O,薪酬明细!$D:$D,$E93,薪酬明细!$E:$E,$F93,薪酬明细!$H:$H,"&gt;="&amp;AY$9,薪酬明细!$H:$H,"&lt;="&amp;AY$10,薪酬明细!$A:$A,AY$6)/10000</f>
        <v>6.7</v>
      </c>
      <c r="AZ93" s="121">
        <f>SUMIFS(薪酬明细!$O:$O,薪酬明细!$D:$D,$E93,薪酬明细!$E:$E,$F93,薪酬明细!$H:$H,"&gt;="&amp;AZ$9,薪酬明细!$H:$H,"&lt;="&amp;AZ$10,薪酬明细!$A:$A,AZ$6)/10000</f>
        <v>6.9</v>
      </c>
      <c r="BA93" s="121">
        <f>SUMIFS(薪酬明细!$O:$O,薪酬明细!$D:$D,$E93,薪酬明细!$E:$E,$F93,薪酬明细!$H:$H,"&gt;="&amp;BA$9,薪酬明细!$H:$H,"&lt;="&amp;BA$10,薪酬明细!$A:$A,BA$6)/10000</f>
        <v>6.7</v>
      </c>
      <c r="BB93" s="121">
        <f>SUMIFS(薪酬明细!$O:$O,薪酬明细!$D:$D,$E93,薪酬明细!$E:$E,$F93,薪酬明细!$H:$H,"&gt;="&amp;BB$9,薪酬明细!$H:$H,"&lt;="&amp;BB$10,薪酬明细!$A:$A,BB$6)/10000</f>
        <v>6.7</v>
      </c>
      <c r="BC93" s="121">
        <f>SUMIFS(薪酬明细!$O:$O,薪酬明细!$D:$D,$E93,薪酬明细!$E:$E,$F93,薪酬明细!$H:$H,"&gt;="&amp;BC$9,薪酬明细!$H:$H,"&lt;="&amp;BC$10,薪酬明细!$A:$A,BC$6)/10000</f>
        <v>6.7</v>
      </c>
      <c r="BD93" s="121">
        <f>SUMIFS(薪酬明细!$O:$O,薪酬明细!$D:$D,$E93,薪酬明细!$E:$E,$F93,薪酬明细!$H:$H,"&gt;="&amp;BD$9,薪酬明细!$H:$H,"&lt;="&amp;BD$10,薪酬明细!$A:$A,BD$6)/10000</f>
        <v>6.8</v>
      </c>
      <c r="BE93" s="121">
        <f>SUMIFS(薪酬明细!$O:$O,薪酬明细!$D:$D,$E93,薪酬明细!$E:$E,$F93,薪酬明细!$H:$H,"&gt;="&amp;BE$9,薪酬明细!$H:$H,"&lt;="&amp;BE$10,薪酬明细!$A:$A,BE$6)/10000</f>
        <v>6.7</v>
      </c>
      <c r="BF93" s="121">
        <f>SUMIFS(薪酬明细!$O:$O,薪酬明细!$D:$D,$E93,薪酬明细!$E:$E,$F93,薪酬明细!$H:$H,"&gt;="&amp;BF$9,薪酬明细!$H:$H,"&lt;="&amp;BF$10,薪酬明细!$A:$A,BF$6)/10000</f>
        <v>6.8</v>
      </c>
      <c r="BG93" s="121">
        <f>SUMIFS(薪酬明细!$O:$O,薪酬明细!$D:$D,$E93,薪酬明细!$E:$E,$F93,薪酬明细!$H:$H,"&gt;="&amp;BG$9,薪酬明细!$H:$H,"&lt;="&amp;BG$10,薪酬明细!$A:$A,BG$6)/10000</f>
        <v>6.7</v>
      </c>
    </row>
    <row r="94" ht="16.2" spans="3:59">
      <c r="C94" s="42"/>
      <c r="D94" s="42" t="s">
        <v>85</v>
      </c>
      <c r="E94" s="116" t="str">
        <f t="shared" si="93"/>
        <v>创新中心</v>
      </c>
      <c r="F94" s="116" t="str">
        <f t="shared" si="94"/>
        <v>XX
孵化业务</v>
      </c>
      <c r="G94" s="121">
        <f>SUMIFS(薪酬明细!$O:$O,薪酬明细!$D:$D,$E94,薪酬明细!$E:$E,$F94,薪酬明细!$H:$H,"&gt;="&amp;G$9,薪酬明细!$H:$H,"&lt;="&amp;G$10,薪酬明细!$A:$A,G$6)/10000</f>
        <v>137</v>
      </c>
      <c r="H94" s="121">
        <f>SUMIFS(薪酬明细!$O:$O,薪酬明细!$D:$D,$E94,薪酬明细!$E:$E,$F94,薪酬明细!$H:$H,"&gt;="&amp;H$9,薪酬明细!$H:$H,"&lt;="&amp;H$10,薪酬明细!$A:$A,H$6)/10000</f>
        <v>11.4</v>
      </c>
      <c r="I94" s="121">
        <f>SUMIFS(薪酬明细!$O:$O,薪酬明细!$D:$D,$E94,薪酬明细!$E:$E,$F94,薪酬明细!$H:$H,"&gt;="&amp;I$9,薪酬明细!$H:$H,"&lt;="&amp;I$10,薪酬明细!$A:$A,I$6)/10000</f>
        <v>11.5</v>
      </c>
      <c r="J94" s="121">
        <f>SUMIFS(薪酬明细!$O:$O,薪酬明细!$D:$D,$E94,薪酬明细!$E:$E,$F94,薪酬明细!$H:$H,"&gt;="&amp;J$9,薪酬明细!$H:$H,"&lt;="&amp;J$10,薪酬明细!$A:$A,J$6)/10000</f>
        <v>11.5</v>
      </c>
      <c r="K94" s="121">
        <f>SUMIFS(薪酬明细!$O:$O,薪酬明细!$D:$D,$E94,薪酬明细!$E:$E,$F94,薪酬明细!$H:$H,"&gt;="&amp;K$9,薪酬明细!$H:$H,"&lt;="&amp;K$10,薪酬明细!$A:$A,K$6)/10000</f>
        <v>11.5</v>
      </c>
      <c r="L94" s="121">
        <f>SUMIFS(薪酬明细!$O:$O,薪酬明细!$D:$D,$E94,薪酬明细!$E:$E,$F94,薪酬明细!$H:$H,"&gt;="&amp;L$9,薪酬明细!$H:$H,"&lt;="&amp;L$10,薪酬明细!$A:$A,L$6)/10000</f>
        <v>11.3</v>
      </c>
      <c r="M94" s="121">
        <f>SUMIFS(薪酬明细!$O:$O,薪酬明细!$D:$D,$E94,薪酬明细!$E:$E,$F94,薪酬明细!$H:$H,"&gt;="&amp;M$9,薪酬明细!$H:$H,"&lt;="&amp;M$10,薪酬明细!$A:$A,M$6)/10000</f>
        <v>11.6</v>
      </c>
      <c r="N94" s="121">
        <f>SUMIFS(薪酬明细!$O:$O,薪酬明细!$D:$D,$E94,薪酬明细!$E:$E,$F94,薪酬明细!$H:$H,"&gt;="&amp;N$9,薪酬明细!$H:$H,"&lt;="&amp;N$10,薪酬明细!$A:$A,N$6)/10000</f>
        <v>11.5</v>
      </c>
      <c r="O94" s="121">
        <f>SUMIFS(薪酬明细!$O:$O,薪酬明细!$D:$D,$E94,薪酬明细!$E:$E,$F94,薪酬明细!$H:$H,"&gt;="&amp;O$9,薪酬明细!$H:$H,"&lt;="&amp;O$10,薪酬明细!$A:$A,O$6)/10000</f>
        <v>11.5</v>
      </c>
      <c r="P94" s="121">
        <f>SUMIFS(薪酬明细!$O:$O,薪酬明细!$D:$D,$E94,薪酬明细!$E:$E,$F94,薪酬明细!$H:$H,"&gt;="&amp;P$9,薪酬明细!$H:$H,"&lt;="&amp;P$10,薪酬明细!$A:$A,P$6)/10000</f>
        <v>11.4</v>
      </c>
      <c r="Q94" s="121">
        <f>SUMIFS(薪酬明细!$O:$O,薪酬明细!$D:$D,$E94,薪酬明细!$E:$E,$F94,薪酬明细!$H:$H,"&gt;="&amp;Q$9,薪酬明细!$H:$H,"&lt;="&amp;Q$10,薪酬明细!$A:$A,Q$6)/10000</f>
        <v>11.3</v>
      </c>
      <c r="R94" s="121">
        <f>SUMIFS(薪酬明细!$O:$O,薪酬明细!$D:$D,$E94,薪酬明细!$E:$E,$F94,薪酬明细!$H:$H,"&gt;="&amp;R$9,薪酬明细!$H:$H,"&lt;="&amp;R$10,薪酬明细!$A:$A,R$6)/10000</f>
        <v>11.2</v>
      </c>
      <c r="S94" s="121">
        <f>SUMIFS(薪酬明细!$O:$O,薪酬明细!$D:$D,$E94,薪酬明细!$E:$E,$F94,薪酬明细!$H:$H,"&gt;="&amp;S$9,薪酬明细!$H:$H,"&lt;="&amp;S$10,薪酬明细!$A:$A,S$6)/10000</f>
        <v>11.4</v>
      </c>
      <c r="T94" s="125">
        <f t="shared" si="95"/>
        <v>137.1</v>
      </c>
      <c r="U94" s="121">
        <f>SUMIFS(薪酬明细!$O:$O,薪酬明细!$D:$D,$E94,薪酬明细!$E:$E,$F94,薪酬明细!$H:$H,"&gt;="&amp;U$9,薪酬明细!$H:$H,"&lt;="&amp;U$10,薪酬明细!$A:$A,U$6)/10000</f>
        <v>102.9</v>
      </c>
      <c r="V94" s="121">
        <f>SUMIFS(薪酬明细!$O:$O,薪酬明细!$D:$D,$E94,薪酬明细!$E:$E,$F94,薪酬明细!$H:$H,"&gt;="&amp;V$9,薪酬明细!$H:$H,"&lt;="&amp;V$10,薪酬明细!$A:$A,V$6)/10000</f>
        <v>11.4</v>
      </c>
      <c r="W94" s="121">
        <f>SUMIFS(薪酬明细!$O:$O,薪酬明细!$D:$D,$E94,薪酬明细!$E:$E,$F94,薪酬明细!$H:$H,"&gt;="&amp;W$9,薪酬明细!$H:$H,"&lt;="&amp;W$10,薪酬明细!$A:$A,W$6)/10000</f>
        <v>11.4</v>
      </c>
      <c r="X94" s="121">
        <f>SUMIFS(薪酬明细!$O:$O,薪酬明细!$D:$D,$E94,薪酬明细!$E:$E,$F94,薪酬明细!$H:$H,"&gt;="&amp;X$9,薪酬明细!$H:$H,"&lt;="&amp;X$10,薪酬明细!$A:$A,X$6)/10000</f>
        <v>11.6</v>
      </c>
      <c r="Y94" s="121">
        <f>SUMIFS(薪酬明细!$O:$O,薪酬明细!$D:$D,$E94,薪酬明细!$E:$E,$F94,薪酬明细!$H:$H,"&gt;="&amp;Y$9,薪酬明细!$H:$H,"&lt;="&amp;Y$10,薪酬明细!$A:$A,Y$6)/10000</f>
        <v>11.5</v>
      </c>
      <c r="Z94" s="121">
        <f>SUMIFS(薪酬明细!$O:$O,薪酬明细!$D:$D,$E94,薪酬明细!$E:$E,$F94,薪酬明细!$H:$H,"&gt;="&amp;Z$9,薪酬明细!$H:$H,"&lt;="&amp;Z$10,薪酬明细!$A:$A,Z$6)/10000</f>
        <v>11.4</v>
      </c>
      <c r="AA94" s="121">
        <f>SUMIFS(薪酬明细!$O:$O,薪酬明细!$D:$D,$E94,薪酬明细!$E:$E,$F94,薪酬明细!$H:$H,"&gt;="&amp;AA$9,薪酬明细!$H:$H,"&lt;="&amp;AA$10,薪酬明细!$A:$A,AA$6)/10000</f>
        <v>11.4</v>
      </c>
      <c r="AB94" s="121">
        <f>SUMIFS(薪酬明细!$O:$O,薪酬明细!$D:$D,$E94,薪酬明细!$E:$E,$F94,薪酬明细!$H:$H,"&gt;="&amp;AB$9,薪酬明细!$H:$H,"&lt;="&amp;AB$10,薪酬明细!$A:$A,AB$6)/10000</f>
        <v>11.4</v>
      </c>
      <c r="AC94" s="121">
        <f>SUMIFS(薪酬明细!$O:$O,薪酬明细!$D:$D,$E94,薪酬明细!$E:$E,$F94,薪酬明细!$H:$H,"&gt;="&amp;AC$9,薪酬明细!$H:$H,"&lt;="&amp;AC$10,薪酬明细!$A:$A,AC$6)/10000</f>
        <v>11.5</v>
      </c>
      <c r="AD94" s="121">
        <f>SUMIFS(薪酬明细!$O:$O,薪酬明细!$D:$D,$E94,薪酬明细!$E:$E,$F94,薪酬明细!$H:$H,"&gt;="&amp;AD$9,薪酬明细!$H:$H,"&lt;="&amp;AD$10,薪酬明细!$A:$A,AD$6)/10000</f>
        <v>11.5</v>
      </c>
      <c r="AE94" s="121">
        <f>SUMIFS(薪酬明细!$O:$O,薪酬明细!$D:$D,$E94,薪酬明细!$E:$E,$F94,薪酬明细!$H:$H,"&gt;="&amp;AE$9,薪酬明细!$H:$H,"&lt;="&amp;AE$10,薪酬明细!$A:$A,AE$6)/10000</f>
        <v>0</v>
      </c>
      <c r="AF94" s="121">
        <f>SUMIFS(薪酬明细!$O:$O,薪酬明细!$D:$D,$E94,薪酬明细!$E:$E,$F94,薪酬明细!$H:$H,"&gt;="&amp;AF$9,薪酬明细!$H:$H,"&lt;="&amp;AF$10,薪酬明细!$A:$A,AF$6)/10000</f>
        <v>0</v>
      </c>
      <c r="AG94" s="121">
        <f>SUMIFS(薪酬明细!$O:$O,薪酬明细!$D:$D,$E94,薪酬明细!$E:$E,$F94,薪酬明细!$H:$H,"&gt;="&amp;AG$9,薪酬明细!$H:$H,"&lt;="&amp;AG$10,薪酬明细!$A:$A,AG$6)/10000</f>
        <v>0</v>
      </c>
      <c r="AH94" s="121">
        <f>SUMIFS(薪酬明细!$O:$O,薪酬明细!$D:$D,$E94,薪酬明细!$E:$E,$F94,薪酬明细!$H:$H,"&gt;="&amp;AH$9,薪酬明细!$H:$H,"&lt;="&amp;AH$10,薪酬明细!$A:$A,AH$6)/10000</f>
        <v>34.2</v>
      </c>
      <c r="AI94" s="121">
        <f>SUMIFS(薪酬明细!$O:$O,薪酬明细!$D:$D,$E94,薪酬明细!$E:$E,$F94,薪酬明细!$H:$H,"&gt;="&amp;AI$9,薪酬明细!$H:$H,"&lt;="&amp;AI$10,薪酬明细!$A:$A,AI$6)/10000</f>
        <v>0</v>
      </c>
      <c r="AJ94" s="121">
        <f>SUMIFS(薪酬明细!$O:$O,薪酬明细!$D:$D,$E94,薪酬明细!$E:$E,$F94,薪酬明细!$H:$H,"&gt;="&amp;AJ$9,薪酬明细!$H:$H,"&lt;="&amp;AJ$10,薪酬明细!$A:$A,AJ$6)/10000</f>
        <v>0</v>
      </c>
      <c r="AK94" s="121">
        <f>SUMIFS(薪酬明细!$O:$O,薪酬明细!$D:$D,$E94,薪酬明细!$E:$E,$F94,薪酬明细!$H:$H,"&gt;="&amp;AK$9,薪酬明细!$H:$H,"&lt;="&amp;AK$10,薪酬明细!$A:$A,AK$6)/10000</f>
        <v>0</v>
      </c>
      <c r="AL94" s="121">
        <f>SUMIFS(薪酬明细!$O:$O,薪酬明细!$D:$D,$E94,薪酬明细!$E:$E,$F94,薪酬明细!$H:$H,"&gt;="&amp;AL$9,薪酬明细!$H:$H,"&lt;="&amp;AL$10,薪酬明细!$A:$A,AL$6)/10000</f>
        <v>0</v>
      </c>
      <c r="AM94" s="121">
        <f>SUMIFS(薪酬明细!$O:$O,薪酬明细!$D:$D,$E94,薪酬明细!$E:$E,$F94,薪酬明细!$H:$H,"&gt;="&amp;AM$9,薪酬明细!$H:$H,"&lt;="&amp;AM$10,薪酬明细!$A:$A,AM$6)/10000</f>
        <v>0</v>
      </c>
      <c r="AN94" s="121">
        <f>SUMIFS(薪酬明细!$O:$O,薪酬明细!$D:$D,$E94,薪酬明细!$E:$E,$F94,薪酬明细!$H:$H,"&gt;="&amp;AN$9,薪酬明细!$H:$H,"&lt;="&amp;AN$10,薪酬明细!$A:$A,AN$6)/10000</f>
        <v>0</v>
      </c>
      <c r="AO94" s="121">
        <f>SUMIFS(薪酬明细!$O:$O,薪酬明细!$D:$D,$E94,薪酬明细!$E:$E,$F94,薪酬明细!$H:$H,"&gt;="&amp;AO$9,薪酬明细!$H:$H,"&lt;="&amp;AO$10,薪酬明细!$A:$A,AO$6)/10000</f>
        <v>0</v>
      </c>
      <c r="AP94" s="121">
        <f>SUMIFS(薪酬明细!$O:$O,薪酬明细!$D:$D,$E94,薪酬明细!$E:$E,$F94,薪酬明细!$H:$H,"&gt;="&amp;AP$9,薪酬明细!$H:$H,"&lt;="&amp;AP$10,薪酬明细!$A:$A,AP$6)/10000</f>
        <v>0</v>
      </c>
      <c r="AQ94" s="121">
        <f>SUMIFS(薪酬明细!$O:$O,薪酬明细!$D:$D,$E94,薪酬明细!$E:$E,$F94,薪酬明细!$H:$H,"&gt;="&amp;AQ$9,薪酬明细!$H:$H,"&lt;="&amp;AQ$10,薪酬明细!$A:$A,AQ$6)/10000</f>
        <v>0</v>
      </c>
      <c r="AR94" s="121">
        <f>SUMIFS(薪酬明细!$O:$O,薪酬明细!$D:$D,$E94,薪酬明细!$E:$E,$F94,薪酬明细!$H:$H,"&gt;="&amp;AR$9,薪酬明细!$H:$H,"&lt;="&amp;AR$10,薪酬明细!$A:$A,AR$6)/10000</f>
        <v>11.5</v>
      </c>
      <c r="AS94" s="121">
        <f>SUMIFS(薪酬明细!$O:$O,薪酬明细!$D:$D,$E94,薪酬明细!$E:$E,$F94,薪酬明细!$H:$H,"&gt;="&amp;AS$9,薪酬明细!$H:$H,"&lt;="&amp;AS$10,薪酬明细!$A:$A,AS$6)/10000</f>
        <v>11.4</v>
      </c>
      <c r="AT94" s="121">
        <f>SUMIFS(薪酬明细!$O:$O,薪酬明细!$D:$D,$E94,薪酬明细!$E:$E,$F94,薪酬明细!$H:$H,"&gt;="&amp;AT$9,薪酬明细!$H:$H,"&lt;="&amp;AT$10,薪酬明细!$A:$A,AT$6)/10000</f>
        <v>11.3</v>
      </c>
      <c r="AU94" s="121">
        <f>SUMIFS(薪酬明细!$O:$O,薪酬明细!$D:$D,$E94,薪酬明细!$E:$E,$F94,薪酬明细!$H:$H,"&gt;="&amp;AU$9,薪酬明细!$H:$H,"&lt;="&amp;AU$10,薪酬明细!$A:$A,AU$6)/10000</f>
        <v>137.5</v>
      </c>
      <c r="AV94" s="121">
        <f>SUMIFS(薪酬明细!$O:$O,薪酬明细!$D:$D,$E94,薪酬明细!$E:$E,$F94,薪酬明细!$H:$H,"&gt;="&amp;AV$9,薪酬明细!$H:$H,"&lt;="&amp;AV$10,薪酬明细!$A:$A,AV$6)/10000</f>
        <v>11.5</v>
      </c>
      <c r="AW94" s="121">
        <f>SUMIFS(薪酬明细!$O:$O,薪酬明细!$D:$D,$E94,薪酬明细!$E:$E,$F94,薪酬明细!$H:$H,"&gt;="&amp;AW$9,薪酬明细!$H:$H,"&lt;="&amp;AW$10,薪酬明细!$A:$A,AW$6)/10000</f>
        <v>11.4</v>
      </c>
      <c r="AX94" s="121">
        <f>SUMIFS(薪酬明细!$O:$O,薪酬明细!$D:$D,$E94,薪酬明细!$E:$E,$F94,薪酬明细!$H:$H,"&gt;="&amp;AX$9,薪酬明细!$H:$H,"&lt;="&amp;AX$10,薪酬明细!$A:$A,AX$6)/10000</f>
        <v>11.5</v>
      </c>
      <c r="AY94" s="121">
        <f>SUMIFS(薪酬明细!$O:$O,薪酬明细!$D:$D,$E94,薪酬明细!$E:$E,$F94,薪酬明细!$H:$H,"&gt;="&amp;AY$9,薪酬明细!$H:$H,"&lt;="&amp;AY$10,薪酬明细!$A:$A,AY$6)/10000</f>
        <v>11.5</v>
      </c>
      <c r="AZ94" s="121">
        <f>SUMIFS(薪酬明细!$O:$O,薪酬明细!$D:$D,$E94,薪酬明细!$E:$E,$F94,薪酬明细!$H:$H,"&gt;="&amp;AZ$9,薪酬明细!$H:$H,"&lt;="&amp;AZ$10,薪酬明细!$A:$A,AZ$6)/10000</f>
        <v>11.5</v>
      </c>
      <c r="BA94" s="121">
        <f>SUMIFS(薪酬明细!$O:$O,薪酬明细!$D:$D,$E94,薪酬明细!$E:$E,$F94,薪酬明细!$H:$H,"&gt;="&amp;BA$9,薪酬明细!$H:$H,"&lt;="&amp;BA$10,薪酬明细!$A:$A,BA$6)/10000</f>
        <v>11.4</v>
      </c>
      <c r="BB94" s="121">
        <f>SUMIFS(薪酬明细!$O:$O,薪酬明细!$D:$D,$E94,薪酬明细!$E:$E,$F94,薪酬明细!$H:$H,"&gt;="&amp;BB$9,薪酬明细!$H:$H,"&lt;="&amp;BB$10,薪酬明细!$A:$A,BB$6)/10000</f>
        <v>11.4</v>
      </c>
      <c r="BC94" s="121">
        <f>SUMIFS(薪酬明细!$O:$O,薪酬明细!$D:$D,$E94,薪酬明细!$E:$E,$F94,薪酬明细!$H:$H,"&gt;="&amp;BC$9,薪酬明细!$H:$H,"&lt;="&amp;BC$10,薪酬明细!$A:$A,BC$6)/10000</f>
        <v>11.4</v>
      </c>
      <c r="BD94" s="121">
        <f>SUMIFS(薪酬明细!$O:$O,薪酬明细!$D:$D,$E94,薪酬明细!$E:$E,$F94,薪酬明细!$H:$H,"&gt;="&amp;BD$9,薪酬明细!$H:$H,"&lt;="&amp;BD$10,薪酬明细!$A:$A,BD$6)/10000</f>
        <v>11.7</v>
      </c>
      <c r="BE94" s="121">
        <f>SUMIFS(薪酬明细!$O:$O,薪酬明细!$D:$D,$E94,薪酬明细!$E:$E,$F94,薪酬明细!$H:$H,"&gt;="&amp;BE$9,薪酬明细!$H:$H,"&lt;="&amp;BE$10,薪酬明细!$A:$A,BE$6)/10000</f>
        <v>11.5</v>
      </c>
      <c r="BF94" s="121">
        <f>SUMIFS(薪酬明细!$O:$O,薪酬明细!$D:$D,$E94,薪酬明细!$E:$E,$F94,薪酬明细!$H:$H,"&gt;="&amp;BF$9,薪酬明细!$H:$H,"&lt;="&amp;BF$10,薪酬明细!$A:$A,BF$6)/10000</f>
        <v>11.3</v>
      </c>
      <c r="BG94" s="121">
        <f>SUMIFS(薪酬明细!$O:$O,薪酬明细!$D:$D,$E94,薪酬明细!$E:$E,$F94,薪酬明细!$H:$H,"&gt;="&amp;BG$9,薪酬明细!$H:$H,"&lt;="&amp;BG$10,薪酬明细!$A:$A,BG$6)/10000</f>
        <v>11.6</v>
      </c>
    </row>
    <row r="95" ht="16.2" spans="3:59">
      <c r="C95" s="42" t="s">
        <v>86</v>
      </c>
      <c r="D95" s="42"/>
      <c r="E95" s="116" t="str">
        <f t="shared" si="93"/>
        <v>支持中心</v>
      </c>
      <c r="F95" s="116" t="str">
        <f t="shared" si="94"/>
        <v>*</v>
      </c>
      <c r="G95" s="121">
        <f>SUMIFS(薪酬明细!$O:$O,薪酬明细!$D:$D,$E95,薪酬明细!$E:$E,$F95,薪酬明细!$H:$H,"&gt;="&amp;G$9,薪酬明细!$H:$H,"&lt;="&amp;G$10,薪酬明细!$A:$A,G$6)/10000</f>
        <v>298.8</v>
      </c>
      <c r="H95" s="121">
        <f>SUMIFS(薪酬明细!$O:$O,薪酬明细!$D:$D,$E95,薪酬明细!$E:$E,$F95,薪酬明细!$H:$H,"&gt;="&amp;H$9,薪酬明细!$H:$H,"&lt;="&amp;H$10,薪酬明细!$A:$A,H$6)/10000</f>
        <v>25</v>
      </c>
      <c r="I95" s="121">
        <f>SUMIFS(薪酬明细!$O:$O,薪酬明细!$D:$D,$E95,薪酬明细!$E:$E,$F95,薪酬明细!$H:$H,"&gt;="&amp;I$9,薪酬明细!$H:$H,"&lt;="&amp;I$10,薪酬明细!$A:$A,I$6)/10000</f>
        <v>24.7</v>
      </c>
      <c r="J95" s="121">
        <f>SUMIFS(薪酬明细!$O:$O,薪酬明细!$D:$D,$E95,薪酬明细!$E:$E,$F95,薪酬明细!$H:$H,"&gt;="&amp;J$9,薪酬明细!$H:$H,"&lt;="&amp;J$10,薪酬明细!$A:$A,J$6)/10000</f>
        <v>24.8</v>
      </c>
      <c r="K95" s="121">
        <f>SUMIFS(薪酬明细!$O:$O,薪酬明细!$D:$D,$E95,薪酬明细!$E:$E,$F95,薪酬明细!$H:$H,"&gt;="&amp;K$9,薪酬明细!$H:$H,"&lt;="&amp;K$10,薪酬明细!$A:$A,K$6)/10000</f>
        <v>25</v>
      </c>
      <c r="L95" s="121">
        <f>SUMIFS(薪酬明细!$O:$O,薪酬明细!$D:$D,$E95,薪酬明细!$E:$E,$F95,薪酬明细!$H:$H,"&gt;="&amp;L$9,薪酬明细!$H:$H,"&lt;="&amp;L$10,薪酬明细!$A:$A,L$6)/10000</f>
        <v>24.8</v>
      </c>
      <c r="M95" s="121">
        <f>SUMIFS(薪酬明细!$O:$O,薪酬明细!$D:$D,$E95,薪酬明细!$E:$E,$F95,薪酬明细!$H:$H,"&gt;="&amp;M$9,薪酬明细!$H:$H,"&lt;="&amp;M$10,薪酬明细!$A:$A,M$6)/10000</f>
        <v>24.9</v>
      </c>
      <c r="N95" s="121">
        <f>SUMIFS(薪酬明细!$O:$O,薪酬明细!$D:$D,$E95,薪酬明细!$E:$E,$F95,薪酬明细!$H:$H,"&gt;="&amp;N$9,薪酬明细!$H:$H,"&lt;="&amp;N$10,薪酬明细!$A:$A,N$6)/10000</f>
        <v>25.1</v>
      </c>
      <c r="O95" s="121">
        <f>SUMIFS(薪酬明细!$O:$O,薪酬明细!$D:$D,$E95,薪酬明细!$E:$E,$F95,薪酬明细!$H:$H,"&gt;="&amp;O$9,薪酬明细!$H:$H,"&lt;="&amp;O$10,薪酬明细!$A:$A,O$6)/10000</f>
        <v>24.8</v>
      </c>
      <c r="P95" s="121">
        <f>SUMIFS(薪酬明细!$O:$O,薪酬明细!$D:$D,$E95,薪酬明细!$E:$E,$F95,薪酬明细!$H:$H,"&gt;="&amp;P$9,薪酬明细!$H:$H,"&lt;="&amp;P$10,薪酬明细!$A:$A,P$6)/10000</f>
        <v>24.8</v>
      </c>
      <c r="Q95" s="121">
        <f>SUMIFS(薪酬明细!$O:$O,薪酬明细!$D:$D,$E95,薪酬明细!$E:$E,$F95,薪酬明细!$H:$H,"&gt;="&amp;Q$9,薪酬明细!$H:$H,"&lt;="&amp;Q$10,薪酬明细!$A:$A,Q$6)/10000</f>
        <v>24.9</v>
      </c>
      <c r="R95" s="121">
        <f>SUMIFS(薪酬明细!$O:$O,薪酬明细!$D:$D,$E95,薪酬明细!$E:$E,$F95,薪酬明细!$H:$H,"&gt;="&amp;R$9,薪酬明细!$H:$H,"&lt;="&amp;R$10,薪酬明细!$A:$A,R$6)/10000</f>
        <v>25</v>
      </c>
      <c r="S95" s="121">
        <f>SUMIFS(薪酬明细!$O:$O,薪酬明细!$D:$D,$E95,薪酬明细!$E:$E,$F95,薪酬明细!$H:$H,"&gt;="&amp;S$9,薪酬明细!$H:$H,"&lt;="&amp;S$10,薪酬明细!$A:$A,S$6)/10000</f>
        <v>24.9</v>
      </c>
      <c r="T95" s="125">
        <f t="shared" si="95"/>
        <v>299.4</v>
      </c>
      <c r="U95" s="121">
        <f>SUMIFS(薪酬明细!$O:$O,薪酬明细!$D:$D,$E95,薪酬明细!$E:$E,$F95,薪酬明细!$H:$H,"&gt;="&amp;U$9,薪酬明细!$H:$H,"&lt;="&amp;U$10,薪酬明细!$A:$A,U$6)/10000</f>
        <v>224.4</v>
      </c>
      <c r="V95" s="121">
        <f>SUMIFS(薪酬明细!$O:$O,薪酬明细!$D:$D,$E95,薪酬明细!$E:$E,$F95,薪酬明细!$H:$H,"&gt;="&amp;V$9,薪酬明细!$H:$H,"&lt;="&amp;V$10,薪酬明细!$A:$A,V$6)/10000</f>
        <v>25</v>
      </c>
      <c r="W95" s="121">
        <f>SUMIFS(薪酬明细!$O:$O,薪酬明细!$D:$D,$E95,薪酬明细!$E:$E,$F95,薪酬明细!$H:$H,"&gt;="&amp;W$9,薪酬明细!$H:$H,"&lt;="&amp;W$10,薪酬明细!$A:$A,W$6)/10000</f>
        <v>24.8</v>
      </c>
      <c r="X95" s="121">
        <f>SUMIFS(薪酬明细!$O:$O,薪酬明细!$D:$D,$E95,薪酬明细!$E:$E,$F95,薪酬明细!$H:$H,"&gt;="&amp;X$9,薪酬明细!$H:$H,"&lt;="&amp;X$10,薪酬明细!$A:$A,X$6)/10000</f>
        <v>24.9</v>
      </c>
      <c r="Y95" s="121">
        <f>SUMIFS(薪酬明细!$O:$O,薪酬明细!$D:$D,$E95,薪酬明细!$E:$E,$F95,薪酬明细!$H:$H,"&gt;="&amp;Y$9,薪酬明细!$H:$H,"&lt;="&amp;Y$10,薪酬明细!$A:$A,Y$6)/10000</f>
        <v>25</v>
      </c>
      <c r="Z95" s="121">
        <f>SUMIFS(薪酬明细!$O:$O,薪酬明细!$D:$D,$E95,薪酬明细!$E:$E,$F95,薪酬明细!$H:$H,"&gt;="&amp;Z$9,薪酬明细!$H:$H,"&lt;="&amp;Z$10,薪酬明细!$A:$A,Z$6)/10000</f>
        <v>24.9</v>
      </c>
      <c r="AA95" s="121">
        <f>SUMIFS(薪酬明细!$O:$O,薪酬明细!$D:$D,$E95,薪酬明细!$E:$E,$F95,薪酬明细!$H:$H,"&gt;="&amp;AA$9,薪酬明细!$H:$H,"&lt;="&amp;AA$10,薪酬明细!$A:$A,AA$6)/10000</f>
        <v>25.1</v>
      </c>
      <c r="AB95" s="121">
        <f>SUMIFS(薪酬明细!$O:$O,薪酬明细!$D:$D,$E95,薪酬明细!$E:$E,$F95,薪酬明细!$H:$H,"&gt;="&amp;AB$9,薪酬明细!$H:$H,"&lt;="&amp;AB$10,薪酬明细!$A:$A,AB$6)/10000</f>
        <v>25.1</v>
      </c>
      <c r="AC95" s="121">
        <f>SUMIFS(薪酬明细!$O:$O,薪酬明细!$D:$D,$E95,薪酬明细!$E:$E,$F95,薪酬明细!$H:$H,"&gt;="&amp;AC$9,薪酬明细!$H:$H,"&lt;="&amp;AC$10,薪酬明细!$A:$A,AC$6)/10000</f>
        <v>24.9</v>
      </c>
      <c r="AD95" s="121">
        <f>SUMIFS(薪酬明细!$O:$O,薪酬明细!$D:$D,$E95,薪酬明细!$E:$E,$F95,薪酬明细!$H:$H,"&gt;="&amp;AD$9,薪酬明细!$H:$H,"&lt;="&amp;AD$10,薪酬明细!$A:$A,AD$6)/10000</f>
        <v>24.7</v>
      </c>
      <c r="AE95" s="121">
        <f>SUMIFS(薪酬明细!$O:$O,薪酬明细!$D:$D,$E95,薪酬明细!$E:$E,$F95,薪酬明细!$H:$H,"&gt;="&amp;AE$9,薪酬明细!$H:$H,"&lt;="&amp;AE$10,薪酬明细!$A:$A,AE$6)/10000</f>
        <v>0</v>
      </c>
      <c r="AF95" s="121">
        <f>SUMIFS(薪酬明细!$O:$O,薪酬明细!$D:$D,$E95,薪酬明细!$E:$E,$F95,薪酬明细!$H:$H,"&gt;="&amp;AF$9,薪酬明细!$H:$H,"&lt;="&amp;AF$10,薪酬明细!$A:$A,AF$6)/10000</f>
        <v>0</v>
      </c>
      <c r="AG95" s="121">
        <f>SUMIFS(薪酬明细!$O:$O,薪酬明细!$D:$D,$E95,薪酬明细!$E:$E,$F95,薪酬明细!$H:$H,"&gt;="&amp;AG$9,薪酬明细!$H:$H,"&lt;="&amp;AG$10,薪酬明细!$A:$A,AG$6)/10000</f>
        <v>0</v>
      </c>
      <c r="AH95" s="121">
        <f>SUMIFS(薪酬明细!$O:$O,薪酬明细!$D:$D,$E95,薪酬明细!$E:$E,$F95,薪酬明细!$H:$H,"&gt;="&amp;AH$9,薪酬明细!$H:$H,"&lt;="&amp;AH$10,薪酬明细!$A:$A,AH$6)/10000</f>
        <v>75</v>
      </c>
      <c r="AI95" s="121">
        <f>SUMIFS(薪酬明细!$O:$O,薪酬明细!$D:$D,$E95,薪酬明细!$E:$E,$F95,薪酬明细!$H:$H,"&gt;="&amp;AI$9,薪酬明细!$H:$H,"&lt;="&amp;AI$10,薪酬明细!$A:$A,AI$6)/10000</f>
        <v>0</v>
      </c>
      <c r="AJ95" s="121">
        <f>SUMIFS(薪酬明细!$O:$O,薪酬明细!$D:$D,$E95,薪酬明细!$E:$E,$F95,薪酬明细!$H:$H,"&gt;="&amp;AJ$9,薪酬明细!$H:$H,"&lt;="&amp;AJ$10,薪酬明细!$A:$A,AJ$6)/10000</f>
        <v>0</v>
      </c>
      <c r="AK95" s="121">
        <f>SUMIFS(薪酬明细!$O:$O,薪酬明细!$D:$D,$E95,薪酬明细!$E:$E,$F95,薪酬明细!$H:$H,"&gt;="&amp;AK$9,薪酬明细!$H:$H,"&lt;="&amp;AK$10,薪酬明细!$A:$A,AK$6)/10000</f>
        <v>0</v>
      </c>
      <c r="AL95" s="121">
        <f>SUMIFS(薪酬明细!$O:$O,薪酬明细!$D:$D,$E95,薪酬明细!$E:$E,$F95,薪酬明细!$H:$H,"&gt;="&amp;AL$9,薪酬明细!$H:$H,"&lt;="&amp;AL$10,薪酬明细!$A:$A,AL$6)/10000</f>
        <v>0</v>
      </c>
      <c r="AM95" s="121">
        <f>SUMIFS(薪酬明细!$O:$O,薪酬明细!$D:$D,$E95,薪酬明细!$E:$E,$F95,薪酬明细!$H:$H,"&gt;="&amp;AM$9,薪酬明细!$H:$H,"&lt;="&amp;AM$10,薪酬明细!$A:$A,AM$6)/10000</f>
        <v>0</v>
      </c>
      <c r="AN95" s="121">
        <f>SUMIFS(薪酬明细!$O:$O,薪酬明细!$D:$D,$E95,薪酬明细!$E:$E,$F95,薪酬明细!$H:$H,"&gt;="&amp;AN$9,薪酬明细!$H:$H,"&lt;="&amp;AN$10,薪酬明细!$A:$A,AN$6)/10000</f>
        <v>0</v>
      </c>
      <c r="AO95" s="121">
        <f>SUMIFS(薪酬明细!$O:$O,薪酬明细!$D:$D,$E95,薪酬明细!$E:$E,$F95,薪酬明细!$H:$H,"&gt;="&amp;AO$9,薪酬明细!$H:$H,"&lt;="&amp;AO$10,薪酬明细!$A:$A,AO$6)/10000</f>
        <v>0</v>
      </c>
      <c r="AP95" s="121">
        <f>SUMIFS(薪酬明细!$O:$O,薪酬明细!$D:$D,$E95,薪酬明细!$E:$E,$F95,薪酬明细!$H:$H,"&gt;="&amp;AP$9,薪酬明细!$H:$H,"&lt;="&amp;AP$10,薪酬明细!$A:$A,AP$6)/10000</f>
        <v>0</v>
      </c>
      <c r="AQ95" s="121">
        <f>SUMIFS(薪酬明细!$O:$O,薪酬明细!$D:$D,$E95,薪酬明细!$E:$E,$F95,薪酬明细!$H:$H,"&gt;="&amp;AQ$9,薪酬明细!$H:$H,"&lt;="&amp;AQ$10,薪酬明细!$A:$A,AQ$6)/10000</f>
        <v>0</v>
      </c>
      <c r="AR95" s="121">
        <f>SUMIFS(薪酬明细!$O:$O,薪酬明细!$D:$D,$E95,薪酬明细!$E:$E,$F95,薪酬明细!$H:$H,"&gt;="&amp;AR$9,薪酬明细!$H:$H,"&lt;="&amp;AR$10,薪酬明细!$A:$A,AR$6)/10000</f>
        <v>25.1</v>
      </c>
      <c r="AS95" s="121">
        <f>SUMIFS(薪酬明细!$O:$O,薪酬明细!$D:$D,$E95,薪酬明细!$E:$E,$F95,薪酬明细!$H:$H,"&gt;="&amp;AS$9,薪酬明细!$H:$H,"&lt;="&amp;AS$10,薪酬明细!$A:$A,AS$6)/10000</f>
        <v>25</v>
      </c>
      <c r="AT95" s="121">
        <f>SUMIFS(薪酬明细!$O:$O,薪酬明细!$D:$D,$E95,薪酬明细!$E:$E,$F95,薪酬明细!$H:$H,"&gt;="&amp;AT$9,薪酬明细!$H:$H,"&lt;="&amp;AT$10,薪酬明细!$A:$A,AT$6)/10000</f>
        <v>24.9</v>
      </c>
      <c r="AU95" s="121">
        <f>SUMIFS(薪酬明细!$O:$O,薪酬明细!$D:$D,$E95,薪酬明细!$E:$E,$F95,薪酬明细!$H:$H,"&gt;="&amp;AU$9,薪酬明细!$H:$H,"&lt;="&amp;AU$10,薪酬明细!$A:$A,AU$6)/10000</f>
        <v>298.7</v>
      </c>
      <c r="AV95" s="121">
        <f>SUMIFS(薪酬明细!$O:$O,薪酬明细!$D:$D,$E95,薪酬明细!$E:$E,$F95,薪酬明细!$H:$H,"&gt;="&amp;AV$9,薪酬明细!$H:$H,"&lt;="&amp;AV$10,薪酬明细!$A:$A,AV$6)/10000</f>
        <v>24.8</v>
      </c>
      <c r="AW95" s="121">
        <f>SUMIFS(薪酬明细!$O:$O,薪酬明细!$D:$D,$E95,薪酬明细!$E:$E,$F95,薪酬明细!$H:$H,"&gt;="&amp;AW$9,薪酬明细!$H:$H,"&lt;="&amp;AW$10,薪酬明细!$A:$A,AW$6)/10000</f>
        <v>25.2</v>
      </c>
      <c r="AX95" s="121">
        <f>SUMIFS(薪酬明细!$O:$O,薪酬明细!$D:$D,$E95,薪酬明细!$E:$E,$F95,薪酬明细!$H:$H,"&gt;="&amp;AX$9,薪酬明细!$H:$H,"&lt;="&amp;AX$10,薪酬明细!$A:$A,AX$6)/10000</f>
        <v>24.8</v>
      </c>
      <c r="AY95" s="121">
        <f>SUMIFS(薪酬明细!$O:$O,薪酬明细!$D:$D,$E95,薪酬明细!$E:$E,$F95,薪酬明细!$H:$H,"&gt;="&amp;AY$9,薪酬明细!$H:$H,"&lt;="&amp;AY$10,薪酬明细!$A:$A,AY$6)/10000</f>
        <v>25</v>
      </c>
      <c r="AZ95" s="121">
        <f>SUMIFS(薪酬明细!$O:$O,薪酬明细!$D:$D,$E95,薪酬明细!$E:$E,$F95,薪酬明细!$H:$H,"&gt;="&amp;AZ$9,薪酬明细!$H:$H,"&lt;="&amp;AZ$10,薪酬明细!$A:$A,AZ$6)/10000</f>
        <v>24.9</v>
      </c>
      <c r="BA95" s="121">
        <f>SUMIFS(薪酬明细!$O:$O,薪酬明细!$D:$D,$E95,薪酬明细!$E:$E,$F95,薪酬明细!$H:$H,"&gt;="&amp;BA$9,薪酬明细!$H:$H,"&lt;="&amp;BA$10,薪酬明细!$A:$A,BA$6)/10000</f>
        <v>24.6</v>
      </c>
      <c r="BB95" s="121">
        <f>SUMIFS(薪酬明细!$O:$O,薪酬明细!$D:$D,$E95,薪酬明细!$E:$E,$F95,薪酬明细!$H:$H,"&gt;="&amp;BB$9,薪酬明细!$H:$H,"&lt;="&amp;BB$10,薪酬明细!$A:$A,BB$6)/10000</f>
        <v>24.9</v>
      </c>
      <c r="BC95" s="121">
        <f>SUMIFS(薪酬明细!$O:$O,薪酬明细!$D:$D,$E95,薪酬明细!$E:$E,$F95,薪酬明细!$H:$H,"&gt;="&amp;BC$9,薪酬明细!$H:$H,"&lt;="&amp;BC$10,薪酬明细!$A:$A,BC$6)/10000</f>
        <v>25</v>
      </c>
      <c r="BD95" s="121">
        <f>SUMIFS(薪酬明细!$O:$O,薪酬明细!$D:$D,$E95,薪酬明细!$E:$E,$F95,薪酬明细!$H:$H,"&gt;="&amp;BD$9,薪酬明细!$H:$H,"&lt;="&amp;BD$10,薪酬明细!$A:$A,BD$6)/10000</f>
        <v>25</v>
      </c>
      <c r="BE95" s="121">
        <f>SUMIFS(薪酬明细!$O:$O,薪酬明细!$D:$D,$E95,薪酬明细!$E:$E,$F95,薪酬明细!$H:$H,"&gt;="&amp;BE$9,薪酬明细!$H:$H,"&lt;="&amp;BE$10,薪酬明细!$A:$A,BE$6)/10000</f>
        <v>25.1</v>
      </c>
      <c r="BF95" s="121">
        <f>SUMIFS(薪酬明细!$O:$O,薪酬明细!$D:$D,$E95,薪酬明细!$E:$E,$F95,薪酬明细!$H:$H,"&gt;="&amp;BF$9,薪酬明细!$H:$H,"&lt;="&amp;BF$10,薪酬明细!$A:$A,BF$6)/10000</f>
        <v>24.7</v>
      </c>
      <c r="BG95" s="121">
        <f>SUMIFS(薪酬明细!$O:$O,薪酬明细!$D:$D,$E95,薪酬明细!$E:$E,$F95,薪酬明细!$H:$H,"&gt;="&amp;BG$9,薪酬明细!$H:$H,"&lt;="&amp;BG$10,薪酬明细!$A:$A,BG$6)/10000</f>
        <v>24.7</v>
      </c>
    </row>
    <row r="96" ht="16.2" spans="3:59">
      <c r="C96" s="42"/>
      <c r="D96" s="42" t="s">
        <v>87</v>
      </c>
      <c r="E96" s="116" t="str">
        <f t="shared" si="93"/>
        <v>支持中心</v>
      </c>
      <c r="F96" s="116" t="str">
        <f t="shared" si="94"/>
        <v>财务部</v>
      </c>
      <c r="G96" s="121">
        <f>SUMIFS(薪酬明细!$O:$O,薪酬明细!$D:$D,$E96,薪酬明细!$E:$E,$F96,薪酬明细!$H:$H,"&gt;="&amp;G$9,薪酬明细!$H:$H,"&lt;="&amp;G$10,薪酬明细!$A:$A,G$6)/10000</f>
        <v>118.1</v>
      </c>
      <c r="H96" s="121">
        <f>SUMIFS(薪酬明细!$O:$O,薪酬明细!$D:$D,$E96,薪酬明细!$E:$E,$F96,薪酬明细!$H:$H,"&gt;="&amp;H$9,薪酬明细!$H:$H,"&lt;="&amp;H$10,薪酬明细!$A:$A,H$6)/10000</f>
        <v>9.9</v>
      </c>
      <c r="I96" s="121">
        <f>SUMIFS(薪酬明细!$O:$O,薪酬明细!$D:$D,$E96,薪酬明细!$E:$E,$F96,薪酬明细!$H:$H,"&gt;="&amp;I$9,薪酬明细!$H:$H,"&lt;="&amp;I$10,薪酬明细!$A:$A,I$6)/10000</f>
        <v>9.8</v>
      </c>
      <c r="J96" s="121">
        <f>SUMIFS(薪酬明细!$O:$O,薪酬明细!$D:$D,$E96,薪酬明细!$E:$E,$F96,薪酬明细!$H:$H,"&gt;="&amp;J$9,薪酬明细!$H:$H,"&lt;="&amp;J$10,薪酬明细!$A:$A,J$6)/10000</f>
        <v>9.8</v>
      </c>
      <c r="K96" s="121">
        <f>SUMIFS(薪酬明细!$O:$O,薪酬明细!$D:$D,$E96,薪酬明细!$E:$E,$F96,薪酬明细!$H:$H,"&gt;="&amp;K$9,薪酬明细!$H:$H,"&lt;="&amp;K$10,薪酬明细!$A:$A,K$6)/10000</f>
        <v>9.8</v>
      </c>
      <c r="L96" s="121">
        <f>SUMIFS(薪酬明细!$O:$O,薪酬明细!$D:$D,$E96,薪酬明细!$E:$E,$F96,薪酬明细!$H:$H,"&gt;="&amp;L$9,薪酬明细!$H:$H,"&lt;="&amp;L$10,薪酬明细!$A:$A,L$6)/10000</f>
        <v>9.8</v>
      </c>
      <c r="M96" s="121">
        <f>SUMIFS(薪酬明细!$O:$O,薪酬明细!$D:$D,$E96,薪酬明细!$E:$E,$F96,薪酬明细!$H:$H,"&gt;="&amp;M$9,薪酬明细!$H:$H,"&lt;="&amp;M$10,薪酬明细!$A:$A,M$6)/10000</f>
        <v>9.9</v>
      </c>
      <c r="N96" s="121">
        <f>SUMIFS(薪酬明细!$O:$O,薪酬明细!$D:$D,$E96,薪酬明细!$E:$E,$F96,薪酬明细!$H:$H,"&gt;="&amp;N$9,薪酬明细!$H:$H,"&lt;="&amp;N$10,薪酬明细!$A:$A,N$6)/10000</f>
        <v>9.8</v>
      </c>
      <c r="O96" s="121">
        <f>SUMIFS(薪酬明细!$O:$O,薪酬明细!$D:$D,$E96,薪酬明细!$E:$E,$F96,薪酬明细!$H:$H,"&gt;="&amp;O$9,薪酬明细!$H:$H,"&lt;="&amp;O$10,薪酬明细!$A:$A,O$6)/10000</f>
        <v>9.8</v>
      </c>
      <c r="P96" s="121">
        <f>SUMIFS(薪酬明细!$O:$O,薪酬明细!$D:$D,$E96,薪酬明细!$E:$E,$F96,薪酬明细!$H:$H,"&gt;="&amp;P$9,薪酬明细!$H:$H,"&lt;="&amp;P$10,薪酬明细!$A:$A,P$6)/10000</f>
        <v>9.9</v>
      </c>
      <c r="Q96" s="121">
        <f>SUMIFS(薪酬明细!$O:$O,薪酬明细!$D:$D,$E96,薪酬明细!$E:$E,$F96,薪酬明细!$H:$H,"&gt;="&amp;Q$9,薪酬明细!$H:$H,"&lt;="&amp;Q$10,薪酬明细!$A:$A,Q$6)/10000</f>
        <v>9.9</v>
      </c>
      <c r="R96" s="121">
        <f>SUMIFS(薪酬明细!$O:$O,薪酬明细!$D:$D,$E96,薪酬明细!$E:$E,$F96,薪酬明细!$H:$H,"&gt;="&amp;R$9,薪酬明细!$H:$H,"&lt;="&amp;R$10,薪酬明细!$A:$A,R$6)/10000</f>
        <v>9.8</v>
      </c>
      <c r="S96" s="121">
        <f>SUMIFS(薪酬明细!$O:$O,薪酬明细!$D:$D,$E96,薪酬明细!$E:$E,$F96,薪酬明细!$H:$H,"&gt;="&amp;S$9,薪酬明细!$H:$H,"&lt;="&amp;S$10,薪酬明细!$A:$A,S$6)/10000</f>
        <v>9.8</v>
      </c>
      <c r="T96" s="125">
        <f t="shared" si="95"/>
        <v>118.2</v>
      </c>
      <c r="U96" s="121">
        <f>SUMIFS(薪酬明细!$O:$O,薪酬明细!$D:$D,$E96,薪酬明细!$E:$E,$F96,薪酬明细!$H:$H,"&gt;="&amp;U$9,薪酬明细!$H:$H,"&lt;="&amp;U$10,薪酬明细!$A:$A,U$6)/10000</f>
        <v>88.5</v>
      </c>
      <c r="V96" s="121">
        <f>SUMIFS(薪酬明细!$O:$O,薪酬明细!$D:$D,$E96,薪酬明细!$E:$E,$F96,薪酬明细!$H:$H,"&gt;="&amp;V$9,薪酬明细!$H:$H,"&lt;="&amp;V$10,薪酬明细!$A:$A,V$6)/10000</f>
        <v>9.9</v>
      </c>
      <c r="W96" s="121">
        <f>SUMIFS(薪酬明细!$O:$O,薪酬明细!$D:$D,$E96,薪酬明细!$E:$E,$F96,薪酬明细!$H:$H,"&gt;="&amp;W$9,薪酬明细!$H:$H,"&lt;="&amp;W$10,薪酬明细!$A:$A,W$6)/10000</f>
        <v>9.8</v>
      </c>
      <c r="X96" s="121">
        <f>SUMIFS(薪酬明细!$O:$O,薪酬明细!$D:$D,$E96,薪酬明细!$E:$E,$F96,薪酬明细!$H:$H,"&gt;="&amp;X$9,薪酬明细!$H:$H,"&lt;="&amp;X$10,薪酬明细!$A:$A,X$6)/10000</f>
        <v>9.9</v>
      </c>
      <c r="Y96" s="121">
        <f>SUMIFS(薪酬明细!$O:$O,薪酬明细!$D:$D,$E96,薪酬明细!$E:$E,$F96,薪酬明细!$H:$H,"&gt;="&amp;Y$9,薪酬明细!$H:$H,"&lt;="&amp;Y$10,薪酬明细!$A:$A,Y$6)/10000</f>
        <v>9.8</v>
      </c>
      <c r="Z96" s="121">
        <f>SUMIFS(薪酬明细!$O:$O,薪酬明细!$D:$D,$E96,薪酬明细!$E:$E,$F96,薪酬明细!$H:$H,"&gt;="&amp;Z$9,薪酬明细!$H:$H,"&lt;="&amp;Z$10,薪酬明细!$A:$A,Z$6)/10000</f>
        <v>9.8</v>
      </c>
      <c r="AA96" s="121">
        <f>SUMIFS(薪酬明细!$O:$O,薪酬明细!$D:$D,$E96,薪酬明细!$E:$E,$F96,薪酬明细!$H:$H,"&gt;="&amp;AA$9,薪酬明细!$H:$H,"&lt;="&amp;AA$10,薪酬明细!$A:$A,AA$6)/10000</f>
        <v>9.9</v>
      </c>
      <c r="AB96" s="121">
        <f>SUMIFS(薪酬明细!$O:$O,薪酬明细!$D:$D,$E96,薪酬明细!$E:$E,$F96,薪酬明细!$H:$H,"&gt;="&amp;AB$9,薪酬明细!$H:$H,"&lt;="&amp;AB$10,薪酬明细!$A:$A,AB$6)/10000</f>
        <v>9.8</v>
      </c>
      <c r="AC96" s="121">
        <f>SUMIFS(薪酬明细!$O:$O,薪酬明细!$D:$D,$E96,薪酬明细!$E:$E,$F96,薪酬明细!$H:$H,"&gt;="&amp;AC$9,薪酬明细!$H:$H,"&lt;="&amp;AC$10,薪酬明细!$A:$A,AC$6)/10000</f>
        <v>9.8</v>
      </c>
      <c r="AD96" s="121">
        <f>SUMIFS(薪酬明细!$O:$O,薪酬明细!$D:$D,$E96,薪酬明细!$E:$E,$F96,薪酬明细!$H:$H,"&gt;="&amp;AD$9,薪酬明细!$H:$H,"&lt;="&amp;AD$10,薪酬明细!$A:$A,AD$6)/10000</f>
        <v>9.8</v>
      </c>
      <c r="AE96" s="121">
        <f>SUMIFS(薪酬明细!$O:$O,薪酬明细!$D:$D,$E96,薪酬明细!$E:$E,$F96,薪酬明细!$H:$H,"&gt;="&amp;AE$9,薪酬明细!$H:$H,"&lt;="&amp;AE$10,薪酬明细!$A:$A,AE$6)/10000</f>
        <v>0</v>
      </c>
      <c r="AF96" s="121">
        <f>SUMIFS(薪酬明细!$O:$O,薪酬明细!$D:$D,$E96,薪酬明细!$E:$E,$F96,薪酬明细!$H:$H,"&gt;="&amp;AF$9,薪酬明细!$H:$H,"&lt;="&amp;AF$10,薪酬明细!$A:$A,AF$6)/10000</f>
        <v>0</v>
      </c>
      <c r="AG96" s="121">
        <f>SUMIFS(薪酬明细!$O:$O,薪酬明细!$D:$D,$E96,薪酬明细!$E:$E,$F96,薪酬明细!$H:$H,"&gt;="&amp;AG$9,薪酬明细!$H:$H,"&lt;="&amp;AG$10,薪酬明细!$A:$A,AG$6)/10000</f>
        <v>0</v>
      </c>
      <c r="AH96" s="121">
        <f>SUMIFS(薪酬明细!$O:$O,薪酬明细!$D:$D,$E96,薪酬明细!$E:$E,$F96,薪酬明细!$H:$H,"&gt;="&amp;AH$9,薪酬明细!$H:$H,"&lt;="&amp;AH$10,薪酬明细!$A:$A,AH$6)/10000</f>
        <v>29.7</v>
      </c>
      <c r="AI96" s="121">
        <f>SUMIFS(薪酬明细!$O:$O,薪酬明细!$D:$D,$E96,薪酬明细!$E:$E,$F96,薪酬明细!$H:$H,"&gt;="&amp;AI$9,薪酬明细!$H:$H,"&lt;="&amp;AI$10,薪酬明细!$A:$A,AI$6)/10000</f>
        <v>0</v>
      </c>
      <c r="AJ96" s="121">
        <f>SUMIFS(薪酬明细!$O:$O,薪酬明细!$D:$D,$E96,薪酬明细!$E:$E,$F96,薪酬明细!$H:$H,"&gt;="&amp;AJ$9,薪酬明细!$H:$H,"&lt;="&amp;AJ$10,薪酬明细!$A:$A,AJ$6)/10000</f>
        <v>0</v>
      </c>
      <c r="AK96" s="121">
        <f>SUMIFS(薪酬明细!$O:$O,薪酬明细!$D:$D,$E96,薪酬明细!$E:$E,$F96,薪酬明细!$H:$H,"&gt;="&amp;AK$9,薪酬明细!$H:$H,"&lt;="&amp;AK$10,薪酬明细!$A:$A,AK$6)/10000</f>
        <v>0</v>
      </c>
      <c r="AL96" s="121">
        <f>SUMIFS(薪酬明细!$O:$O,薪酬明细!$D:$D,$E96,薪酬明细!$E:$E,$F96,薪酬明细!$H:$H,"&gt;="&amp;AL$9,薪酬明细!$H:$H,"&lt;="&amp;AL$10,薪酬明细!$A:$A,AL$6)/10000</f>
        <v>0</v>
      </c>
      <c r="AM96" s="121">
        <f>SUMIFS(薪酬明细!$O:$O,薪酬明细!$D:$D,$E96,薪酬明细!$E:$E,$F96,薪酬明细!$H:$H,"&gt;="&amp;AM$9,薪酬明细!$H:$H,"&lt;="&amp;AM$10,薪酬明细!$A:$A,AM$6)/10000</f>
        <v>0</v>
      </c>
      <c r="AN96" s="121">
        <f>SUMIFS(薪酬明细!$O:$O,薪酬明细!$D:$D,$E96,薪酬明细!$E:$E,$F96,薪酬明细!$H:$H,"&gt;="&amp;AN$9,薪酬明细!$H:$H,"&lt;="&amp;AN$10,薪酬明细!$A:$A,AN$6)/10000</f>
        <v>0</v>
      </c>
      <c r="AO96" s="121">
        <f>SUMIFS(薪酬明细!$O:$O,薪酬明细!$D:$D,$E96,薪酬明细!$E:$E,$F96,薪酬明细!$H:$H,"&gt;="&amp;AO$9,薪酬明细!$H:$H,"&lt;="&amp;AO$10,薪酬明细!$A:$A,AO$6)/10000</f>
        <v>0</v>
      </c>
      <c r="AP96" s="121">
        <f>SUMIFS(薪酬明细!$O:$O,薪酬明细!$D:$D,$E96,薪酬明细!$E:$E,$F96,薪酬明细!$H:$H,"&gt;="&amp;AP$9,薪酬明细!$H:$H,"&lt;="&amp;AP$10,薪酬明细!$A:$A,AP$6)/10000</f>
        <v>0</v>
      </c>
      <c r="AQ96" s="121">
        <f>SUMIFS(薪酬明细!$O:$O,薪酬明细!$D:$D,$E96,薪酬明细!$E:$E,$F96,薪酬明细!$H:$H,"&gt;="&amp;AQ$9,薪酬明细!$H:$H,"&lt;="&amp;AQ$10,薪酬明细!$A:$A,AQ$6)/10000</f>
        <v>0</v>
      </c>
      <c r="AR96" s="121">
        <f>SUMIFS(薪酬明细!$O:$O,薪酬明细!$D:$D,$E96,薪酬明细!$E:$E,$F96,薪酬明细!$H:$H,"&gt;="&amp;AR$9,薪酬明细!$H:$H,"&lt;="&amp;AR$10,薪酬明细!$A:$A,AR$6)/10000</f>
        <v>10</v>
      </c>
      <c r="AS96" s="121">
        <f>SUMIFS(薪酬明细!$O:$O,薪酬明细!$D:$D,$E96,薪酬明细!$E:$E,$F96,薪酬明细!$H:$H,"&gt;="&amp;AS$9,薪酬明细!$H:$H,"&lt;="&amp;AS$10,薪酬明细!$A:$A,AS$6)/10000</f>
        <v>9.9</v>
      </c>
      <c r="AT96" s="121">
        <f>SUMIFS(薪酬明细!$O:$O,薪酬明细!$D:$D,$E96,薪酬明细!$E:$E,$F96,薪酬明细!$H:$H,"&gt;="&amp;AT$9,薪酬明细!$H:$H,"&lt;="&amp;AT$10,薪酬明细!$A:$A,AT$6)/10000</f>
        <v>9.8</v>
      </c>
      <c r="AU96" s="121">
        <f>SUMIFS(薪酬明细!$O:$O,薪酬明细!$D:$D,$E96,薪酬明细!$E:$E,$F96,薪酬明细!$H:$H,"&gt;="&amp;AU$9,薪酬明细!$H:$H,"&lt;="&amp;AU$10,薪酬明细!$A:$A,AU$6)/10000</f>
        <v>118.2</v>
      </c>
      <c r="AV96" s="121">
        <f>SUMIFS(薪酬明细!$O:$O,薪酬明细!$D:$D,$E96,薪酬明细!$E:$E,$F96,薪酬明细!$H:$H,"&gt;="&amp;AV$9,薪酬明细!$H:$H,"&lt;="&amp;AV$10,薪酬明细!$A:$A,AV$6)/10000</f>
        <v>9.7</v>
      </c>
      <c r="AW96" s="121">
        <f>SUMIFS(薪酬明细!$O:$O,薪酬明细!$D:$D,$E96,薪酬明细!$E:$E,$F96,薪酬明细!$H:$H,"&gt;="&amp;AW$9,薪酬明细!$H:$H,"&lt;="&amp;AW$10,薪酬明细!$A:$A,AW$6)/10000</f>
        <v>10</v>
      </c>
      <c r="AX96" s="121">
        <f>SUMIFS(薪酬明细!$O:$O,薪酬明细!$D:$D,$E96,薪酬明细!$E:$E,$F96,薪酬明细!$H:$H,"&gt;="&amp;AX$9,薪酬明细!$H:$H,"&lt;="&amp;AX$10,薪酬明细!$A:$A,AX$6)/10000</f>
        <v>9.8</v>
      </c>
      <c r="AY96" s="121">
        <f>SUMIFS(薪酬明细!$O:$O,薪酬明细!$D:$D,$E96,薪酬明细!$E:$E,$F96,薪酬明细!$H:$H,"&gt;="&amp;AY$9,薪酬明细!$H:$H,"&lt;="&amp;AY$10,薪酬明细!$A:$A,AY$6)/10000</f>
        <v>9.9</v>
      </c>
      <c r="AZ96" s="121">
        <f>SUMIFS(薪酬明细!$O:$O,薪酬明细!$D:$D,$E96,薪酬明细!$E:$E,$F96,薪酬明细!$H:$H,"&gt;="&amp;AZ$9,薪酬明细!$H:$H,"&lt;="&amp;AZ$10,薪酬明细!$A:$A,AZ$6)/10000</f>
        <v>9.8</v>
      </c>
      <c r="BA96" s="121">
        <f>SUMIFS(薪酬明细!$O:$O,薪酬明细!$D:$D,$E96,薪酬明细!$E:$E,$F96,薪酬明细!$H:$H,"&gt;="&amp;BA$9,薪酬明细!$H:$H,"&lt;="&amp;BA$10,薪酬明细!$A:$A,BA$6)/10000</f>
        <v>9.8</v>
      </c>
      <c r="BB96" s="121">
        <f>SUMIFS(薪酬明细!$O:$O,薪酬明细!$D:$D,$E96,薪酬明细!$E:$E,$F96,薪酬明细!$H:$H,"&gt;="&amp;BB$9,薪酬明细!$H:$H,"&lt;="&amp;BB$10,薪酬明细!$A:$A,BB$6)/10000</f>
        <v>9.9</v>
      </c>
      <c r="BC96" s="121">
        <f>SUMIFS(薪酬明细!$O:$O,薪酬明细!$D:$D,$E96,薪酬明细!$E:$E,$F96,薪酬明细!$H:$H,"&gt;="&amp;BC$9,薪酬明细!$H:$H,"&lt;="&amp;BC$10,薪酬明细!$A:$A,BC$6)/10000</f>
        <v>9.9</v>
      </c>
      <c r="BD96" s="121">
        <f>SUMIFS(薪酬明细!$O:$O,薪酬明细!$D:$D,$E96,薪酬明细!$E:$E,$F96,薪酬明细!$H:$H,"&gt;="&amp;BD$9,薪酬明细!$H:$H,"&lt;="&amp;BD$10,薪酬明细!$A:$A,BD$6)/10000</f>
        <v>9.9</v>
      </c>
      <c r="BE96" s="121">
        <f>SUMIFS(薪酬明细!$O:$O,薪酬明细!$D:$D,$E96,薪酬明细!$E:$E,$F96,薪酬明细!$H:$H,"&gt;="&amp;BE$9,薪酬明细!$H:$H,"&lt;="&amp;BE$10,薪酬明细!$A:$A,BE$6)/10000</f>
        <v>10</v>
      </c>
      <c r="BF96" s="121">
        <f>SUMIFS(薪酬明细!$O:$O,薪酬明细!$D:$D,$E96,薪酬明细!$E:$E,$F96,薪酬明细!$H:$H,"&gt;="&amp;BF$9,薪酬明细!$H:$H,"&lt;="&amp;BF$10,薪酬明细!$A:$A,BF$6)/10000</f>
        <v>9.8</v>
      </c>
      <c r="BG96" s="121">
        <f>SUMIFS(薪酬明细!$O:$O,薪酬明细!$D:$D,$E96,薪酬明细!$E:$E,$F96,薪酬明细!$H:$H,"&gt;="&amp;BG$9,薪酬明细!$H:$H,"&lt;="&amp;BG$10,薪酬明细!$A:$A,BG$6)/10000</f>
        <v>9.7</v>
      </c>
    </row>
    <row r="97" ht="16.2" spans="3:59">
      <c r="C97" s="42"/>
      <c r="D97" s="42" t="s">
        <v>88</v>
      </c>
      <c r="E97" s="116" t="str">
        <f t="shared" si="93"/>
        <v>支持中心</v>
      </c>
      <c r="F97" s="116" t="str">
        <f t="shared" si="94"/>
        <v>人力资源部</v>
      </c>
      <c r="G97" s="121">
        <f>SUMIFS(薪酬明细!$O:$O,薪酬明细!$D:$D,$E97,薪酬明细!$E:$E,$F97,薪酬明细!$H:$H,"&gt;="&amp;G$9,薪酬明细!$H:$H,"&lt;="&amp;G$10,薪酬明细!$A:$A,G$6)/10000</f>
        <v>104.2</v>
      </c>
      <c r="H97" s="121">
        <f>SUMIFS(薪酬明细!$O:$O,薪酬明细!$D:$D,$E97,薪酬明细!$E:$E,$F97,薪酬明细!$H:$H,"&gt;="&amp;H$9,薪酬明细!$H:$H,"&lt;="&amp;H$10,薪酬明细!$A:$A,H$6)/10000</f>
        <v>8.7</v>
      </c>
      <c r="I97" s="121">
        <f>SUMIFS(薪酬明细!$O:$O,薪酬明细!$D:$D,$E97,薪酬明细!$E:$E,$F97,薪酬明细!$H:$H,"&gt;="&amp;I$9,薪酬明细!$H:$H,"&lt;="&amp;I$10,薪酬明细!$A:$A,I$6)/10000</f>
        <v>8.5</v>
      </c>
      <c r="J97" s="121">
        <f>SUMIFS(薪酬明细!$O:$O,薪酬明细!$D:$D,$E97,薪酬明细!$E:$E,$F97,薪酬明细!$H:$H,"&gt;="&amp;J$9,薪酬明细!$H:$H,"&lt;="&amp;J$10,薪酬明细!$A:$A,J$6)/10000</f>
        <v>8.6</v>
      </c>
      <c r="K97" s="121">
        <f>SUMIFS(薪酬明细!$O:$O,薪酬明细!$D:$D,$E97,薪酬明细!$E:$E,$F97,薪酬明细!$H:$H,"&gt;="&amp;K$9,薪酬明细!$H:$H,"&lt;="&amp;K$10,薪酬明细!$A:$A,K$6)/10000</f>
        <v>8.7</v>
      </c>
      <c r="L97" s="121">
        <f>SUMIFS(薪酬明细!$O:$O,薪酬明细!$D:$D,$E97,薪酬明细!$E:$E,$F97,薪酬明细!$H:$H,"&gt;="&amp;L$9,薪酬明细!$H:$H,"&lt;="&amp;L$10,薪酬明细!$A:$A,L$6)/10000</f>
        <v>8.6</v>
      </c>
      <c r="M97" s="121">
        <f>SUMIFS(薪酬明细!$O:$O,薪酬明细!$D:$D,$E97,薪酬明细!$E:$E,$F97,薪酬明细!$H:$H,"&gt;="&amp;M$9,薪酬明细!$H:$H,"&lt;="&amp;M$10,薪酬明细!$A:$A,M$6)/10000</f>
        <v>8.6</v>
      </c>
      <c r="N97" s="121">
        <f>SUMIFS(薪酬明细!$O:$O,薪酬明细!$D:$D,$E97,薪酬明细!$E:$E,$F97,薪酬明细!$H:$H,"&gt;="&amp;N$9,薪酬明细!$H:$H,"&lt;="&amp;N$10,薪酬明细!$A:$A,N$6)/10000</f>
        <v>8.8</v>
      </c>
      <c r="O97" s="121">
        <f>SUMIFS(薪酬明细!$O:$O,薪酬明细!$D:$D,$E97,薪酬明细!$E:$E,$F97,薪酬明细!$H:$H,"&gt;="&amp;O$9,薪酬明细!$H:$H,"&lt;="&amp;O$10,薪酬明细!$A:$A,O$6)/10000</f>
        <v>8.7</v>
      </c>
      <c r="P97" s="121">
        <f>SUMIFS(薪酬明细!$O:$O,薪酬明细!$D:$D,$E97,薪酬明细!$E:$E,$F97,薪酬明细!$H:$H,"&gt;="&amp;P$9,薪酬明细!$H:$H,"&lt;="&amp;P$10,薪酬明细!$A:$A,P$6)/10000</f>
        <v>8.6</v>
      </c>
      <c r="Q97" s="121">
        <f>SUMIFS(薪酬明细!$O:$O,薪酬明细!$D:$D,$E97,薪酬明细!$E:$E,$F97,薪酬明细!$H:$H,"&gt;="&amp;Q$9,薪酬明细!$H:$H,"&lt;="&amp;Q$10,薪酬明细!$A:$A,Q$6)/10000</f>
        <v>8.6</v>
      </c>
      <c r="R97" s="121">
        <f>SUMIFS(薪酬明细!$O:$O,薪酬明细!$D:$D,$E97,薪酬明细!$E:$E,$F97,薪酬明细!$H:$H,"&gt;="&amp;R$9,薪酬明细!$H:$H,"&lt;="&amp;R$10,薪酬明细!$A:$A,R$6)/10000</f>
        <v>8.8</v>
      </c>
      <c r="S97" s="121">
        <f>SUMIFS(薪酬明细!$O:$O,薪酬明细!$D:$D,$E97,薪酬明细!$E:$E,$F97,薪酬明细!$H:$H,"&gt;="&amp;S$9,薪酬明细!$H:$H,"&lt;="&amp;S$10,薪酬明细!$A:$A,S$6)/10000</f>
        <v>8.8</v>
      </c>
      <c r="T97" s="125">
        <f t="shared" si="95"/>
        <v>104.7</v>
      </c>
      <c r="U97" s="121">
        <f>SUMIFS(薪酬明细!$O:$O,薪酬明细!$D:$D,$E97,薪酬明细!$E:$E,$F97,薪酬明细!$H:$H,"&gt;="&amp;U$9,薪酬明细!$H:$H,"&lt;="&amp;U$10,薪酬明细!$A:$A,U$6)/10000</f>
        <v>78.4</v>
      </c>
      <c r="V97" s="121">
        <f>SUMIFS(薪酬明细!$O:$O,薪酬明细!$D:$D,$E97,薪酬明细!$E:$E,$F97,薪酬明细!$H:$H,"&gt;="&amp;V$9,薪酬明细!$H:$H,"&lt;="&amp;V$10,薪酬明细!$A:$A,V$6)/10000</f>
        <v>8.7</v>
      </c>
      <c r="W97" s="121">
        <f>SUMIFS(薪酬明细!$O:$O,薪酬明细!$D:$D,$E97,薪酬明细!$E:$E,$F97,薪酬明细!$H:$H,"&gt;="&amp;W$9,薪酬明细!$H:$H,"&lt;="&amp;W$10,薪酬明细!$A:$A,W$6)/10000</f>
        <v>8.6</v>
      </c>
      <c r="X97" s="121">
        <f>SUMIFS(薪酬明细!$O:$O,薪酬明细!$D:$D,$E97,薪酬明细!$E:$E,$F97,薪酬明细!$H:$H,"&gt;="&amp;X$9,薪酬明细!$H:$H,"&lt;="&amp;X$10,薪酬明细!$A:$A,X$6)/10000</f>
        <v>8.6</v>
      </c>
      <c r="Y97" s="121">
        <f>SUMIFS(薪酬明细!$O:$O,薪酬明细!$D:$D,$E97,薪酬明细!$E:$E,$F97,薪酬明细!$H:$H,"&gt;="&amp;Y$9,薪酬明细!$H:$H,"&lt;="&amp;Y$10,薪酬明细!$A:$A,Y$6)/10000</f>
        <v>8.8</v>
      </c>
      <c r="Z97" s="121">
        <f>SUMIFS(薪酬明细!$O:$O,薪酬明细!$D:$D,$E97,薪酬明细!$E:$E,$F97,薪酬明细!$H:$H,"&gt;="&amp;Z$9,薪酬明细!$H:$H,"&lt;="&amp;Z$10,薪酬明细!$A:$A,Z$6)/10000</f>
        <v>8.7</v>
      </c>
      <c r="AA97" s="121">
        <f>SUMIFS(薪酬明细!$O:$O,薪酬明细!$D:$D,$E97,薪酬明细!$E:$E,$F97,薪酬明细!$H:$H,"&gt;="&amp;AA$9,薪酬明细!$H:$H,"&lt;="&amp;AA$10,薪酬明细!$A:$A,AA$6)/10000</f>
        <v>8.8</v>
      </c>
      <c r="AB97" s="121">
        <f>SUMIFS(薪酬明细!$O:$O,薪酬明细!$D:$D,$E97,薪酬明细!$E:$E,$F97,薪酬明细!$H:$H,"&gt;="&amp;AB$9,薪酬明细!$H:$H,"&lt;="&amp;AB$10,薪酬明细!$A:$A,AB$6)/10000</f>
        <v>8.8</v>
      </c>
      <c r="AC97" s="121">
        <f>SUMIFS(薪酬明细!$O:$O,薪酬明细!$D:$D,$E97,薪酬明细!$E:$E,$F97,薪酬明细!$H:$H,"&gt;="&amp;AC$9,薪酬明细!$H:$H,"&lt;="&amp;AC$10,薪酬明细!$A:$A,AC$6)/10000</f>
        <v>8.7</v>
      </c>
      <c r="AD97" s="121">
        <f>SUMIFS(薪酬明细!$O:$O,薪酬明细!$D:$D,$E97,薪酬明细!$E:$E,$F97,薪酬明细!$H:$H,"&gt;="&amp;AD$9,薪酬明细!$H:$H,"&lt;="&amp;AD$10,薪酬明细!$A:$A,AD$6)/10000</f>
        <v>8.6</v>
      </c>
      <c r="AE97" s="121">
        <f>SUMIFS(薪酬明细!$O:$O,薪酬明细!$D:$D,$E97,薪酬明细!$E:$E,$F97,薪酬明细!$H:$H,"&gt;="&amp;AE$9,薪酬明细!$H:$H,"&lt;="&amp;AE$10,薪酬明细!$A:$A,AE$6)/10000</f>
        <v>0</v>
      </c>
      <c r="AF97" s="121">
        <f>SUMIFS(薪酬明细!$O:$O,薪酬明细!$D:$D,$E97,薪酬明细!$E:$E,$F97,薪酬明细!$H:$H,"&gt;="&amp;AF$9,薪酬明细!$H:$H,"&lt;="&amp;AF$10,薪酬明细!$A:$A,AF$6)/10000</f>
        <v>0</v>
      </c>
      <c r="AG97" s="121">
        <f>SUMIFS(薪酬明细!$O:$O,薪酬明细!$D:$D,$E97,薪酬明细!$E:$E,$F97,薪酬明细!$H:$H,"&gt;="&amp;AG$9,薪酬明细!$H:$H,"&lt;="&amp;AG$10,薪酬明细!$A:$A,AG$6)/10000</f>
        <v>0</v>
      </c>
      <c r="AH97" s="121">
        <f>SUMIFS(薪酬明细!$O:$O,薪酬明细!$D:$D,$E97,薪酬明细!$E:$E,$F97,薪酬明细!$H:$H,"&gt;="&amp;AH$9,薪酬明细!$H:$H,"&lt;="&amp;AH$10,薪酬明细!$A:$A,AH$6)/10000</f>
        <v>26.3</v>
      </c>
      <c r="AI97" s="121">
        <f>SUMIFS(薪酬明细!$O:$O,薪酬明细!$D:$D,$E97,薪酬明细!$E:$E,$F97,薪酬明细!$H:$H,"&gt;="&amp;AI$9,薪酬明细!$H:$H,"&lt;="&amp;AI$10,薪酬明细!$A:$A,AI$6)/10000</f>
        <v>0</v>
      </c>
      <c r="AJ97" s="121">
        <f>SUMIFS(薪酬明细!$O:$O,薪酬明细!$D:$D,$E97,薪酬明细!$E:$E,$F97,薪酬明细!$H:$H,"&gt;="&amp;AJ$9,薪酬明细!$H:$H,"&lt;="&amp;AJ$10,薪酬明细!$A:$A,AJ$6)/10000</f>
        <v>0</v>
      </c>
      <c r="AK97" s="121">
        <f>SUMIFS(薪酬明细!$O:$O,薪酬明细!$D:$D,$E97,薪酬明细!$E:$E,$F97,薪酬明细!$H:$H,"&gt;="&amp;AK$9,薪酬明细!$H:$H,"&lt;="&amp;AK$10,薪酬明细!$A:$A,AK$6)/10000</f>
        <v>0</v>
      </c>
      <c r="AL97" s="121">
        <f>SUMIFS(薪酬明细!$O:$O,薪酬明细!$D:$D,$E97,薪酬明细!$E:$E,$F97,薪酬明细!$H:$H,"&gt;="&amp;AL$9,薪酬明细!$H:$H,"&lt;="&amp;AL$10,薪酬明细!$A:$A,AL$6)/10000</f>
        <v>0</v>
      </c>
      <c r="AM97" s="121">
        <f>SUMIFS(薪酬明细!$O:$O,薪酬明细!$D:$D,$E97,薪酬明细!$E:$E,$F97,薪酬明细!$H:$H,"&gt;="&amp;AM$9,薪酬明细!$H:$H,"&lt;="&amp;AM$10,薪酬明细!$A:$A,AM$6)/10000</f>
        <v>0</v>
      </c>
      <c r="AN97" s="121">
        <f>SUMIFS(薪酬明细!$O:$O,薪酬明细!$D:$D,$E97,薪酬明细!$E:$E,$F97,薪酬明细!$H:$H,"&gt;="&amp;AN$9,薪酬明细!$H:$H,"&lt;="&amp;AN$10,薪酬明细!$A:$A,AN$6)/10000</f>
        <v>0</v>
      </c>
      <c r="AO97" s="121">
        <f>SUMIFS(薪酬明细!$O:$O,薪酬明细!$D:$D,$E97,薪酬明细!$E:$E,$F97,薪酬明细!$H:$H,"&gt;="&amp;AO$9,薪酬明细!$H:$H,"&lt;="&amp;AO$10,薪酬明细!$A:$A,AO$6)/10000</f>
        <v>0</v>
      </c>
      <c r="AP97" s="121">
        <f>SUMIFS(薪酬明细!$O:$O,薪酬明细!$D:$D,$E97,薪酬明细!$E:$E,$F97,薪酬明细!$H:$H,"&gt;="&amp;AP$9,薪酬明细!$H:$H,"&lt;="&amp;AP$10,薪酬明细!$A:$A,AP$6)/10000</f>
        <v>0</v>
      </c>
      <c r="AQ97" s="121">
        <f>SUMIFS(薪酬明细!$O:$O,薪酬明细!$D:$D,$E97,薪酬明细!$E:$E,$F97,薪酬明细!$H:$H,"&gt;="&amp;AQ$9,薪酬明细!$H:$H,"&lt;="&amp;AQ$10,薪酬明细!$A:$A,AQ$6)/10000</f>
        <v>0</v>
      </c>
      <c r="AR97" s="121">
        <f>SUMIFS(薪酬明细!$O:$O,薪酬明细!$D:$D,$E97,薪酬明细!$E:$E,$F97,薪酬明细!$H:$H,"&gt;="&amp;AR$9,薪酬明细!$H:$H,"&lt;="&amp;AR$10,薪酬明细!$A:$A,AR$6)/10000</f>
        <v>8.8</v>
      </c>
      <c r="AS97" s="121">
        <f>SUMIFS(薪酬明细!$O:$O,薪酬明细!$D:$D,$E97,薪酬明细!$E:$E,$F97,薪酬明细!$H:$H,"&gt;="&amp;AS$9,薪酬明细!$H:$H,"&lt;="&amp;AS$10,薪酬明细!$A:$A,AS$6)/10000</f>
        <v>8.7</v>
      </c>
      <c r="AT97" s="121">
        <f>SUMIFS(薪酬明细!$O:$O,薪酬明细!$D:$D,$E97,薪酬明细!$E:$E,$F97,薪酬明细!$H:$H,"&gt;="&amp;AT$9,薪酬明细!$H:$H,"&lt;="&amp;AT$10,薪酬明细!$A:$A,AT$6)/10000</f>
        <v>8.7</v>
      </c>
      <c r="AU97" s="121">
        <f>SUMIFS(薪酬明细!$O:$O,薪酬明细!$D:$D,$E97,薪酬明细!$E:$E,$F97,薪酬明细!$H:$H,"&gt;="&amp;AU$9,薪酬明细!$H:$H,"&lt;="&amp;AU$10,薪酬明细!$A:$A,AU$6)/10000</f>
        <v>104</v>
      </c>
      <c r="AV97" s="121">
        <f>SUMIFS(薪酬明细!$O:$O,薪酬明细!$D:$D,$E97,薪酬明细!$E:$E,$F97,薪酬明细!$H:$H,"&gt;="&amp;AV$9,薪酬明细!$H:$H,"&lt;="&amp;AV$10,薪酬明细!$A:$A,AV$6)/10000</f>
        <v>8.6</v>
      </c>
      <c r="AW97" s="121">
        <f>SUMIFS(薪酬明细!$O:$O,薪酬明细!$D:$D,$E97,薪酬明细!$E:$E,$F97,薪酬明细!$H:$H,"&gt;="&amp;AW$9,薪酬明细!$H:$H,"&lt;="&amp;AW$10,薪酬明细!$A:$A,AW$6)/10000</f>
        <v>8.7</v>
      </c>
      <c r="AX97" s="121">
        <f>SUMIFS(薪酬明细!$O:$O,薪酬明细!$D:$D,$E97,薪酬明细!$E:$E,$F97,薪酬明细!$H:$H,"&gt;="&amp;AX$9,薪酬明细!$H:$H,"&lt;="&amp;AX$10,薪酬明细!$A:$A,AX$6)/10000</f>
        <v>8.7</v>
      </c>
      <c r="AY97" s="121">
        <f>SUMIFS(薪酬明细!$O:$O,薪酬明细!$D:$D,$E97,薪酬明细!$E:$E,$F97,薪酬明细!$H:$H,"&gt;="&amp;AY$9,薪酬明细!$H:$H,"&lt;="&amp;AY$10,薪酬明细!$A:$A,AY$6)/10000</f>
        <v>8.7</v>
      </c>
      <c r="AZ97" s="121">
        <f>SUMIFS(薪酬明细!$O:$O,薪酬明细!$D:$D,$E97,薪酬明细!$E:$E,$F97,薪酬明细!$H:$H,"&gt;="&amp;AZ$9,薪酬明细!$H:$H,"&lt;="&amp;AZ$10,薪酬明细!$A:$A,AZ$6)/10000</f>
        <v>8.7</v>
      </c>
      <c r="BA97" s="121">
        <f>SUMIFS(薪酬明细!$O:$O,薪酬明细!$D:$D,$E97,薪酬明细!$E:$E,$F97,薪酬明细!$H:$H,"&gt;="&amp;BA$9,薪酬明细!$H:$H,"&lt;="&amp;BA$10,薪酬明细!$A:$A,BA$6)/10000</f>
        <v>8.6</v>
      </c>
      <c r="BB97" s="121">
        <f>SUMIFS(薪酬明细!$O:$O,薪酬明细!$D:$D,$E97,薪酬明细!$E:$E,$F97,薪酬明细!$H:$H,"&gt;="&amp;BB$9,薪酬明细!$H:$H,"&lt;="&amp;BB$10,薪酬明细!$A:$A,BB$6)/10000</f>
        <v>8.6</v>
      </c>
      <c r="BC97" s="121">
        <f>SUMIFS(薪酬明细!$O:$O,薪酬明细!$D:$D,$E97,薪酬明细!$E:$E,$F97,薪酬明细!$H:$H,"&gt;="&amp;BC$9,薪酬明细!$H:$H,"&lt;="&amp;BC$10,薪酬明细!$A:$A,BC$6)/10000</f>
        <v>8.7</v>
      </c>
      <c r="BD97" s="121">
        <f>SUMIFS(薪酬明细!$O:$O,薪酬明细!$D:$D,$E97,薪酬明细!$E:$E,$F97,薪酬明细!$H:$H,"&gt;="&amp;BD$9,薪酬明细!$H:$H,"&lt;="&amp;BD$10,薪酬明细!$A:$A,BD$6)/10000</f>
        <v>8.7</v>
      </c>
      <c r="BE97" s="121">
        <f>SUMIFS(薪酬明细!$O:$O,薪酬明细!$D:$D,$E97,薪酬明细!$E:$E,$F97,薪酬明细!$H:$H,"&gt;="&amp;BE$9,薪酬明细!$H:$H,"&lt;="&amp;BE$10,薪酬明细!$A:$A,BE$6)/10000</f>
        <v>8.7</v>
      </c>
      <c r="BF97" s="121">
        <f>SUMIFS(薪酬明细!$O:$O,薪酬明细!$D:$D,$E97,薪酬明细!$E:$E,$F97,薪酬明细!$H:$H,"&gt;="&amp;BF$9,薪酬明细!$H:$H,"&lt;="&amp;BF$10,薪酬明细!$A:$A,BF$6)/10000</f>
        <v>8.6</v>
      </c>
      <c r="BG97" s="121">
        <f>SUMIFS(薪酬明细!$O:$O,薪酬明细!$D:$D,$E97,薪酬明细!$E:$E,$F97,薪酬明细!$H:$H,"&gt;="&amp;BG$9,薪酬明细!$H:$H,"&lt;="&amp;BG$10,薪酬明细!$A:$A,BG$6)/10000</f>
        <v>8.6</v>
      </c>
    </row>
    <row r="98" ht="16.2" spans="3:59">
      <c r="C98" s="42"/>
      <c r="D98" s="42" t="s">
        <v>89</v>
      </c>
      <c r="E98" s="116" t="str">
        <f t="shared" si="93"/>
        <v>支持中心</v>
      </c>
      <c r="F98" s="116" t="str">
        <f t="shared" si="94"/>
        <v>IT部</v>
      </c>
      <c r="G98" s="121">
        <f>SUMIFS(薪酬明细!$O:$O,薪酬明细!$D:$D,$E98,薪酬明细!$E:$E,$F98,薪酬明细!$H:$H,"&gt;="&amp;G$9,薪酬明细!$H:$H,"&lt;="&amp;G$10,薪酬明细!$A:$A,G$6)/10000</f>
        <v>49.9</v>
      </c>
      <c r="H98" s="121">
        <f>SUMIFS(薪酬明细!$O:$O,薪酬明细!$D:$D,$E98,薪酬明细!$E:$E,$F98,薪酬明细!$H:$H,"&gt;="&amp;H$9,薪酬明细!$H:$H,"&lt;="&amp;H$10,薪酬明细!$A:$A,H$6)/10000</f>
        <v>4.2</v>
      </c>
      <c r="I98" s="121">
        <f>SUMIFS(薪酬明细!$O:$O,薪酬明细!$D:$D,$E98,薪酬明细!$E:$E,$F98,薪酬明细!$H:$H,"&gt;="&amp;I$9,薪酬明细!$H:$H,"&lt;="&amp;I$10,薪酬明细!$A:$A,I$6)/10000</f>
        <v>4.2</v>
      </c>
      <c r="J98" s="121">
        <f>SUMIFS(薪酬明细!$O:$O,薪酬明细!$D:$D,$E98,薪酬明细!$E:$E,$F98,薪酬明细!$H:$H,"&gt;="&amp;J$9,薪酬明细!$H:$H,"&lt;="&amp;J$10,薪酬明细!$A:$A,J$6)/10000</f>
        <v>4.1</v>
      </c>
      <c r="K98" s="121">
        <f>SUMIFS(薪酬明细!$O:$O,薪酬明细!$D:$D,$E98,薪酬明细!$E:$E,$F98,薪酬明细!$H:$H,"&gt;="&amp;K$9,薪酬明细!$H:$H,"&lt;="&amp;K$10,薪酬明细!$A:$A,K$6)/10000</f>
        <v>4.2</v>
      </c>
      <c r="L98" s="121">
        <f>SUMIFS(薪酬明细!$O:$O,薪酬明细!$D:$D,$E98,薪酬明细!$E:$E,$F98,薪酬明细!$H:$H,"&gt;="&amp;L$9,薪酬明细!$H:$H,"&lt;="&amp;L$10,薪酬明细!$A:$A,L$6)/10000</f>
        <v>4.2</v>
      </c>
      <c r="M98" s="121">
        <f>SUMIFS(薪酬明细!$O:$O,薪酬明细!$D:$D,$E98,薪酬明细!$E:$E,$F98,薪酬明细!$H:$H,"&gt;="&amp;M$9,薪酬明细!$H:$H,"&lt;="&amp;M$10,薪酬明细!$A:$A,M$6)/10000</f>
        <v>4.1</v>
      </c>
      <c r="N98" s="121">
        <f>SUMIFS(薪酬明细!$O:$O,薪酬明细!$D:$D,$E98,薪酬明细!$E:$E,$F98,薪酬明细!$H:$H,"&gt;="&amp;N$9,薪酬明细!$H:$H,"&lt;="&amp;N$10,薪酬明细!$A:$A,N$6)/10000</f>
        <v>4.2</v>
      </c>
      <c r="O98" s="121">
        <f>SUMIFS(薪酬明细!$O:$O,薪酬明细!$D:$D,$E98,薪酬明细!$E:$E,$F98,薪酬明细!$H:$H,"&gt;="&amp;O$9,薪酬明细!$H:$H,"&lt;="&amp;O$10,薪酬明细!$A:$A,O$6)/10000</f>
        <v>4.1</v>
      </c>
      <c r="P98" s="121">
        <f>SUMIFS(薪酬明细!$O:$O,薪酬明细!$D:$D,$E98,薪酬明细!$E:$E,$F98,薪酬明细!$H:$H,"&gt;="&amp;P$9,薪酬明细!$H:$H,"&lt;="&amp;P$10,薪酬明细!$A:$A,P$6)/10000</f>
        <v>4.1</v>
      </c>
      <c r="Q98" s="121">
        <f>SUMIFS(薪酬明细!$O:$O,薪酬明细!$D:$D,$E98,薪酬明细!$E:$E,$F98,薪酬明细!$H:$H,"&gt;="&amp;Q$9,薪酬明细!$H:$H,"&lt;="&amp;Q$10,薪酬明细!$A:$A,Q$6)/10000</f>
        <v>4.1</v>
      </c>
      <c r="R98" s="121">
        <f>SUMIFS(薪酬明细!$O:$O,薪酬明细!$D:$D,$E98,薪酬明细!$E:$E,$F98,薪酬明细!$H:$H,"&gt;="&amp;R$9,薪酬明细!$H:$H,"&lt;="&amp;R$10,薪酬明细!$A:$A,R$6)/10000</f>
        <v>4.2</v>
      </c>
      <c r="S98" s="121">
        <f>SUMIFS(薪酬明细!$O:$O,薪酬明细!$D:$D,$E98,薪酬明细!$E:$E,$F98,薪酬明细!$H:$H,"&gt;="&amp;S$9,薪酬明细!$H:$H,"&lt;="&amp;S$10,薪酬明细!$A:$A,S$6)/10000</f>
        <v>4.1</v>
      </c>
      <c r="T98" s="125">
        <f t="shared" si="95"/>
        <v>49.8</v>
      </c>
      <c r="U98" s="121">
        <f>SUMIFS(薪酬明细!$O:$O,薪酬明细!$D:$D,$E98,薪酬明细!$E:$E,$F98,薪酬明细!$H:$H,"&gt;="&amp;U$9,薪酬明细!$H:$H,"&lt;="&amp;U$10,薪酬明细!$A:$A,U$6)/10000</f>
        <v>37.3</v>
      </c>
      <c r="V98" s="121">
        <f>SUMIFS(薪酬明细!$O:$O,薪酬明细!$D:$D,$E98,薪酬明细!$E:$E,$F98,薪酬明细!$H:$H,"&gt;="&amp;V$9,薪酬明细!$H:$H,"&lt;="&amp;V$10,薪酬明细!$A:$A,V$6)/10000</f>
        <v>4.1</v>
      </c>
      <c r="W98" s="121">
        <f>SUMIFS(薪酬明细!$O:$O,薪酬明细!$D:$D,$E98,薪酬明细!$E:$E,$F98,薪酬明细!$H:$H,"&gt;="&amp;W$9,薪酬明细!$H:$H,"&lt;="&amp;W$10,薪酬明细!$A:$A,W$6)/10000</f>
        <v>4.2</v>
      </c>
      <c r="X98" s="121">
        <f>SUMIFS(薪酬明细!$O:$O,薪酬明细!$D:$D,$E98,薪酬明细!$E:$E,$F98,薪酬明细!$H:$H,"&gt;="&amp;X$9,薪酬明细!$H:$H,"&lt;="&amp;X$10,薪酬明细!$A:$A,X$6)/10000</f>
        <v>4.2</v>
      </c>
      <c r="Y98" s="121">
        <f>SUMIFS(薪酬明细!$O:$O,薪酬明细!$D:$D,$E98,薪酬明细!$E:$E,$F98,薪酬明细!$H:$H,"&gt;="&amp;Y$9,薪酬明细!$H:$H,"&lt;="&amp;Y$10,薪酬明细!$A:$A,Y$6)/10000</f>
        <v>4.1</v>
      </c>
      <c r="Z98" s="121">
        <f>SUMIFS(薪酬明细!$O:$O,薪酬明细!$D:$D,$E98,薪酬明细!$E:$E,$F98,薪酬明细!$H:$H,"&gt;="&amp;Z$9,薪酬明细!$H:$H,"&lt;="&amp;Z$10,薪酬明细!$A:$A,Z$6)/10000</f>
        <v>4.1</v>
      </c>
      <c r="AA98" s="121">
        <f>SUMIFS(薪酬明细!$O:$O,薪酬明细!$D:$D,$E98,薪酬明细!$E:$E,$F98,薪酬明细!$H:$H,"&gt;="&amp;AA$9,薪酬明细!$H:$H,"&lt;="&amp;AA$10,薪酬明细!$A:$A,AA$6)/10000</f>
        <v>4.2</v>
      </c>
      <c r="AB98" s="121">
        <f>SUMIFS(薪酬明细!$O:$O,薪酬明细!$D:$D,$E98,薪酬明细!$E:$E,$F98,薪酬明细!$H:$H,"&gt;="&amp;AB$9,薪酬明细!$H:$H,"&lt;="&amp;AB$10,薪酬明细!$A:$A,AB$6)/10000</f>
        <v>4.2</v>
      </c>
      <c r="AC98" s="121">
        <f>SUMIFS(薪酬明细!$O:$O,薪酬明细!$D:$D,$E98,薪酬明细!$E:$E,$F98,薪酬明细!$H:$H,"&gt;="&amp;AC$9,薪酬明细!$H:$H,"&lt;="&amp;AC$10,薪酬明细!$A:$A,AC$6)/10000</f>
        <v>4.1</v>
      </c>
      <c r="AD98" s="121">
        <f>SUMIFS(薪酬明细!$O:$O,薪酬明细!$D:$D,$E98,薪酬明细!$E:$E,$F98,薪酬明细!$H:$H,"&gt;="&amp;AD$9,薪酬明细!$H:$H,"&lt;="&amp;AD$10,薪酬明细!$A:$A,AD$6)/10000</f>
        <v>4.1</v>
      </c>
      <c r="AE98" s="121">
        <f>SUMIFS(薪酬明细!$O:$O,薪酬明细!$D:$D,$E98,薪酬明细!$E:$E,$F98,薪酬明细!$H:$H,"&gt;="&amp;AE$9,薪酬明细!$H:$H,"&lt;="&amp;AE$10,薪酬明细!$A:$A,AE$6)/10000</f>
        <v>0</v>
      </c>
      <c r="AF98" s="121">
        <f>SUMIFS(薪酬明细!$O:$O,薪酬明细!$D:$D,$E98,薪酬明细!$E:$E,$F98,薪酬明细!$H:$H,"&gt;="&amp;AF$9,薪酬明细!$H:$H,"&lt;="&amp;AF$10,薪酬明细!$A:$A,AF$6)/10000</f>
        <v>0</v>
      </c>
      <c r="AG98" s="121">
        <f>SUMIFS(薪酬明细!$O:$O,薪酬明细!$D:$D,$E98,薪酬明细!$E:$E,$F98,薪酬明细!$H:$H,"&gt;="&amp;AG$9,薪酬明细!$H:$H,"&lt;="&amp;AG$10,薪酬明细!$A:$A,AG$6)/10000</f>
        <v>0</v>
      </c>
      <c r="AH98" s="121">
        <f>SUMIFS(薪酬明细!$O:$O,薪酬明细!$D:$D,$E98,薪酬明细!$E:$E,$F98,薪酬明细!$H:$H,"&gt;="&amp;AH$9,薪酬明细!$H:$H,"&lt;="&amp;AH$10,薪酬明细!$A:$A,AH$6)/10000</f>
        <v>12.5</v>
      </c>
      <c r="AI98" s="121">
        <f>SUMIFS(薪酬明细!$O:$O,薪酬明细!$D:$D,$E98,薪酬明细!$E:$E,$F98,薪酬明细!$H:$H,"&gt;="&amp;AI$9,薪酬明细!$H:$H,"&lt;="&amp;AI$10,薪酬明细!$A:$A,AI$6)/10000</f>
        <v>0</v>
      </c>
      <c r="AJ98" s="121">
        <f>SUMIFS(薪酬明细!$O:$O,薪酬明细!$D:$D,$E98,薪酬明细!$E:$E,$F98,薪酬明细!$H:$H,"&gt;="&amp;AJ$9,薪酬明细!$H:$H,"&lt;="&amp;AJ$10,薪酬明细!$A:$A,AJ$6)/10000</f>
        <v>0</v>
      </c>
      <c r="AK98" s="121">
        <f>SUMIFS(薪酬明细!$O:$O,薪酬明细!$D:$D,$E98,薪酬明细!$E:$E,$F98,薪酬明细!$H:$H,"&gt;="&amp;AK$9,薪酬明细!$H:$H,"&lt;="&amp;AK$10,薪酬明细!$A:$A,AK$6)/10000</f>
        <v>0</v>
      </c>
      <c r="AL98" s="121">
        <f>SUMIFS(薪酬明细!$O:$O,薪酬明细!$D:$D,$E98,薪酬明细!$E:$E,$F98,薪酬明细!$H:$H,"&gt;="&amp;AL$9,薪酬明细!$H:$H,"&lt;="&amp;AL$10,薪酬明细!$A:$A,AL$6)/10000</f>
        <v>0</v>
      </c>
      <c r="AM98" s="121">
        <f>SUMIFS(薪酬明细!$O:$O,薪酬明细!$D:$D,$E98,薪酬明细!$E:$E,$F98,薪酬明细!$H:$H,"&gt;="&amp;AM$9,薪酬明细!$H:$H,"&lt;="&amp;AM$10,薪酬明细!$A:$A,AM$6)/10000</f>
        <v>0</v>
      </c>
      <c r="AN98" s="121">
        <f>SUMIFS(薪酬明细!$O:$O,薪酬明细!$D:$D,$E98,薪酬明细!$E:$E,$F98,薪酬明细!$H:$H,"&gt;="&amp;AN$9,薪酬明细!$H:$H,"&lt;="&amp;AN$10,薪酬明细!$A:$A,AN$6)/10000</f>
        <v>0</v>
      </c>
      <c r="AO98" s="121">
        <f>SUMIFS(薪酬明细!$O:$O,薪酬明细!$D:$D,$E98,薪酬明细!$E:$E,$F98,薪酬明细!$H:$H,"&gt;="&amp;AO$9,薪酬明细!$H:$H,"&lt;="&amp;AO$10,薪酬明细!$A:$A,AO$6)/10000</f>
        <v>0</v>
      </c>
      <c r="AP98" s="121">
        <f>SUMIFS(薪酬明细!$O:$O,薪酬明细!$D:$D,$E98,薪酬明细!$E:$E,$F98,薪酬明细!$H:$H,"&gt;="&amp;AP$9,薪酬明细!$H:$H,"&lt;="&amp;AP$10,薪酬明细!$A:$A,AP$6)/10000</f>
        <v>0</v>
      </c>
      <c r="AQ98" s="121">
        <f>SUMIFS(薪酬明细!$O:$O,薪酬明细!$D:$D,$E98,薪酬明细!$E:$E,$F98,薪酬明细!$H:$H,"&gt;="&amp;AQ$9,薪酬明细!$H:$H,"&lt;="&amp;AQ$10,薪酬明细!$A:$A,AQ$6)/10000</f>
        <v>0</v>
      </c>
      <c r="AR98" s="121">
        <f>SUMIFS(薪酬明细!$O:$O,薪酬明细!$D:$D,$E98,薪酬明细!$E:$E,$F98,薪酬明细!$H:$H,"&gt;="&amp;AR$9,薪酬明细!$H:$H,"&lt;="&amp;AR$10,薪酬明细!$A:$A,AR$6)/10000</f>
        <v>4.1</v>
      </c>
      <c r="AS98" s="121">
        <f>SUMIFS(薪酬明细!$O:$O,薪酬明细!$D:$D,$E98,薪酬明细!$E:$E,$F98,薪酬明细!$H:$H,"&gt;="&amp;AS$9,薪酬明细!$H:$H,"&lt;="&amp;AS$10,薪酬明细!$A:$A,AS$6)/10000</f>
        <v>4.2</v>
      </c>
      <c r="AT98" s="121">
        <f>SUMIFS(薪酬明细!$O:$O,薪酬明细!$D:$D,$E98,薪酬明细!$E:$E,$F98,薪酬明细!$H:$H,"&gt;="&amp;AT$9,薪酬明细!$H:$H,"&lt;="&amp;AT$10,薪酬明细!$A:$A,AT$6)/10000</f>
        <v>4.2</v>
      </c>
      <c r="AU98" s="121">
        <f>SUMIFS(薪酬明细!$O:$O,薪酬明细!$D:$D,$E98,薪酬明细!$E:$E,$F98,薪酬明细!$H:$H,"&gt;="&amp;AU$9,薪酬明细!$H:$H,"&lt;="&amp;AU$10,薪酬明细!$A:$A,AU$6)/10000</f>
        <v>49.8</v>
      </c>
      <c r="AV98" s="121">
        <f>SUMIFS(薪酬明细!$O:$O,薪酬明细!$D:$D,$E98,薪酬明细!$E:$E,$F98,薪酬明细!$H:$H,"&gt;="&amp;AV$9,薪酬明细!$H:$H,"&lt;="&amp;AV$10,薪酬明细!$A:$A,AV$6)/10000</f>
        <v>4.2</v>
      </c>
      <c r="AW98" s="121">
        <f>SUMIFS(薪酬明细!$O:$O,薪酬明细!$D:$D,$E98,薪酬明细!$E:$E,$F98,薪酬明细!$H:$H,"&gt;="&amp;AW$9,薪酬明细!$H:$H,"&lt;="&amp;AW$10,薪酬明细!$A:$A,AW$6)/10000</f>
        <v>4.3</v>
      </c>
      <c r="AX98" s="121">
        <f>SUMIFS(薪酬明细!$O:$O,薪酬明细!$D:$D,$E98,薪酬明细!$E:$E,$F98,薪酬明细!$H:$H,"&gt;="&amp;AX$9,薪酬明细!$H:$H,"&lt;="&amp;AX$10,薪酬明细!$A:$A,AX$6)/10000</f>
        <v>4.1</v>
      </c>
      <c r="AY98" s="121">
        <f>SUMIFS(薪酬明细!$O:$O,薪酬明细!$D:$D,$E98,薪酬明细!$E:$E,$F98,薪酬明细!$H:$H,"&gt;="&amp;AY$9,薪酬明细!$H:$H,"&lt;="&amp;AY$10,薪酬明细!$A:$A,AY$6)/10000</f>
        <v>4.2</v>
      </c>
      <c r="AZ98" s="121">
        <f>SUMIFS(薪酬明细!$O:$O,薪酬明细!$D:$D,$E98,薪酬明细!$E:$E,$F98,薪酬明细!$H:$H,"&gt;="&amp;AZ$9,薪酬明细!$H:$H,"&lt;="&amp;AZ$10,薪酬明细!$A:$A,AZ$6)/10000</f>
        <v>4.1</v>
      </c>
      <c r="BA98" s="121">
        <f>SUMIFS(薪酬明细!$O:$O,薪酬明细!$D:$D,$E98,薪酬明细!$E:$E,$F98,薪酬明细!$H:$H,"&gt;="&amp;BA$9,薪酬明细!$H:$H,"&lt;="&amp;BA$10,薪酬明细!$A:$A,BA$6)/10000</f>
        <v>4.1</v>
      </c>
      <c r="BB98" s="121">
        <f>SUMIFS(薪酬明细!$O:$O,薪酬明细!$D:$D,$E98,薪酬明细!$E:$E,$F98,薪酬明细!$H:$H,"&gt;="&amp;BB$9,薪酬明细!$H:$H,"&lt;="&amp;BB$10,薪酬明细!$A:$A,BB$6)/10000</f>
        <v>4.2</v>
      </c>
      <c r="BC98" s="121">
        <f>SUMIFS(薪酬明细!$O:$O,薪酬明细!$D:$D,$E98,薪酬明细!$E:$E,$F98,薪酬明细!$H:$H,"&gt;="&amp;BC$9,薪酬明细!$H:$H,"&lt;="&amp;BC$10,薪酬明细!$A:$A,BC$6)/10000</f>
        <v>4.1</v>
      </c>
      <c r="BD98" s="121">
        <f>SUMIFS(薪酬明细!$O:$O,薪酬明细!$D:$D,$E98,薪酬明细!$E:$E,$F98,薪酬明细!$H:$H,"&gt;="&amp;BD$9,薪酬明细!$H:$H,"&lt;="&amp;BD$10,薪酬明细!$A:$A,BD$6)/10000</f>
        <v>4.2</v>
      </c>
      <c r="BE98" s="121">
        <f>SUMIFS(薪酬明细!$O:$O,薪酬明细!$D:$D,$E98,薪酬明细!$E:$E,$F98,薪酬明细!$H:$H,"&gt;="&amp;BE$9,薪酬明细!$H:$H,"&lt;="&amp;BE$10,薪酬明细!$A:$A,BE$6)/10000</f>
        <v>4.1</v>
      </c>
      <c r="BF98" s="121">
        <f>SUMIFS(薪酬明细!$O:$O,薪酬明细!$D:$D,$E98,薪酬明细!$E:$E,$F98,薪酬明细!$H:$H,"&gt;="&amp;BF$9,薪酬明细!$H:$H,"&lt;="&amp;BF$10,薪酬明细!$A:$A,BF$6)/10000</f>
        <v>4.2</v>
      </c>
      <c r="BG98" s="121">
        <f>SUMIFS(薪酬明细!$O:$O,薪酬明细!$D:$D,$E98,薪酬明细!$E:$E,$F98,薪酬明细!$H:$H,"&gt;="&amp;BG$9,薪酬明细!$H:$H,"&lt;="&amp;BG$10,薪酬明细!$A:$A,BG$6)/10000</f>
        <v>4.1</v>
      </c>
    </row>
    <row r="99" ht="16.2" spans="3:59">
      <c r="C99" s="42"/>
      <c r="D99" s="42" t="s">
        <v>90</v>
      </c>
      <c r="E99" s="116" t="str">
        <f t="shared" si="93"/>
        <v>支持中心</v>
      </c>
      <c r="F99" s="116" t="str">
        <f t="shared" si="94"/>
        <v>总经办</v>
      </c>
      <c r="G99" s="121">
        <f>SUMIFS(薪酬明细!$O:$O,薪酬明细!$D:$D,$E99,薪酬明细!$E:$E,$F99,薪酬明细!$H:$H,"&gt;="&amp;G$9,薪酬明细!$H:$H,"&lt;="&amp;G$10,薪酬明细!$A:$A,G$6)/10000</f>
        <v>26.6</v>
      </c>
      <c r="H99" s="121">
        <f>SUMIFS(薪酬明细!$O:$O,薪酬明细!$D:$D,$E99,薪酬明细!$E:$E,$F99,薪酬明细!$H:$H,"&gt;="&amp;H$9,薪酬明细!$H:$H,"&lt;="&amp;H$10,薪酬明细!$A:$A,H$6)/10000</f>
        <v>2.2</v>
      </c>
      <c r="I99" s="121">
        <f>SUMIFS(薪酬明细!$O:$O,薪酬明细!$D:$D,$E99,薪酬明细!$E:$E,$F99,薪酬明细!$H:$H,"&gt;="&amp;I$9,薪酬明细!$H:$H,"&lt;="&amp;I$10,薪酬明细!$A:$A,I$6)/10000</f>
        <v>2.2</v>
      </c>
      <c r="J99" s="121">
        <f>SUMIFS(薪酬明细!$O:$O,薪酬明细!$D:$D,$E99,薪酬明细!$E:$E,$F99,薪酬明细!$H:$H,"&gt;="&amp;J$9,薪酬明细!$H:$H,"&lt;="&amp;J$10,薪酬明细!$A:$A,J$6)/10000</f>
        <v>2.3</v>
      </c>
      <c r="K99" s="121">
        <f>SUMIFS(薪酬明细!$O:$O,薪酬明细!$D:$D,$E99,薪酬明细!$E:$E,$F99,薪酬明细!$H:$H,"&gt;="&amp;K$9,薪酬明细!$H:$H,"&lt;="&amp;K$10,薪酬明细!$A:$A,K$6)/10000</f>
        <v>2.3</v>
      </c>
      <c r="L99" s="121">
        <f>SUMIFS(薪酬明细!$O:$O,薪酬明细!$D:$D,$E99,薪酬明细!$E:$E,$F99,薪酬明细!$H:$H,"&gt;="&amp;L$9,薪酬明细!$H:$H,"&lt;="&amp;L$10,薪酬明细!$A:$A,L$6)/10000</f>
        <v>2.2</v>
      </c>
      <c r="M99" s="121">
        <f>SUMIFS(薪酬明细!$O:$O,薪酬明细!$D:$D,$E99,薪酬明细!$E:$E,$F99,薪酬明细!$H:$H,"&gt;="&amp;M$9,薪酬明细!$H:$H,"&lt;="&amp;M$10,薪酬明细!$A:$A,M$6)/10000</f>
        <v>2.2</v>
      </c>
      <c r="N99" s="121">
        <f>SUMIFS(薪酬明细!$O:$O,薪酬明细!$D:$D,$E99,薪酬明细!$E:$E,$F99,薪酬明细!$H:$H,"&gt;="&amp;N$9,薪酬明细!$H:$H,"&lt;="&amp;N$10,薪酬明细!$A:$A,N$6)/10000</f>
        <v>2.3</v>
      </c>
      <c r="O99" s="121">
        <f>SUMIFS(薪酬明细!$O:$O,薪酬明细!$D:$D,$E99,薪酬明细!$E:$E,$F99,薪酬明细!$H:$H,"&gt;="&amp;O$9,薪酬明细!$H:$H,"&lt;="&amp;O$10,薪酬明细!$A:$A,O$6)/10000</f>
        <v>2.2</v>
      </c>
      <c r="P99" s="121">
        <f>SUMIFS(薪酬明细!$O:$O,薪酬明细!$D:$D,$E99,薪酬明细!$E:$E,$F99,薪酬明细!$H:$H,"&gt;="&amp;P$9,薪酬明细!$H:$H,"&lt;="&amp;P$10,薪酬明细!$A:$A,P$6)/10000</f>
        <v>2.1</v>
      </c>
      <c r="Q99" s="121">
        <f>SUMIFS(薪酬明细!$O:$O,薪酬明细!$D:$D,$E99,薪酬明细!$E:$E,$F99,薪酬明细!$H:$H,"&gt;="&amp;Q$9,薪酬明细!$H:$H,"&lt;="&amp;Q$10,薪酬明细!$A:$A,Q$6)/10000</f>
        <v>2.2</v>
      </c>
      <c r="R99" s="121">
        <f>SUMIFS(薪酬明细!$O:$O,薪酬明细!$D:$D,$E99,薪酬明细!$E:$E,$F99,薪酬明细!$H:$H,"&gt;="&amp;R$9,薪酬明细!$H:$H,"&lt;="&amp;R$10,薪酬明细!$A:$A,R$6)/10000</f>
        <v>2.3</v>
      </c>
      <c r="S99" s="121">
        <f>SUMIFS(薪酬明细!$O:$O,薪酬明细!$D:$D,$E99,薪酬明细!$E:$E,$F99,薪酬明细!$H:$H,"&gt;="&amp;S$9,薪酬明细!$H:$H,"&lt;="&amp;S$10,薪酬明细!$A:$A,S$6)/10000</f>
        <v>2.3</v>
      </c>
      <c r="T99" s="125">
        <f t="shared" si="95"/>
        <v>26.7</v>
      </c>
      <c r="U99" s="121">
        <f>SUMIFS(薪酬明细!$O:$O,薪酬明细!$D:$D,$E99,薪酬明细!$E:$E,$F99,薪酬明细!$H:$H,"&gt;="&amp;U$9,薪酬明细!$H:$H,"&lt;="&amp;U$10,薪酬明细!$A:$A,U$6)/10000</f>
        <v>20.1</v>
      </c>
      <c r="V99" s="121">
        <f>SUMIFS(薪酬明细!$O:$O,薪酬明细!$D:$D,$E99,薪酬明细!$E:$E,$F99,薪酬明细!$H:$H,"&gt;="&amp;V$9,薪酬明细!$H:$H,"&lt;="&amp;V$10,薪酬明细!$A:$A,V$6)/10000</f>
        <v>2.3</v>
      </c>
      <c r="W99" s="121">
        <f>SUMIFS(薪酬明细!$O:$O,薪酬明细!$D:$D,$E99,薪酬明细!$E:$E,$F99,薪酬明细!$H:$H,"&gt;="&amp;W$9,薪酬明细!$H:$H,"&lt;="&amp;W$10,薪酬明细!$A:$A,W$6)/10000</f>
        <v>2.2</v>
      </c>
      <c r="X99" s="121">
        <f>SUMIFS(薪酬明细!$O:$O,薪酬明细!$D:$D,$E99,薪酬明细!$E:$E,$F99,薪酬明细!$H:$H,"&gt;="&amp;X$9,薪酬明细!$H:$H,"&lt;="&amp;X$10,薪酬明细!$A:$A,X$6)/10000</f>
        <v>2.2</v>
      </c>
      <c r="Y99" s="121">
        <f>SUMIFS(薪酬明细!$O:$O,薪酬明细!$D:$D,$E99,薪酬明细!$E:$E,$F99,薪酬明细!$H:$H,"&gt;="&amp;Y$9,薪酬明细!$H:$H,"&lt;="&amp;Y$10,薪酬明细!$A:$A,Y$6)/10000</f>
        <v>2.3</v>
      </c>
      <c r="Z99" s="121">
        <f>SUMIFS(薪酬明细!$O:$O,薪酬明细!$D:$D,$E99,薪酬明细!$E:$E,$F99,薪酬明细!$H:$H,"&gt;="&amp;Z$9,薪酬明细!$H:$H,"&lt;="&amp;Z$10,薪酬明细!$A:$A,Z$6)/10000</f>
        <v>2.2</v>
      </c>
      <c r="AA99" s="121">
        <f>SUMIFS(薪酬明细!$O:$O,薪酬明细!$D:$D,$E99,薪酬明细!$E:$E,$F99,薪酬明细!$H:$H,"&gt;="&amp;AA$9,薪酬明细!$H:$H,"&lt;="&amp;AA$10,薪酬明细!$A:$A,AA$6)/10000</f>
        <v>2.2</v>
      </c>
      <c r="AB99" s="121">
        <f>SUMIFS(薪酬明细!$O:$O,薪酬明细!$D:$D,$E99,薪酬明细!$E:$E,$F99,薪酬明细!$H:$H,"&gt;="&amp;AB$9,薪酬明细!$H:$H,"&lt;="&amp;AB$10,薪酬明细!$A:$A,AB$6)/10000</f>
        <v>2.3</v>
      </c>
      <c r="AC99" s="121">
        <f>SUMIFS(薪酬明细!$O:$O,薪酬明细!$D:$D,$E99,薪酬明细!$E:$E,$F99,薪酬明细!$H:$H,"&gt;="&amp;AC$9,薪酬明细!$H:$H,"&lt;="&amp;AC$10,薪酬明细!$A:$A,AC$6)/10000</f>
        <v>2.3</v>
      </c>
      <c r="AD99" s="121">
        <f>SUMIFS(薪酬明细!$O:$O,薪酬明细!$D:$D,$E99,薪酬明细!$E:$E,$F99,薪酬明细!$H:$H,"&gt;="&amp;AD$9,薪酬明细!$H:$H,"&lt;="&amp;AD$10,薪酬明细!$A:$A,AD$6)/10000</f>
        <v>2.2</v>
      </c>
      <c r="AE99" s="121">
        <f>SUMIFS(薪酬明细!$O:$O,薪酬明细!$D:$D,$E99,薪酬明细!$E:$E,$F99,薪酬明细!$H:$H,"&gt;="&amp;AE$9,薪酬明细!$H:$H,"&lt;="&amp;AE$10,薪酬明细!$A:$A,AE$6)/10000</f>
        <v>0</v>
      </c>
      <c r="AF99" s="121">
        <f>SUMIFS(薪酬明细!$O:$O,薪酬明细!$D:$D,$E99,薪酬明细!$E:$E,$F99,薪酬明细!$H:$H,"&gt;="&amp;AF$9,薪酬明细!$H:$H,"&lt;="&amp;AF$10,薪酬明细!$A:$A,AF$6)/10000</f>
        <v>0</v>
      </c>
      <c r="AG99" s="121">
        <f>SUMIFS(薪酬明细!$O:$O,薪酬明细!$D:$D,$E99,薪酬明细!$E:$E,$F99,薪酬明细!$H:$H,"&gt;="&amp;AG$9,薪酬明细!$H:$H,"&lt;="&amp;AG$10,薪酬明细!$A:$A,AG$6)/10000</f>
        <v>0</v>
      </c>
      <c r="AH99" s="121">
        <f>SUMIFS(薪酬明细!$O:$O,薪酬明细!$D:$D,$E99,薪酬明细!$E:$E,$F99,薪酬明细!$H:$H,"&gt;="&amp;AH$9,薪酬明细!$H:$H,"&lt;="&amp;AH$10,薪酬明细!$A:$A,AH$6)/10000</f>
        <v>6.6</v>
      </c>
      <c r="AI99" s="121">
        <f>SUMIFS(薪酬明细!$O:$O,薪酬明细!$D:$D,$E99,薪酬明细!$E:$E,$F99,薪酬明细!$H:$H,"&gt;="&amp;AI$9,薪酬明细!$H:$H,"&lt;="&amp;AI$10,薪酬明细!$A:$A,AI$6)/10000</f>
        <v>0</v>
      </c>
      <c r="AJ99" s="121">
        <f>SUMIFS(薪酬明细!$O:$O,薪酬明细!$D:$D,$E99,薪酬明细!$E:$E,$F99,薪酬明细!$H:$H,"&gt;="&amp;AJ$9,薪酬明细!$H:$H,"&lt;="&amp;AJ$10,薪酬明细!$A:$A,AJ$6)/10000</f>
        <v>0</v>
      </c>
      <c r="AK99" s="121">
        <f>SUMIFS(薪酬明细!$O:$O,薪酬明细!$D:$D,$E99,薪酬明细!$E:$E,$F99,薪酬明细!$H:$H,"&gt;="&amp;AK$9,薪酬明细!$H:$H,"&lt;="&amp;AK$10,薪酬明细!$A:$A,AK$6)/10000</f>
        <v>0</v>
      </c>
      <c r="AL99" s="121">
        <f>SUMIFS(薪酬明细!$O:$O,薪酬明细!$D:$D,$E99,薪酬明细!$E:$E,$F99,薪酬明细!$H:$H,"&gt;="&amp;AL$9,薪酬明细!$H:$H,"&lt;="&amp;AL$10,薪酬明细!$A:$A,AL$6)/10000</f>
        <v>0</v>
      </c>
      <c r="AM99" s="121">
        <f>SUMIFS(薪酬明细!$O:$O,薪酬明细!$D:$D,$E99,薪酬明细!$E:$E,$F99,薪酬明细!$H:$H,"&gt;="&amp;AM$9,薪酬明细!$H:$H,"&lt;="&amp;AM$10,薪酬明细!$A:$A,AM$6)/10000</f>
        <v>0</v>
      </c>
      <c r="AN99" s="121">
        <f>SUMIFS(薪酬明细!$O:$O,薪酬明细!$D:$D,$E99,薪酬明细!$E:$E,$F99,薪酬明细!$H:$H,"&gt;="&amp;AN$9,薪酬明细!$H:$H,"&lt;="&amp;AN$10,薪酬明细!$A:$A,AN$6)/10000</f>
        <v>0</v>
      </c>
      <c r="AO99" s="121">
        <f>SUMIFS(薪酬明细!$O:$O,薪酬明细!$D:$D,$E99,薪酬明细!$E:$E,$F99,薪酬明细!$H:$H,"&gt;="&amp;AO$9,薪酬明细!$H:$H,"&lt;="&amp;AO$10,薪酬明细!$A:$A,AO$6)/10000</f>
        <v>0</v>
      </c>
      <c r="AP99" s="121">
        <f>SUMIFS(薪酬明细!$O:$O,薪酬明细!$D:$D,$E99,薪酬明细!$E:$E,$F99,薪酬明细!$H:$H,"&gt;="&amp;AP$9,薪酬明细!$H:$H,"&lt;="&amp;AP$10,薪酬明细!$A:$A,AP$6)/10000</f>
        <v>0</v>
      </c>
      <c r="AQ99" s="121">
        <f>SUMIFS(薪酬明细!$O:$O,薪酬明细!$D:$D,$E99,薪酬明细!$E:$E,$F99,薪酬明细!$H:$H,"&gt;="&amp;AQ$9,薪酬明细!$H:$H,"&lt;="&amp;AQ$10,薪酬明细!$A:$A,AQ$6)/10000</f>
        <v>0</v>
      </c>
      <c r="AR99" s="121">
        <f>SUMIFS(薪酬明细!$O:$O,薪酬明细!$D:$D,$E99,薪酬明细!$E:$E,$F99,薪酬明细!$H:$H,"&gt;="&amp;AR$9,薪酬明细!$H:$H,"&lt;="&amp;AR$10,薪酬明细!$A:$A,AR$6)/10000</f>
        <v>2.2</v>
      </c>
      <c r="AS99" s="121">
        <f>SUMIFS(薪酬明细!$O:$O,薪酬明细!$D:$D,$E99,薪酬明细!$E:$E,$F99,薪酬明细!$H:$H,"&gt;="&amp;AS$9,薪酬明细!$H:$H,"&lt;="&amp;AS$10,薪酬明细!$A:$A,AS$6)/10000</f>
        <v>2.2</v>
      </c>
      <c r="AT99" s="121">
        <f>SUMIFS(薪酬明细!$O:$O,薪酬明细!$D:$D,$E99,薪酬明细!$E:$E,$F99,薪酬明细!$H:$H,"&gt;="&amp;AT$9,薪酬明细!$H:$H,"&lt;="&amp;AT$10,薪酬明细!$A:$A,AT$6)/10000</f>
        <v>2.2</v>
      </c>
      <c r="AU99" s="121">
        <f>SUMIFS(薪酬明细!$O:$O,薪酬明细!$D:$D,$E99,薪酬明细!$E:$E,$F99,薪酬明细!$H:$H,"&gt;="&amp;AU$9,薪酬明细!$H:$H,"&lt;="&amp;AU$10,薪酬明细!$A:$A,AU$6)/10000</f>
        <v>26.7</v>
      </c>
      <c r="AV99" s="121">
        <f>SUMIFS(薪酬明细!$O:$O,薪酬明细!$D:$D,$E99,薪酬明细!$E:$E,$F99,薪酬明细!$H:$H,"&gt;="&amp;AV$9,薪酬明细!$H:$H,"&lt;="&amp;AV$10,薪酬明细!$A:$A,AV$6)/10000</f>
        <v>2.3</v>
      </c>
      <c r="AW99" s="121">
        <f>SUMIFS(薪酬明细!$O:$O,薪酬明细!$D:$D,$E99,薪酬明细!$E:$E,$F99,薪酬明细!$H:$H,"&gt;="&amp;AW$9,薪酬明细!$H:$H,"&lt;="&amp;AW$10,薪酬明细!$A:$A,AW$6)/10000</f>
        <v>2.2</v>
      </c>
      <c r="AX99" s="121">
        <f>SUMIFS(薪酬明细!$O:$O,薪酬明细!$D:$D,$E99,薪酬明细!$E:$E,$F99,薪酬明细!$H:$H,"&gt;="&amp;AX$9,薪酬明细!$H:$H,"&lt;="&amp;AX$10,薪酬明细!$A:$A,AX$6)/10000</f>
        <v>2.2</v>
      </c>
      <c r="AY99" s="121">
        <f>SUMIFS(薪酬明细!$O:$O,薪酬明细!$D:$D,$E99,薪酬明细!$E:$E,$F99,薪酬明细!$H:$H,"&gt;="&amp;AY$9,薪酬明细!$H:$H,"&lt;="&amp;AY$10,薪酬明细!$A:$A,AY$6)/10000</f>
        <v>2.2</v>
      </c>
      <c r="AZ99" s="121">
        <f>SUMIFS(薪酬明细!$O:$O,薪酬明细!$D:$D,$E99,薪酬明细!$E:$E,$F99,薪酬明细!$H:$H,"&gt;="&amp;AZ$9,薪酬明细!$H:$H,"&lt;="&amp;AZ$10,薪酬明细!$A:$A,AZ$6)/10000</f>
        <v>2.3</v>
      </c>
      <c r="BA99" s="121">
        <f>SUMIFS(薪酬明细!$O:$O,薪酬明细!$D:$D,$E99,薪酬明细!$E:$E,$F99,薪酬明细!$H:$H,"&gt;="&amp;BA$9,薪酬明细!$H:$H,"&lt;="&amp;BA$10,薪酬明细!$A:$A,BA$6)/10000</f>
        <v>2.1</v>
      </c>
      <c r="BB99" s="121">
        <f>SUMIFS(薪酬明细!$O:$O,薪酬明细!$D:$D,$E99,薪酬明细!$E:$E,$F99,薪酬明细!$H:$H,"&gt;="&amp;BB$9,薪酬明细!$H:$H,"&lt;="&amp;BB$10,薪酬明细!$A:$A,BB$6)/10000</f>
        <v>2.3</v>
      </c>
      <c r="BC99" s="121">
        <f>SUMIFS(薪酬明细!$O:$O,薪酬明细!$D:$D,$E99,薪酬明细!$E:$E,$F99,薪酬明细!$H:$H,"&gt;="&amp;BC$9,薪酬明细!$H:$H,"&lt;="&amp;BC$10,薪酬明细!$A:$A,BC$6)/10000</f>
        <v>2.3</v>
      </c>
      <c r="BD99" s="121">
        <f>SUMIFS(薪酬明细!$O:$O,薪酬明细!$D:$D,$E99,薪酬明细!$E:$E,$F99,薪酬明细!$H:$H,"&gt;="&amp;BD$9,薪酬明细!$H:$H,"&lt;="&amp;BD$10,薪酬明细!$A:$A,BD$6)/10000</f>
        <v>2.2</v>
      </c>
      <c r="BE99" s="121">
        <f>SUMIFS(薪酬明细!$O:$O,薪酬明细!$D:$D,$E99,薪酬明细!$E:$E,$F99,薪酬明细!$H:$H,"&gt;="&amp;BE$9,薪酬明细!$H:$H,"&lt;="&amp;BE$10,薪酬明细!$A:$A,BE$6)/10000</f>
        <v>2.2</v>
      </c>
      <c r="BF99" s="121">
        <f>SUMIFS(薪酬明细!$O:$O,薪酬明细!$D:$D,$E99,薪酬明细!$E:$E,$F99,薪酬明细!$H:$H,"&gt;="&amp;BF$9,薪酬明细!$H:$H,"&lt;="&amp;BF$10,薪酬明细!$A:$A,BF$6)/10000</f>
        <v>2.2</v>
      </c>
      <c r="BG99" s="121">
        <f>SUMIFS(薪酬明细!$O:$O,薪酬明细!$D:$D,$E99,薪酬明细!$E:$E,$F99,薪酬明细!$H:$H,"&gt;="&amp;BG$9,薪酬明细!$H:$H,"&lt;="&amp;BG$10,薪酬明细!$A:$A,BG$6)/10000</f>
        <v>2.2</v>
      </c>
    </row>
    <row r="101" ht="20.4" spans="2:2">
      <c r="B101" s="118" t="s">
        <v>96</v>
      </c>
    </row>
    <row r="102" s="101" customFormat="1" ht="19.2" customHeight="1" spans="2:59">
      <c r="B102" s="42" t="s">
        <v>76</v>
      </c>
      <c r="C102" s="119"/>
      <c r="D102" s="119"/>
      <c r="E102" s="119" t="s">
        <v>78</v>
      </c>
      <c r="F102" s="119" t="s">
        <v>78</v>
      </c>
      <c r="G102" s="120">
        <f>SUMIFS(社保明细!$J:$J,社保明细!$D:$D,$E102,社保明细!$E:$E,$F102,社保明细!$H:$H,"&gt;="&amp;G$9,社保明细!$H:$H,"&lt;="&amp;G$10,社保明细!$A:$A,G$6)/10000</f>
        <v>207.7</v>
      </c>
      <c r="H102" s="120">
        <f>SUMIFS(社保明细!$J:$J,社保明细!$D:$D,$E102,社保明细!$E:$E,$F102,社保明细!$H:$H,"&gt;="&amp;H$9,社保明细!$H:$H,"&lt;="&amp;H$10,社保明细!$A:$A,H$6)/10000</f>
        <v>17.3</v>
      </c>
      <c r="I102" s="120">
        <f>SUMIFS(社保明细!$J:$J,社保明细!$D:$D,$E102,社保明细!$E:$E,$F102,社保明细!$H:$H,"&gt;="&amp;I$9,社保明细!$H:$H,"&lt;="&amp;I$10,社保明细!$A:$A,I$6)/10000</f>
        <v>17.3</v>
      </c>
      <c r="J102" s="120">
        <f>SUMIFS(社保明细!$J:$J,社保明细!$D:$D,$E102,社保明细!$E:$E,$F102,社保明细!$H:$H,"&gt;="&amp;J$9,社保明细!$H:$H,"&lt;="&amp;J$10,社保明细!$A:$A,J$6)/10000</f>
        <v>17.3</v>
      </c>
      <c r="K102" s="120">
        <f>SUMIFS(社保明细!$J:$J,社保明细!$D:$D,$E102,社保明细!$E:$E,$F102,社保明细!$H:$H,"&gt;="&amp;K$9,社保明细!$H:$H,"&lt;="&amp;K$10,社保明细!$A:$A,K$6)/10000</f>
        <v>17.3</v>
      </c>
      <c r="L102" s="120">
        <f>SUMIFS(社保明细!$J:$J,社保明细!$D:$D,$E102,社保明细!$E:$E,$F102,社保明细!$H:$H,"&gt;="&amp;L$9,社保明细!$H:$H,"&lt;="&amp;L$10,社保明细!$A:$A,L$6)/10000</f>
        <v>17.3</v>
      </c>
      <c r="M102" s="120">
        <f>SUMIFS(社保明细!$J:$J,社保明细!$D:$D,$E102,社保明细!$E:$E,$F102,社保明细!$H:$H,"&gt;="&amp;M$9,社保明细!$H:$H,"&lt;="&amp;M$10,社保明细!$A:$A,M$6)/10000</f>
        <v>17.3</v>
      </c>
      <c r="N102" s="120">
        <f>SUMIFS(社保明细!$J:$J,社保明细!$D:$D,$E102,社保明细!$E:$E,$F102,社保明细!$H:$H,"&gt;="&amp;N$9,社保明细!$H:$H,"&lt;="&amp;N$10,社保明细!$A:$A,N$6)/10000</f>
        <v>17.4</v>
      </c>
      <c r="O102" s="120">
        <f>SUMIFS(社保明细!$J:$J,社保明细!$D:$D,$E102,社保明细!$E:$E,$F102,社保明细!$H:$H,"&gt;="&amp;O$9,社保明细!$H:$H,"&lt;="&amp;O$10,社保明细!$A:$A,O$6)/10000</f>
        <v>17.3</v>
      </c>
      <c r="P102" s="120">
        <f>SUMIFS(社保明细!$J:$J,社保明细!$D:$D,$E102,社保明细!$E:$E,$F102,社保明细!$H:$H,"&gt;="&amp;P$9,社保明细!$H:$H,"&lt;="&amp;P$10,社保明细!$A:$A,P$6)/10000</f>
        <v>17.4</v>
      </c>
      <c r="Q102" s="120">
        <f>SUMIFS(社保明细!$J:$J,社保明细!$D:$D,$E102,社保明细!$E:$E,$F102,社保明细!$H:$H,"&gt;="&amp;Q$9,社保明细!$H:$H,"&lt;="&amp;Q$10,社保明细!$A:$A,Q$6)/10000</f>
        <v>17.2</v>
      </c>
      <c r="R102" s="120">
        <f>SUMIFS(社保明细!$J:$J,社保明细!$D:$D,$E102,社保明细!$E:$E,$F102,社保明细!$H:$H,"&gt;="&amp;R$9,社保明细!$H:$H,"&lt;="&amp;R$10,社保明细!$A:$A,R$6)/10000</f>
        <v>17.3</v>
      </c>
      <c r="S102" s="120">
        <f>SUMIFS(社保明细!$J:$J,社保明细!$D:$D,$E102,社保明细!$E:$E,$F102,社保明细!$H:$H,"&gt;="&amp;S$9,社保明细!$H:$H,"&lt;="&amp;S$10,社保明细!$A:$A,S$6)/10000</f>
        <v>17.3</v>
      </c>
      <c r="T102" s="124">
        <f>U102+AH102</f>
        <v>207.7</v>
      </c>
      <c r="U102" s="120">
        <f>SUMIFS(社保明细!$J:$J,社保明细!$D:$D,$E102,社保明细!$E:$E,$F102,社保明细!$H:$H,"&gt;="&amp;U$9,社保明细!$H:$H,"&lt;="&amp;U$10,社保明细!$A:$A,U$6)/10000</f>
        <v>155.7</v>
      </c>
      <c r="V102" s="120">
        <f>SUMIFS(社保明细!$J:$J,社保明细!$D:$D,$E102,社保明细!$E:$E,$F102,社保明细!$H:$H,"&gt;="&amp;V$9,社保明细!$H:$H,"&lt;="&amp;V$10,社保明细!$A:$A,V$6)/10000</f>
        <v>17.4</v>
      </c>
      <c r="W102" s="120">
        <f>SUMIFS(社保明细!$J:$J,社保明细!$D:$D,$E102,社保明细!$E:$E,$F102,社保明细!$H:$H,"&gt;="&amp;W$9,社保明细!$H:$H,"&lt;="&amp;W$10,社保明细!$A:$A,W$6)/10000</f>
        <v>17.3</v>
      </c>
      <c r="X102" s="120">
        <f>SUMIFS(社保明细!$J:$J,社保明细!$D:$D,$E102,社保明细!$E:$E,$F102,社保明细!$H:$H,"&gt;="&amp;X$9,社保明细!$H:$H,"&lt;="&amp;X$10,社保明细!$A:$A,X$6)/10000</f>
        <v>17.3</v>
      </c>
      <c r="Y102" s="120">
        <f>SUMIFS(社保明细!$J:$J,社保明细!$D:$D,$E102,社保明细!$E:$E,$F102,社保明细!$H:$H,"&gt;="&amp;Y$9,社保明细!$H:$H,"&lt;="&amp;Y$10,社保明细!$A:$A,Y$6)/10000</f>
        <v>17.3</v>
      </c>
      <c r="Z102" s="120">
        <f>SUMIFS(社保明细!$J:$J,社保明细!$D:$D,$E102,社保明细!$E:$E,$F102,社保明细!$H:$H,"&gt;="&amp;Z$9,社保明细!$H:$H,"&lt;="&amp;Z$10,社保明细!$A:$A,Z$6)/10000</f>
        <v>17.2</v>
      </c>
      <c r="AA102" s="120">
        <f>SUMIFS(社保明细!$J:$J,社保明细!$D:$D,$E102,社保明细!$E:$E,$F102,社保明细!$H:$H,"&gt;="&amp;AA$9,社保明细!$H:$H,"&lt;="&amp;AA$10,社保明细!$A:$A,AA$6)/10000</f>
        <v>17.3</v>
      </c>
      <c r="AB102" s="120">
        <f>SUMIFS(社保明细!$J:$J,社保明细!$D:$D,$E102,社保明细!$E:$E,$F102,社保明细!$H:$H,"&gt;="&amp;AB$9,社保明细!$H:$H,"&lt;="&amp;AB$10,社保明细!$A:$A,AB$6)/10000</f>
        <v>17.3</v>
      </c>
      <c r="AC102" s="120">
        <f>SUMIFS(社保明细!$J:$J,社保明细!$D:$D,$E102,社保明细!$E:$E,$F102,社保明细!$H:$H,"&gt;="&amp;AC$9,社保明细!$H:$H,"&lt;="&amp;AC$10,社保明细!$A:$A,AC$6)/10000</f>
        <v>17.3</v>
      </c>
      <c r="AD102" s="120">
        <f>SUMIFS(社保明细!$J:$J,社保明细!$D:$D,$E102,社保明细!$E:$E,$F102,社保明细!$H:$H,"&gt;="&amp;AD$9,社保明细!$H:$H,"&lt;="&amp;AD$10,社保明细!$A:$A,AD$6)/10000</f>
        <v>17.3</v>
      </c>
      <c r="AE102" s="120">
        <f>SUMIFS(社保明细!$J:$J,社保明细!$D:$D,$E102,社保明细!$E:$E,$F102,社保明细!$H:$H,"&gt;="&amp;AE$9,社保明细!$H:$H,"&lt;="&amp;AE$10,社保明细!$A:$A,AE$6)/10000</f>
        <v>0</v>
      </c>
      <c r="AF102" s="120">
        <f>SUMIFS(社保明细!$J:$J,社保明细!$D:$D,$E102,社保明细!$E:$E,$F102,社保明细!$H:$H,"&gt;="&amp;AF$9,社保明细!$H:$H,"&lt;="&amp;AF$10,社保明细!$A:$A,AF$6)/10000</f>
        <v>0</v>
      </c>
      <c r="AG102" s="120">
        <f>SUMIFS(社保明细!$J:$J,社保明细!$D:$D,$E102,社保明细!$E:$E,$F102,社保明细!$H:$H,"&gt;="&amp;AG$9,社保明细!$H:$H,"&lt;="&amp;AG$10,社保明细!$A:$A,AG$6)/10000</f>
        <v>0</v>
      </c>
      <c r="AH102" s="120">
        <f>SUMIFS(社保明细!$J:$J,社保明细!$D:$D,$E102,社保明细!$E:$E,$F102,社保明细!$H:$H,"&gt;="&amp;AH$9,社保明细!$H:$H,"&lt;="&amp;AH$10,社保明细!$A:$A,AH$6)/10000</f>
        <v>52</v>
      </c>
      <c r="AI102" s="120">
        <f>SUMIFS(社保明细!$J:$J,社保明细!$D:$D,$E102,社保明细!$E:$E,$F102,社保明细!$H:$H,"&gt;="&amp;AI$9,社保明细!$H:$H,"&lt;="&amp;AI$10,社保明细!$A:$A,AI$6)/10000</f>
        <v>0</v>
      </c>
      <c r="AJ102" s="120">
        <f>SUMIFS(社保明细!$J:$J,社保明细!$D:$D,$E102,社保明细!$E:$E,$F102,社保明细!$H:$H,"&gt;="&amp;AJ$9,社保明细!$H:$H,"&lt;="&amp;AJ$10,社保明细!$A:$A,AJ$6)/10000</f>
        <v>0</v>
      </c>
      <c r="AK102" s="120">
        <f>SUMIFS(社保明细!$J:$J,社保明细!$D:$D,$E102,社保明细!$E:$E,$F102,社保明细!$H:$H,"&gt;="&amp;AK$9,社保明细!$H:$H,"&lt;="&amp;AK$10,社保明细!$A:$A,AK$6)/10000</f>
        <v>0</v>
      </c>
      <c r="AL102" s="120">
        <f>SUMIFS(社保明细!$J:$J,社保明细!$D:$D,$E102,社保明细!$E:$E,$F102,社保明细!$H:$H,"&gt;="&amp;AL$9,社保明细!$H:$H,"&lt;="&amp;AL$10,社保明细!$A:$A,AL$6)/10000</f>
        <v>0</v>
      </c>
      <c r="AM102" s="120">
        <f>SUMIFS(社保明细!$J:$J,社保明细!$D:$D,$E102,社保明细!$E:$E,$F102,社保明细!$H:$H,"&gt;="&amp;AM$9,社保明细!$H:$H,"&lt;="&amp;AM$10,社保明细!$A:$A,AM$6)/10000</f>
        <v>0</v>
      </c>
      <c r="AN102" s="120">
        <f>SUMIFS(社保明细!$J:$J,社保明细!$D:$D,$E102,社保明细!$E:$E,$F102,社保明细!$H:$H,"&gt;="&amp;AN$9,社保明细!$H:$H,"&lt;="&amp;AN$10,社保明细!$A:$A,AN$6)/10000</f>
        <v>0</v>
      </c>
      <c r="AO102" s="120">
        <f>SUMIFS(社保明细!$J:$J,社保明细!$D:$D,$E102,社保明细!$E:$E,$F102,社保明细!$H:$H,"&gt;="&amp;AO$9,社保明细!$H:$H,"&lt;="&amp;AO$10,社保明细!$A:$A,AO$6)/10000</f>
        <v>0</v>
      </c>
      <c r="AP102" s="120">
        <f>SUMIFS(社保明细!$J:$J,社保明细!$D:$D,$E102,社保明细!$E:$E,$F102,社保明细!$H:$H,"&gt;="&amp;AP$9,社保明细!$H:$H,"&lt;="&amp;AP$10,社保明细!$A:$A,AP$6)/10000</f>
        <v>0</v>
      </c>
      <c r="AQ102" s="120">
        <f>SUMIFS(社保明细!$J:$J,社保明细!$D:$D,$E102,社保明细!$E:$E,$F102,社保明细!$H:$H,"&gt;="&amp;AQ$9,社保明细!$H:$H,"&lt;="&amp;AQ$10,社保明细!$A:$A,AQ$6)/10000</f>
        <v>0</v>
      </c>
      <c r="AR102" s="120">
        <f>SUMIFS(社保明细!$J:$J,社保明细!$D:$D,$E102,社保明细!$E:$E,$F102,社保明细!$H:$H,"&gt;="&amp;AR$9,社保明细!$H:$H,"&lt;="&amp;AR$10,社保明细!$A:$A,AR$6)/10000</f>
        <v>17.4</v>
      </c>
      <c r="AS102" s="120">
        <f>SUMIFS(社保明细!$J:$J,社保明细!$D:$D,$E102,社保明细!$E:$E,$F102,社保明细!$H:$H,"&gt;="&amp;AS$9,社保明细!$H:$H,"&lt;="&amp;AS$10,社保明细!$A:$A,AS$6)/10000</f>
        <v>17.4</v>
      </c>
      <c r="AT102" s="120">
        <f>SUMIFS(社保明细!$J:$J,社保明细!$D:$D,$E102,社保明细!$E:$E,$F102,社保明细!$H:$H,"&gt;="&amp;AT$9,社保明细!$H:$H,"&lt;="&amp;AT$10,社保明细!$A:$A,AT$6)/10000</f>
        <v>17.2</v>
      </c>
      <c r="AU102" s="120">
        <f>SUMIFS(社保明细!$J:$J,社保明细!$D:$D,$E102,社保明细!$E:$E,$F102,社保明细!$H:$H,"&gt;="&amp;AU$9,社保明细!$H:$H,"&lt;="&amp;AU$10,社保明细!$A:$A,AU$6)/10000</f>
        <v>207.6</v>
      </c>
      <c r="AV102" s="120">
        <f>SUMIFS(社保明细!$J:$J,社保明细!$D:$D,$E102,社保明细!$E:$E,$F102,社保明细!$H:$H,"&gt;="&amp;AV$9,社保明细!$H:$H,"&lt;="&amp;AV$10,社保明细!$A:$A,AV$6)/10000</f>
        <v>17.3</v>
      </c>
      <c r="AW102" s="120">
        <f>SUMIFS(社保明细!$J:$J,社保明细!$D:$D,$E102,社保明细!$E:$E,$F102,社保明细!$H:$H,"&gt;="&amp;AW$9,社保明细!$H:$H,"&lt;="&amp;AW$10,社保明细!$A:$A,AW$6)/10000</f>
        <v>17.4</v>
      </c>
      <c r="AX102" s="120">
        <f>SUMIFS(社保明细!$J:$J,社保明细!$D:$D,$E102,社保明细!$E:$E,$F102,社保明细!$H:$H,"&gt;="&amp;AX$9,社保明细!$H:$H,"&lt;="&amp;AX$10,社保明细!$A:$A,AX$6)/10000</f>
        <v>17.3</v>
      </c>
      <c r="AY102" s="120">
        <f>SUMIFS(社保明细!$J:$J,社保明细!$D:$D,$E102,社保明细!$E:$E,$F102,社保明细!$H:$H,"&gt;="&amp;AY$9,社保明细!$H:$H,"&lt;="&amp;AY$10,社保明细!$A:$A,AY$6)/10000</f>
        <v>17.3</v>
      </c>
      <c r="AZ102" s="120">
        <f>SUMIFS(社保明细!$J:$J,社保明细!$D:$D,$E102,社保明细!$E:$E,$F102,社保明细!$H:$H,"&gt;="&amp;AZ$9,社保明细!$H:$H,"&lt;="&amp;AZ$10,社保明细!$A:$A,AZ$6)/10000</f>
        <v>17.4</v>
      </c>
      <c r="BA102" s="120">
        <f>SUMIFS(社保明细!$J:$J,社保明细!$D:$D,$E102,社保明细!$E:$E,$F102,社保明细!$H:$H,"&gt;="&amp;BA$9,社保明细!$H:$H,"&lt;="&amp;BA$10,社保明细!$A:$A,BA$6)/10000</f>
        <v>17.3</v>
      </c>
      <c r="BB102" s="120">
        <f>SUMIFS(社保明细!$J:$J,社保明细!$D:$D,$E102,社保明细!$E:$E,$F102,社保明细!$H:$H,"&gt;="&amp;BB$9,社保明细!$H:$H,"&lt;="&amp;BB$10,社保明细!$A:$A,BB$6)/10000</f>
        <v>17.3</v>
      </c>
      <c r="BC102" s="120">
        <f>SUMIFS(社保明细!$J:$J,社保明细!$D:$D,$E102,社保明细!$E:$E,$F102,社保明细!$H:$H,"&gt;="&amp;BC$9,社保明细!$H:$H,"&lt;="&amp;BC$10,社保明细!$A:$A,BC$6)/10000</f>
        <v>17.3</v>
      </c>
      <c r="BD102" s="120">
        <f>SUMIFS(社保明细!$J:$J,社保明细!$D:$D,$E102,社保明细!$E:$E,$F102,社保明细!$H:$H,"&gt;="&amp;BD$9,社保明细!$H:$H,"&lt;="&amp;BD$10,社保明细!$A:$A,BD$6)/10000</f>
        <v>17.3</v>
      </c>
      <c r="BE102" s="120">
        <f>SUMIFS(社保明细!$J:$J,社保明细!$D:$D,$E102,社保明细!$E:$E,$F102,社保明细!$H:$H,"&gt;="&amp;BE$9,社保明细!$H:$H,"&lt;="&amp;BE$10,社保明细!$A:$A,BE$6)/10000</f>
        <v>17.4</v>
      </c>
      <c r="BF102" s="120">
        <f>SUMIFS(社保明细!$J:$J,社保明细!$D:$D,$E102,社保明细!$E:$E,$F102,社保明细!$H:$H,"&gt;="&amp;BF$9,社保明细!$H:$H,"&lt;="&amp;BF$10,社保明细!$A:$A,BF$6)/10000</f>
        <v>17.1</v>
      </c>
      <c r="BG102" s="120">
        <f>SUMIFS(社保明细!$J:$J,社保明细!$D:$D,$E102,社保明细!$E:$E,$F102,社保明细!$H:$H,"&gt;="&amp;BG$9,社保明细!$H:$H,"&lt;="&amp;BG$10,社保明细!$A:$A,BG$6)/10000</f>
        <v>17.2</v>
      </c>
    </row>
    <row r="103" ht="16.2" spans="3:59">
      <c r="C103" s="42" t="s">
        <v>79</v>
      </c>
      <c r="D103" s="42"/>
      <c r="E103" s="116" t="str">
        <f>IF(C103&lt;&gt;"",C103,E100)</f>
        <v>流程中心</v>
      </c>
      <c r="F103" s="116" t="str">
        <f>IF(D103&lt;&gt;"",D103,"*")</f>
        <v>*</v>
      </c>
      <c r="G103" s="121">
        <f>SUMIFS(社保明细!$J:$J,社保明细!$D:$D,$E103,社保明细!$E:$E,$F103,社保明细!$H:$H,"&gt;="&amp;G$9,社保明细!$H:$H,"&lt;="&amp;G$10,社保明细!$A:$A,G$6)/10000</f>
        <v>76.5</v>
      </c>
      <c r="H103" s="121">
        <f>SUMIFS(社保明细!$J:$J,社保明细!$D:$D,$E103,社保明细!$E:$E,$F103,社保明细!$H:$H,"&gt;="&amp;H$9,社保明细!$H:$H,"&lt;="&amp;H$10,社保明细!$A:$A,H$6)/10000</f>
        <v>6.4</v>
      </c>
      <c r="I103" s="121">
        <f>SUMIFS(社保明细!$J:$J,社保明细!$D:$D,$E103,社保明细!$E:$E,$F103,社保明细!$H:$H,"&gt;="&amp;I$9,社保明细!$H:$H,"&lt;="&amp;I$10,社保明细!$A:$A,I$6)/10000</f>
        <v>6.4</v>
      </c>
      <c r="J103" s="121">
        <f>SUMIFS(社保明细!$J:$J,社保明细!$D:$D,$E103,社保明细!$E:$E,$F103,社保明细!$H:$H,"&gt;="&amp;J$9,社保明细!$H:$H,"&lt;="&amp;J$10,社保明细!$A:$A,J$6)/10000</f>
        <v>6.4</v>
      </c>
      <c r="K103" s="121">
        <f>SUMIFS(社保明细!$J:$J,社保明细!$D:$D,$E103,社保明细!$E:$E,$F103,社保明细!$H:$H,"&gt;="&amp;K$9,社保明细!$H:$H,"&lt;="&amp;K$10,社保明细!$A:$A,K$6)/10000</f>
        <v>6.3</v>
      </c>
      <c r="L103" s="121">
        <f>SUMIFS(社保明细!$J:$J,社保明细!$D:$D,$E103,社保明细!$E:$E,$F103,社保明细!$H:$H,"&gt;="&amp;L$9,社保明细!$H:$H,"&lt;="&amp;L$10,社保明细!$A:$A,L$6)/10000</f>
        <v>6.4</v>
      </c>
      <c r="M103" s="121">
        <f>SUMIFS(社保明细!$J:$J,社保明细!$D:$D,$E103,社保明细!$E:$E,$F103,社保明细!$H:$H,"&gt;="&amp;M$9,社保明细!$H:$H,"&lt;="&amp;M$10,社保明细!$A:$A,M$6)/10000</f>
        <v>6.3</v>
      </c>
      <c r="N103" s="121">
        <f>SUMIFS(社保明细!$J:$J,社保明细!$D:$D,$E103,社保明细!$E:$E,$F103,社保明细!$H:$H,"&gt;="&amp;N$9,社保明细!$H:$H,"&lt;="&amp;N$10,社保明细!$A:$A,N$6)/10000</f>
        <v>6.4</v>
      </c>
      <c r="O103" s="121">
        <f>SUMIFS(社保明细!$J:$J,社保明细!$D:$D,$E103,社保明细!$E:$E,$F103,社保明细!$H:$H,"&gt;="&amp;O$9,社保明细!$H:$H,"&lt;="&amp;O$10,社保明细!$A:$A,O$6)/10000</f>
        <v>6.4</v>
      </c>
      <c r="P103" s="121">
        <f>SUMIFS(社保明细!$J:$J,社保明细!$D:$D,$E103,社保明细!$E:$E,$F103,社保明细!$H:$H,"&gt;="&amp;P$9,社保明细!$H:$H,"&lt;="&amp;P$10,社保明细!$A:$A,P$6)/10000</f>
        <v>6.4</v>
      </c>
      <c r="Q103" s="121">
        <f>SUMIFS(社保明细!$J:$J,社保明细!$D:$D,$E103,社保明细!$E:$E,$F103,社保明细!$H:$H,"&gt;="&amp;Q$9,社保明细!$H:$H,"&lt;="&amp;Q$10,社保明细!$A:$A,Q$6)/10000</f>
        <v>6.4</v>
      </c>
      <c r="R103" s="121">
        <f>SUMIFS(社保明细!$J:$J,社保明细!$D:$D,$E103,社保明细!$E:$E,$F103,社保明细!$H:$H,"&gt;="&amp;R$9,社保明细!$H:$H,"&lt;="&amp;R$10,社保明细!$A:$A,R$6)/10000</f>
        <v>6.4</v>
      </c>
      <c r="S103" s="121">
        <f>SUMIFS(社保明细!$J:$J,社保明细!$D:$D,$E103,社保明细!$E:$E,$F103,社保明细!$H:$H,"&gt;="&amp;S$9,社保明细!$H:$H,"&lt;="&amp;S$10,社保明细!$A:$A,S$6)/10000</f>
        <v>6.4</v>
      </c>
      <c r="T103" s="125">
        <f>U103+AH103</f>
        <v>76.1</v>
      </c>
      <c r="U103" s="121">
        <f>SUMIFS(社保明细!$J:$J,社保明细!$D:$D,$E103,社保明细!$E:$E,$F103,社保明细!$H:$H,"&gt;="&amp;U$9,社保明细!$H:$H,"&lt;="&amp;U$10,社保明细!$A:$A,U$6)/10000</f>
        <v>57.1</v>
      </c>
      <c r="V103" s="121">
        <f>SUMIFS(社保明细!$J:$J,社保明细!$D:$D,$E103,社保明细!$E:$E,$F103,社保明细!$H:$H,"&gt;="&amp;V$9,社保明细!$H:$H,"&lt;="&amp;V$10,社保明细!$A:$A,V$6)/10000</f>
        <v>6.4</v>
      </c>
      <c r="W103" s="121">
        <f>SUMIFS(社保明细!$J:$J,社保明细!$D:$D,$E103,社保明细!$E:$E,$F103,社保明细!$H:$H,"&gt;="&amp;W$9,社保明细!$H:$H,"&lt;="&amp;W$10,社保明细!$A:$A,W$6)/10000</f>
        <v>6.3</v>
      </c>
      <c r="X103" s="121">
        <f>SUMIFS(社保明细!$J:$J,社保明细!$D:$D,$E103,社保明细!$E:$E,$F103,社保明细!$H:$H,"&gt;="&amp;X$9,社保明细!$H:$H,"&lt;="&amp;X$10,社保明细!$A:$A,X$6)/10000</f>
        <v>6.3</v>
      </c>
      <c r="Y103" s="121">
        <f>SUMIFS(社保明细!$J:$J,社保明细!$D:$D,$E103,社保明细!$E:$E,$F103,社保明细!$H:$H,"&gt;="&amp;Y$9,社保明细!$H:$H,"&lt;="&amp;Y$10,社保明细!$A:$A,Y$6)/10000</f>
        <v>6.4</v>
      </c>
      <c r="Z103" s="121">
        <f>SUMIFS(社保明细!$J:$J,社保明细!$D:$D,$E103,社保明细!$E:$E,$F103,社保明细!$H:$H,"&gt;="&amp;Z$9,社保明细!$H:$H,"&lt;="&amp;Z$10,社保明细!$A:$A,Z$6)/10000</f>
        <v>6.3</v>
      </c>
      <c r="AA103" s="121">
        <f>SUMIFS(社保明细!$J:$J,社保明细!$D:$D,$E103,社保明细!$E:$E,$F103,社保明细!$H:$H,"&gt;="&amp;AA$9,社保明细!$H:$H,"&lt;="&amp;AA$10,社保明细!$A:$A,AA$6)/10000</f>
        <v>6.3</v>
      </c>
      <c r="AB103" s="121">
        <f>SUMIFS(社保明细!$J:$J,社保明细!$D:$D,$E103,社保明细!$E:$E,$F103,社保明细!$H:$H,"&gt;="&amp;AB$9,社保明细!$H:$H,"&lt;="&amp;AB$10,社保明细!$A:$A,AB$6)/10000</f>
        <v>6.3</v>
      </c>
      <c r="AC103" s="121">
        <f>SUMIFS(社保明细!$J:$J,社保明细!$D:$D,$E103,社保明细!$E:$E,$F103,社保明细!$H:$H,"&gt;="&amp;AC$9,社保明细!$H:$H,"&lt;="&amp;AC$10,社保明细!$A:$A,AC$6)/10000</f>
        <v>6.4</v>
      </c>
      <c r="AD103" s="121">
        <f>SUMIFS(社保明细!$J:$J,社保明细!$D:$D,$E103,社保明细!$E:$E,$F103,社保明细!$H:$H,"&gt;="&amp;AD$9,社保明细!$H:$H,"&lt;="&amp;AD$10,社保明细!$A:$A,AD$6)/10000</f>
        <v>6.4</v>
      </c>
      <c r="AE103" s="121">
        <f>SUMIFS(社保明细!$J:$J,社保明细!$D:$D,$E103,社保明细!$E:$E,$F103,社保明细!$H:$H,"&gt;="&amp;AE$9,社保明细!$H:$H,"&lt;="&amp;AE$10,社保明细!$A:$A,AE$6)/10000</f>
        <v>0</v>
      </c>
      <c r="AF103" s="121">
        <f>SUMIFS(社保明细!$J:$J,社保明细!$D:$D,$E103,社保明细!$E:$E,$F103,社保明细!$H:$H,"&gt;="&amp;AF$9,社保明细!$H:$H,"&lt;="&amp;AF$10,社保明细!$A:$A,AF$6)/10000</f>
        <v>0</v>
      </c>
      <c r="AG103" s="121">
        <f>SUMIFS(社保明细!$J:$J,社保明细!$D:$D,$E103,社保明细!$E:$E,$F103,社保明细!$H:$H,"&gt;="&amp;AG$9,社保明细!$H:$H,"&lt;="&amp;AG$10,社保明细!$A:$A,AG$6)/10000</f>
        <v>0</v>
      </c>
      <c r="AH103" s="121">
        <f>SUMIFS(社保明细!$J:$J,社保明细!$D:$D,$E103,社保明细!$E:$E,$F103,社保明细!$H:$H,"&gt;="&amp;AH$9,社保明细!$H:$H,"&lt;="&amp;AH$10,社保明细!$A:$A,AH$6)/10000</f>
        <v>19</v>
      </c>
      <c r="AI103" s="121">
        <f>SUMIFS(社保明细!$J:$J,社保明细!$D:$D,$E103,社保明细!$E:$E,$F103,社保明细!$H:$H,"&gt;="&amp;AI$9,社保明细!$H:$H,"&lt;="&amp;AI$10,社保明细!$A:$A,AI$6)/10000</f>
        <v>0</v>
      </c>
      <c r="AJ103" s="121">
        <f>SUMIFS(社保明细!$J:$J,社保明细!$D:$D,$E103,社保明细!$E:$E,$F103,社保明细!$H:$H,"&gt;="&amp;AJ$9,社保明细!$H:$H,"&lt;="&amp;AJ$10,社保明细!$A:$A,AJ$6)/10000</f>
        <v>0</v>
      </c>
      <c r="AK103" s="121">
        <f>SUMIFS(社保明细!$J:$J,社保明细!$D:$D,$E103,社保明细!$E:$E,$F103,社保明细!$H:$H,"&gt;="&amp;AK$9,社保明细!$H:$H,"&lt;="&amp;AK$10,社保明细!$A:$A,AK$6)/10000</f>
        <v>0</v>
      </c>
      <c r="AL103" s="121">
        <f>SUMIFS(社保明细!$J:$J,社保明细!$D:$D,$E103,社保明细!$E:$E,$F103,社保明细!$H:$H,"&gt;="&amp;AL$9,社保明细!$H:$H,"&lt;="&amp;AL$10,社保明细!$A:$A,AL$6)/10000</f>
        <v>0</v>
      </c>
      <c r="AM103" s="121">
        <f>SUMIFS(社保明细!$J:$J,社保明细!$D:$D,$E103,社保明细!$E:$E,$F103,社保明细!$H:$H,"&gt;="&amp;AM$9,社保明细!$H:$H,"&lt;="&amp;AM$10,社保明细!$A:$A,AM$6)/10000</f>
        <v>0</v>
      </c>
      <c r="AN103" s="121">
        <f>SUMIFS(社保明细!$J:$J,社保明细!$D:$D,$E103,社保明细!$E:$E,$F103,社保明细!$H:$H,"&gt;="&amp;AN$9,社保明细!$H:$H,"&lt;="&amp;AN$10,社保明细!$A:$A,AN$6)/10000</f>
        <v>0</v>
      </c>
      <c r="AO103" s="121">
        <f>SUMIFS(社保明细!$J:$J,社保明细!$D:$D,$E103,社保明细!$E:$E,$F103,社保明细!$H:$H,"&gt;="&amp;AO$9,社保明细!$H:$H,"&lt;="&amp;AO$10,社保明细!$A:$A,AO$6)/10000</f>
        <v>0</v>
      </c>
      <c r="AP103" s="121">
        <f>SUMIFS(社保明细!$J:$J,社保明细!$D:$D,$E103,社保明细!$E:$E,$F103,社保明细!$H:$H,"&gt;="&amp;AP$9,社保明细!$H:$H,"&lt;="&amp;AP$10,社保明细!$A:$A,AP$6)/10000</f>
        <v>0</v>
      </c>
      <c r="AQ103" s="121">
        <f>SUMIFS(社保明细!$J:$J,社保明细!$D:$D,$E103,社保明细!$E:$E,$F103,社保明细!$H:$H,"&gt;="&amp;AQ$9,社保明细!$H:$H,"&lt;="&amp;AQ$10,社保明细!$A:$A,AQ$6)/10000</f>
        <v>0</v>
      </c>
      <c r="AR103" s="121">
        <f>SUMIFS(社保明细!$J:$J,社保明细!$D:$D,$E103,社保明细!$E:$E,$F103,社保明细!$H:$H,"&gt;="&amp;AR$9,社保明细!$H:$H,"&lt;="&amp;AR$10,社保明细!$A:$A,AR$6)/10000</f>
        <v>6.4</v>
      </c>
      <c r="AS103" s="121">
        <f>SUMIFS(社保明细!$J:$J,社保明细!$D:$D,$E103,社保明细!$E:$E,$F103,社保明细!$H:$H,"&gt;="&amp;AS$9,社保明细!$H:$H,"&lt;="&amp;AS$10,社保明细!$A:$A,AS$6)/10000</f>
        <v>6.4</v>
      </c>
      <c r="AT103" s="121">
        <f>SUMIFS(社保明细!$J:$J,社保明细!$D:$D,$E103,社保明细!$E:$E,$F103,社保明细!$H:$H,"&gt;="&amp;AT$9,社保明细!$H:$H,"&lt;="&amp;AT$10,社保明细!$A:$A,AT$6)/10000</f>
        <v>6.3</v>
      </c>
      <c r="AU103" s="121">
        <f>SUMIFS(社保明细!$J:$J,社保明细!$D:$D,$E103,社保明细!$E:$E,$F103,社保明细!$H:$H,"&gt;="&amp;AU$9,社保明细!$H:$H,"&lt;="&amp;AU$10,社保明细!$A:$A,AU$6)/10000</f>
        <v>76.4</v>
      </c>
      <c r="AV103" s="121">
        <f>SUMIFS(社保明细!$J:$J,社保明细!$D:$D,$E103,社保明细!$E:$E,$F103,社保明细!$H:$H,"&gt;="&amp;AV$9,社保明细!$H:$H,"&lt;="&amp;AV$10,社保明细!$A:$A,AV$6)/10000</f>
        <v>6.3</v>
      </c>
      <c r="AW103" s="121">
        <f>SUMIFS(社保明细!$J:$J,社保明细!$D:$D,$E103,社保明细!$E:$E,$F103,社保明细!$H:$H,"&gt;="&amp;AW$9,社保明细!$H:$H,"&lt;="&amp;AW$10,社保明细!$A:$A,AW$6)/10000</f>
        <v>6.4</v>
      </c>
      <c r="AX103" s="121">
        <f>SUMIFS(社保明细!$J:$J,社保明细!$D:$D,$E103,社保明细!$E:$E,$F103,社保明细!$H:$H,"&gt;="&amp;AX$9,社保明细!$H:$H,"&lt;="&amp;AX$10,社保明细!$A:$A,AX$6)/10000</f>
        <v>6.4</v>
      </c>
      <c r="AY103" s="121">
        <f>SUMIFS(社保明细!$J:$J,社保明细!$D:$D,$E103,社保明细!$E:$E,$F103,社保明细!$H:$H,"&gt;="&amp;AY$9,社保明细!$H:$H,"&lt;="&amp;AY$10,社保明细!$A:$A,AY$6)/10000</f>
        <v>6.4</v>
      </c>
      <c r="AZ103" s="121">
        <f>SUMIFS(社保明细!$J:$J,社保明细!$D:$D,$E103,社保明细!$E:$E,$F103,社保明细!$H:$H,"&gt;="&amp;AZ$9,社保明细!$H:$H,"&lt;="&amp;AZ$10,社保明细!$A:$A,AZ$6)/10000</f>
        <v>6.4</v>
      </c>
      <c r="BA103" s="121">
        <f>SUMIFS(社保明细!$J:$J,社保明细!$D:$D,$E103,社保明细!$E:$E,$F103,社保明细!$H:$H,"&gt;="&amp;BA$9,社保明细!$H:$H,"&lt;="&amp;BA$10,社保明细!$A:$A,BA$6)/10000</f>
        <v>6.4</v>
      </c>
      <c r="BB103" s="121">
        <f>SUMIFS(社保明细!$J:$J,社保明细!$D:$D,$E103,社保明细!$E:$E,$F103,社保明细!$H:$H,"&gt;="&amp;BB$9,社保明细!$H:$H,"&lt;="&amp;BB$10,社保明细!$A:$A,BB$6)/10000</f>
        <v>6.4</v>
      </c>
      <c r="BC103" s="121">
        <f>SUMIFS(社保明细!$J:$J,社保明细!$D:$D,$E103,社保明细!$E:$E,$F103,社保明细!$H:$H,"&gt;="&amp;BC$9,社保明细!$H:$H,"&lt;="&amp;BC$10,社保明细!$A:$A,BC$6)/10000</f>
        <v>6.4</v>
      </c>
      <c r="BD103" s="121">
        <f>SUMIFS(社保明细!$J:$J,社保明细!$D:$D,$E103,社保明细!$E:$E,$F103,社保明细!$H:$H,"&gt;="&amp;BD$9,社保明细!$H:$H,"&lt;="&amp;BD$10,社保明细!$A:$A,BD$6)/10000</f>
        <v>6.3</v>
      </c>
      <c r="BE103" s="121">
        <f>SUMIFS(社保明细!$J:$J,社保明细!$D:$D,$E103,社保明细!$E:$E,$F103,社保明细!$H:$H,"&gt;="&amp;BE$9,社保明细!$H:$H,"&lt;="&amp;BE$10,社保明细!$A:$A,BE$6)/10000</f>
        <v>6.4</v>
      </c>
      <c r="BF103" s="121">
        <f>SUMIFS(社保明细!$J:$J,社保明细!$D:$D,$E103,社保明细!$E:$E,$F103,社保明细!$H:$H,"&gt;="&amp;BF$9,社保明细!$H:$H,"&lt;="&amp;BF$10,社保明细!$A:$A,BF$6)/10000</f>
        <v>6.3</v>
      </c>
      <c r="BG103" s="121">
        <f>SUMIFS(社保明细!$J:$J,社保明细!$D:$D,$E103,社保明细!$E:$E,$F103,社保明细!$H:$H,"&gt;="&amp;BG$9,社保明细!$H:$H,"&lt;="&amp;BG$10,社保明细!$A:$A,BG$6)/10000</f>
        <v>6.3</v>
      </c>
    </row>
    <row r="104" ht="16.2" spans="3:59">
      <c r="C104" s="42"/>
      <c r="D104" s="42" t="s">
        <v>80</v>
      </c>
      <c r="E104" s="116" t="str">
        <f t="shared" ref="E104:E114" si="96">IF(C104&lt;&gt;"",C104,E103)</f>
        <v>流程中心</v>
      </c>
      <c r="F104" s="116" t="str">
        <f t="shared" ref="F104:F114" si="97">IF(D104&lt;&gt;"",D104,"*")</f>
        <v>销售中心</v>
      </c>
      <c r="G104" s="121">
        <f>SUMIFS(社保明细!$J:$J,社保明细!$D:$D,$E104,社保明细!$E:$E,$F104,社保明细!$H:$H,"&gt;="&amp;G$9,社保明细!$H:$H,"&lt;="&amp;G$10,社保明细!$A:$A,G$6)/10000</f>
        <v>44.3</v>
      </c>
      <c r="H104" s="121">
        <f>SUMIFS(社保明细!$J:$J,社保明细!$D:$D,$E104,社保明细!$E:$E,$F104,社保明细!$H:$H,"&gt;="&amp;H$9,社保明细!$H:$H,"&lt;="&amp;H$10,社保明细!$A:$A,H$6)/10000</f>
        <v>3.7</v>
      </c>
      <c r="I104" s="121">
        <f>SUMIFS(社保明细!$J:$J,社保明细!$D:$D,$E104,社保明细!$E:$E,$F104,社保明细!$H:$H,"&gt;="&amp;I$9,社保明细!$H:$H,"&lt;="&amp;I$10,社保明细!$A:$A,I$6)/10000</f>
        <v>3.7</v>
      </c>
      <c r="J104" s="121">
        <f>SUMIFS(社保明细!$J:$J,社保明细!$D:$D,$E104,社保明细!$E:$E,$F104,社保明细!$H:$H,"&gt;="&amp;J$9,社保明细!$H:$H,"&lt;="&amp;J$10,社保明细!$A:$A,J$6)/10000</f>
        <v>3.7</v>
      </c>
      <c r="K104" s="121">
        <f>SUMIFS(社保明细!$J:$J,社保明细!$D:$D,$E104,社保明细!$E:$E,$F104,社保明细!$H:$H,"&gt;="&amp;K$9,社保明细!$H:$H,"&lt;="&amp;K$10,社保明细!$A:$A,K$6)/10000</f>
        <v>3.7</v>
      </c>
      <c r="L104" s="121">
        <f>SUMIFS(社保明细!$J:$J,社保明细!$D:$D,$E104,社保明细!$E:$E,$F104,社保明细!$H:$H,"&gt;="&amp;L$9,社保明细!$H:$H,"&lt;="&amp;L$10,社保明细!$A:$A,L$6)/10000</f>
        <v>3.7</v>
      </c>
      <c r="M104" s="121">
        <f>SUMIFS(社保明细!$J:$J,社保明细!$D:$D,$E104,社保明细!$E:$E,$F104,社保明细!$H:$H,"&gt;="&amp;M$9,社保明细!$H:$H,"&lt;="&amp;M$10,社保明细!$A:$A,M$6)/10000</f>
        <v>3.7</v>
      </c>
      <c r="N104" s="121">
        <f>SUMIFS(社保明细!$J:$J,社保明细!$D:$D,$E104,社保明细!$E:$E,$F104,社保明细!$H:$H,"&gt;="&amp;N$9,社保明细!$H:$H,"&lt;="&amp;N$10,社保明细!$A:$A,N$6)/10000</f>
        <v>3.7</v>
      </c>
      <c r="O104" s="121">
        <f>SUMIFS(社保明细!$J:$J,社保明细!$D:$D,$E104,社保明细!$E:$E,$F104,社保明细!$H:$H,"&gt;="&amp;O$9,社保明细!$H:$H,"&lt;="&amp;O$10,社保明细!$A:$A,O$6)/10000</f>
        <v>3.7</v>
      </c>
      <c r="P104" s="121">
        <f>SUMIFS(社保明细!$J:$J,社保明细!$D:$D,$E104,社保明细!$E:$E,$F104,社保明细!$H:$H,"&gt;="&amp;P$9,社保明细!$H:$H,"&lt;="&amp;P$10,社保明细!$A:$A,P$6)/10000</f>
        <v>3.7</v>
      </c>
      <c r="Q104" s="121">
        <f>SUMIFS(社保明细!$J:$J,社保明细!$D:$D,$E104,社保明细!$E:$E,$F104,社保明细!$H:$H,"&gt;="&amp;Q$9,社保明细!$H:$H,"&lt;="&amp;Q$10,社保明细!$A:$A,Q$6)/10000</f>
        <v>3.7</v>
      </c>
      <c r="R104" s="121">
        <f>SUMIFS(社保明细!$J:$J,社保明细!$D:$D,$E104,社保明细!$E:$E,$F104,社保明细!$H:$H,"&gt;="&amp;R$9,社保明细!$H:$H,"&lt;="&amp;R$10,社保明细!$A:$A,R$6)/10000</f>
        <v>3.7</v>
      </c>
      <c r="S104" s="121">
        <f>SUMIFS(社保明细!$J:$J,社保明细!$D:$D,$E104,社保明细!$E:$E,$F104,社保明细!$H:$H,"&gt;="&amp;S$9,社保明细!$H:$H,"&lt;="&amp;S$10,社保明细!$A:$A,S$6)/10000</f>
        <v>3.7</v>
      </c>
      <c r="T104" s="125">
        <f t="shared" ref="T104:T114" si="98">U104+AH104</f>
        <v>44.2</v>
      </c>
      <c r="U104" s="121">
        <f>SUMIFS(社保明细!$J:$J,社保明细!$D:$D,$E104,社保明细!$E:$E,$F104,社保明细!$H:$H,"&gt;="&amp;U$9,社保明细!$H:$H,"&lt;="&amp;U$10,社保明细!$A:$A,U$6)/10000</f>
        <v>33.1</v>
      </c>
      <c r="V104" s="121">
        <f>SUMIFS(社保明细!$J:$J,社保明细!$D:$D,$E104,社保明细!$E:$E,$F104,社保明细!$H:$H,"&gt;="&amp;V$9,社保明细!$H:$H,"&lt;="&amp;V$10,社保明细!$A:$A,V$6)/10000</f>
        <v>3.7</v>
      </c>
      <c r="W104" s="121">
        <f>SUMIFS(社保明细!$J:$J,社保明细!$D:$D,$E104,社保明细!$E:$E,$F104,社保明细!$H:$H,"&gt;="&amp;W$9,社保明细!$H:$H,"&lt;="&amp;W$10,社保明细!$A:$A,W$6)/10000</f>
        <v>3.7</v>
      </c>
      <c r="X104" s="121">
        <f>SUMIFS(社保明细!$J:$J,社保明细!$D:$D,$E104,社保明细!$E:$E,$F104,社保明细!$H:$H,"&gt;="&amp;X$9,社保明细!$H:$H,"&lt;="&amp;X$10,社保明细!$A:$A,X$6)/10000</f>
        <v>3.6</v>
      </c>
      <c r="Y104" s="121">
        <f>SUMIFS(社保明细!$J:$J,社保明细!$D:$D,$E104,社保明细!$E:$E,$F104,社保明细!$H:$H,"&gt;="&amp;Y$9,社保明细!$H:$H,"&lt;="&amp;Y$10,社保明细!$A:$A,Y$6)/10000</f>
        <v>3.7</v>
      </c>
      <c r="Z104" s="121">
        <f>SUMIFS(社保明细!$J:$J,社保明细!$D:$D,$E104,社保明细!$E:$E,$F104,社保明细!$H:$H,"&gt;="&amp;Z$9,社保明细!$H:$H,"&lt;="&amp;Z$10,社保明细!$A:$A,Z$6)/10000</f>
        <v>3.7</v>
      </c>
      <c r="AA104" s="121">
        <f>SUMIFS(社保明细!$J:$J,社保明细!$D:$D,$E104,社保明细!$E:$E,$F104,社保明细!$H:$H,"&gt;="&amp;AA$9,社保明细!$H:$H,"&lt;="&amp;AA$10,社保明细!$A:$A,AA$6)/10000</f>
        <v>3.7</v>
      </c>
      <c r="AB104" s="121">
        <f>SUMIFS(社保明细!$J:$J,社保明细!$D:$D,$E104,社保明细!$E:$E,$F104,社保明细!$H:$H,"&gt;="&amp;AB$9,社保明细!$H:$H,"&lt;="&amp;AB$10,社保明细!$A:$A,AB$6)/10000</f>
        <v>3.6</v>
      </c>
      <c r="AC104" s="121">
        <f>SUMIFS(社保明细!$J:$J,社保明细!$D:$D,$E104,社保明细!$E:$E,$F104,社保明细!$H:$H,"&gt;="&amp;AC$9,社保明细!$H:$H,"&lt;="&amp;AC$10,社保明细!$A:$A,AC$6)/10000</f>
        <v>3.7</v>
      </c>
      <c r="AD104" s="121">
        <f>SUMIFS(社保明细!$J:$J,社保明细!$D:$D,$E104,社保明细!$E:$E,$F104,社保明细!$H:$H,"&gt;="&amp;AD$9,社保明细!$H:$H,"&lt;="&amp;AD$10,社保明细!$A:$A,AD$6)/10000</f>
        <v>3.7</v>
      </c>
      <c r="AE104" s="121">
        <f>SUMIFS(社保明细!$J:$J,社保明细!$D:$D,$E104,社保明细!$E:$E,$F104,社保明细!$H:$H,"&gt;="&amp;AE$9,社保明细!$H:$H,"&lt;="&amp;AE$10,社保明细!$A:$A,AE$6)/10000</f>
        <v>0</v>
      </c>
      <c r="AF104" s="121">
        <f>SUMIFS(社保明细!$J:$J,社保明细!$D:$D,$E104,社保明细!$E:$E,$F104,社保明细!$H:$H,"&gt;="&amp;AF$9,社保明细!$H:$H,"&lt;="&amp;AF$10,社保明细!$A:$A,AF$6)/10000</f>
        <v>0</v>
      </c>
      <c r="AG104" s="121">
        <f>SUMIFS(社保明细!$J:$J,社保明细!$D:$D,$E104,社保明细!$E:$E,$F104,社保明细!$H:$H,"&gt;="&amp;AG$9,社保明细!$H:$H,"&lt;="&amp;AG$10,社保明细!$A:$A,AG$6)/10000</f>
        <v>0</v>
      </c>
      <c r="AH104" s="121">
        <f>SUMIFS(社保明细!$J:$J,社保明细!$D:$D,$E104,社保明细!$E:$E,$F104,社保明细!$H:$H,"&gt;="&amp;AH$9,社保明细!$H:$H,"&lt;="&amp;AH$10,社保明细!$A:$A,AH$6)/10000</f>
        <v>11.1</v>
      </c>
      <c r="AI104" s="121">
        <f>SUMIFS(社保明细!$J:$J,社保明细!$D:$D,$E104,社保明细!$E:$E,$F104,社保明细!$H:$H,"&gt;="&amp;AI$9,社保明细!$H:$H,"&lt;="&amp;AI$10,社保明细!$A:$A,AI$6)/10000</f>
        <v>0</v>
      </c>
      <c r="AJ104" s="121">
        <f>SUMIFS(社保明细!$J:$J,社保明细!$D:$D,$E104,社保明细!$E:$E,$F104,社保明细!$H:$H,"&gt;="&amp;AJ$9,社保明细!$H:$H,"&lt;="&amp;AJ$10,社保明细!$A:$A,AJ$6)/10000</f>
        <v>0</v>
      </c>
      <c r="AK104" s="121">
        <f>SUMIFS(社保明细!$J:$J,社保明细!$D:$D,$E104,社保明细!$E:$E,$F104,社保明细!$H:$H,"&gt;="&amp;AK$9,社保明细!$H:$H,"&lt;="&amp;AK$10,社保明细!$A:$A,AK$6)/10000</f>
        <v>0</v>
      </c>
      <c r="AL104" s="121">
        <f>SUMIFS(社保明细!$J:$J,社保明细!$D:$D,$E104,社保明细!$E:$E,$F104,社保明细!$H:$H,"&gt;="&amp;AL$9,社保明细!$H:$H,"&lt;="&amp;AL$10,社保明细!$A:$A,AL$6)/10000</f>
        <v>0</v>
      </c>
      <c r="AM104" s="121">
        <f>SUMIFS(社保明细!$J:$J,社保明细!$D:$D,$E104,社保明细!$E:$E,$F104,社保明细!$H:$H,"&gt;="&amp;AM$9,社保明细!$H:$H,"&lt;="&amp;AM$10,社保明细!$A:$A,AM$6)/10000</f>
        <v>0</v>
      </c>
      <c r="AN104" s="121">
        <f>SUMIFS(社保明细!$J:$J,社保明细!$D:$D,$E104,社保明细!$E:$E,$F104,社保明细!$H:$H,"&gt;="&amp;AN$9,社保明细!$H:$H,"&lt;="&amp;AN$10,社保明细!$A:$A,AN$6)/10000</f>
        <v>0</v>
      </c>
      <c r="AO104" s="121">
        <f>SUMIFS(社保明细!$J:$J,社保明细!$D:$D,$E104,社保明细!$E:$E,$F104,社保明细!$H:$H,"&gt;="&amp;AO$9,社保明细!$H:$H,"&lt;="&amp;AO$10,社保明细!$A:$A,AO$6)/10000</f>
        <v>0</v>
      </c>
      <c r="AP104" s="121">
        <f>SUMIFS(社保明细!$J:$J,社保明细!$D:$D,$E104,社保明细!$E:$E,$F104,社保明细!$H:$H,"&gt;="&amp;AP$9,社保明细!$H:$H,"&lt;="&amp;AP$10,社保明细!$A:$A,AP$6)/10000</f>
        <v>0</v>
      </c>
      <c r="AQ104" s="121">
        <f>SUMIFS(社保明细!$J:$J,社保明细!$D:$D,$E104,社保明细!$E:$E,$F104,社保明细!$H:$H,"&gt;="&amp;AQ$9,社保明细!$H:$H,"&lt;="&amp;AQ$10,社保明细!$A:$A,AQ$6)/10000</f>
        <v>0</v>
      </c>
      <c r="AR104" s="121">
        <f>SUMIFS(社保明细!$J:$J,社保明细!$D:$D,$E104,社保明细!$E:$E,$F104,社保明细!$H:$H,"&gt;="&amp;AR$9,社保明细!$H:$H,"&lt;="&amp;AR$10,社保明细!$A:$A,AR$6)/10000</f>
        <v>3.7</v>
      </c>
      <c r="AS104" s="121">
        <f>SUMIFS(社保明细!$J:$J,社保明细!$D:$D,$E104,社保明细!$E:$E,$F104,社保明细!$H:$H,"&gt;="&amp;AS$9,社保明细!$H:$H,"&lt;="&amp;AS$10,社保明细!$A:$A,AS$6)/10000</f>
        <v>3.7</v>
      </c>
      <c r="AT104" s="121">
        <f>SUMIFS(社保明细!$J:$J,社保明细!$D:$D,$E104,社保明细!$E:$E,$F104,社保明细!$H:$H,"&gt;="&amp;AT$9,社保明细!$H:$H,"&lt;="&amp;AT$10,社保明细!$A:$A,AT$6)/10000</f>
        <v>3.7</v>
      </c>
      <c r="AU104" s="121">
        <f>SUMIFS(社保明细!$J:$J,社保明细!$D:$D,$E104,社保明细!$E:$E,$F104,社保明细!$H:$H,"&gt;="&amp;AU$9,社保明细!$H:$H,"&lt;="&amp;AU$10,社保明细!$A:$A,AU$6)/10000</f>
        <v>44.2</v>
      </c>
      <c r="AV104" s="121">
        <f>SUMIFS(社保明细!$J:$J,社保明细!$D:$D,$E104,社保明细!$E:$E,$F104,社保明细!$H:$H,"&gt;="&amp;AV$9,社保明细!$H:$H,"&lt;="&amp;AV$10,社保明细!$A:$A,AV$6)/10000</f>
        <v>3.7</v>
      </c>
      <c r="AW104" s="121">
        <f>SUMIFS(社保明细!$J:$J,社保明细!$D:$D,$E104,社保明细!$E:$E,$F104,社保明细!$H:$H,"&gt;="&amp;AW$9,社保明细!$H:$H,"&lt;="&amp;AW$10,社保明细!$A:$A,AW$6)/10000</f>
        <v>3.7</v>
      </c>
      <c r="AX104" s="121">
        <f>SUMIFS(社保明细!$J:$J,社保明细!$D:$D,$E104,社保明细!$E:$E,$F104,社保明细!$H:$H,"&gt;="&amp;AX$9,社保明细!$H:$H,"&lt;="&amp;AX$10,社保明细!$A:$A,AX$6)/10000</f>
        <v>3.7</v>
      </c>
      <c r="AY104" s="121">
        <f>SUMIFS(社保明细!$J:$J,社保明细!$D:$D,$E104,社保明细!$E:$E,$F104,社保明细!$H:$H,"&gt;="&amp;AY$9,社保明细!$H:$H,"&lt;="&amp;AY$10,社保明细!$A:$A,AY$6)/10000</f>
        <v>3.7</v>
      </c>
      <c r="AZ104" s="121">
        <f>SUMIFS(社保明细!$J:$J,社保明细!$D:$D,$E104,社保明细!$E:$E,$F104,社保明细!$H:$H,"&gt;="&amp;AZ$9,社保明细!$H:$H,"&lt;="&amp;AZ$10,社保明细!$A:$A,AZ$6)/10000</f>
        <v>3.7</v>
      </c>
      <c r="BA104" s="121">
        <f>SUMIFS(社保明细!$J:$J,社保明细!$D:$D,$E104,社保明细!$E:$E,$F104,社保明细!$H:$H,"&gt;="&amp;BA$9,社保明细!$H:$H,"&lt;="&amp;BA$10,社保明细!$A:$A,BA$6)/10000</f>
        <v>3.7</v>
      </c>
      <c r="BB104" s="121">
        <f>SUMIFS(社保明细!$J:$J,社保明细!$D:$D,$E104,社保明细!$E:$E,$F104,社保明细!$H:$H,"&gt;="&amp;BB$9,社保明细!$H:$H,"&lt;="&amp;BB$10,社保明细!$A:$A,BB$6)/10000</f>
        <v>3.7</v>
      </c>
      <c r="BC104" s="121">
        <f>SUMIFS(社保明细!$J:$J,社保明细!$D:$D,$E104,社保明细!$E:$E,$F104,社保明细!$H:$H,"&gt;="&amp;BC$9,社保明细!$H:$H,"&lt;="&amp;BC$10,社保明细!$A:$A,BC$6)/10000</f>
        <v>3.7</v>
      </c>
      <c r="BD104" s="121">
        <f>SUMIFS(社保明细!$J:$J,社保明细!$D:$D,$E104,社保明细!$E:$E,$F104,社保明细!$H:$H,"&gt;="&amp;BD$9,社保明细!$H:$H,"&lt;="&amp;BD$10,社保明细!$A:$A,BD$6)/10000</f>
        <v>3.6</v>
      </c>
      <c r="BE104" s="121">
        <f>SUMIFS(社保明细!$J:$J,社保明细!$D:$D,$E104,社保明细!$E:$E,$F104,社保明细!$H:$H,"&gt;="&amp;BE$9,社保明细!$H:$H,"&lt;="&amp;BE$10,社保明细!$A:$A,BE$6)/10000</f>
        <v>3.7</v>
      </c>
      <c r="BF104" s="121">
        <f>SUMIFS(社保明细!$J:$J,社保明细!$D:$D,$E104,社保明细!$E:$E,$F104,社保明细!$H:$H,"&gt;="&amp;BF$9,社保明细!$H:$H,"&lt;="&amp;BF$10,社保明细!$A:$A,BF$6)/10000</f>
        <v>3.7</v>
      </c>
      <c r="BG104" s="121">
        <f>SUMIFS(社保明细!$J:$J,社保明细!$D:$D,$E104,社保明细!$E:$E,$F104,社保明细!$H:$H,"&gt;="&amp;BG$9,社保明细!$H:$H,"&lt;="&amp;BG$10,社保明细!$A:$A,BG$6)/10000</f>
        <v>3.6</v>
      </c>
    </row>
    <row r="105" ht="16.2" spans="3:59">
      <c r="C105" s="42"/>
      <c r="D105" s="42" t="s">
        <v>81</v>
      </c>
      <c r="E105" s="116" t="str">
        <f t="shared" si="96"/>
        <v>流程中心</v>
      </c>
      <c r="F105" s="116" t="str">
        <f t="shared" si="97"/>
        <v>制造中心</v>
      </c>
      <c r="G105" s="121">
        <f>SUMIFS(社保明细!$J:$J,社保明细!$D:$D,$E105,社保明细!$E:$E,$F105,社保明细!$H:$H,"&gt;="&amp;G$9,社保明细!$H:$H,"&lt;="&amp;G$10,社保明细!$A:$A,G$6)/10000</f>
        <v>32.1</v>
      </c>
      <c r="H105" s="121">
        <f>SUMIFS(社保明细!$J:$J,社保明细!$D:$D,$E105,社保明细!$E:$E,$F105,社保明细!$H:$H,"&gt;="&amp;H$9,社保明细!$H:$H,"&lt;="&amp;H$10,社保明细!$A:$A,H$6)/10000</f>
        <v>2.7</v>
      </c>
      <c r="I105" s="121">
        <f>SUMIFS(社保明细!$J:$J,社保明细!$D:$D,$E105,社保明细!$E:$E,$F105,社保明细!$H:$H,"&gt;="&amp;I$9,社保明细!$H:$H,"&lt;="&amp;I$10,社保明细!$A:$A,I$6)/10000</f>
        <v>2.7</v>
      </c>
      <c r="J105" s="121">
        <f>SUMIFS(社保明细!$J:$J,社保明细!$D:$D,$E105,社保明细!$E:$E,$F105,社保明细!$H:$H,"&gt;="&amp;J$9,社保明细!$H:$H,"&lt;="&amp;J$10,社保明细!$A:$A,J$6)/10000</f>
        <v>2.7</v>
      </c>
      <c r="K105" s="121">
        <f>SUMIFS(社保明细!$J:$J,社保明细!$D:$D,$E105,社保明细!$E:$E,$F105,社保明细!$H:$H,"&gt;="&amp;K$9,社保明细!$H:$H,"&lt;="&amp;K$10,社保明细!$A:$A,K$6)/10000</f>
        <v>2.7</v>
      </c>
      <c r="L105" s="121">
        <f>SUMIFS(社保明细!$J:$J,社保明细!$D:$D,$E105,社保明细!$E:$E,$F105,社保明细!$H:$H,"&gt;="&amp;L$9,社保明细!$H:$H,"&lt;="&amp;L$10,社保明细!$A:$A,L$6)/10000</f>
        <v>2.7</v>
      </c>
      <c r="M105" s="121">
        <f>SUMIFS(社保明细!$J:$J,社保明细!$D:$D,$E105,社保明细!$E:$E,$F105,社保明细!$H:$H,"&gt;="&amp;M$9,社保明细!$H:$H,"&lt;="&amp;M$10,社保明细!$A:$A,M$6)/10000</f>
        <v>2.7</v>
      </c>
      <c r="N105" s="121">
        <f>SUMIFS(社保明细!$J:$J,社保明细!$D:$D,$E105,社保明细!$E:$E,$F105,社保明细!$H:$H,"&gt;="&amp;N$9,社保明细!$H:$H,"&lt;="&amp;N$10,社保明细!$A:$A,N$6)/10000</f>
        <v>2.7</v>
      </c>
      <c r="O105" s="121">
        <f>SUMIFS(社保明细!$J:$J,社保明细!$D:$D,$E105,社保明细!$E:$E,$F105,社保明细!$H:$H,"&gt;="&amp;O$9,社保明细!$H:$H,"&lt;="&amp;O$10,社保明细!$A:$A,O$6)/10000</f>
        <v>2.7</v>
      </c>
      <c r="P105" s="121">
        <f>SUMIFS(社保明细!$J:$J,社保明细!$D:$D,$E105,社保明细!$E:$E,$F105,社保明细!$H:$H,"&gt;="&amp;P$9,社保明细!$H:$H,"&lt;="&amp;P$10,社保明细!$A:$A,P$6)/10000</f>
        <v>2.7</v>
      </c>
      <c r="Q105" s="121">
        <f>SUMIFS(社保明细!$J:$J,社保明细!$D:$D,$E105,社保明细!$E:$E,$F105,社保明细!$H:$H,"&gt;="&amp;Q$9,社保明细!$H:$H,"&lt;="&amp;Q$10,社保明细!$A:$A,Q$6)/10000</f>
        <v>2.7</v>
      </c>
      <c r="R105" s="121">
        <f>SUMIFS(社保明细!$J:$J,社保明细!$D:$D,$E105,社保明细!$E:$E,$F105,社保明细!$H:$H,"&gt;="&amp;R$9,社保明细!$H:$H,"&lt;="&amp;R$10,社保明细!$A:$A,R$6)/10000</f>
        <v>2.7</v>
      </c>
      <c r="S105" s="121">
        <f>SUMIFS(社保明细!$J:$J,社保明细!$D:$D,$E105,社保明细!$E:$E,$F105,社保明细!$H:$H,"&gt;="&amp;S$9,社保明细!$H:$H,"&lt;="&amp;S$10,社保明细!$A:$A,S$6)/10000</f>
        <v>2.7</v>
      </c>
      <c r="T105" s="125">
        <f t="shared" si="98"/>
        <v>32</v>
      </c>
      <c r="U105" s="121">
        <f>SUMIFS(社保明细!$J:$J,社保明细!$D:$D,$E105,社保明细!$E:$E,$F105,社保明细!$H:$H,"&gt;="&amp;U$9,社保明细!$H:$H,"&lt;="&amp;U$10,社保明细!$A:$A,U$6)/10000</f>
        <v>24.1</v>
      </c>
      <c r="V105" s="121">
        <f>SUMIFS(社保明细!$J:$J,社保明细!$D:$D,$E105,社保明细!$E:$E,$F105,社保明细!$H:$H,"&gt;="&amp;V$9,社保明细!$H:$H,"&lt;="&amp;V$10,社保明细!$A:$A,V$6)/10000</f>
        <v>2.7</v>
      </c>
      <c r="W105" s="121">
        <f>SUMIFS(社保明细!$J:$J,社保明细!$D:$D,$E105,社保明细!$E:$E,$F105,社保明细!$H:$H,"&gt;="&amp;W$9,社保明细!$H:$H,"&lt;="&amp;W$10,社保明细!$A:$A,W$6)/10000</f>
        <v>2.7</v>
      </c>
      <c r="X105" s="121">
        <f>SUMIFS(社保明细!$J:$J,社保明细!$D:$D,$E105,社保明细!$E:$E,$F105,社保明细!$H:$H,"&gt;="&amp;X$9,社保明细!$H:$H,"&lt;="&amp;X$10,社保明细!$A:$A,X$6)/10000</f>
        <v>2.7</v>
      </c>
      <c r="Y105" s="121">
        <f>SUMIFS(社保明细!$J:$J,社保明细!$D:$D,$E105,社保明细!$E:$E,$F105,社保明细!$H:$H,"&gt;="&amp;Y$9,社保明细!$H:$H,"&lt;="&amp;Y$10,社保明细!$A:$A,Y$6)/10000</f>
        <v>2.7</v>
      </c>
      <c r="Z105" s="121">
        <f>SUMIFS(社保明细!$J:$J,社保明细!$D:$D,$E105,社保明细!$E:$E,$F105,社保明细!$H:$H,"&gt;="&amp;Z$9,社保明细!$H:$H,"&lt;="&amp;Z$10,社保明细!$A:$A,Z$6)/10000</f>
        <v>2.6</v>
      </c>
      <c r="AA105" s="121">
        <f>SUMIFS(社保明细!$J:$J,社保明细!$D:$D,$E105,社保明细!$E:$E,$F105,社保明细!$H:$H,"&gt;="&amp;AA$9,社保明细!$H:$H,"&lt;="&amp;AA$10,社保明细!$A:$A,AA$6)/10000</f>
        <v>2.6</v>
      </c>
      <c r="AB105" s="121">
        <f>SUMIFS(社保明细!$J:$J,社保明细!$D:$D,$E105,社保明细!$E:$E,$F105,社保明细!$H:$H,"&gt;="&amp;AB$9,社保明细!$H:$H,"&lt;="&amp;AB$10,社保明细!$A:$A,AB$6)/10000</f>
        <v>2.7</v>
      </c>
      <c r="AC105" s="121">
        <f>SUMIFS(社保明细!$J:$J,社保明细!$D:$D,$E105,社保明细!$E:$E,$F105,社保明细!$H:$H,"&gt;="&amp;AC$9,社保明细!$H:$H,"&lt;="&amp;AC$10,社保明细!$A:$A,AC$6)/10000</f>
        <v>2.7</v>
      </c>
      <c r="AD105" s="121">
        <f>SUMIFS(社保明细!$J:$J,社保明细!$D:$D,$E105,社保明细!$E:$E,$F105,社保明细!$H:$H,"&gt;="&amp;AD$9,社保明细!$H:$H,"&lt;="&amp;AD$10,社保明细!$A:$A,AD$6)/10000</f>
        <v>2.7</v>
      </c>
      <c r="AE105" s="121">
        <f>SUMIFS(社保明细!$J:$J,社保明细!$D:$D,$E105,社保明细!$E:$E,$F105,社保明细!$H:$H,"&gt;="&amp;AE$9,社保明细!$H:$H,"&lt;="&amp;AE$10,社保明细!$A:$A,AE$6)/10000</f>
        <v>0</v>
      </c>
      <c r="AF105" s="121">
        <f>SUMIFS(社保明细!$J:$J,社保明细!$D:$D,$E105,社保明细!$E:$E,$F105,社保明细!$H:$H,"&gt;="&amp;AF$9,社保明细!$H:$H,"&lt;="&amp;AF$10,社保明细!$A:$A,AF$6)/10000</f>
        <v>0</v>
      </c>
      <c r="AG105" s="121">
        <f>SUMIFS(社保明细!$J:$J,社保明细!$D:$D,$E105,社保明细!$E:$E,$F105,社保明细!$H:$H,"&gt;="&amp;AG$9,社保明细!$H:$H,"&lt;="&amp;AG$10,社保明细!$A:$A,AG$6)/10000</f>
        <v>0</v>
      </c>
      <c r="AH105" s="121">
        <f>SUMIFS(社保明细!$J:$J,社保明细!$D:$D,$E105,社保明细!$E:$E,$F105,社保明细!$H:$H,"&gt;="&amp;AH$9,社保明细!$H:$H,"&lt;="&amp;AH$10,社保明细!$A:$A,AH$6)/10000</f>
        <v>7.9</v>
      </c>
      <c r="AI105" s="121">
        <f>SUMIFS(社保明细!$J:$J,社保明细!$D:$D,$E105,社保明细!$E:$E,$F105,社保明细!$H:$H,"&gt;="&amp;AI$9,社保明细!$H:$H,"&lt;="&amp;AI$10,社保明细!$A:$A,AI$6)/10000</f>
        <v>0</v>
      </c>
      <c r="AJ105" s="121">
        <f>SUMIFS(社保明细!$J:$J,社保明细!$D:$D,$E105,社保明细!$E:$E,$F105,社保明细!$H:$H,"&gt;="&amp;AJ$9,社保明细!$H:$H,"&lt;="&amp;AJ$10,社保明细!$A:$A,AJ$6)/10000</f>
        <v>0</v>
      </c>
      <c r="AK105" s="121">
        <f>SUMIFS(社保明细!$J:$J,社保明细!$D:$D,$E105,社保明细!$E:$E,$F105,社保明细!$H:$H,"&gt;="&amp;AK$9,社保明细!$H:$H,"&lt;="&amp;AK$10,社保明细!$A:$A,AK$6)/10000</f>
        <v>0</v>
      </c>
      <c r="AL105" s="121">
        <f>SUMIFS(社保明细!$J:$J,社保明细!$D:$D,$E105,社保明细!$E:$E,$F105,社保明细!$H:$H,"&gt;="&amp;AL$9,社保明细!$H:$H,"&lt;="&amp;AL$10,社保明细!$A:$A,AL$6)/10000</f>
        <v>0</v>
      </c>
      <c r="AM105" s="121">
        <f>SUMIFS(社保明细!$J:$J,社保明细!$D:$D,$E105,社保明细!$E:$E,$F105,社保明细!$H:$H,"&gt;="&amp;AM$9,社保明细!$H:$H,"&lt;="&amp;AM$10,社保明细!$A:$A,AM$6)/10000</f>
        <v>0</v>
      </c>
      <c r="AN105" s="121">
        <f>SUMIFS(社保明细!$J:$J,社保明细!$D:$D,$E105,社保明细!$E:$E,$F105,社保明细!$H:$H,"&gt;="&amp;AN$9,社保明细!$H:$H,"&lt;="&amp;AN$10,社保明细!$A:$A,AN$6)/10000</f>
        <v>0</v>
      </c>
      <c r="AO105" s="121">
        <f>SUMIFS(社保明细!$J:$J,社保明细!$D:$D,$E105,社保明细!$E:$E,$F105,社保明细!$H:$H,"&gt;="&amp;AO$9,社保明细!$H:$H,"&lt;="&amp;AO$10,社保明细!$A:$A,AO$6)/10000</f>
        <v>0</v>
      </c>
      <c r="AP105" s="121">
        <f>SUMIFS(社保明细!$J:$J,社保明细!$D:$D,$E105,社保明细!$E:$E,$F105,社保明细!$H:$H,"&gt;="&amp;AP$9,社保明细!$H:$H,"&lt;="&amp;AP$10,社保明细!$A:$A,AP$6)/10000</f>
        <v>0</v>
      </c>
      <c r="AQ105" s="121">
        <f>SUMIFS(社保明细!$J:$J,社保明细!$D:$D,$E105,社保明细!$E:$E,$F105,社保明细!$H:$H,"&gt;="&amp;AQ$9,社保明细!$H:$H,"&lt;="&amp;AQ$10,社保明细!$A:$A,AQ$6)/10000</f>
        <v>0</v>
      </c>
      <c r="AR105" s="121">
        <f>SUMIFS(社保明细!$J:$J,社保明细!$D:$D,$E105,社保明细!$E:$E,$F105,社保明细!$H:$H,"&gt;="&amp;AR$9,社保明细!$H:$H,"&lt;="&amp;AR$10,社保明细!$A:$A,AR$6)/10000</f>
        <v>2.7</v>
      </c>
      <c r="AS105" s="121">
        <f>SUMIFS(社保明细!$J:$J,社保明细!$D:$D,$E105,社保明细!$E:$E,$F105,社保明细!$H:$H,"&gt;="&amp;AS$9,社保明细!$H:$H,"&lt;="&amp;AS$10,社保明细!$A:$A,AS$6)/10000</f>
        <v>2.7</v>
      </c>
      <c r="AT105" s="121">
        <f>SUMIFS(社保明细!$J:$J,社保明细!$D:$D,$E105,社保明细!$E:$E,$F105,社保明细!$H:$H,"&gt;="&amp;AT$9,社保明细!$H:$H,"&lt;="&amp;AT$10,社保明细!$A:$A,AT$6)/10000</f>
        <v>2.6</v>
      </c>
      <c r="AU105" s="121">
        <f>SUMIFS(社保明细!$J:$J,社保明细!$D:$D,$E105,社保明细!$E:$E,$F105,社保明细!$H:$H,"&gt;="&amp;AU$9,社保明细!$H:$H,"&lt;="&amp;AU$10,社保明细!$A:$A,AU$6)/10000</f>
        <v>32.1</v>
      </c>
      <c r="AV105" s="121">
        <f>SUMIFS(社保明细!$J:$J,社保明细!$D:$D,$E105,社保明细!$E:$E,$F105,社保明细!$H:$H,"&gt;="&amp;AV$9,社保明细!$H:$H,"&lt;="&amp;AV$10,社保明细!$A:$A,AV$6)/10000</f>
        <v>2.7</v>
      </c>
      <c r="AW105" s="121">
        <f>SUMIFS(社保明细!$J:$J,社保明细!$D:$D,$E105,社保明细!$E:$E,$F105,社保明细!$H:$H,"&gt;="&amp;AW$9,社保明细!$H:$H,"&lt;="&amp;AW$10,社保明细!$A:$A,AW$6)/10000</f>
        <v>2.7</v>
      </c>
      <c r="AX105" s="121">
        <f>SUMIFS(社保明细!$J:$J,社保明细!$D:$D,$E105,社保明细!$E:$E,$F105,社保明细!$H:$H,"&gt;="&amp;AX$9,社保明细!$H:$H,"&lt;="&amp;AX$10,社保明细!$A:$A,AX$6)/10000</f>
        <v>2.7</v>
      </c>
      <c r="AY105" s="121">
        <f>SUMIFS(社保明细!$J:$J,社保明细!$D:$D,$E105,社保明细!$E:$E,$F105,社保明细!$H:$H,"&gt;="&amp;AY$9,社保明细!$H:$H,"&lt;="&amp;AY$10,社保明细!$A:$A,AY$6)/10000</f>
        <v>2.7</v>
      </c>
      <c r="AZ105" s="121">
        <f>SUMIFS(社保明细!$J:$J,社保明细!$D:$D,$E105,社保明细!$E:$E,$F105,社保明细!$H:$H,"&gt;="&amp;AZ$9,社保明细!$H:$H,"&lt;="&amp;AZ$10,社保明细!$A:$A,AZ$6)/10000</f>
        <v>2.7</v>
      </c>
      <c r="BA105" s="121">
        <f>SUMIFS(社保明细!$J:$J,社保明细!$D:$D,$E105,社保明细!$E:$E,$F105,社保明细!$H:$H,"&gt;="&amp;BA$9,社保明细!$H:$H,"&lt;="&amp;BA$10,社保明细!$A:$A,BA$6)/10000</f>
        <v>2.7</v>
      </c>
      <c r="BB105" s="121">
        <f>SUMIFS(社保明细!$J:$J,社保明细!$D:$D,$E105,社保明细!$E:$E,$F105,社保明细!$H:$H,"&gt;="&amp;BB$9,社保明细!$H:$H,"&lt;="&amp;BB$10,社保明细!$A:$A,BB$6)/10000</f>
        <v>2.7</v>
      </c>
      <c r="BC105" s="121">
        <f>SUMIFS(社保明细!$J:$J,社保明细!$D:$D,$E105,社保明细!$E:$E,$F105,社保明细!$H:$H,"&gt;="&amp;BC$9,社保明细!$H:$H,"&lt;="&amp;BC$10,社保明细!$A:$A,BC$6)/10000</f>
        <v>2.7</v>
      </c>
      <c r="BD105" s="121">
        <f>SUMIFS(社保明细!$J:$J,社保明细!$D:$D,$E105,社保明细!$E:$E,$F105,社保明细!$H:$H,"&gt;="&amp;BD$9,社保明细!$H:$H,"&lt;="&amp;BD$10,社保明细!$A:$A,BD$6)/10000</f>
        <v>2.7</v>
      </c>
      <c r="BE105" s="121">
        <f>SUMIFS(社保明细!$J:$J,社保明细!$D:$D,$E105,社保明细!$E:$E,$F105,社保明细!$H:$H,"&gt;="&amp;BE$9,社保明细!$H:$H,"&lt;="&amp;BE$10,社保明细!$A:$A,BE$6)/10000</f>
        <v>2.7</v>
      </c>
      <c r="BF105" s="121">
        <f>SUMIFS(社保明细!$J:$J,社保明细!$D:$D,$E105,社保明细!$E:$E,$F105,社保明细!$H:$H,"&gt;="&amp;BF$9,社保明细!$H:$H,"&lt;="&amp;BF$10,社保明细!$A:$A,BF$6)/10000</f>
        <v>2.6</v>
      </c>
      <c r="BG105" s="121">
        <f>SUMIFS(社保明细!$J:$J,社保明细!$D:$D,$E105,社保明细!$E:$E,$F105,社保明细!$H:$H,"&gt;="&amp;BG$9,社保明细!$H:$H,"&lt;="&amp;BG$10,社保明细!$A:$A,BG$6)/10000</f>
        <v>2.7</v>
      </c>
    </row>
    <row r="106" ht="16.2" spans="3:59">
      <c r="C106" s="42" t="s">
        <v>82</v>
      </c>
      <c r="D106" s="42"/>
      <c r="E106" s="116" t="str">
        <f t="shared" si="96"/>
        <v>创新中心</v>
      </c>
      <c r="F106" s="116" t="str">
        <f t="shared" si="97"/>
        <v>*</v>
      </c>
      <c r="G106" s="121">
        <f>SUMIFS(社保明细!$J:$J,社保明细!$D:$D,$E106,社保明细!$E:$E,$F106,社保明细!$H:$H,"&gt;="&amp;G$9,社保明细!$H:$H,"&lt;="&amp;G$10,社保明细!$A:$A,G$6)/10000</f>
        <v>70.2</v>
      </c>
      <c r="H106" s="121">
        <f>SUMIFS(社保明细!$J:$J,社保明细!$D:$D,$E106,社保明细!$E:$E,$F106,社保明细!$H:$H,"&gt;="&amp;H$9,社保明细!$H:$H,"&lt;="&amp;H$10,社保明细!$A:$A,H$6)/10000</f>
        <v>5.9</v>
      </c>
      <c r="I106" s="121">
        <f>SUMIFS(社保明细!$J:$J,社保明细!$D:$D,$E106,社保明细!$E:$E,$F106,社保明细!$H:$H,"&gt;="&amp;I$9,社保明细!$H:$H,"&lt;="&amp;I$10,社保明细!$A:$A,I$6)/10000</f>
        <v>5.9</v>
      </c>
      <c r="J106" s="121">
        <f>SUMIFS(社保明细!$J:$J,社保明细!$D:$D,$E106,社保明细!$E:$E,$F106,社保明细!$H:$H,"&gt;="&amp;J$9,社保明细!$H:$H,"&lt;="&amp;J$10,社保明细!$A:$A,J$6)/10000</f>
        <v>5.8</v>
      </c>
      <c r="K106" s="121">
        <f>SUMIFS(社保明细!$J:$J,社保明细!$D:$D,$E106,社保明细!$E:$E,$F106,社保明细!$H:$H,"&gt;="&amp;K$9,社保明细!$H:$H,"&lt;="&amp;K$10,社保明细!$A:$A,K$6)/10000</f>
        <v>5.8</v>
      </c>
      <c r="L106" s="121">
        <f>SUMIFS(社保明细!$J:$J,社保明细!$D:$D,$E106,社保明细!$E:$E,$F106,社保明细!$H:$H,"&gt;="&amp;L$9,社保明细!$H:$H,"&lt;="&amp;L$10,社保明细!$A:$A,L$6)/10000</f>
        <v>5.8</v>
      </c>
      <c r="M106" s="121">
        <f>SUMIFS(社保明细!$J:$J,社保明细!$D:$D,$E106,社保明细!$E:$E,$F106,社保明细!$H:$H,"&gt;="&amp;M$9,社保明细!$H:$H,"&lt;="&amp;M$10,社保明细!$A:$A,M$6)/10000</f>
        <v>5.9</v>
      </c>
      <c r="N106" s="121">
        <f>SUMIFS(社保明细!$J:$J,社保明细!$D:$D,$E106,社保明细!$E:$E,$F106,社保明细!$H:$H,"&gt;="&amp;N$9,社保明细!$H:$H,"&lt;="&amp;N$10,社保明细!$A:$A,N$6)/10000</f>
        <v>5.8</v>
      </c>
      <c r="O106" s="121">
        <f>SUMIFS(社保明细!$J:$J,社保明细!$D:$D,$E106,社保明细!$E:$E,$F106,社保明细!$H:$H,"&gt;="&amp;O$9,社保明细!$H:$H,"&lt;="&amp;O$10,社保明细!$A:$A,O$6)/10000</f>
        <v>5.9</v>
      </c>
      <c r="P106" s="121">
        <f>SUMIFS(社保明细!$J:$J,社保明细!$D:$D,$E106,社保明细!$E:$E,$F106,社保明细!$H:$H,"&gt;="&amp;P$9,社保明细!$H:$H,"&lt;="&amp;P$10,社保明细!$A:$A,P$6)/10000</f>
        <v>5.9</v>
      </c>
      <c r="Q106" s="121">
        <f>SUMIFS(社保明细!$J:$J,社保明细!$D:$D,$E106,社保明细!$E:$E,$F106,社保明细!$H:$H,"&gt;="&amp;Q$9,社保明细!$H:$H,"&lt;="&amp;Q$10,社保明细!$A:$A,Q$6)/10000</f>
        <v>5.8</v>
      </c>
      <c r="R106" s="121">
        <f>SUMIFS(社保明细!$J:$J,社保明细!$D:$D,$E106,社保明细!$E:$E,$F106,社保明细!$H:$H,"&gt;="&amp;R$9,社保明细!$H:$H,"&lt;="&amp;R$10,社保明细!$A:$A,R$6)/10000</f>
        <v>5.8</v>
      </c>
      <c r="S106" s="121">
        <f>SUMIFS(社保明细!$J:$J,社保明细!$D:$D,$E106,社保明细!$E:$E,$F106,社保明细!$H:$H,"&gt;="&amp;S$9,社保明细!$H:$H,"&lt;="&amp;S$10,社保明细!$A:$A,S$6)/10000</f>
        <v>5.8</v>
      </c>
      <c r="T106" s="125">
        <f t="shared" si="98"/>
        <v>70.3</v>
      </c>
      <c r="U106" s="121">
        <f>SUMIFS(社保明细!$J:$J,社保明细!$D:$D,$E106,社保明细!$E:$E,$F106,社保明细!$H:$H,"&gt;="&amp;U$9,社保明细!$H:$H,"&lt;="&amp;U$10,社保明细!$A:$A,U$6)/10000</f>
        <v>52.7</v>
      </c>
      <c r="V106" s="121">
        <f>SUMIFS(社保明细!$J:$J,社保明细!$D:$D,$E106,社保明细!$E:$E,$F106,社保明细!$H:$H,"&gt;="&amp;V$9,社保明细!$H:$H,"&lt;="&amp;V$10,社保明细!$A:$A,V$6)/10000</f>
        <v>5.8</v>
      </c>
      <c r="W106" s="121">
        <f>SUMIFS(社保明细!$J:$J,社保明细!$D:$D,$E106,社保明细!$E:$E,$F106,社保明细!$H:$H,"&gt;="&amp;W$9,社保明细!$H:$H,"&lt;="&amp;W$10,社保明细!$A:$A,W$6)/10000</f>
        <v>5.9</v>
      </c>
      <c r="X106" s="121">
        <f>SUMIFS(社保明细!$J:$J,社保明细!$D:$D,$E106,社保明细!$E:$E,$F106,社保明细!$H:$H,"&gt;="&amp;X$9,社保明细!$H:$H,"&lt;="&amp;X$10,社保明细!$A:$A,X$6)/10000</f>
        <v>5.9</v>
      </c>
      <c r="Y106" s="121">
        <f>SUMIFS(社保明细!$J:$J,社保明细!$D:$D,$E106,社保明细!$E:$E,$F106,社保明细!$H:$H,"&gt;="&amp;Y$9,社保明细!$H:$H,"&lt;="&amp;Y$10,社保明细!$A:$A,Y$6)/10000</f>
        <v>5.8</v>
      </c>
      <c r="Z106" s="121">
        <f>SUMIFS(社保明细!$J:$J,社保明细!$D:$D,$E106,社保明细!$E:$E,$F106,社保明细!$H:$H,"&gt;="&amp;Z$9,社保明细!$H:$H,"&lt;="&amp;Z$10,社保明细!$A:$A,Z$6)/10000</f>
        <v>5.8</v>
      </c>
      <c r="AA106" s="121">
        <f>SUMIFS(社保明细!$J:$J,社保明细!$D:$D,$E106,社保明细!$E:$E,$F106,社保明细!$H:$H,"&gt;="&amp;AA$9,社保明细!$H:$H,"&lt;="&amp;AA$10,社保明细!$A:$A,AA$6)/10000</f>
        <v>5.8</v>
      </c>
      <c r="AB106" s="121">
        <f>SUMIFS(社保明细!$J:$J,社保明细!$D:$D,$E106,社保明细!$E:$E,$F106,社保明细!$H:$H,"&gt;="&amp;AB$9,社保明细!$H:$H,"&lt;="&amp;AB$10,社保明细!$A:$A,AB$6)/10000</f>
        <v>5.8</v>
      </c>
      <c r="AC106" s="121">
        <f>SUMIFS(社保明细!$J:$J,社保明细!$D:$D,$E106,社保明细!$E:$E,$F106,社保明细!$H:$H,"&gt;="&amp;AC$9,社保明细!$H:$H,"&lt;="&amp;AC$10,社保明细!$A:$A,AC$6)/10000</f>
        <v>5.9</v>
      </c>
      <c r="AD106" s="121">
        <f>SUMIFS(社保明细!$J:$J,社保明细!$D:$D,$E106,社保明细!$E:$E,$F106,社保明细!$H:$H,"&gt;="&amp;AD$9,社保明细!$H:$H,"&lt;="&amp;AD$10,社保明细!$A:$A,AD$6)/10000</f>
        <v>5.9</v>
      </c>
      <c r="AE106" s="121">
        <f>SUMIFS(社保明细!$J:$J,社保明细!$D:$D,$E106,社保明细!$E:$E,$F106,社保明细!$H:$H,"&gt;="&amp;AE$9,社保明细!$H:$H,"&lt;="&amp;AE$10,社保明细!$A:$A,AE$6)/10000</f>
        <v>0</v>
      </c>
      <c r="AF106" s="121">
        <f>SUMIFS(社保明细!$J:$J,社保明细!$D:$D,$E106,社保明细!$E:$E,$F106,社保明细!$H:$H,"&gt;="&amp;AF$9,社保明细!$H:$H,"&lt;="&amp;AF$10,社保明细!$A:$A,AF$6)/10000</f>
        <v>0</v>
      </c>
      <c r="AG106" s="121">
        <f>SUMIFS(社保明细!$J:$J,社保明细!$D:$D,$E106,社保明细!$E:$E,$F106,社保明细!$H:$H,"&gt;="&amp;AG$9,社保明细!$H:$H,"&lt;="&amp;AG$10,社保明细!$A:$A,AG$6)/10000</f>
        <v>0</v>
      </c>
      <c r="AH106" s="121">
        <f>SUMIFS(社保明细!$J:$J,社保明细!$D:$D,$E106,社保明细!$E:$E,$F106,社保明细!$H:$H,"&gt;="&amp;AH$9,社保明细!$H:$H,"&lt;="&amp;AH$10,社保明细!$A:$A,AH$6)/10000</f>
        <v>17.6</v>
      </c>
      <c r="AI106" s="121">
        <f>SUMIFS(社保明细!$J:$J,社保明细!$D:$D,$E106,社保明细!$E:$E,$F106,社保明细!$H:$H,"&gt;="&amp;AI$9,社保明细!$H:$H,"&lt;="&amp;AI$10,社保明细!$A:$A,AI$6)/10000</f>
        <v>0</v>
      </c>
      <c r="AJ106" s="121">
        <f>SUMIFS(社保明细!$J:$J,社保明细!$D:$D,$E106,社保明细!$E:$E,$F106,社保明细!$H:$H,"&gt;="&amp;AJ$9,社保明细!$H:$H,"&lt;="&amp;AJ$10,社保明细!$A:$A,AJ$6)/10000</f>
        <v>0</v>
      </c>
      <c r="AK106" s="121">
        <f>SUMIFS(社保明细!$J:$J,社保明细!$D:$D,$E106,社保明细!$E:$E,$F106,社保明细!$H:$H,"&gt;="&amp;AK$9,社保明细!$H:$H,"&lt;="&amp;AK$10,社保明细!$A:$A,AK$6)/10000</f>
        <v>0</v>
      </c>
      <c r="AL106" s="121">
        <f>SUMIFS(社保明细!$J:$J,社保明细!$D:$D,$E106,社保明细!$E:$E,$F106,社保明细!$H:$H,"&gt;="&amp;AL$9,社保明细!$H:$H,"&lt;="&amp;AL$10,社保明细!$A:$A,AL$6)/10000</f>
        <v>0</v>
      </c>
      <c r="AM106" s="121">
        <f>SUMIFS(社保明细!$J:$J,社保明细!$D:$D,$E106,社保明细!$E:$E,$F106,社保明细!$H:$H,"&gt;="&amp;AM$9,社保明细!$H:$H,"&lt;="&amp;AM$10,社保明细!$A:$A,AM$6)/10000</f>
        <v>0</v>
      </c>
      <c r="AN106" s="121">
        <f>SUMIFS(社保明细!$J:$J,社保明细!$D:$D,$E106,社保明细!$E:$E,$F106,社保明细!$H:$H,"&gt;="&amp;AN$9,社保明细!$H:$H,"&lt;="&amp;AN$10,社保明细!$A:$A,AN$6)/10000</f>
        <v>0</v>
      </c>
      <c r="AO106" s="121">
        <f>SUMIFS(社保明细!$J:$J,社保明细!$D:$D,$E106,社保明细!$E:$E,$F106,社保明细!$H:$H,"&gt;="&amp;AO$9,社保明细!$H:$H,"&lt;="&amp;AO$10,社保明细!$A:$A,AO$6)/10000</f>
        <v>0</v>
      </c>
      <c r="AP106" s="121">
        <f>SUMIFS(社保明细!$J:$J,社保明细!$D:$D,$E106,社保明细!$E:$E,$F106,社保明细!$H:$H,"&gt;="&amp;AP$9,社保明细!$H:$H,"&lt;="&amp;AP$10,社保明细!$A:$A,AP$6)/10000</f>
        <v>0</v>
      </c>
      <c r="AQ106" s="121">
        <f>SUMIFS(社保明细!$J:$J,社保明细!$D:$D,$E106,社保明细!$E:$E,$F106,社保明细!$H:$H,"&gt;="&amp;AQ$9,社保明细!$H:$H,"&lt;="&amp;AQ$10,社保明细!$A:$A,AQ$6)/10000</f>
        <v>0</v>
      </c>
      <c r="AR106" s="121">
        <f>SUMIFS(社保明细!$J:$J,社保明细!$D:$D,$E106,社保明细!$E:$E,$F106,社保明细!$H:$H,"&gt;="&amp;AR$9,社保明细!$H:$H,"&lt;="&amp;AR$10,社保明细!$A:$A,AR$6)/10000</f>
        <v>5.9</v>
      </c>
      <c r="AS106" s="121">
        <f>SUMIFS(社保明细!$J:$J,社保明细!$D:$D,$E106,社保明细!$E:$E,$F106,社保明细!$H:$H,"&gt;="&amp;AS$9,社保明细!$H:$H,"&lt;="&amp;AS$10,社保明细!$A:$A,AS$6)/10000</f>
        <v>5.9</v>
      </c>
      <c r="AT106" s="121">
        <f>SUMIFS(社保明细!$J:$J,社保明细!$D:$D,$E106,社保明细!$E:$E,$F106,社保明细!$H:$H,"&gt;="&amp;AT$9,社保明细!$H:$H,"&lt;="&amp;AT$10,社保明细!$A:$A,AT$6)/10000</f>
        <v>5.8</v>
      </c>
      <c r="AU106" s="121">
        <f>SUMIFS(社保明细!$J:$J,社保明细!$D:$D,$E106,社保明细!$E:$E,$F106,社保明细!$H:$H,"&gt;="&amp;AU$9,社保明细!$H:$H,"&lt;="&amp;AU$10,社保明细!$A:$A,AU$6)/10000</f>
        <v>70.3</v>
      </c>
      <c r="AV106" s="121">
        <f>SUMIFS(社保明细!$J:$J,社保明细!$D:$D,$E106,社保明细!$E:$E,$F106,社保明细!$H:$H,"&gt;="&amp;AV$9,社保明细!$H:$H,"&lt;="&amp;AV$10,社保明细!$A:$A,AV$6)/10000</f>
        <v>5.9</v>
      </c>
      <c r="AW106" s="121">
        <f>SUMIFS(社保明细!$J:$J,社保明细!$D:$D,$E106,社保明细!$E:$E,$F106,社保明细!$H:$H,"&gt;="&amp;AW$9,社保明细!$H:$H,"&lt;="&amp;AW$10,社保明细!$A:$A,AW$6)/10000</f>
        <v>5.8</v>
      </c>
      <c r="AX106" s="121">
        <f>SUMIFS(社保明细!$J:$J,社保明细!$D:$D,$E106,社保明细!$E:$E,$F106,社保明细!$H:$H,"&gt;="&amp;AX$9,社保明细!$H:$H,"&lt;="&amp;AX$10,社保明细!$A:$A,AX$6)/10000</f>
        <v>5.8</v>
      </c>
      <c r="AY106" s="121">
        <f>SUMIFS(社保明细!$J:$J,社保明细!$D:$D,$E106,社保明细!$E:$E,$F106,社保明细!$H:$H,"&gt;="&amp;AY$9,社保明细!$H:$H,"&lt;="&amp;AY$10,社保明细!$A:$A,AY$6)/10000</f>
        <v>5.8</v>
      </c>
      <c r="AZ106" s="121">
        <f>SUMIFS(社保明细!$J:$J,社保明细!$D:$D,$E106,社保明细!$E:$E,$F106,社保明细!$H:$H,"&gt;="&amp;AZ$9,社保明细!$H:$H,"&lt;="&amp;AZ$10,社保明细!$A:$A,AZ$6)/10000</f>
        <v>5.9</v>
      </c>
      <c r="BA106" s="121">
        <f>SUMIFS(社保明细!$J:$J,社保明细!$D:$D,$E106,社保明细!$E:$E,$F106,社保明细!$H:$H,"&gt;="&amp;BA$9,社保明细!$H:$H,"&lt;="&amp;BA$10,社保明细!$A:$A,BA$6)/10000</f>
        <v>5.9</v>
      </c>
      <c r="BB106" s="121">
        <f>SUMIFS(社保明细!$J:$J,社保明细!$D:$D,$E106,社保明细!$E:$E,$F106,社保明细!$H:$H,"&gt;="&amp;BB$9,社保明细!$H:$H,"&lt;="&amp;BB$10,社保明细!$A:$A,BB$6)/10000</f>
        <v>5.8</v>
      </c>
      <c r="BC106" s="121">
        <f>SUMIFS(社保明细!$J:$J,社保明细!$D:$D,$E106,社保明细!$E:$E,$F106,社保明细!$H:$H,"&gt;="&amp;BC$9,社保明细!$H:$H,"&lt;="&amp;BC$10,社保明细!$A:$A,BC$6)/10000</f>
        <v>5.8</v>
      </c>
      <c r="BD106" s="121">
        <f>SUMIFS(社保明细!$J:$J,社保明细!$D:$D,$E106,社保明细!$E:$E,$F106,社保明细!$H:$H,"&gt;="&amp;BD$9,社保明细!$H:$H,"&lt;="&amp;BD$10,社保明细!$A:$A,BD$6)/10000</f>
        <v>5.9</v>
      </c>
      <c r="BE106" s="121">
        <f>SUMIFS(社保明细!$J:$J,社保明细!$D:$D,$E106,社保明细!$E:$E,$F106,社保明细!$H:$H,"&gt;="&amp;BE$9,社保明细!$H:$H,"&lt;="&amp;BE$10,社保明细!$A:$A,BE$6)/10000</f>
        <v>5.9</v>
      </c>
      <c r="BF106" s="121">
        <f>SUMIFS(社保明细!$J:$J,社保明细!$D:$D,$E106,社保明细!$E:$E,$F106,社保明细!$H:$H,"&gt;="&amp;BF$9,社保明细!$H:$H,"&lt;="&amp;BF$10,社保明细!$A:$A,BF$6)/10000</f>
        <v>5.8</v>
      </c>
      <c r="BG106" s="121">
        <f>SUMIFS(社保明细!$J:$J,社保明细!$D:$D,$E106,社保明细!$E:$E,$F106,社保明细!$H:$H,"&gt;="&amp;BG$9,社保明细!$H:$H,"&lt;="&amp;BG$10,社保明细!$A:$A,BG$6)/10000</f>
        <v>5.9</v>
      </c>
    </row>
    <row r="107" ht="16.2" spans="3:59">
      <c r="C107" s="42"/>
      <c r="D107" s="42" t="s">
        <v>83</v>
      </c>
      <c r="E107" s="116" t="str">
        <f t="shared" si="96"/>
        <v>创新中心</v>
      </c>
      <c r="F107" s="116" t="str">
        <f t="shared" si="97"/>
        <v>产品
研发部</v>
      </c>
      <c r="G107" s="121">
        <f>SUMIFS(社保明细!$J:$J,社保明细!$D:$D,$E107,社保明细!$E:$E,$F107,社保明细!$H:$H,"&gt;="&amp;G$9,社保明细!$H:$H,"&lt;="&amp;G$10,社保明细!$A:$A,G$6)/10000</f>
        <v>24.3</v>
      </c>
      <c r="H107" s="121">
        <f>SUMIFS(社保明细!$J:$J,社保明细!$D:$D,$E107,社保明细!$E:$E,$F107,社保明细!$H:$H,"&gt;="&amp;H$9,社保明细!$H:$H,"&lt;="&amp;H$10,社保明细!$A:$A,H$6)/10000</f>
        <v>2</v>
      </c>
      <c r="I107" s="121">
        <f>SUMIFS(社保明细!$J:$J,社保明细!$D:$D,$E107,社保明细!$E:$E,$F107,社保明细!$H:$H,"&gt;="&amp;I$9,社保明细!$H:$H,"&lt;="&amp;I$10,社保明细!$A:$A,I$6)/10000</f>
        <v>2</v>
      </c>
      <c r="J107" s="121">
        <f>SUMIFS(社保明细!$J:$J,社保明细!$D:$D,$E107,社保明细!$E:$E,$F107,社保明细!$H:$H,"&gt;="&amp;J$9,社保明细!$H:$H,"&lt;="&amp;J$10,社保明细!$A:$A,J$6)/10000</f>
        <v>2</v>
      </c>
      <c r="K107" s="121">
        <f>SUMIFS(社保明细!$J:$J,社保明细!$D:$D,$E107,社保明细!$E:$E,$F107,社保明细!$H:$H,"&gt;="&amp;K$9,社保明细!$H:$H,"&lt;="&amp;K$10,社保明细!$A:$A,K$6)/10000</f>
        <v>2</v>
      </c>
      <c r="L107" s="121">
        <f>SUMIFS(社保明细!$J:$J,社保明细!$D:$D,$E107,社保明细!$E:$E,$F107,社保明细!$H:$H,"&gt;="&amp;L$9,社保明细!$H:$H,"&lt;="&amp;L$10,社保明细!$A:$A,L$6)/10000</f>
        <v>2</v>
      </c>
      <c r="M107" s="121">
        <f>SUMIFS(社保明细!$J:$J,社保明细!$D:$D,$E107,社保明细!$E:$E,$F107,社保明细!$H:$H,"&gt;="&amp;M$9,社保明细!$H:$H,"&lt;="&amp;M$10,社保明细!$A:$A,M$6)/10000</f>
        <v>2</v>
      </c>
      <c r="N107" s="121">
        <f>SUMIFS(社保明细!$J:$J,社保明细!$D:$D,$E107,社保明细!$E:$E,$F107,社保明细!$H:$H,"&gt;="&amp;N$9,社保明细!$H:$H,"&lt;="&amp;N$10,社保明细!$A:$A,N$6)/10000</f>
        <v>2</v>
      </c>
      <c r="O107" s="121">
        <f>SUMIFS(社保明细!$J:$J,社保明细!$D:$D,$E107,社保明细!$E:$E,$F107,社保明细!$H:$H,"&gt;="&amp;O$9,社保明细!$H:$H,"&lt;="&amp;O$10,社保明细!$A:$A,O$6)/10000</f>
        <v>2.1</v>
      </c>
      <c r="P107" s="121">
        <f>SUMIFS(社保明细!$J:$J,社保明细!$D:$D,$E107,社保明细!$E:$E,$F107,社保明细!$H:$H,"&gt;="&amp;P$9,社保明细!$H:$H,"&lt;="&amp;P$10,社保明细!$A:$A,P$6)/10000</f>
        <v>2</v>
      </c>
      <c r="Q107" s="121">
        <f>SUMIFS(社保明细!$J:$J,社保明细!$D:$D,$E107,社保明细!$E:$E,$F107,社保明细!$H:$H,"&gt;="&amp;Q$9,社保明细!$H:$H,"&lt;="&amp;Q$10,社保明细!$A:$A,Q$6)/10000</f>
        <v>2</v>
      </c>
      <c r="R107" s="121">
        <f>SUMIFS(社保明细!$J:$J,社保明细!$D:$D,$E107,社保明细!$E:$E,$F107,社保明细!$H:$H,"&gt;="&amp;R$9,社保明细!$H:$H,"&lt;="&amp;R$10,社保明细!$A:$A,R$6)/10000</f>
        <v>2.1</v>
      </c>
      <c r="S107" s="121">
        <f>SUMIFS(社保明细!$J:$J,社保明细!$D:$D,$E107,社保明细!$E:$E,$F107,社保明细!$H:$H,"&gt;="&amp;S$9,社保明细!$H:$H,"&lt;="&amp;S$10,社保明细!$A:$A,S$6)/10000</f>
        <v>2</v>
      </c>
      <c r="T107" s="125">
        <f t="shared" si="98"/>
        <v>24.4</v>
      </c>
      <c r="U107" s="121">
        <f>SUMIFS(社保明细!$J:$J,社保明细!$D:$D,$E107,社保明细!$E:$E,$F107,社保明细!$H:$H,"&gt;="&amp;U$9,社保明细!$H:$H,"&lt;="&amp;U$10,社保明细!$A:$A,U$6)/10000</f>
        <v>18.3</v>
      </c>
      <c r="V107" s="121">
        <f>SUMIFS(社保明细!$J:$J,社保明细!$D:$D,$E107,社保明细!$E:$E,$F107,社保明细!$H:$H,"&gt;="&amp;V$9,社保明细!$H:$H,"&lt;="&amp;V$10,社保明细!$A:$A,V$6)/10000</f>
        <v>2</v>
      </c>
      <c r="W107" s="121">
        <f>SUMIFS(社保明细!$J:$J,社保明细!$D:$D,$E107,社保明细!$E:$E,$F107,社保明细!$H:$H,"&gt;="&amp;W$9,社保明细!$H:$H,"&lt;="&amp;W$10,社保明细!$A:$A,W$6)/10000</f>
        <v>2.1</v>
      </c>
      <c r="X107" s="121">
        <f>SUMIFS(社保明细!$J:$J,社保明细!$D:$D,$E107,社保明细!$E:$E,$F107,社保明细!$H:$H,"&gt;="&amp;X$9,社保明细!$H:$H,"&lt;="&amp;X$10,社保明细!$A:$A,X$6)/10000</f>
        <v>2</v>
      </c>
      <c r="Y107" s="121">
        <f>SUMIFS(社保明细!$J:$J,社保明细!$D:$D,$E107,社保明细!$E:$E,$F107,社保明细!$H:$H,"&gt;="&amp;Y$9,社保明细!$H:$H,"&lt;="&amp;Y$10,社保明细!$A:$A,Y$6)/10000</f>
        <v>2</v>
      </c>
      <c r="Z107" s="121">
        <f>SUMIFS(社保明细!$J:$J,社保明细!$D:$D,$E107,社保明细!$E:$E,$F107,社保明细!$H:$H,"&gt;="&amp;Z$9,社保明细!$H:$H,"&lt;="&amp;Z$10,社保明细!$A:$A,Z$6)/10000</f>
        <v>2</v>
      </c>
      <c r="AA107" s="121">
        <f>SUMIFS(社保明细!$J:$J,社保明细!$D:$D,$E107,社保明细!$E:$E,$F107,社保明细!$H:$H,"&gt;="&amp;AA$9,社保明细!$H:$H,"&lt;="&amp;AA$10,社保明细!$A:$A,AA$6)/10000</f>
        <v>2</v>
      </c>
      <c r="AB107" s="121">
        <f>SUMIFS(社保明细!$J:$J,社保明细!$D:$D,$E107,社保明细!$E:$E,$F107,社保明细!$H:$H,"&gt;="&amp;AB$9,社保明细!$H:$H,"&lt;="&amp;AB$10,社保明细!$A:$A,AB$6)/10000</f>
        <v>2</v>
      </c>
      <c r="AC107" s="121">
        <f>SUMIFS(社保明细!$J:$J,社保明细!$D:$D,$E107,社保明细!$E:$E,$F107,社保明细!$H:$H,"&gt;="&amp;AC$9,社保明细!$H:$H,"&lt;="&amp;AC$10,社保明细!$A:$A,AC$6)/10000</f>
        <v>2</v>
      </c>
      <c r="AD107" s="121">
        <f>SUMIFS(社保明细!$J:$J,社保明细!$D:$D,$E107,社保明细!$E:$E,$F107,社保明细!$H:$H,"&gt;="&amp;AD$9,社保明细!$H:$H,"&lt;="&amp;AD$10,社保明细!$A:$A,AD$6)/10000</f>
        <v>2</v>
      </c>
      <c r="AE107" s="121">
        <f>SUMIFS(社保明细!$J:$J,社保明细!$D:$D,$E107,社保明细!$E:$E,$F107,社保明细!$H:$H,"&gt;="&amp;AE$9,社保明细!$H:$H,"&lt;="&amp;AE$10,社保明细!$A:$A,AE$6)/10000</f>
        <v>0</v>
      </c>
      <c r="AF107" s="121">
        <f>SUMIFS(社保明细!$J:$J,社保明细!$D:$D,$E107,社保明细!$E:$E,$F107,社保明细!$H:$H,"&gt;="&amp;AF$9,社保明细!$H:$H,"&lt;="&amp;AF$10,社保明细!$A:$A,AF$6)/10000</f>
        <v>0</v>
      </c>
      <c r="AG107" s="121">
        <f>SUMIFS(社保明细!$J:$J,社保明细!$D:$D,$E107,社保明细!$E:$E,$F107,社保明细!$H:$H,"&gt;="&amp;AG$9,社保明细!$H:$H,"&lt;="&amp;AG$10,社保明细!$A:$A,AG$6)/10000</f>
        <v>0</v>
      </c>
      <c r="AH107" s="121">
        <f>SUMIFS(社保明细!$J:$J,社保明细!$D:$D,$E107,社保明细!$E:$E,$F107,社保明细!$H:$H,"&gt;="&amp;AH$9,社保明细!$H:$H,"&lt;="&amp;AH$10,社保明细!$A:$A,AH$6)/10000</f>
        <v>6.1</v>
      </c>
      <c r="AI107" s="121">
        <f>SUMIFS(社保明细!$J:$J,社保明细!$D:$D,$E107,社保明细!$E:$E,$F107,社保明细!$H:$H,"&gt;="&amp;AI$9,社保明细!$H:$H,"&lt;="&amp;AI$10,社保明细!$A:$A,AI$6)/10000</f>
        <v>0</v>
      </c>
      <c r="AJ107" s="121">
        <f>SUMIFS(社保明细!$J:$J,社保明细!$D:$D,$E107,社保明细!$E:$E,$F107,社保明细!$H:$H,"&gt;="&amp;AJ$9,社保明细!$H:$H,"&lt;="&amp;AJ$10,社保明细!$A:$A,AJ$6)/10000</f>
        <v>0</v>
      </c>
      <c r="AK107" s="121">
        <f>SUMIFS(社保明细!$J:$J,社保明细!$D:$D,$E107,社保明细!$E:$E,$F107,社保明细!$H:$H,"&gt;="&amp;AK$9,社保明细!$H:$H,"&lt;="&amp;AK$10,社保明细!$A:$A,AK$6)/10000</f>
        <v>0</v>
      </c>
      <c r="AL107" s="121">
        <f>SUMIFS(社保明细!$J:$J,社保明细!$D:$D,$E107,社保明细!$E:$E,$F107,社保明细!$H:$H,"&gt;="&amp;AL$9,社保明细!$H:$H,"&lt;="&amp;AL$10,社保明细!$A:$A,AL$6)/10000</f>
        <v>0</v>
      </c>
      <c r="AM107" s="121">
        <f>SUMIFS(社保明细!$J:$J,社保明细!$D:$D,$E107,社保明细!$E:$E,$F107,社保明细!$H:$H,"&gt;="&amp;AM$9,社保明细!$H:$H,"&lt;="&amp;AM$10,社保明细!$A:$A,AM$6)/10000</f>
        <v>0</v>
      </c>
      <c r="AN107" s="121">
        <f>SUMIFS(社保明细!$J:$J,社保明细!$D:$D,$E107,社保明细!$E:$E,$F107,社保明细!$H:$H,"&gt;="&amp;AN$9,社保明细!$H:$H,"&lt;="&amp;AN$10,社保明细!$A:$A,AN$6)/10000</f>
        <v>0</v>
      </c>
      <c r="AO107" s="121">
        <f>SUMIFS(社保明细!$J:$J,社保明细!$D:$D,$E107,社保明细!$E:$E,$F107,社保明细!$H:$H,"&gt;="&amp;AO$9,社保明细!$H:$H,"&lt;="&amp;AO$10,社保明细!$A:$A,AO$6)/10000</f>
        <v>0</v>
      </c>
      <c r="AP107" s="121">
        <f>SUMIFS(社保明细!$J:$J,社保明细!$D:$D,$E107,社保明细!$E:$E,$F107,社保明细!$H:$H,"&gt;="&amp;AP$9,社保明细!$H:$H,"&lt;="&amp;AP$10,社保明细!$A:$A,AP$6)/10000</f>
        <v>0</v>
      </c>
      <c r="AQ107" s="121">
        <f>SUMIFS(社保明细!$J:$J,社保明细!$D:$D,$E107,社保明细!$E:$E,$F107,社保明细!$H:$H,"&gt;="&amp;AQ$9,社保明细!$H:$H,"&lt;="&amp;AQ$10,社保明细!$A:$A,AQ$6)/10000</f>
        <v>0</v>
      </c>
      <c r="AR107" s="121">
        <f>SUMIFS(社保明细!$J:$J,社保明细!$D:$D,$E107,社保明细!$E:$E,$F107,社保明细!$H:$H,"&gt;="&amp;AR$9,社保明细!$H:$H,"&lt;="&amp;AR$10,社保明细!$A:$A,AR$6)/10000</f>
        <v>2</v>
      </c>
      <c r="AS107" s="121">
        <f>SUMIFS(社保明细!$J:$J,社保明细!$D:$D,$E107,社保明细!$E:$E,$F107,社保明细!$H:$H,"&gt;="&amp;AS$9,社保明细!$H:$H,"&lt;="&amp;AS$10,社保明细!$A:$A,AS$6)/10000</f>
        <v>2</v>
      </c>
      <c r="AT107" s="121">
        <f>SUMIFS(社保明细!$J:$J,社保明细!$D:$D,$E107,社保明细!$E:$E,$F107,社保明细!$H:$H,"&gt;="&amp;AT$9,社保明细!$H:$H,"&lt;="&amp;AT$10,社保明细!$A:$A,AT$6)/10000</f>
        <v>2</v>
      </c>
      <c r="AU107" s="121">
        <f>SUMIFS(社保明细!$J:$J,社保明细!$D:$D,$E107,社保明细!$E:$E,$F107,社保明细!$H:$H,"&gt;="&amp;AU$9,社保明细!$H:$H,"&lt;="&amp;AU$10,社保明细!$A:$A,AU$6)/10000</f>
        <v>24.3</v>
      </c>
      <c r="AV107" s="121">
        <f>SUMIFS(社保明细!$J:$J,社保明细!$D:$D,$E107,社保明细!$E:$E,$F107,社保明细!$H:$H,"&gt;="&amp;AV$9,社保明细!$H:$H,"&lt;="&amp;AV$10,社保明细!$A:$A,AV$6)/10000</f>
        <v>2</v>
      </c>
      <c r="AW107" s="121">
        <f>SUMIFS(社保明细!$J:$J,社保明细!$D:$D,$E107,社保明细!$E:$E,$F107,社保明细!$H:$H,"&gt;="&amp;AW$9,社保明细!$H:$H,"&lt;="&amp;AW$10,社保明细!$A:$A,AW$6)/10000</f>
        <v>2</v>
      </c>
      <c r="AX107" s="121">
        <f>SUMIFS(社保明细!$J:$J,社保明细!$D:$D,$E107,社保明细!$E:$E,$F107,社保明细!$H:$H,"&gt;="&amp;AX$9,社保明细!$H:$H,"&lt;="&amp;AX$10,社保明细!$A:$A,AX$6)/10000</f>
        <v>2</v>
      </c>
      <c r="AY107" s="121">
        <f>SUMIFS(社保明细!$J:$J,社保明细!$D:$D,$E107,社保明细!$E:$E,$F107,社保明细!$H:$H,"&gt;="&amp;AY$9,社保明细!$H:$H,"&lt;="&amp;AY$10,社保明细!$A:$A,AY$6)/10000</f>
        <v>2</v>
      </c>
      <c r="AZ107" s="121">
        <f>SUMIFS(社保明细!$J:$J,社保明细!$D:$D,$E107,社保明细!$E:$E,$F107,社保明细!$H:$H,"&gt;="&amp;AZ$9,社保明细!$H:$H,"&lt;="&amp;AZ$10,社保明细!$A:$A,AZ$6)/10000</f>
        <v>2</v>
      </c>
      <c r="BA107" s="121">
        <f>SUMIFS(社保明细!$J:$J,社保明细!$D:$D,$E107,社保明细!$E:$E,$F107,社保明细!$H:$H,"&gt;="&amp;BA$9,社保明细!$H:$H,"&lt;="&amp;BA$10,社保明细!$A:$A,BA$6)/10000</f>
        <v>2.1</v>
      </c>
      <c r="BB107" s="121">
        <f>SUMIFS(社保明细!$J:$J,社保明细!$D:$D,$E107,社保明细!$E:$E,$F107,社保明细!$H:$H,"&gt;="&amp;BB$9,社保明细!$H:$H,"&lt;="&amp;BB$10,社保明细!$A:$A,BB$6)/10000</f>
        <v>2</v>
      </c>
      <c r="BC107" s="121">
        <f>SUMIFS(社保明细!$J:$J,社保明细!$D:$D,$E107,社保明细!$E:$E,$F107,社保明细!$H:$H,"&gt;="&amp;BC$9,社保明细!$H:$H,"&lt;="&amp;BC$10,社保明细!$A:$A,BC$6)/10000</f>
        <v>2</v>
      </c>
      <c r="BD107" s="121">
        <f>SUMIFS(社保明细!$J:$J,社保明细!$D:$D,$E107,社保明细!$E:$E,$F107,社保明细!$H:$H,"&gt;="&amp;BD$9,社保明细!$H:$H,"&lt;="&amp;BD$10,社保明细!$A:$A,BD$6)/10000</f>
        <v>2</v>
      </c>
      <c r="BE107" s="121">
        <f>SUMIFS(社保明细!$J:$J,社保明细!$D:$D,$E107,社保明细!$E:$E,$F107,社保明细!$H:$H,"&gt;="&amp;BE$9,社保明细!$H:$H,"&lt;="&amp;BE$10,社保明细!$A:$A,BE$6)/10000</f>
        <v>2</v>
      </c>
      <c r="BF107" s="121">
        <f>SUMIFS(社保明细!$J:$J,社保明细!$D:$D,$E107,社保明细!$E:$E,$F107,社保明细!$H:$H,"&gt;="&amp;BF$9,社保明细!$H:$H,"&lt;="&amp;BF$10,社保明细!$A:$A,BF$6)/10000</f>
        <v>2</v>
      </c>
      <c r="BG107" s="121">
        <f>SUMIFS(社保明细!$J:$J,社保明细!$D:$D,$E107,社保明细!$E:$E,$F107,社保明细!$H:$H,"&gt;="&amp;BG$9,社保明细!$H:$H,"&lt;="&amp;BG$10,社保明细!$A:$A,BG$6)/10000</f>
        <v>2</v>
      </c>
    </row>
    <row r="108" ht="16.2" spans="3:59">
      <c r="C108" s="42"/>
      <c r="D108" s="42" t="s">
        <v>84</v>
      </c>
      <c r="E108" s="116" t="str">
        <f t="shared" si="96"/>
        <v>创新中心</v>
      </c>
      <c r="F108" s="116" t="str">
        <f t="shared" si="97"/>
        <v>XX
试验室</v>
      </c>
      <c r="G108" s="121">
        <f>SUMIFS(社保明细!$J:$J,社保明细!$D:$D,$E108,社保明细!$E:$E,$F108,社保明细!$H:$H,"&gt;="&amp;G$9,社保明细!$H:$H,"&lt;="&amp;G$10,社保明细!$A:$A,G$6)/10000</f>
        <v>16.5</v>
      </c>
      <c r="H108" s="121">
        <f>SUMIFS(社保明细!$J:$J,社保明细!$D:$D,$E108,社保明细!$E:$E,$F108,社保明细!$H:$H,"&gt;="&amp;H$9,社保明细!$H:$H,"&lt;="&amp;H$10,社保明细!$A:$A,H$6)/10000</f>
        <v>1.4</v>
      </c>
      <c r="I108" s="121">
        <f>SUMIFS(社保明细!$J:$J,社保明细!$D:$D,$E108,社保明细!$E:$E,$F108,社保明细!$H:$H,"&gt;="&amp;I$9,社保明细!$H:$H,"&lt;="&amp;I$10,社保明细!$A:$A,I$6)/10000</f>
        <v>1.4</v>
      </c>
      <c r="J108" s="121">
        <f>SUMIFS(社保明细!$J:$J,社保明细!$D:$D,$E108,社保明细!$E:$E,$F108,社保明细!$H:$H,"&gt;="&amp;J$9,社保明细!$H:$H,"&lt;="&amp;J$10,社保明细!$A:$A,J$6)/10000</f>
        <v>1.4</v>
      </c>
      <c r="K108" s="121">
        <f>SUMIFS(社保明细!$J:$J,社保明细!$D:$D,$E108,社保明细!$E:$E,$F108,社保明细!$H:$H,"&gt;="&amp;K$9,社保明细!$H:$H,"&lt;="&amp;K$10,社保明细!$A:$A,K$6)/10000</f>
        <v>1.4</v>
      </c>
      <c r="L108" s="121">
        <f>SUMIFS(社保明细!$J:$J,社保明细!$D:$D,$E108,社保明细!$E:$E,$F108,社保明细!$H:$H,"&gt;="&amp;L$9,社保明细!$H:$H,"&lt;="&amp;L$10,社保明细!$A:$A,L$6)/10000</f>
        <v>1.4</v>
      </c>
      <c r="M108" s="121">
        <f>SUMIFS(社保明细!$J:$J,社保明细!$D:$D,$E108,社保明细!$E:$E,$F108,社保明细!$H:$H,"&gt;="&amp;M$9,社保明细!$H:$H,"&lt;="&amp;M$10,社保明细!$A:$A,M$6)/10000</f>
        <v>1.4</v>
      </c>
      <c r="N108" s="121">
        <f>SUMIFS(社保明细!$J:$J,社保明细!$D:$D,$E108,社保明细!$E:$E,$F108,社保明细!$H:$H,"&gt;="&amp;N$9,社保明细!$H:$H,"&lt;="&amp;N$10,社保明细!$A:$A,N$6)/10000</f>
        <v>1.4</v>
      </c>
      <c r="O108" s="121">
        <f>SUMIFS(社保明细!$J:$J,社保明细!$D:$D,$E108,社保明细!$E:$E,$F108,社保明细!$H:$H,"&gt;="&amp;O$9,社保明细!$H:$H,"&lt;="&amp;O$10,社保明细!$A:$A,O$6)/10000</f>
        <v>1.4</v>
      </c>
      <c r="P108" s="121">
        <f>SUMIFS(社保明细!$J:$J,社保明细!$D:$D,$E108,社保明细!$E:$E,$F108,社保明细!$H:$H,"&gt;="&amp;P$9,社保明细!$H:$H,"&lt;="&amp;P$10,社保明细!$A:$A,P$6)/10000</f>
        <v>1.4</v>
      </c>
      <c r="Q108" s="121">
        <f>SUMIFS(社保明细!$J:$J,社保明细!$D:$D,$E108,社保明细!$E:$E,$F108,社保明细!$H:$H,"&gt;="&amp;Q$9,社保明细!$H:$H,"&lt;="&amp;Q$10,社保明细!$A:$A,Q$6)/10000</f>
        <v>1.4</v>
      </c>
      <c r="R108" s="121">
        <f>SUMIFS(社保明细!$J:$J,社保明细!$D:$D,$E108,社保明细!$E:$E,$F108,社保明细!$H:$H,"&gt;="&amp;R$9,社保明细!$H:$H,"&lt;="&amp;R$10,社保明细!$A:$A,R$6)/10000</f>
        <v>1.4</v>
      </c>
      <c r="S108" s="121">
        <f>SUMIFS(社保明细!$J:$J,社保明细!$D:$D,$E108,社保明细!$E:$E,$F108,社保明细!$H:$H,"&gt;="&amp;S$9,社保明细!$H:$H,"&lt;="&amp;S$10,社保明细!$A:$A,S$6)/10000</f>
        <v>1.4</v>
      </c>
      <c r="T108" s="125">
        <f t="shared" si="98"/>
        <v>16.5</v>
      </c>
      <c r="U108" s="121">
        <f>SUMIFS(社保明细!$J:$J,社保明细!$D:$D,$E108,社保明细!$E:$E,$F108,社保明细!$H:$H,"&gt;="&amp;U$9,社保明细!$H:$H,"&lt;="&amp;U$10,社保明细!$A:$A,U$6)/10000</f>
        <v>12.4</v>
      </c>
      <c r="V108" s="121">
        <f>SUMIFS(社保明细!$J:$J,社保明细!$D:$D,$E108,社保明细!$E:$E,$F108,社保明细!$H:$H,"&gt;="&amp;V$9,社保明细!$H:$H,"&lt;="&amp;V$10,社保明细!$A:$A,V$6)/10000</f>
        <v>1.4</v>
      </c>
      <c r="W108" s="121">
        <f>SUMIFS(社保明细!$J:$J,社保明细!$D:$D,$E108,社保明细!$E:$E,$F108,社保明细!$H:$H,"&gt;="&amp;W$9,社保明细!$H:$H,"&lt;="&amp;W$10,社保明细!$A:$A,W$6)/10000</f>
        <v>1.4</v>
      </c>
      <c r="X108" s="121">
        <f>SUMIFS(社保明细!$J:$J,社保明细!$D:$D,$E108,社保明细!$E:$E,$F108,社保明细!$H:$H,"&gt;="&amp;X$9,社保明细!$H:$H,"&lt;="&amp;X$10,社保明细!$A:$A,X$6)/10000</f>
        <v>1.4</v>
      </c>
      <c r="Y108" s="121">
        <f>SUMIFS(社保明细!$J:$J,社保明细!$D:$D,$E108,社保明细!$E:$E,$F108,社保明细!$H:$H,"&gt;="&amp;Y$9,社保明细!$H:$H,"&lt;="&amp;Y$10,社保明细!$A:$A,Y$6)/10000</f>
        <v>1.4</v>
      </c>
      <c r="Z108" s="121">
        <f>SUMIFS(社保明细!$J:$J,社保明细!$D:$D,$E108,社保明细!$E:$E,$F108,社保明细!$H:$H,"&gt;="&amp;Z$9,社保明细!$H:$H,"&lt;="&amp;Z$10,社保明细!$A:$A,Z$6)/10000</f>
        <v>1.4</v>
      </c>
      <c r="AA108" s="121">
        <f>SUMIFS(社保明细!$J:$J,社保明细!$D:$D,$E108,社保明细!$E:$E,$F108,社保明细!$H:$H,"&gt;="&amp;AA$9,社保明细!$H:$H,"&lt;="&amp;AA$10,社保明细!$A:$A,AA$6)/10000</f>
        <v>1.4</v>
      </c>
      <c r="AB108" s="121">
        <f>SUMIFS(社保明细!$J:$J,社保明细!$D:$D,$E108,社保明细!$E:$E,$F108,社保明细!$H:$H,"&gt;="&amp;AB$9,社保明细!$H:$H,"&lt;="&amp;AB$10,社保明细!$A:$A,AB$6)/10000</f>
        <v>1.4</v>
      </c>
      <c r="AC108" s="121">
        <f>SUMIFS(社保明细!$J:$J,社保明细!$D:$D,$E108,社保明细!$E:$E,$F108,社保明细!$H:$H,"&gt;="&amp;AC$9,社保明细!$H:$H,"&lt;="&amp;AC$10,社保明细!$A:$A,AC$6)/10000</f>
        <v>1.4</v>
      </c>
      <c r="AD108" s="121">
        <f>SUMIFS(社保明细!$J:$J,社保明细!$D:$D,$E108,社保明细!$E:$E,$F108,社保明细!$H:$H,"&gt;="&amp;AD$9,社保明细!$H:$H,"&lt;="&amp;AD$10,社保明细!$A:$A,AD$6)/10000</f>
        <v>1.4</v>
      </c>
      <c r="AE108" s="121">
        <f>SUMIFS(社保明细!$J:$J,社保明细!$D:$D,$E108,社保明细!$E:$E,$F108,社保明细!$H:$H,"&gt;="&amp;AE$9,社保明细!$H:$H,"&lt;="&amp;AE$10,社保明细!$A:$A,AE$6)/10000</f>
        <v>0</v>
      </c>
      <c r="AF108" s="121">
        <f>SUMIFS(社保明细!$J:$J,社保明细!$D:$D,$E108,社保明细!$E:$E,$F108,社保明细!$H:$H,"&gt;="&amp;AF$9,社保明细!$H:$H,"&lt;="&amp;AF$10,社保明细!$A:$A,AF$6)/10000</f>
        <v>0</v>
      </c>
      <c r="AG108" s="121">
        <f>SUMIFS(社保明细!$J:$J,社保明细!$D:$D,$E108,社保明细!$E:$E,$F108,社保明细!$H:$H,"&gt;="&amp;AG$9,社保明细!$H:$H,"&lt;="&amp;AG$10,社保明细!$A:$A,AG$6)/10000</f>
        <v>0</v>
      </c>
      <c r="AH108" s="121">
        <f>SUMIFS(社保明细!$J:$J,社保明细!$D:$D,$E108,社保明细!$E:$E,$F108,社保明细!$H:$H,"&gt;="&amp;AH$9,社保明细!$H:$H,"&lt;="&amp;AH$10,社保明细!$A:$A,AH$6)/10000</f>
        <v>4.1</v>
      </c>
      <c r="AI108" s="121">
        <f>SUMIFS(社保明细!$J:$J,社保明细!$D:$D,$E108,社保明细!$E:$E,$F108,社保明细!$H:$H,"&gt;="&amp;AI$9,社保明细!$H:$H,"&lt;="&amp;AI$10,社保明细!$A:$A,AI$6)/10000</f>
        <v>0</v>
      </c>
      <c r="AJ108" s="121">
        <f>SUMIFS(社保明细!$J:$J,社保明细!$D:$D,$E108,社保明细!$E:$E,$F108,社保明细!$H:$H,"&gt;="&amp;AJ$9,社保明细!$H:$H,"&lt;="&amp;AJ$10,社保明细!$A:$A,AJ$6)/10000</f>
        <v>0</v>
      </c>
      <c r="AK108" s="121">
        <f>SUMIFS(社保明细!$J:$J,社保明细!$D:$D,$E108,社保明细!$E:$E,$F108,社保明细!$H:$H,"&gt;="&amp;AK$9,社保明细!$H:$H,"&lt;="&amp;AK$10,社保明细!$A:$A,AK$6)/10000</f>
        <v>0</v>
      </c>
      <c r="AL108" s="121">
        <f>SUMIFS(社保明细!$J:$J,社保明细!$D:$D,$E108,社保明细!$E:$E,$F108,社保明细!$H:$H,"&gt;="&amp;AL$9,社保明细!$H:$H,"&lt;="&amp;AL$10,社保明细!$A:$A,AL$6)/10000</f>
        <v>0</v>
      </c>
      <c r="AM108" s="121">
        <f>SUMIFS(社保明细!$J:$J,社保明细!$D:$D,$E108,社保明细!$E:$E,$F108,社保明细!$H:$H,"&gt;="&amp;AM$9,社保明细!$H:$H,"&lt;="&amp;AM$10,社保明细!$A:$A,AM$6)/10000</f>
        <v>0</v>
      </c>
      <c r="AN108" s="121">
        <f>SUMIFS(社保明细!$J:$J,社保明细!$D:$D,$E108,社保明细!$E:$E,$F108,社保明细!$H:$H,"&gt;="&amp;AN$9,社保明细!$H:$H,"&lt;="&amp;AN$10,社保明细!$A:$A,AN$6)/10000</f>
        <v>0</v>
      </c>
      <c r="AO108" s="121">
        <f>SUMIFS(社保明细!$J:$J,社保明细!$D:$D,$E108,社保明细!$E:$E,$F108,社保明细!$H:$H,"&gt;="&amp;AO$9,社保明细!$H:$H,"&lt;="&amp;AO$10,社保明细!$A:$A,AO$6)/10000</f>
        <v>0</v>
      </c>
      <c r="AP108" s="121">
        <f>SUMIFS(社保明细!$J:$J,社保明细!$D:$D,$E108,社保明细!$E:$E,$F108,社保明细!$H:$H,"&gt;="&amp;AP$9,社保明细!$H:$H,"&lt;="&amp;AP$10,社保明细!$A:$A,AP$6)/10000</f>
        <v>0</v>
      </c>
      <c r="AQ108" s="121">
        <f>SUMIFS(社保明细!$J:$J,社保明细!$D:$D,$E108,社保明细!$E:$E,$F108,社保明细!$H:$H,"&gt;="&amp;AQ$9,社保明细!$H:$H,"&lt;="&amp;AQ$10,社保明细!$A:$A,AQ$6)/10000</f>
        <v>0</v>
      </c>
      <c r="AR108" s="121">
        <f>SUMIFS(社保明细!$J:$J,社保明细!$D:$D,$E108,社保明细!$E:$E,$F108,社保明细!$H:$H,"&gt;="&amp;AR$9,社保明细!$H:$H,"&lt;="&amp;AR$10,社保明细!$A:$A,AR$6)/10000</f>
        <v>1.4</v>
      </c>
      <c r="AS108" s="121">
        <f>SUMIFS(社保明细!$J:$J,社保明细!$D:$D,$E108,社保明细!$E:$E,$F108,社保明细!$H:$H,"&gt;="&amp;AS$9,社保明细!$H:$H,"&lt;="&amp;AS$10,社保明细!$A:$A,AS$6)/10000</f>
        <v>1.4</v>
      </c>
      <c r="AT108" s="121">
        <f>SUMIFS(社保明细!$J:$J,社保明细!$D:$D,$E108,社保明细!$E:$E,$F108,社保明细!$H:$H,"&gt;="&amp;AT$9,社保明细!$H:$H,"&lt;="&amp;AT$10,社保明细!$A:$A,AT$6)/10000</f>
        <v>1.4</v>
      </c>
      <c r="AU108" s="121">
        <f>SUMIFS(社保明细!$J:$J,社保明细!$D:$D,$E108,社保明细!$E:$E,$F108,社保明细!$H:$H,"&gt;="&amp;AU$9,社保明细!$H:$H,"&lt;="&amp;AU$10,社保明细!$A:$A,AU$6)/10000</f>
        <v>16.5</v>
      </c>
      <c r="AV108" s="121">
        <f>SUMIFS(社保明细!$J:$J,社保明细!$D:$D,$E108,社保明细!$E:$E,$F108,社保明细!$H:$H,"&gt;="&amp;AV$9,社保明细!$H:$H,"&lt;="&amp;AV$10,社保明细!$A:$A,AV$6)/10000</f>
        <v>1.4</v>
      </c>
      <c r="AW108" s="121">
        <f>SUMIFS(社保明细!$J:$J,社保明细!$D:$D,$E108,社保明细!$E:$E,$F108,社保明细!$H:$H,"&gt;="&amp;AW$9,社保明细!$H:$H,"&lt;="&amp;AW$10,社保明细!$A:$A,AW$6)/10000</f>
        <v>1.4</v>
      </c>
      <c r="AX108" s="121">
        <f>SUMIFS(社保明细!$J:$J,社保明细!$D:$D,$E108,社保明细!$E:$E,$F108,社保明细!$H:$H,"&gt;="&amp;AX$9,社保明细!$H:$H,"&lt;="&amp;AX$10,社保明细!$A:$A,AX$6)/10000</f>
        <v>1.4</v>
      </c>
      <c r="AY108" s="121">
        <f>SUMIFS(社保明细!$J:$J,社保明细!$D:$D,$E108,社保明细!$E:$E,$F108,社保明细!$H:$H,"&gt;="&amp;AY$9,社保明细!$H:$H,"&lt;="&amp;AY$10,社保明细!$A:$A,AY$6)/10000</f>
        <v>1.4</v>
      </c>
      <c r="AZ108" s="121">
        <f>SUMIFS(社保明细!$J:$J,社保明细!$D:$D,$E108,社保明细!$E:$E,$F108,社保明细!$H:$H,"&gt;="&amp;AZ$9,社保明细!$H:$H,"&lt;="&amp;AZ$10,社保明细!$A:$A,AZ$6)/10000</f>
        <v>1.4</v>
      </c>
      <c r="BA108" s="121">
        <f>SUMIFS(社保明细!$J:$J,社保明细!$D:$D,$E108,社保明细!$E:$E,$F108,社保明细!$H:$H,"&gt;="&amp;BA$9,社保明细!$H:$H,"&lt;="&amp;BA$10,社保明细!$A:$A,BA$6)/10000</f>
        <v>1.4</v>
      </c>
      <c r="BB108" s="121">
        <f>SUMIFS(社保明细!$J:$J,社保明细!$D:$D,$E108,社保明细!$E:$E,$F108,社保明细!$H:$H,"&gt;="&amp;BB$9,社保明细!$H:$H,"&lt;="&amp;BB$10,社保明细!$A:$A,BB$6)/10000</f>
        <v>1.4</v>
      </c>
      <c r="BC108" s="121">
        <f>SUMIFS(社保明细!$J:$J,社保明细!$D:$D,$E108,社保明细!$E:$E,$F108,社保明细!$H:$H,"&gt;="&amp;BC$9,社保明细!$H:$H,"&lt;="&amp;BC$10,社保明细!$A:$A,BC$6)/10000</f>
        <v>1.4</v>
      </c>
      <c r="BD108" s="121">
        <f>SUMIFS(社保明细!$J:$J,社保明细!$D:$D,$E108,社保明细!$E:$E,$F108,社保明细!$H:$H,"&gt;="&amp;BD$9,社保明细!$H:$H,"&lt;="&amp;BD$10,社保明细!$A:$A,BD$6)/10000</f>
        <v>1.4</v>
      </c>
      <c r="BE108" s="121">
        <f>SUMIFS(社保明细!$J:$J,社保明细!$D:$D,$E108,社保明细!$E:$E,$F108,社保明细!$H:$H,"&gt;="&amp;BE$9,社保明细!$H:$H,"&lt;="&amp;BE$10,社保明细!$A:$A,BE$6)/10000</f>
        <v>1.4</v>
      </c>
      <c r="BF108" s="121">
        <f>SUMIFS(社保明细!$J:$J,社保明细!$D:$D,$E108,社保明细!$E:$E,$F108,社保明细!$H:$H,"&gt;="&amp;BF$9,社保明细!$H:$H,"&lt;="&amp;BF$10,社保明细!$A:$A,BF$6)/10000</f>
        <v>1.4</v>
      </c>
      <c r="BG108" s="121">
        <f>SUMIFS(社保明细!$J:$J,社保明细!$D:$D,$E108,社保明细!$E:$E,$F108,社保明细!$H:$H,"&gt;="&amp;BG$9,社保明细!$H:$H,"&lt;="&amp;BG$10,社保明细!$A:$A,BG$6)/10000</f>
        <v>1.4</v>
      </c>
    </row>
    <row r="109" ht="16.2" spans="3:59">
      <c r="C109" s="42"/>
      <c r="D109" s="42" t="s">
        <v>85</v>
      </c>
      <c r="E109" s="116" t="str">
        <f t="shared" si="96"/>
        <v>创新中心</v>
      </c>
      <c r="F109" s="116" t="str">
        <f t="shared" si="97"/>
        <v>XX
孵化业务</v>
      </c>
      <c r="G109" s="121">
        <f>SUMIFS(社保明细!$J:$J,社保明细!$D:$D,$E109,社保明细!$E:$E,$F109,社保明细!$H:$H,"&gt;="&amp;G$9,社保明细!$H:$H,"&lt;="&amp;G$10,社保明细!$A:$A,G$6)/10000</f>
        <v>29.4</v>
      </c>
      <c r="H109" s="121">
        <f>SUMIFS(社保明细!$J:$J,社保明细!$D:$D,$E109,社保明细!$E:$E,$F109,社保明细!$H:$H,"&gt;="&amp;H$9,社保明细!$H:$H,"&lt;="&amp;H$10,社保明细!$A:$A,H$6)/10000</f>
        <v>2.5</v>
      </c>
      <c r="I109" s="121">
        <f>SUMIFS(社保明细!$J:$J,社保明细!$D:$D,$E109,社保明细!$E:$E,$F109,社保明细!$H:$H,"&gt;="&amp;I$9,社保明细!$H:$H,"&lt;="&amp;I$10,社保明细!$A:$A,I$6)/10000</f>
        <v>2.5</v>
      </c>
      <c r="J109" s="121">
        <f>SUMIFS(社保明细!$J:$J,社保明细!$D:$D,$E109,社保明细!$E:$E,$F109,社保明细!$H:$H,"&gt;="&amp;J$9,社保明细!$H:$H,"&lt;="&amp;J$10,社保明细!$A:$A,J$6)/10000</f>
        <v>2.5</v>
      </c>
      <c r="K109" s="121">
        <f>SUMIFS(社保明细!$J:$J,社保明细!$D:$D,$E109,社保明细!$E:$E,$F109,社保明细!$H:$H,"&gt;="&amp;K$9,社保明细!$H:$H,"&lt;="&amp;K$10,社保明细!$A:$A,K$6)/10000</f>
        <v>2.5</v>
      </c>
      <c r="L109" s="121">
        <f>SUMIFS(社保明细!$J:$J,社保明细!$D:$D,$E109,社保明细!$E:$E,$F109,社保明细!$H:$H,"&gt;="&amp;L$9,社保明细!$H:$H,"&lt;="&amp;L$10,社保明细!$A:$A,L$6)/10000</f>
        <v>2.4</v>
      </c>
      <c r="M109" s="121">
        <f>SUMIFS(社保明细!$J:$J,社保明细!$D:$D,$E109,社保明细!$E:$E,$F109,社保明细!$H:$H,"&gt;="&amp;M$9,社保明细!$H:$H,"&lt;="&amp;M$10,社保明细!$A:$A,M$6)/10000</f>
        <v>2.5</v>
      </c>
      <c r="N109" s="121">
        <f>SUMIFS(社保明细!$J:$J,社保明细!$D:$D,$E109,社保明细!$E:$E,$F109,社保明细!$H:$H,"&gt;="&amp;N$9,社保明细!$H:$H,"&lt;="&amp;N$10,社保明细!$A:$A,N$6)/10000</f>
        <v>2.5</v>
      </c>
      <c r="O109" s="121">
        <f>SUMIFS(社保明细!$J:$J,社保明细!$D:$D,$E109,社保明细!$E:$E,$F109,社保明细!$H:$H,"&gt;="&amp;O$9,社保明细!$H:$H,"&lt;="&amp;O$10,社保明细!$A:$A,O$6)/10000</f>
        <v>2.5</v>
      </c>
      <c r="P109" s="121">
        <f>SUMIFS(社保明细!$J:$J,社保明细!$D:$D,$E109,社保明细!$E:$E,$F109,社保明细!$H:$H,"&gt;="&amp;P$9,社保明细!$H:$H,"&lt;="&amp;P$10,社保明细!$A:$A,P$6)/10000</f>
        <v>2.5</v>
      </c>
      <c r="Q109" s="121">
        <f>SUMIFS(社保明细!$J:$J,社保明细!$D:$D,$E109,社保明细!$E:$E,$F109,社保明细!$H:$H,"&gt;="&amp;Q$9,社保明细!$H:$H,"&lt;="&amp;Q$10,社保明细!$A:$A,Q$6)/10000</f>
        <v>2.4</v>
      </c>
      <c r="R109" s="121">
        <f>SUMIFS(社保明细!$J:$J,社保明细!$D:$D,$E109,社保明细!$E:$E,$F109,社保明细!$H:$H,"&gt;="&amp;R$9,社保明细!$H:$H,"&lt;="&amp;R$10,社保明细!$A:$A,R$6)/10000</f>
        <v>2.4</v>
      </c>
      <c r="S109" s="121">
        <f>SUMIFS(社保明细!$J:$J,社保明细!$D:$D,$E109,社保明细!$E:$E,$F109,社保明细!$H:$H,"&gt;="&amp;S$9,社保明细!$H:$H,"&lt;="&amp;S$10,社保明细!$A:$A,S$6)/10000</f>
        <v>2.4</v>
      </c>
      <c r="T109" s="125">
        <f t="shared" si="98"/>
        <v>29.5</v>
      </c>
      <c r="U109" s="121">
        <f>SUMIFS(社保明细!$J:$J,社保明细!$D:$D,$E109,社保明细!$E:$E,$F109,社保明细!$H:$H,"&gt;="&amp;U$9,社保明细!$H:$H,"&lt;="&amp;U$10,社保明细!$A:$A,U$6)/10000</f>
        <v>22.1</v>
      </c>
      <c r="V109" s="121">
        <f>SUMIFS(社保明细!$J:$J,社保明细!$D:$D,$E109,社保明细!$E:$E,$F109,社保明细!$H:$H,"&gt;="&amp;V$9,社保明细!$H:$H,"&lt;="&amp;V$10,社保明细!$A:$A,V$6)/10000</f>
        <v>2.4</v>
      </c>
      <c r="W109" s="121">
        <f>SUMIFS(社保明细!$J:$J,社保明细!$D:$D,$E109,社保明细!$E:$E,$F109,社保明细!$H:$H,"&gt;="&amp;W$9,社保明细!$H:$H,"&lt;="&amp;W$10,社保明细!$A:$A,W$6)/10000</f>
        <v>2.4</v>
      </c>
      <c r="X109" s="121">
        <f>SUMIFS(社保明细!$J:$J,社保明细!$D:$D,$E109,社保明细!$E:$E,$F109,社保明细!$H:$H,"&gt;="&amp;X$9,社保明细!$H:$H,"&lt;="&amp;X$10,社保明细!$A:$A,X$6)/10000</f>
        <v>2.5</v>
      </c>
      <c r="Y109" s="121">
        <f>SUMIFS(社保明细!$J:$J,社保明细!$D:$D,$E109,社保明细!$E:$E,$F109,社保明细!$H:$H,"&gt;="&amp;Y$9,社保明细!$H:$H,"&lt;="&amp;Y$10,社保明细!$A:$A,Y$6)/10000</f>
        <v>2.5</v>
      </c>
      <c r="Z109" s="121">
        <f>SUMIFS(社保明细!$J:$J,社保明细!$D:$D,$E109,社保明细!$E:$E,$F109,社保明细!$H:$H,"&gt;="&amp;Z$9,社保明细!$H:$H,"&lt;="&amp;Z$10,社保明细!$A:$A,Z$6)/10000</f>
        <v>2.4</v>
      </c>
      <c r="AA109" s="121">
        <f>SUMIFS(社保明细!$J:$J,社保明细!$D:$D,$E109,社保明细!$E:$E,$F109,社保明细!$H:$H,"&gt;="&amp;AA$9,社保明细!$H:$H,"&lt;="&amp;AA$10,社保明细!$A:$A,AA$6)/10000</f>
        <v>2.4</v>
      </c>
      <c r="AB109" s="121">
        <f>SUMIFS(社保明细!$J:$J,社保明细!$D:$D,$E109,社保明细!$E:$E,$F109,社保明细!$H:$H,"&gt;="&amp;AB$9,社保明细!$H:$H,"&lt;="&amp;AB$10,社保明细!$A:$A,AB$6)/10000</f>
        <v>2.4</v>
      </c>
      <c r="AC109" s="121">
        <f>SUMIFS(社保明细!$J:$J,社保明细!$D:$D,$E109,社保明细!$E:$E,$F109,社保明细!$H:$H,"&gt;="&amp;AC$9,社保明细!$H:$H,"&lt;="&amp;AC$10,社保明细!$A:$A,AC$6)/10000</f>
        <v>2.5</v>
      </c>
      <c r="AD109" s="121">
        <f>SUMIFS(社保明细!$J:$J,社保明细!$D:$D,$E109,社保明细!$E:$E,$F109,社保明细!$H:$H,"&gt;="&amp;AD$9,社保明细!$H:$H,"&lt;="&amp;AD$10,社保明细!$A:$A,AD$6)/10000</f>
        <v>2.5</v>
      </c>
      <c r="AE109" s="121">
        <f>SUMIFS(社保明细!$J:$J,社保明细!$D:$D,$E109,社保明细!$E:$E,$F109,社保明细!$H:$H,"&gt;="&amp;AE$9,社保明细!$H:$H,"&lt;="&amp;AE$10,社保明细!$A:$A,AE$6)/10000</f>
        <v>0</v>
      </c>
      <c r="AF109" s="121">
        <f>SUMIFS(社保明细!$J:$J,社保明细!$D:$D,$E109,社保明细!$E:$E,$F109,社保明细!$H:$H,"&gt;="&amp;AF$9,社保明细!$H:$H,"&lt;="&amp;AF$10,社保明细!$A:$A,AF$6)/10000</f>
        <v>0</v>
      </c>
      <c r="AG109" s="121">
        <f>SUMIFS(社保明细!$J:$J,社保明细!$D:$D,$E109,社保明细!$E:$E,$F109,社保明细!$H:$H,"&gt;="&amp;AG$9,社保明细!$H:$H,"&lt;="&amp;AG$10,社保明细!$A:$A,AG$6)/10000</f>
        <v>0</v>
      </c>
      <c r="AH109" s="121">
        <f>SUMIFS(社保明细!$J:$J,社保明细!$D:$D,$E109,社保明细!$E:$E,$F109,社保明细!$H:$H,"&gt;="&amp;AH$9,社保明细!$H:$H,"&lt;="&amp;AH$10,社保明细!$A:$A,AH$6)/10000</f>
        <v>7.4</v>
      </c>
      <c r="AI109" s="121">
        <f>SUMIFS(社保明细!$J:$J,社保明细!$D:$D,$E109,社保明细!$E:$E,$F109,社保明细!$H:$H,"&gt;="&amp;AI$9,社保明细!$H:$H,"&lt;="&amp;AI$10,社保明细!$A:$A,AI$6)/10000</f>
        <v>0</v>
      </c>
      <c r="AJ109" s="121">
        <f>SUMIFS(社保明细!$J:$J,社保明细!$D:$D,$E109,社保明细!$E:$E,$F109,社保明细!$H:$H,"&gt;="&amp;AJ$9,社保明细!$H:$H,"&lt;="&amp;AJ$10,社保明细!$A:$A,AJ$6)/10000</f>
        <v>0</v>
      </c>
      <c r="AK109" s="121">
        <f>SUMIFS(社保明细!$J:$J,社保明细!$D:$D,$E109,社保明细!$E:$E,$F109,社保明细!$H:$H,"&gt;="&amp;AK$9,社保明细!$H:$H,"&lt;="&amp;AK$10,社保明细!$A:$A,AK$6)/10000</f>
        <v>0</v>
      </c>
      <c r="AL109" s="121">
        <f>SUMIFS(社保明细!$J:$J,社保明细!$D:$D,$E109,社保明细!$E:$E,$F109,社保明细!$H:$H,"&gt;="&amp;AL$9,社保明细!$H:$H,"&lt;="&amp;AL$10,社保明细!$A:$A,AL$6)/10000</f>
        <v>0</v>
      </c>
      <c r="AM109" s="121">
        <f>SUMIFS(社保明细!$J:$J,社保明细!$D:$D,$E109,社保明细!$E:$E,$F109,社保明细!$H:$H,"&gt;="&amp;AM$9,社保明细!$H:$H,"&lt;="&amp;AM$10,社保明细!$A:$A,AM$6)/10000</f>
        <v>0</v>
      </c>
      <c r="AN109" s="121">
        <f>SUMIFS(社保明细!$J:$J,社保明细!$D:$D,$E109,社保明细!$E:$E,$F109,社保明细!$H:$H,"&gt;="&amp;AN$9,社保明细!$H:$H,"&lt;="&amp;AN$10,社保明细!$A:$A,AN$6)/10000</f>
        <v>0</v>
      </c>
      <c r="AO109" s="121">
        <f>SUMIFS(社保明细!$J:$J,社保明细!$D:$D,$E109,社保明细!$E:$E,$F109,社保明细!$H:$H,"&gt;="&amp;AO$9,社保明细!$H:$H,"&lt;="&amp;AO$10,社保明细!$A:$A,AO$6)/10000</f>
        <v>0</v>
      </c>
      <c r="AP109" s="121">
        <f>SUMIFS(社保明细!$J:$J,社保明细!$D:$D,$E109,社保明细!$E:$E,$F109,社保明细!$H:$H,"&gt;="&amp;AP$9,社保明细!$H:$H,"&lt;="&amp;AP$10,社保明细!$A:$A,AP$6)/10000</f>
        <v>0</v>
      </c>
      <c r="AQ109" s="121">
        <f>SUMIFS(社保明细!$J:$J,社保明细!$D:$D,$E109,社保明细!$E:$E,$F109,社保明细!$H:$H,"&gt;="&amp;AQ$9,社保明细!$H:$H,"&lt;="&amp;AQ$10,社保明细!$A:$A,AQ$6)/10000</f>
        <v>0</v>
      </c>
      <c r="AR109" s="121">
        <f>SUMIFS(社保明细!$J:$J,社保明细!$D:$D,$E109,社保明细!$E:$E,$F109,社保明细!$H:$H,"&gt;="&amp;AR$9,社保明细!$H:$H,"&lt;="&amp;AR$10,社保明细!$A:$A,AR$6)/10000</f>
        <v>2.5</v>
      </c>
      <c r="AS109" s="121">
        <f>SUMIFS(社保明细!$J:$J,社保明细!$D:$D,$E109,社保明细!$E:$E,$F109,社保明细!$H:$H,"&gt;="&amp;AS$9,社保明细!$H:$H,"&lt;="&amp;AS$10,社保明细!$A:$A,AS$6)/10000</f>
        <v>2.5</v>
      </c>
      <c r="AT109" s="121">
        <f>SUMIFS(社保明细!$J:$J,社保明细!$D:$D,$E109,社保明细!$E:$E,$F109,社保明细!$H:$H,"&gt;="&amp;AT$9,社保明细!$H:$H,"&lt;="&amp;AT$10,社保明细!$A:$A,AT$6)/10000</f>
        <v>2.4</v>
      </c>
      <c r="AU109" s="121">
        <f>SUMIFS(社保明细!$J:$J,社保明细!$D:$D,$E109,社保明细!$E:$E,$F109,社保明细!$H:$H,"&gt;="&amp;AU$9,社保明细!$H:$H,"&lt;="&amp;AU$10,社保明细!$A:$A,AU$6)/10000</f>
        <v>29.5</v>
      </c>
      <c r="AV109" s="121">
        <f>SUMIFS(社保明细!$J:$J,社保明细!$D:$D,$E109,社保明细!$E:$E,$F109,社保明细!$H:$H,"&gt;="&amp;AV$9,社保明细!$H:$H,"&lt;="&amp;AV$10,社保明细!$A:$A,AV$6)/10000</f>
        <v>2.5</v>
      </c>
      <c r="AW109" s="121">
        <f>SUMIFS(社保明细!$J:$J,社保明细!$D:$D,$E109,社保明细!$E:$E,$F109,社保明细!$H:$H,"&gt;="&amp;AW$9,社保明细!$H:$H,"&lt;="&amp;AW$10,社保明细!$A:$A,AW$6)/10000</f>
        <v>2.5</v>
      </c>
      <c r="AX109" s="121">
        <f>SUMIFS(社保明细!$J:$J,社保明细!$D:$D,$E109,社保明细!$E:$E,$F109,社保明细!$H:$H,"&gt;="&amp;AX$9,社保明细!$H:$H,"&lt;="&amp;AX$10,社保明细!$A:$A,AX$6)/10000</f>
        <v>2.5</v>
      </c>
      <c r="AY109" s="121">
        <f>SUMIFS(社保明细!$J:$J,社保明细!$D:$D,$E109,社保明细!$E:$E,$F109,社保明细!$H:$H,"&gt;="&amp;AY$9,社保明细!$H:$H,"&lt;="&amp;AY$10,社保明细!$A:$A,AY$6)/10000</f>
        <v>2.5</v>
      </c>
      <c r="AZ109" s="121">
        <f>SUMIFS(社保明细!$J:$J,社保明细!$D:$D,$E109,社保明细!$E:$E,$F109,社保明细!$H:$H,"&gt;="&amp;AZ$9,社保明细!$H:$H,"&lt;="&amp;AZ$10,社保明细!$A:$A,AZ$6)/10000</f>
        <v>2.5</v>
      </c>
      <c r="BA109" s="121">
        <f>SUMIFS(社保明细!$J:$J,社保明细!$D:$D,$E109,社保明细!$E:$E,$F109,社保明细!$H:$H,"&gt;="&amp;BA$9,社保明细!$H:$H,"&lt;="&amp;BA$10,社保明细!$A:$A,BA$6)/10000</f>
        <v>2.4</v>
      </c>
      <c r="BB109" s="121">
        <f>SUMIFS(社保明细!$J:$J,社保明细!$D:$D,$E109,社保明细!$E:$E,$F109,社保明细!$H:$H,"&gt;="&amp;BB$9,社保明细!$H:$H,"&lt;="&amp;BB$10,社保明细!$A:$A,BB$6)/10000</f>
        <v>2.4</v>
      </c>
      <c r="BC109" s="121">
        <f>SUMIFS(社保明细!$J:$J,社保明细!$D:$D,$E109,社保明细!$E:$E,$F109,社保明细!$H:$H,"&gt;="&amp;BC$9,社保明细!$H:$H,"&lt;="&amp;BC$10,社保明细!$A:$A,BC$6)/10000</f>
        <v>2.4</v>
      </c>
      <c r="BD109" s="121">
        <f>SUMIFS(社保明细!$J:$J,社保明细!$D:$D,$E109,社保明细!$E:$E,$F109,社保明细!$H:$H,"&gt;="&amp;BD$9,社保明细!$H:$H,"&lt;="&amp;BD$10,社保明细!$A:$A,BD$6)/10000</f>
        <v>2.5</v>
      </c>
      <c r="BE109" s="121">
        <f>SUMIFS(社保明细!$J:$J,社保明细!$D:$D,$E109,社保明细!$E:$E,$F109,社保明细!$H:$H,"&gt;="&amp;BE$9,社保明细!$H:$H,"&lt;="&amp;BE$10,社保明细!$A:$A,BE$6)/10000</f>
        <v>2.5</v>
      </c>
      <c r="BF109" s="121">
        <f>SUMIFS(社保明细!$J:$J,社保明细!$D:$D,$E109,社保明细!$E:$E,$F109,社保明细!$H:$H,"&gt;="&amp;BF$9,社保明细!$H:$H,"&lt;="&amp;BF$10,社保明细!$A:$A,BF$6)/10000</f>
        <v>2.4</v>
      </c>
      <c r="BG109" s="121">
        <f>SUMIFS(社保明细!$J:$J,社保明细!$D:$D,$E109,社保明细!$E:$E,$F109,社保明细!$H:$H,"&gt;="&amp;BG$9,社保明细!$H:$H,"&lt;="&amp;BG$10,社保明细!$A:$A,BG$6)/10000</f>
        <v>2.5</v>
      </c>
    </row>
    <row r="110" ht="16.2" spans="3:59">
      <c r="C110" s="42" t="s">
        <v>86</v>
      </c>
      <c r="D110" s="42"/>
      <c r="E110" s="116" t="str">
        <f t="shared" si="96"/>
        <v>支持中心</v>
      </c>
      <c r="F110" s="116" t="str">
        <f t="shared" si="97"/>
        <v>*</v>
      </c>
      <c r="G110" s="121">
        <f>SUMIFS(社保明细!$J:$J,社保明细!$D:$D,$E110,社保明细!$E:$E,$F110,社保明细!$H:$H,"&gt;="&amp;G$9,社保明细!$H:$H,"&lt;="&amp;G$10,社保明细!$A:$A,G$6)/10000</f>
        <v>61</v>
      </c>
      <c r="H110" s="121">
        <f>SUMIFS(社保明细!$J:$J,社保明细!$D:$D,$E110,社保明细!$E:$E,$F110,社保明细!$H:$H,"&gt;="&amp;H$9,社保明细!$H:$H,"&lt;="&amp;H$10,社保明细!$A:$A,H$6)/10000</f>
        <v>5.1</v>
      </c>
      <c r="I110" s="121">
        <f>SUMIFS(社保明细!$J:$J,社保明细!$D:$D,$E110,社保明细!$E:$E,$F110,社保明细!$H:$H,"&gt;="&amp;I$9,社保明细!$H:$H,"&lt;="&amp;I$10,社保明细!$A:$A,I$6)/10000</f>
        <v>5</v>
      </c>
      <c r="J110" s="121">
        <f>SUMIFS(社保明细!$J:$J,社保明细!$D:$D,$E110,社保明细!$E:$E,$F110,社保明细!$H:$H,"&gt;="&amp;J$9,社保明细!$H:$H,"&lt;="&amp;J$10,社保明细!$A:$A,J$6)/10000</f>
        <v>5.1</v>
      </c>
      <c r="K110" s="121">
        <f>SUMIFS(社保明细!$J:$J,社保明细!$D:$D,$E110,社保明细!$E:$E,$F110,社保明细!$H:$H,"&gt;="&amp;K$9,社保明细!$H:$H,"&lt;="&amp;K$10,社保明细!$A:$A,K$6)/10000</f>
        <v>5.1</v>
      </c>
      <c r="L110" s="121">
        <f>SUMIFS(社保明细!$J:$J,社保明细!$D:$D,$E110,社保明细!$E:$E,$F110,社保明细!$H:$H,"&gt;="&amp;L$9,社保明细!$H:$H,"&lt;="&amp;L$10,社保明细!$A:$A,L$6)/10000</f>
        <v>5.1</v>
      </c>
      <c r="M110" s="121">
        <f>SUMIFS(社保明细!$J:$J,社保明细!$D:$D,$E110,社保明细!$E:$E,$F110,社保明细!$H:$H,"&gt;="&amp;M$9,社保明细!$H:$H,"&lt;="&amp;M$10,社保明细!$A:$A,M$6)/10000</f>
        <v>5.1</v>
      </c>
      <c r="N110" s="121">
        <f>SUMIFS(社保明细!$J:$J,社保明细!$D:$D,$E110,社保明细!$E:$E,$F110,社保明细!$H:$H,"&gt;="&amp;N$9,社保明细!$H:$H,"&lt;="&amp;N$10,社保明细!$A:$A,N$6)/10000</f>
        <v>5.1</v>
      </c>
      <c r="O110" s="121">
        <f>SUMIFS(社保明细!$J:$J,社保明细!$D:$D,$E110,社保明细!$E:$E,$F110,社保明细!$H:$H,"&gt;="&amp;O$9,社保明细!$H:$H,"&lt;="&amp;O$10,社保明细!$A:$A,O$6)/10000</f>
        <v>5.1</v>
      </c>
      <c r="P110" s="121">
        <f>SUMIFS(社保明细!$J:$J,社保明细!$D:$D,$E110,社保明细!$E:$E,$F110,社保明细!$H:$H,"&gt;="&amp;P$9,社保明细!$H:$H,"&lt;="&amp;P$10,社保明细!$A:$A,P$6)/10000</f>
        <v>5.1</v>
      </c>
      <c r="Q110" s="121">
        <f>SUMIFS(社保明细!$J:$J,社保明细!$D:$D,$E110,社保明细!$E:$E,$F110,社保明细!$H:$H,"&gt;="&amp;Q$9,社保明细!$H:$H,"&lt;="&amp;Q$10,社保明细!$A:$A,Q$6)/10000</f>
        <v>5.1</v>
      </c>
      <c r="R110" s="121">
        <f>SUMIFS(社保明细!$J:$J,社保明细!$D:$D,$E110,社保明细!$E:$E,$F110,社保明细!$H:$H,"&gt;="&amp;R$9,社保明细!$H:$H,"&lt;="&amp;R$10,社保明细!$A:$A,R$6)/10000</f>
        <v>5.1</v>
      </c>
      <c r="S110" s="121">
        <f>SUMIFS(社保明细!$J:$J,社保明细!$D:$D,$E110,社保明细!$E:$E,$F110,社保明细!$H:$H,"&gt;="&amp;S$9,社保明细!$H:$H,"&lt;="&amp;S$10,社保明细!$A:$A,S$6)/10000</f>
        <v>5.1</v>
      </c>
      <c r="T110" s="125">
        <f t="shared" si="98"/>
        <v>61.1</v>
      </c>
      <c r="U110" s="121">
        <f>SUMIFS(社保明细!$J:$J,社保明细!$D:$D,$E110,社保明细!$E:$E,$F110,社保明细!$H:$H,"&gt;="&amp;U$9,社保明细!$H:$H,"&lt;="&amp;U$10,社保明细!$A:$A,U$6)/10000</f>
        <v>45.8</v>
      </c>
      <c r="V110" s="121">
        <f>SUMIFS(社保明细!$J:$J,社保明细!$D:$D,$E110,社保明细!$E:$E,$F110,社保明细!$H:$H,"&gt;="&amp;V$9,社保明细!$H:$H,"&lt;="&amp;V$10,社保明细!$A:$A,V$6)/10000</f>
        <v>5.1</v>
      </c>
      <c r="W110" s="121">
        <f>SUMIFS(社保明细!$J:$J,社保明细!$D:$D,$E110,社保明细!$E:$E,$F110,社保明细!$H:$H,"&gt;="&amp;W$9,社保明细!$H:$H,"&lt;="&amp;W$10,社保明细!$A:$A,W$6)/10000</f>
        <v>5.1</v>
      </c>
      <c r="X110" s="121">
        <f>SUMIFS(社保明细!$J:$J,社保明细!$D:$D,$E110,社保明细!$E:$E,$F110,社保明细!$H:$H,"&gt;="&amp;X$9,社保明细!$H:$H,"&lt;="&amp;X$10,社保明细!$A:$A,X$6)/10000</f>
        <v>5.1</v>
      </c>
      <c r="Y110" s="121">
        <f>SUMIFS(社保明细!$J:$J,社保明细!$D:$D,$E110,社保明细!$E:$E,$F110,社保明细!$H:$H,"&gt;="&amp;Y$9,社保明细!$H:$H,"&lt;="&amp;Y$10,社保明细!$A:$A,Y$6)/10000</f>
        <v>5.1</v>
      </c>
      <c r="Z110" s="121">
        <f>SUMIFS(社保明细!$J:$J,社保明细!$D:$D,$E110,社保明细!$E:$E,$F110,社保明细!$H:$H,"&gt;="&amp;Z$9,社保明细!$H:$H,"&lt;="&amp;Z$10,社保明细!$A:$A,Z$6)/10000</f>
        <v>5.1</v>
      </c>
      <c r="AA110" s="121">
        <f>SUMIFS(社保明细!$J:$J,社保明细!$D:$D,$E110,社保明细!$E:$E,$F110,社保明细!$H:$H,"&gt;="&amp;AA$9,社保明细!$H:$H,"&lt;="&amp;AA$10,社保明细!$A:$A,AA$6)/10000</f>
        <v>5.1</v>
      </c>
      <c r="AB110" s="121">
        <f>SUMIFS(社保明细!$J:$J,社保明细!$D:$D,$E110,社保明细!$E:$E,$F110,社保明细!$H:$H,"&gt;="&amp;AB$9,社保明细!$H:$H,"&lt;="&amp;AB$10,社保明细!$A:$A,AB$6)/10000</f>
        <v>5.1</v>
      </c>
      <c r="AC110" s="121">
        <f>SUMIFS(社保明细!$J:$J,社保明细!$D:$D,$E110,社保明细!$E:$E,$F110,社保明细!$H:$H,"&gt;="&amp;AC$9,社保明细!$H:$H,"&lt;="&amp;AC$10,社保明细!$A:$A,AC$6)/10000</f>
        <v>5.1</v>
      </c>
      <c r="AD110" s="121">
        <f>SUMIFS(社保明细!$J:$J,社保明细!$D:$D,$E110,社保明细!$E:$E,$F110,社保明细!$H:$H,"&gt;="&amp;AD$9,社保明细!$H:$H,"&lt;="&amp;AD$10,社保明细!$A:$A,AD$6)/10000</f>
        <v>5</v>
      </c>
      <c r="AE110" s="121">
        <f>SUMIFS(社保明细!$J:$J,社保明细!$D:$D,$E110,社保明细!$E:$E,$F110,社保明细!$H:$H,"&gt;="&amp;AE$9,社保明细!$H:$H,"&lt;="&amp;AE$10,社保明细!$A:$A,AE$6)/10000</f>
        <v>0</v>
      </c>
      <c r="AF110" s="121">
        <f>SUMIFS(社保明细!$J:$J,社保明细!$D:$D,$E110,社保明细!$E:$E,$F110,社保明细!$H:$H,"&gt;="&amp;AF$9,社保明细!$H:$H,"&lt;="&amp;AF$10,社保明细!$A:$A,AF$6)/10000</f>
        <v>0</v>
      </c>
      <c r="AG110" s="121">
        <f>SUMIFS(社保明细!$J:$J,社保明细!$D:$D,$E110,社保明细!$E:$E,$F110,社保明细!$H:$H,"&gt;="&amp;AG$9,社保明细!$H:$H,"&lt;="&amp;AG$10,社保明细!$A:$A,AG$6)/10000</f>
        <v>0</v>
      </c>
      <c r="AH110" s="121">
        <f>SUMIFS(社保明细!$J:$J,社保明细!$D:$D,$E110,社保明细!$E:$E,$F110,社保明细!$H:$H,"&gt;="&amp;AH$9,社保明细!$H:$H,"&lt;="&amp;AH$10,社保明细!$A:$A,AH$6)/10000</f>
        <v>15.3</v>
      </c>
      <c r="AI110" s="121">
        <f>SUMIFS(社保明细!$J:$J,社保明细!$D:$D,$E110,社保明细!$E:$E,$F110,社保明细!$H:$H,"&gt;="&amp;AI$9,社保明细!$H:$H,"&lt;="&amp;AI$10,社保明细!$A:$A,AI$6)/10000</f>
        <v>0</v>
      </c>
      <c r="AJ110" s="121">
        <f>SUMIFS(社保明细!$J:$J,社保明细!$D:$D,$E110,社保明细!$E:$E,$F110,社保明细!$H:$H,"&gt;="&amp;AJ$9,社保明细!$H:$H,"&lt;="&amp;AJ$10,社保明细!$A:$A,AJ$6)/10000</f>
        <v>0</v>
      </c>
      <c r="AK110" s="121">
        <f>SUMIFS(社保明细!$J:$J,社保明细!$D:$D,$E110,社保明细!$E:$E,$F110,社保明细!$H:$H,"&gt;="&amp;AK$9,社保明细!$H:$H,"&lt;="&amp;AK$10,社保明细!$A:$A,AK$6)/10000</f>
        <v>0</v>
      </c>
      <c r="AL110" s="121">
        <f>SUMIFS(社保明细!$J:$J,社保明细!$D:$D,$E110,社保明细!$E:$E,$F110,社保明细!$H:$H,"&gt;="&amp;AL$9,社保明细!$H:$H,"&lt;="&amp;AL$10,社保明细!$A:$A,AL$6)/10000</f>
        <v>0</v>
      </c>
      <c r="AM110" s="121">
        <f>SUMIFS(社保明细!$J:$J,社保明细!$D:$D,$E110,社保明细!$E:$E,$F110,社保明细!$H:$H,"&gt;="&amp;AM$9,社保明细!$H:$H,"&lt;="&amp;AM$10,社保明细!$A:$A,AM$6)/10000</f>
        <v>0</v>
      </c>
      <c r="AN110" s="121">
        <f>SUMIFS(社保明细!$J:$J,社保明细!$D:$D,$E110,社保明细!$E:$E,$F110,社保明细!$H:$H,"&gt;="&amp;AN$9,社保明细!$H:$H,"&lt;="&amp;AN$10,社保明细!$A:$A,AN$6)/10000</f>
        <v>0</v>
      </c>
      <c r="AO110" s="121">
        <f>SUMIFS(社保明细!$J:$J,社保明细!$D:$D,$E110,社保明细!$E:$E,$F110,社保明细!$H:$H,"&gt;="&amp;AO$9,社保明细!$H:$H,"&lt;="&amp;AO$10,社保明细!$A:$A,AO$6)/10000</f>
        <v>0</v>
      </c>
      <c r="AP110" s="121">
        <f>SUMIFS(社保明细!$J:$J,社保明细!$D:$D,$E110,社保明细!$E:$E,$F110,社保明细!$H:$H,"&gt;="&amp;AP$9,社保明细!$H:$H,"&lt;="&amp;AP$10,社保明细!$A:$A,AP$6)/10000</f>
        <v>0</v>
      </c>
      <c r="AQ110" s="121">
        <f>SUMIFS(社保明细!$J:$J,社保明细!$D:$D,$E110,社保明细!$E:$E,$F110,社保明细!$H:$H,"&gt;="&amp;AQ$9,社保明细!$H:$H,"&lt;="&amp;AQ$10,社保明细!$A:$A,AQ$6)/10000</f>
        <v>0</v>
      </c>
      <c r="AR110" s="121">
        <f>SUMIFS(社保明细!$J:$J,社保明细!$D:$D,$E110,社保明细!$E:$E,$F110,社保明细!$H:$H,"&gt;="&amp;AR$9,社保明细!$H:$H,"&lt;="&amp;AR$10,社保明细!$A:$A,AR$6)/10000</f>
        <v>5.1</v>
      </c>
      <c r="AS110" s="121">
        <f>SUMIFS(社保明细!$J:$J,社保明细!$D:$D,$E110,社保明细!$E:$E,$F110,社保明细!$H:$H,"&gt;="&amp;AS$9,社保明细!$H:$H,"&lt;="&amp;AS$10,社保明细!$A:$A,AS$6)/10000</f>
        <v>5.1</v>
      </c>
      <c r="AT110" s="121">
        <f>SUMIFS(社保明细!$J:$J,社保明细!$D:$D,$E110,社保明细!$E:$E,$F110,社保明细!$H:$H,"&gt;="&amp;AT$9,社保明细!$H:$H,"&lt;="&amp;AT$10,社保明细!$A:$A,AT$6)/10000</f>
        <v>5.1</v>
      </c>
      <c r="AU110" s="121">
        <f>SUMIFS(社保明细!$J:$J,社保明细!$D:$D,$E110,社保明细!$E:$E,$F110,社保明细!$H:$H,"&gt;="&amp;AU$9,社保明细!$H:$H,"&lt;="&amp;AU$10,社保明细!$A:$A,AU$6)/10000</f>
        <v>61</v>
      </c>
      <c r="AV110" s="121">
        <f>SUMIFS(社保明细!$J:$J,社保明细!$D:$D,$E110,社保明细!$E:$E,$F110,社保明细!$H:$H,"&gt;="&amp;AV$9,社保明细!$H:$H,"&lt;="&amp;AV$10,社保明细!$A:$A,AV$6)/10000</f>
        <v>5</v>
      </c>
      <c r="AW110" s="121">
        <f>SUMIFS(社保明细!$J:$J,社保明细!$D:$D,$E110,社保明细!$E:$E,$F110,社保明细!$H:$H,"&gt;="&amp;AW$9,社保明细!$H:$H,"&lt;="&amp;AW$10,社保明细!$A:$A,AW$6)/10000</f>
        <v>5.2</v>
      </c>
      <c r="AX110" s="121">
        <f>SUMIFS(社保明细!$J:$J,社保明细!$D:$D,$E110,社保明细!$E:$E,$F110,社保明细!$H:$H,"&gt;="&amp;AX$9,社保明细!$H:$H,"&lt;="&amp;AX$10,社保明细!$A:$A,AX$6)/10000</f>
        <v>5</v>
      </c>
      <c r="AY110" s="121">
        <f>SUMIFS(社保明细!$J:$J,社保明细!$D:$D,$E110,社保明细!$E:$E,$F110,社保明细!$H:$H,"&gt;="&amp;AY$9,社保明细!$H:$H,"&lt;="&amp;AY$10,社保明细!$A:$A,AY$6)/10000</f>
        <v>5.1</v>
      </c>
      <c r="AZ110" s="121">
        <f>SUMIFS(社保明细!$J:$J,社保明细!$D:$D,$E110,社保明细!$E:$E,$F110,社保明细!$H:$H,"&gt;="&amp;AZ$9,社保明细!$H:$H,"&lt;="&amp;AZ$10,社保明细!$A:$A,AZ$6)/10000</f>
        <v>5.1</v>
      </c>
      <c r="BA110" s="121">
        <f>SUMIFS(社保明细!$J:$J,社保明细!$D:$D,$E110,社保明细!$E:$E,$F110,社保明细!$H:$H,"&gt;="&amp;BA$9,社保明细!$H:$H,"&lt;="&amp;BA$10,社保明细!$A:$A,BA$6)/10000</f>
        <v>5</v>
      </c>
      <c r="BB110" s="121">
        <f>SUMIFS(社保明细!$J:$J,社保明细!$D:$D,$E110,社保明细!$E:$E,$F110,社保明细!$H:$H,"&gt;="&amp;BB$9,社保明细!$H:$H,"&lt;="&amp;BB$10,社保明细!$A:$A,BB$6)/10000</f>
        <v>5.1</v>
      </c>
      <c r="BC110" s="121">
        <f>SUMIFS(社保明细!$J:$J,社保明细!$D:$D,$E110,社保明细!$E:$E,$F110,社保明细!$H:$H,"&gt;="&amp;BC$9,社保明细!$H:$H,"&lt;="&amp;BC$10,社保明细!$A:$A,BC$6)/10000</f>
        <v>5.1</v>
      </c>
      <c r="BD110" s="121">
        <f>SUMIFS(社保明细!$J:$J,社保明细!$D:$D,$E110,社保明细!$E:$E,$F110,社保明细!$H:$H,"&gt;="&amp;BD$9,社保明细!$H:$H,"&lt;="&amp;BD$10,社保明细!$A:$A,BD$6)/10000</f>
        <v>5.1</v>
      </c>
      <c r="BE110" s="121">
        <f>SUMIFS(社保明细!$J:$J,社保明细!$D:$D,$E110,社保明细!$E:$E,$F110,社保明细!$H:$H,"&gt;="&amp;BE$9,社保明细!$H:$H,"&lt;="&amp;BE$10,社保明细!$A:$A,BE$6)/10000</f>
        <v>5.1</v>
      </c>
      <c r="BF110" s="121">
        <f>SUMIFS(社保明细!$J:$J,社保明细!$D:$D,$E110,社保明细!$E:$E,$F110,社保明细!$H:$H,"&gt;="&amp;BF$9,社保明细!$H:$H,"&lt;="&amp;BF$10,社保明细!$A:$A,BF$6)/10000</f>
        <v>5</v>
      </c>
      <c r="BG110" s="121">
        <f>SUMIFS(社保明细!$J:$J,社保明细!$D:$D,$E110,社保明细!$E:$E,$F110,社保明细!$H:$H,"&gt;="&amp;BG$9,社保明细!$H:$H,"&lt;="&amp;BG$10,社保明细!$A:$A,BG$6)/10000</f>
        <v>5</v>
      </c>
    </row>
    <row r="111" ht="16.2" spans="3:59">
      <c r="C111" s="42"/>
      <c r="D111" s="42" t="s">
        <v>87</v>
      </c>
      <c r="E111" s="116" t="str">
        <f t="shared" si="96"/>
        <v>支持中心</v>
      </c>
      <c r="F111" s="116" t="str">
        <f t="shared" si="97"/>
        <v>财务部</v>
      </c>
      <c r="G111" s="121">
        <f>SUMIFS(社保明细!$J:$J,社保明细!$D:$D,$E111,社保明细!$E:$E,$F111,社保明细!$H:$H,"&gt;="&amp;G$9,社保明细!$H:$H,"&lt;="&amp;G$10,社保明细!$A:$A,G$6)/10000</f>
        <v>23.8</v>
      </c>
      <c r="H111" s="121">
        <f>SUMIFS(社保明细!$J:$J,社保明细!$D:$D,$E111,社保明细!$E:$E,$F111,社保明细!$H:$H,"&gt;="&amp;H$9,社保明细!$H:$H,"&lt;="&amp;H$10,社保明细!$A:$A,H$6)/10000</f>
        <v>2</v>
      </c>
      <c r="I111" s="121">
        <f>SUMIFS(社保明细!$J:$J,社保明细!$D:$D,$E111,社保明细!$E:$E,$F111,社保明细!$H:$H,"&gt;="&amp;I$9,社保明细!$H:$H,"&lt;="&amp;I$10,社保明细!$A:$A,I$6)/10000</f>
        <v>2</v>
      </c>
      <c r="J111" s="121">
        <f>SUMIFS(社保明细!$J:$J,社保明细!$D:$D,$E111,社保明细!$E:$E,$F111,社保明细!$H:$H,"&gt;="&amp;J$9,社保明细!$H:$H,"&lt;="&amp;J$10,社保明细!$A:$A,J$6)/10000</f>
        <v>2</v>
      </c>
      <c r="K111" s="121">
        <f>SUMIFS(社保明细!$J:$J,社保明细!$D:$D,$E111,社保明细!$E:$E,$F111,社保明细!$H:$H,"&gt;="&amp;K$9,社保明细!$H:$H,"&lt;="&amp;K$10,社保明细!$A:$A,K$6)/10000</f>
        <v>2</v>
      </c>
      <c r="L111" s="121">
        <f>SUMIFS(社保明细!$J:$J,社保明细!$D:$D,$E111,社保明细!$E:$E,$F111,社保明细!$H:$H,"&gt;="&amp;L$9,社保明细!$H:$H,"&lt;="&amp;L$10,社保明细!$A:$A,L$6)/10000</f>
        <v>2</v>
      </c>
      <c r="M111" s="121">
        <f>SUMIFS(社保明细!$J:$J,社保明细!$D:$D,$E111,社保明细!$E:$E,$F111,社保明细!$H:$H,"&gt;="&amp;M$9,社保明细!$H:$H,"&lt;="&amp;M$10,社保明细!$A:$A,M$6)/10000</f>
        <v>2</v>
      </c>
      <c r="N111" s="121">
        <f>SUMIFS(社保明细!$J:$J,社保明细!$D:$D,$E111,社保明细!$E:$E,$F111,社保明细!$H:$H,"&gt;="&amp;N$9,社保明细!$H:$H,"&lt;="&amp;N$10,社保明细!$A:$A,N$6)/10000</f>
        <v>2</v>
      </c>
      <c r="O111" s="121">
        <f>SUMIFS(社保明细!$J:$J,社保明细!$D:$D,$E111,社保明细!$E:$E,$F111,社保明细!$H:$H,"&gt;="&amp;O$9,社保明细!$H:$H,"&lt;="&amp;O$10,社保明细!$A:$A,O$6)/10000</f>
        <v>2</v>
      </c>
      <c r="P111" s="121">
        <f>SUMIFS(社保明细!$J:$J,社保明细!$D:$D,$E111,社保明细!$E:$E,$F111,社保明细!$H:$H,"&gt;="&amp;P$9,社保明细!$H:$H,"&lt;="&amp;P$10,社保明细!$A:$A,P$6)/10000</f>
        <v>2</v>
      </c>
      <c r="Q111" s="121">
        <f>SUMIFS(社保明细!$J:$J,社保明细!$D:$D,$E111,社保明细!$E:$E,$F111,社保明细!$H:$H,"&gt;="&amp;Q$9,社保明细!$H:$H,"&lt;="&amp;Q$10,社保明细!$A:$A,Q$6)/10000</f>
        <v>2</v>
      </c>
      <c r="R111" s="121">
        <f>SUMIFS(社保明细!$J:$J,社保明细!$D:$D,$E111,社保明细!$E:$E,$F111,社保明细!$H:$H,"&gt;="&amp;R$9,社保明细!$H:$H,"&lt;="&amp;R$10,社保明细!$A:$A,R$6)/10000</f>
        <v>2</v>
      </c>
      <c r="S111" s="121">
        <f>SUMIFS(社保明细!$J:$J,社保明细!$D:$D,$E111,社保明细!$E:$E,$F111,社保明细!$H:$H,"&gt;="&amp;S$9,社保明细!$H:$H,"&lt;="&amp;S$10,社保明细!$A:$A,S$6)/10000</f>
        <v>2</v>
      </c>
      <c r="T111" s="125">
        <f t="shared" si="98"/>
        <v>23.9</v>
      </c>
      <c r="U111" s="121">
        <f>SUMIFS(社保明细!$J:$J,社保明细!$D:$D,$E111,社保明细!$E:$E,$F111,社保明细!$H:$H,"&gt;="&amp;U$9,社保明细!$H:$H,"&lt;="&amp;U$10,社保明细!$A:$A,U$6)/10000</f>
        <v>17.9</v>
      </c>
      <c r="V111" s="121">
        <f>SUMIFS(社保明细!$J:$J,社保明细!$D:$D,$E111,社保明细!$E:$E,$F111,社保明细!$H:$H,"&gt;="&amp;V$9,社保明细!$H:$H,"&lt;="&amp;V$10,社保明细!$A:$A,V$6)/10000</f>
        <v>2</v>
      </c>
      <c r="W111" s="121">
        <f>SUMIFS(社保明细!$J:$J,社保明细!$D:$D,$E111,社保明细!$E:$E,$F111,社保明细!$H:$H,"&gt;="&amp;W$9,社保明细!$H:$H,"&lt;="&amp;W$10,社保明细!$A:$A,W$6)/10000</f>
        <v>2</v>
      </c>
      <c r="X111" s="121">
        <f>SUMIFS(社保明细!$J:$J,社保明细!$D:$D,$E111,社保明细!$E:$E,$F111,社保明细!$H:$H,"&gt;="&amp;X$9,社保明细!$H:$H,"&lt;="&amp;X$10,社保明细!$A:$A,X$6)/10000</f>
        <v>2</v>
      </c>
      <c r="Y111" s="121">
        <f>SUMIFS(社保明细!$J:$J,社保明细!$D:$D,$E111,社保明细!$E:$E,$F111,社保明细!$H:$H,"&gt;="&amp;Y$9,社保明细!$H:$H,"&lt;="&amp;Y$10,社保明细!$A:$A,Y$6)/10000</f>
        <v>2</v>
      </c>
      <c r="Z111" s="121">
        <f>SUMIFS(社保明细!$J:$J,社保明细!$D:$D,$E111,社保明细!$E:$E,$F111,社保明细!$H:$H,"&gt;="&amp;Z$9,社保明细!$H:$H,"&lt;="&amp;Z$10,社保明细!$A:$A,Z$6)/10000</f>
        <v>2</v>
      </c>
      <c r="AA111" s="121">
        <f>SUMIFS(社保明细!$J:$J,社保明细!$D:$D,$E111,社保明细!$E:$E,$F111,社保明细!$H:$H,"&gt;="&amp;AA$9,社保明细!$H:$H,"&lt;="&amp;AA$10,社保明细!$A:$A,AA$6)/10000</f>
        <v>2</v>
      </c>
      <c r="AB111" s="121">
        <f>SUMIFS(社保明细!$J:$J,社保明细!$D:$D,$E111,社保明细!$E:$E,$F111,社保明细!$H:$H,"&gt;="&amp;AB$9,社保明细!$H:$H,"&lt;="&amp;AB$10,社保明细!$A:$A,AB$6)/10000</f>
        <v>2</v>
      </c>
      <c r="AC111" s="121">
        <f>SUMIFS(社保明细!$J:$J,社保明细!$D:$D,$E111,社保明细!$E:$E,$F111,社保明细!$H:$H,"&gt;="&amp;AC$9,社保明细!$H:$H,"&lt;="&amp;AC$10,社保明细!$A:$A,AC$6)/10000</f>
        <v>2</v>
      </c>
      <c r="AD111" s="121">
        <f>SUMIFS(社保明细!$J:$J,社保明细!$D:$D,$E111,社保明细!$E:$E,$F111,社保明细!$H:$H,"&gt;="&amp;AD$9,社保明细!$H:$H,"&lt;="&amp;AD$10,社保明细!$A:$A,AD$6)/10000</f>
        <v>2</v>
      </c>
      <c r="AE111" s="121">
        <f>SUMIFS(社保明细!$J:$J,社保明细!$D:$D,$E111,社保明细!$E:$E,$F111,社保明细!$H:$H,"&gt;="&amp;AE$9,社保明细!$H:$H,"&lt;="&amp;AE$10,社保明细!$A:$A,AE$6)/10000</f>
        <v>0</v>
      </c>
      <c r="AF111" s="121">
        <f>SUMIFS(社保明细!$J:$J,社保明细!$D:$D,$E111,社保明细!$E:$E,$F111,社保明细!$H:$H,"&gt;="&amp;AF$9,社保明细!$H:$H,"&lt;="&amp;AF$10,社保明细!$A:$A,AF$6)/10000</f>
        <v>0</v>
      </c>
      <c r="AG111" s="121">
        <f>SUMIFS(社保明细!$J:$J,社保明细!$D:$D,$E111,社保明细!$E:$E,$F111,社保明细!$H:$H,"&gt;="&amp;AG$9,社保明细!$H:$H,"&lt;="&amp;AG$10,社保明细!$A:$A,AG$6)/10000</f>
        <v>0</v>
      </c>
      <c r="AH111" s="121">
        <f>SUMIFS(社保明细!$J:$J,社保明细!$D:$D,$E111,社保明细!$E:$E,$F111,社保明细!$H:$H,"&gt;="&amp;AH$9,社保明细!$H:$H,"&lt;="&amp;AH$10,社保明细!$A:$A,AH$6)/10000</f>
        <v>6</v>
      </c>
      <c r="AI111" s="121">
        <f>SUMIFS(社保明细!$J:$J,社保明细!$D:$D,$E111,社保明细!$E:$E,$F111,社保明细!$H:$H,"&gt;="&amp;AI$9,社保明细!$H:$H,"&lt;="&amp;AI$10,社保明细!$A:$A,AI$6)/10000</f>
        <v>0</v>
      </c>
      <c r="AJ111" s="121">
        <f>SUMIFS(社保明细!$J:$J,社保明细!$D:$D,$E111,社保明细!$E:$E,$F111,社保明细!$H:$H,"&gt;="&amp;AJ$9,社保明细!$H:$H,"&lt;="&amp;AJ$10,社保明细!$A:$A,AJ$6)/10000</f>
        <v>0</v>
      </c>
      <c r="AK111" s="121">
        <f>SUMIFS(社保明细!$J:$J,社保明细!$D:$D,$E111,社保明细!$E:$E,$F111,社保明细!$H:$H,"&gt;="&amp;AK$9,社保明细!$H:$H,"&lt;="&amp;AK$10,社保明细!$A:$A,AK$6)/10000</f>
        <v>0</v>
      </c>
      <c r="AL111" s="121">
        <f>SUMIFS(社保明细!$J:$J,社保明细!$D:$D,$E111,社保明细!$E:$E,$F111,社保明细!$H:$H,"&gt;="&amp;AL$9,社保明细!$H:$H,"&lt;="&amp;AL$10,社保明细!$A:$A,AL$6)/10000</f>
        <v>0</v>
      </c>
      <c r="AM111" s="121">
        <f>SUMIFS(社保明细!$J:$J,社保明细!$D:$D,$E111,社保明细!$E:$E,$F111,社保明细!$H:$H,"&gt;="&amp;AM$9,社保明细!$H:$H,"&lt;="&amp;AM$10,社保明细!$A:$A,AM$6)/10000</f>
        <v>0</v>
      </c>
      <c r="AN111" s="121">
        <f>SUMIFS(社保明细!$J:$J,社保明细!$D:$D,$E111,社保明细!$E:$E,$F111,社保明细!$H:$H,"&gt;="&amp;AN$9,社保明细!$H:$H,"&lt;="&amp;AN$10,社保明细!$A:$A,AN$6)/10000</f>
        <v>0</v>
      </c>
      <c r="AO111" s="121">
        <f>SUMIFS(社保明细!$J:$J,社保明细!$D:$D,$E111,社保明细!$E:$E,$F111,社保明细!$H:$H,"&gt;="&amp;AO$9,社保明细!$H:$H,"&lt;="&amp;AO$10,社保明细!$A:$A,AO$6)/10000</f>
        <v>0</v>
      </c>
      <c r="AP111" s="121">
        <f>SUMIFS(社保明细!$J:$J,社保明细!$D:$D,$E111,社保明细!$E:$E,$F111,社保明细!$H:$H,"&gt;="&amp;AP$9,社保明细!$H:$H,"&lt;="&amp;AP$10,社保明细!$A:$A,AP$6)/10000</f>
        <v>0</v>
      </c>
      <c r="AQ111" s="121">
        <f>SUMIFS(社保明细!$J:$J,社保明细!$D:$D,$E111,社保明细!$E:$E,$F111,社保明细!$H:$H,"&gt;="&amp;AQ$9,社保明细!$H:$H,"&lt;="&amp;AQ$10,社保明细!$A:$A,AQ$6)/10000</f>
        <v>0</v>
      </c>
      <c r="AR111" s="121">
        <f>SUMIFS(社保明细!$J:$J,社保明细!$D:$D,$E111,社保明细!$E:$E,$F111,社保明细!$H:$H,"&gt;="&amp;AR$9,社保明细!$H:$H,"&lt;="&amp;AR$10,社保明细!$A:$A,AR$6)/10000</f>
        <v>2</v>
      </c>
      <c r="AS111" s="121">
        <f>SUMIFS(社保明细!$J:$J,社保明细!$D:$D,$E111,社保明细!$E:$E,$F111,社保明细!$H:$H,"&gt;="&amp;AS$9,社保明细!$H:$H,"&lt;="&amp;AS$10,社保明细!$A:$A,AS$6)/10000</f>
        <v>2</v>
      </c>
      <c r="AT111" s="121">
        <f>SUMIFS(社保明细!$J:$J,社保明细!$D:$D,$E111,社保明细!$E:$E,$F111,社保明细!$H:$H,"&gt;="&amp;AT$9,社保明细!$H:$H,"&lt;="&amp;AT$10,社保明细!$A:$A,AT$6)/10000</f>
        <v>2</v>
      </c>
      <c r="AU111" s="121">
        <f>SUMIFS(社保明细!$J:$J,社保明细!$D:$D,$E111,社保明细!$E:$E,$F111,社保明细!$H:$H,"&gt;="&amp;AU$9,社保明细!$H:$H,"&lt;="&amp;AU$10,社保明细!$A:$A,AU$6)/10000</f>
        <v>23.9</v>
      </c>
      <c r="AV111" s="121">
        <f>SUMIFS(社保明细!$J:$J,社保明细!$D:$D,$E111,社保明细!$E:$E,$F111,社保明细!$H:$H,"&gt;="&amp;AV$9,社保明细!$H:$H,"&lt;="&amp;AV$10,社保明细!$A:$A,AV$6)/10000</f>
        <v>2</v>
      </c>
      <c r="AW111" s="121">
        <f>SUMIFS(社保明细!$J:$J,社保明细!$D:$D,$E111,社保明细!$E:$E,$F111,社保明细!$H:$H,"&gt;="&amp;AW$9,社保明细!$H:$H,"&lt;="&amp;AW$10,社保明细!$A:$A,AW$6)/10000</f>
        <v>2</v>
      </c>
      <c r="AX111" s="121">
        <f>SUMIFS(社保明细!$J:$J,社保明细!$D:$D,$E111,社保明细!$E:$E,$F111,社保明细!$H:$H,"&gt;="&amp;AX$9,社保明细!$H:$H,"&lt;="&amp;AX$10,社保明细!$A:$A,AX$6)/10000</f>
        <v>2</v>
      </c>
      <c r="AY111" s="121">
        <f>SUMIFS(社保明细!$J:$J,社保明细!$D:$D,$E111,社保明细!$E:$E,$F111,社保明细!$H:$H,"&gt;="&amp;AY$9,社保明细!$H:$H,"&lt;="&amp;AY$10,社保明细!$A:$A,AY$6)/10000</f>
        <v>2</v>
      </c>
      <c r="AZ111" s="121">
        <f>SUMIFS(社保明细!$J:$J,社保明细!$D:$D,$E111,社保明细!$E:$E,$F111,社保明细!$H:$H,"&gt;="&amp;AZ$9,社保明细!$H:$H,"&lt;="&amp;AZ$10,社保明细!$A:$A,AZ$6)/10000</f>
        <v>2</v>
      </c>
      <c r="BA111" s="121">
        <f>SUMIFS(社保明细!$J:$J,社保明细!$D:$D,$E111,社保明细!$E:$E,$F111,社保明细!$H:$H,"&gt;="&amp;BA$9,社保明细!$H:$H,"&lt;="&amp;BA$10,社保明细!$A:$A,BA$6)/10000</f>
        <v>2</v>
      </c>
      <c r="BB111" s="121">
        <f>SUMIFS(社保明细!$J:$J,社保明细!$D:$D,$E111,社保明细!$E:$E,$F111,社保明细!$H:$H,"&gt;="&amp;BB$9,社保明细!$H:$H,"&lt;="&amp;BB$10,社保明细!$A:$A,BB$6)/10000</f>
        <v>2</v>
      </c>
      <c r="BC111" s="121">
        <f>SUMIFS(社保明细!$J:$J,社保明细!$D:$D,$E111,社保明细!$E:$E,$F111,社保明细!$H:$H,"&gt;="&amp;BC$9,社保明细!$H:$H,"&lt;="&amp;BC$10,社保明细!$A:$A,BC$6)/10000</f>
        <v>2</v>
      </c>
      <c r="BD111" s="121">
        <f>SUMIFS(社保明细!$J:$J,社保明细!$D:$D,$E111,社保明细!$E:$E,$F111,社保明细!$H:$H,"&gt;="&amp;BD$9,社保明细!$H:$H,"&lt;="&amp;BD$10,社保明细!$A:$A,BD$6)/10000</f>
        <v>2</v>
      </c>
      <c r="BE111" s="121">
        <f>SUMIFS(社保明细!$J:$J,社保明细!$D:$D,$E111,社保明细!$E:$E,$F111,社保明细!$H:$H,"&gt;="&amp;BE$9,社保明细!$H:$H,"&lt;="&amp;BE$10,社保明细!$A:$A,BE$6)/10000</f>
        <v>2</v>
      </c>
      <c r="BF111" s="121">
        <f>SUMIFS(社保明细!$J:$J,社保明细!$D:$D,$E111,社保明细!$E:$E,$F111,社保明细!$H:$H,"&gt;="&amp;BF$9,社保明细!$H:$H,"&lt;="&amp;BF$10,社保明细!$A:$A,BF$6)/10000</f>
        <v>2</v>
      </c>
      <c r="BG111" s="121">
        <f>SUMIFS(社保明细!$J:$J,社保明细!$D:$D,$E111,社保明细!$E:$E,$F111,社保明细!$H:$H,"&gt;="&amp;BG$9,社保明细!$H:$H,"&lt;="&amp;BG$10,社保明细!$A:$A,BG$6)/10000</f>
        <v>2</v>
      </c>
    </row>
    <row r="112" ht="16.2" spans="3:59">
      <c r="C112" s="42"/>
      <c r="D112" s="42" t="s">
        <v>88</v>
      </c>
      <c r="E112" s="116" t="str">
        <f t="shared" si="96"/>
        <v>支持中心</v>
      </c>
      <c r="F112" s="116" t="str">
        <f t="shared" si="97"/>
        <v>人力资源部</v>
      </c>
      <c r="G112" s="121">
        <f>SUMIFS(社保明细!$J:$J,社保明细!$D:$D,$E112,社保明细!$E:$E,$F112,社保明细!$H:$H,"&gt;="&amp;G$9,社保明细!$H:$H,"&lt;="&amp;G$10,社保明细!$A:$A,G$6)/10000</f>
        <v>21.2</v>
      </c>
      <c r="H112" s="121">
        <f>SUMIFS(社保明细!$J:$J,社保明细!$D:$D,$E112,社保明细!$E:$E,$F112,社保明细!$H:$H,"&gt;="&amp;H$9,社保明细!$H:$H,"&lt;="&amp;H$10,社保明细!$A:$A,H$6)/10000</f>
        <v>1.8</v>
      </c>
      <c r="I112" s="121">
        <f>SUMIFS(社保明细!$J:$J,社保明细!$D:$D,$E112,社保明细!$E:$E,$F112,社保明细!$H:$H,"&gt;="&amp;I$9,社保明细!$H:$H,"&lt;="&amp;I$10,社保明细!$A:$A,I$6)/10000</f>
        <v>1.7</v>
      </c>
      <c r="J112" s="121">
        <f>SUMIFS(社保明细!$J:$J,社保明细!$D:$D,$E112,社保明细!$E:$E,$F112,社保明细!$H:$H,"&gt;="&amp;J$9,社保明细!$H:$H,"&lt;="&amp;J$10,社保明细!$A:$A,J$6)/10000</f>
        <v>1.8</v>
      </c>
      <c r="K112" s="121">
        <f>SUMIFS(社保明细!$J:$J,社保明细!$D:$D,$E112,社保明细!$E:$E,$F112,社保明细!$H:$H,"&gt;="&amp;K$9,社保明细!$H:$H,"&lt;="&amp;K$10,社保明细!$A:$A,K$6)/10000</f>
        <v>1.8</v>
      </c>
      <c r="L112" s="121">
        <f>SUMIFS(社保明细!$J:$J,社保明细!$D:$D,$E112,社保明细!$E:$E,$F112,社保明细!$H:$H,"&gt;="&amp;L$9,社保明细!$H:$H,"&lt;="&amp;L$10,社保明细!$A:$A,L$6)/10000</f>
        <v>1.7</v>
      </c>
      <c r="M112" s="121">
        <f>SUMIFS(社保明细!$J:$J,社保明细!$D:$D,$E112,社保明细!$E:$E,$F112,社保明细!$H:$H,"&gt;="&amp;M$9,社保明细!$H:$H,"&lt;="&amp;M$10,社保明细!$A:$A,M$6)/10000</f>
        <v>1.8</v>
      </c>
      <c r="N112" s="121">
        <f>SUMIFS(社保明细!$J:$J,社保明细!$D:$D,$E112,社保明细!$E:$E,$F112,社保明细!$H:$H,"&gt;="&amp;N$9,社保明细!$H:$H,"&lt;="&amp;N$10,社保明细!$A:$A,N$6)/10000</f>
        <v>1.8</v>
      </c>
      <c r="O112" s="121">
        <f>SUMIFS(社保明细!$J:$J,社保明细!$D:$D,$E112,社保明细!$E:$E,$F112,社保明细!$H:$H,"&gt;="&amp;O$9,社保明细!$H:$H,"&lt;="&amp;O$10,社保明细!$A:$A,O$6)/10000</f>
        <v>1.8</v>
      </c>
      <c r="P112" s="121">
        <f>SUMIFS(社保明细!$J:$J,社保明细!$D:$D,$E112,社保明细!$E:$E,$F112,社保明细!$H:$H,"&gt;="&amp;P$9,社保明细!$H:$H,"&lt;="&amp;P$10,社保明细!$A:$A,P$6)/10000</f>
        <v>1.8</v>
      </c>
      <c r="Q112" s="121">
        <f>SUMIFS(社保明细!$J:$J,社保明细!$D:$D,$E112,社保明细!$E:$E,$F112,社保明细!$H:$H,"&gt;="&amp;Q$9,社保明细!$H:$H,"&lt;="&amp;Q$10,社保明细!$A:$A,Q$6)/10000</f>
        <v>1.8</v>
      </c>
      <c r="R112" s="121">
        <f>SUMIFS(社保明细!$J:$J,社保明细!$D:$D,$E112,社保明细!$E:$E,$F112,社保明细!$H:$H,"&gt;="&amp;R$9,社保明细!$H:$H,"&lt;="&amp;R$10,社保明细!$A:$A,R$6)/10000</f>
        <v>1.8</v>
      </c>
      <c r="S112" s="121">
        <f>SUMIFS(社保明细!$J:$J,社保明细!$D:$D,$E112,社保明细!$E:$E,$F112,社保明细!$H:$H,"&gt;="&amp;S$9,社保明细!$H:$H,"&lt;="&amp;S$10,社保明细!$A:$A,S$6)/10000</f>
        <v>1.8</v>
      </c>
      <c r="T112" s="125">
        <f t="shared" si="98"/>
        <v>21.4</v>
      </c>
      <c r="U112" s="121">
        <f>SUMIFS(社保明细!$J:$J,社保明细!$D:$D,$E112,社保明细!$E:$E,$F112,社保明细!$H:$H,"&gt;="&amp;U$9,社保明细!$H:$H,"&lt;="&amp;U$10,社保明细!$A:$A,U$6)/10000</f>
        <v>16</v>
      </c>
      <c r="V112" s="121">
        <f>SUMIFS(社保明细!$J:$J,社保明细!$D:$D,$E112,社保明细!$E:$E,$F112,社保明细!$H:$H,"&gt;="&amp;V$9,社保明细!$H:$H,"&lt;="&amp;V$10,社保明细!$A:$A,V$6)/10000</f>
        <v>1.8</v>
      </c>
      <c r="W112" s="121">
        <f>SUMIFS(社保明细!$J:$J,社保明细!$D:$D,$E112,社保明细!$E:$E,$F112,社保明细!$H:$H,"&gt;="&amp;W$9,社保明细!$H:$H,"&lt;="&amp;W$10,社保明细!$A:$A,W$6)/10000</f>
        <v>1.8</v>
      </c>
      <c r="X112" s="121">
        <f>SUMIFS(社保明细!$J:$J,社保明细!$D:$D,$E112,社保明细!$E:$E,$F112,社保明细!$H:$H,"&gt;="&amp;X$9,社保明细!$H:$H,"&lt;="&amp;X$10,社保明细!$A:$A,X$6)/10000</f>
        <v>1.8</v>
      </c>
      <c r="Y112" s="121">
        <f>SUMIFS(社保明细!$J:$J,社保明细!$D:$D,$E112,社保明细!$E:$E,$F112,社保明细!$H:$H,"&gt;="&amp;Y$9,社保明细!$H:$H,"&lt;="&amp;Y$10,社保明细!$A:$A,Y$6)/10000</f>
        <v>1.8</v>
      </c>
      <c r="Z112" s="121">
        <f>SUMIFS(社保明细!$J:$J,社保明细!$D:$D,$E112,社保明细!$E:$E,$F112,社保明细!$H:$H,"&gt;="&amp;Z$9,社保明细!$H:$H,"&lt;="&amp;Z$10,社保明细!$A:$A,Z$6)/10000</f>
        <v>1.8</v>
      </c>
      <c r="AA112" s="121">
        <f>SUMIFS(社保明细!$J:$J,社保明细!$D:$D,$E112,社保明细!$E:$E,$F112,社保明细!$H:$H,"&gt;="&amp;AA$9,社保明细!$H:$H,"&lt;="&amp;AA$10,社保明细!$A:$A,AA$6)/10000</f>
        <v>1.8</v>
      </c>
      <c r="AB112" s="121">
        <f>SUMIFS(社保明细!$J:$J,社保明细!$D:$D,$E112,社保明细!$E:$E,$F112,社保明细!$H:$H,"&gt;="&amp;AB$9,社保明细!$H:$H,"&lt;="&amp;AB$10,社保明细!$A:$A,AB$6)/10000</f>
        <v>1.8</v>
      </c>
      <c r="AC112" s="121">
        <f>SUMIFS(社保明细!$J:$J,社保明细!$D:$D,$E112,社保明细!$E:$E,$F112,社保明细!$H:$H,"&gt;="&amp;AC$9,社保明细!$H:$H,"&lt;="&amp;AC$10,社保明细!$A:$A,AC$6)/10000</f>
        <v>1.8</v>
      </c>
      <c r="AD112" s="121">
        <f>SUMIFS(社保明细!$J:$J,社保明细!$D:$D,$E112,社保明细!$E:$E,$F112,社保明细!$H:$H,"&gt;="&amp;AD$9,社保明细!$H:$H,"&lt;="&amp;AD$10,社保明细!$A:$A,AD$6)/10000</f>
        <v>1.8</v>
      </c>
      <c r="AE112" s="121">
        <f>SUMIFS(社保明细!$J:$J,社保明细!$D:$D,$E112,社保明细!$E:$E,$F112,社保明细!$H:$H,"&gt;="&amp;AE$9,社保明细!$H:$H,"&lt;="&amp;AE$10,社保明细!$A:$A,AE$6)/10000</f>
        <v>0</v>
      </c>
      <c r="AF112" s="121">
        <f>SUMIFS(社保明细!$J:$J,社保明细!$D:$D,$E112,社保明细!$E:$E,$F112,社保明细!$H:$H,"&gt;="&amp;AF$9,社保明细!$H:$H,"&lt;="&amp;AF$10,社保明细!$A:$A,AF$6)/10000</f>
        <v>0</v>
      </c>
      <c r="AG112" s="121">
        <f>SUMIFS(社保明细!$J:$J,社保明细!$D:$D,$E112,社保明细!$E:$E,$F112,社保明细!$H:$H,"&gt;="&amp;AG$9,社保明细!$H:$H,"&lt;="&amp;AG$10,社保明细!$A:$A,AG$6)/10000</f>
        <v>0</v>
      </c>
      <c r="AH112" s="121">
        <f>SUMIFS(社保明细!$J:$J,社保明细!$D:$D,$E112,社保明细!$E:$E,$F112,社保明细!$H:$H,"&gt;="&amp;AH$9,社保明细!$H:$H,"&lt;="&amp;AH$10,社保明细!$A:$A,AH$6)/10000</f>
        <v>5.4</v>
      </c>
      <c r="AI112" s="121">
        <f>SUMIFS(社保明细!$J:$J,社保明细!$D:$D,$E112,社保明细!$E:$E,$F112,社保明细!$H:$H,"&gt;="&amp;AI$9,社保明细!$H:$H,"&lt;="&amp;AI$10,社保明细!$A:$A,AI$6)/10000</f>
        <v>0</v>
      </c>
      <c r="AJ112" s="121">
        <f>SUMIFS(社保明细!$J:$J,社保明细!$D:$D,$E112,社保明细!$E:$E,$F112,社保明细!$H:$H,"&gt;="&amp;AJ$9,社保明细!$H:$H,"&lt;="&amp;AJ$10,社保明细!$A:$A,AJ$6)/10000</f>
        <v>0</v>
      </c>
      <c r="AK112" s="121">
        <f>SUMIFS(社保明细!$J:$J,社保明细!$D:$D,$E112,社保明细!$E:$E,$F112,社保明细!$H:$H,"&gt;="&amp;AK$9,社保明细!$H:$H,"&lt;="&amp;AK$10,社保明细!$A:$A,AK$6)/10000</f>
        <v>0</v>
      </c>
      <c r="AL112" s="121">
        <f>SUMIFS(社保明细!$J:$J,社保明细!$D:$D,$E112,社保明细!$E:$E,$F112,社保明细!$H:$H,"&gt;="&amp;AL$9,社保明细!$H:$H,"&lt;="&amp;AL$10,社保明细!$A:$A,AL$6)/10000</f>
        <v>0</v>
      </c>
      <c r="AM112" s="121">
        <f>SUMIFS(社保明细!$J:$J,社保明细!$D:$D,$E112,社保明细!$E:$E,$F112,社保明细!$H:$H,"&gt;="&amp;AM$9,社保明细!$H:$H,"&lt;="&amp;AM$10,社保明细!$A:$A,AM$6)/10000</f>
        <v>0</v>
      </c>
      <c r="AN112" s="121">
        <f>SUMIFS(社保明细!$J:$J,社保明细!$D:$D,$E112,社保明细!$E:$E,$F112,社保明细!$H:$H,"&gt;="&amp;AN$9,社保明细!$H:$H,"&lt;="&amp;AN$10,社保明细!$A:$A,AN$6)/10000</f>
        <v>0</v>
      </c>
      <c r="AO112" s="121">
        <f>SUMIFS(社保明细!$J:$J,社保明细!$D:$D,$E112,社保明细!$E:$E,$F112,社保明细!$H:$H,"&gt;="&amp;AO$9,社保明细!$H:$H,"&lt;="&amp;AO$10,社保明细!$A:$A,AO$6)/10000</f>
        <v>0</v>
      </c>
      <c r="AP112" s="121">
        <f>SUMIFS(社保明细!$J:$J,社保明细!$D:$D,$E112,社保明细!$E:$E,$F112,社保明细!$H:$H,"&gt;="&amp;AP$9,社保明细!$H:$H,"&lt;="&amp;AP$10,社保明细!$A:$A,AP$6)/10000</f>
        <v>0</v>
      </c>
      <c r="AQ112" s="121">
        <f>SUMIFS(社保明细!$J:$J,社保明细!$D:$D,$E112,社保明细!$E:$E,$F112,社保明细!$H:$H,"&gt;="&amp;AQ$9,社保明细!$H:$H,"&lt;="&amp;AQ$10,社保明细!$A:$A,AQ$6)/10000</f>
        <v>0</v>
      </c>
      <c r="AR112" s="121">
        <f>SUMIFS(社保明细!$J:$J,社保明细!$D:$D,$E112,社保明细!$E:$E,$F112,社保明细!$H:$H,"&gt;="&amp;AR$9,社保明细!$H:$H,"&lt;="&amp;AR$10,社保明细!$A:$A,AR$6)/10000</f>
        <v>1.8</v>
      </c>
      <c r="AS112" s="121">
        <f>SUMIFS(社保明细!$J:$J,社保明细!$D:$D,$E112,社保明细!$E:$E,$F112,社保明细!$H:$H,"&gt;="&amp;AS$9,社保明细!$H:$H,"&lt;="&amp;AS$10,社保明细!$A:$A,AS$6)/10000</f>
        <v>1.8</v>
      </c>
      <c r="AT112" s="121">
        <f>SUMIFS(社保明细!$J:$J,社保明细!$D:$D,$E112,社保明细!$E:$E,$F112,社保明细!$H:$H,"&gt;="&amp;AT$9,社保明细!$H:$H,"&lt;="&amp;AT$10,社保明细!$A:$A,AT$6)/10000</f>
        <v>1.8</v>
      </c>
      <c r="AU112" s="121">
        <f>SUMIFS(社保明细!$J:$J,社保明细!$D:$D,$E112,社保明细!$E:$E,$F112,社保明细!$H:$H,"&gt;="&amp;AU$9,社保明细!$H:$H,"&lt;="&amp;AU$10,社保明细!$A:$A,AU$6)/10000</f>
        <v>21.2</v>
      </c>
      <c r="AV112" s="121">
        <f>SUMIFS(社保明细!$J:$J,社保明细!$D:$D,$E112,社保明细!$E:$E,$F112,社保明细!$H:$H,"&gt;="&amp;AV$9,社保明细!$H:$H,"&lt;="&amp;AV$10,社保明细!$A:$A,AV$6)/10000</f>
        <v>1.7</v>
      </c>
      <c r="AW112" s="121">
        <f>SUMIFS(社保明细!$J:$J,社保明细!$D:$D,$E112,社保明细!$E:$E,$F112,社保明细!$H:$H,"&gt;="&amp;AW$9,社保明细!$H:$H,"&lt;="&amp;AW$10,社保明细!$A:$A,AW$6)/10000</f>
        <v>1.8</v>
      </c>
      <c r="AX112" s="121">
        <f>SUMIFS(社保明细!$J:$J,社保明细!$D:$D,$E112,社保明细!$E:$E,$F112,社保明细!$H:$H,"&gt;="&amp;AX$9,社保明细!$H:$H,"&lt;="&amp;AX$10,社保明细!$A:$A,AX$6)/10000</f>
        <v>1.8</v>
      </c>
      <c r="AY112" s="121">
        <f>SUMIFS(社保明细!$J:$J,社保明细!$D:$D,$E112,社保明细!$E:$E,$F112,社保明细!$H:$H,"&gt;="&amp;AY$9,社保明细!$H:$H,"&lt;="&amp;AY$10,社保明细!$A:$A,AY$6)/10000</f>
        <v>1.8</v>
      </c>
      <c r="AZ112" s="121">
        <f>SUMIFS(社保明细!$J:$J,社保明细!$D:$D,$E112,社保明细!$E:$E,$F112,社保明细!$H:$H,"&gt;="&amp;AZ$9,社保明细!$H:$H,"&lt;="&amp;AZ$10,社保明细!$A:$A,AZ$6)/10000</f>
        <v>1.8</v>
      </c>
      <c r="BA112" s="121">
        <f>SUMIFS(社保明细!$J:$J,社保明细!$D:$D,$E112,社保明细!$E:$E,$F112,社保明细!$H:$H,"&gt;="&amp;BA$9,社保明细!$H:$H,"&lt;="&amp;BA$10,社保明细!$A:$A,BA$6)/10000</f>
        <v>1.8</v>
      </c>
      <c r="BB112" s="121">
        <f>SUMIFS(社保明细!$J:$J,社保明细!$D:$D,$E112,社保明细!$E:$E,$F112,社保明细!$H:$H,"&gt;="&amp;BB$9,社保明细!$H:$H,"&lt;="&amp;BB$10,社保明细!$A:$A,BB$6)/10000</f>
        <v>1.7</v>
      </c>
      <c r="BC112" s="121">
        <f>SUMIFS(社保明细!$J:$J,社保明细!$D:$D,$E112,社保明细!$E:$E,$F112,社保明细!$H:$H,"&gt;="&amp;BC$9,社保明细!$H:$H,"&lt;="&amp;BC$10,社保明细!$A:$A,BC$6)/10000</f>
        <v>1.8</v>
      </c>
      <c r="BD112" s="121">
        <f>SUMIFS(社保明细!$J:$J,社保明细!$D:$D,$E112,社保明细!$E:$E,$F112,社保明细!$H:$H,"&gt;="&amp;BD$9,社保明细!$H:$H,"&lt;="&amp;BD$10,社保明细!$A:$A,BD$6)/10000</f>
        <v>1.8</v>
      </c>
      <c r="BE112" s="121">
        <f>SUMIFS(社保明细!$J:$J,社保明细!$D:$D,$E112,社保明细!$E:$E,$F112,社保明细!$H:$H,"&gt;="&amp;BE$9,社保明细!$H:$H,"&lt;="&amp;BE$10,社保明细!$A:$A,BE$6)/10000</f>
        <v>1.8</v>
      </c>
      <c r="BF112" s="121">
        <f>SUMIFS(社保明细!$J:$J,社保明细!$D:$D,$E112,社保明细!$E:$E,$F112,社保明细!$H:$H,"&gt;="&amp;BF$9,社保明细!$H:$H,"&lt;="&amp;BF$10,社保明细!$A:$A,BF$6)/10000</f>
        <v>1.7</v>
      </c>
      <c r="BG112" s="121">
        <f>SUMIFS(社保明细!$J:$J,社保明细!$D:$D,$E112,社保明细!$E:$E,$F112,社保明细!$H:$H,"&gt;="&amp;BG$9,社保明细!$H:$H,"&lt;="&amp;BG$10,社保明细!$A:$A,BG$6)/10000</f>
        <v>1.8</v>
      </c>
    </row>
    <row r="113" ht="16.2" spans="3:59">
      <c r="C113" s="42"/>
      <c r="D113" s="42" t="s">
        <v>89</v>
      </c>
      <c r="E113" s="116" t="str">
        <f t="shared" si="96"/>
        <v>支持中心</v>
      </c>
      <c r="F113" s="116" t="str">
        <f t="shared" si="97"/>
        <v>IT部</v>
      </c>
      <c r="G113" s="121">
        <f>SUMIFS(社保明细!$J:$J,社保明细!$D:$D,$E113,社保明细!$E:$E,$F113,社保明细!$H:$H,"&gt;="&amp;G$9,社保明细!$H:$H,"&lt;="&amp;G$10,社保明细!$A:$A,G$6)/10000</f>
        <v>10</v>
      </c>
      <c r="H113" s="121">
        <f>SUMIFS(社保明细!$J:$J,社保明细!$D:$D,$E113,社保明细!$E:$E,$F113,社保明细!$H:$H,"&gt;="&amp;H$9,社保明细!$H:$H,"&lt;="&amp;H$10,社保明细!$A:$A,H$6)/10000</f>
        <v>0.9</v>
      </c>
      <c r="I113" s="121">
        <f>SUMIFS(社保明细!$J:$J,社保明细!$D:$D,$E113,社保明细!$E:$E,$F113,社保明细!$H:$H,"&gt;="&amp;I$9,社保明细!$H:$H,"&lt;="&amp;I$10,社保明细!$A:$A,I$6)/10000</f>
        <v>0.8</v>
      </c>
      <c r="J113" s="121">
        <f>SUMIFS(社保明细!$J:$J,社保明细!$D:$D,$E113,社保明细!$E:$E,$F113,社保明细!$H:$H,"&gt;="&amp;J$9,社保明细!$H:$H,"&lt;="&amp;J$10,社保明细!$A:$A,J$6)/10000</f>
        <v>0.8</v>
      </c>
      <c r="K113" s="121">
        <f>SUMIFS(社保明细!$J:$J,社保明细!$D:$D,$E113,社保明细!$E:$E,$F113,社保明细!$H:$H,"&gt;="&amp;K$9,社保明细!$H:$H,"&lt;="&amp;K$10,社保明细!$A:$A,K$6)/10000</f>
        <v>0.8</v>
      </c>
      <c r="L113" s="121">
        <f>SUMIFS(社保明细!$J:$J,社保明细!$D:$D,$E113,社保明细!$E:$E,$F113,社保明细!$H:$H,"&gt;="&amp;L$9,社保明细!$H:$H,"&lt;="&amp;L$10,社保明细!$A:$A,L$6)/10000</f>
        <v>0.8</v>
      </c>
      <c r="M113" s="121">
        <f>SUMIFS(社保明细!$J:$J,社保明细!$D:$D,$E113,社保明细!$E:$E,$F113,社保明细!$H:$H,"&gt;="&amp;M$9,社保明细!$H:$H,"&lt;="&amp;M$10,社保明细!$A:$A,M$6)/10000</f>
        <v>0.8</v>
      </c>
      <c r="N113" s="121">
        <f>SUMIFS(社保明细!$J:$J,社保明细!$D:$D,$E113,社保明细!$E:$E,$F113,社保明细!$H:$H,"&gt;="&amp;N$9,社保明细!$H:$H,"&lt;="&amp;N$10,社保明细!$A:$A,N$6)/10000</f>
        <v>0.8</v>
      </c>
      <c r="O113" s="121">
        <f>SUMIFS(社保明细!$J:$J,社保明细!$D:$D,$E113,社保明细!$E:$E,$F113,社保明细!$H:$H,"&gt;="&amp;O$9,社保明细!$H:$H,"&lt;="&amp;O$10,社保明细!$A:$A,O$6)/10000</f>
        <v>0.8</v>
      </c>
      <c r="P113" s="121">
        <f>SUMIFS(社保明细!$J:$J,社保明细!$D:$D,$E113,社保明细!$E:$E,$F113,社保明细!$H:$H,"&gt;="&amp;P$9,社保明细!$H:$H,"&lt;="&amp;P$10,社保明细!$A:$A,P$6)/10000</f>
        <v>0.8</v>
      </c>
      <c r="Q113" s="121">
        <f>SUMIFS(社保明细!$J:$J,社保明细!$D:$D,$E113,社保明细!$E:$E,$F113,社保明细!$H:$H,"&gt;="&amp;Q$9,社保明细!$H:$H,"&lt;="&amp;Q$10,社保明细!$A:$A,Q$6)/10000</f>
        <v>0.8</v>
      </c>
      <c r="R113" s="121">
        <f>SUMIFS(社保明细!$J:$J,社保明细!$D:$D,$E113,社保明细!$E:$E,$F113,社保明细!$H:$H,"&gt;="&amp;R$9,社保明细!$H:$H,"&lt;="&amp;R$10,社保明细!$A:$A,R$6)/10000</f>
        <v>0.8</v>
      </c>
      <c r="S113" s="121">
        <f>SUMIFS(社保明细!$J:$J,社保明细!$D:$D,$E113,社保明细!$E:$E,$F113,社保明细!$H:$H,"&gt;="&amp;S$9,社保明细!$H:$H,"&lt;="&amp;S$10,社保明细!$A:$A,S$6)/10000</f>
        <v>0.8</v>
      </c>
      <c r="T113" s="125">
        <f t="shared" si="98"/>
        <v>10</v>
      </c>
      <c r="U113" s="121">
        <f>SUMIFS(社保明细!$J:$J,社保明细!$D:$D,$E113,社保明细!$E:$E,$F113,社保明细!$H:$H,"&gt;="&amp;U$9,社保明细!$H:$H,"&lt;="&amp;U$10,社保明细!$A:$A,U$6)/10000</f>
        <v>7.5</v>
      </c>
      <c r="V113" s="121">
        <f>SUMIFS(社保明细!$J:$J,社保明细!$D:$D,$E113,社保明细!$E:$E,$F113,社保明细!$H:$H,"&gt;="&amp;V$9,社保明细!$H:$H,"&lt;="&amp;V$10,社保明细!$A:$A,V$6)/10000</f>
        <v>0.8</v>
      </c>
      <c r="W113" s="121">
        <f>SUMIFS(社保明细!$J:$J,社保明细!$D:$D,$E113,社保明细!$E:$E,$F113,社保明细!$H:$H,"&gt;="&amp;W$9,社保明细!$H:$H,"&lt;="&amp;W$10,社保明细!$A:$A,W$6)/10000</f>
        <v>0.8</v>
      </c>
      <c r="X113" s="121">
        <f>SUMIFS(社保明细!$J:$J,社保明细!$D:$D,$E113,社保明细!$E:$E,$F113,社保明细!$H:$H,"&gt;="&amp;X$9,社保明细!$H:$H,"&lt;="&amp;X$10,社保明细!$A:$A,X$6)/10000</f>
        <v>0.8</v>
      </c>
      <c r="Y113" s="121">
        <f>SUMIFS(社保明细!$J:$J,社保明细!$D:$D,$E113,社保明细!$E:$E,$F113,社保明细!$H:$H,"&gt;="&amp;Y$9,社保明细!$H:$H,"&lt;="&amp;Y$10,社保明细!$A:$A,Y$6)/10000</f>
        <v>0.8</v>
      </c>
      <c r="Z113" s="121">
        <f>SUMIFS(社保明细!$J:$J,社保明细!$D:$D,$E113,社保明细!$E:$E,$F113,社保明细!$H:$H,"&gt;="&amp;Z$9,社保明细!$H:$H,"&lt;="&amp;Z$10,社保明细!$A:$A,Z$6)/10000</f>
        <v>0.8</v>
      </c>
      <c r="AA113" s="121">
        <f>SUMIFS(社保明细!$J:$J,社保明细!$D:$D,$E113,社保明细!$E:$E,$F113,社保明细!$H:$H,"&gt;="&amp;AA$9,社保明细!$H:$H,"&lt;="&amp;AA$10,社保明细!$A:$A,AA$6)/10000</f>
        <v>0.8</v>
      </c>
      <c r="AB113" s="121">
        <f>SUMIFS(社保明细!$J:$J,社保明细!$D:$D,$E113,社保明细!$E:$E,$F113,社保明细!$H:$H,"&gt;="&amp;AB$9,社保明细!$H:$H,"&lt;="&amp;AB$10,社保明细!$A:$A,AB$6)/10000</f>
        <v>0.8</v>
      </c>
      <c r="AC113" s="121">
        <f>SUMIFS(社保明细!$J:$J,社保明细!$D:$D,$E113,社保明细!$E:$E,$F113,社保明细!$H:$H,"&gt;="&amp;AC$9,社保明细!$H:$H,"&lt;="&amp;AC$10,社保明细!$A:$A,AC$6)/10000</f>
        <v>0.8</v>
      </c>
      <c r="AD113" s="121">
        <f>SUMIFS(社保明细!$J:$J,社保明细!$D:$D,$E113,社保明细!$E:$E,$F113,社保明细!$H:$H,"&gt;="&amp;AD$9,社保明细!$H:$H,"&lt;="&amp;AD$10,社保明细!$A:$A,AD$6)/10000</f>
        <v>0.8</v>
      </c>
      <c r="AE113" s="121">
        <f>SUMIFS(社保明细!$J:$J,社保明细!$D:$D,$E113,社保明细!$E:$E,$F113,社保明细!$H:$H,"&gt;="&amp;AE$9,社保明细!$H:$H,"&lt;="&amp;AE$10,社保明细!$A:$A,AE$6)/10000</f>
        <v>0</v>
      </c>
      <c r="AF113" s="121">
        <f>SUMIFS(社保明细!$J:$J,社保明细!$D:$D,$E113,社保明细!$E:$E,$F113,社保明细!$H:$H,"&gt;="&amp;AF$9,社保明细!$H:$H,"&lt;="&amp;AF$10,社保明细!$A:$A,AF$6)/10000</f>
        <v>0</v>
      </c>
      <c r="AG113" s="121">
        <f>SUMIFS(社保明细!$J:$J,社保明细!$D:$D,$E113,社保明细!$E:$E,$F113,社保明细!$H:$H,"&gt;="&amp;AG$9,社保明细!$H:$H,"&lt;="&amp;AG$10,社保明细!$A:$A,AG$6)/10000</f>
        <v>0</v>
      </c>
      <c r="AH113" s="121">
        <f>SUMIFS(社保明细!$J:$J,社保明细!$D:$D,$E113,社保明细!$E:$E,$F113,社保明细!$H:$H,"&gt;="&amp;AH$9,社保明细!$H:$H,"&lt;="&amp;AH$10,社保明细!$A:$A,AH$6)/10000</f>
        <v>2.5</v>
      </c>
      <c r="AI113" s="121">
        <f>SUMIFS(社保明细!$J:$J,社保明细!$D:$D,$E113,社保明细!$E:$E,$F113,社保明细!$H:$H,"&gt;="&amp;AI$9,社保明细!$H:$H,"&lt;="&amp;AI$10,社保明细!$A:$A,AI$6)/10000</f>
        <v>0</v>
      </c>
      <c r="AJ113" s="121">
        <f>SUMIFS(社保明细!$J:$J,社保明细!$D:$D,$E113,社保明细!$E:$E,$F113,社保明细!$H:$H,"&gt;="&amp;AJ$9,社保明细!$H:$H,"&lt;="&amp;AJ$10,社保明细!$A:$A,AJ$6)/10000</f>
        <v>0</v>
      </c>
      <c r="AK113" s="121">
        <f>SUMIFS(社保明细!$J:$J,社保明细!$D:$D,$E113,社保明细!$E:$E,$F113,社保明细!$H:$H,"&gt;="&amp;AK$9,社保明细!$H:$H,"&lt;="&amp;AK$10,社保明细!$A:$A,AK$6)/10000</f>
        <v>0</v>
      </c>
      <c r="AL113" s="121">
        <f>SUMIFS(社保明细!$J:$J,社保明细!$D:$D,$E113,社保明细!$E:$E,$F113,社保明细!$H:$H,"&gt;="&amp;AL$9,社保明细!$H:$H,"&lt;="&amp;AL$10,社保明细!$A:$A,AL$6)/10000</f>
        <v>0</v>
      </c>
      <c r="AM113" s="121">
        <f>SUMIFS(社保明细!$J:$J,社保明细!$D:$D,$E113,社保明细!$E:$E,$F113,社保明细!$H:$H,"&gt;="&amp;AM$9,社保明细!$H:$H,"&lt;="&amp;AM$10,社保明细!$A:$A,AM$6)/10000</f>
        <v>0</v>
      </c>
      <c r="AN113" s="121">
        <f>SUMIFS(社保明细!$J:$J,社保明细!$D:$D,$E113,社保明细!$E:$E,$F113,社保明细!$H:$H,"&gt;="&amp;AN$9,社保明细!$H:$H,"&lt;="&amp;AN$10,社保明细!$A:$A,AN$6)/10000</f>
        <v>0</v>
      </c>
      <c r="AO113" s="121">
        <f>SUMIFS(社保明细!$J:$J,社保明细!$D:$D,$E113,社保明细!$E:$E,$F113,社保明细!$H:$H,"&gt;="&amp;AO$9,社保明细!$H:$H,"&lt;="&amp;AO$10,社保明细!$A:$A,AO$6)/10000</f>
        <v>0</v>
      </c>
      <c r="AP113" s="121">
        <f>SUMIFS(社保明细!$J:$J,社保明细!$D:$D,$E113,社保明细!$E:$E,$F113,社保明细!$H:$H,"&gt;="&amp;AP$9,社保明细!$H:$H,"&lt;="&amp;AP$10,社保明细!$A:$A,AP$6)/10000</f>
        <v>0</v>
      </c>
      <c r="AQ113" s="121">
        <f>SUMIFS(社保明细!$J:$J,社保明细!$D:$D,$E113,社保明细!$E:$E,$F113,社保明细!$H:$H,"&gt;="&amp;AQ$9,社保明细!$H:$H,"&lt;="&amp;AQ$10,社保明细!$A:$A,AQ$6)/10000</f>
        <v>0</v>
      </c>
      <c r="AR113" s="121">
        <f>SUMIFS(社保明细!$J:$J,社保明细!$D:$D,$E113,社保明细!$E:$E,$F113,社保明细!$H:$H,"&gt;="&amp;AR$9,社保明细!$H:$H,"&lt;="&amp;AR$10,社保明细!$A:$A,AR$6)/10000</f>
        <v>0.8</v>
      </c>
      <c r="AS113" s="121">
        <f>SUMIFS(社保明细!$J:$J,社保明细!$D:$D,$E113,社保明细!$E:$E,$F113,社保明细!$H:$H,"&gt;="&amp;AS$9,社保明细!$H:$H,"&lt;="&amp;AS$10,社保明细!$A:$A,AS$6)/10000</f>
        <v>0.8</v>
      </c>
      <c r="AT113" s="121">
        <f>SUMIFS(社保明细!$J:$J,社保明细!$D:$D,$E113,社保明细!$E:$E,$F113,社保明细!$H:$H,"&gt;="&amp;AT$9,社保明细!$H:$H,"&lt;="&amp;AT$10,社保明细!$A:$A,AT$6)/10000</f>
        <v>0.8</v>
      </c>
      <c r="AU113" s="121">
        <f>SUMIFS(社保明细!$J:$J,社保明细!$D:$D,$E113,社保明细!$E:$E,$F113,社保明细!$H:$H,"&gt;="&amp;AU$9,社保明细!$H:$H,"&lt;="&amp;AU$10,社保明细!$A:$A,AU$6)/10000</f>
        <v>10</v>
      </c>
      <c r="AV113" s="121">
        <f>SUMIFS(社保明细!$J:$J,社保明细!$D:$D,$E113,社保明细!$E:$E,$F113,社保明细!$H:$H,"&gt;="&amp;AV$9,社保明细!$H:$H,"&lt;="&amp;AV$10,社保明细!$A:$A,AV$6)/10000</f>
        <v>0.8</v>
      </c>
      <c r="AW113" s="121">
        <f>SUMIFS(社保明细!$J:$J,社保明细!$D:$D,$E113,社保明细!$E:$E,$F113,社保明细!$H:$H,"&gt;="&amp;AW$9,社保明细!$H:$H,"&lt;="&amp;AW$10,社保明细!$A:$A,AW$6)/10000</f>
        <v>0.9</v>
      </c>
      <c r="AX113" s="121">
        <f>SUMIFS(社保明细!$J:$J,社保明细!$D:$D,$E113,社保明细!$E:$E,$F113,社保明细!$H:$H,"&gt;="&amp;AX$9,社保明细!$H:$H,"&lt;="&amp;AX$10,社保明细!$A:$A,AX$6)/10000</f>
        <v>0.8</v>
      </c>
      <c r="AY113" s="121">
        <f>SUMIFS(社保明细!$J:$J,社保明细!$D:$D,$E113,社保明细!$E:$E,$F113,社保明细!$H:$H,"&gt;="&amp;AY$9,社保明细!$H:$H,"&lt;="&amp;AY$10,社保明细!$A:$A,AY$6)/10000</f>
        <v>0.8</v>
      </c>
      <c r="AZ113" s="121">
        <f>SUMIFS(社保明细!$J:$J,社保明细!$D:$D,$E113,社保明细!$E:$E,$F113,社保明细!$H:$H,"&gt;="&amp;AZ$9,社保明细!$H:$H,"&lt;="&amp;AZ$10,社保明细!$A:$A,AZ$6)/10000</f>
        <v>0.8</v>
      </c>
      <c r="BA113" s="121">
        <f>SUMIFS(社保明细!$J:$J,社保明细!$D:$D,$E113,社保明细!$E:$E,$F113,社保明细!$H:$H,"&gt;="&amp;BA$9,社保明细!$H:$H,"&lt;="&amp;BA$10,社保明细!$A:$A,BA$6)/10000</f>
        <v>0.8</v>
      </c>
      <c r="BB113" s="121">
        <f>SUMIFS(社保明细!$J:$J,社保明细!$D:$D,$E113,社保明细!$E:$E,$F113,社保明细!$H:$H,"&gt;="&amp;BB$9,社保明细!$H:$H,"&lt;="&amp;BB$10,社保明细!$A:$A,BB$6)/10000</f>
        <v>0.8</v>
      </c>
      <c r="BC113" s="121">
        <f>SUMIFS(社保明细!$J:$J,社保明细!$D:$D,$E113,社保明细!$E:$E,$F113,社保明细!$H:$H,"&gt;="&amp;BC$9,社保明细!$H:$H,"&lt;="&amp;BC$10,社保明细!$A:$A,BC$6)/10000</f>
        <v>0.8</v>
      </c>
      <c r="BD113" s="121">
        <f>SUMIFS(社保明细!$J:$J,社保明细!$D:$D,$E113,社保明细!$E:$E,$F113,社保明细!$H:$H,"&gt;="&amp;BD$9,社保明细!$H:$H,"&lt;="&amp;BD$10,社保明细!$A:$A,BD$6)/10000</f>
        <v>0.8</v>
      </c>
      <c r="BE113" s="121">
        <f>SUMIFS(社保明细!$J:$J,社保明细!$D:$D,$E113,社保明细!$E:$E,$F113,社保明细!$H:$H,"&gt;="&amp;BE$9,社保明细!$H:$H,"&lt;="&amp;BE$10,社保明细!$A:$A,BE$6)/10000</f>
        <v>0.8</v>
      </c>
      <c r="BF113" s="121">
        <f>SUMIFS(社保明细!$J:$J,社保明细!$D:$D,$E113,社保明细!$E:$E,$F113,社保明细!$H:$H,"&gt;="&amp;BF$9,社保明细!$H:$H,"&lt;="&amp;BF$10,社保明细!$A:$A,BF$6)/10000</f>
        <v>0.8</v>
      </c>
      <c r="BG113" s="121">
        <f>SUMIFS(社保明细!$J:$J,社保明细!$D:$D,$E113,社保明细!$E:$E,$F113,社保明细!$H:$H,"&gt;="&amp;BG$9,社保明细!$H:$H,"&lt;="&amp;BG$10,社保明细!$A:$A,BG$6)/10000</f>
        <v>0.8</v>
      </c>
    </row>
    <row r="114" ht="16.2" spans="3:59">
      <c r="C114" s="42"/>
      <c r="D114" s="42" t="s">
        <v>90</v>
      </c>
      <c r="E114" s="116" t="str">
        <f t="shared" si="96"/>
        <v>支持中心</v>
      </c>
      <c r="F114" s="116" t="str">
        <f t="shared" si="97"/>
        <v>总经办</v>
      </c>
      <c r="G114" s="121">
        <f>SUMIFS(社保明细!$J:$J,社保明细!$D:$D,$E114,社保明细!$E:$E,$F114,社保明细!$H:$H,"&gt;="&amp;G$9,社保明细!$H:$H,"&lt;="&amp;G$10,社保明细!$A:$A,G$6)/10000</f>
        <v>6</v>
      </c>
      <c r="H114" s="121">
        <f>SUMIFS(社保明细!$J:$J,社保明细!$D:$D,$E114,社保明细!$E:$E,$F114,社保明细!$H:$H,"&gt;="&amp;H$9,社保明细!$H:$H,"&lt;="&amp;H$10,社保明细!$A:$A,H$6)/10000</f>
        <v>0.5</v>
      </c>
      <c r="I114" s="121">
        <f>SUMIFS(社保明细!$J:$J,社保明细!$D:$D,$E114,社保明细!$E:$E,$F114,社保明细!$H:$H,"&gt;="&amp;I$9,社保明细!$H:$H,"&lt;="&amp;I$10,社保明细!$A:$A,I$6)/10000</f>
        <v>0.5</v>
      </c>
      <c r="J114" s="121">
        <f>SUMIFS(社保明细!$J:$J,社保明细!$D:$D,$E114,社保明细!$E:$E,$F114,社保明细!$H:$H,"&gt;="&amp;J$9,社保明细!$H:$H,"&lt;="&amp;J$10,社保明细!$A:$A,J$6)/10000</f>
        <v>0.5</v>
      </c>
      <c r="K114" s="121">
        <f>SUMIFS(社保明细!$J:$J,社保明细!$D:$D,$E114,社保明细!$E:$E,$F114,社保明细!$H:$H,"&gt;="&amp;K$9,社保明细!$H:$H,"&lt;="&amp;K$10,社保明细!$A:$A,K$6)/10000</f>
        <v>0.5</v>
      </c>
      <c r="L114" s="121">
        <f>SUMIFS(社保明细!$J:$J,社保明细!$D:$D,$E114,社保明细!$E:$E,$F114,社保明细!$H:$H,"&gt;="&amp;L$9,社保明细!$H:$H,"&lt;="&amp;L$10,社保明细!$A:$A,L$6)/10000</f>
        <v>0.5</v>
      </c>
      <c r="M114" s="121">
        <f>SUMIFS(社保明细!$J:$J,社保明细!$D:$D,$E114,社保明细!$E:$E,$F114,社保明细!$H:$H,"&gt;="&amp;M$9,社保明细!$H:$H,"&lt;="&amp;M$10,社保明细!$A:$A,M$6)/10000</f>
        <v>0.5</v>
      </c>
      <c r="N114" s="121">
        <f>SUMIFS(社保明细!$J:$J,社保明细!$D:$D,$E114,社保明细!$E:$E,$F114,社保明细!$H:$H,"&gt;="&amp;N$9,社保明细!$H:$H,"&lt;="&amp;N$10,社保明细!$A:$A,N$6)/10000</f>
        <v>0.5</v>
      </c>
      <c r="O114" s="121">
        <f>SUMIFS(社保明细!$J:$J,社保明细!$D:$D,$E114,社保明细!$E:$E,$F114,社保明细!$H:$H,"&gt;="&amp;O$9,社保明细!$H:$H,"&lt;="&amp;O$10,社保明细!$A:$A,O$6)/10000</f>
        <v>0.5</v>
      </c>
      <c r="P114" s="121">
        <f>SUMIFS(社保明细!$J:$J,社保明细!$D:$D,$E114,社保明细!$E:$E,$F114,社保明细!$H:$H,"&gt;="&amp;P$9,社保明细!$H:$H,"&lt;="&amp;P$10,社保明细!$A:$A,P$6)/10000</f>
        <v>0.5</v>
      </c>
      <c r="Q114" s="121">
        <f>SUMIFS(社保明细!$J:$J,社保明细!$D:$D,$E114,社保明细!$E:$E,$F114,社保明细!$H:$H,"&gt;="&amp;Q$9,社保明细!$H:$H,"&lt;="&amp;Q$10,社保明细!$A:$A,Q$6)/10000</f>
        <v>0.5</v>
      </c>
      <c r="R114" s="121">
        <f>SUMIFS(社保明细!$J:$J,社保明细!$D:$D,$E114,社保明细!$E:$E,$F114,社保明细!$H:$H,"&gt;="&amp;R$9,社保明细!$H:$H,"&lt;="&amp;R$10,社保明细!$A:$A,R$6)/10000</f>
        <v>0.5</v>
      </c>
      <c r="S114" s="121">
        <f>SUMIFS(社保明细!$J:$J,社保明细!$D:$D,$E114,社保明细!$E:$E,$F114,社保明细!$H:$H,"&gt;="&amp;S$9,社保明细!$H:$H,"&lt;="&amp;S$10,社保明细!$A:$A,S$6)/10000</f>
        <v>0.5</v>
      </c>
      <c r="T114" s="125">
        <f t="shared" si="98"/>
        <v>6</v>
      </c>
      <c r="U114" s="121">
        <f>SUMIFS(社保明细!$J:$J,社保明细!$D:$D,$E114,社保明细!$E:$E,$F114,社保明细!$H:$H,"&gt;="&amp;U$9,社保明细!$H:$H,"&lt;="&amp;U$10,社保明细!$A:$A,U$6)/10000</f>
        <v>4.5</v>
      </c>
      <c r="V114" s="121">
        <f>SUMIFS(社保明细!$J:$J,社保明细!$D:$D,$E114,社保明细!$E:$E,$F114,社保明细!$H:$H,"&gt;="&amp;V$9,社保明细!$H:$H,"&lt;="&amp;V$10,社保明细!$A:$A,V$6)/10000</f>
        <v>0.5</v>
      </c>
      <c r="W114" s="121">
        <f>SUMIFS(社保明细!$J:$J,社保明细!$D:$D,$E114,社保明细!$E:$E,$F114,社保明细!$H:$H,"&gt;="&amp;W$9,社保明细!$H:$H,"&lt;="&amp;W$10,社保明细!$A:$A,W$6)/10000</f>
        <v>0.5</v>
      </c>
      <c r="X114" s="121">
        <f>SUMIFS(社保明细!$J:$J,社保明细!$D:$D,$E114,社保明细!$E:$E,$F114,社保明细!$H:$H,"&gt;="&amp;X$9,社保明细!$H:$H,"&lt;="&amp;X$10,社保明细!$A:$A,X$6)/10000</f>
        <v>0.5</v>
      </c>
      <c r="Y114" s="121">
        <f>SUMIFS(社保明细!$J:$J,社保明细!$D:$D,$E114,社保明细!$E:$E,$F114,社保明细!$H:$H,"&gt;="&amp;Y$9,社保明细!$H:$H,"&lt;="&amp;Y$10,社保明细!$A:$A,Y$6)/10000</f>
        <v>0.5</v>
      </c>
      <c r="Z114" s="121">
        <f>SUMIFS(社保明细!$J:$J,社保明细!$D:$D,$E114,社保明细!$E:$E,$F114,社保明细!$H:$H,"&gt;="&amp;Z$9,社保明细!$H:$H,"&lt;="&amp;Z$10,社保明细!$A:$A,Z$6)/10000</f>
        <v>0.5</v>
      </c>
      <c r="AA114" s="121">
        <f>SUMIFS(社保明细!$J:$J,社保明细!$D:$D,$E114,社保明细!$E:$E,$F114,社保明细!$H:$H,"&gt;="&amp;AA$9,社保明细!$H:$H,"&lt;="&amp;AA$10,社保明细!$A:$A,AA$6)/10000</f>
        <v>0.5</v>
      </c>
      <c r="AB114" s="121">
        <f>SUMIFS(社保明细!$J:$J,社保明细!$D:$D,$E114,社保明细!$E:$E,$F114,社保明细!$H:$H,"&gt;="&amp;AB$9,社保明细!$H:$H,"&lt;="&amp;AB$10,社保明细!$A:$A,AB$6)/10000</f>
        <v>0.5</v>
      </c>
      <c r="AC114" s="121">
        <f>SUMIFS(社保明细!$J:$J,社保明细!$D:$D,$E114,社保明细!$E:$E,$F114,社保明细!$H:$H,"&gt;="&amp;AC$9,社保明细!$H:$H,"&lt;="&amp;AC$10,社保明细!$A:$A,AC$6)/10000</f>
        <v>0.5</v>
      </c>
      <c r="AD114" s="121">
        <f>SUMIFS(社保明细!$J:$J,社保明细!$D:$D,$E114,社保明细!$E:$E,$F114,社保明细!$H:$H,"&gt;="&amp;AD$9,社保明细!$H:$H,"&lt;="&amp;AD$10,社保明细!$A:$A,AD$6)/10000</f>
        <v>0.5</v>
      </c>
      <c r="AE114" s="121">
        <f>SUMIFS(社保明细!$J:$J,社保明细!$D:$D,$E114,社保明细!$E:$E,$F114,社保明细!$H:$H,"&gt;="&amp;AE$9,社保明细!$H:$H,"&lt;="&amp;AE$10,社保明细!$A:$A,AE$6)/10000</f>
        <v>0</v>
      </c>
      <c r="AF114" s="121">
        <f>SUMIFS(社保明细!$J:$J,社保明细!$D:$D,$E114,社保明细!$E:$E,$F114,社保明细!$H:$H,"&gt;="&amp;AF$9,社保明细!$H:$H,"&lt;="&amp;AF$10,社保明细!$A:$A,AF$6)/10000</f>
        <v>0</v>
      </c>
      <c r="AG114" s="121">
        <f>SUMIFS(社保明细!$J:$J,社保明细!$D:$D,$E114,社保明细!$E:$E,$F114,社保明细!$H:$H,"&gt;="&amp;AG$9,社保明细!$H:$H,"&lt;="&amp;AG$10,社保明细!$A:$A,AG$6)/10000</f>
        <v>0</v>
      </c>
      <c r="AH114" s="121">
        <f>SUMIFS(社保明细!$J:$J,社保明细!$D:$D,$E114,社保明细!$E:$E,$F114,社保明细!$H:$H,"&gt;="&amp;AH$9,社保明细!$H:$H,"&lt;="&amp;AH$10,社保明细!$A:$A,AH$6)/10000</f>
        <v>1.5</v>
      </c>
      <c r="AI114" s="121">
        <f>SUMIFS(社保明细!$J:$J,社保明细!$D:$D,$E114,社保明细!$E:$E,$F114,社保明细!$H:$H,"&gt;="&amp;AI$9,社保明细!$H:$H,"&lt;="&amp;AI$10,社保明细!$A:$A,AI$6)/10000</f>
        <v>0</v>
      </c>
      <c r="AJ114" s="121">
        <f>SUMIFS(社保明细!$J:$J,社保明细!$D:$D,$E114,社保明细!$E:$E,$F114,社保明细!$H:$H,"&gt;="&amp;AJ$9,社保明细!$H:$H,"&lt;="&amp;AJ$10,社保明细!$A:$A,AJ$6)/10000</f>
        <v>0</v>
      </c>
      <c r="AK114" s="121">
        <f>SUMIFS(社保明细!$J:$J,社保明细!$D:$D,$E114,社保明细!$E:$E,$F114,社保明细!$H:$H,"&gt;="&amp;AK$9,社保明细!$H:$H,"&lt;="&amp;AK$10,社保明细!$A:$A,AK$6)/10000</f>
        <v>0</v>
      </c>
      <c r="AL114" s="121">
        <f>SUMIFS(社保明细!$J:$J,社保明细!$D:$D,$E114,社保明细!$E:$E,$F114,社保明细!$H:$H,"&gt;="&amp;AL$9,社保明细!$H:$H,"&lt;="&amp;AL$10,社保明细!$A:$A,AL$6)/10000</f>
        <v>0</v>
      </c>
      <c r="AM114" s="121">
        <f>SUMIFS(社保明细!$J:$J,社保明细!$D:$D,$E114,社保明细!$E:$E,$F114,社保明细!$H:$H,"&gt;="&amp;AM$9,社保明细!$H:$H,"&lt;="&amp;AM$10,社保明细!$A:$A,AM$6)/10000</f>
        <v>0</v>
      </c>
      <c r="AN114" s="121">
        <f>SUMIFS(社保明细!$J:$J,社保明细!$D:$D,$E114,社保明细!$E:$E,$F114,社保明细!$H:$H,"&gt;="&amp;AN$9,社保明细!$H:$H,"&lt;="&amp;AN$10,社保明细!$A:$A,AN$6)/10000</f>
        <v>0</v>
      </c>
      <c r="AO114" s="121">
        <f>SUMIFS(社保明细!$J:$J,社保明细!$D:$D,$E114,社保明细!$E:$E,$F114,社保明细!$H:$H,"&gt;="&amp;AO$9,社保明细!$H:$H,"&lt;="&amp;AO$10,社保明细!$A:$A,AO$6)/10000</f>
        <v>0</v>
      </c>
      <c r="AP114" s="121">
        <f>SUMIFS(社保明细!$J:$J,社保明细!$D:$D,$E114,社保明细!$E:$E,$F114,社保明细!$H:$H,"&gt;="&amp;AP$9,社保明细!$H:$H,"&lt;="&amp;AP$10,社保明细!$A:$A,AP$6)/10000</f>
        <v>0</v>
      </c>
      <c r="AQ114" s="121">
        <f>SUMIFS(社保明细!$J:$J,社保明细!$D:$D,$E114,社保明细!$E:$E,$F114,社保明细!$H:$H,"&gt;="&amp;AQ$9,社保明细!$H:$H,"&lt;="&amp;AQ$10,社保明细!$A:$A,AQ$6)/10000</f>
        <v>0</v>
      </c>
      <c r="AR114" s="121">
        <f>SUMIFS(社保明细!$J:$J,社保明细!$D:$D,$E114,社保明细!$E:$E,$F114,社保明细!$H:$H,"&gt;="&amp;AR$9,社保明细!$H:$H,"&lt;="&amp;AR$10,社保明细!$A:$A,AR$6)/10000</f>
        <v>0.5</v>
      </c>
      <c r="AS114" s="121">
        <f>SUMIFS(社保明细!$J:$J,社保明细!$D:$D,$E114,社保明细!$E:$E,$F114,社保明细!$H:$H,"&gt;="&amp;AS$9,社保明细!$H:$H,"&lt;="&amp;AS$10,社保明细!$A:$A,AS$6)/10000</f>
        <v>0.5</v>
      </c>
      <c r="AT114" s="121">
        <f>SUMIFS(社保明细!$J:$J,社保明细!$D:$D,$E114,社保明细!$E:$E,$F114,社保明细!$H:$H,"&gt;="&amp;AT$9,社保明细!$H:$H,"&lt;="&amp;AT$10,社保明细!$A:$A,AT$6)/10000</f>
        <v>0.5</v>
      </c>
      <c r="AU114" s="121">
        <f>SUMIFS(社保明细!$J:$J,社保明细!$D:$D,$E114,社保明细!$E:$E,$F114,社保明细!$H:$H,"&gt;="&amp;AU$9,社保明细!$H:$H,"&lt;="&amp;AU$10,社保明细!$A:$A,AU$6)/10000</f>
        <v>6</v>
      </c>
      <c r="AV114" s="121">
        <f>SUMIFS(社保明细!$J:$J,社保明细!$D:$D,$E114,社保明细!$E:$E,$F114,社保明细!$H:$H,"&gt;="&amp;AV$9,社保明细!$H:$H,"&lt;="&amp;AV$10,社保明细!$A:$A,AV$6)/10000</f>
        <v>0.5</v>
      </c>
      <c r="AW114" s="121">
        <f>SUMIFS(社保明细!$J:$J,社保明细!$D:$D,$E114,社保明细!$E:$E,$F114,社保明细!$H:$H,"&gt;="&amp;AW$9,社保明细!$H:$H,"&lt;="&amp;AW$10,社保明细!$A:$A,AW$6)/10000</f>
        <v>0.5</v>
      </c>
      <c r="AX114" s="121">
        <f>SUMIFS(社保明细!$J:$J,社保明细!$D:$D,$E114,社保明细!$E:$E,$F114,社保明细!$H:$H,"&gt;="&amp;AX$9,社保明细!$H:$H,"&lt;="&amp;AX$10,社保明细!$A:$A,AX$6)/10000</f>
        <v>0.5</v>
      </c>
      <c r="AY114" s="121">
        <f>SUMIFS(社保明细!$J:$J,社保明细!$D:$D,$E114,社保明细!$E:$E,$F114,社保明细!$H:$H,"&gt;="&amp;AY$9,社保明细!$H:$H,"&lt;="&amp;AY$10,社保明细!$A:$A,AY$6)/10000</f>
        <v>0.5</v>
      </c>
      <c r="AZ114" s="121">
        <f>SUMIFS(社保明细!$J:$J,社保明细!$D:$D,$E114,社保明细!$E:$E,$F114,社保明细!$H:$H,"&gt;="&amp;AZ$9,社保明细!$H:$H,"&lt;="&amp;AZ$10,社保明细!$A:$A,AZ$6)/10000</f>
        <v>0.5</v>
      </c>
      <c r="BA114" s="121">
        <f>SUMIFS(社保明细!$J:$J,社保明细!$D:$D,$E114,社保明细!$E:$E,$F114,社保明细!$H:$H,"&gt;="&amp;BA$9,社保明细!$H:$H,"&lt;="&amp;BA$10,社保明细!$A:$A,BA$6)/10000</f>
        <v>0.5</v>
      </c>
      <c r="BB114" s="121">
        <f>SUMIFS(社保明细!$J:$J,社保明细!$D:$D,$E114,社保明细!$E:$E,$F114,社保明细!$H:$H,"&gt;="&amp;BB$9,社保明细!$H:$H,"&lt;="&amp;BB$10,社保明细!$A:$A,BB$6)/10000</f>
        <v>0.5</v>
      </c>
      <c r="BC114" s="121">
        <f>SUMIFS(社保明细!$J:$J,社保明细!$D:$D,$E114,社保明细!$E:$E,$F114,社保明细!$H:$H,"&gt;="&amp;BC$9,社保明细!$H:$H,"&lt;="&amp;BC$10,社保明细!$A:$A,BC$6)/10000</f>
        <v>0.5</v>
      </c>
      <c r="BD114" s="121">
        <f>SUMIFS(社保明细!$J:$J,社保明细!$D:$D,$E114,社保明细!$E:$E,$F114,社保明细!$H:$H,"&gt;="&amp;BD$9,社保明细!$H:$H,"&lt;="&amp;BD$10,社保明细!$A:$A,BD$6)/10000</f>
        <v>0.5</v>
      </c>
      <c r="BE114" s="121">
        <f>SUMIFS(社保明细!$J:$J,社保明细!$D:$D,$E114,社保明细!$E:$E,$F114,社保明细!$H:$H,"&gt;="&amp;BE$9,社保明细!$H:$H,"&lt;="&amp;BE$10,社保明细!$A:$A,BE$6)/10000</f>
        <v>0.5</v>
      </c>
      <c r="BF114" s="121">
        <f>SUMIFS(社保明细!$J:$J,社保明细!$D:$D,$E114,社保明细!$E:$E,$F114,社保明细!$H:$H,"&gt;="&amp;BF$9,社保明细!$H:$H,"&lt;="&amp;BF$10,社保明细!$A:$A,BF$6)/10000</f>
        <v>0.5</v>
      </c>
      <c r="BG114" s="121">
        <f>SUMIFS(社保明细!$J:$J,社保明细!$D:$D,$E114,社保明细!$E:$E,$F114,社保明细!$H:$H,"&gt;="&amp;BG$9,社保明细!$H:$H,"&lt;="&amp;BG$10,社保明细!$A:$A,BG$6)/10000</f>
        <v>0.5</v>
      </c>
    </row>
    <row r="116" ht="20.4" spans="2:2">
      <c r="B116" s="118" t="s">
        <v>97</v>
      </c>
    </row>
    <row r="117" s="101" customFormat="1" ht="19.2" customHeight="1" spans="2:59">
      <c r="B117" s="42" t="s">
        <v>76</v>
      </c>
      <c r="C117" s="119"/>
      <c r="D117" s="119"/>
      <c r="E117" s="119" t="s">
        <v>78</v>
      </c>
      <c r="F117" s="119" t="s">
        <v>78</v>
      </c>
      <c r="G117" s="120">
        <f>SUMIFS(福利费明细!$F:$F,福利费明细!$B:$B,$E117,福利费明细!$C:$C,$F117,福利费明细!$E:$E,"&gt;="&amp;G$9,福利费明细!$E:$E,"&lt;="&amp;G$10,福利费明细!$A:$A,G$6)/10000</f>
        <v>50.1</v>
      </c>
      <c r="H117" s="120">
        <f>SUMIFS(福利费明细!$F:$F,福利费明细!$B:$B,$E117,福利费明细!$C:$C,$F117,福利费明细!$E:$E,"&gt;="&amp;H$9,福利费明细!$E:$E,"&lt;="&amp;H$10,福利费明细!$A:$A,H$6)/10000</f>
        <v>4.2</v>
      </c>
      <c r="I117" s="120">
        <f>SUMIFS(福利费明细!$F:$F,福利费明细!$B:$B,$E117,福利费明细!$C:$C,$F117,福利费明细!$E:$E,"&gt;="&amp;I$9,福利费明细!$E:$E,"&lt;="&amp;I$10,福利费明细!$A:$A,I$6)/10000</f>
        <v>4.2</v>
      </c>
      <c r="J117" s="120">
        <f>SUMIFS(福利费明细!$F:$F,福利费明细!$B:$B,$E117,福利费明细!$C:$C,$F117,福利费明细!$E:$E,"&gt;="&amp;J$9,福利费明细!$E:$E,"&lt;="&amp;J$10,福利费明细!$A:$A,J$6)/10000</f>
        <v>4.2</v>
      </c>
      <c r="K117" s="120">
        <f>SUMIFS(福利费明细!$F:$F,福利费明细!$B:$B,$E117,福利费明细!$C:$C,$F117,福利费明细!$E:$E,"&gt;="&amp;K$9,福利费明细!$E:$E,"&lt;="&amp;K$10,福利费明细!$A:$A,K$6)/10000</f>
        <v>4.2</v>
      </c>
      <c r="L117" s="120">
        <f>SUMIFS(福利费明细!$F:$F,福利费明细!$B:$B,$E117,福利费明细!$C:$C,$F117,福利费明细!$E:$E,"&gt;="&amp;L$9,福利费明细!$E:$E,"&lt;="&amp;L$10,福利费明细!$A:$A,L$6)/10000</f>
        <v>4.1</v>
      </c>
      <c r="M117" s="120">
        <f>SUMIFS(福利费明细!$F:$F,福利费明细!$B:$B,$E117,福利费明细!$C:$C,$F117,福利费明细!$E:$E,"&gt;="&amp;M$9,福利费明细!$E:$E,"&lt;="&amp;M$10,福利费明细!$A:$A,M$6)/10000</f>
        <v>4.2</v>
      </c>
      <c r="N117" s="120">
        <f>SUMIFS(福利费明细!$F:$F,福利费明细!$B:$B,$E117,福利费明细!$C:$C,$F117,福利费明细!$E:$E,"&gt;="&amp;N$9,福利费明细!$E:$E,"&lt;="&amp;N$10,福利费明细!$A:$A,N$6)/10000</f>
        <v>4.3</v>
      </c>
      <c r="O117" s="120">
        <f>SUMIFS(福利费明细!$F:$F,福利费明细!$B:$B,$E117,福利费明细!$C:$C,$F117,福利费明细!$E:$E,"&gt;="&amp;O$9,福利费明细!$E:$E,"&lt;="&amp;O$10,福利费明细!$A:$A,O$6)/10000</f>
        <v>4.2</v>
      </c>
      <c r="P117" s="120">
        <f>SUMIFS(福利费明细!$F:$F,福利费明细!$B:$B,$E117,福利费明细!$C:$C,$F117,福利费明细!$E:$E,"&gt;="&amp;P$9,福利费明细!$E:$E,"&lt;="&amp;P$10,福利费明细!$A:$A,P$6)/10000</f>
        <v>4.1</v>
      </c>
      <c r="Q117" s="120">
        <f>SUMIFS(福利费明细!$F:$F,福利费明细!$B:$B,$E117,福利费明细!$C:$C,$F117,福利费明细!$E:$E,"&gt;="&amp;Q$9,福利费明细!$E:$E,"&lt;="&amp;Q$10,福利费明细!$A:$A,Q$6)/10000</f>
        <v>4.1</v>
      </c>
      <c r="R117" s="120">
        <f>SUMIFS(福利费明细!$F:$F,福利费明细!$B:$B,$E117,福利费明细!$C:$C,$F117,福利费明细!$E:$E,"&gt;="&amp;R$9,福利费明细!$E:$E,"&lt;="&amp;R$10,福利费明细!$A:$A,R$6)/10000</f>
        <v>4.2</v>
      </c>
      <c r="S117" s="120">
        <f>SUMIFS(福利费明细!$F:$F,福利费明细!$B:$B,$E117,福利费明细!$C:$C,$F117,福利费明细!$E:$E,"&gt;="&amp;S$9,福利费明细!$E:$E,"&lt;="&amp;S$10,福利费明细!$A:$A,S$6)/10000</f>
        <v>4.2</v>
      </c>
      <c r="T117" s="124">
        <f>U117+AH117</f>
        <v>50.3</v>
      </c>
      <c r="U117" s="120">
        <f>SUMIFS(福利费明细!$F:$F,福利费明细!$B:$B,$E117,福利费明细!$C:$C,$F117,福利费明细!$E:$E,"&gt;="&amp;U$9,福利费明细!$E:$E,"&lt;="&amp;U$10,福利费明细!$A:$A,U$6)/10000</f>
        <v>37.7</v>
      </c>
      <c r="V117" s="120">
        <f>SUMIFS(福利费明细!$F:$F,福利费明细!$B:$B,$E117,福利费明细!$C:$C,$F117,福利费明细!$E:$E,"&gt;="&amp;V$9,福利费明细!$E:$E,"&lt;="&amp;V$10,福利费明细!$A:$A,V$6)/10000</f>
        <v>4.2</v>
      </c>
      <c r="W117" s="120">
        <f>SUMIFS(福利费明细!$F:$F,福利费明细!$B:$B,$E117,福利费明细!$C:$C,$F117,福利费明细!$E:$E,"&gt;="&amp;W$9,福利费明细!$E:$E,"&lt;="&amp;W$10,福利费明细!$A:$A,W$6)/10000</f>
        <v>4.2</v>
      </c>
      <c r="X117" s="120">
        <f>SUMIFS(福利费明细!$F:$F,福利费明细!$B:$B,$E117,福利费明细!$C:$C,$F117,福利费明细!$E:$E,"&gt;="&amp;X$9,福利费明细!$E:$E,"&lt;="&amp;X$10,福利费明细!$A:$A,X$6)/10000</f>
        <v>4.2</v>
      </c>
      <c r="Y117" s="120">
        <f>SUMIFS(福利费明细!$F:$F,福利费明细!$B:$B,$E117,福利费明细!$C:$C,$F117,福利费明细!$E:$E,"&gt;="&amp;Y$9,福利费明细!$E:$E,"&lt;="&amp;Y$10,福利费明细!$A:$A,Y$6)/10000</f>
        <v>4.2</v>
      </c>
      <c r="Z117" s="120">
        <f>SUMIFS(福利费明细!$F:$F,福利费明细!$B:$B,$E117,福利费明细!$C:$C,$F117,福利费明细!$E:$E,"&gt;="&amp;Z$9,福利费明细!$E:$E,"&lt;="&amp;Z$10,福利费明细!$A:$A,Z$6)/10000</f>
        <v>4.2</v>
      </c>
      <c r="AA117" s="120">
        <f>SUMIFS(福利费明细!$F:$F,福利费明细!$B:$B,$E117,福利费明细!$C:$C,$F117,福利费明细!$E:$E,"&gt;="&amp;AA$9,福利费明细!$E:$E,"&lt;="&amp;AA$10,福利费明细!$A:$A,AA$6)/10000</f>
        <v>4.2</v>
      </c>
      <c r="AB117" s="120">
        <f>SUMIFS(福利费明细!$F:$F,福利费明细!$B:$B,$E117,福利费明细!$C:$C,$F117,福利费明细!$E:$E,"&gt;="&amp;AB$9,福利费明细!$E:$E,"&lt;="&amp;AB$10,福利费明细!$A:$A,AB$6)/10000</f>
        <v>4.2</v>
      </c>
      <c r="AC117" s="120">
        <f>SUMIFS(福利费明细!$F:$F,福利费明细!$B:$B,$E117,福利费明细!$C:$C,$F117,福利费明细!$E:$E,"&gt;="&amp;AC$9,福利费明细!$E:$E,"&lt;="&amp;AC$10,福利费明细!$A:$A,AC$6)/10000</f>
        <v>4.2</v>
      </c>
      <c r="AD117" s="120">
        <f>SUMIFS(福利费明细!$F:$F,福利费明细!$B:$B,$E117,福利费明细!$C:$C,$F117,福利费明细!$E:$E,"&gt;="&amp;AD$9,福利费明细!$E:$E,"&lt;="&amp;AD$10,福利费明细!$A:$A,AD$6)/10000</f>
        <v>4.1</v>
      </c>
      <c r="AE117" s="120">
        <f>SUMIFS(福利费明细!$F:$F,福利费明细!$B:$B,$E117,福利费明细!$C:$C,$F117,福利费明细!$E:$E,"&gt;="&amp;AE$9,福利费明细!$E:$E,"&lt;="&amp;AE$10,福利费明细!$A:$A,AE$6)/10000</f>
        <v>0</v>
      </c>
      <c r="AF117" s="120">
        <f>SUMIFS(福利费明细!$F:$F,福利费明细!$B:$B,$E117,福利费明细!$C:$C,$F117,福利费明细!$E:$E,"&gt;="&amp;AF$9,福利费明细!$E:$E,"&lt;="&amp;AF$10,福利费明细!$A:$A,AF$6)/10000</f>
        <v>0</v>
      </c>
      <c r="AG117" s="120">
        <f>SUMIFS(福利费明细!$F:$F,福利费明细!$B:$B,$E117,福利费明细!$C:$C,$F117,福利费明细!$E:$E,"&gt;="&amp;AG$9,福利费明细!$E:$E,"&lt;="&amp;AG$10,福利费明细!$A:$A,AG$6)/10000</f>
        <v>0</v>
      </c>
      <c r="AH117" s="120">
        <f>SUMIFS(福利费明细!$F:$F,福利费明细!$B:$B,$E117,福利费明细!$C:$C,$F117,福利费明细!$E:$E,"&gt;="&amp;AH$9,福利费明细!$E:$E,"&lt;="&amp;AH$10,福利费明细!$A:$A,AH$6)/10000</f>
        <v>12.6</v>
      </c>
      <c r="AI117" s="120">
        <f>SUMIFS(福利费明细!$F:$F,福利费明细!$B:$B,$E117,福利费明细!$C:$C,$F117,福利费明细!$E:$E,"&gt;="&amp;AI$9,福利费明细!$E:$E,"&lt;="&amp;AI$10,福利费明细!$A:$A,AI$6)/10000</f>
        <v>0</v>
      </c>
      <c r="AJ117" s="120">
        <f>SUMIFS(福利费明细!$F:$F,福利费明细!$B:$B,$E117,福利费明细!$C:$C,$F117,福利费明细!$E:$E,"&gt;="&amp;AJ$9,福利费明细!$E:$E,"&lt;="&amp;AJ$10,福利费明细!$A:$A,AJ$6)/10000</f>
        <v>0</v>
      </c>
      <c r="AK117" s="120">
        <f>SUMIFS(福利费明细!$F:$F,福利费明细!$B:$B,$E117,福利费明细!$C:$C,$F117,福利费明细!$E:$E,"&gt;="&amp;AK$9,福利费明细!$E:$E,"&lt;="&amp;AK$10,福利费明细!$A:$A,AK$6)/10000</f>
        <v>0</v>
      </c>
      <c r="AL117" s="120">
        <f>SUMIFS(福利费明细!$F:$F,福利费明细!$B:$B,$E117,福利费明细!$C:$C,$F117,福利费明细!$E:$E,"&gt;="&amp;AL$9,福利费明细!$E:$E,"&lt;="&amp;AL$10,福利费明细!$A:$A,AL$6)/10000</f>
        <v>0</v>
      </c>
      <c r="AM117" s="120">
        <f>SUMIFS(福利费明细!$F:$F,福利费明细!$B:$B,$E117,福利费明细!$C:$C,$F117,福利费明细!$E:$E,"&gt;="&amp;AM$9,福利费明细!$E:$E,"&lt;="&amp;AM$10,福利费明细!$A:$A,AM$6)/10000</f>
        <v>0</v>
      </c>
      <c r="AN117" s="120">
        <f>SUMIFS(福利费明细!$F:$F,福利费明细!$B:$B,$E117,福利费明细!$C:$C,$F117,福利费明细!$E:$E,"&gt;="&amp;AN$9,福利费明细!$E:$E,"&lt;="&amp;AN$10,福利费明细!$A:$A,AN$6)/10000</f>
        <v>0</v>
      </c>
      <c r="AO117" s="120">
        <f>SUMIFS(福利费明细!$F:$F,福利费明细!$B:$B,$E117,福利费明细!$C:$C,$F117,福利费明细!$E:$E,"&gt;="&amp;AO$9,福利费明细!$E:$E,"&lt;="&amp;AO$10,福利费明细!$A:$A,AO$6)/10000</f>
        <v>0</v>
      </c>
      <c r="AP117" s="120">
        <f>SUMIFS(福利费明细!$F:$F,福利费明细!$B:$B,$E117,福利费明细!$C:$C,$F117,福利费明细!$E:$E,"&gt;="&amp;AP$9,福利费明细!$E:$E,"&lt;="&amp;AP$10,福利费明细!$A:$A,AP$6)/10000</f>
        <v>0</v>
      </c>
      <c r="AQ117" s="120">
        <f>SUMIFS(福利费明细!$F:$F,福利费明细!$B:$B,$E117,福利费明细!$C:$C,$F117,福利费明细!$E:$E,"&gt;="&amp;AQ$9,福利费明细!$E:$E,"&lt;="&amp;AQ$10,福利费明细!$A:$A,AQ$6)/10000</f>
        <v>0</v>
      </c>
      <c r="AR117" s="120">
        <f>SUMIFS(福利费明细!$F:$F,福利费明细!$B:$B,$E117,福利费明细!$C:$C,$F117,福利费明细!$E:$E,"&gt;="&amp;AR$9,福利费明细!$E:$E,"&lt;="&amp;AR$10,福利费明细!$A:$A,AR$6)/10000</f>
        <v>4.2</v>
      </c>
      <c r="AS117" s="120">
        <f>SUMIFS(福利费明细!$F:$F,福利费明细!$B:$B,$E117,福利费明细!$C:$C,$F117,福利费明细!$E:$E,"&gt;="&amp;AS$9,福利费明细!$E:$E,"&lt;="&amp;AS$10,福利费明细!$A:$A,AS$6)/10000</f>
        <v>4.3</v>
      </c>
      <c r="AT117" s="120">
        <f>SUMIFS(福利费明细!$F:$F,福利费明细!$B:$B,$E117,福利费明细!$C:$C,$F117,福利费明细!$E:$E,"&gt;="&amp;AT$9,福利费明细!$E:$E,"&lt;="&amp;AT$10,福利费明细!$A:$A,AT$6)/10000</f>
        <v>4.2</v>
      </c>
      <c r="AU117" s="120">
        <f>SUMIFS(福利费明细!$F:$F,福利费明细!$B:$B,$E117,福利费明细!$C:$C,$F117,福利费明细!$E:$E,"&gt;="&amp;AU$9,福利费明细!$E:$E,"&lt;="&amp;AU$10,福利费明细!$A:$A,AU$6)/10000</f>
        <v>50.1</v>
      </c>
      <c r="AV117" s="120">
        <f>SUMIFS(福利费明细!$F:$F,福利费明细!$B:$B,$E117,福利费明细!$C:$C,$F117,福利费明细!$E:$E,"&gt;="&amp;AV$9,福利费明细!$E:$E,"&lt;="&amp;AV$10,福利费明细!$A:$A,AV$6)/10000</f>
        <v>4.2</v>
      </c>
      <c r="AW117" s="120">
        <f>SUMIFS(福利费明细!$F:$F,福利费明细!$B:$B,$E117,福利费明细!$C:$C,$F117,福利费明细!$E:$E,"&gt;="&amp;AW$9,福利费明细!$E:$E,"&lt;="&amp;AW$10,福利费明细!$A:$A,AW$6)/10000</f>
        <v>4.3</v>
      </c>
      <c r="AX117" s="120">
        <f>SUMIFS(福利费明细!$F:$F,福利费明细!$B:$B,$E117,福利费明细!$C:$C,$F117,福利费明细!$E:$E,"&gt;="&amp;AX$9,福利费明细!$E:$E,"&lt;="&amp;AX$10,福利费明细!$A:$A,AX$6)/10000</f>
        <v>4.2</v>
      </c>
      <c r="AY117" s="120">
        <f>SUMIFS(福利费明细!$F:$F,福利费明细!$B:$B,$E117,福利费明细!$C:$C,$F117,福利费明细!$E:$E,"&gt;="&amp;AY$9,福利费明细!$E:$E,"&lt;="&amp;AY$10,福利费明细!$A:$A,AY$6)/10000</f>
        <v>4.2</v>
      </c>
      <c r="AZ117" s="120">
        <f>SUMIFS(福利费明细!$F:$F,福利费明细!$B:$B,$E117,福利费明细!$C:$C,$F117,福利费明细!$E:$E,"&gt;="&amp;AZ$9,福利费明细!$E:$E,"&lt;="&amp;AZ$10,福利费明细!$A:$A,AZ$6)/10000</f>
        <v>4.2</v>
      </c>
      <c r="BA117" s="120">
        <f>SUMIFS(福利费明细!$F:$F,福利费明细!$B:$B,$E117,福利费明细!$C:$C,$F117,福利费明细!$E:$E,"&gt;="&amp;BA$9,福利费明细!$E:$E,"&lt;="&amp;BA$10,福利费明细!$A:$A,BA$6)/10000</f>
        <v>4.1</v>
      </c>
      <c r="BB117" s="120">
        <f>SUMIFS(福利费明细!$F:$F,福利费明细!$B:$B,$E117,福利费明细!$C:$C,$F117,福利费明细!$E:$E,"&gt;="&amp;BB$9,福利费明细!$E:$E,"&lt;="&amp;BB$10,福利费明细!$A:$A,BB$6)/10000</f>
        <v>4.2</v>
      </c>
      <c r="BC117" s="120">
        <f>SUMIFS(福利费明细!$F:$F,福利费明细!$B:$B,$E117,福利费明细!$C:$C,$F117,福利费明细!$E:$E,"&gt;="&amp;BC$9,福利费明细!$E:$E,"&lt;="&amp;BC$10,福利费明细!$A:$A,BC$6)/10000</f>
        <v>4.2</v>
      </c>
      <c r="BD117" s="120">
        <f>SUMIFS(福利费明细!$F:$F,福利费明细!$B:$B,$E117,福利费明细!$C:$C,$F117,福利费明细!$E:$E,"&gt;="&amp;BD$9,福利费明细!$E:$E,"&lt;="&amp;BD$10,福利费明细!$A:$A,BD$6)/10000</f>
        <v>4.2</v>
      </c>
      <c r="BE117" s="120">
        <f>SUMIFS(福利费明细!$F:$F,福利费明细!$B:$B,$E117,福利费明细!$C:$C,$F117,福利费明细!$E:$E,"&gt;="&amp;BE$9,福利费明细!$E:$E,"&lt;="&amp;BE$10,福利费明细!$A:$A,BE$6)/10000</f>
        <v>4.2</v>
      </c>
      <c r="BF117" s="120">
        <f>SUMIFS(福利费明细!$F:$F,福利费明细!$B:$B,$E117,福利费明细!$C:$C,$F117,福利费明细!$E:$E,"&gt;="&amp;BF$9,福利费明细!$E:$E,"&lt;="&amp;BF$10,福利费明细!$A:$A,BF$6)/10000</f>
        <v>4.2</v>
      </c>
      <c r="BG117" s="120">
        <f>SUMIFS(福利费明细!$F:$F,福利费明细!$B:$B,$E117,福利费明细!$C:$C,$F117,福利费明细!$E:$E,"&gt;="&amp;BG$9,福利费明细!$E:$E,"&lt;="&amp;BG$10,福利费明细!$A:$A,BG$6)/10000</f>
        <v>4.1</v>
      </c>
    </row>
    <row r="118" ht="16.2" spans="3:59">
      <c r="C118" s="42" t="s">
        <v>79</v>
      </c>
      <c r="D118" s="42"/>
      <c r="E118" s="116" t="str">
        <f>IF(C118&lt;&gt;"",C118,E115)</f>
        <v>流程中心</v>
      </c>
      <c r="F118" s="116" t="str">
        <f>IF(D118&lt;&gt;"",D118,"*")</f>
        <v>*</v>
      </c>
      <c r="G118" s="121">
        <f>SUMIFS(福利费明细!$F:$F,福利费明细!$B:$B,$E118,福利费明细!$C:$C,$F118,福利费明细!$E:$E,"&gt;="&amp;G$9,福利费明细!$E:$E,"&lt;="&amp;G$10,福利费明细!$A:$A,G$6)/10000</f>
        <v>6.9</v>
      </c>
      <c r="H118" s="121">
        <f>SUMIFS(福利费明细!$F:$F,福利费明细!$B:$B,$E118,福利费明细!$C:$C,$F118,福利费明细!$E:$E,"&gt;="&amp;H$9,福利费明细!$E:$E,"&lt;="&amp;H$10,福利费明细!$A:$A,H$6)/10000</f>
        <v>0.6</v>
      </c>
      <c r="I118" s="121">
        <f>SUMIFS(福利费明细!$F:$F,福利费明细!$B:$B,$E118,福利费明细!$C:$C,$F118,福利费明细!$E:$E,"&gt;="&amp;I$9,福利费明细!$E:$E,"&lt;="&amp;I$10,福利费明细!$A:$A,I$6)/10000</f>
        <v>0.6</v>
      </c>
      <c r="J118" s="121">
        <f>SUMIFS(福利费明细!$F:$F,福利费明细!$B:$B,$E118,福利费明细!$C:$C,$F118,福利费明细!$E:$E,"&gt;="&amp;J$9,福利费明细!$E:$E,"&lt;="&amp;J$10,福利费明细!$A:$A,J$6)/10000</f>
        <v>0.6</v>
      </c>
      <c r="K118" s="121">
        <f>SUMIFS(福利费明细!$F:$F,福利费明细!$B:$B,$E118,福利费明细!$C:$C,$F118,福利费明细!$E:$E,"&gt;="&amp;K$9,福利费明细!$E:$E,"&lt;="&amp;K$10,福利费明细!$A:$A,K$6)/10000</f>
        <v>0.6</v>
      </c>
      <c r="L118" s="121">
        <f>SUMIFS(福利费明细!$F:$F,福利费明细!$B:$B,$E118,福利费明细!$C:$C,$F118,福利费明细!$E:$E,"&gt;="&amp;L$9,福利费明细!$E:$E,"&lt;="&amp;L$10,福利费明细!$A:$A,L$6)/10000</f>
        <v>0.6</v>
      </c>
      <c r="M118" s="121">
        <f>SUMIFS(福利费明细!$F:$F,福利费明细!$B:$B,$E118,福利费明细!$C:$C,$F118,福利费明细!$E:$E,"&gt;="&amp;M$9,福利费明细!$E:$E,"&lt;="&amp;M$10,福利费明细!$A:$A,M$6)/10000</f>
        <v>0.6</v>
      </c>
      <c r="N118" s="121">
        <f>SUMIFS(福利费明细!$F:$F,福利费明细!$B:$B,$E118,福利费明细!$C:$C,$F118,福利费明细!$E:$E,"&gt;="&amp;N$9,福利费明细!$E:$E,"&lt;="&amp;N$10,福利费明细!$A:$A,N$6)/10000</f>
        <v>0.6</v>
      </c>
      <c r="O118" s="121">
        <f>SUMIFS(福利费明细!$F:$F,福利费明细!$B:$B,$E118,福利费明细!$C:$C,$F118,福利费明细!$E:$E,"&gt;="&amp;O$9,福利费明细!$E:$E,"&lt;="&amp;O$10,福利费明细!$A:$A,O$6)/10000</f>
        <v>0.6</v>
      </c>
      <c r="P118" s="121">
        <f>SUMIFS(福利费明细!$F:$F,福利费明细!$B:$B,$E118,福利费明细!$C:$C,$F118,福利费明细!$E:$E,"&gt;="&amp;P$9,福利费明细!$E:$E,"&lt;="&amp;P$10,福利费明细!$A:$A,P$6)/10000</f>
        <v>0.6</v>
      </c>
      <c r="Q118" s="121">
        <f>SUMIFS(福利费明细!$F:$F,福利费明细!$B:$B,$E118,福利费明细!$C:$C,$F118,福利费明细!$E:$E,"&gt;="&amp;Q$9,福利费明细!$E:$E,"&lt;="&amp;Q$10,福利费明细!$A:$A,Q$6)/10000</f>
        <v>0.6</v>
      </c>
      <c r="R118" s="121">
        <f>SUMIFS(福利费明细!$F:$F,福利费明细!$B:$B,$E118,福利费明细!$C:$C,$F118,福利费明细!$E:$E,"&gt;="&amp;R$9,福利费明细!$E:$E,"&lt;="&amp;R$10,福利费明细!$A:$A,R$6)/10000</f>
        <v>0.6</v>
      </c>
      <c r="S118" s="121">
        <f>SUMIFS(福利费明细!$F:$F,福利费明细!$B:$B,$E118,福利费明细!$C:$C,$F118,福利费明细!$E:$E,"&gt;="&amp;S$9,福利费明细!$E:$E,"&lt;="&amp;S$10,福利费明细!$A:$A,S$6)/10000</f>
        <v>0.6</v>
      </c>
      <c r="T118" s="125">
        <f>U118+AH118</f>
        <v>6.9</v>
      </c>
      <c r="U118" s="121">
        <f>SUMIFS(福利费明细!$F:$F,福利费明细!$B:$B,$E118,福利费明细!$C:$C,$F118,福利费明细!$E:$E,"&gt;="&amp;U$9,福利费明细!$E:$E,"&lt;="&amp;U$10,福利费明细!$A:$A,U$6)/10000</f>
        <v>5.2</v>
      </c>
      <c r="V118" s="121">
        <f>SUMIFS(福利费明细!$F:$F,福利费明细!$B:$B,$E118,福利费明细!$C:$C,$F118,福利费明细!$E:$E,"&gt;="&amp;V$9,福利费明细!$E:$E,"&lt;="&amp;V$10,福利费明细!$A:$A,V$6)/10000</f>
        <v>0.6</v>
      </c>
      <c r="W118" s="121">
        <f>SUMIFS(福利费明细!$F:$F,福利费明细!$B:$B,$E118,福利费明细!$C:$C,$F118,福利费明细!$E:$E,"&gt;="&amp;W$9,福利费明细!$E:$E,"&lt;="&amp;W$10,福利费明细!$A:$A,W$6)/10000</f>
        <v>0.6</v>
      </c>
      <c r="X118" s="121">
        <f>SUMIFS(福利费明细!$F:$F,福利费明细!$B:$B,$E118,福利费明细!$C:$C,$F118,福利费明细!$E:$E,"&gt;="&amp;X$9,福利费明细!$E:$E,"&lt;="&amp;X$10,福利费明细!$A:$A,X$6)/10000</f>
        <v>0.6</v>
      </c>
      <c r="Y118" s="121">
        <f>SUMIFS(福利费明细!$F:$F,福利费明细!$B:$B,$E118,福利费明细!$C:$C,$F118,福利费明细!$E:$E,"&gt;="&amp;Y$9,福利费明细!$E:$E,"&lt;="&amp;Y$10,福利费明细!$A:$A,Y$6)/10000</f>
        <v>0.6</v>
      </c>
      <c r="Z118" s="121">
        <f>SUMIFS(福利费明细!$F:$F,福利费明细!$B:$B,$E118,福利费明细!$C:$C,$F118,福利费明细!$E:$E,"&gt;="&amp;Z$9,福利费明细!$E:$E,"&lt;="&amp;Z$10,福利费明细!$A:$A,Z$6)/10000</f>
        <v>0.6</v>
      </c>
      <c r="AA118" s="121">
        <f>SUMIFS(福利费明细!$F:$F,福利费明细!$B:$B,$E118,福利费明细!$C:$C,$F118,福利费明细!$E:$E,"&gt;="&amp;AA$9,福利费明细!$E:$E,"&lt;="&amp;AA$10,福利费明细!$A:$A,AA$6)/10000</f>
        <v>0.6</v>
      </c>
      <c r="AB118" s="121">
        <f>SUMIFS(福利费明细!$F:$F,福利费明细!$B:$B,$E118,福利费明细!$C:$C,$F118,福利费明细!$E:$E,"&gt;="&amp;AB$9,福利费明细!$E:$E,"&lt;="&amp;AB$10,福利费明细!$A:$A,AB$6)/10000</f>
        <v>0.6</v>
      </c>
      <c r="AC118" s="121">
        <f>SUMIFS(福利费明细!$F:$F,福利费明细!$B:$B,$E118,福利费明细!$C:$C,$F118,福利费明细!$E:$E,"&gt;="&amp;AC$9,福利费明细!$E:$E,"&lt;="&amp;AC$10,福利费明细!$A:$A,AC$6)/10000</f>
        <v>0.6</v>
      </c>
      <c r="AD118" s="121">
        <f>SUMIFS(福利费明细!$F:$F,福利费明细!$B:$B,$E118,福利费明细!$C:$C,$F118,福利费明细!$E:$E,"&gt;="&amp;AD$9,福利费明细!$E:$E,"&lt;="&amp;AD$10,福利费明细!$A:$A,AD$6)/10000</f>
        <v>0.6</v>
      </c>
      <c r="AE118" s="121">
        <f>SUMIFS(福利费明细!$F:$F,福利费明细!$B:$B,$E118,福利费明细!$C:$C,$F118,福利费明细!$E:$E,"&gt;="&amp;AE$9,福利费明细!$E:$E,"&lt;="&amp;AE$10,福利费明细!$A:$A,AE$6)/10000</f>
        <v>0</v>
      </c>
      <c r="AF118" s="121">
        <f>SUMIFS(福利费明细!$F:$F,福利费明细!$B:$B,$E118,福利费明细!$C:$C,$F118,福利费明细!$E:$E,"&gt;="&amp;AF$9,福利费明细!$E:$E,"&lt;="&amp;AF$10,福利费明细!$A:$A,AF$6)/10000</f>
        <v>0</v>
      </c>
      <c r="AG118" s="121">
        <f>SUMIFS(福利费明细!$F:$F,福利费明细!$B:$B,$E118,福利费明细!$C:$C,$F118,福利费明细!$E:$E,"&gt;="&amp;AG$9,福利费明细!$E:$E,"&lt;="&amp;AG$10,福利费明细!$A:$A,AG$6)/10000</f>
        <v>0</v>
      </c>
      <c r="AH118" s="121">
        <f>SUMIFS(福利费明细!$F:$F,福利费明细!$B:$B,$E118,福利费明细!$C:$C,$F118,福利费明细!$E:$E,"&gt;="&amp;AH$9,福利费明细!$E:$E,"&lt;="&amp;AH$10,福利费明细!$A:$A,AH$6)/10000</f>
        <v>1.7</v>
      </c>
      <c r="AI118" s="121">
        <f>SUMIFS(福利费明细!$F:$F,福利费明细!$B:$B,$E118,福利费明细!$C:$C,$F118,福利费明细!$E:$E,"&gt;="&amp;AI$9,福利费明细!$E:$E,"&lt;="&amp;AI$10,福利费明细!$A:$A,AI$6)/10000</f>
        <v>0</v>
      </c>
      <c r="AJ118" s="121">
        <f>SUMIFS(福利费明细!$F:$F,福利费明细!$B:$B,$E118,福利费明细!$C:$C,$F118,福利费明细!$E:$E,"&gt;="&amp;AJ$9,福利费明细!$E:$E,"&lt;="&amp;AJ$10,福利费明细!$A:$A,AJ$6)/10000</f>
        <v>0</v>
      </c>
      <c r="AK118" s="121">
        <f>SUMIFS(福利费明细!$F:$F,福利费明细!$B:$B,$E118,福利费明细!$C:$C,$F118,福利费明细!$E:$E,"&gt;="&amp;AK$9,福利费明细!$E:$E,"&lt;="&amp;AK$10,福利费明细!$A:$A,AK$6)/10000</f>
        <v>0</v>
      </c>
      <c r="AL118" s="121">
        <f>SUMIFS(福利费明细!$F:$F,福利费明细!$B:$B,$E118,福利费明细!$C:$C,$F118,福利费明细!$E:$E,"&gt;="&amp;AL$9,福利费明细!$E:$E,"&lt;="&amp;AL$10,福利费明细!$A:$A,AL$6)/10000</f>
        <v>0</v>
      </c>
      <c r="AM118" s="121">
        <f>SUMIFS(福利费明细!$F:$F,福利费明细!$B:$B,$E118,福利费明细!$C:$C,$F118,福利费明细!$E:$E,"&gt;="&amp;AM$9,福利费明细!$E:$E,"&lt;="&amp;AM$10,福利费明细!$A:$A,AM$6)/10000</f>
        <v>0</v>
      </c>
      <c r="AN118" s="121">
        <f>SUMIFS(福利费明细!$F:$F,福利费明细!$B:$B,$E118,福利费明细!$C:$C,$F118,福利费明细!$E:$E,"&gt;="&amp;AN$9,福利费明细!$E:$E,"&lt;="&amp;AN$10,福利费明细!$A:$A,AN$6)/10000</f>
        <v>0</v>
      </c>
      <c r="AO118" s="121">
        <f>SUMIFS(福利费明细!$F:$F,福利费明细!$B:$B,$E118,福利费明细!$C:$C,$F118,福利费明细!$E:$E,"&gt;="&amp;AO$9,福利费明细!$E:$E,"&lt;="&amp;AO$10,福利费明细!$A:$A,AO$6)/10000</f>
        <v>0</v>
      </c>
      <c r="AP118" s="121">
        <f>SUMIFS(福利费明细!$F:$F,福利费明细!$B:$B,$E118,福利费明细!$C:$C,$F118,福利费明细!$E:$E,"&gt;="&amp;AP$9,福利费明细!$E:$E,"&lt;="&amp;AP$10,福利费明细!$A:$A,AP$6)/10000</f>
        <v>0</v>
      </c>
      <c r="AQ118" s="121">
        <f>SUMIFS(福利费明细!$F:$F,福利费明细!$B:$B,$E118,福利费明细!$C:$C,$F118,福利费明细!$E:$E,"&gt;="&amp;AQ$9,福利费明细!$E:$E,"&lt;="&amp;AQ$10,福利费明细!$A:$A,AQ$6)/10000</f>
        <v>0</v>
      </c>
      <c r="AR118" s="121">
        <f>SUMIFS(福利费明细!$F:$F,福利费明细!$B:$B,$E118,福利费明细!$C:$C,$F118,福利费明细!$E:$E,"&gt;="&amp;AR$9,福利费明细!$E:$E,"&lt;="&amp;AR$10,福利费明细!$A:$A,AR$6)/10000</f>
        <v>0.6</v>
      </c>
      <c r="AS118" s="121">
        <f>SUMIFS(福利费明细!$F:$F,福利费明细!$B:$B,$E118,福利费明细!$C:$C,$F118,福利费明细!$E:$E,"&gt;="&amp;AS$9,福利费明细!$E:$E,"&lt;="&amp;AS$10,福利费明细!$A:$A,AS$6)/10000</f>
        <v>0.6</v>
      </c>
      <c r="AT118" s="121">
        <f>SUMIFS(福利费明细!$F:$F,福利费明细!$B:$B,$E118,福利费明细!$C:$C,$F118,福利费明细!$E:$E,"&gt;="&amp;AT$9,福利费明细!$E:$E,"&lt;="&amp;AT$10,福利费明细!$A:$A,AT$6)/10000</f>
        <v>0.6</v>
      </c>
      <c r="AU118" s="121">
        <f>SUMIFS(福利费明细!$F:$F,福利费明细!$B:$B,$E118,福利费明细!$C:$C,$F118,福利费明细!$E:$E,"&gt;="&amp;AU$9,福利费明细!$E:$E,"&lt;="&amp;AU$10,福利费明细!$A:$A,AU$6)/10000</f>
        <v>6.9</v>
      </c>
      <c r="AV118" s="121">
        <f>SUMIFS(福利费明细!$F:$F,福利费明细!$B:$B,$E118,福利费明细!$C:$C,$F118,福利费明细!$E:$E,"&gt;="&amp;AV$9,福利费明细!$E:$E,"&lt;="&amp;AV$10,福利费明细!$A:$A,AV$6)/10000</f>
        <v>0.6</v>
      </c>
      <c r="AW118" s="121">
        <f>SUMIFS(福利费明细!$F:$F,福利费明细!$B:$B,$E118,福利费明细!$C:$C,$F118,福利费明细!$E:$E,"&gt;="&amp;AW$9,福利费明细!$E:$E,"&lt;="&amp;AW$10,福利费明细!$A:$A,AW$6)/10000</f>
        <v>0.6</v>
      </c>
      <c r="AX118" s="121">
        <f>SUMIFS(福利费明细!$F:$F,福利费明细!$B:$B,$E118,福利费明细!$C:$C,$F118,福利费明细!$E:$E,"&gt;="&amp;AX$9,福利费明细!$E:$E,"&lt;="&amp;AX$10,福利费明细!$A:$A,AX$6)/10000</f>
        <v>0.6</v>
      </c>
      <c r="AY118" s="121">
        <f>SUMIFS(福利费明细!$F:$F,福利费明细!$B:$B,$E118,福利费明细!$C:$C,$F118,福利费明细!$E:$E,"&gt;="&amp;AY$9,福利费明细!$E:$E,"&lt;="&amp;AY$10,福利费明细!$A:$A,AY$6)/10000</f>
        <v>0.6</v>
      </c>
      <c r="AZ118" s="121">
        <f>SUMIFS(福利费明细!$F:$F,福利费明细!$B:$B,$E118,福利费明细!$C:$C,$F118,福利费明细!$E:$E,"&gt;="&amp;AZ$9,福利费明细!$E:$E,"&lt;="&amp;AZ$10,福利费明细!$A:$A,AZ$6)/10000</f>
        <v>0.6</v>
      </c>
      <c r="BA118" s="121">
        <f>SUMIFS(福利费明细!$F:$F,福利费明细!$B:$B,$E118,福利费明细!$C:$C,$F118,福利费明细!$E:$E,"&gt;="&amp;BA$9,福利费明细!$E:$E,"&lt;="&amp;BA$10,福利费明细!$A:$A,BA$6)/10000</f>
        <v>0.6</v>
      </c>
      <c r="BB118" s="121">
        <f>SUMIFS(福利费明细!$F:$F,福利费明细!$B:$B,$E118,福利费明细!$C:$C,$F118,福利费明细!$E:$E,"&gt;="&amp;BB$9,福利费明细!$E:$E,"&lt;="&amp;BB$10,福利费明细!$A:$A,BB$6)/10000</f>
        <v>0.6</v>
      </c>
      <c r="BC118" s="121">
        <f>SUMIFS(福利费明细!$F:$F,福利费明细!$B:$B,$E118,福利费明细!$C:$C,$F118,福利费明细!$E:$E,"&gt;="&amp;BC$9,福利费明细!$E:$E,"&lt;="&amp;BC$10,福利费明细!$A:$A,BC$6)/10000</f>
        <v>0.6</v>
      </c>
      <c r="BD118" s="121">
        <f>SUMIFS(福利费明细!$F:$F,福利费明细!$B:$B,$E118,福利费明细!$C:$C,$F118,福利费明细!$E:$E,"&gt;="&amp;BD$9,福利费明细!$E:$E,"&lt;="&amp;BD$10,福利费明细!$A:$A,BD$6)/10000</f>
        <v>0.6</v>
      </c>
      <c r="BE118" s="121">
        <f>SUMIFS(福利费明细!$F:$F,福利费明细!$B:$B,$E118,福利费明细!$C:$C,$F118,福利费明细!$E:$E,"&gt;="&amp;BE$9,福利费明细!$E:$E,"&lt;="&amp;BE$10,福利费明细!$A:$A,BE$6)/10000</f>
        <v>0.6</v>
      </c>
      <c r="BF118" s="121">
        <f>SUMIFS(福利费明细!$F:$F,福利费明细!$B:$B,$E118,福利费明细!$C:$C,$F118,福利费明细!$E:$E,"&gt;="&amp;BF$9,福利费明细!$E:$E,"&lt;="&amp;BF$10,福利费明细!$A:$A,BF$6)/10000</f>
        <v>0.6</v>
      </c>
      <c r="BG118" s="121">
        <f>SUMIFS(福利费明细!$F:$F,福利费明细!$B:$B,$E118,福利费明细!$C:$C,$F118,福利费明细!$E:$E,"&gt;="&amp;BG$9,福利费明细!$E:$E,"&lt;="&amp;BG$10,福利费明细!$A:$A,BG$6)/10000</f>
        <v>0.6</v>
      </c>
    </row>
    <row r="119" ht="16.2" spans="3:59">
      <c r="C119" s="42"/>
      <c r="D119" s="42" t="s">
        <v>80</v>
      </c>
      <c r="E119" s="116" t="str">
        <f t="shared" ref="E119:E129" si="99">IF(C119&lt;&gt;"",C119,E118)</f>
        <v>流程中心</v>
      </c>
      <c r="F119" s="116" t="str">
        <f t="shared" ref="F119:F129" si="100">IF(D119&lt;&gt;"",D119,"*")</f>
        <v>销售中心</v>
      </c>
      <c r="G119" s="121">
        <f>SUMIFS(福利费明细!$F:$F,福利费明细!$B:$B,$E119,福利费明细!$C:$C,$F119,福利费明细!$E:$E,"&gt;="&amp;G$9,福利费明细!$E:$E,"&lt;="&amp;G$10,福利费明细!$A:$A,G$6)/10000</f>
        <v>3.9</v>
      </c>
      <c r="H119" s="121">
        <f>SUMIFS(福利费明细!$F:$F,福利费明细!$B:$B,$E119,福利费明细!$C:$C,$F119,福利费明细!$E:$E,"&gt;="&amp;H$9,福利费明细!$E:$E,"&lt;="&amp;H$10,福利费明细!$A:$A,H$6)/10000</f>
        <v>0.3</v>
      </c>
      <c r="I119" s="121">
        <f>SUMIFS(福利费明细!$F:$F,福利费明细!$B:$B,$E119,福利费明细!$C:$C,$F119,福利费明细!$E:$E,"&gt;="&amp;I$9,福利费明细!$E:$E,"&lt;="&amp;I$10,福利费明细!$A:$A,I$6)/10000</f>
        <v>0.3</v>
      </c>
      <c r="J119" s="121">
        <f>SUMIFS(福利费明细!$F:$F,福利费明细!$B:$B,$E119,福利费明细!$C:$C,$F119,福利费明细!$E:$E,"&gt;="&amp;J$9,福利费明细!$E:$E,"&lt;="&amp;J$10,福利费明细!$A:$A,J$6)/10000</f>
        <v>0.3</v>
      </c>
      <c r="K119" s="121">
        <f>SUMIFS(福利费明细!$F:$F,福利费明细!$B:$B,$E119,福利费明细!$C:$C,$F119,福利费明细!$E:$E,"&gt;="&amp;K$9,福利费明细!$E:$E,"&lt;="&amp;K$10,福利费明细!$A:$A,K$6)/10000</f>
        <v>0.3</v>
      </c>
      <c r="L119" s="121">
        <f>SUMIFS(福利费明细!$F:$F,福利费明细!$B:$B,$E119,福利费明细!$C:$C,$F119,福利费明细!$E:$E,"&gt;="&amp;L$9,福利费明细!$E:$E,"&lt;="&amp;L$10,福利费明细!$A:$A,L$6)/10000</f>
        <v>0.3</v>
      </c>
      <c r="M119" s="121">
        <f>SUMIFS(福利费明细!$F:$F,福利费明细!$B:$B,$E119,福利费明细!$C:$C,$F119,福利费明细!$E:$E,"&gt;="&amp;M$9,福利费明细!$E:$E,"&lt;="&amp;M$10,福利费明细!$A:$A,M$6)/10000</f>
        <v>0.3</v>
      </c>
      <c r="N119" s="121">
        <f>SUMIFS(福利费明细!$F:$F,福利费明细!$B:$B,$E119,福利费明细!$C:$C,$F119,福利费明细!$E:$E,"&gt;="&amp;N$9,福利费明细!$E:$E,"&lt;="&amp;N$10,福利费明细!$A:$A,N$6)/10000</f>
        <v>0.3</v>
      </c>
      <c r="O119" s="121">
        <f>SUMIFS(福利费明细!$F:$F,福利费明细!$B:$B,$E119,福利费明细!$C:$C,$F119,福利费明细!$E:$E,"&gt;="&amp;O$9,福利费明细!$E:$E,"&lt;="&amp;O$10,福利费明细!$A:$A,O$6)/10000</f>
        <v>0.3</v>
      </c>
      <c r="P119" s="121">
        <f>SUMIFS(福利费明细!$F:$F,福利费明细!$B:$B,$E119,福利费明细!$C:$C,$F119,福利费明细!$E:$E,"&gt;="&amp;P$9,福利费明细!$E:$E,"&lt;="&amp;P$10,福利费明细!$A:$A,P$6)/10000</f>
        <v>0.3</v>
      </c>
      <c r="Q119" s="121">
        <f>SUMIFS(福利费明细!$F:$F,福利费明细!$B:$B,$E119,福利费明细!$C:$C,$F119,福利费明细!$E:$E,"&gt;="&amp;Q$9,福利费明细!$E:$E,"&lt;="&amp;Q$10,福利费明细!$A:$A,Q$6)/10000</f>
        <v>0.3</v>
      </c>
      <c r="R119" s="121">
        <f>SUMIFS(福利费明细!$F:$F,福利费明细!$B:$B,$E119,福利费明细!$C:$C,$F119,福利费明细!$E:$E,"&gt;="&amp;R$9,福利费明细!$E:$E,"&lt;="&amp;R$10,福利费明细!$A:$A,R$6)/10000</f>
        <v>0.3</v>
      </c>
      <c r="S119" s="121">
        <f>SUMIFS(福利费明细!$F:$F,福利费明细!$B:$B,$E119,福利费明细!$C:$C,$F119,福利费明细!$E:$E,"&gt;="&amp;S$9,福利费明细!$E:$E,"&lt;="&amp;S$10,福利费明细!$A:$A,S$6)/10000</f>
        <v>0.3</v>
      </c>
      <c r="T119" s="125">
        <f t="shared" ref="T119:T129" si="101">U119+AH119</f>
        <v>3.9</v>
      </c>
      <c r="U119" s="121">
        <f>SUMIFS(福利费明细!$F:$F,福利费明细!$B:$B,$E119,福利费明细!$C:$C,$F119,福利费明细!$E:$E,"&gt;="&amp;U$9,福利费明细!$E:$E,"&lt;="&amp;U$10,福利费明细!$A:$A,U$6)/10000</f>
        <v>2.9</v>
      </c>
      <c r="V119" s="121">
        <f>SUMIFS(福利费明细!$F:$F,福利费明细!$B:$B,$E119,福利费明细!$C:$C,$F119,福利费明细!$E:$E,"&gt;="&amp;V$9,福利费明细!$E:$E,"&lt;="&amp;V$10,福利费明细!$A:$A,V$6)/10000</f>
        <v>0.3</v>
      </c>
      <c r="W119" s="121">
        <f>SUMIFS(福利费明细!$F:$F,福利费明细!$B:$B,$E119,福利费明细!$C:$C,$F119,福利费明细!$E:$E,"&gt;="&amp;W$9,福利费明细!$E:$E,"&lt;="&amp;W$10,福利费明细!$A:$A,W$6)/10000</f>
        <v>0.3</v>
      </c>
      <c r="X119" s="121">
        <f>SUMIFS(福利费明细!$F:$F,福利费明细!$B:$B,$E119,福利费明细!$C:$C,$F119,福利费明细!$E:$E,"&gt;="&amp;X$9,福利费明细!$E:$E,"&lt;="&amp;X$10,福利费明细!$A:$A,X$6)/10000</f>
        <v>0.3</v>
      </c>
      <c r="Y119" s="121">
        <f>SUMIFS(福利费明细!$F:$F,福利费明细!$B:$B,$E119,福利费明细!$C:$C,$F119,福利费明细!$E:$E,"&gt;="&amp;Y$9,福利费明细!$E:$E,"&lt;="&amp;Y$10,福利费明细!$A:$A,Y$6)/10000</f>
        <v>0.3</v>
      </c>
      <c r="Z119" s="121">
        <f>SUMIFS(福利费明细!$F:$F,福利费明细!$B:$B,$E119,福利费明细!$C:$C,$F119,福利费明细!$E:$E,"&gt;="&amp;Z$9,福利费明细!$E:$E,"&lt;="&amp;Z$10,福利费明细!$A:$A,Z$6)/10000</f>
        <v>0.3</v>
      </c>
      <c r="AA119" s="121">
        <f>SUMIFS(福利费明细!$F:$F,福利费明细!$B:$B,$E119,福利费明细!$C:$C,$F119,福利费明细!$E:$E,"&gt;="&amp;AA$9,福利费明细!$E:$E,"&lt;="&amp;AA$10,福利费明细!$A:$A,AA$6)/10000</f>
        <v>0.3</v>
      </c>
      <c r="AB119" s="121">
        <f>SUMIFS(福利费明细!$F:$F,福利费明细!$B:$B,$E119,福利费明细!$C:$C,$F119,福利费明细!$E:$E,"&gt;="&amp;AB$9,福利费明细!$E:$E,"&lt;="&amp;AB$10,福利费明细!$A:$A,AB$6)/10000</f>
        <v>0.3</v>
      </c>
      <c r="AC119" s="121">
        <f>SUMIFS(福利费明细!$F:$F,福利费明细!$B:$B,$E119,福利费明细!$C:$C,$F119,福利费明细!$E:$E,"&gt;="&amp;AC$9,福利费明细!$E:$E,"&lt;="&amp;AC$10,福利费明细!$A:$A,AC$6)/10000</f>
        <v>0.3</v>
      </c>
      <c r="AD119" s="121">
        <f>SUMIFS(福利费明细!$F:$F,福利费明细!$B:$B,$E119,福利费明细!$C:$C,$F119,福利费明细!$E:$E,"&gt;="&amp;AD$9,福利费明细!$E:$E,"&lt;="&amp;AD$10,福利费明细!$A:$A,AD$6)/10000</f>
        <v>0.3</v>
      </c>
      <c r="AE119" s="121">
        <f>SUMIFS(福利费明细!$F:$F,福利费明细!$B:$B,$E119,福利费明细!$C:$C,$F119,福利费明细!$E:$E,"&gt;="&amp;AE$9,福利费明细!$E:$E,"&lt;="&amp;AE$10,福利费明细!$A:$A,AE$6)/10000</f>
        <v>0</v>
      </c>
      <c r="AF119" s="121">
        <f>SUMIFS(福利费明细!$F:$F,福利费明细!$B:$B,$E119,福利费明细!$C:$C,$F119,福利费明细!$E:$E,"&gt;="&amp;AF$9,福利费明细!$E:$E,"&lt;="&amp;AF$10,福利费明细!$A:$A,AF$6)/10000</f>
        <v>0</v>
      </c>
      <c r="AG119" s="121">
        <f>SUMIFS(福利费明细!$F:$F,福利费明细!$B:$B,$E119,福利费明细!$C:$C,$F119,福利费明细!$E:$E,"&gt;="&amp;AG$9,福利费明细!$E:$E,"&lt;="&amp;AG$10,福利费明细!$A:$A,AG$6)/10000</f>
        <v>0</v>
      </c>
      <c r="AH119" s="121">
        <f>SUMIFS(福利费明细!$F:$F,福利费明细!$B:$B,$E119,福利费明细!$C:$C,$F119,福利费明细!$E:$E,"&gt;="&amp;AH$9,福利费明细!$E:$E,"&lt;="&amp;AH$10,福利费明细!$A:$A,AH$6)/10000</f>
        <v>1</v>
      </c>
      <c r="AI119" s="121">
        <f>SUMIFS(福利费明细!$F:$F,福利费明细!$B:$B,$E119,福利费明细!$C:$C,$F119,福利费明细!$E:$E,"&gt;="&amp;AI$9,福利费明细!$E:$E,"&lt;="&amp;AI$10,福利费明细!$A:$A,AI$6)/10000</f>
        <v>0</v>
      </c>
      <c r="AJ119" s="121">
        <f>SUMIFS(福利费明细!$F:$F,福利费明细!$B:$B,$E119,福利费明细!$C:$C,$F119,福利费明细!$E:$E,"&gt;="&amp;AJ$9,福利费明细!$E:$E,"&lt;="&amp;AJ$10,福利费明细!$A:$A,AJ$6)/10000</f>
        <v>0</v>
      </c>
      <c r="AK119" s="121">
        <f>SUMIFS(福利费明细!$F:$F,福利费明细!$B:$B,$E119,福利费明细!$C:$C,$F119,福利费明细!$E:$E,"&gt;="&amp;AK$9,福利费明细!$E:$E,"&lt;="&amp;AK$10,福利费明细!$A:$A,AK$6)/10000</f>
        <v>0</v>
      </c>
      <c r="AL119" s="121">
        <f>SUMIFS(福利费明细!$F:$F,福利费明细!$B:$B,$E119,福利费明细!$C:$C,$F119,福利费明细!$E:$E,"&gt;="&amp;AL$9,福利费明细!$E:$E,"&lt;="&amp;AL$10,福利费明细!$A:$A,AL$6)/10000</f>
        <v>0</v>
      </c>
      <c r="AM119" s="121">
        <f>SUMIFS(福利费明细!$F:$F,福利费明细!$B:$B,$E119,福利费明细!$C:$C,$F119,福利费明细!$E:$E,"&gt;="&amp;AM$9,福利费明细!$E:$E,"&lt;="&amp;AM$10,福利费明细!$A:$A,AM$6)/10000</f>
        <v>0</v>
      </c>
      <c r="AN119" s="121">
        <f>SUMIFS(福利费明细!$F:$F,福利费明细!$B:$B,$E119,福利费明细!$C:$C,$F119,福利费明细!$E:$E,"&gt;="&amp;AN$9,福利费明细!$E:$E,"&lt;="&amp;AN$10,福利费明细!$A:$A,AN$6)/10000</f>
        <v>0</v>
      </c>
      <c r="AO119" s="121">
        <f>SUMIFS(福利费明细!$F:$F,福利费明细!$B:$B,$E119,福利费明细!$C:$C,$F119,福利费明细!$E:$E,"&gt;="&amp;AO$9,福利费明细!$E:$E,"&lt;="&amp;AO$10,福利费明细!$A:$A,AO$6)/10000</f>
        <v>0</v>
      </c>
      <c r="AP119" s="121">
        <f>SUMIFS(福利费明细!$F:$F,福利费明细!$B:$B,$E119,福利费明细!$C:$C,$F119,福利费明细!$E:$E,"&gt;="&amp;AP$9,福利费明细!$E:$E,"&lt;="&amp;AP$10,福利费明细!$A:$A,AP$6)/10000</f>
        <v>0</v>
      </c>
      <c r="AQ119" s="121">
        <f>SUMIFS(福利费明细!$F:$F,福利费明细!$B:$B,$E119,福利费明细!$C:$C,$F119,福利费明细!$E:$E,"&gt;="&amp;AQ$9,福利费明细!$E:$E,"&lt;="&amp;AQ$10,福利费明细!$A:$A,AQ$6)/10000</f>
        <v>0</v>
      </c>
      <c r="AR119" s="121">
        <f>SUMIFS(福利费明细!$F:$F,福利费明细!$B:$B,$E119,福利费明细!$C:$C,$F119,福利费明细!$E:$E,"&gt;="&amp;AR$9,福利费明细!$E:$E,"&lt;="&amp;AR$10,福利费明细!$A:$A,AR$6)/10000</f>
        <v>0.3</v>
      </c>
      <c r="AS119" s="121">
        <f>SUMIFS(福利费明细!$F:$F,福利费明细!$B:$B,$E119,福利费明细!$C:$C,$F119,福利费明细!$E:$E,"&gt;="&amp;AS$9,福利费明细!$E:$E,"&lt;="&amp;AS$10,福利费明细!$A:$A,AS$6)/10000</f>
        <v>0.3</v>
      </c>
      <c r="AT119" s="121">
        <f>SUMIFS(福利费明细!$F:$F,福利费明细!$B:$B,$E119,福利费明细!$C:$C,$F119,福利费明细!$E:$E,"&gt;="&amp;AT$9,福利费明细!$E:$E,"&lt;="&amp;AT$10,福利费明细!$A:$A,AT$6)/10000</f>
        <v>0.3</v>
      </c>
      <c r="AU119" s="121">
        <f>SUMIFS(福利费明细!$F:$F,福利费明细!$B:$B,$E119,福利费明细!$C:$C,$F119,福利费明细!$E:$E,"&gt;="&amp;AU$9,福利费明细!$E:$E,"&lt;="&amp;AU$10,福利费明细!$A:$A,AU$6)/10000</f>
        <v>3.9</v>
      </c>
      <c r="AV119" s="121">
        <f>SUMIFS(福利费明细!$F:$F,福利费明细!$B:$B,$E119,福利费明细!$C:$C,$F119,福利费明细!$E:$E,"&gt;="&amp;AV$9,福利费明细!$E:$E,"&lt;="&amp;AV$10,福利费明细!$A:$A,AV$6)/10000</f>
        <v>0.3</v>
      </c>
      <c r="AW119" s="121">
        <f>SUMIFS(福利费明细!$F:$F,福利费明细!$B:$B,$E119,福利费明细!$C:$C,$F119,福利费明细!$E:$E,"&gt;="&amp;AW$9,福利费明细!$E:$E,"&lt;="&amp;AW$10,福利费明细!$A:$A,AW$6)/10000</f>
        <v>0.3</v>
      </c>
      <c r="AX119" s="121">
        <f>SUMIFS(福利费明细!$F:$F,福利费明细!$B:$B,$E119,福利费明细!$C:$C,$F119,福利费明细!$E:$E,"&gt;="&amp;AX$9,福利费明细!$E:$E,"&lt;="&amp;AX$10,福利费明细!$A:$A,AX$6)/10000</f>
        <v>0.3</v>
      </c>
      <c r="AY119" s="121">
        <f>SUMIFS(福利费明细!$F:$F,福利费明细!$B:$B,$E119,福利费明细!$C:$C,$F119,福利费明细!$E:$E,"&gt;="&amp;AY$9,福利费明细!$E:$E,"&lt;="&amp;AY$10,福利费明细!$A:$A,AY$6)/10000</f>
        <v>0.3</v>
      </c>
      <c r="AZ119" s="121">
        <f>SUMIFS(福利费明细!$F:$F,福利费明细!$B:$B,$E119,福利费明细!$C:$C,$F119,福利费明细!$E:$E,"&gt;="&amp;AZ$9,福利费明细!$E:$E,"&lt;="&amp;AZ$10,福利费明细!$A:$A,AZ$6)/10000</f>
        <v>0.3</v>
      </c>
      <c r="BA119" s="121">
        <f>SUMIFS(福利费明细!$F:$F,福利费明细!$B:$B,$E119,福利费明细!$C:$C,$F119,福利费明细!$E:$E,"&gt;="&amp;BA$9,福利费明细!$E:$E,"&lt;="&amp;BA$10,福利费明细!$A:$A,BA$6)/10000</f>
        <v>0.3</v>
      </c>
      <c r="BB119" s="121">
        <f>SUMIFS(福利费明细!$F:$F,福利费明细!$B:$B,$E119,福利费明细!$C:$C,$F119,福利费明细!$E:$E,"&gt;="&amp;BB$9,福利费明细!$E:$E,"&lt;="&amp;BB$10,福利费明细!$A:$A,BB$6)/10000</f>
        <v>0.3</v>
      </c>
      <c r="BC119" s="121">
        <f>SUMIFS(福利费明细!$F:$F,福利费明细!$B:$B,$E119,福利费明细!$C:$C,$F119,福利费明细!$E:$E,"&gt;="&amp;BC$9,福利费明细!$E:$E,"&lt;="&amp;BC$10,福利费明细!$A:$A,BC$6)/10000</f>
        <v>0.3</v>
      </c>
      <c r="BD119" s="121">
        <f>SUMIFS(福利费明细!$F:$F,福利费明细!$B:$B,$E119,福利费明细!$C:$C,$F119,福利费明细!$E:$E,"&gt;="&amp;BD$9,福利费明细!$E:$E,"&lt;="&amp;BD$10,福利费明细!$A:$A,BD$6)/10000</f>
        <v>0.3</v>
      </c>
      <c r="BE119" s="121">
        <f>SUMIFS(福利费明细!$F:$F,福利费明细!$B:$B,$E119,福利费明细!$C:$C,$F119,福利费明细!$E:$E,"&gt;="&amp;BE$9,福利费明细!$E:$E,"&lt;="&amp;BE$10,福利费明细!$A:$A,BE$6)/10000</f>
        <v>0.3</v>
      </c>
      <c r="BF119" s="121">
        <f>SUMIFS(福利费明细!$F:$F,福利费明细!$B:$B,$E119,福利费明细!$C:$C,$F119,福利费明细!$E:$E,"&gt;="&amp;BF$9,福利费明细!$E:$E,"&lt;="&amp;BF$10,福利费明细!$A:$A,BF$6)/10000</f>
        <v>0.3</v>
      </c>
      <c r="BG119" s="121">
        <f>SUMIFS(福利费明细!$F:$F,福利费明细!$B:$B,$E119,福利费明细!$C:$C,$F119,福利费明细!$E:$E,"&gt;="&amp;BG$9,福利费明细!$E:$E,"&lt;="&amp;BG$10,福利费明细!$A:$A,BG$6)/10000</f>
        <v>0.3</v>
      </c>
    </row>
    <row r="120" ht="16.2" spans="3:59">
      <c r="C120" s="42"/>
      <c r="D120" s="42" t="s">
        <v>81</v>
      </c>
      <c r="E120" s="116" t="str">
        <f t="shared" si="99"/>
        <v>流程中心</v>
      </c>
      <c r="F120" s="116" t="str">
        <f t="shared" si="100"/>
        <v>制造中心</v>
      </c>
      <c r="G120" s="121">
        <f>SUMIFS(福利费明细!$F:$F,福利费明细!$B:$B,$E120,福利费明细!$C:$C,$F120,福利费明细!$E:$E,"&gt;="&amp;G$9,福利费明细!$E:$E,"&lt;="&amp;G$10,福利费明细!$A:$A,G$6)/10000</f>
        <v>3</v>
      </c>
      <c r="H120" s="121">
        <f>SUMIFS(福利费明细!$F:$F,福利费明细!$B:$B,$E120,福利费明细!$C:$C,$F120,福利费明细!$E:$E,"&gt;="&amp;H$9,福利费明细!$E:$E,"&lt;="&amp;H$10,福利费明细!$A:$A,H$6)/10000</f>
        <v>0.2</v>
      </c>
      <c r="I120" s="121">
        <f>SUMIFS(福利费明细!$F:$F,福利费明细!$B:$B,$E120,福利费明细!$C:$C,$F120,福利费明细!$E:$E,"&gt;="&amp;I$9,福利费明细!$E:$E,"&lt;="&amp;I$10,福利费明细!$A:$A,I$6)/10000</f>
        <v>0.3</v>
      </c>
      <c r="J120" s="121">
        <f>SUMIFS(福利费明细!$F:$F,福利费明细!$B:$B,$E120,福利费明细!$C:$C,$F120,福利费明细!$E:$E,"&gt;="&amp;J$9,福利费明细!$E:$E,"&lt;="&amp;J$10,福利费明细!$A:$A,J$6)/10000</f>
        <v>0.2</v>
      </c>
      <c r="K120" s="121">
        <f>SUMIFS(福利费明细!$F:$F,福利费明细!$B:$B,$E120,福利费明细!$C:$C,$F120,福利费明细!$E:$E,"&gt;="&amp;K$9,福利费明细!$E:$E,"&lt;="&amp;K$10,福利费明细!$A:$A,K$6)/10000</f>
        <v>0.3</v>
      </c>
      <c r="L120" s="121">
        <f>SUMIFS(福利费明细!$F:$F,福利费明细!$B:$B,$E120,福利费明细!$C:$C,$F120,福利费明细!$E:$E,"&gt;="&amp;L$9,福利费明细!$E:$E,"&lt;="&amp;L$10,福利费明细!$A:$A,L$6)/10000</f>
        <v>0.3</v>
      </c>
      <c r="M120" s="121">
        <f>SUMIFS(福利费明细!$F:$F,福利费明细!$B:$B,$E120,福利费明细!$C:$C,$F120,福利费明细!$E:$E,"&gt;="&amp;M$9,福利费明细!$E:$E,"&lt;="&amp;M$10,福利费明细!$A:$A,M$6)/10000</f>
        <v>0.2</v>
      </c>
      <c r="N120" s="121">
        <f>SUMIFS(福利费明细!$F:$F,福利费明细!$B:$B,$E120,福利费明细!$C:$C,$F120,福利费明细!$E:$E,"&gt;="&amp;N$9,福利费明细!$E:$E,"&lt;="&amp;N$10,福利费明细!$A:$A,N$6)/10000</f>
        <v>0.3</v>
      </c>
      <c r="O120" s="121">
        <f>SUMIFS(福利费明细!$F:$F,福利费明细!$B:$B,$E120,福利费明细!$C:$C,$F120,福利费明细!$E:$E,"&gt;="&amp;O$9,福利费明细!$E:$E,"&lt;="&amp;O$10,福利费明细!$A:$A,O$6)/10000</f>
        <v>0.2</v>
      </c>
      <c r="P120" s="121">
        <f>SUMIFS(福利费明细!$F:$F,福利费明细!$B:$B,$E120,福利费明细!$C:$C,$F120,福利费明细!$E:$E,"&gt;="&amp;P$9,福利费明细!$E:$E,"&lt;="&amp;P$10,福利费明细!$A:$A,P$6)/10000</f>
        <v>0.2</v>
      </c>
      <c r="Q120" s="121">
        <f>SUMIFS(福利费明细!$F:$F,福利费明细!$B:$B,$E120,福利费明细!$C:$C,$F120,福利费明细!$E:$E,"&gt;="&amp;Q$9,福利费明细!$E:$E,"&lt;="&amp;Q$10,福利费明细!$A:$A,Q$6)/10000</f>
        <v>0.2</v>
      </c>
      <c r="R120" s="121">
        <f>SUMIFS(福利费明细!$F:$F,福利费明细!$B:$B,$E120,福利费明细!$C:$C,$F120,福利费明细!$E:$E,"&gt;="&amp;R$9,福利费明细!$E:$E,"&lt;="&amp;R$10,福利费明细!$A:$A,R$6)/10000</f>
        <v>0.2</v>
      </c>
      <c r="S120" s="121">
        <f>SUMIFS(福利费明细!$F:$F,福利费明细!$B:$B,$E120,福利费明细!$C:$C,$F120,福利费明细!$E:$E,"&gt;="&amp;S$9,福利费明细!$E:$E,"&lt;="&amp;S$10,福利费明细!$A:$A,S$6)/10000</f>
        <v>0.3</v>
      </c>
      <c r="T120" s="125">
        <f t="shared" si="101"/>
        <v>3</v>
      </c>
      <c r="U120" s="121">
        <f>SUMIFS(福利费明细!$F:$F,福利费明细!$B:$B,$E120,福利费明细!$C:$C,$F120,福利费明细!$E:$E,"&gt;="&amp;U$9,福利费明细!$E:$E,"&lt;="&amp;U$10,福利费明细!$A:$A,U$6)/10000</f>
        <v>2.3</v>
      </c>
      <c r="V120" s="121">
        <f>SUMIFS(福利费明细!$F:$F,福利费明细!$B:$B,$E120,福利费明细!$C:$C,$F120,福利费明细!$E:$E,"&gt;="&amp;V$9,福利费明细!$E:$E,"&lt;="&amp;V$10,福利费明细!$A:$A,V$6)/10000</f>
        <v>0.2</v>
      </c>
      <c r="W120" s="121">
        <f>SUMIFS(福利费明细!$F:$F,福利费明细!$B:$B,$E120,福利费明细!$C:$C,$F120,福利费明细!$E:$E,"&gt;="&amp;W$9,福利费明细!$E:$E,"&lt;="&amp;W$10,福利费明细!$A:$A,W$6)/10000</f>
        <v>0.2</v>
      </c>
      <c r="X120" s="121">
        <f>SUMIFS(福利费明细!$F:$F,福利费明细!$B:$B,$E120,福利费明细!$C:$C,$F120,福利费明细!$E:$E,"&gt;="&amp;X$9,福利费明细!$E:$E,"&lt;="&amp;X$10,福利费明细!$A:$A,X$6)/10000</f>
        <v>0.3</v>
      </c>
      <c r="Y120" s="121">
        <f>SUMIFS(福利费明细!$F:$F,福利费明细!$B:$B,$E120,福利费明细!$C:$C,$F120,福利费明细!$E:$E,"&gt;="&amp;Y$9,福利费明细!$E:$E,"&lt;="&amp;Y$10,福利费明细!$A:$A,Y$6)/10000</f>
        <v>0.2</v>
      </c>
      <c r="Z120" s="121">
        <f>SUMIFS(福利费明细!$F:$F,福利费明细!$B:$B,$E120,福利费明细!$C:$C,$F120,福利费明细!$E:$E,"&gt;="&amp;Z$9,福利费明细!$E:$E,"&lt;="&amp;Z$10,福利费明细!$A:$A,Z$6)/10000</f>
        <v>0.3</v>
      </c>
      <c r="AA120" s="121">
        <f>SUMIFS(福利费明细!$F:$F,福利费明细!$B:$B,$E120,福利费明细!$C:$C,$F120,福利费明细!$E:$E,"&gt;="&amp;AA$9,福利费明细!$E:$E,"&lt;="&amp;AA$10,福利费明细!$A:$A,AA$6)/10000</f>
        <v>0.3</v>
      </c>
      <c r="AB120" s="121">
        <f>SUMIFS(福利费明细!$F:$F,福利费明细!$B:$B,$E120,福利费明细!$C:$C,$F120,福利费明细!$E:$E,"&gt;="&amp;AB$9,福利费明细!$E:$E,"&lt;="&amp;AB$10,福利费明细!$A:$A,AB$6)/10000</f>
        <v>0.3</v>
      </c>
      <c r="AC120" s="121">
        <f>SUMIFS(福利费明细!$F:$F,福利费明细!$B:$B,$E120,福利费明细!$C:$C,$F120,福利费明细!$E:$E,"&gt;="&amp;AC$9,福利费明细!$E:$E,"&lt;="&amp;AC$10,福利费明细!$A:$A,AC$6)/10000</f>
        <v>0.3</v>
      </c>
      <c r="AD120" s="121">
        <f>SUMIFS(福利费明细!$F:$F,福利费明细!$B:$B,$E120,福利费明细!$C:$C,$F120,福利费明细!$E:$E,"&gt;="&amp;AD$9,福利费明细!$E:$E,"&lt;="&amp;AD$10,福利费明细!$A:$A,AD$6)/10000</f>
        <v>0.2</v>
      </c>
      <c r="AE120" s="121">
        <f>SUMIFS(福利费明细!$F:$F,福利费明细!$B:$B,$E120,福利费明细!$C:$C,$F120,福利费明细!$E:$E,"&gt;="&amp;AE$9,福利费明细!$E:$E,"&lt;="&amp;AE$10,福利费明细!$A:$A,AE$6)/10000</f>
        <v>0</v>
      </c>
      <c r="AF120" s="121">
        <f>SUMIFS(福利费明细!$F:$F,福利费明细!$B:$B,$E120,福利费明细!$C:$C,$F120,福利费明细!$E:$E,"&gt;="&amp;AF$9,福利费明细!$E:$E,"&lt;="&amp;AF$10,福利费明细!$A:$A,AF$6)/10000</f>
        <v>0</v>
      </c>
      <c r="AG120" s="121">
        <f>SUMIFS(福利费明细!$F:$F,福利费明细!$B:$B,$E120,福利费明细!$C:$C,$F120,福利费明细!$E:$E,"&gt;="&amp;AG$9,福利费明细!$E:$E,"&lt;="&amp;AG$10,福利费明细!$A:$A,AG$6)/10000</f>
        <v>0</v>
      </c>
      <c r="AH120" s="121">
        <f>SUMIFS(福利费明细!$F:$F,福利费明细!$B:$B,$E120,福利费明细!$C:$C,$F120,福利费明细!$E:$E,"&gt;="&amp;AH$9,福利费明细!$E:$E,"&lt;="&amp;AH$10,福利费明细!$A:$A,AH$6)/10000</f>
        <v>0.7</v>
      </c>
      <c r="AI120" s="121">
        <f>SUMIFS(福利费明细!$F:$F,福利费明细!$B:$B,$E120,福利费明细!$C:$C,$F120,福利费明细!$E:$E,"&gt;="&amp;AI$9,福利费明细!$E:$E,"&lt;="&amp;AI$10,福利费明细!$A:$A,AI$6)/10000</f>
        <v>0</v>
      </c>
      <c r="AJ120" s="121">
        <f>SUMIFS(福利费明细!$F:$F,福利费明细!$B:$B,$E120,福利费明细!$C:$C,$F120,福利费明细!$E:$E,"&gt;="&amp;AJ$9,福利费明细!$E:$E,"&lt;="&amp;AJ$10,福利费明细!$A:$A,AJ$6)/10000</f>
        <v>0</v>
      </c>
      <c r="AK120" s="121">
        <f>SUMIFS(福利费明细!$F:$F,福利费明细!$B:$B,$E120,福利费明细!$C:$C,$F120,福利费明细!$E:$E,"&gt;="&amp;AK$9,福利费明细!$E:$E,"&lt;="&amp;AK$10,福利费明细!$A:$A,AK$6)/10000</f>
        <v>0</v>
      </c>
      <c r="AL120" s="121">
        <f>SUMIFS(福利费明细!$F:$F,福利费明细!$B:$B,$E120,福利费明细!$C:$C,$F120,福利费明细!$E:$E,"&gt;="&amp;AL$9,福利费明细!$E:$E,"&lt;="&amp;AL$10,福利费明细!$A:$A,AL$6)/10000</f>
        <v>0</v>
      </c>
      <c r="AM120" s="121">
        <f>SUMIFS(福利费明细!$F:$F,福利费明细!$B:$B,$E120,福利费明细!$C:$C,$F120,福利费明细!$E:$E,"&gt;="&amp;AM$9,福利费明细!$E:$E,"&lt;="&amp;AM$10,福利费明细!$A:$A,AM$6)/10000</f>
        <v>0</v>
      </c>
      <c r="AN120" s="121">
        <f>SUMIFS(福利费明细!$F:$F,福利费明细!$B:$B,$E120,福利费明细!$C:$C,$F120,福利费明细!$E:$E,"&gt;="&amp;AN$9,福利费明细!$E:$E,"&lt;="&amp;AN$10,福利费明细!$A:$A,AN$6)/10000</f>
        <v>0</v>
      </c>
      <c r="AO120" s="121">
        <f>SUMIFS(福利费明细!$F:$F,福利费明细!$B:$B,$E120,福利费明细!$C:$C,$F120,福利费明细!$E:$E,"&gt;="&amp;AO$9,福利费明细!$E:$E,"&lt;="&amp;AO$10,福利费明细!$A:$A,AO$6)/10000</f>
        <v>0</v>
      </c>
      <c r="AP120" s="121">
        <f>SUMIFS(福利费明细!$F:$F,福利费明细!$B:$B,$E120,福利费明细!$C:$C,$F120,福利费明细!$E:$E,"&gt;="&amp;AP$9,福利费明细!$E:$E,"&lt;="&amp;AP$10,福利费明细!$A:$A,AP$6)/10000</f>
        <v>0</v>
      </c>
      <c r="AQ120" s="121">
        <f>SUMIFS(福利费明细!$F:$F,福利费明细!$B:$B,$E120,福利费明细!$C:$C,$F120,福利费明细!$E:$E,"&gt;="&amp;AQ$9,福利费明细!$E:$E,"&lt;="&amp;AQ$10,福利费明细!$A:$A,AQ$6)/10000</f>
        <v>0</v>
      </c>
      <c r="AR120" s="121">
        <f>SUMIFS(福利费明细!$F:$F,福利费明细!$B:$B,$E120,福利费明细!$C:$C,$F120,福利费明细!$E:$E,"&gt;="&amp;AR$9,福利费明细!$E:$E,"&lt;="&amp;AR$10,福利费明细!$A:$A,AR$6)/10000</f>
        <v>0.2</v>
      </c>
      <c r="AS120" s="121">
        <f>SUMIFS(福利费明细!$F:$F,福利费明细!$B:$B,$E120,福利费明细!$C:$C,$F120,福利费明细!$E:$E,"&gt;="&amp;AS$9,福利费明细!$E:$E,"&lt;="&amp;AS$10,福利费明细!$A:$A,AS$6)/10000</f>
        <v>0.3</v>
      </c>
      <c r="AT120" s="121">
        <f>SUMIFS(福利费明细!$F:$F,福利费明细!$B:$B,$E120,福利费明细!$C:$C,$F120,福利费明细!$E:$E,"&gt;="&amp;AT$9,福利费明细!$E:$E,"&lt;="&amp;AT$10,福利费明细!$A:$A,AT$6)/10000</f>
        <v>0.2</v>
      </c>
      <c r="AU120" s="121">
        <f>SUMIFS(福利费明细!$F:$F,福利费明细!$B:$B,$E120,福利费明细!$C:$C,$F120,福利费明细!$E:$E,"&gt;="&amp;AU$9,福利费明细!$E:$E,"&lt;="&amp;AU$10,福利费明细!$A:$A,AU$6)/10000</f>
        <v>3</v>
      </c>
      <c r="AV120" s="121">
        <f>SUMIFS(福利费明细!$F:$F,福利费明细!$B:$B,$E120,福利费明细!$C:$C,$F120,福利费明细!$E:$E,"&gt;="&amp;AV$9,福利费明细!$E:$E,"&lt;="&amp;AV$10,福利费明细!$A:$A,AV$6)/10000</f>
        <v>0.2</v>
      </c>
      <c r="AW120" s="121">
        <f>SUMIFS(福利费明细!$F:$F,福利费明细!$B:$B,$E120,福利费明细!$C:$C,$F120,福利费明细!$E:$E,"&gt;="&amp;AW$9,福利费明细!$E:$E,"&lt;="&amp;AW$10,福利费明细!$A:$A,AW$6)/10000</f>
        <v>0.3</v>
      </c>
      <c r="AX120" s="121">
        <f>SUMIFS(福利费明细!$F:$F,福利费明细!$B:$B,$E120,福利费明细!$C:$C,$F120,福利费明细!$E:$E,"&gt;="&amp;AX$9,福利费明细!$E:$E,"&lt;="&amp;AX$10,福利费明细!$A:$A,AX$6)/10000</f>
        <v>0.3</v>
      </c>
      <c r="AY120" s="121">
        <f>SUMIFS(福利费明细!$F:$F,福利费明细!$B:$B,$E120,福利费明细!$C:$C,$F120,福利费明细!$E:$E,"&gt;="&amp;AY$9,福利费明细!$E:$E,"&lt;="&amp;AY$10,福利费明细!$A:$A,AY$6)/10000</f>
        <v>0.2</v>
      </c>
      <c r="AZ120" s="121">
        <f>SUMIFS(福利费明细!$F:$F,福利费明细!$B:$B,$E120,福利费明细!$C:$C,$F120,福利费明细!$E:$E,"&gt;="&amp;AZ$9,福利费明细!$E:$E,"&lt;="&amp;AZ$10,福利费明细!$A:$A,AZ$6)/10000</f>
        <v>0.2</v>
      </c>
      <c r="BA120" s="121">
        <f>SUMIFS(福利费明细!$F:$F,福利费明细!$B:$B,$E120,福利费明细!$C:$C,$F120,福利费明细!$E:$E,"&gt;="&amp;BA$9,福利费明细!$E:$E,"&lt;="&amp;BA$10,福利费明细!$A:$A,BA$6)/10000</f>
        <v>0.2</v>
      </c>
      <c r="BB120" s="121">
        <f>SUMIFS(福利费明细!$F:$F,福利费明细!$B:$B,$E120,福利费明细!$C:$C,$F120,福利费明细!$E:$E,"&gt;="&amp;BB$9,福利费明细!$E:$E,"&lt;="&amp;BB$10,福利费明细!$A:$A,BB$6)/10000</f>
        <v>0.2</v>
      </c>
      <c r="BC120" s="121">
        <f>SUMIFS(福利费明细!$F:$F,福利费明细!$B:$B,$E120,福利费明细!$C:$C,$F120,福利费明细!$E:$E,"&gt;="&amp;BC$9,福利费明细!$E:$E,"&lt;="&amp;BC$10,福利费明细!$A:$A,BC$6)/10000</f>
        <v>0.3</v>
      </c>
      <c r="BD120" s="121">
        <f>SUMIFS(福利费明细!$F:$F,福利费明细!$B:$B,$E120,福利费明细!$C:$C,$F120,福利费明细!$E:$E,"&gt;="&amp;BD$9,福利费明细!$E:$E,"&lt;="&amp;BD$10,福利费明细!$A:$A,BD$6)/10000</f>
        <v>0.2</v>
      </c>
      <c r="BE120" s="121">
        <f>SUMIFS(福利费明细!$F:$F,福利费明细!$B:$B,$E120,福利费明细!$C:$C,$F120,福利费明细!$E:$E,"&gt;="&amp;BE$9,福利费明细!$E:$E,"&lt;="&amp;BE$10,福利费明细!$A:$A,BE$6)/10000</f>
        <v>0.3</v>
      </c>
      <c r="BF120" s="121">
        <f>SUMIFS(福利费明细!$F:$F,福利费明细!$B:$B,$E120,福利费明细!$C:$C,$F120,福利费明细!$E:$E,"&gt;="&amp;BF$9,福利费明细!$E:$E,"&lt;="&amp;BF$10,福利费明细!$A:$A,BF$6)/10000</f>
        <v>0.2</v>
      </c>
      <c r="BG120" s="121">
        <f>SUMIFS(福利费明细!$F:$F,福利费明细!$B:$B,$E120,福利费明细!$C:$C,$F120,福利费明细!$E:$E,"&gt;="&amp;BG$9,福利费明细!$E:$E,"&lt;="&amp;BG$10,福利费明细!$A:$A,BG$6)/10000</f>
        <v>0.2</v>
      </c>
    </row>
    <row r="121" ht="16.2" spans="3:59">
      <c r="C121" s="42" t="s">
        <v>82</v>
      </c>
      <c r="D121" s="42"/>
      <c r="E121" s="116" t="str">
        <f t="shared" si="99"/>
        <v>创新中心</v>
      </c>
      <c r="F121" s="116" t="str">
        <f t="shared" si="100"/>
        <v>*</v>
      </c>
      <c r="G121" s="121">
        <f>SUMIFS(福利费明细!$F:$F,福利费明细!$B:$B,$E121,福利费明细!$C:$C,$F121,福利费明细!$E:$E,"&gt;="&amp;G$9,福利费明细!$E:$E,"&lt;="&amp;G$10,福利费明细!$A:$A,G$6)/10000</f>
        <v>15.7</v>
      </c>
      <c r="H121" s="121">
        <f>SUMIFS(福利费明细!$F:$F,福利费明细!$B:$B,$E121,福利费明细!$C:$C,$F121,福利费明细!$E:$E,"&gt;="&amp;H$9,福利费明细!$E:$E,"&lt;="&amp;H$10,福利费明细!$A:$A,H$6)/10000</f>
        <v>1.3</v>
      </c>
      <c r="I121" s="121">
        <f>SUMIFS(福利费明细!$F:$F,福利费明细!$B:$B,$E121,福利费明细!$C:$C,$F121,福利费明细!$E:$E,"&gt;="&amp;I$9,福利费明细!$E:$E,"&lt;="&amp;I$10,福利费明细!$A:$A,I$6)/10000</f>
        <v>1.3</v>
      </c>
      <c r="J121" s="121">
        <f>SUMIFS(福利费明细!$F:$F,福利费明细!$B:$B,$E121,福利费明细!$C:$C,$F121,福利费明细!$E:$E,"&gt;="&amp;J$9,福利费明细!$E:$E,"&lt;="&amp;J$10,福利费明细!$A:$A,J$6)/10000</f>
        <v>1.3</v>
      </c>
      <c r="K121" s="121">
        <f>SUMIFS(福利费明细!$F:$F,福利费明细!$B:$B,$E121,福利费明细!$C:$C,$F121,福利费明细!$E:$E,"&gt;="&amp;K$9,福利费明细!$E:$E,"&lt;="&amp;K$10,福利费明细!$A:$A,K$6)/10000</f>
        <v>1.3</v>
      </c>
      <c r="L121" s="121">
        <f>SUMIFS(福利费明细!$F:$F,福利费明细!$B:$B,$E121,福利费明细!$C:$C,$F121,福利费明细!$E:$E,"&gt;="&amp;L$9,福利费明细!$E:$E,"&lt;="&amp;L$10,福利费明细!$A:$A,L$6)/10000</f>
        <v>1.3</v>
      </c>
      <c r="M121" s="121">
        <f>SUMIFS(福利费明细!$F:$F,福利费明细!$B:$B,$E121,福利费明细!$C:$C,$F121,福利费明细!$E:$E,"&gt;="&amp;M$9,福利费明细!$E:$E,"&lt;="&amp;M$10,福利费明细!$A:$A,M$6)/10000</f>
        <v>1.3</v>
      </c>
      <c r="N121" s="121">
        <f>SUMIFS(福利费明细!$F:$F,福利费明细!$B:$B,$E121,福利费明细!$C:$C,$F121,福利费明细!$E:$E,"&gt;="&amp;N$9,福利费明细!$E:$E,"&lt;="&amp;N$10,福利费明细!$A:$A,N$6)/10000</f>
        <v>1.3</v>
      </c>
      <c r="O121" s="121">
        <f>SUMIFS(福利费明细!$F:$F,福利费明细!$B:$B,$E121,福利费明细!$C:$C,$F121,福利费明细!$E:$E,"&gt;="&amp;O$9,福利费明细!$E:$E,"&lt;="&amp;O$10,福利费明细!$A:$A,O$6)/10000</f>
        <v>1.3</v>
      </c>
      <c r="P121" s="121">
        <f>SUMIFS(福利费明细!$F:$F,福利费明细!$B:$B,$E121,福利费明细!$C:$C,$F121,福利费明细!$E:$E,"&gt;="&amp;P$9,福利费明细!$E:$E,"&lt;="&amp;P$10,福利费明细!$A:$A,P$6)/10000</f>
        <v>1.3</v>
      </c>
      <c r="Q121" s="121">
        <f>SUMIFS(福利费明细!$F:$F,福利费明细!$B:$B,$E121,福利费明细!$C:$C,$F121,福利费明细!$E:$E,"&gt;="&amp;Q$9,福利费明细!$E:$E,"&lt;="&amp;Q$10,福利费明细!$A:$A,Q$6)/10000</f>
        <v>1.3</v>
      </c>
      <c r="R121" s="121">
        <f>SUMIFS(福利费明细!$F:$F,福利费明细!$B:$B,$E121,福利费明细!$C:$C,$F121,福利费明细!$E:$E,"&gt;="&amp;R$9,福利费明细!$E:$E,"&lt;="&amp;R$10,福利费明细!$A:$A,R$6)/10000</f>
        <v>1.3</v>
      </c>
      <c r="S121" s="121">
        <f>SUMIFS(福利费明细!$F:$F,福利费明细!$B:$B,$E121,福利费明细!$C:$C,$F121,福利费明细!$E:$E,"&gt;="&amp;S$9,福利费明细!$E:$E,"&lt;="&amp;S$10,福利费明细!$A:$A,S$6)/10000</f>
        <v>1.3</v>
      </c>
      <c r="T121" s="125">
        <f t="shared" si="101"/>
        <v>15.7</v>
      </c>
      <c r="U121" s="121">
        <f>SUMIFS(福利费明细!$F:$F,福利费明细!$B:$B,$E121,福利费明细!$C:$C,$F121,福利费明细!$E:$E,"&gt;="&amp;U$9,福利费明细!$E:$E,"&lt;="&amp;U$10,福利费明细!$A:$A,U$6)/10000</f>
        <v>11.8</v>
      </c>
      <c r="V121" s="121">
        <f>SUMIFS(福利费明细!$F:$F,福利费明细!$B:$B,$E121,福利费明细!$C:$C,$F121,福利费明细!$E:$E,"&gt;="&amp;V$9,福利费明细!$E:$E,"&lt;="&amp;V$10,福利费明细!$A:$A,V$6)/10000</f>
        <v>1.3</v>
      </c>
      <c r="W121" s="121">
        <f>SUMIFS(福利费明细!$F:$F,福利费明细!$B:$B,$E121,福利费明细!$C:$C,$F121,福利费明细!$E:$E,"&gt;="&amp;W$9,福利费明细!$E:$E,"&lt;="&amp;W$10,福利费明细!$A:$A,W$6)/10000</f>
        <v>1.3</v>
      </c>
      <c r="X121" s="121">
        <f>SUMIFS(福利费明细!$F:$F,福利费明细!$B:$B,$E121,福利费明细!$C:$C,$F121,福利费明细!$E:$E,"&gt;="&amp;X$9,福利费明细!$E:$E,"&lt;="&amp;X$10,福利费明细!$A:$A,X$6)/10000</f>
        <v>1.3</v>
      </c>
      <c r="Y121" s="121">
        <f>SUMIFS(福利费明细!$F:$F,福利费明细!$B:$B,$E121,福利费明细!$C:$C,$F121,福利费明细!$E:$E,"&gt;="&amp;Y$9,福利费明细!$E:$E,"&lt;="&amp;Y$10,福利费明细!$A:$A,Y$6)/10000</f>
        <v>1.3</v>
      </c>
      <c r="Z121" s="121">
        <f>SUMIFS(福利费明细!$F:$F,福利费明细!$B:$B,$E121,福利费明细!$C:$C,$F121,福利费明细!$E:$E,"&gt;="&amp;Z$9,福利费明细!$E:$E,"&lt;="&amp;Z$10,福利费明细!$A:$A,Z$6)/10000</f>
        <v>1.3</v>
      </c>
      <c r="AA121" s="121">
        <f>SUMIFS(福利费明细!$F:$F,福利费明细!$B:$B,$E121,福利费明细!$C:$C,$F121,福利费明细!$E:$E,"&gt;="&amp;AA$9,福利费明细!$E:$E,"&lt;="&amp;AA$10,福利费明细!$A:$A,AA$6)/10000</f>
        <v>1.3</v>
      </c>
      <c r="AB121" s="121">
        <f>SUMIFS(福利费明细!$F:$F,福利费明细!$B:$B,$E121,福利费明细!$C:$C,$F121,福利费明细!$E:$E,"&gt;="&amp;AB$9,福利费明细!$E:$E,"&lt;="&amp;AB$10,福利费明细!$A:$A,AB$6)/10000</f>
        <v>1.3</v>
      </c>
      <c r="AC121" s="121">
        <f>SUMIFS(福利费明细!$F:$F,福利费明细!$B:$B,$E121,福利费明细!$C:$C,$F121,福利费明细!$E:$E,"&gt;="&amp;AC$9,福利费明细!$E:$E,"&lt;="&amp;AC$10,福利费明细!$A:$A,AC$6)/10000</f>
        <v>1.3</v>
      </c>
      <c r="AD121" s="121">
        <f>SUMIFS(福利费明细!$F:$F,福利费明细!$B:$B,$E121,福利费明细!$C:$C,$F121,福利费明细!$E:$E,"&gt;="&amp;AD$9,福利费明细!$E:$E,"&lt;="&amp;AD$10,福利费明细!$A:$A,AD$6)/10000</f>
        <v>1.3</v>
      </c>
      <c r="AE121" s="121">
        <f>SUMIFS(福利费明细!$F:$F,福利费明细!$B:$B,$E121,福利费明细!$C:$C,$F121,福利费明细!$E:$E,"&gt;="&amp;AE$9,福利费明细!$E:$E,"&lt;="&amp;AE$10,福利费明细!$A:$A,AE$6)/10000</f>
        <v>0</v>
      </c>
      <c r="AF121" s="121">
        <f>SUMIFS(福利费明细!$F:$F,福利费明细!$B:$B,$E121,福利费明细!$C:$C,$F121,福利费明细!$E:$E,"&gt;="&amp;AF$9,福利费明细!$E:$E,"&lt;="&amp;AF$10,福利费明细!$A:$A,AF$6)/10000</f>
        <v>0</v>
      </c>
      <c r="AG121" s="121">
        <f>SUMIFS(福利费明细!$F:$F,福利费明细!$B:$B,$E121,福利费明细!$C:$C,$F121,福利费明细!$E:$E,"&gt;="&amp;AG$9,福利费明细!$E:$E,"&lt;="&amp;AG$10,福利费明细!$A:$A,AG$6)/10000</f>
        <v>0</v>
      </c>
      <c r="AH121" s="121">
        <f>SUMIFS(福利费明细!$F:$F,福利费明细!$B:$B,$E121,福利费明细!$C:$C,$F121,福利费明细!$E:$E,"&gt;="&amp;AH$9,福利费明细!$E:$E,"&lt;="&amp;AH$10,福利费明细!$A:$A,AH$6)/10000</f>
        <v>3.9</v>
      </c>
      <c r="AI121" s="121">
        <f>SUMIFS(福利费明细!$F:$F,福利费明细!$B:$B,$E121,福利费明细!$C:$C,$F121,福利费明细!$E:$E,"&gt;="&amp;AI$9,福利费明细!$E:$E,"&lt;="&amp;AI$10,福利费明细!$A:$A,AI$6)/10000</f>
        <v>0</v>
      </c>
      <c r="AJ121" s="121">
        <f>SUMIFS(福利费明细!$F:$F,福利费明细!$B:$B,$E121,福利费明细!$C:$C,$F121,福利费明细!$E:$E,"&gt;="&amp;AJ$9,福利费明细!$E:$E,"&lt;="&amp;AJ$10,福利费明细!$A:$A,AJ$6)/10000</f>
        <v>0</v>
      </c>
      <c r="AK121" s="121">
        <f>SUMIFS(福利费明细!$F:$F,福利费明细!$B:$B,$E121,福利费明细!$C:$C,$F121,福利费明细!$E:$E,"&gt;="&amp;AK$9,福利费明细!$E:$E,"&lt;="&amp;AK$10,福利费明细!$A:$A,AK$6)/10000</f>
        <v>0</v>
      </c>
      <c r="AL121" s="121">
        <f>SUMIFS(福利费明细!$F:$F,福利费明细!$B:$B,$E121,福利费明细!$C:$C,$F121,福利费明细!$E:$E,"&gt;="&amp;AL$9,福利费明细!$E:$E,"&lt;="&amp;AL$10,福利费明细!$A:$A,AL$6)/10000</f>
        <v>0</v>
      </c>
      <c r="AM121" s="121">
        <f>SUMIFS(福利费明细!$F:$F,福利费明细!$B:$B,$E121,福利费明细!$C:$C,$F121,福利费明细!$E:$E,"&gt;="&amp;AM$9,福利费明细!$E:$E,"&lt;="&amp;AM$10,福利费明细!$A:$A,AM$6)/10000</f>
        <v>0</v>
      </c>
      <c r="AN121" s="121">
        <f>SUMIFS(福利费明细!$F:$F,福利费明细!$B:$B,$E121,福利费明细!$C:$C,$F121,福利费明细!$E:$E,"&gt;="&amp;AN$9,福利费明细!$E:$E,"&lt;="&amp;AN$10,福利费明细!$A:$A,AN$6)/10000</f>
        <v>0</v>
      </c>
      <c r="AO121" s="121">
        <f>SUMIFS(福利费明细!$F:$F,福利费明细!$B:$B,$E121,福利费明细!$C:$C,$F121,福利费明细!$E:$E,"&gt;="&amp;AO$9,福利费明细!$E:$E,"&lt;="&amp;AO$10,福利费明细!$A:$A,AO$6)/10000</f>
        <v>0</v>
      </c>
      <c r="AP121" s="121">
        <f>SUMIFS(福利费明细!$F:$F,福利费明细!$B:$B,$E121,福利费明细!$C:$C,$F121,福利费明细!$E:$E,"&gt;="&amp;AP$9,福利费明细!$E:$E,"&lt;="&amp;AP$10,福利费明细!$A:$A,AP$6)/10000</f>
        <v>0</v>
      </c>
      <c r="AQ121" s="121">
        <f>SUMIFS(福利费明细!$F:$F,福利费明细!$B:$B,$E121,福利费明细!$C:$C,$F121,福利费明细!$E:$E,"&gt;="&amp;AQ$9,福利费明细!$E:$E,"&lt;="&amp;AQ$10,福利费明细!$A:$A,AQ$6)/10000</f>
        <v>0</v>
      </c>
      <c r="AR121" s="121">
        <f>SUMIFS(福利费明细!$F:$F,福利费明细!$B:$B,$E121,福利费明细!$C:$C,$F121,福利费明细!$E:$E,"&gt;="&amp;AR$9,福利费明细!$E:$E,"&lt;="&amp;AR$10,福利费明细!$A:$A,AR$6)/10000</f>
        <v>1.3</v>
      </c>
      <c r="AS121" s="121">
        <f>SUMIFS(福利费明细!$F:$F,福利费明细!$B:$B,$E121,福利费明细!$C:$C,$F121,福利费明细!$E:$E,"&gt;="&amp;AS$9,福利费明细!$E:$E,"&lt;="&amp;AS$10,福利费明细!$A:$A,AS$6)/10000</f>
        <v>1.3</v>
      </c>
      <c r="AT121" s="121">
        <f>SUMIFS(福利费明细!$F:$F,福利费明细!$B:$B,$E121,福利费明细!$C:$C,$F121,福利费明细!$E:$E,"&gt;="&amp;AT$9,福利费明细!$E:$E,"&lt;="&amp;AT$10,福利费明细!$A:$A,AT$6)/10000</f>
        <v>1.3</v>
      </c>
      <c r="AU121" s="121">
        <f>SUMIFS(福利费明细!$F:$F,福利费明细!$B:$B,$E121,福利费明细!$C:$C,$F121,福利费明细!$E:$E,"&gt;="&amp;AU$9,福利费明细!$E:$E,"&lt;="&amp;AU$10,福利费明细!$A:$A,AU$6)/10000</f>
        <v>15.7</v>
      </c>
      <c r="AV121" s="121">
        <f>SUMIFS(福利费明细!$F:$F,福利费明细!$B:$B,$E121,福利费明细!$C:$C,$F121,福利费明细!$E:$E,"&gt;="&amp;AV$9,福利费明细!$E:$E,"&lt;="&amp;AV$10,福利费明细!$A:$A,AV$6)/10000</f>
        <v>1.3</v>
      </c>
      <c r="AW121" s="121">
        <f>SUMIFS(福利费明细!$F:$F,福利费明细!$B:$B,$E121,福利费明细!$C:$C,$F121,福利费明细!$E:$E,"&gt;="&amp;AW$9,福利费明细!$E:$E,"&lt;="&amp;AW$10,福利费明细!$A:$A,AW$6)/10000</f>
        <v>1.3</v>
      </c>
      <c r="AX121" s="121">
        <f>SUMIFS(福利费明细!$F:$F,福利费明细!$B:$B,$E121,福利费明细!$C:$C,$F121,福利费明细!$E:$E,"&gt;="&amp;AX$9,福利费明细!$E:$E,"&lt;="&amp;AX$10,福利费明细!$A:$A,AX$6)/10000</f>
        <v>1.3</v>
      </c>
      <c r="AY121" s="121">
        <f>SUMIFS(福利费明细!$F:$F,福利费明细!$B:$B,$E121,福利费明细!$C:$C,$F121,福利费明细!$E:$E,"&gt;="&amp;AY$9,福利费明细!$E:$E,"&lt;="&amp;AY$10,福利费明细!$A:$A,AY$6)/10000</f>
        <v>1.3</v>
      </c>
      <c r="AZ121" s="121">
        <f>SUMIFS(福利费明细!$F:$F,福利费明细!$B:$B,$E121,福利费明细!$C:$C,$F121,福利费明细!$E:$E,"&gt;="&amp;AZ$9,福利费明细!$E:$E,"&lt;="&amp;AZ$10,福利费明细!$A:$A,AZ$6)/10000</f>
        <v>1.3</v>
      </c>
      <c r="BA121" s="121">
        <f>SUMIFS(福利费明细!$F:$F,福利费明细!$B:$B,$E121,福利费明细!$C:$C,$F121,福利费明细!$E:$E,"&gt;="&amp;BA$9,福利费明细!$E:$E,"&lt;="&amp;BA$10,福利费明细!$A:$A,BA$6)/10000</f>
        <v>1.3</v>
      </c>
      <c r="BB121" s="121">
        <f>SUMIFS(福利费明细!$F:$F,福利费明细!$B:$B,$E121,福利费明细!$C:$C,$F121,福利费明细!$E:$E,"&gt;="&amp;BB$9,福利费明细!$E:$E,"&lt;="&amp;BB$10,福利费明细!$A:$A,BB$6)/10000</f>
        <v>1.3</v>
      </c>
      <c r="BC121" s="121">
        <f>SUMIFS(福利费明细!$F:$F,福利费明细!$B:$B,$E121,福利费明细!$C:$C,$F121,福利费明细!$E:$E,"&gt;="&amp;BC$9,福利费明细!$E:$E,"&lt;="&amp;BC$10,福利费明细!$A:$A,BC$6)/10000</f>
        <v>1.3</v>
      </c>
      <c r="BD121" s="121">
        <f>SUMIFS(福利费明细!$F:$F,福利费明细!$B:$B,$E121,福利费明细!$C:$C,$F121,福利费明细!$E:$E,"&gt;="&amp;BD$9,福利费明细!$E:$E,"&lt;="&amp;BD$10,福利费明细!$A:$A,BD$6)/10000</f>
        <v>1.3</v>
      </c>
      <c r="BE121" s="121">
        <f>SUMIFS(福利费明细!$F:$F,福利费明细!$B:$B,$E121,福利费明细!$C:$C,$F121,福利费明细!$E:$E,"&gt;="&amp;BE$9,福利费明细!$E:$E,"&lt;="&amp;BE$10,福利费明细!$A:$A,BE$6)/10000</f>
        <v>1.3</v>
      </c>
      <c r="BF121" s="121">
        <f>SUMIFS(福利费明细!$F:$F,福利费明细!$B:$B,$E121,福利费明细!$C:$C,$F121,福利费明细!$E:$E,"&gt;="&amp;BF$9,福利费明细!$E:$E,"&lt;="&amp;BF$10,福利费明细!$A:$A,BF$6)/10000</f>
        <v>1.3</v>
      </c>
      <c r="BG121" s="121">
        <f>SUMIFS(福利费明细!$F:$F,福利费明细!$B:$B,$E121,福利费明细!$C:$C,$F121,福利费明细!$E:$E,"&gt;="&amp;BG$9,福利费明细!$E:$E,"&lt;="&amp;BG$10,福利费明细!$A:$A,BG$6)/10000</f>
        <v>1.3</v>
      </c>
    </row>
    <row r="122" ht="16.2" spans="3:59">
      <c r="C122" s="42"/>
      <c r="D122" s="42" t="s">
        <v>83</v>
      </c>
      <c r="E122" s="116" t="str">
        <f t="shared" si="99"/>
        <v>创新中心</v>
      </c>
      <c r="F122" s="116" t="str">
        <f t="shared" si="100"/>
        <v>产品
研发部</v>
      </c>
      <c r="G122" s="121">
        <f>SUMIFS(福利费明细!$F:$F,福利费明细!$B:$B,$E122,福利费明细!$C:$C,$F122,福利费明细!$E:$E,"&gt;="&amp;G$9,福利费明细!$E:$E,"&lt;="&amp;G$10,福利费明细!$A:$A,G$6)/10000</f>
        <v>5.4</v>
      </c>
      <c r="H122" s="121">
        <f>SUMIFS(福利费明细!$F:$F,福利费明细!$B:$B,$E122,福利费明细!$C:$C,$F122,福利费明细!$E:$E,"&gt;="&amp;H$9,福利费明细!$E:$E,"&lt;="&amp;H$10,福利费明细!$A:$A,H$6)/10000</f>
        <v>0.4</v>
      </c>
      <c r="I122" s="121">
        <f>SUMIFS(福利费明细!$F:$F,福利费明细!$B:$B,$E122,福利费明细!$C:$C,$F122,福利费明细!$E:$E,"&gt;="&amp;I$9,福利费明细!$E:$E,"&lt;="&amp;I$10,福利费明细!$A:$A,I$6)/10000</f>
        <v>0.5</v>
      </c>
      <c r="J122" s="121">
        <f>SUMIFS(福利费明细!$F:$F,福利费明细!$B:$B,$E122,福利费明细!$C:$C,$F122,福利费明细!$E:$E,"&gt;="&amp;J$9,福利费明细!$E:$E,"&lt;="&amp;J$10,福利费明细!$A:$A,J$6)/10000</f>
        <v>0.4</v>
      </c>
      <c r="K122" s="121">
        <f>SUMIFS(福利费明细!$F:$F,福利费明细!$B:$B,$E122,福利费明细!$C:$C,$F122,福利费明细!$E:$E,"&gt;="&amp;K$9,福利费明细!$E:$E,"&lt;="&amp;K$10,福利费明细!$A:$A,K$6)/10000</f>
        <v>0.4</v>
      </c>
      <c r="L122" s="121">
        <f>SUMIFS(福利费明细!$F:$F,福利费明细!$B:$B,$E122,福利费明细!$C:$C,$F122,福利费明细!$E:$E,"&gt;="&amp;L$9,福利费明细!$E:$E,"&lt;="&amp;L$10,福利费明细!$A:$A,L$6)/10000</f>
        <v>0.4</v>
      </c>
      <c r="M122" s="121">
        <f>SUMIFS(福利费明细!$F:$F,福利费明细!$B:$B,$E122,福利费明细!$C:$C,$F122,福利费明细!$E:$E,"&gt;="&amp;M$9,福利费明细!$E:$E,"&lt;="&amp;M$10,福利费明细!$A:$A,M$6)/10000</f>
        <v>0.4</v>
      </c>
      <c r="N122" s="121">
        <f>SUMIFS(福利费明细!$F:$F,福利费明细!$B:$B,$E122,福利费明细!$C:$C,$F122,福利费明细!$E:$E,"&gt;="&amp;N$9,福利费明细!$E:$E,"&lt;="&amp;N$10,福利费明细!$A:$A,N$6)/10000</f>
        <v>0.5</v>
      </c>
      <c r="O122" s="121">
        <f>SUMIFS(福利费明细!$F:$F,福利费明细!$B:$B,$E122,福利费明细!$C:$C,$F122,福利费明细!$E:$E,"&gt;="&amp;O$9,福利费明细!$E:$E,"&lt;="&amp;O$10,福利费明细!$A:$A,O$6)/10000</f>
        <v>0.5</v>
      </c>
      <c r="P122" s="121">
        <f>SUMIFS(福利费明细!$F:$F,福利费明细!$B:$B,$E122,福利费明细!$C:$C,$F122,福利费明细!$E:$E,"&gt;="&amp;P$9,福利费明细!$E:$E,"&lt;="&amp;P$10,福利费明细!$A:$A,P$6)/10000</f>
        <v>0.5</v>
      </c>
      <c r="Q122" s="121">
        <f>SUMIFS(福利费明细!$F:$F,福利费明细!$B:$B,$E122,福利费明细!$C:$C,$F122,福利费明细!$E:$E,"&gt;="&amp;Q$9,福利费明细!$E:$E,"&lt;="&amp;Q$10,福利费明细!$A:$A,Q$6)/10000</f>
        <v>0.4</v>
      </c>
      <c r="R122" s="121">
        <f>SUMIFS(福利费明细!$F:$F,福利费明细!$B:$B,$E122,福利费明细!$C:$C,$F122,福利费明细!$E:$E,"&gt;="&amp;R$9,福利费明细!$E:$E,"&lt;="&amp;R$10,福利费明细!$A:$A,R$6)/10000</f>
        <v>0.5</v>
      </c>
      <c r="S122" s="121">
        <f>SUMIFS(福利费明细!$F:$F,福利费明细!$B:$B,$E122,福利费明细!$C:$C,$F122,福利费明细!$E:$E,"&gt;="&amp;S$9,福利费明细!$E:$E,"&lt;="&amp;S$10,福利费明细!$A:$A,S$6)/10000</f>
        <v>0.4</v>
      </c>
      <c r="T122" s="125">
        <f t="shared" si="101"/>
        <v>5.5</v>
      </c>
      <c r="U122" s="121">
        <f>SUMIFS(福利费明细!$F:$F,福利费明细!$B:$B,$E122,福利费明细!$C:$C,$F122,福利费明细!$E:$E,"&gt;="&amp;U$9,福利费明细!$E:$E,"&lt;="&amp;U$10,福利费明细!$A:$A,U$6)/10000</f>
        <v>4.1</v>
      </c>
      <c r="V122" s="121">
        <f>SUMIFS(福利费明细!$F:$F,福利费明细!$B:$B,$E122,福利费明细!$C:$C,$F122,福利费明细!$E:$E,"&gt;="&amp;V$9,福利费明细!$E:$E,"&lt;="&amp;V$10,福利费明细!$A:$A,V$6)/10000</f>
        <v>0.5</v>
      </c>
      <c r="W122" s="121">
        <f>SUMIFS(福利费明细!$F:$F,福利费明细!$B:$B,$E122,福利费明细!$C:$C,$F122,福利费明细!$E:$E,"&gt;="&amp;W$9,福利费明细!$E:$E,"&lt;="&amp;W$10,福利费明细!$A:$A,W$6)/10000</f>
        <v>0.5</v>
      </c>
      <c r="X122" s="121">
        <f>SUMIFS(福利费明细!$F:$F,福利费明细!$B:$B,$E122,福利费明细!$C:$C,$F122,福利费明细!$E:$E,"&gt;="&amp;X$9,福利费明细!$E:$E,"&lt;="&amp;X$10,福利费明细!$A:$A,X$6)/10000</f>
        <v>0.5</v>
      </c>
      <c r="Y122" s="121">
        <f>SUMIFS(福利费明细!$F:$F,福利费明细!$B:$B,$E122,福利费明细!$C:$C,$F122,福利费明细!$E:$E,"&gt;="&amp;Y$9,福利费明细!$E:$E,"&lt;="&amp;Y$10,福利费明细!$A:$A,Y$6)/10000</f>
        <v>0.5</v>
      </c>
      <c r="Z122" s="121">
        <f>SUMIFS(福利费明细!$F:$F,福利费明细!$B:$B,$E122,福利费明细!$C:$C,$F122,福利费明细!$E:$E,"&gt;="&amp;Z$9,福利费明细!$E:$E,"&lt;="&amp;Z$10,福利费明细!$A:$A,Z$6)/10000</f>
        <v>0.5</v>
      </c>
      <c r="AA122" s="121">
        <f>SUMIFS(福利费明细!$F:$F,福利费明细!$B:$B,$E122,福利费明细!$C:$C,$F122,福利费明细!$E:$E,"&gt;="&amp;AA$9,福利费明细!$E:$E,"&lt;="&amp;AA$10,福利费明细!$A:$A,AA$6)/10000</f>
        <v>0.4</v>
      </c>
      <c r="AB122" s="121">
        <f>SUMIFS(福利费明细!$F:$F,福利费明细!$B:$B,$E122,福利费明细!$C:$C,$F122,福利费明细!$E:$E,"&gt;="&amp;AB$9,福利费明细!$E:$E,"&lt;="&amp;AB$10,福利费明细!$A:$A,AB$6)/10000</f>
        <v>0.5</v>
      </c>
      <c r="AC122" s="121">
        <f>SUMIFS(福利费明细!$F:$F,福利费明细!$B:$B,$E122,福利费明细!$C:$C,$F122,福利费明细!$E:$E,"&gt;="&amp;AC$9,福利费明细!$E:$E,"&lt;="&amp;AC$10,福利费明细!$A:$A,AC$6)/10000</f>
        <v>0.4</v>
      </c>
      <c r="AD122" s="121">
        <f>SUMIFS(福利费明细!$F:$F,福利费明细!$B:$B,$E122,福利费明细!$C:$C,$F122,福利费明细!$E:$E,"&gt;="&amp;AD$9,福利费明细!$E:$E,"&lt;="&amp;AD$10,福利费明细!$A:$A,AD$6)/10000</f>
        <v>0.4</v>
      </c>
      <c r="AE122" s="121">
        <f>SUMIFS(福利费明细!$F:$F,福利费明细!$B:$B,$E122,福利费明细!$C:$C,$F122,福利费明细!$E:$E,"&gt;="&amp;AE$9,福利费明细!$E:$E,"&lt;="&amp;AE$10,福利费明细!$A:$A,AE$6)/10000</f>
        <v>0</v>
      </c>
      <c r="AF122" s="121">
        <f>SUMIFS(福利费明细!$F:$F,福利费明细!$B:$B,$E122,福利费明细!$C:$C,$F122,福利费明细!$E:$E,"&gt;="&amp;AF$9,福利费明细!$E:$E,"&lt;="&amp;AF$10,福利费明细!$A:$A,AF$6)/10000</f>
        <v>0</v>
      </c>
      <c r="AG122" s="121">
        <f>SUMIFS(福利费明细!$F:$F,福利费明细!$B:$B,$E122,福利费明细!$C:$C,$F122,福利费明细!$E:$E,"&gt;="&amp;AG$9,福利费明细!$E:$E,"&lt;="&amp;AG$10,福利费明细!$A:$A,AG$6)/10000</f>
        <v>0</v>
      </c>
      <c r="AH122" s="121">
        <f>SUMIFS(福利费明细!$F:$F,福利费明细!$B:$B,$E122,福利费明细!$C:$C,$F122,福利费明细!$E:$E,"&gt;="&amp;AH$9,福利费明细!$E:$E,"&lt;="&amp;AH$10,福利费明细!$A:$A,AH$6)/10000</f>
        <v>1.4</v>
      </c>
      <c r="AI122" s="121">
        <f>SUMIFS(福利费明细!$F:$F,福利费明细!$B:$B,$E122,福利费明细!$C:$C,$F122,福利费明细!$E:$E,"&gt;="&amp;AI$9,福利费明细!$E:$E,"&lt;="&amp;AI$10,福利费明细!$A:$A,AI$6)/10000</f>
        <v>0</v>
      </c>
      <c r="AJ122" s="121">
        <f>SUMIFS(福利费明细!$F:$F,福利费明细!$B:$B,$E122,福利费明细!$C:$C,$F122,福利费明细!$E:$E,"&gt;="&amp;AJ$9,福利费明细!$E:$E,"&lt;="&amp;AJ$10,福利费明细!$A:$A,AJ$6)/10000</f>
        <v>0</v>
      </c>
      <c r="AK122" s="121">
        <f>SUMIFS(福利费明细!$F:$F,福利费明细!$B:$B,$E122,福利费明细!$C:$C,$F122,福利费明细!$E:$E,"&gt;="&amp;AK$9,福利费明细!$E:$E,"&lt;="&amp;AK$10,福利费明细!$A:$A,AK$6)/10000</f>
        <v>0</v>
      </c>
      <c r="AL122" s="121">
        <f>SUMIFS(福利费明细!$F:$F,福利费明细!$B:$B,$E122,福利费明细!$C:$C,$F122,福利费明细!$E:$E,"&gt;="&amp;AL$9,福利费明细!$E:$E,"&lt;="&amp;AL$10,福利费明细!$A:$A,AL$6)/10000</f>
        <v>0</v>
      </c>
      <c r="AM122" s="121">
        <f>SUMIFS(福利费明细!$F:$F,福利费明细!$B:$B,$E122,福利费明细!$C:$C,$F122,福利费明细!$E:$E,"&gt;="&amp;AM$9,福利费明细!$E:$E,"&lt;="&amp;AM$10,福利费明细!$A:$A,AM$6)/10000</f>
        <v>0</v>
      </c>
      <c r="AN122" s="121">
        <f>SUMIFS(福利费明细!$F:$F,福利费明细!$B:$B,$E122,福利费明细!$C:$C,$F122,福利费明细!$E:$E,"&gt;="&amp;AN$9,福利费明细!$E:$E,"&lt;="&amp;AN$10,福利费明细!$A:$A,AN$6)/10000</f>
        <v>0</v>
      </c>
      <c r="AO122" s="121">
        <f>SUMIFS(福利费明细!$F:$F,福利费明细!$B:$B,$E122,福利费明细!$C:$C,$F122,福利费明细!$E:$E,"&gt;="&amp;AO$9,福利费明细!$E:$E,"&lt;="&amp;AO$10,福利费明细!$A:$A,AO$6)/10000</f>
        <v>0</v>
      </c>
      <c r="AP122" s="121">
        <f>SUMIFS(福利费明细!$F:$F,福利费明细!$B:$B,$E122,福利费明细!$C:$C,$F122,福利费明细!$E:$E,"&gt;="&amp;AP$9,福利费明细!$E:$E,"&lt;="&amp;AP$10,福利费明细!$A:$A,AP$6)/10000</f>
        <v>0</v>
      </c>
      <c r="AQ122" s="121">
        <f>SUMIFS(福利费明细!$F:$F,福利费明细!$B:$B,$E122,福利费明细!$C:$C,$F122,福利费明细!$E:$E,"&gt;="&amp;AQ$9,福利费明细!$E:$E,"&lt;="&amp;AQ$10,福利费明细!$A:$A,AQ$6)/10000</f>
        <v>0</v>
      </c>
      <c r="AR122" s="121">
        <f>SUMIFS(福利费明细!$F:$F,福利费明细!$B:$B,$E122,福利费明细!$C:$C,$F122,福利费明细!$E:$E,"&gt;="&amp;AR$9,福利费明细!$E:$E,"&lt;="&amp;AR$10,福利费明细!$A:$A,AR$6)/10000</f>
        <v>0.5</v>
      </c>
      <c r="AS122" s="121">
        <f>SUMIFS(福利费明细!$F:$F,福利费明细!$B:$B,$E122,福利费明细!$C:$C,$F122,福利费明细!$E:$E,"&gt;="&amp;AS$9,福利费明细!$E:$E,"&lt;="&amp;AS$10,福利费明细!$A:$A,AS$6)/10000</f>
        <v>0.4</v>
      </c>
      <c r="AT122" s="121">
        <f>SUMIFS(福利费明细!$F:$F,福利费明细!$B:$B,$E122,福利费明细!$C:$C,$F122,福利费明细!$E:$E,"&gt;="&amp;AT$9,福利费明细!$E:$E,"&lt;="&amp;AT$10,福利费明细!$A:$A,AT$6)/10000</f>
        <v>0.5</v>
      </c>
      <c r="AU122" s="121">
        <f>SUMIFS(福利费明细!$F:$F,福利费明细!$B:$B,$E122,福利费明细!$C:$C,$F122,福利费明细!$E:$E,"&gt;="&amp;AU$9,福利费明细!$E:$E,"&lt;="&amp;AU$10,福利费明细!$A:$A,AU$6)/10000</f>
        <v>5.4</v>
      </c>
      <c r="AV122" s="121">
        <f>SUMIFS(福利费明细!$F:$F,福利费明细!$B:$B,$E122,福利费明细!$C:$C,$F122,福利费明细!$E:$E,"&gt;="&amp;AV$9,福利费明细!$E:$E,"&lt;="&amp;AV$10,福利费明细!$A:$A,AV$6)/10000</f>
        <v>0.4</v>
      </c>
      <c r="AW122" s="121">
        <f>SUMIFS(福利费明细!$F:$F,福利费明细!$B:$B,$E122,福利费明细!$C:$C,$F122,福利费明细!$E:$E,"&gt;="&amp;AW$9,福利费明细!$E:$E,"&lt;="&amp;AW$10,福利费明细!$A:$A,AW$6)/10000</f>
        <v>0.5</v>
      </c>
      <c r="AX122" s="121">
        <f>SUMIFS(福利费明细!$F:$F,福利费明细!$B:$B,$E122,福利费明细!$C:$C,$F122,福利费明细!$E:$E,"&gt;="&amp;AX$9,福利费明细!$E:$E,"&lt;="&amp;AX$10,福利费明细!$A:$A,AX$6)/10000</f>
        <v>0.4</v>
      </c>
      <c r="AY122" s="121">
        <f>SUMIFS(福利费明细!$F:$F,福利费明细!$B:$B,$E122,福利费明细!$C:$C,$F122,福利费明细!$E:$E,"&gt;="&amp;AY$9,福利费明细!$E:$E,"&lt;="&amp;AY$10,福利费明细!$A:$A,AY$6)/10000</f>
        <v>0.4</v>
      </c>
      <c r="AZ122" s="121">
        <f>SUMIFS(福利费明细!$F:$F,福利费明细!$B:$B,$E122,福利费明细!$C:$C,$F122,福利费明细!$E:$E,"&gt;="&amp;AZ$9,福利费明细!$E:$E,"&lt;="&amp;AZ$10,福利费明细!$A:$A,AZ$6)/10000</f>
        <v>0.5</v>
      </c>
      <c r="BA122" s="121">
        <f>SUMIFS(福利费明细!$F:$F,福利费明细!$B:$B,$E122,福利费明细!$C:$C,$F122,福利费明细!$E:$E,"&gt;="&amp;BA$9,福利费明细!$E:$E,"&lt;="&amp;BA$10,福利费明细!$A:$A,BA$6)/10000</f>
        <v>0.5</v>
      </c>
      <c r="BB122" s="121">
        <f>SUMIFS(福利费明细!$F:$F,福利费明细!$B:$B,$E122,福利费明细!$C:$C,$F122,福利费明细!$E:$E,"&gt;="&amp;BB$9,福利费明细!$E:$E,"&lt;="&amp;BB$10,福利费明细!$A:$A,BB$6)/10000</f>
        <v>0.4</v>
      </c>
      <c r="BC122" s="121">
        <f>SUMIFS(福利费明细!$F:$F,福利费明细!$B:$B,$E122,福利费明细!$C:$C,$F122,福利费明细!$E:$E,"&gt;="&amp;BC$9,福利费明细!$E:$E,"&lt;="&amp;BC$10,福利费明细!$A:$A,BC$6)/10000</f>
        <v>0.5</v>
      </c>
      <c r="BD122" s="121">
        <f>SUMIFS(福利费明细!$F:$F,福利费明细!$B:$B,$E122,福利费明细!$C:$C,$F122,福利费明细!$E:$E,"&gt;="&amp;BD$9,福利费明细!$E:$E,"&lt;="&amp;BD$10,福利费明细!$A:$A,BD$6)/10000</f>
        <v>0.5</v>
      </c>
      <c r="BE122" s="121">
        <f>SUMIFS(福利费明细!$F:$F,福利费明细!$B:$B,$E122,福利费明细!$C:$C,$F122,福利费明细!$E:$E,"&gt;="&amp;BE$9,福利费明细!$E:$E,"&lt;="&amp;BE$10,福利费明细!$A:$A,BE$6)/10000</f>
        <v>0.5</v>
      </c>
      <c r="BF122" s="121">
        <f>SUMIFS(福利费明细!$F:$F,福利费明细!$B:$B,$E122,福利费明细!$C:$C,$F122,福利费明细!$E:$E,"&gt;="&amp;BF$9,福利费明细!$E:$E,"&lt;="&amp;BF$10,福利费明细!$A:$A,BF$6)/10000</f>
        <v>0.4</v>
      </c>
      <c r="BG122" s="121">
        <f>SUMIFS(福利费明细!$F:$F,福利费明细!$B:$B,$E122,福利费明细!$C:$C,$F122,福利费明细!$E:$E,"&gt;="&amp;BG$9,福利费明细!$E:$E,"&lt;="&amp;BG$10,福利费明细!$A:$A,BG$6)/10000</f>
        <v>0.4</v>
      </c>
    </row>
    <row r="123" ht="16.2" spans="3:59">
      <c r="C123" s="42"/>
      <c r="D123" s="42" t="s">
        <v>84</v>
      </c>
      <c r="E123" s="116" t="str">
        <f t="shared" si="99"/>
        <v>创新中心</v>
      </c>
      <c r="F123" s="116" t="str">
        <f t="shared" si="100"/>
        <v>XX
试验室</v>
      </c>
      <c r="G123" s="121">
        <f>SUMIFS(福利费明细!$F:$F,福利费明细!$B:$B,$E123,福利费明细!$C:$C,$F123,福利费明细!$E:$E,"&gt;="&amp;G$9,福利费明细!$E:$E,"&lt;="&amp;G$10,福利费明细!$A:$A,G$6)/10000</f>
        <v>4.4</v>
      </c>
      <c r="H123" s="121">
        <f>SUMIFS(福利费明细!$F:$F,福利费明细!$B:$B,$E123,福利费明细!$C:$C,$F123,福利费明细!$E:$E,"&gt;="&amp;H$9,福利费明细!$E:$E,"&lt;="&amp;H$10,福利费明细!$A:$A,H$6)/10000</f>
        <v>0.4</v>
      </c>
      <c r="I123" s="121">
        <f>SUMIFS(福利费明细!$F:$F,福利费明细!$B:$B,$E123,福利费明细!$C:$C,$F123,福利费明细!$E:$E,"&gt;="&amp;I$9,福利费明细!$E:$E,"&lt;="&amp;I$10,福利费明细!$A:$A,I$6)/10000</f>
        <v>0.4</v>
      </c>
      <c r="J123" s="121">
        <f>SUMIFS(福利费明细!$F:$F,福利费明细!$B:$B,$E123,福利费明细!$C:$C,$F123,福利费明细!$E:$E,"&gt;="&amp;J$9,福利费明细!$E:$E,"&lt;="&amp;J$10,福利费明细!$A:$A,J$6)/10000</f>
        <v>0.4</v>
      </c>
      <c r="K123" s="121">
        <f>SUMIFS(福利费明细!$F:$F,福利费明细!$B:$B,$E123,福利费明细!$C:$C,$F123,福利费明细!$E:$E,"&gt;="&amp;K$9,福利费明细!$E:$E,"&lt;="&amp;K$10,福利费明细!$A:$A,K$6)/10000</f>
        <v>0.4</v>
      </c>
      <c r="L123" s="121">
        <f>SUMIFS(福利费明细!$F:$F,福利费明细!$B:$B,$E123,福利费明细!$C:$C,$F123,福利费明细!$E:$E,"&gt;="&amp;L$9,福利费明细!$E:$E,"&lt;="&amp;L$10,福利费明细!$A:$A,L$6)/10000</f>
        <v>0.4</v>
      </c>
      <c r="M123" s="121">
        <f>SUMIFS(福利费明细!$F:$F,福利费明细!$B:$B,$E123,福利费明细!$C:$C,$F123,福利费明细!$E:$E,"&gt;="&amp;M$9,福利费明细!$E:$E,"&lt;="&amp;M$10,福利费明细!$A:$A,M$6)/10000</f>
        <v>0.4</v>
      </c>
      <c r="N123" s="121">
        <f>SUMIFS(福利费明细!$F:$F,福利费明细!$B:$B,$E123,福利费明细!$C:$C,$F123,福利费明细!$E:$E,"&gt;="&amp;N$9,福利费明细!$E:$E,"&lt;="&amp;N$10,福利费明细!$A:$A,N$6)/10000</f>
        <v>0.4</v>
      </c>
      <c r="O123" s="121">
        <f>SUMIFS(福利费明细!$F:$F,福利费明细!$B:$B,$E123,福利费明细!$C:$C,$F123,福利费明细!$E:$E,"&gt;="&amp;O$9,福利费明细!$E:$E,"&lt;="&amp;O$10,福利费明细!$A:$A,O$6)/10000</f>
        <v>0.4</v>
      </c>
      <c r="P123" s="121">
        <f>SUMIFS(福利费明细!$F:$F,福利费明细!$B:$B,$E123,福利费明细!$C:$C,$F123,福利费明细!$E:$E,"&gt;="&amp;P$9,福利费明细!$E:$E,"&lt;="&amp;P$10,福利费明细!$A:$A,P$6)/10000</f>
        <v>0.4</v>
      </c>
      <c r="Q123" s="121">
        <f>SUMIFS(福利费明细!$F:$F,福利费明细!$B:$B,$E123,福利费明细!$C:$C,$F123,福利费明细!$E:$E,"&gt;="&amp;Q$9,福利费明细!$E:$E,"&lt;="&amp;Q$10,福利费明细!$A:$A,Q$6)/10000</f>
        <v>0.4</v>
      </c>
      <c r="R123" s="121">
        <f>SUMIFS(福利费明细!$F:$F,福利费明细!$B:$B,$E123,福利费明细!$C:$C,$F123,福利费明细!$E:$E,"&gt;="&amp;R$9,福利费明细!$E:$E,"&lt;="&amp;R$10,福利费明细!$A:$A,R$6)/10000</f>
        <v>0.4</v>
      </c>
      <c r="S123" s="121">
        <f>SUMIFS(福利费明细!$F:$F,福利费明细!$B:$B,$E123,福利费明细!$C:$C,$F123,福利费明细!$E:$E,"&gt;="&amp;S$9,福利费明细!$E:$E,"&lt;="&amp;S$10,福利费明细!$A:$A,S$6)/10000</f>
        <v>0.4</v>
      </c>
      <c r="T123" s="125">
        <f t="shared" si="101"/>
        <v>4.4</v>
      </c>
      <c r="U123" s="121">
        <f>SUMIFS(福利费明细!$F:$F,福利费明细!$B:$B,$E123,福利费明细!$C:$C,$F123,福利费明细!$E:$E,"&gt;="&amp;U$9,福利费明细!$E:$E,"&lt;="&amp;U$10,福利费明细!$A:$A,U$6)/10000</f>
        <v>3.3</v>
      </c>
      <c r="V123" s="121">
        <f>SUMIFS(福利费明细!$F:$F,福利费明细!$B:$B,$E123,福利费明细!$C:$C,$F123,福利费明细!$E:$E,"&gt;="&amp;V$9,福利费明细!$E:$E,"&lt;="&amp;V$10,福利费明细!$A:$A,V$6)/10000</f>
        <v>0.4</v>
      </c>
      <c r="W123" s="121">
        <f>SUMIFS(福利费明细!$F:$F,福利费明细!$B:$B,$E123,福利费明细!$C:$C,$F123,福利费明细!$E:$E,"&gt;="&amp;W$9,福利费明细!$E:$E,"&lt;="&amp;W$10,福利费明细!$A:$A,W$6)/10000</f>
        <v>0.4</v>
      </c>
      <c r="X123" s="121">
        <f>SUMIFS(福利费明细!$F:$F,福利费明细!$B:$B,$E123,福利费明细!$C:$C,$F123,福利费明细!$E:$E,"&gt;="&amp;X$9,福利费明细!$E:$E,"&lt;="&amp;X$10,福利费明细!$A:$A,X$6)/10000</f>
        <v>0.4</v>
      </c>
      <c r="Y123" s="121">
        <f>SUMIFS(福利费明细!$F:$F,福利费明细!$B:$B,$E123,福利费明细!$C:$C,$F123,福利费明细!$E:$E,"&gt;="&amp;Y$9,福利费明细!$E:$E,"&lt;="&amp;Y$10,福利费明细!$A:$A,Y$6)/10000</f>
        <v>0.4</v>
      </c>
      <c r="Z123" s="121">
        <f>SUMIFS(福利费明细!$F:$F,福利费明细!$B:$B,$E123,福利费明细!$C:$C,$F123,福利费明细!$E:$E,"&gt;="&amp;Z$9,福利费明细!$E:$E,"&lt;="&amp;Z$10,福利费明细!$A:$A,Z$6)/10000</f>
        <v>0.4</v>
      </c>
      <c r="AA123" s="121">
        <f>SUMIFS(福利费明细!$F:$F,福利费明细!$B:$B,$E123,福利费明细!$C:$C,$F123,福利费明细!$E:$E,"&gt;="&amp;AA$9,福利费明细!$E:$E,"&lt;="&amp;AA$10,福利费明细!$A:$A,AA$6)/10000</f>
        <v>0.4</v>
      </c>
      <c r="AB123" s="121">
        <f>SUMIFS(福利费明细!$F:$F,福利费明细!$B:$B,$E123,福利费明细!$C:$C,$F123,福利费明细!$E:$E,"&gt;="&amp;AB$9,福利费明细!$E:$E,"&lt;="&amp;AB$10,福利费明细!$A:$A,AB$6)/10000</f>
        <v>0.4</v>
      </c>
      <c r="AC123" s="121">
        <f>SUMIFS(福利费明细!$F:$F,福利费明细!$B:$B,$E123,福利费明细!$C:$C,$F123,福利费明细!$E:$E,"&gt;="&amp;AC$9,福利费明细!$E:$E,"&lt;="&amp;AC$10,福利费明细!$A:$A,AC$6)/10000</f>
        <v>0.4</v>
      </c>
      <c r="AD123" s="121">
        <f>SUMIFS(福利费明细!$F:$F,福利费明细!$B:$B,$E123,福利费明细!$C:$C,$F123,福利费明细!$E:$E,"&gt;="&amp;AD$9,福利费明细!$E:$E,"&lt;="&amp;AD$10,福利费明细!$A:$A,AD$6)/10000</f>
        <v>0.4</v>
      </c>
      <c r="AE123" s="121">
        <f>SUMIFS(福利费明细!$F:$F,福利费明细!$B:$B,$E123,福利费明细!$C:$C,$F123,福利费明细!$E:$E,"&gt;="&amp;AE$9,福利费明细!$E:$E,"&lt;="&amp;AE$10,福利费明细!$A:$A,AE$6)/10000</f>
        <v>0</v>
      </c>
      <c r="AF123" s="121">
        <f>SUMIFS(福利费明细!$F:$F,福利费明细!$B:$B,$E123,福利费明细!$C:$C,$F123,福利费明细!$E:$E,"&gt;="&amp;AF$9,福利费明细!$E:$E,"&lt;="&amp;AF$10,福利费明细!$A:$A,AF$6)/10000</f>
        <v>0</v>
      </c>
      <c r="AG123" s="121">
        <f>SUMIFS(福利费明细!$F:$F,福利费明细!$B:$B,$E123,福利费明细!$C:$C,$F123,福利费明细!$E:$E,"&gt;="&amp;AG$9,福利费明细!$E:$E,"&lt;="&amp;AG$10,福利费明细!$A:$A,AG$6)/10000</f>
        <v>0</v>
      </c>
      <c r="AH123" s="121">
        <f>SUMIFS(福利费明细!$F:$F,福利费明细!$B:$B,$E123,福利费明细!$C:$C,$F123,福利费明细!$E:$E,"&gt;="&amp;AH$9,福利费明细!$E:$E,"&lt;="&amp;AH$10,福利费明细!$A:$A,AH$6)/10000</f>
        <v>1.1</v>
      </c>
      <c r="AI123" s="121">
        <f>SUMIFS(福利费明细!$F:$F,福利费明细!$B:$B,$E123,福利费明细!$C:$C,$F123,福利费明细!$E:$E,"&gt;="&amp;AI$9,福利费明细!$E:$E,"&lt;="&amp;AI$10,福利费明细!$A:$A,AI$6)/10000</f>
        <v>0</v>
      </c>
      <c r="AJ123" s="121">
        <f>SUMIFS(福利费明细!$F:$F,福利费明细!$B:$B,$E123,福利费明细!$C:$C,$F123,福利费明细!$E:$E,"&gt;="&amp;AJ$9,福利费明细!$E:$E,"&lt;="&amp;AJ$10,福利费明细!$A:$A,AJ$6)/10000</f>
        <v>0</v>
      </c>
      <c r="AK123" s="121">
        <f>SUMIFS(福利费明细!$F:$F,福利费明细!$B:$B,$E123,福利费明细!$C:$C,$F123,福利费明细!$E:$E,"&gt;="&amp;AK$9,福利费明细!$E:$E,"&lt;="&amp;AK$10,福利费明细!$A:$A,AK$6)/10000</f>
        <v>0</v>
      </c>
      <c r="AL123" s="121">
        <f>SUMIFS(福利费明细!$F:$F,福利费明细!$B:$B,$E123,福利费明细!$C:$C,$F123,福利费明细!$E:$E,"&gt;="&amp;AL$9,福利费明细!$E:$E,"&lt;="&amp;AL$10,福利费明细!$A:$A,AL$6)/10000</f>
        <v>0</v>
      </c>
      <c r="AM123" s="121">
        <f>SUMIFS(福利费明细!$F:$F,福利费明细!$B:$B,$E123,福利费明细!$C:$C,$F123,福利费明细!$E:$E,"&gt;="&amp;AM$9,福利费明细!$E:$E,"&lt;="&amp;AM$10,福利费明细!$A:$A,AM$6)/10000</f>
        <v>0</v>
      </c>
      <c r="AN123" s="121">
        <f>SUMIFS(福利费明细!$F:$F,福利费明细!$B:$B,$E123,福利费明细!$C:$C,$F123,福利费明细!$E:$E,"&gt;="&amp;AN$9,福利费明细!$E:$E,"&lt;="&amp;AN$10,福利费明细!$A:$A,AN$6)/10000</f>
        <v>0</v>
      </c>
      <c r="AO123" s="121">
        <f>SUMIFS(福利费明细!$F:$F,福利费明细!$B:$B,$E123,福利费明细!$C:$C,$F123,福利费明细!$E:$E,"&gt;="&amp;AO$9,福利费明细!$E:$E,"&lt;="&amp;AO$10,福利费明细!$A:$A,AO$6)/10000</f>
        <v>0</v>
      </c>
      <c r="AP123" s="121">
        <f>SUMIFS(福利费明细!$F:$F,福利费明细!$B:$B,$E123,福利费明细!$C:$C,$F123,福利费明细!$E:$E,"&gt;="&amp;AP$9,福利费明细!$E:$E,"&lt;="&amp;AP$10,福利费明细!$A:$A,AP$6)/10000</f>
        <v>0</v>
      </c>
      <c r="AQ123" s="121">
        <f>SUMIFS(福利费明细!$F:$F,福利费明细!$B:$B,$E123,福利费明细!$C:$C,$F123,福利费明细!$E:$E,"&gt;="&amp;AQ$9,福利费明细!$E:$E,"&lt;="&amp;AQ$10,福利费明细!$A:$A,AQ$6)/10000</f>
        <v>0</v>
      </c>
      <c r="AR123" s="121">
        <f>SUMIFS(福利费明细!$F:$F,福利费明细!$B:$B,$E123,福利费明细!$C:$C,$F123,福利费明细!$E:$E,"&gt;="&amp;AR$9,福利费明细!$E:$E,"&lt;="&amp;AR$10,福利费明细!$A:$A,AR$6)/10000</f>
        <v>0.4</v>
      </c>
      <c r="AS123" s="121">
        <f>SUMIFS(福利费明细!$F:$F,福利费明细!$B:$B,$E123,福利费明细!$C:$C,$F123,福利费明细!$E:$E,"&gt;="&amp;AS$9,福利费明细!$E:$E,"&lt;="&amp;AS$10,福利费明细!$A:$A,AS$6)/10000</f>
        <v>0.4</v>
      </c>
      <c r="AT123" s="121">
        <f>SUMIFS(福利费明细!$F:$F,福利费明细!$B:$B,$E123,福利费明细!$C:$C,$F123,福利费明细!$E:$E,"&gt;="&amp;AT$9,福利费明细!$E:$E,"&lt;="&amp;AT$10,福利费明细!$A:$A,AT$6)/10000</f>
        <v>0.4</v>
      </c>
      <c r="AU123" s="121">
        <f>SUMIFS(福利费明细!$F:$F,福利费明细!$B:$B,$E123,福利费明细!$C:$C,$F123,福利费明细!$E:$E,"&gt;="&amp;AU$9,福利费明细!$E:$E,"&lt;="&amp;AU$10,福利费明细!$A:$A,AU$6)/10000</f>
        <v>4.3</v>
      </c>
      <c r="AV123" s="121">
        <f>SUMIFS(福利费明细!$F:$F,福利费明细!$B:$B,$E123,福利费明细!$C:$C,$F123,福利费明细!$E:$E,"&gt;="&amp;AV$9,福利费明细!$E:$E,"&lt;="&amp;AV$10,福利费明细!$A:$A,AV$6)/10000</f>
        <v>0.4</v>
      </c>
      <c r="AW123" s="121">
        <f>SUMIFS(福利费明细!$F:$F,福利费明细!$B:$B,$E123,福利费明细!$C:$C,$F123,福利费明细!$E:$E,"&gt;="&amp;AW$9,福利费明细!$E:$E,"&lt;="&amp;AW$10,福利费明细!$A:$A,AW$6)/10000</f>
        <v>0.4</v>
      </c>
      <c r="AX123" s="121">
        <f>SUMIFS(福利费明细!$F:$F,福利费明细!$B:$B,$E123,福利费明细!$C:$C,$F123,福利费明细!$E:$E,"&gt;="&amp;AX$9,福利费明细!$E:$E,"&lt;="&amp;AX$10,福利费明细!$A:$A,AX$6)/10000</f>
        <v>0.4</v>
      </c>
      <c r="AY123" s="121">
        <f>SUMIFS(福利费明细!$F:$F,福利费明细!$B:$B,$E123,福利费明细!$C:$C,$F123,福利费明细!$E:$E,"&gt;="&amp;AY$9,福利费明细!$E:$E,"&lt;="&amp;AY$10,福利费明细!$A:$A,AY$6)/10000</f>
        <v>0.4</v>
      </c>
      <c r="AZ123" s="121">
        <f>SUMIFS(福利费明细!$F:$F,福利费明细!$B:$B,$E123,福利费明细!$C:$C,$F123,福利费明细!$E:$E,"&gt;="&amp;AZ$9,福利费明细!$E:$E,"&lt;="&amp;AZ$10,福利费明细!$A:$A,AZ$6)/10000</f>
        <v>0.4</v>
      </c>
      <c r="BA123" s="121">
        <f>SUMIFS(福利费明细!$F:$F,福利费明细!$B:$B,$E123,福利费明细!$C:$C,$F123,福利费明细!$E:$E,"&gt;="&amp;BA$9,福利费明细!$E:$E,"&lt;="&amp;BA$10,福利费明细!$A:$A,BA$6)/10000</f>
        <v>0.4</v>
      </c>
      <c r="BB123" s="121">
        <f>SUMIFS(福利费明细!$F:$F,福利费明细!$B:$B,$E123,福利费明细!$C:$C,$F123,福利费明细!$E:$E,"&gt;="&amp;BB$9,福利费明细!$E:$E,"&lt;="&amp;BB$10,福利费明细!$A:$A,BB$6)/10000</f>
        <v>0.4</v>
      </c>
      <c r="BC123" s="121">
        <f>SUMIFS(福利费明细!$F:$F,福利费明细!$B:$B,$E123,福利费明细!$C:$C,$F123,福利费明细!$E:$E,"&gt;="&amp;BC$9,福利费明细!$E:$E,"&lt;="&amp;BC$10,福利费明细!$A:$A,BC$6)/10000</f>
        <v>0.4</v>
      </c>
      <c r="BD123" s="121">
        <f>SUMIFS(福利费明细!$F:$F,福利费明细!$B:$B,$E123,福利费明细!$C:$C,$F123,福利费明细!$E:$E,"&gt;="&amp;BD$9,福利费明细!$E:$E,"&lt;="&amp;BD$10,福利费明细!$A:$A,BD$6)/10000</f>
        <v>0.4</v>
      </c>
      <c r="BE123" s="121">
        <f>SUMIFS(福利费明细!$F:$F,福利费明细!$B:$B,$E123,福利费明细!$C:$C,$F123,福利费明细!$E:$E,"&gt;="&amp;BE$9,福利费明细!$E:$E,"&lt;="&amp;BE$10,福利费明细!$A:$A,BE$6)/10000</f>
        <v>0.4</v>
      </c>
      <c r="BF123" s="121">
        <f>SUMIFS(福利费明细!$F:$F,福利费明细!$B:$B,$E123,福利费明细!$C:$C,$F123,福利费明细!$E:$E,"&gt;="&amp;BF$9,福利费明细!$E:$E,"&lt;="&amp;BF$10,福利费明细!$A:$A,BF$6)/10000</f>
        <v>0.4</v>
      </c>
      <c r="BG123" s="121">
        <f>SUMIFS(福利费明细!$F:$F,福利费明细!$B:$B,$E123,福利费明细!$C:$C,$F123,福利费明细!$E:$E,"&gt;="&amp;BG$9,福利费明细!$E:$E,"&lt;="&amp;BG$10,福利费明细!$A:$A,BG$6)/10000</f>
        <v>0.4</v>
      </c>
    </row>
    <row r="124" ht="16.2" spans="3:59">
      <c r="C124" s="42"/>
      <c r="D124" s="42" t="s">
        <v>85</v>
      </c>
      <c r="E124" s="116" t="str">
        <f t="shared" si="99"/>
        <v>创新中心</v>
      </c>
      <c r="F124" s="116" t="str">
        <f t="shared" si="100"/>
        <v>XX
孵化业务</v>
      </c>
      <c r="G124" s="121">
        <f>SUMIFS(福利费明细!$F:$F,福利费明细!$B:$B,$E124,福利费明细!$C:$C,$F124,福利费明细!$E:$E,"&gt;="&amp;G$9,福利费明细!$E:$E,"&lt;="&amp;G$10,福利费明细!$A:$A,G$6)/10000</f>
        <v>5.9</v>
      </c>
      <c r="H124" s="121">
        <f>SUMIFS(福利费明细!$F:$F,福利费明细!$B:$B,$E124,福利费明细!$C:$C,$F124,福利费明细!$E:$E,"&gt;="&amp;H$9,福利费明细!$E:$E,"&lt;="&amp;H$10,福利费明细!$A:$A,H$6)/10000</f>
        <v>0.5</v>
      </c>
      <c r="I124" s="121">
        <f>SUMIFS(福利费明细!$F:$F,福利费明细!$B:$B,$E124,福利费明细!$C:$C,$F124,福利费明细!$E:$E,"&gt;="&amp;I$9,福利费明细!$E:$E,"&lt;="&amp;I$10,福利费明细!$A:$A,I$6)/10000</f>
        <v>0.5</v>
      </c>
      <c r="J124" s="121">
        <f>SUMIFS(福利费明细!$F:$F,福利费明细!$B:$B,$E124,福利费明细!$C:$C,$F124,福利费明细!$E:$E,"&gt;="&amp;J$9,福利费明细!$E:$E,"&lt;="&amp;J$10,福利费明细!$A:$A,J$6)/10000</f>
        <v>0.5</v>
      </c>
      <c r="K124" s="121">
        <f>SUMIFS(福利费明细!$F:$F,福利费明细!$B:$B,$E124,福利费明细!$C:$C,$F124,福利费明细!$E:$E,"&gt;="&amp;K$9,福利费明细!$E:$E,"&lt;="&amp;K$10,福利费明细!$A:$A,K$6)/10000</f>
        <v>0.5</v>
      </c>
      <c r="L124" s="121">
        <f>SUMIFS(福利费明细!$F:$F,福利费明细!$B:$B,$E124,福利费明细!$C:$C,$F124,福利费明细!$E:$E,"&gt;="&amp;L$9,福利费明细!$E:$E,"&lt;="&amp;L$10,福利费明细!$A:$A,L$6)/10000</f>
        <v>0.5</v>
      </c>
      <c r="M124" s="121">
        <f>SUMIFS(福利费明细!$F:$F,福利费明细!$B:$B,$E124,福利费明细!$C:$C,$F124,福利费明细!$E:$E,"&gt;="&amp;M$9,福利费明细!$E:$E,"&lt;="&amp;M$10,福利费明细!$A:$A,M$6)/10000</f>
        <v>0.5</v>
      </c>
      <c r="N124" s="121">
        <f>SUMIFS(福利费明细!$F:$F,福利费明细!$B:$B,$E124,福利费明细!$C:$C,$F124,福利费明细!$E:$E,"&gt;="&amp;N$9,福利费明细!$E:$E,"&lt;="&amp;N$10,福利费明细!$A:$A,N$6)/10000</f>
        <v>0.5</v>
      </c>
      <c r="O124" s="121">
        <f>SUMIFS(福利费明细!$F:$F,福利费明细!$B:$B,$E124,福利费明细!$C:$C,$F124,福利费明细!$E:$E,"&gt;="&amp;O$9,福利费明细!$E:$E,"&lt;="&amp;O$10,福利费明细!$A:$A,O$6)/10000</f>
        <v>0.5</v>
      </c>
      <c r="P124" s="121">
        <f>SUMIFS(福利费明细!$F:$F,福利费明细!$B:$B,$E124,福利费明细!$C:$C,$F124,福利费明细!$E:$E,"&gt;="&amp;P$9,福利费明细!$E:$E,"&lt;="&amp;P$10,福利费明细!$A:$A,P$6)/10000</f>
        <v>0.5</v>
      </c>
      <c r="Q124" s="121">
        <f>SUMIFS(福利费明细!$F:$F,福利费明细!$B:$B,$E124,福利费明细!$C:$C,$F124,福利费明细!$E:$E,"&gt;="&amp;Q$9,福利费明细!$E:$E,"&lt;="&amp;Q$10,福利费明细!$A:$A,Q$6)/10000</f>
        <v>0.5</v>
      </c>
      <c r="R124" s="121">
        <f>SUMIFS(福利费明细!$F:$F,福利费明细!$B:$B,$E124,福利费明细!$C:$C,$F124,福利费明细!$E:$E,"&gt;="&amp;R$9,福利费明细!$E:$E,"&lt;="&amp;R$10,福利费明细!$A:$A,R$6)/10000</f>
        <v>0.5</v>
      </c>
      <c r="S124" s="121">
        <f>SUMIFS(福利费明细!$F:$F,福利费明细!$B:$B,$E124,福利费明细!$C:$C,$F124,福利费明细!$E:$E,"&gt;="&amp;S$9,福利费明细!$E:$E,"&lt;="&amp;S$10,福利费明细!$A:$A,S$6)/10000</f>
        <v>0.5</v>
      </c>
      <c r="T124" s="125">
        <f t="shared" si="101"/>
        <v>5.9</v>
      </c>
      <c r="U124" s="121">
        <f>SUMIFS(福利费明细!$F:$F,福利费明细!$B:$B,$E124,福利费明细!$C:$C,$F124,福利费明细!$E:$E,"&gt;="&amp;U$9,福利费明细!$E:$E,"&lt;="&amp;U$10,福利费明细!$A:$A,U$6)/10000</f>
        <v>4.4</v>
      </c>
      <c r="V124" s="121">
        <f>SUMIFS(福利费明细!$F:$F,福利费明细!$B:$B,$E124,福利费明细!$C:$C,$F124,福利费明细!$E:$E,"&gt;="&amp;V$9,福利费明细!$E:$E,"&lt;="&amp;V$10,福利费明细!$A:$A,V$6)/10000</f>
        <v>0.5</v>
      </c>
      <c r="W124" s="121">
        <f>SUMIFS(福利费明细!$F:$F,福利费明细!$B:$B,$E124,福利费明细!$C:$C,$F124,福利费明细!$E:$E,"&gt;="&amp;W$9,福利费明细!$E:$E,"&lt;="&amp;W$10,福利费明细!$A:$A,W$6)/10000</f>
        <v>0.5</v>
      </c>
      <c r="X124" s="121">
        <f>SUMIFS(福利费明细!$F:$F,福利费明细!$B:$B,$E124,福利费明细!$C:$C,$F124,福利费明细!$E:$E,"&gt;="&amp;X$9,福利费明细!$E:$E,"&lt;="&amp;X$10,福利费明细!$A:$A,X$6)/10000</f>
        <v>0.5</v>
      </c>
      <c r="Y124" s="121">
        <f>SUMIFS(福利费明细!$F:$F,福利费明细!$B:$B,$E124,福利费明细!$C:$C,$F124,福利费明细!$E:$E,"&gt;="&amp;Y$9,福利费明细!$E:$E,"&lt;="&amp;Y$10,福利费明细!$A:$A,Y$6)/10000</f>
        <v>0.5</v>
      </c>
      <c r="Z124" s="121">
        <f>SUMIFS(福利费明细!$F:$F,福利费明细!$B:$B,$E124,福利费明细!$C:$C,$F124,福利费明细!$E:$E,"&gt;="&amp;Z$9,福利费明细!$E:$E,"&lt;="&amp;Z$10,福利费明细!$A:$A,Z$6)/10000</f>
        <v>0.5</v>
      </c>
      <c r="AA124" s="121">
        <f>SUMIFS(福利费明细!$F:$F,福利费明细!$B:$B,$E124,福利费明细!$C:$C,$F124,福利费明细!$E:$E,"&gt;="&amp;AA$9,福利费明细!$E:$E,"&lt;="&amp;AA$10,福利费明细!$A:$A,AA$6)/10000</f>
        <v>0.5</v>
      </c>
      <c r="AB124" s="121">
        <f>SUMIFS(福利费明细!$F:$F,福利费明细!$B:$B,$E124,福利费明细!$C:$C,$F124,福利费明细!$E:$E,"&gt;="&amp;AB$9,福利费明细!$E:$E,"&lt;="&amp;AB$10,福利费明细!$A:$A,AB$6)/10000</f>
        <v>0.5</v>
      </c>
      <c r="AC124" s="121">
        <f>SUMIFS(福利费明细!$F:$F,福利费明细!$B:$B,$E124,福利费明细!$C:$C,$F124,福利费明细!$E:$E,"&gt;="&amp;AC$9,福利费明细!$E:$E,"&lt;="&amp;AC$10,福利费明细!$A:$A,AC$6)/10000</f>
        <v>0.5</v>
      </c>
      <c r="AD124" s="121">
        <f>SUMIFS(福利费明细!$F:$F,福利费明细!$B:$B,$E124,福利费明细!$C:$C,$F124,福利费明细!$E:$E,"&gt;="&amp;AD$9,福利费明细!$E:$E,"&lt;="&amp;AD$10,福利费明细!$A:$A,AD$6)/10000</f>
        <v>0.5</v>
      </c>
      <c r="AE124" s="121">
        <f>SUMIFS(福利费明细!$F:$F,福利费明细!$B:$B,$E124,福利费明细!$C:$C,$F124,福利费明细!$E:$E,"&gt;="&amp;AE$9,福利费明细!$E:$E,"&lt;="&amp;AE$10,福利费明细!$A:$A,AE$6)/10000</f>
        <v>0</v>
      </c>
      <c r="AF124" s="121">
        <f>SUMIFS(福利费明细!$F:$F,福利费明细!$B:$B,$E124,福利费明细!$C:$C,$F124,福利费明细!$E:$E,"&gt;="&amp;AF$9,福利费明细!$E:$E,"&lt;="&amp;AF$10,福利费明细!$A:$A,AF$6)/10000</f>
        <v>0</v>
      </c>
      <c r="AG124" s="121">
        <f>SUMIFS(福利费明细!$F:$F,福利费明细!$B:$B,$E124,福利费明细!$C:$C,$F124,福利费明细!$E:$E,"&gt;="&amp;AG$9,福利费明细!$E:$E,"&lt;="&amp;AG$10,福利费明细!$A:$A,AG$6)/10000</f>
        <v>0</v>
      </c>
      <c r="AH124" s="121">
        <f>SUMIFS(福利费明细!$F:$F,福利费明细!$B:$B,$E124,福利费明细!$C:$C,$F124,福利费明细!$E:$E,"&gt;="&amp;AH$9,福利费明细!$E:$E,"&lt;="&amp;AH$10,福利费明细!$A:$A,AH$6)/10000</f>
        <v>1.5</v>
      </c>
      <c r="AI124" s="121">
        <f>SUMIFS(福利费明细!$F:$F,福利费明细!$B:$B,$E124,福利费明细!$C:$C,$F124,福利费明细!$E:$E,"&gt;="&amp;AI$9,福利费明细!$E:$E,"&lt;="&amp;AI$10,福利费明细!$A:$A,AI$6)/10000</f>
        <v>0</v>
      </c>
      <c r="AJ124" s="121">
        <f>SUMIFS(福利费明细!$F:$F,福利费明细!$B:$B,$E124,福利费明细!$C:$C,$F124,福利费明细!$E:$E,"&gt;="&amp;AJ$9,福利费明细!$E:$E,"&lt;="&amp;AJ$10,福利费明细!$A:$A,AJ$6)/10000</f>
        <v>0</v>
      </c>
      <c r="AK124" s="121">
        <f>SUMIFS(福利费明细!$F:$F,福利费明细!$B:$B,$E124,福利费明细!$C:$C,$F124,福利费明细!$E:$E,"&gt;="&amp;AK$9,福利费明细!$E:$E,"&lt;="&amp;AK$10,福利费明细!$A:$A,AK$6)/10000</f>
        <v>0</v>
      </c>
      <c r="AL124" s="121">
        <f>SUMIFS(福利费明细!$F:$F,福利费明细!$B:$B,$E124,福利费明细!$C:$C,$F124,福利费明细!$E:$E,"&gt;="&amp;AL$9,福利费明细!$E:$E,"&lt;="&amp;AL$10,福利费明细!$A:$A,AL$6)/10000</f>
        <v>0</v>
      </c>
      <c r="AM124" s="121">
        <f>SUMIFS(福利费明细!$F:$F,福利费明细!$B:$B,$E124,福利费明细!$C:$C,$F124,福利费明细!$E:$E,"&gt;="&amp;AM$9,福利费明细!$E:$E,"&lt;="&amp;AM$10,福利费明细!$A:$A,AM$6)/10000</f>
        <v>0</v>
      </c>
      <c r="AN124" s="121">
        <f>SUMIFS(福利费明细!$F:$F,福利费明细!$B:$B,$E124,福利费明细!$C:$C,$F124,福利费明细!$E:$E,"&gt;="&amp;AN$9,福利费明细!$E:$E,"&lt;="&amp;AN$10,福利费明细!$A:$A,AN$6)/10000</f>
        <v>0</v>
      </c>
      <c r="AO124" s="121">
        <f>SUMIFS(福利费明细!$F:$F,福利费明细!$B:$B,$E124,福利费明细!$C:$C,$F124,福利费明细!$E:$E,"&gt;="&amp;AO$9,福利费明细!$E:$E,"&lt;="&amp;AO$10,福利费明细!$A:$A,AO$6)/10000</f>
        <v>0</v>
      </c>
      <c r="AP124" s="121">
        <f>SUMIFS(福利费明细!$F:$F,福利费明细!$B:$B,$E124,福利费明细!$C:$C,$F124,福利费明细!$E:$E,"&gt;="&amp;AP$9,福利费明细!$E:$E,"&lt;="&amp;AP$10,福利费明细!$A:$A,AP$6)/10000</f>
        <v>0</v>
      </c>
      <c r="AQ124" s="121">
        <f>SUMIFS(福利费明细!$F:$F,福利费明细!$B:$B,$E124,福利费明细!$C:$C,$F124,福利费明细!$E:$E,"&gt;="&amp;AQ$9,福利费明细!$E:$E,"&lt;="&amp;AQ$10,福利费明细!$A:$A,AQ$6)/10000</f>
        <v>0</v>
      </c>
      <c r="AR124" s="121">
        <f>SUMIFS(福利费明细!$F:$F,福利费明细!$B:$B,$E124,福利费明细!$C:$C,$F124,福利费明细!$E:$E,"&gt;="&amp;AR$9,福利费明细!$E:$E,"&lt;="&amp;AR$10,福利费明细!$A:$A,AR$6)/10000</f>
        <v>0.5</v>
      </c>
      <c r="AS124" s="121">
        <f>SUMIFS(福利费明细!$F:$F,福利费明细!$B:$B,$E124,福利费明细!$C:$C,$F124,福利费明细!$E:$E,"&gt;="&amp;AS$9,福利费明细!$E:$E,"&lt;="&amp;AS$10,福利费明细!$A:$A,AS$6)/10000</f>
        <v>0.5</v>
      </c>
      <c r="AT124" s="121">
        <f>SUMIFS(福利费明细!$F:$F,福利费明细!$B:$B,$E124,福利费明细!$C:$C,$F124,福利费明细!$E:$E,"&gt;="&amp;AT$9,福利费明细!$E:$E,"&lt;="&amp;AT$10,福利费明细!$A:$A,AT$6)/10000</f>
        <v>0.5</v>
      </c>
      <c r="AU124" s="121">
        <f>SUMIFS(福利费明细!$F:$F,福利费明细!$B:$B,$E124,福利费明细!$C:$C,$F124,福利费明细!$E:$E,"&gt;="&amp;AU$9,福利费明细!$E:$E,"&lt;="&amp;AU$10,福利费明细!$A:$A,AU$6)/10000</f>
        <v>5.9</v>
      </c>
      <c r="AV124" s="121">
        <f>SUMIFS(福利费明细!$F:$F,福利费明细!$B:$B,$E124,福利费明细!$C:$C,$F124,福利费明细!$E:$E,"&gt;="&amp;AV$9,福利费明细!$E:$E,"&lt;="&amp;AV$10,福利费明细!$A:$A,AV$6)/10000</f>
        <v>0.5</v>
      </c>
      <c r="AW124" s="121">
        <f>SUMIFS(福利费明细!$F:$F,福利费明细!$B:$B,$E124,福利费明细!$C:$C,$F124,福利费明细!$E:$E,"&gt;="&amp;AW$9,福利费明细!$E:$E,"&lt;="&amp;AW$10,福利费明细!$A:$A,AW$6)/10000</f>
        <v>0.5</v>
      </c>
      <c r="AX124" s="121">
        <f>SUMIFS(福利费明细!$F:$F,福利费明细!$B:$B,$E124,福利费明细!$C:$C,$F124,福利费明细!$E:$E,"&gt;="&amp;AX$9,福利费明细!$E:$E,"&lt;="&amp;AX$10,福利费明细!$A:$A,AX$6)/10000</f>
        <v>0.5</v>
      </c>
      <c r="AY124" s="121">
        <f>SUMIFS(福利费明细!$F:$F,福利费明细!$B:$B,$E124,福利费明细!$C:$C,$F124,福利费明细!$E:$E,"&gt;="&amp;AY$9,福利费明细!$E:$E,"&lt;="&amp;AY$10,福利费明细!$A:$A,AY$6)/10000</f>
        <v>0.5</v>
      </c>
      <c r="AZ124" s="121">
        <f>SUMIFS(福利费明细!$F:$F,福利费明细!$B:$B,$E124,福利费明细!$C:$C,$F124,福利费明细!$E:$E,"&gt;="&amp;AZ$9,福利费明细!$E:$E,"&lt;="&amp;AZ$10,福利费明细!$A:$A,AZ$6)/10000</f>
        <v>0.5</v>
      </c>
      <c r="BA124" s="121">
        <f>SUMIFS(福利费明细!$F:$F,福利费明细!$B:$B,$E124,福利费明细!$C:$C,$F124,福利费明细!$E:$E,"&gt;="&amp;BA$9,福利费明细!$E:$E,"&lt;="&amp;BA$10,福利费明细!$A:$A,BA$6)/10000</f>
        <v>0.5</v>
      </c>
      <c r="BB124" s="121">
        <f>SUMIFS(福利费明细!$F:$F,福利费明细!$B:$B,$E124,福利费明细!$C:$C,$F124,福利费明细!$E:$E,"&gt;="&amp;BB$9,福利费明细!$E:$E,"&lt;="&amp;BB$10,福利费明细!$A:$A,BB$6)/10000</f>
        <v>0.5</v>
      </c>
      <c r="BC124" s="121">
        <f>SUMIFS(福利费明细!$F:$F,福利费明细!$B:$B,$E124,福利费明细!$C:$C,$F124,福利费明细!$E:$E,"&gt;="&amp;BC$9,福利费明细!$E:$E,"&lt;="&amp;BC$10,福利费明细!$A:$A,BC$6)/10000</f>
        <v>0.5</v>
      </c>
      <c r="BD124" s="121">
        <f>SUMIFS(福利费明细!$F:$F,福利费明细!$B:$B,$E124,福利费明细!$C:$C,$F124,福利费明细!$E:$E,"&gt;="&amp;BD$9,福利费明细!$E:$E,"&lt;="&amp;BD$10,福利费明细!$A:$A,BD$6)/10000</f>
        <v>0.5</v>
      </c>
      <c r="BE124" s="121">
        <f>SUMIFS(福利费明细!$F:$F,福利费明细!$B:$B,$E124,福利费明细!$C:$C,$F124,福利费明细!$E:$E,"&gt;="&amp;BE$9,福利费明细!$E:$E,"&lt;="&amp;BE$10,福利费明细!$A:$A,BE$6)/10000</f>
        <v>0.5</v>
      </c>
      <c r="BF124" s="121">
        <f>SUMIFS(福利费明细!$F:$F,福利费明细!$B:$B,$E124,福利费明细!$C:$C,$F124,福利费明细!$E:$E,"&gt;="&amp;BF$9,福利费明细!$E:$E,"&lt;="&amp;BF$10,福利费明细!$A:$A,BF$6)/10000</f>
        <v>0.5</v>
      </c>
      <c r="BG124" s="121">
        <f>SUMIFS(福利费明细!$F:$F,福利费明细!$B:$B,$E124,福利费明细!$C:$C,$F124,福利费明细!$E:$E,"&gt;="&amp;BG$9,福利费明细!$E:$E,"&lt;="&amp;BG$10,福利费明细!$A:$A,BG$6)/10000</f>
        <v>0.5</v>
      </c>
    </row>
    <row r="125" ht="16.2" spans="3:59">
      <c r="C125" s="42" t="s">
        <v>86</v>
      </c>
      <c r="D125" s="42"/>
      <c r="E125" s="116" t="str">
        <f t="shared" si="99"/>
        <v>支持中心</v>
      </c>
      <c r="F125" s="116" t="str">
        <f t="shared" si="100"/>
        <v>*</v>
      </c>
      <c r="G125" s="121">
        <f>SUMIFS(福利费明细!$F:$F,福利费明细!$B:$B,$E125,福利费明细!$C:$C,$F125,福利费明细!$E:$E,"&gt;="&amp;G$9,福利费明细!$E:$E,"&lt;="&amp;G$10,福利费明细!$A:$A,G$6)/10000</f>
        <v>27.5</v>
      </c>
      <c r="H125" s="121">
        <f>SUMIFS(福利费明细!$F:$F,福利费明细!$B:$B,$E125,福利费明细!$C:$C,$F125,福利费明细!$E:$E,"&gt;="&amp;H$9,福利费明细!$E:$E,"&lt;="&amp;H$10,福利费明细!$A:$A,H$6)/10000</f>
        <v>2.3</v>
      </c>
      <c r="I125" s="121">
        <f>SUMIFS(福利费明细!$F:$F,福利费明细!$B:$B,$E125,福利费明细!$C:$C,$F125,福利费明细!$E:$E,"&gt;="&amp;I$9,福利费明细!$E:$E,"&lt;="&amp;I$10,福利费明细!$A:$A,I$6)/10000</f>
        <v>2.3</v>
      </c>
      <c r="J125" s="121">
        <f>SUMIFS(福利费明细!$F:$F,福利费明细!$B:$B,$E125,福利费明细!$C:$C,$F125,福利费明细!$E:$E,"&gt;="&amp;J$9,福利费明细!$E:$E,"&lt;="&amp;J$10,福利费明细!$A:$A,J$6)/10000</f>
        <v>2.3</v>
      </c>
      <c r="K125" s="121">
        <f>SUMIFS(福利费明细!$F:$F,福利费明细!$B:$B,$E125,福利费明细!$C:$C,$F125,福利费明细!$E:$E,"&gt;="&amp;K$9,福利费明细!$E:$E,"&lt;="&amp;K$10,福利费明细!$A:$A,K$6)/10000</f>
        <v>2.3</v>
      </c>
      <c r="L125" s="121">
        <f>SUMIFS(福利费明细!$F:$F,福利费明细!$B:$B,$E125,福利费明细!$C:$C,$F125,福利费明细!$E:$E,"&gt;="&amp;L$9,福利费明细!$E:$E,"&lt;="&amp;L$10,福利费明细!$A:$A,L$6)/10000</f>
        <v>2.3</v>
      </c>
      <c r="M125" s="121">
        <f>SUMIFS(福利费明细!$F:$F,福利费明细!$B:$B,$E125,福利费明细!$C:$C,$F125,福利费明细!$E:$E,"&gt;="&amp;M$9,福利费明细!$E:$E,"&lt;="&amp;M$10,福利费明细!$A:$A,M$6)/10000</f>
        <v>2.3</v>
      </c>
      <c r="N125" s="121">
        <f>SUMIFS(福利费明细!$F:$F,福利费明细!$B:$B,$E125,福利费明细!$C:$C,$F125,福利费明细!$E:$E,"&gt;="&amp;N$9,福利费明细!$E:$E,"&lt;="&amp;N$10,福利费明细!$A:$A,N$6)/10000</f>
        <v>2.3</v>
      </c>
      <c r="O125" s="121">
        <f>SUMIFS(福利费明细!$F:$F,福利费明细!$B:$B,$E125,福利费明细!$C:$C,$F125,福利费明细!$E:$E,"&gt;="&amp;O$9,福利费明细!$E:$E,"&lt;="&amp;O$10,福利费明细!$A:$A,O$6)/10000</f>
        <v>2.3</v>
      </c>
      <c r="P125" s="121">
        <f>SUMIFS(福利费明细!$F:$F,福利费明细!$B:$B,$E125,福利费明细!$C:$C,$F125,福利费明细!$E:$E,"&gt;="&amp;P$9,福利费明细!$E:$E,"&lt;="&amp;P$10,福利费明细!$A:$A,P$6)/10000</f>
        <v>2.3</v>
      </c>
      <c r="Q125" s="121">
        <f>SUMIFS(福利费明细!$F:$F,福利费明细!$B:$B,$E125,福利费明细!$C:$C,$F125,福利费明细!$E:$E,"&gt;="&amp;Q$9,福利费明细!$E:$E,"&lt;="&amp;Q$10,福利费明细!$A:$A,Q$6)/10000</f>
        <v>2.3</v>
      </c>
      <c r="R125" s="121">
        <f>SUMIFS(福利费明细!$F:$F,福利费明细!$B:$B,$E125,福利费明细!$C:$C,$F125,福利费明细!$E:$E,"&gt;="&amp;R$9,福利费明细!$E:$E,"&lt;="&amp;R$10,福利费明细!$A:$A,R$6)/10000</f>
        <v>2.3</v>
      </c>
      <c r="S125" s="121">
        <f>SUMIFS(福利费明细!$F:$F,福利费明细!$B:$B,$E125,福利费明细!$C:$C,$F125,福利费明细!$E:$E,"&gt;="&amp;S$9,福利费明细!$E:$E,"&lt;="&amp;S$10,福利费明细!$A:$A,S$6)/10000</f>
        <v>2.3</v>
      </c>
      <c r="T125" s="125">
        <f t="shared" si="101"/>
        <v>27.7</v>
      </c>
      <c r="U125" s="121">
        <f>SUMIFS(福利费明细!$F:$F,福利费明细!$B:$B,$E125,福利费明细!$C:$C,$F125,福利费明细!$E:$E,"&gt;="&amp;U$9,福利费明细!$E:$E,"&lt;="&amp;U$10,福利费明细!$A:$A,U$6)/10000</f>
        <v>20.7</v>
      </c>
      <c r="V125" s="121">
        <f>SUMIFS(福利费明细!$F:$F,福利费明细!$B:$B,$E125,福利费明细!$C:$C,$F125,福利费明细!$E:$E,"&gt;="&amp;V$9,福利费明细!$E:$E,"&lt;="&amp;V$10,福利费明细!$A:$A,V$6)/10000</f>
        <v>2.4</v>
      </c>
      <c r="W125" s="121">
        <f>SUMIFS(福利费明细!$F:$F,福利费明细!$B:$B,$E125,福利费明细!$C:$C,$F125,福利费明细!$E:$E,"&gt;="&amp;W$9,福利费明细!$E:$E,"&lt;="&amp;W$10,福利费明细!$A:$A,W$6)/10000</f>
        <v>2.3</v>
      </c>
      <c r="X125" s="121">
        <f>SUMIFS(福利费明细!$F:$F,福利费明细!$B:$B,$E125,福利费明细!$C:$C,$F125,福利费明细!$E:$E,"&gt;="&amp;X$9,福利费明细!$E:$E,"&lt;="&amp;X$10,福利费明细!$A:$A,X$6)/10000</f>
        <v>2.3</v>
      </c>
      <c r="Y125" s="121">
        <f>SUMIFS(福利费明细!$F:$F,福利费明细!$B:$B,$E125,福利费明细!$C:$C,$F125,福利费明细!$E:$E,"&gt;="&amp;Y$9,福利费明细!$E:$E,"&lt;="&amp;Y$10,福利费明细!$A:$A,Y$6)/10000</f>
        <v>2.3</v>
      </c>
      <c r="Z125" s="121">
        <f>SUMIFS(福利费明细!$F:$F,福利费明细!$B:$B,$E125,福利费明细!$C:$C,$F125,福利费明细!$E:$E,"&gt;="&amp;Z$9,福利费明细!$E:$E,"&lt;="&amp;Z$10,福利费明细!$A:$A,Z$6)/10000</f>
        <v>2.3</v>
      </c>
      <c r="AA125" s="121">
        <f>SUMIFS(福利费明细!$F:$F,福利费明细!$B:$B,$E125,福利费明细!$C:$C,$F125,福利费明细!$E:$E,"&gt;="&amp;AA$9,福利费明细!$E:$E,"&lt;="&amp;AA$10,福利费明细!$A:$A,AA$6)/10000</f>
        <v>2.3</v>
      </c>
      <c r="AB125" s="121">
        <f>SUMIFS(福利费明细!$F:$F,福利费明细!$B:$B,$E125,福利费明细!$C:$C,$F125,福利费明细!$E:$E,"&gt;="&amp;AB$9,福利费明细!$E:$E,"&lt;="&amp;AB$10,福利费明细!$A:$A,AB$6)/10000</f>
        <v>2.3</v>
      </c>
      <c r="AC125" s="121">
        <f>SUMIFS(福利费明细!$F:$F,福利费明细!$B:$B,$E125,福利费明细!$C:$C,$F125,福利费明细!$E:$E,"&gt;="&amp;AC$9,福利费明细!$E:$E,"&lt;="&amp;AC$10,福利费明细!$A:$A,AC$6)/10000</f>
        <v>2.3</v>
      </c>
      <c r="AD125" s="121">
        <f>SUMIFS(福利费明细!$F:$F,福利费明细!$B:$B,$E125,福利费明细!$C:$C,$F125,福利费明细!$E:$E,"&gt;="&amp;AD$9,福利费明细!$E:$E,"&lt;="&amp;AD$10,福利费明细!$A:$A,AD$6)/10000</f>
        <v>2.2</v>
      </c>
      <c r="AE125" s="121">
        <f>SUMIFS(福利费明细!$F:$F,福利费明细!$B:$B,$E125,福利费明细!$C:$C,$F125,福利费明细!$E:$E,"&gt;="&amp;AE$9,福利费明细!$E:$E,"&lt;="&amp;AE$10,福利费明细!$A:$A,AE$6)/10000</f>
        <v>0</v>
      </c>
      <c r="AF125" s="121">
        <f>SUMIFS(福利费明细!$F:$F,福利费明细!$B:$B,$E125,福利费明细!$C:$C,$F125,福利费明细!$E:$E,"&gt;="&amp;AF$9,福利费明细!$E:$E,"&lt;="&amp;AF$10,福利费明细!$A:$A,AF$6)/10000</f>
        <v>0</v>
      </c>
      <c r="AG125" s="121">
        <f>SUMIFS(福利费明细!$F:$F,福利费明细!$B:$B,$E125,福利费明细!$C:$C,$F125,福利费明细!$E:$E,"&gt;="&amp;AG$9,福利费明细!$E:$E,"&lt;="&amp;AG$10,福利费明细!$A:$A,AG$6)/10000</f>
        <v>0</v>
      </c>
      <c r="AH125" s="121">
        <f>SUMIFS(福利费明细!$F:$F,福利费明细!$B:$B,$E125,福利费明细!$C:$C,$F125,福利费明细!$E:$E,"&gt;="&amp;AH$9,福利费明细!$E:$E,"&lt;="&amp;AH$10,福利费明细!$A:$A,AH$6)/10000</f>
        <v>7</v>
      </c>
      <c r="AI125" s="121">
        <f>SUMIFS(福利费明细!$F:$F,福利费明细!$B:$B,$E125,福利费明细!$C:$C,$F125,福利费明细!$E:$E,"&gt;="&amp;AI$9,福利费明细!$E:$E,"&lt;="&amp;AI$10,福利费明细!$A:$A,AI$6)/10000</f>
        <v>0</v>
      </c>
      <c r="AJ125" s="121">
        <f>SUMIFS(福利费明细!$F:$F,福利费明细!$B:$B,$E125,福利费明细!$C:$C,$F125,福利费明细!$E:$E,"&gt;="&amp;AJ$9,福利费明细!$E:$E,"&lt;="&amp;AJ$10,福利费明细!$A:$A,AJ$6)/10000</f>
        <v>0</v>
      </c>
      <c r="AK125" s="121">
        <f>SUMIFS(福利费明细!$F:$F,福利费明细!$B:$B,$E125,福利费明细!$C:$C,$F125,福利费明细!$E:$E,"&gt;="&amp;AK$9,福利费明细!$E:$E,"&lt;="&amp;AK$10,福利费明细!$A:$A,AK$6)/10000</f>
        <v>0</v>
      </c>
      <c r="AL125" s="121">
        <f>SUMIFS(福利费明细!$F:$F,福利费明细!$B:$B,$E125,福利费明细!$C:$C,$F125,福利费明细!$E:$E,"&gt;="&amp;AL$9,福利费明细!$E:$E,"&lt;="&amp;AL$10,福利费明细!$A:$A,AL$6)/10000</f>
        <v>0</v>
      </c>
      <c r="AM125" s="121">
        <f>SUMIFS(福利费明细!$F:$F,福利费明细!$B:$B,$E125,福利费明细!$C:$C,$F125,福利费明细!$E:$E,"&gt;="&amp;AM$9,福利费明细!$E:$E,"&lt;="&amp;AM$10,福利费明细!$A:$A,AM$6)/10000</f>
        <v>0</v>
      </c>
      <c r="AN125" s="121">
        <f>SUMIFS(福利费明细!$F:$F,福利费明细!$B:$B,$E125,福利费明细!$C:$C,$F125,福利费明细!$E:$E,"&gt;="&amp;AN$9,福利费明细!$E:$E,"&lt;="&amp;AN$10,福利费明细!$A:$A,AN$6)/10000</f>
        <v>0</v>
      </c>
      <c r="AO125" s="121">
        <f>SUMIFS(福利费明细!$F:$F,福利费明细!$B:$B,$E125,福利费明细!$C:$C,$F125,福利费明细!$E:$E,"&gt;="&amp;AO$9,福利费明细!$E:$E,"&lt;="&amp;AO$10,福利费明细!$A:$A,AO$6)/10000</f>
        <v>0</v>
      </c>
      <c r="AP125" s="121">
        <f>SUMIFS(福利费明细!$F:$F,福利费明细!$B:$B,$E125,福利费明细!$C:$C,$F125,福利费明细!$E:$E,"&gt;="&amp;AP$9,福利费明细!$E:$E,"&lt;="&amp;AP$10,福利费明细!$A:$A,AP$6)/10000</f>
        <v>0</v>
      </c>
      <c r="AQ125" s="121">
        <f>SUMIFS(福利费明细!$F:$F,福利费明细!$B:$B,$E125,福利费明细!$C:$C,$F125,福利费明细!$E:$E,"&gt;="&amp;AQ$9,福利费明细!$E:$E,"&lt;="&amp;AQ$10,福利费明细!$A:$A,AQ$6)/10000</f>
        <v>0</v>
      </c>
      <c r="AR125" s="121">
        <f>SUMIFS(福利费明细!$F:$F,福利费明细!$B:$B,$E125,福利费明细!$C:$C,$F125,福利费明细!$E:$E,"&gt;="&amp;AR$9,福利费明细!$E:$E,"&lt;="&amp;AR$10,福利费明细!$A:$A,AR$6)/10000</f>
        <v>2.3</v>
      </c>
      <c r="AS125" s="121">
        <f>SUMIFS(福利费明细!$F:$F,福利费明细!$B:$B,$E125,福利费明细!$C:$C,$F125,福利费明细!$E:$E,"&gt;="&amp;AS$9,福利费明细!$E:$E,"&lt;="&amp;AS$10,福利费明细!$A:$A,AS$6)/10000</f>
        <v>2.4</v>
      </c>
      <c r="AT125" s="121">
        <f>SUMIFS(福利费明细!$F:$F,福利费明细!$B:$B,$E125,福利费明细!$C:$C,$F125,福利费明细!$E:$E,"&gt;="&amp;AT$9,福利费明细!$E:$E,"&lt;="&amp;AT$10,福利费明细!$A:$A,AT$6)/10000</f>
        <v>2.3</v>
      </c>
      <c r="AU125" s="121">
        <f>SUMIFS(福利费明细!$F:$F,福利费明细!$B:$B,$E125,福利费明细!$C:$C,$F125,福利费明细!$E:$E,"&gt;="&amp;AU$9,福利费明细!$E:$E,"&lt;="&amp;AU$10,福利费明细!$A:$A,AU$6)/10000</f>
        <v>27.6</v>
      </c>
      <c r="AV125" s="121">
        <f>SUMIFS(福利费明细!$F:$F,福利费明细!$B:$B,$E125,福利费明细!$C:$C,$F125,福利费明细!$E:$E,"&gt;="&amp;AV$9,福利费明细!$E:$E,"&lt;="&amp;AV$10,福利费明细!$A:$A,AV$6)/10000</f>
        <v>2.3</v>
      </c>
      <c r="AW125" s="121">
        <f>SUMIFS(福利费明细!$F:$F,福利费明细!$B:$B,$E125,福利费明细!$C:$C,$F125,福利费明细!$E:$E,"&gt;="&amp;AW$9,福利费明细!$E:$E,"&lt;="&amp;AW$10,福利费明细!$A:$A,AW$6)/10000</f>
        <v>2.4</v>
      </c>
      <c r="AX125" s="121">
        <f>SUMIFS(福利费明细!$F:$F,福利费明细!$B:$B,$E125,福利费明细!$C:$C,$F125,福利费明细!$E:$E,"&gt;="&amp;AX$9,福利费明细!$E:$E,"&lt;="&amp;AX$10,福利费明细!$A:$A,AX$6)/10000</f>
        <v>2.3</v>
      </c>
      <c r="AY125" s="121">
        <f>SUMIFS(福利费明细!$F:$F,福利费明细!$B:$B,$E125,福利费明细!$C:$C,$F125,福利费明细!$E:$E,"&gt;="&amp;AY$9,福利费明细!$E:$E,"&lt;="&amp;AY$10,福利费明细!$A:$A,AY$6)/10000</f>
        <v>2.3</v>
      </c>
      <c r="AZ125" s="121">
        <f>SUMIFS(福利费明细!$F:$F,福利费明细!$B:$B,$E125,福利费明细!$C:$C,$F125,福利费明细!$E:$E,"&gt;="&amp;AZ$9,福利费明细!$E:$E,"&lt;="&amp;AZ$10,福利费明细!$A:$A,AZ$6)/10000</f>
        <v>2.3</v>
      </c>
      <c r="BA125" s="121">
        <f>SUMIFS(福利费明细!$F:$F,福利费明细!$B:$B,$E125,福利费明细!$C:$C,$F125,福利费明细!$E:$E,"&gt;="&amp;BA$9,福利费明细!$E:$E,"&lt;="&amp;BA$10,福利费明细!$A:$A,BA$6)/10000</f>
        <v>2.2</v>
      </c>
      <c r="BB125" s="121">
        <f>SUMIFS(福利费明细!$F:$F,福利费明细!$B:$B,$E125,福利费明细!$C:$C,$F125,福利费明细!$E:$E,"&gt;="&amp;BB$9,福利费明细!$E:$E,"&lt;="&amp;BB$10,福利费明细!$A:$A,BB$6)/10000</f>
        <v>2.3</v>
      </c>
      <c r="BC125" s="121">
        <f>SUMIFS(福利费明细!$F:$F,福利费明细!$B:$B,$E125,福利费明细!$C:$C,$F125,福利费明细!$E:$E,"&gt;="&amp;BC$9,福利费明细!$E:$E,"&lt;="&amp;BC$10,福利费明细!$A:$A,BC$6)/10000</f>
        <v>2.3</v>
      </c>
      <c r="BD125" s="121">
        <f>SUMIFS(福利费明细!$F:$F,福利费明细!$B:$B,$E125,福利费明细!$C:$C,$F125,福利费明细!$E:$E,"&gt;="&amp;BD$9,福利费明细!$E:$E,"&lt;="&amp;BD$10,福利费明细!$A:$A,BD$6)/10000</f>
        <v>2.3</v>
      </c>
      <c r="BE125" s="121">
        <f>SUMIFS(福利费明细!$F:$F,福利费明细!$B:$B,$E125,福利费明细!$C:$C,$F125,福利费明细!$E:$E,"&gt;="&amp;BE$9,福利费明细!$E:$E,"&lt;="&amp;BE$10,福利费明细!$A:$A,BE$6)/10000</f>
        <v>2.3</v>
      </c>
      <c r="BF125" s="121">
        <f>SUMIFS(福利费明细!$F:$F,福利费明细!$B:$B,$E125,福利费明细!$C:$C,$F125,福利费明细!$E:$E,"&gt;="&amp;BF$9,福利费明细!$E:$E,"&lt;="&amp;BF$10,福利费明细!$A:$A,BF$6)/10000</f>
        <v>2.3</v>
      </c>
      <c r="BG125" s="121">
        <f>SUMIFS(福利费明细!$F:$F,福利费明细!$B:$B,$E125,福利费明细!$C:$C,$F125,福利费明细!$E:$E,"&gt;="&amp;BG$9,福利费明细!$E:$E,"&lt;="&amp;BG$10,福利费明细!$A:$A,BG$6)/10000</f>
        <v>2.2</v>
      </c>
    </row>
    <row r="126" ht="16.2" spans="3:59">
      <c r="C126" s="42"/>
      <c r="D126" s="42" t="s">
        <v>87</v>
      </c>
      <c r="E126" s="116" t="str">
        <f t="shared" si="99"/>
        <v>支持中心</v>
      </c>
      <c r="F126" s="116" t="str">
        <f t="shared" si="100"/>
        <v>财务部</v>
      </c>
      <c r="G126" s="121">
        <f>SUMIFS(福利费明细!$F:$F,福利费明细!$B:$B,$E126,福利费明细!$C:$C,$F126,福利费明细!$E:$E,"&gt;="&amp;G$9,福利费明细!$E:$E,"&lt;="&amp;G$10,福利费明细!$A:$A,G$6)/10000</f>
        <v>7</v>
      </c>
      <c r="H126" s="121">
        <f>SUMIFS(福利费明细!$F:$F,福利费明细!$B:$B,$E126,福利费明细!$C:$C,$F126,福利费明细!$E:$E,"&gt;="&amp;H$9,福利费明细!$E:$E,"&lt;="&amp;H$10,福利费明细!$A:$A,H$6)/10000</f>
        <v>0.6</v>
      </c>
      <c r="I126" s="121">
        <f>SUMIFS(福利费明细!$F:$F,福利费明细!$B:$B,$E126,福利费明细!$C:$C,$F126,福利费明细!$E:$E,"&gt;="&amp;I$9,福利费明细!$E:$E,"&lt;="&amp;I$10,福利费明细!$A:$A,I$6)/10000</f>
        <v>0.6</v>
      </c>
      <c r="J126" s="121">
        <f>SUMIFS(福利费明细!$F:$F,福利费明细!$B:$B,$E126,福利费明细!$C:$C,$F126,福利费明细!$E:$E,"&gt;="&amp;J$9,福利费明细!$E:$E,"&lt;="&amp;J$10,福利费明细!$A:$A,J$6)/10000</f>
        <v>0.6</v>
      </c>
      <c r="K126" s="121">
        <f>SUMIFS(福利费明细!$F:$F,福利费明细!$B:$B,$E126,福利费明细!$C:$C,$F126,福利费明细!$E:$E,"&gt;="&amp;K$9,福利费明细!$E:$E,"&lt;="&amp;K$10,福利费明细!$A:$A,K$6)/10000</f>
        <v>0.6</v>
      </c>
      <c r="L126" s="121">
        <f>SUMIFS(福利费明细!$F:$F,福利费明细!$B:$B,$E126,福利费明细!$C:$C,$F126,福利费明细!$E:$E,"&gt;="&amp;L$9,福利费明细!$E:$E,"&lt;="&amp;L$10,福利费明细!$A:$A,L$6)/10000</f>
        <v>0.6</v>
      </c>
      <c r="M126" s="121">
        <f>SUMIFS(福利费明细!$F:$F,福利费明细!$B:$B,$E126,福利费明细!$C:$C,$F126,福利费明细!$E:$E,"&gt;="&amp;M$9,福利费明细!$E:$E,"&lt;="&amp;M$10,福利费明细!$A:$A,M$6)/10000</f>
        <v>0.6</v>
      </c>
      <c r="N126" s="121">
        <f>SUMIFS(福利费明细!$F:$F,福利费明细!$B:$B,$E126,福利费明细!$C:$C,$F126,福利费明细!$E:$E,"&gt;="&amp;N$9,福利费明细!$E:$E,"&lt;="&amp;N$10,福利费明细!$A:$A,N$6)/10000</f>
        <v>0.6</v>
      </c>
      <c r="O126" s="121">
        <f>SUMIFS(福利费明细!$F:$F,福利费明细!$B:$B,$E126,福利费明细!$C:$C,$F126,福利费明细!$E:$E,"&gt;="&amp;O$9,福利费明细!$E:$E,"&lt;="&amp;O$10,福利费明细!$A:$A,O$6)/10000</f>
        <v>0.6</v>
      </c>
      <c r="P126" s="121">
        <f>SUMIFS(福利费明细!$F:$F,福利费明细!$B:$B,$E126,福利费明细!$C:$C,$F126,福利费明细!$E:$E,"&gt;="&amp;P$9,福利费明细!$E:$E,"&lt;="&amp;P$10,福利费明细!$A:$A,P$6)/10000</f>
        <v>0.6</v>
      </c>
      <c r="Q126" s="121">
        <f>SUMIFS(福利费明细!$F:$F,福利费明细!$B:$B,$E126,福利费明细!$C:$C,$F126,福利费明细!$E:$E,"&gt;="&amp;Q$9,福利费明细!$E:$E,"&lt;="&amp;Q$10,福利费明细!$A:$A,Q$6)/10000</f>
        <v>0.6</v>
      </c>
      <c r="R126" s="121">
        <f>SUMIFS(福利费明细!$F:$F,福利费明细!$B:$B,$E126,福利费明细!$C:$C,$F126,福利费明细!$E:$E,"&gt;="&amp;R$9,福利费明细!$E:$E,"&lt;="&amp;R$10,福利费明细!$A:$A,R$6)/10000</f>
        <v>0.6</v>
      </c>
      <c r="S126" s="121">
        <f>SUMIFS(福利费明细!$F:$F,福利费明细!$B:$B,$E126,福利费明细!$C:$C,$F126,福利费明细!$E:$E,"&gt;="&amp;S$9,福利费明细!$E:$E,"&lt;="&amp;S$10,福利费明细!$A:$A,S$6)/10000</f>
        <v>0.6</v>
      </c>
      <c r="T126" s="125">
        <f t="shared" si="101"/>
        <v>7.1</v>
      </c>
      <c r="U126" s="121">
        <f>SUMIFS(福利费明细!$F:$F,福利费明细!$B:$B,$E126,福利费明细!$C:$C,$F126,福利费明细!$E:$E,"&gt;="&amp;U$9,福利费明细!$E:$E,"&lt;="&amp;U$10,福利费明细!$A:$A,U$6)/10000</f>
        <v>5.3</v>
      </c>
      <c r="V126" s="121">
        <f>SUMIFS(福利费明细!$F:$F,福利费明细!$B:$B,$E126,福利费明细!$C:$C,$F126,福利费明细!$E:$E,"&gt;="&amp;V$9,福利费明细!$E:$E,"&lt;="&amp;V$10,福利费明细!$A:$A,V$6)/10000</f>
        <v>0.6</v>
      </c>
      <c r="W126" s="121">
        <f>SUMIFS(福利费明细!$F:$F,福利费明细!$B:$B,$E126,福利费明细!$C:$C,$F126,福利费明细!$E:$E,"&gt;="&amp;W$9,福利费明细!$E:$E,"&lt;="&amp;W$10,福利费明细!$A:$A,W$6)/10000</f>
        <v>0.6</v>
      </c>
      <c r="X126" s="121">
        <f>SUMIFS(福利费明细!$F:$F,福利费明细!$B:$B,$E126,福利费明细!$C:$C,$F126,福利费明细!$E:$E,"&gt;="&amp;X$9,福利费明细!$E:$E,"&lt;="&amp;X$10,福利费明细!$A:$A,X$6)/10000</f>
        <v>0.6</v>
      </c>
      <c r="Y126" s="121">
        <f>SUMIFS(福利费明细!$F:$F,福利费明细!$B:$B,$E126,福利费明细!$C:$C,$F126,福利费明细!$E:$E,"&gt;="&amp;Y$9,福利费明细!$E:$E,"&lt;="&amp;Y$10,福利费明细!$A:$A,Y$6)/10000</f>
        <v>0.6</v>
      </c>
      <c r="Z126" s="121">
        <f>SUMIFS(福利费明细!$F:$F,福利费明细!$B:$B,$E126,福利费明细!$C:$C,$F126,福利费明细!$E:$E,"&gt;="&amp;Z$9,福利费明细!$E:$E,"&lt;="&amp;Z$10,福利费明细!$A:$A,Z$6)/10000</f>
        <v>0.6</v>
      </c>
      <c r="AA126" s="121">
        <f>SUMIFS(福利费明细!$F:$F,福利费明细!$B:$B,$E126,福利费明细!$C:$C,$F126,福利费明细!$E:$E,"&gt;="&amp;AA$9,福利费明细!$E:$E,"&lt;="&amp;AA$10,福利费明细!$A:$A,AA$6)/10000</f>
        <v>0.6</v>
      </c>
      <c r="AB126" s="121">
        <f>SUMIFS(福利费明细!$F:$F,福利费明细!$B:$B,$E126,福利费明细!$C:$C,$F126,福利费明细!$E:$E,"&gt;="&amp;AB$9,福利费明细!$E:$E,"&lt;="&amp;AB$10,福利费明细!$A:$A,AB$6)/10000</f>
        <v>0.6</v>
      </c>
      <c r="AC126" s="121">
        <f>SUMIFS(福利费明细!$F:$F,福利费明细!$B:$B,$E126,福利费明细!$C:$C,$F126,福利费明细!$E:$E,"&gt;="&amp;AC$9,福利费明细!$E:$E,"&lt;="&amp;AC$10,福利费明细!$A:$A,AC$6)/10000</f>
        <v>0.6</v>
      </c>
      <c r="AD126" s="121">
        <f>SUMIFS(福利费明细!$F:$F,福利费明细!$B:$B,$E126,福利费明细!$C:$C,$F126,福利费明细!$E:$E,"&gt;="&amp;AD$9,福利费明细!$E:$E,"&lt;="&amp;AD$10,福利费明细!$A:$A,AD$6)/10000</f>
        <v>0.6</v>
      </c>
      <c r="AE126" s="121">
        <f>SUMIFS(福利费明细!$F:$F,福利费明细!$B:$B,$E126,福利费明细!$C:$C,$F126,福利费明细!$E:$E,"&gt;="&amp;AE$9,福利费明细!$E:$E,"&lt;="&amp;AE$10,福利费明细!$A:$A,AE$6)/10000</f>
        <v>0</v>
      </c>
      <c r="AF126" s="121">
        <f>SUMIFS(福利费明细!$F:$F,福利费明细!$B:$B,$E126,福利费明细!$C:$C,$F126,福利费明细!$E:$E,"&gt;="&amp;AF$9,福利费明细!$E:$E,"&lt;="&amp;AF$10,福利费明细!$A:$A,AF$6)/10000</f>
        <v>0</v>
      </c>
      <c r="AG126" s="121">
        <f>SUMIFS(福利费明细!$F:$F,福利费明细!$B:$B,$E126,福利费明细!$C:$C,$F126,福利费明细!$E:$E,"&gt;="&amp;AG$9,福利费明细!$E:$E,"&lt;="&amp;AG$10,福利费明细!$A:$A,AG$6)/10000</f>
        <v>0</v>
      </c>
      <c r="AH126" s="121">
        <f>SUMIFS(福利费明细!$F:$F,福利费明细!$B:$B,$E126,福利费明细!$C:$C,$F126,福利费明细!$E:$E,"&gt;="&amp;AH$9,福利费明细!$E:$E,"&lt;="&amp;AH$10,福利费明细!$A:$A,AH$6)/10000</f>
        <v>1.8</v>
      </c>
      <c r="AI126" s="121">
        <f>SUMIFS(福利费明细!$F:$F,福利费明细!$B:$B,$E126,福利费明细!$C:$C,$F126,福利费明细!$E:$E,"&gt;="&amp;AI$9,福利费明细!$E:$E,"&lt;="&amp;AI$10,福利费明细!$A:$A,AI$6)/10000</f>
        <v>0</v>
      </c>
      <c r="AJ126" s="121">
        <f>SUMIFS(福利费明细!$F:$F,福利费明细!$B:$B,$E126,福利费明细!$C:$C,$F126,福利费明细!$E:$E,"&gt;="&amp;AJ$9,福利费明细!$E:$E,"&lt;="&amp;AJ$10,福利费明细!$A:$A,AJ$6)/10000</f>
        <v>0</v>
      </c>
      <c r="AK126" s="121">
        <f>SUMIFS(福利费明细!$F:$F,福利费明细!$B:$B,$E126,福利费明细!$C:$C,$F126,福利费明细!$E:$E,"&gt;="&amp;AK$9,福利费明细!$E:$E,"&lt;="&amp;AK$10,福利费明细!$A:$A,AK$6)/10000</f>
        <v>0</v>
      </c>
      <c r="AL126" s="121">
        <f>SUMIFS(福利费明细!$F:$F,福利费明细!$B:$B,$E126,福利费明细!$C:$C,$F126,福利费明细!$E:$E,"&gt;="&amp;AL$9,福利费明细!$E:$E,"&lt;="&amp;AL$10,福利费明细!$A:$A,AL$6)/10000</f>
        <v>0</v>
      </c>
      <c r="AM126" s="121">
        <f>SUMIFS(福利费明细!$F:$F,福利费明细!$B:$B,$E126,福利费明细!$C:$C,$F126,福利费明细!$E:$E,"&gt;="&amp;AM$9,福利费明细!$E:$E,"&lt;="&amp;AM$10,福利费明细!$A:$A,AM$6)/10000</f>
        <v>0</v>
      </c>
      <c r="AN126" s="121">
        <f>SUMIFS(福利费明细!$F:$F,福利费明细!$B:$B,$E126,福利费明细!$C:$C,$F126,福利费明细!$E:$E,"&gt;="&amp;AN$9,福利费明细!$E:$E,"&lt;="&amp;AN$10,福利费明细!$A:$A,AN$6)/10000</f>
        <v>0</v>
      </c>
      <c r="AO126" s="121">
        <f>SUMIFS(福利费明细!$F:$F,福利费明细!$B:$B,$E126,福利费明细!$C:$C,$F126,福利费明细!$E:$E,"&gt;="&amp;AO$9,福利费明细!$E:$E,"&lt;="&amp;AO$10,福利费明细!$A:$A,AO$6)/10000</f>
        <v>0</v>
      </c>
      <c r="AP126" s="121">
        <f>SUMIFS(福利费明细!$F:$F,福利费明细!$B:$B,$E126,福利费明细!$C:$C,$F126,福利费明细!$E:$E,"&gt;="&amp;AP$9,福利费明细!$E:$E,"&lt;="&amp;AP$10,福利费明细!$A:$A,AP$6)/10000</f>
        <v>0</v>
      </c>
      <c r="AQ126" s="121">
        <f>SUMIFS(福利费明细!$F:$F,福利费明细!$B:$B,$E126,福利费明细!$C:$C,$F126,福利费明细!$E:$E,"&gt;="&amp;AQ$9,福利费明细!$E:$E,"&lt;="&amp;AQ$10,福利费明细!$A:$A,AQ$6)/10000</f>
        <v>0</v>
      </c>
      <c r="AR126" s="121">
        <f>SUMIFS(福利费明细!$F:$F,福利费明细!$B:$B,$E126,福利费明细!$C:$C,$F126,福利费明细!$E:$E,"&gt;="&amp;AR$9,福利费明细!$E:$E,"&lt;="&amp;AR$10,福利费明细!$A:$A,AR$6)/10000</f>
        <v>0.6</v>
      </c>
      <c r="AS126" s="121">
        <f>SUMIFS(福利费明细!$F:$F,福利费明细!$B:$B,$E126,福利费明细!$C:$C,$F126,福利费明细!$E:$E,"&gt;="&amp;AS$9,福利费明细!$E:$E,"&lt;="&amp;AS$10,福利费明细!$A:$A,AS$6)/10000</f>
        <v>0.6</v>
      </c>
      <c r="AT126" s="121">
        <f>SUMIFS(福利费明细!$F:$F,福利费明细!$B:$B,$E126,福利费明细!$C:$C,$F126,福利费明细!$E:$E,"&gt;="&amp;AT$9,福利费明细!$E:$E,"&lt;="&amp;AT$10,福利费明细!$A:$A,AT$6)/10000</f>
        <v>0.6</v>
      </c>
      <c r="AU126" s="121">
        <f>SUMIFS(福利费明细!$F:$F,福利费明细!$B:$B,$E126,福利费明细!$C:$C,$F126,福利费明细!$E:$E,"&gt;="&amp;AU$9,福利费明细!$E:$E,"&lt;="&amp;AU$10,福利费明细!$A:$A,AU$6)/10000</f>
        <v>7.1</v>
      </c>
      <c r="AV126" s="121">
        <f>SUMIFS(福利费明细!$F:$F,福利费明细!$B:$B,$E126,福利费明细!$C:$C,$F126,福利费明细!$E:$E,"&gt;="&amp;AV$9,福利费明细!$E:$E,"&lt;="&amp;AV$10,福利费明细!$A:$A,AV$6)/10000</f>
        <v>0.6</v>
      </c>
      <c r="AW126" s="121">
        <f>SUMIFS(福利费明细!$F:$F,福利费明细!$B:$B,$E126,福利费明细!$C:$C,$F126,福利费明细!$E:$E,"&gt;="&amp;AW$9,福利费明细!$E:$E,"&lt;="&amp;AW$10,福利费明细!$A:$A,AW$6)/10000</f>
        <v>0.6</v>
      </c>
      <c r="AX126" s="121">
        <f>SUMIFS(福利费明细!$F:$F,福利费明细!$B:$B,$E126,福利费明细!$C:$C,$F126,福利费明细!$E:$E,"&gt;="&amp;AX$9,福利费明细!$E:$E,"&lt;="&amp;AX$10,福利费明细!$A:$A,AX$6)/10000</f>
        <v>0.6</v>
      </c>
      <c r="AY126" s="121">
        <f>SUMIFS(福利费明细!$F:$F,福利费明细!$B:$B,$E126,福利费明细!$C:$C,$F126,福利费明细!$E:$E,"&gt;="&amp;AY$9,福利费明细!$E:$E,"&lt;="&amp;AY$10,福利费明细!$A:$A,AY$6)/10000</f>
        <v>0.6</v>
      </c>
      <c r="AZ126" s="121">
        <f>SUMIFS(福利费明细!$F:$F,福利费明细!$B:$B,$E126,福利费明细!$C:$C,$F126,福利费明细!$E:$E,"&gt;="&amp;AZ$9,福利费明细!$E:$E,"&lt;="&amp;AZ$10,福利费明细!$A:$A,AZ$6)/10000</f>
        <v>0.6</v>
      </c>
      <c r="BA126" s="121">
        <f>SUMIFS(福利费明细!$F:$F,福利费明细!$B:$B,$E126,福利费明细!$C:$C,$F126,福利费明细!$E:$E,"&gt;="&amp;BA$9,福利费明细!$E:$E,"&lt;="&amp;BA$10,福利费明细!$A:$A,BA$6)/10000</f>
        <v>0.6</v>
      </c>
      <c r="BB126" s="121">
        <f>SUMIFS(福利费明细!$F:$F,福利费明细!$B:$B,$E126,福利费明细!$C:$C,$F126,福利费明细!$E:$E,"&gt;="&amp;BB$9,福利费明细!$E:$E,"&lt;="&amp;BB$10,福利费明细!$A:$A,BB$6)/10000</f>
        <v>0.6</v>
      </c>
      <c r="BC126" s="121">
        <f>SUMIFS(福利费明细!$F:$F,福利费明细!$B:$B,$E126,福利费明细!$C:$C,$F126,福利费明细!$E:$E,"&gt;="&amp;BC$9,福利费明细!$E:$E,"&lt;="&amp;BC$10,福利费明细!$A:$A,BC$6)/10000</f>
        <v>0.6</v>
      </c>
      <c r="BD126" s="121">
        <f>SUMIFS(福利费明细!$F:$F,福利费明细!$B:$B,$E126,福利费明细!$C:$C,$F126,福利费明细!$E:$E,"&gt;="&amp;BD$9,福利费明细!$E:$E,"&lt;="&amp;BD$10,福利费明细!$A:$A,BD$6)/10000</f>
        <v>0.6</v>
      </c>
      <c r="BE126" s="121">
        <f>SUMIFS(福利费明细!$F:$F,福利费明细!$B:$B,$E126,福利费明细!$C:$C,$F126,福利费明细!$E:$E,"&gt;="&amp;BE$9,福利费明细!$E:$E,"&lt;="&amp;BE$10,福利费明细!$A:$A,BE$6)/10000</f>
        <v>0.6</v>
      </c>
      <c r="BF126" s="121">
        <f>SUMIFS(福利费明细!$F:$F,福利费明细!$B:$B,$E126,福利费明细!$C:$C,$F126,福利费明细!$E:$E,"&gt;="&amp;BF$9,福利费明细!$E:$E,"&lt;="&amp;BF$10,福利费明细!$A:$A,BF$6)/10000</f>
        <v>0.6</v>
      </c>
      <c r="BG126" s="121">
        <f>SUMIFS(福利费明细!$F:$F,福利费明细!$B:$B,$E126,福利费明细!$C:$C,$F126,福利费明细!$E:$E,"&gt;="&amp;BG$9,福利费明细!$E:$E,"&lt;="&amp;BG$10,福利费明细!$A:$A,BG$6)/10000</f>
        <v>0.6</v>
      </c>
    </row>
    <row r="127" ht="16.2" spans="3:59">
      <c r="C127" s="42"/>
      <c r="D127" s="42" t="s">
        <v>88</v>
      </c>
      <c r="E127" s="116" t="str">
        <f t="shared" si="99"/>
        <v>支持中心</v>
      </c>
      <c r="F127" s="116" t="str">
        <f t="shared" si="100"/>
        <v>人力资源部</v>
      </c>
      <c r="G127" s="121">
        <f>SUMIFS(福利费明细!$F:$F,福利费明细!$B:$B,$E127,福利费明细!$C:$C,$F127,福利费明细!$E:$E,"&gt;="&amp;G$9,福利费明细!$E:$E,"&lt;="&amp;G$10,福利费明细!$A:$A,G$6)/10000</f>
        <v>6.6</v>
      </c>
      <c r="H127" s="121">
        <f>SUMIFS(福利费明细!$F:$F,福利费明细!$B:$B,$E127,福利费明细!$C:$C,$F127,福利费明细!$E:$E,"&gt;="&amp;H$9,福利费明细!$E:$E,"&lt;="&amp;H$10,福利费明细!$A:$A,H$6)/10000</f>
        <v>0.6</v>
      </c>
      <c r="I127" s="121">
        <f>SUMIFS(福利费明细!$F:$F,福利费明细!$B:$B,$E127,福利费明细!$C:$C,$F127,福利费明细!$E:$E,"&gt;="&amp;I$9,福利费明细!$E:$E,"&lt;="&amp;I$10,福利费明细!$A:$A,I$6)/10000</f>
        <v>0.5</v>
      </c>
      <c r="J127" s="121">
        <f>SUMIFS(福利费明细!$F:$F,福利费明细!$B:$B,$E127,福利费明细!$C:$C,$F127,福利费明细!$E:$E,"&gt;="&amp;J$9,福利费明细!$E:$E,"&lt;="&amp;J$10,福利费明细!$A:$A,J$6)/10000</f>
        <v>0.5</v>
      </c>
      <c r="K127" s="121">
        <f>SUMIFS(福利费明细!$F:$F,福利费明细!$B:$B,$E127,福利费明细!$C:$C,$F127,福利费明细!$E:$E,"&gt;="&amp;K$9,福利费明细!$E:$E,"&lt;="&amp;K$10,福利费明细!$A:$A,K$6)/10000</f>
        <v>0.5</v>
      </c>
      <c r="L127" s="121">
        <f>SUMIFS(福利费明细!$F:$F,福利费明细!$B:$B,$E127,福利费明细!$C:$C,$F127,福利费明细!$E:$E,"&gt;="&amp;L$9,福利费明细!$E:$E,"&lt;="&amp;L$10,福利费明细!$A:$A,L$6)/10000</f>
        <v>0.6</v>
      </c>
      <c r="M127" s="121">
        <f>SUMIFS(福利费明细!$F:$F,福利费明细!$B:$B,$E127,福利费明细!$C:$C,$F127,福利费明细!$E:$E,"&gt;="&amp;M$9,福利费明细!$E:$E,"&lt;="&amp;M$10,福利费明细!$A:$A,M$6)/10000</f>
        <v>0.6</v>
      </c>
      <c r="N127" s="121">
        <f>SUMIFS(福利费明细!$F:$F,福利费明细!$B:$B,$E127,福利费明细!$C:$C,$F127,福利费明细!$E:$E,"&gt;="&amp;N$9,福利费明细!$E:$E,"&lt;="&amp;N$10,福利费明细!$A:$A,N$6)/10000</f>
        <v>0.6</v>
      </c>
      <c r="O127" s="121">
        <f>SUMIFS(福利费明细!$F:$F,福利费明细!$B:$B,$E127,福利费明细!$C:$C,$F127,福利费明细!$E:$E,"&gt;="&amp;O$9,福利费明细!$E:$E,"&lt;="&amp;O$10,福利费明细!$A:$A,O$6)/10000</f>
        <v>0.6</v>
      </c>
      <c r="P127" s="121">
        <f>SUMIFS(福利费明细!$F:$F,福利费明细!$B:$B,$E127,福利费明细!$C:$C,$F127,福利费明细!$E:$E,"&gt;="&amp;P$9,福利费明细!$E:$E,"&lt;="&amp;P$10,福利费明细!$A:$A,P$6)/10000</f>
        <v>0.5</v>
      </c>
      <c r="Q127" s="121">
        <f>SUMIFS(福利费明细!$F:$F,福利费明细!$B:$B,$E127,福利费明细!$C:$C,$F127,福利费明细!$E:$E,"&gt;="&amp;Q$9,福利费明细!$E:$E,"&lt;="&amp;Q$10,福利费明细!$A:$A,Q$6)/10000</f>
        <v>0.6</v>
      </c>
      <c r="R127" s="121">
        <f>SUMIFS(福利费明细!$F:$F,福利费明细!$B:$B,$E127,福利费明细!$C:$C,$F127,福利费明细!$E:$E,"&gt;="&amp;R$9,福利费明细!$E:$E,"&lt;="&amp;R$10,福利费明细!$A:$A,R$6)/10000</f>
        <v>0.6</v>
      </c>
      <c r="S127" s="121">
        <f>SUMIFS(福利费明细!$F:$F,福利费明细!$B:$B,$E127,福利费明细!$C:$C,$F127,福利费明细!$E:$E,"&gt;="&amp;S$9,福利费明细!$E:$E,"&lt;="&amp;S$10,福利费明细!$A:$A,S$6)/10000</f>
        <v>0.5</v>
      </c>
      <c r="T127" s="125">
        <f t="shared" si="101"/>
        <v>6.8</v>
      </c>
      <c r="U127" s="121">
        <f>SUMIFS(福利费明细!$F:$F,福利费明细!$B:$B,$E127,福利费明细!$C:$C,$F127,福利费明细!$E:$E,"&gt;="&amp;U$9,福利费明细!$E:$E,"&lt;="&amp;U$10,福利费明细!$A:$A,U$6)/10000</f>
        <v>5.1</v>
      </c>
      <c r="V127" s="121">
        <f>SUMIFS(福利费明细!$F:$F,福利费明细!$B:$B,$E127,福利费明细!$C:$C,$F127,福利费明细!$E:$E,"&gt;="&amp;V$9,福利费明细!$E:$E,"&lt;="&amp;V$10,福利费明细!$A:$A,V$6)/10000</f>
        <v>0.6</v>
      </c>
      <c r="W127" s="121">
        <f>SUMIFS(福利费明细!$F:$F,福利费明细!$B:$B,$E127,福利费明细!$C:$C,$F127,福利费明细!$E:$E,"&gt;="&amp;W$9,福利费明细!$E:$E,"&lt;="&amp;W$10,福利费明细!$A:$A,W$6)/10000</f>
        <v>0.6</v>
      </c>
      <c r="X127" s="121">
        <f>SUMIFS(福利费明细!$F:$F,福利费明细!$B:$B,$E127,福利费明细!$C:$C,$F127,福利费明细!$E:$E,"&gt;="&amp;X$9,福利费明细!$E:$E,"&lt;="&amp;X$10,福利费明细!$A:$A,X$6)/10000</f>
        <v>0.5</v>
      </c>
      <c r="Y127" s="121">
        <f>SUMIFS(福利费明细!$F:$F,福利费明细!$B:$B,$E127,福利费明细!$C:$C,$F127,福利费明细!$E:$E,"&gt;="&amp;Y$9,福利费明细!$E:$E,"&lt;="&amp;Y$10,福利费明细!$A:$A,Y$6)/10000</f>
        <v>0.6</v>
      </c>
      <c r="Z127" s="121">
        <f>SUMIFS(福利费明细!$F:$F,福利费明细!$B:$B,$E127,福利费明细!$C:$C,$F127,福利费明细!$E:$E,"&gt;="&amp;Z$9,福利费明细!$E:$E,"&lt;="&amp;Z$10,福利费明细!$A:$A,Z$6)/10000</f>
        <v>0.6</v>
      </c>
      <c r="AA127" s="121">
        <f>SUMIFS(福利费明细!$F:$F,福利费明细!$B:$B,$E127,福利费明细!$C:$C,$F127,福利费明细!$E:$E,"&gt;="&amp;AA$9,福利费明细!$E:$E,"&lt;="&amp;AA$10,福利费明细!$A:$A,AA$6)/10000</f>
        <v>0.6</v>
      </c>
      <c r="AB127" s="121">
        <f>SUMIFS(福利费明细!$F:$F,福利费明细!$B:$B,$E127,福利费明细!$C:$C,$F127,福利费明细!$E:$E,"&gt;="&amp;AB$9,福利费明细!$E:$E,"&lt;="&amp;AB$10,福利费明细!$A:$A,AB$6)/10000</f>
        <v>0.6</v>
      </c>
      <c r="AC127" s="121">
        <f>SUMIFS(福利费明细!$F:$F,福利费明细!$B:$B,$E127,福利费明细!$C:$C,$F127,福利费明细!$E:$E,"&gt;="&amp;AC$9,福利费明细!$E:$E,"&lt;="&amp;AC$10,福利费明细!$A:$A,AC$6)/10000</f>
        <v>0.6</v>
      </c>
      <c r="AD127" s="121">
        <f>SUMIFS(福利费明细!$F:$F,福利费明细!$B:$B,$E127,福利费明细!$C:$C,$F127,福利费明细!$E:$E,"&gt;="&amp;AD$9,福利费明细!$E:$E,"&lt;="&amp;AD$10,福利费明细!$A:$A,AD$6)/10000</f>
        <v>0.6</v>
      </c>
      <c r="AE127" s="121">
        <f>SUMIFS(福利费明细!$F:$F,福利费明细!$B:$B,$E127,福利费明细!$C:$C,$F127,福利费明细!$E:$E,"&gt;="&amp;AE$9,福利费明细!$E:$E,"&lt;="&amp;AE$10,福利费明细!$A:$A,AE$6)/10000</f>
        <v>0</v>
      </c>
      <c r="AF127" s="121">
        <f>SUMIFS(福利费明细!$F:$F,福利费明细!$B:$B,$E127,福利费明细!$C:$C,$F127,福利费明细!$E:$E,"&gt;="&amp;AF$9,福利费明细!$E:$E,"&lt;="&amp;AF$10,福利费明细!$A:$A,AF$6)/10000</f>
        <v>0</v>
      </c>
      <c r="AG127" s="121">
        <f>SUMIFS(福利费明细!$F:$F,福利费明细!$B:$B,$E127,福利费明细!$C:$C,$F127,福利费明细!$E:$E,"&gt;="&amp;AG$9,福利费明细!$E:$E,"&lt;="&amp;AG$10,福利费明细!$A:$A,AG$6)/10000</f>
        <v>0</v>
      </c>
      <c r="AH127" s="121">
        <f>SUMIFS(福利费明细!$F:$F,福利费明细!$B:$B,$E127,福利费明细!$C:$C,$F127,福利费明细!$E:$E,"&gt;="&amp;AH$9,福利费明细!$E:$E,"&lt;="&amp;AH$10,福利费明细!$A:$A,AH$6)/10000</f>
        <v>1.7</v>
      </c>
      <c r="AI127" s="121">
        <f>SUMIFS(福利费明细!$F:$F,福利费明细!$B:$B,$E127,福利费明细!$C:$C,$F127,福利费明细!$E:$E,"&gt;="&amp;AI$9,福利费明细!$E:$E,"&lt;="&amp;AI$10,福利费明细!$A:$A,AI$6)/10000</f>
        <v>0</v>
      </c>
      <c r="AJ127" s="121">
        <f>SUMIFS(福利费明细!$F:$F,福利费明细!$B:$B,$E127,福利费明细!$C:$C,$F127,福利费明细!$E:$E,"&gt;="&amp;AJ$9,福利费明细!$E:$E,"&lt;="&amp;AJ$10,福利费明细!$A:$A,AJ$6)/10000</f>
        <v>0</v>
      </c>
      <c r="AK127" s="121">
        <f>SUMIFS(福利费明细!$F:$F,福利费明细!$B:$B,$E127,福利费明细!$C:$C,$F127,福利费明细!$E:$E,"&gt;="&amp;AK$9,福利费明细!$E:$E,"&lt;="&amp;AK$10,福利费明细!$A:$A,AK$6)/10000</f>
        <v>0</v>
      </c>
      <c r="AL127" s="121">
        <f>SUMIFS(福利费明细!$F:$F,福利费明细!$B:$B,$E127,福利费明细!$C:$C,$F127,福利费明细!$E:$E,"&gt;="&amp;AL$9,福利费明细!$E:$E,"&lt;="&amp;AL$10,福利费明细!$A:$A,AL$6)/10000</f>
        <v>0</v>
      </c>
      <c r="AM127" s="121">
        <f>SUMIFS(福利费明细!$F:$F,福利费明细!$B:$B,$E127,福利费明细!$C:$C,$F127,福利费明细!$E:$E,"&gt;="&amp;AM$9,福利费明细!$E:$E,"&lt;="&amp;AM$10,福利费明细!$A:$A,AM$6)/10000</f>
        <v>0</v>
      </c>
      <c r="AN127" s="121">
        <f>SUMIFS(福利费明细!$F:$F,福利费明细!$B:$B,$E127,福利费明细!$C:$C,$F127,福利费明细!$E:$E,"&gt;="&amp;AN$9,福利费明细!$E:$E,"&lt;="&amp;AN$10,福利费明细!$A:$A,AN$6)/10000</f>
        <v>0</v>
      </c>
      <c r="AO127" s="121">
        <f>SUMIFS(福利费明细!$F:$F,福利费明细!$B:$B,$E127,福利费明细!$C:$C,$F127,福利费明细!$E:$E,"&gt;="&amp;AO$9,福利费明细!$E:$E,"&lt;="&amp;AO$10,福利费明细!$A:$A,AO$6)/10000</f>
        <v>0</v>
      </c>
      <c r="AP127" s="121">
        <f>SUMIFS(福利费明细!$F:$F,福利费明细!$B:$B,$E127,福利费明细!$C:$C,$F127,福利费明细!$E:$E,"&gt;="&amp;AP$9,福利费明细!$E:$E,"&lt;="&amp;AP$10,福利费明细!$A:$A,AP$6)/10000</f>
        <v>0</v>
      </c>
      <c r="AQ127" s="121">
        <f>SUMIFS(福利费明细!$F:$F,福利费明细!$B:$B,$E127,福利费明细!$C:$C,$F127,福利费明细!$E:$E,"&gt;="&amp;AQ$9,福利费明细!$E:$E,"&lt;="&amp;AQ$10,福利费明细!$A:$A,AQ$6)/10000</f>
        <v>0</v>
      </c>
      <c r="AR127" s="121">
        <f>SUMIFS(福利费明细!$F:$F,福利费明细!$B:$B,$E127,福利费明细!$C:$C,$F127,福利费明细!$E:$E,"&gt;="&amp;AR$9,福利费明细!$E:$E,"&lt;="&amp;AR$10,福利费明细!$A:$A,AR$6)/10000</f>
        <v>0.6</v>
      </c>
      <c r="AS127" s="121">
        <f>SUMIFS(福利费明细!$F:$F,福利费明细!$B:$B,$E127,福利费明细!$C:$C,$F127,福利费明细!$E:$E,"&gt;="&amp;AS$9,福利费明细!$E:$E,"&lt;="&amp;AS$10,福利费明细!$A:$A,AS$6)/10000</f>
        <v>0.6</v>
      </c>
      <c r="AT127" s="121">
        <f>SUMIFS(福利费明细!$F:$F,福利费明细!$B:$B,$E127,福利费明细!$C:$C,$F127,福利费明细!$E:$E,"&gt;="&amp;AT$9,福利费明细!$E:$E,"&lt;="&amp;AT$10,福利费明细!$A:$A,AT$6)/10000</f>
        <v>0.6</v>
      </c>
      <c r="AU127" s="121">
        <f>SUMIFS(福利费明细!$F:$F,福利费明细!$B:$B,$E127,福利费明细!$C:$C,$F127,福利费明细!$E:$E,"&gt;="&amp;AU$9,福利费明细!$E:$E,"&lt;="&amp;AU$10,福利费明细!$A:$A,AU$6)/10000</f>
        <v>6.7</v>
      </c>
      <c r="AV127" s="121">
        <f>SUMIFS(福利费明细!$F:$F,福利费明细!$B:$B,$E127,福利费明细!$C:$C,$F127,福利费明细!$E:$E,"&gt;="&amp;AV$9,福利费明细!$E:$E,"&lt;="&amp;AV$10,福利费明细!$A:$A,AV$6)/10000</f>
        <v>0.5</v>
      </c>
      <c r="AW127" s="121">
        <f>SUMIFS(福利费明细!$F:$F,福利费明细!$B:$B,$E127,福利费明细!$C:$C,$F127,福利费明细!$E:$E,"&gt;="&amp;AW$9,福利费明细!$E:$E,"&lt;="&amp;AW$10,福利费明细!$A:$A,AW$6)/10000</f>
        <v>0.6</v>
      </c>
      <c r="AX127" s="121">
        <f>SUMIFS(福利费明细!$F:$F,福利费明细!$B:$B,$E127,福利费明细!$C:$C,$F127,福利费明细!$E:$E,"&gt;="&amp;AX$9,福利费明细!$E:$E,"&lt;="&amp;AX$10,福利费明细!$A:$A,AX$6)/10000</f>
        <v>0.6</v>
      </c>
      <c r="AY127" s="121">
        <f>SUMIFS(福利费明细!$F:$F,福利费明细!$B:$B,$E127,福利费明细!$C:$C,$F127,福利费明细!$E:$E,"&gt;="&amp;AY$9,福利费明细!$E:$E,"&lt;="&amp;AY$10,福利费明细!$A:$A,AY$6)/10000</f>
        <v>0.5</v>
      </c>
      <c r="AZ127" s="121">
        <f>SUMIFS(福利费明细!$F:$F,福利费明细!$B:$B,$E127,福利费明细!$C:$C,$F127,福利费明细!$E:$E,"&gt;="&amp;AZ$9,福利费明细!$E:$E,"&lt;="&amp;AZ$10,福利费明细!$A:$A,AZ$6)/10000</f>
        <v>0.6</v>
      </c>
      <c r="BA127" s="121">
        <f>SUMIFS(福利费明细!$F:$F,福利费明细!$B:$B,$E127,福利费明细!$C:$C,$F127,福利费明细!$E:$E,"&gt;="&amp;BA$9,福利费明细!$E:$E,"&lt;="&amp;BA$10,福利费明细!$A:$A,BA$6)/10000</f>
        <v>0.5</v>
      </c>
      <c r="BB127" s="121">
        <f>SUMIFS(福利费明细!$F:$F,福利费明细!$B:$B,$E127,福利费明细!$C:$C,$F127,福利费明细!$E:$E,"&gt;="&amp;BB$9,福利费明细!$E:$E,"&lt;="&amp;BB$10,福利费明细!$A:$A,BB$6)/10000</f>
        <v>0.6</v>
      </c>
      <c r="BC127" s="121">
        <f>SUMIFS(福利费明细!$F:$F,福利费明细!$B:$B,$E127,福利费明细!$C:$C,$F127,福利费明细!$E:$E,"&gt;="&amp;BC$9,福利费明细!$E:$E,"&lt;="&amp;BC$10,福利费明细!$A:$A,BC$6)/10000</f>
        <v>0.5</v>
      </c>
      <c r="BD127" s="121">
        <f>SUMIFS(福利费明细!$F:$F,福利费明细!$B:$B,$E127,福利费明细!$C:$C,$F127,福利费明细!$E:$E,"&gt;="&amp;BD$9,福利费明细!$E:$E,"&lt;="&amp;BD$10,福利费明细!$A:$A,BD$6)/10000</f>
        <v>0.6</v>
      </c>
      <c r="BE127" s="121">
        <f>SUMIFS(福利费明细!$F:$F,福利费明细!$B:$B,$E127,福利费明细!$C:$C,$F127,福利费明细!$E:$E,"&gt;="&amp;BE$9,福利费明细!$E:$E,"&lt;="&amp;BE$10,福利费明细!$A:$A,BE$6)/10000</f>
        <v>0.5</v>
      </c>
      <c r="BF127" s="121">
        <f>SUMIFS(福利费明细!$F:$F,福利费明细!$B:$B,$E127,福利费明细!$C:$C,$F127,福利费明细!$E:$E,"&gt;="&amp;BF$9,福利费明细!$E:$E,"&lt;="&amp;BF$10,福利费明细!$A:$A,BF$6)/10000</f>
        <v>0.6</v>
      </c>
      <c r="BG127" s="121">
        <f>SUMIFS(福利费明细!$F:$F,福利费明细!$B:$B,$E127,福利费明细!$C:$C,$F127,福利费明细!$E:$E,"&gt;="&amp;BG$9,福利费明细!$E:$E,"&lt;="&amp;BG$10,福利费明细!$A:$A,BG$6)/10000</f>
        <v>0.5</v>
      </c>
    </row>
    <row r="128" ht="16.2" spans="3:59">
      <c r="C128" s="42"/>
      <c r="D128" s="42" t="s">
        <v>89</v>
      </c>
      <c r="E128" s="116" t="str">
        <f t="shared" si="99"/>
        <v>支持中心</v>
      </c>
      <c r="F128" s="116" t="str">
        <f t="shared" si="100"/>
        <v>IT部</v>
      </c>
      <c r="G128" s="121">
        <f>SUMIFS(福利费明细!$F:$F,福利费明细!$B:$B,$E128,福利费明细!$C:$C,$F128,福利费明细!$E:$E,"&gt;="&amp;G$9,福利费明细!$E:$E,"&lt;="&amp;G$10,福利费明细!$A:$A,G$6)/10000</f>
        <v>5.9</v>
      </c>
      <c r="H128" s="121">
        <f>SUMIFS(福利费明细!$F:$F,福利费明细!$B:$B,$E128,福利费明细!$C:$C,$F128,福利费明细!$E:$E,"&gt;="&amp;H$9,福利费明细!$E:$E,"&lt;="&amp;H$10,福利费明细!$A:$A,H$6)/10000</f>
        <v>0.5</v>
      </c>
      <c r="I128" s="121">
        <f>SUMIFS(福利费明细!$F:$F,福利费明细!$B:$B,$E128,福利费明细!$C:$C,$F128,福利费明细!$E:$E,"&gt;="&amp;I$9,福利费明细!$E:$E,"&lt;="&amp;I$10,福利费明细!$A:$A,I$6)/10000</f>
        <v>0.5</v>
      </c>
      <c r="J128" s="121">
        <f>SUMIFS(福利费明细!$F:$F,福利费明细!$B:$B,$E128,福利费明细!$C:$C,$F128,福利费明细!$E:$E,"&gt;="&amp;J$9,福利费明细!$E:$E,"&lt;="&amp;J$10,福利费明细!$A:$A,J$6)/10000</f>
        <v>0.5</v>
      </c>
      <c r="K128" s="121">
        <f>SUMIFS(福利费明细!$F:$F,福利费明细!$B:$B,$E128,福利费明细!$C:$C,$F128,福利费明细!$E:$E,"&gt;="&amp;K$9,福利费明细!$E:$E,"&lt;="&amp;K$10,福利费明细!$A:$A,K$6)/10000</f>
        <v>0.5</v>
      </c>
      <c r="L128" s="121">
        <f>SUMIFS(福利费明细!$F:$F,福利费明细!$B:$B,$E128,福利费明细!$C:$C,$F128,福利费明细!$E:$E,"&gt;="&amp;L$9,福利费明细!$E:$E,"&lt;="&amp;L$10,福利费明细!$A:$A,L$6)/10000</f>
        <v>0.5</v>
      </c>
      <c r="M128" s="121">
        <f>SUMIFS(福利费明细!$F:$F,福利费明细!$B:$B,$E128,福利费明细!$C:$C,$F128,福利费明细!$E:$E,"&gt;="&amp;M$9,福利费明细!$E:$E,"&lt;="&amp;M$10,福利费明细!$A:$A,M$6)/10000</f>
        <v>0.5</v>
      </c>
      <c r="N128" s="121">
        <f>SUMIFS(福利费明细!$F:$F,福利费明细!$B:$B,$E128,福利费明细!$C:$C,$F128,福利费明细!$E:$E,"&gt;="&amp;N$9,福利费明细!$E:$E,"&lt;="&amp;N$10,福利费明细!$A:$A,N$6)/10000</f>
        <v>0.5</v>
      </c>
      <c r="O128" s="121">
        <f>SUMIFS(福利费明细!$F:$F,福利费明细!$B:$B,$E128,福利费明细!$C:$C,$F128,福利费明细!$E:$E,"&gt;="&amp;O$9,福利费明细!$E:$E,"&lt;="&amp;O$10,福利费明细!$A:$A,O$6)/10000</f>
        <v>0.5</v>
      </c>
      <c r="P128" s="121">
        <f>SUMIFS(福利费明细!$F:$F,福利费明细!$B:$B,$E128,福利费明细!$C:$C,$F128,福利费明细!$E:$E,"&gt;="&amp;P$9,福利费明细!$E:$E,"&lt;="&amp;P$10,福利费明细!$A:$A,P$6)/10000</f>
        <v>0.5</v>
      </c>
      <c r="Q128" s="121">
        <f>SUMIFS(福利费明细!$F:$F,福利费明细!$B:$B,$E128,福利费明细!$C:$C,$F128,福利费明细!$E:$E,"&gt;="&amp;Q$9,福利费明细!$E:$E,"&lt;="&amp;Q$10,福利费明细!$A:$A,Q$6)/10000</f>
        <v>0.5</v>
      </c>
      <c r="R128" s="121">
        <f>SUMIFS(福利费明细!$F:$F,福利费明细!$B:$B,$E128,福利费明细!$C:$C,$F128,福利费明细!$E:$E,"&gt;="&amp;R$9,福利费明细!$E:$E,"&lt;="&amp;R$10,福利费明细!$A:$A,R$6)/10000</f>
        <v>0.5</v>
      </c>
      <c r="S128" s="121">
        <f>SUMIFS(福利费明细!$F:$F,福利费明细!$B:$B,$E128,福利费明细!$C:$C,$F128,福利费明细!$E:$E,"&gt;="&amp;S$9,福利费明细!$E:$E,"&lt;="&amp;S$10,福利费明细!$A:$A,S$6)/10000</f>
        <v>0.5</v>
      </c>
      <c r="T128" s="125">
        <f t="shared" si="101"/>
        <v>5.9</v>
      </c>
      <c r="U128" s="121">
        <f>SUMIFS(福利费明细!$F:$F,福利费明细!$B:$B,$E128,福利费明细!$C:$C,$F128,福利费明细!$E:$E,"&gt;="&amp;U$9,福利费明细!$E:$E,"&lt;="&amp;U$10,福利费明细!$A:$A,U$6)/10000</f>
        <v>4.4</v>
      </c>
      <c r="V128" s="121">
        <f>SUMIFS(福利费明细!$F:$F,福利费明细!$B:$B,$E128,福利费明细!$C:$C,$F128,福利费明细!$E:$E,"&gt;="&amp;V$9,福利费明细!$E:$E,"&lt;="&amp;V$10,福利费明细!$A:$A,V$6)/10000</f>
        <v>0.5</v>
      </c>
      <c r="W128" s="121">
        <f>SUMIFS(福利费明细!$F:$F,福利费明细!$B:$B,$E128,福利费明细!$C:$C,$F128,福利费明细!$E:$E,"&gt;="&amp;W$9,福利费明细!$E:$E,"&lt;="&amp;W$10,福利费明细!$A:$A,W$6)/10000</f>
        <v>0.5</v>
      </c>
      <c r="X128" s="121">
        <f>SUMIFS(福利费明细!$F:$F,福利费明细!$B:$B,$E128,福利费明细!$C:$C,$F128,福利费明细!$E:$E,"&gt;="&amp;X$9,福利费明细!$E:$E,"&lt;="&amp;X$10,福利费明细!$A:$A,X$6)/10000</f>
        <v>0.5</v>
      </c>
      <c r="Y128" s="121">
        <f>SUMIFS(福利费明细!$F:$F,福利费明细!$B:$B,$E128,福利费明细!$C:$C,$F128,福利费明细!$E:$E,"&gt;="&amp;Y$9,福利费明细!$E:$E,"&lt;="&amp;Y$10,福利费明细!$A:$A,Y$6)/10000</f>
        <v>0.5</v>
      </c>
      <c r="Z128" s="121">
        <f>SUMIFS(福利费明细!$F:$F,福利费明细!$B:$B,$E128,福利费明细!$C:$C,$F128,福利费明细!$E:$E,"&gt;="&amp;Z$9,福利费明细!$E:$E,"&lt;="&amp;Z$10,福利费明细!$A:$A,Z$6)/10000</f>
        <v>0.5</v>
      </c>
      <c r="AA128" s="121">
        <f>SUMIFS(福利费明细!$F:$F,福利费明细!$B:$B,$E128,福利费明细!$C:$C,$F128,福利费明细!$E:$E,"&gt;="&amp;AA$9,福利费明细!$E:$E,"&lt;="&amp;AA$10,福利费明细!$A:$A,AA$6)/10000</f>
        <v>0.5</v>
      </c>
      <c r="AB128" s="121">
        <f>SUMIFS(福利费明细!$F:$F,福利费明细!$B:$B,$E128,福利费明细!$C:$C,$F128,福利费明细!$E:$E,"&gt;="&amp;AB$9,福利费明细!$E:$E,"&lt;="&amp;AB$10,福利费明细!$A:$A,AB$6)/10000</f>
        <v>0.5</v>
      </c>
      <c r="AC128" s="121">
        <f>SUMIFS(福利费明细!$F:$F,福利费明细!$B:$B,$E128,福利费明细!$C:$C,$F128,福利费明细!$E:$E,"&gt;="&amp;AC$9,福利费明细!$E:$E,"&lt;="&amp;AC$10,福利费明细!$A:$A,AC$6)/10000</f>
        <v>0.5</v>
      </c>
      <c r="AD128" s="121">
        <f>SUMIFS(福利费明细!$F:$F,福利费明细!$B:$B,$E128,福利费明细!$C:$C,$F128,福利费明细!$E:$E,"&gt;="&amp;AD$9,福利费明细!$E:$E,"&lt;="&amp;AD$10,福利费明细!$A:$A,AD$6)/10000</f>
        <v>0.5</v>
      </c>
      <c r="AE128" s="121">
        <f>SUMIFS(福利费明细!$F:$F,福利费明细!$B:$B,$E128,福利费明细!$C:$C,$F128,福利费明细!$E:$E,"&gt;="&amp;AE$9,福利费明细!$E:$E,"&lt;="&amp;AE$10,福利费明细!$A:$A,AE$6)/10000</f>
        <v>0</v>
      </c>
      <c r="AF128" s="121">
        <f>SUMIFS(福利费明细!$F:$F,福利费明细!$B:$B,$E128,福利费明细!$C:$C,$F128,福利费明细!$E:$E,"&gt;="&amp;AF$9,福利费明细!$E:$E,"&lt;="&amp;AF$10,福利费明细!$A:$A,AF$6)/10000</f>
        <v>0</v>
      </c>
      <c r="AG128" s="121">
        <f>SUMIFS(福利费明细!$F:$F,福利费明细!$B:$B,$E128,福利费明细!$C:$C,$F128,福利费明细!$E:$E,"&gt;="&amp;AG$9,福利费明细!$E:$E,"&lt;="&amp;AG$10,福利费明细!$A:$A,AG$6)/10000</f>
        <v>0</v>
      </c>
      <c r="AH128" s="121">
        <f>SUMIFS(福利费明细!$F:$F,福利费明细!$B:$B,$E128,福利费明细!$C:$C,$F128,福利费明细!$E:$E,"&gt;="&amp;AH$9,福利费明细!$E:$E,"&lt;="&amp;AH$10,福利费明细!$A:$A,AH$6)/10000</f>
        <v>1.5</v>
      </c>
      <c r="AI128" s="121">
        <f>SUMIFS(福利费明细!$F:$F,福利费明细!$B:$B,$E128,福利费明细!$C:$C,$F128,福利费明细!$E:$E,"&gt;="&amp;AI$9,福利费明细!$E:$E,"&lt;="&amp;AI$10,福利费明细!$A:$A,AI$6)/10000</f>
        <v>0</v>
      </c>
      <c r="AJ128" s="121">
        <f>SUMIFS(福利费明细!$F:$F,福利费明细!$B:$B,$E128,福利费明细!$C:$C,$F128,福利费明细!$E:$E,"&gt;="&amp;AJ$9,福利费明细!$E:$E,"&lt;="&amp;AJ$10,福利费明细!$A:$A,AJ$6)/10000</f>
        <v>0</v>
      </c>
      <c r="AK128" s="121">
        <f>SUMIFS(福利费明细!$F:$F,福利费明细!$B:$B,$E128,福利费明细!$C:$C,$F128,福利费明细!$E:$E,"&gt;="&amp;AK$9,福利费明细!$E:$E,"&lt;="&amp;AK$10,福利费明细!$A:$A,AK$6)/10000</f>
        <v>0</v>
      </c>
      <c r="AL128" s="121">
        <f>SUMIFS(福利费明细!$F:$F,福利费明细!$B:$B,$E128,福利费明细!$C:$C,$F128,福利费明细!$E:$E,"&gt;="&amp;AL$9,福利费明细!$E:$E,"&lt;="&amp;AL$10,福利费明细!$A:$A,AL$6)/10000</f>
        <v>0</v>
      </c>
      <c r="AM128" s="121">
        <f>SUMIFS(福利费明细!$F:$F,福利费明细!$B:$B,$E128,福利费明细!$C:$C,$F128,福利费明细!$E:$E,"&gt;="&amp;AM$9,福利费明细!$E:$E,"&lt;="&amp;AM$10,福利费明细!$A:$A,AM$6)/10000</f>
        <v>0</v>
      </c>
      <c r="AN128" s="121">
        <f>SUMIFS(福利费明细!$F:$F,福利费明细!$B:$B,$E128,福利费明细!$C:$C,$F128,福利费明细!$E:$E,"&gt;="&amp;AN$9,福利费明细!$E:$E,"&lt;="&amp;AN$10,福利费明细!$A:$A,AN$6)/10000</f>
        <v>0</v>
      </c>
      <c r="AO128" s="121">
        <f>SUMIFS(福利费明细!$F:$F,福利费明细!$B:$B,$E128,福利费明细!$C:$C,$F128,福利费明细!$E:$E,"&gt;="&amp;AO$9,福利费明细!$E:$E,"&lt;="&amp;AO$10,福利费明细!$A:$A,AO$6)/10000</f>
        <v>0</v>
      </c>
      <c r="AP128" s="121">
        <f>SUMIFS(福利费明细!$F:$F,福利费明细!$B:$B,$E128,福利费明细!$C:$C,$F128,福利费明细!$E:$E,"&gt;="&amp;AP$9,福利费明细!$E:$E,"&lt;="&amp;AP$10,福利费明细!$A:$A,AP$6)/10000</f>
        <v>0</v>
      </c>
      <c r="AQ128" s="121">
        <f>SUMIFS(福利费明细!$F:$F,福利费明细!$B:$B,$E128,福利费明细!$C:$C,$F128,福利费明细!$E:$E,"&gt;="&amp;AQ$9,福利费明细!$E:$E,"&lt;="&amp;AQ$10,福利费明细!$A:$A,AQ$6)/10000</f>
        <v>0</v>
      </c>
      <c r="AR128" s="121">
        <f>SUMIFS(福利费明细!$F:$F,福利费明细!$B:$B,$E128,福利费明细!$C:$C,$F128,福利费明细!$E:$E,"&gt;="&amp;AR$9,福利费明细!$E:$E,"&lt;="&amp;AR$10,福利费明细!$A:$A,AR$6)/10000</f>
        <v>0.5</v>
      </c>
      <c r="AS128" s="121">
        <f>SUMIFS(福利费明细!$F:$F,福利费明细!$B:$B,$E128,福利费明细!$C:$C,$F128,福利费明细!$E:$E,"&gt;="&amp;AS$9,福利费明细!$E:$E,"&lt;="&amp;AS$10,福利费明细!$A:$A,AS$6)/10000</f>
        <v>0.5</v>
      </c>
      <c r="AT128" s="121">
        <f>SUMIFS(福利费明细!$F:$F,福利费明细!$B:$B,$E128,福利费明细!$C:$C,$F128,福利费明细!$E:$E,"&gt;="&amp;AT$9,福利费明细!$E:$E,"&lt;="&amp;AT$10,福利费明细!$A:$A,AT$6)/10000</f>
        <v>0.5</v>
      </c>
      <c r="AU128" s="121">
        <f>SUMIFS(福利费明细!$F:$F,福利费明细!$B:$B,$E128,福利费明细!$C:$C,$F128,福利费明细!$E:$E,"&gt;="&amp;AU$9,福利费明细!$E:$E,"&lt;="&amp;AU$10,福利费明细!$A:$A,AU$6)/10000</f>
        <v>5.9</v>
      </c>
      <c r="AV128" s="121">
        <f>SUMIFS(福利费明细!$F:$F,福利费明细!$B:$B,$E128,福利费明细!$C:$C,$F128,福利费明细!$E:$E,"&gt;="&amp;AV$9,福利费明细!$E:$E,"&lt;="&amp;AV$10,福利费明细!$A:$A,AV$6)/10000</f>
        <v>0.5</v>
      </c>
      <c r="AW128" s="121">
        <f>SUMIFS(福利费明细!$F:$F,福利费明细!$B:$B,$E128,福利费明细!$C:$C,$F128,福利费明细!$E:$E,"&gt;="&amp;AW$9,福利费明细!$E:$E,"&lt;="&amp;AW$10,福利费明细!$A:$A,AW$6)/10000</f>
        <v>0.5</v>
      </c>
      <c r="AX128" s="121">
        <f>SUMIFS(福利费明细!$F:$F,福利费明细!$B:$B,$E128,福利费明细!$C:$C,$F128,福利费明细!$E:$E,"&gt;="&amp;AX$9,福利费明细!$E:$E,"&lt;="&amp;AX$10,福利费明细!$A:$A,AX$6)/10000</f>
        <v>0.5</v>
      </c>
      <c r="AY128" s="121">
        <f>SUMIFS(福利费明细!$F:$F,福利费明细!$B:$B,$E128,福利费明细!$C:$C,$F128,福利费明细!$E:$E,"&gt;="&amp;AY$9,福利费明细!$E:$E,"&lt;="&amp;AY$10,福利费明细!$A:$A,AY$6)/10000</f>
        <v>0.5</v>
      </c>
      <c r="AZ128" s="121">
        <f>SUMIFS(福利费明细!$F:$F,福利费明细!$B:$B,$E128,福利费明细!$C:$C,$F128,福利费明细!$E:$E,"&gt;="&amp;AZ$9,福利费明细!$E:$E,"&lt;="&amp;AZ$10,福利费明细!$A:$A,AZ$6)/10000</f>
        <v>0.5</v>
      </c>
      <c r="BA128" s="121">
        <f>SUMIFS(福利费明细!$F:$F,福利费明细!$B:$B,$E128,福利费明细!$C:$C,$F128,福利费明细!$E:$E,"&gt;="&amp;BA$9,福利费明细!$E:$E,"&lt;="&amp;BA$10,福利费明细!$A:$A,BA$6)/10000</f>
        <v>0.5</v>
      </c>
      <c r="BB128" s="121">
        <f>SUMIFS(福利费明细!$F:$F,福利费明细!$B:$B,$E128,福利费明细!$C:$C,$F128,福利费明细!$E:$E,"&gt;="&amp;BB$9,福利费明细!$E:$E,"&lt;="&amp;BB$10,福利费明细!$A:$A,BB$6)/10000</f>
        <v>0.5</v>
      </c>
      <c r="BC128" s="121">
        <f>SUMIFS(福利费明细!$F:$F,福利费明细!$B:$B,$E128,福利费明细!$C:$C,$F128,福利费明细!$E:$E,"&gt;="&amp;BC$9,福利费明细!$E:$E,"&lt;="&amp;BC$10,福利费明细!$A:$A,BC$6)/10000</f>
        <v>0.5</v>
      </c>
      <c r="BD128" s="121">
        <f>SUMIFS(福利费明细!$F:$F,福利费明细!$B:$B,$E128,福利费明细!$C:$C,$F128,福利费明细!$E:$E,"&gt;="&amp;BD$9,福利费明细!$E:$E,"&lt;="&amp;BD$10,福利费明细!$A:$A,BD$6)/10000</f>
        <v>0.5</v>
      </c>
      <c r="BE128" s="121">
        <f>SUMIFS(福利费明细!$F:$F,福利费明细!$B:$B,$E128,福利费明细!$C:$C,$F128,福利费明细!$E:$E,"&gt;="&amp;BE$9,福利费明细!$E:$E,"&lt;="&amp;BE$10,福利费明细!$A:$A,BE$6)/10000</f>
        <v>0.5</v>
      </c>
      <c r="BF128" s="121">
        <f>SUMIFS(福利费明细!$F:$F,福利费明细!$B:$B,$E128,福利费明细!$C:$C,$F128,福利费明细!$E:$E,"&gt;="&amp;BF$9,福利费明细!$E:$E,"&lt;="&amp;BF$10,福利费明细!$A:$A,BF$6)/10000</f>
        <v>0.5</v>
      </c>
      <c r="BG128" s="121">
        <f>SUMIFS(福利费明细!$F:$F,福利费明细!$B:$B,$E128,福利费明细!$C:$C,$F128,福利费明细!$E:$E,"&gt;="&amp;BG$9,福利费明细!$E:$E,"&lt;="&amp;BG$10,福利费明细!$A:$A,BG$6)/10000</f>
        <v>0.5</v>
      </c>
    </row>
    <row r="129" ht="16.2" spans="3:59">
      <c r="C129" s="42"/>
      <c r="D129" s="42" t="s">
        <v>90</v>
      </c>
      <c r="E129" s="116" t="str">
        <f t="shared" si="99"/>
        <v>支持中心</v>
      </c>
      <c r="F129" s="116" t="str">
        <f t="shared" si="100"/>
        <v>总经办</v>
      </c>
      <c r="G129" s="121">
        <f>SUMIFS(福利费明细!$F:$F,福利费明细!$B:$B,$E129,福利费明细!$C:$C,$F129,福利费明细!$E:$E,"&gt;="&amp;G$9,福利费明细!$E:$E,"&lt;="&amp;G$10,福利费明细!$A:$A,G$6)/10000</f>
        <v>8</v>
      </c>
      <c r="H129" s="121">
        <f>SUMIFS(福利费明细!$F:$F,福利费明细!$B:$B,$E129,福利费明细!$C:$C,$F129,福利费明细!$E:$E,"&gt;="&amp;H$9,福利费明细!$E:$E,"&lt;="&amp;H$10,福利费明细!$A:$A,H$6)/10000</f>
        <v>0.7</v>
      </c>
      <c r="I129" s="121">
        <f>SUMIFS(福利费明细!$F:$F,福利费明细!$B:$B,$E129,福利费明细!$C:$C,$F129,福利费明细!$E:$E,"&gt;="&amp;I$9,福利费明细!$E:$E,"&lt;="&amp;I$10,福利费明细!$A:$A,I$6)/10000</f>
        <v>0.6</v>
      </c>
      <c r="J129" s="121">
        <f>SUMIFS(福利费明细!$F:$F,福利费明细!$B:$B,$E129,福利费明细!$C:$C,$F129,福利费明细!$E:$E,"&gt;="&amp;J$9,福利费明细!$E:$E,"&lt;="&amp;J$10,福利费明细!$A:$A,J$6)/10000</f>
        <v>0.7</v>
      </c>
      <c r="K129" s="121">
        <f>SUMIFS(福利费明细!$F:$F,福利费明细!$B:$B,$E129,福利费明细!$C:$C,$F129,福利费明细!$E:$E,"&gt;="&amp;K$9,福利费明细!$E:$E,"&lt;="&amp;K$10,福利费明细!$A:$A,K$6)/10000</f>
        <v>0.7</v>
      </c>
      <c r="L129" s="121">
        <f>SUMIFS(福利费明细!$F:$F,福利费明细!$B:$B,$E129,福利费明细!$C:$C,$F129,福利费明细!$E:$E,"&gt;="&amp;L$9,福利费明细!$E:$E,"&lt;="&amp;L$10,福利费明细!$A:$A,L$6)/10000</f>
        <v>0.7</v>
      </c>
      <c r="M129" s="121">
        <f>SUMIFS(福利费明细!$F:$F,福利费明细!$B:$B,$E129,福利费明细!$C:$C,$F129,福利费明细!$E:$E,"&gt;="&amp;M$9,福利费明细!$E:$E,"&lt;="&amp;M$10,福利费明细!$A:$A,M$6)/10000</f>
        <v>0.7</v>
      </c>
      <c r="N129" s="121">
        <f>SUMIFS(福利费明细!$F:$F,福利费明细!$B:$B,$E129,福利费明细!$C:$C,$F129,福利费明细!$E:$E,"&gt;="&amp;N$9,福利费明细!$E:$E,"&lt;="&amp;N$10,福利费明细!$A:$A,N$6)/10000</f>
        <v>0.7</v>
      </c>
      <c r="O129" s="121">
        <f>SUMIFS(福利费明细!$F:$F,福利费明细!$B:$B,$E129,福利费明细!$C:$C,$F129,福利费明细!$E:$E,"&gt;="&amp;O$9,福利费明细!$E:$E,"&lt;="&amp;O$10,福利费明细!$A:$A,O$6)/10000</f>
        <v>0.7</v>
      </c>
      <c r="P129" s="121">
        <f>SUMIFS(福利费明细!$F:$F,福利费明细!$B:$B,$E129,福利费明细!$C:$C,$F129,福利费明细!$E:$E,"&gt;="&amp;P$9,福利费明细!$E:$E,"&lt;="&amp;P$10,福利费明细!$A:$A,P$6)/10000</f>
        <v>0.6</v>
      </c>
      <c r="Q129" s="121">
        <f>SUMIFS(福利费明细!$F:$F,福利费明细!$B:$B,$E129,福利费明细!$C:$C,$F129,福利费明细!$E:$E,"&gt;="&amp;Q$9,福利费明细!$E:$E,"&lt;="&amp;Q$10,福利费明细!$A:$A,Q$6)/10000</f>
        <v>0.6</v>
      </c>
      <c r="R129" s="121">
        <f>SUMIFS(福利费明细!$F:$F,福利费明细!$B:$B,$E129,福利费明细!$C:$C,$F129,福利费明细!$E:$E,"&gt;="&amp;R$9,福利费明细!$E:$E,"&lt;="&amp;R$10,福利费明细!$A:$A,R$6)/10000</f>
        <v>0.7</v>
      </c>
      <c r="S129" s="121">
        <f>SUMIFS(福利费明细!$F:$F,福利费明细!$B:$B,$E129,福利费明细!$C:$C,$F129,福利费明细!$E:$E,"&gt;="&amp;S$9,福利费明细!$E:$E,"&lt;="&amp;S$10,福利费明细!$A:$A,S$6)/10000</f>
        <v>0.7</v>
      </c>
      <c r="T129" s="125">
        <f t="shared" si="101"/>
        <v>8</v>
      </c>
      <c r="U129" s="121">
        <f>SUMIFS(福利费明细!$F:$F,福利费明细!$B:$B,$E129,福利费明细!$C:$C,$F129,福利费明细!$E:$E,"&gt;="&amp;U$9,福利费明细!$E:$E,"&lt;="&amp;U$10,福利费明细!$A:$A,U$6)/10000</f>
        <v>6</v>
      </c>
      <c r="V129" s="121">
        <f>SUMIFS(福利费明细!$F:$F,福利费明细!$B:$B,$E129,福利费明细!$C:$C,$F129,福利费明细!$E:$E,"&gt;="&amp;V$9,福利费明细!$E:$E,"&lt;="&amp;V$10,福利费明细!$A:$A,V$6)/10000</f>
        <v>0.7</v>
      </c>
      <c r="W129" s="121">
        <f>SUMIFS(福利费明细!$F:$F,福利费明细!$B:$B,$E129,福利费明细!$C:$C,$F129,福利费明细!$E:$E,"&gt;="&amp;W$9,福利费明细!$E:$E,"&lt;="&amp;W$10,福利费明细!$A:$A,W$6)/10000</f>
        <v>0.7</v>
      </c>
      <c r="X129" s="121">
        <f>SUMIFS(福利费明细!$F:$F,福利费明细!$B:$B,$E129,福利费明细!$C:$C,$F129,福利费明细!$E:$E,"&gt;="&amp;X$9,福利费明细!$E:$E,"&lt;="&amp;X$10,福利费明细!$A:$A,X$6)/10000</f>
        <v>0.6</v>
      </c>
      <c r="Y129" s="121">
        <f>SUMIFS(福利费明细!$F:$F,福利费明细!$B:$B,$E129,福利费明细!$C:$C,$F129,福利费明细!$E:$E,"&gt;="&amp;Y$9,福利费明细!$E:$E,"&lt;="&amp;Y$10,福利费明细!$A:$A,Y$6)/10000</f>
        <v>0.7</v>
      </c>
      <c r="Z129" s="121">
        <f>SUMIFS(福利费明细!$F:$F,福利费明细!$B:$B,$E129,福利费明细!$C:$C,$F129,福利费明细!$E:$E,"&gt;="&amp;Z$9,福利费明细!$E:$E,"&lt;="&amp;Z$10,福利费明细!$A:$A,Z$6)/10000</f>
        <v>0.7</v>
      </c>
      <c r="AA129" s="121">
        <f>SUMIFS(福利费明细!$F:$F,福利费明细!$B:$B,$E129,福利费明细!$C:$C,$F129,福利费明细!$E:$E,"&gt;="&amp;AA$9,福利费明细!$E:$E,"&lt;="&amp;AA$10,福利费明细!$A:$A,AA$6)/10000</f>
        <v>0.6</v>
      </c>
      <c r="AB129" s="121">
        <f>SUMIFS(福利费明细!$F:$F,福利费明细!$B:$B,$E129,福利费明细!$C:$C,$F129,福利费明细!$E:$E,"&gt;="&amp;AB$9,福利费明细!$E:$E,"&lt;="&amp;AB$10,福利费明细!$A:$A,AB$6)/10000</f>
        <v>0.7</v>
      </c>
      <c r="AC129" s="121">
        <f>SUMIFS(福利费明细!$F:$F,福利费明细!$B:$B,$E129,福利费明细!$C:$C,$F129,福利费明细!$E:$E,"&gt;="&amp;AC$9,福利费明细!$E:$E,"&lt;="&amp;AC$10,福利费明细!$A:$A,AC$6)/10000</f>
        <v>0.7</v>
      </c>
      <c r="AD129" s="121">
        <f>SUMIFS(福利费明细!$F:$F,福利费明细!$B:$B,$E129,福利费明细!$C:$C,$F129,福利费明细!$E:$E,"&gt;="&amp;AD$9,福利费明细!$E:$E,"&lt;="&amp;AD$10,福利费明细!$A:$A,AD$6)/10000</f>
        <v>0.6</v>
      </c>
      <c r="AE129" s="121">
        <f>SUMIFS(福利费明细!$F:$F,福利费明细!$B:$B,$E129,福利费明细!$C:$C,$F129,福利费明细!$E:$E,"&gt;="&amp;AE$9,福利费明细!$E:$E,"&lt;="&amp;AE$10,福利费明细!$A:$A,AE$6)/10000</f>
        <v>0</v>
      </c>
      <c r="AF129" s="121">
        <f>SUMIFS(福利费明细!$F:$F,福利费明细!$B:$B,$E129,福利费明细!$C:$C,$F129,福利费明细!$E:$E,"&gt;="&amp;AF$9,福利费明细!$E:$E,"&lt;="&amp;AF$10,福利费明细!$A:$A,AF$6)/10000</f>
        <v>0</v>
      </c>
      <c r="AG129" s="121">
        <f>SUMIFS(福利费明细!$F:$F,福利费明细!$B:$B,$E129,福利费明细!$C:$C,$F129,福利费明细!$E:$E,"&gt;="&amp;AG$9,福利费明细!$E:$E,"&lt;="&amp;AG$10,福利费明细!$A:$A,AG$6)/10000</f>
        <v>0</v>
      </c>
      <c r="AH129" s="121">
        <f>SUMIFS(福利费明细!$F:$F,福利费明细!$B:$B,$E129,福利费明细!$C:$C,$F129,福利费明细!$E:$E,"&gt;="&amp;AH$9,福利费明细!$E:$E,"&lt;="&amp;AH$10,福利费明细!$A:$A,AH$6)/10000</f>
        <v>2</v>
      </c>
      <c r="AI129" s="121">
        <f>SUMIFS(福利费明细!$F:$F,福利费明细!$B:$B,$E129,福利费明细!$C:$C,$F129,福利费明细!$E:$E,"&gt;="&amp;AI$9,福利费明细!$E:$E,"&lt;="&amp;AI$10,福利费明细!$A:$A,AI$6)/10000</f>
        <v>0</v>
      </c>
      <c r="AJ129" s="121">
        <f>SUMIFS(福利费明细!$F:$F,福利费明细!$B:$B,$E129,福利费明细!$C:$C,$F129,福利费明细!$E:$E,"&gt;="&amp;AJ$9,福利费明细!$E:$E,"&lt;="&amp;AJ$10,福利费明细!$A:$A,AJ$6)/10000</f>
        <v>0</v>
      </c>
      <c r="AK129" s="121">
        <f>SUMIFS(福利费明细!$F:$F,福利费明细!$B:$B,$E129,福利费明细!$C:$C,$F129,福利费明细!$E:$E,"&gt;="&amp;AK$9,福利费明细!$E:$E,"&lt;="&amp;AK$10,福利费明细!$A:$A,AK$6)/10000</f>
        <v>0</v>
      </c>
      <c r="AL129" s="121">
        <f>SUMIFS(福利费明细!$F:$F,福利费明细!$B:$B,$E129,福利费明细!$C:$C,$F129,福利费明细!$E:$E,"&gt;="&amp;AL$9,福利费明细!$E:$E,"&lt;="&amp;AL$10,福利费明细!$A:$A,AL$6)/10000</f>
        <v>0</v>
      </c>
      <c r="AM129" s="121">
        <f>SUMIFS(福利费明细!$F:$F,福利费明细!$B:$B,$E129,福利费明细!$C:$C,$F129,福利费明细!$E:$E,"&gt;="&amp;AM$9,福利费明细!$E:$E,"&lt;="&amp;AM$10,福利费明细!$A:$A,AM$6)/10000</f>
        <v>0</v>
      </c>
      <c r="AN129" s="121">
        <f>SUMIFS(福利费明细!$F:$F,福利费明细!$B:$B,$E129,福利费明细!$C:$C,$F129,福利费明细!$E:$E,"&gt;="&amp;AN$9,福利费明细!$E:$E,"&lt;="&amp;AN$10,福利费明细!$A:$A,AN$6)/10000</f>
        <v>0</v>
      </c>
      <c r="AO129" s="121">
        <f>SUMIFS(福利费明细!$F:$F,福利费明细!$B:$B,$E129,福利费明细!$C:$C,$F129,福利费明细!$E:$E,"&gt;="&amp;AO$9,福利费明细!$E:$E,"&lt;="&amp;AO$10,福利费明细!$A:$A,AO$6)/10000</f>
        <v>0</v>
      </c>
      <c r="AP129" s="121">
        <f>SUMIFS(福利费明细!$F:$F,福利费明细!$B:$B,$E129,福利费明细!$C:$C,$F129,福利费明细!$E:$E,"&gt;="&amp;AP$9,福利费明细!$E:$E,"&lt;="&amp;AP$10,福利费明细!$A:$A,AP$6)/10000</f>
        <v>0</v>
      </c>
      <c r="AQ129" s="121">
        <f>SUMIFS(福利费明细!$F:$F,福利费明细!$B:$B,$E129,福利费明细!$C:$C,$F129,福利费明细!$E:$E,"&gt;="&amp;AQ$9,福利费明细!$E:$E,"&lt;="&amp;AQ$10,福利费明细!$A:$A,AQ$6)/10000</f>
        <v>0</v>
      </c>
      <c r="AR129" s="121">
        <f>SUMIFS(福利费明细!$F:$F,福利费明细!$B:$B,$E129,福利费明细!$C:$C,$F129,福利费明细!$E:$E,"&gt;="&amp;AR$9,福利费明细!$E:$E,"&lt;="&amp;AR$10,福利费明细!$A:$A,AR$6)/10000</f>
        <v>0.6</v>
      </c>
      <c r="AS129" s="121">
        <f>SUMIFS(福利费明细!$F:$F,福利费明细!$B:$B,$E129,福利费明细!$C:$C,$F129,福利费明细!$E:$E,"&gt;="&amp;AS$9,福利费明细!$E:$E,"&lt;="&amp;AS$10,福利费明细!$A:$A,AS$6)/10000</f>
        <v>0.7</v>
      </c>
      <c r="AT129" s="121">
        <f>SUMIFS(福利费明细!$F:$F,福利费明细!$B:$B,$E129,福利费明细!$C:$C,$F129,福利费明细!$E:$E,"&gt;="&amp;AT$9,福利费明细!$E:$E,"&lt;="&amp;AT$10,福利费明细!$A:$A,AT$6)/10000</f>
        <v>0.7</v>
      </c>
      <c r="AU129" s="121">
        <f>SUMIFS(福利费明细!$F:$F,福利费明细!$B:$B,$E129,福利费明细!$C:$C,$F129,福利费明细!$E:$E,"&gt;="&amp;AU$9,福利费明细!$E:$E,"&lt;="&amp;AU$10,福利费明细!$A:$A,AU$6)/10000</f>
        <v>7.9</v>
      </c>
      <c r="AV129" s="121">
        <f>SUMIFS(福利费明细!$F:$F,福利费明细!$B:$B,$E129,福利费明细!$C:$C,$F129,福利费明细!$E:$E,"&gt;="&amp;AV$9,福利费明细!$E:$E,"&lt;="&amp;AV$10,福利费明细!$A:$A,AV$6)/10000</f>
        <v>0.7</v>
      </c>
      <c r="AW129" s="121">
        <f>SUMIFS(福利费明细!$F:$F,福利费明细!$B:$B,$E129,福利费明细!$C:$C,$F129,福利费明细!$E:$E,"&gt;="&amp;AW$9,福利费明细!$E:$E,"&lt;="&amp;AW$10,福利费明细!$A:$A,AW$6)/10000</f>
        <v>0.7</v>
      </c>
      <c r="AX129" s="121">
        <f>SUMIFS(福利费明细!$F:$F,福利费明细!$B:$B,$E129,福利费明细!$C:$C,$F129,福利费明细!$E:$E,"&gt;="&amp;AX$9,福利费明细!$E:$E,"&lt;="&amp;AX$10,福利费明细!$A:$A,AX$6)/10000</f>
        <v>0.7</v>
      </c>
      <c r="AY129" s="121">
        <f>SUMIFS(福利费明细!$F:$F,福利费明细!$B:$B,$E129,福利费明细!$C:$C,$F129,福利费明细!$E:$E,"&gt;="&amp;AY$9,福利费明细!$E:$E,"&lt;="&amp;AY$10,福利费明细!$A:$A,AY$6)/10000</f>
        <v>0.6</v>
      </c>
      <c r="AZ129" s="121">
        <f>SUMIFS(福利费明细!$F:$F,福利费明细!$B:$B,$E129,福利费明细!$C:$C,$F129,福利费明细!$E:$E,"&gt;="&amp;AZ$9,福利费明细!$E:$E,"&lt;="&amp;AZ$10,福利费明细!$A:$A,AZ$6)/10000</f>
        <v>0.7</v>
      </c>
      <c r="BA129" s="121">
        <f>SUMIFS(福利费明细!$F:$F,福利费明细!$B:$B,$E129,福利费明细!$C:$C,$F129,福利费明细!$E:$E,"&gt;="&amp;BA$9,福利费明细!$E:$E,"&lt;="&amp;BA$10,福利费明细!$A:$A,BA$6)/10000</f>
        <v>0.6</v>
      </c>
      <c r="BB129" s="121">
        <f>SUMIFS(福利费明细!$F:$F,福利费明细!$B:$B,$E129,福利费明细!$C:$C,$F129,福利费明细!$E:$E,"&gt;="&amp;BB$9,福利费明细!$E:$E,"&lt;="&amp;BB$10,福利费明细!$A:$A,BB$6)/10000</f>
        <v>0.7</v>
      </c>
      <c r="BC129" s="121">
        <f>SUMIFS(福利费明细!$F:$F,福利费明细!$B:$B,$E129,福利费明细!$C:$C,$F129,福利费明细!$E:$E,"&gt;="&amp;BC$9,福利费明细!$E:$E,"&lt;="&amp;BC$10,福利费明细!$A:$A,BC$6)/10000</f>
        <v>0.7</v>
      </c>
      <c r="BD129" s="121">
        <f>SUMIFS(福利费明细!$F:$F,福利费明细!$B:$B,$E129,福利费明细!$C:$C,$F129,福利费明细!$E:$E,"&gt;="&amp;BD$9,福利费明细!$E:$E,"&lt;="&amp;BD$10,福利费明细!$A:$A,BD$6)/10000</f>
        <v>0.7</v>
      </c>
      <c r="BE129" s="121">
        <f>SUMIFS(福利费明细!$F:$F,福利费明细!$B:$B,$E129,福利费明细!$C:$C,$F129,福利费明细!$E:$E,"&gt;="&amp;BE$9,福利费明细!$E:$E,"&lt;="&amp;BE$10,福利费明细!$A:$A,BE$6)/10000</f>
        <v>0.7</v>
      </c>
      <c r="BF129" s="121">
        <f>SUMIFS(福利费明细!$F:$F,福利费明细!$B:$B,$E129,福利费明细!$C:$C,$F129,福利费明细!$E:$E,"&gt;="&amp;BF$9,福利费明细!$E:$E,"&lt;="&amp;BF$10,福利费明细!$A:$A,BF$6)/10000</f>
        <v>0.6</v>
      </c>
      <c r="BG129" s="121">
        <f>SUMIFS(福利费明细!$F:$F,福利费明细!$B:$B,$E129,福利费明细!$C:$C,$F129,福利费明细!$E:$E,"&gt;="&amp;BG$9,福利费明细!$E:$E,"&lt;="&amp;BG$10,福利费明细!$A:$A,BG$6)/10000</f>
        <v>0.7</v>
      </c>
    </row>
    <row r="131" ht="20.4" spans="2:2">
      <c r="B131" s="118" t="s">
        <v>98</v>
      </c>
    </row>
    <row r="132" s="101" customFormat="1" ht="19.2" customHeight="1" spans="2:59">
      <c r="B132" s="42" t="s">
        <v>76</v>
      </c>
      <c r="C132" s="119"/>
      <c r="D132" s="119"/>
      <c r="E132" s="119" t="s">
        <v>78</v>
      </c>
      <c r="F132" s="119" t="s">
        <v>78</v>
      </c>
      <c r="G132" s="120">
        <f>SUMIFS(培训费明细!$G:$G,培训费明细!$B:$B,$E132,培训费明细!$C:$C,$F132,培训费明细!$F:$F,"&gt;="&amp;G$9,培训费明细!$F:$F,"&lt;="&amp;G$10,培训费明细!$A:$A,G$6)/10000</f>
        <v>3</v>
      </c>
      <c r="H132" s="120">
        <f>SUMIFS(培训费明细!$G:$G,培训费明细!$B:$B,$E132,培训费明细!$C:$C,$F132,培训费明细!$F:$F,"&gt;="&amp;H$9,培训费明细!$F:$F,"&lt;="&amp;H$10,培训费明细!$A:$A,H$6)/10000</f>
        <v>3</v>
      </c>
      <c r="I132" s="120">
        <f>SUMIFS(培训费明细!$G:$G,培训费明细!$B:$B,$E132,培训费明细!$C:$C,$F132,培训费明细!$F:$F,"&gt;="&amp;I$9,培训费明细!$F:$F,"&lt;="&amp;I$10,培训费明细!$A:$A,I$6)/10000</f>
        <v>0</v>
      </c>
      <c r="J132" s="120">
        <f>SUMIFS(培训费明细!$G:$G,培训费明细!$B:$B,$E132,培训费明细!$C:$C,$F132,培训费明细!$F:$F,"&gt;="&amp;J$9,培训费明细!$F:$F,"&lt;="&amp;J$10,培训费明细!$A:$A,J$6)/10000</f>
        <v>0</v>
      </c>
      <c r="K132" s="120">
        <f>SUMIFS(培训费明细!$G:$G,培训费明细!$B:$B,$E132,培训费明细!$C:$C,$F132,培训费明细!$F:$F,"&gt;="&amp;K$9,培训费明细!$F:$F,"&lt;="&amp;K$10,培训费明细!$A:$A,K$6)/10000</f>
        <v>0</v>
      </c>
      <c r="L132" s="120">
        <f>SUMIFS(培训费明细!$G:$G,培训费明细!$B:$B,$E132,培训费明细!$C:$C,$F132,培训费明细!$F:$F,"&gt;="&amp;L$9,培训费明细!$F:$F,"&lt;="&amp;L$10,培训费明细!$A:$A,L$6)/10000</f>
        <v>0</v>
      </c>
      <c r="M132" s="120">
        <f>SUMIFS(培训费明细!$G:$G,培训费明细!$B:$B,$E132,培训费明细!$C:$C,$F132,培训费明细!$F:$F,"&gt;="&amp;M$9,培训费明细!$F:$F,"&lt;="&amp;M$10,培训费明细!$A:$A,M$6)/10000</f>
        <v>0</v>
      </c>
      <c r="N132" s="120">
        <f>SUMIFS(培训费明细!$G:$G,培训费明细!$B:$B,$E132,培训费明细!$C:$C,$F132,培训费明细!$F:$F,"&gt;="&amp;N$9,培训费明细!$F:$F,"&lt;="&amp;N$10,培训费明细!$A:$A,N$6)/10000</f>
        <v>0</v>
      </c>
      <c r="O132" s="120">
        <f>SUMIFS(培训费明细!$G:$G,培训费明细!$B:$B,$E132,培训费明细!$C:$C,$F132,培训费明细!$F:$F,"&gt;="&amp;O$9,培训费明细!$F:$F,"&lt;="&amp;O$10,培训费明细!$A:$A,O$6)/10000</f>
        <v>0</v>
      </c>
      <c r="P132" s="120">
        <f>SUMIFS(培训费明细!$G:$G,培训费明细!$B:$B,$E132,培训费明细!$C:$C,$F132,培训费明细!$F:$F,"&gt;="&amp;P$9,培训费明细!$F:$F,"&lt;="&amp;P$10,培训费明细!$A:$A,P$6)/10000</f>
        <v>0</v>
      </c>
      <c r="Q132" s="120">
        <f>SUMIFS(培训费明细!$G:$G,培训费明细!$B:$B,$E132,培训费明细!$C:$C,$F132,培训费明细!$F:$F,"&gt;="&amp;Q$9,培训费明细!$F:$F,"&lt;="&amp;Q$10,培训费明细!$A:$A,Q$6)/10000</f>
        <v>0</v>
      </c>
      <c r="R132" s="120">
        <f>SUMIFS(培训费明细!$G:$G,培训费明细!$B:$B,$E132,培训费明细!$C:$C,$F132,培训费明细!$F:$F,"&gt;="&amp;R$9,培训费明细!$F:$F,"&lt;="&amp;R$10,培训费明细!$A:$A,R$6)/10000</f>
        <v>0</v>
      </c>
      <c r="S132" s="120">
        <f>SUMIFS(培训费明细!$G:$G,培训费明细!$B:$B,$E132,培训费明细!$C:$C,$F132,培训费明细!$F:$F,"&gt;="&amp;S$9,培训费明细!$F:$F,"&lt;="&amp;S$10,培训费明细!$A:$A,S$6)/10000</f>
        <v>0</v>
      </c>
      <c r="T132" s="124">
        <f>U132+AH132</f>
        <v>22</v>
      </c>
      <c r="U132" s="120">
        <f>SUMIFS(培训费明细!$G:$G,培训费明细!$B:$B,$E132,培训费明细!$C:$C,$F132,培训费明细!$F:$F,"&gt;="&amp;U$9,培训费明细!$F:$F,"&lt;="&amp;U$10,培训费明细!$A:$A,U$6)/10000</f>
        <v>15</v>
      </c>
      <c r="V132" s="120">
        <f>SUMIFS(培训费明细!$G:$G,培训费明细!$B:$B,$E132,培训费明细!$C:$C,$F132,培训费明细!$F:$F,"&gt;="&amp;V$9,培训费明细!$F:$F,"&lt;="&amp;V$10,培训费明细!$A:$A,V$6)/10000</f>
        <v>15</v>
      </c>
      <c r="W132" s="120">
        <f>SUMIFS(培训费明细!$G:$G,培训费明细!$B:$B,$E132,培训费明细!$C:$C,$F132,培训费明细!$F:$F,"&gt;="&amp;W$9,培训费明细!$F:$F,"&lt;="&amp;W$10,培训费明细!$A:$A,W$6)/10000</f>
        <v>0</v>
      </c>
      <c r="X132" s="120">
        <f>SUMIFS(培训费明细!$G:$G,培训费明细!$B:$B,$E132,培训费明细!$C:$C,$F132,培训费明细!$F:$F,"&gt;="&amp;X$9,培训费明细!$F:$F,"&lt;="&amp;X$10,培训费明细!$A:$A,X$6)/10000</f>
        <v>0</v>
      </c>
      <c r="Y132" s="120">
        <f>SUMIFS(培训费明细!$G:$G,培训费明细!$B:$B,$E132,培训费明细!$C:$C,$F132,培训费明细!$F:$F,"&gt;="&amp;Y$9,培训费明细!$F:$F,"&lt;="&amp;Y$10,培训费明细!$A:$A,Y$6)/10000</f>
        <v>0</v>
      </c>
      <c r="Z132" s="120">
        <f>SUMIFS(培训费明细!$G:$G,培训费明细!$B:$B,$E132,培训费明细!$C:$C,$F132,培训费明细!$F:$F,"&gt;="&amp;Z$9,培训费明细!$F:$F,"&lt;="&amp;Z$10,培训费明细!$A:$A,Z$6)/10000</f>
        <v>0</v>
      </c>
      <c r="AA132" s="120">
        <f>SUMIFS(培训费明细!$G:$G,培训费明细!$B:$B,$E132,培训费明细!$C:$C,$F132,培训费明细!$F:$F,"&gt;="&amp;AA$9,培训费明细!$F:$F,"&lt;="&amp;AA$10,培训费明细!$A:$A,AA$6)/10000</f>
        <v>0</v>
      </c>
      <c r="AB132" s="120">
        <f>SUMIFS(培训费明细!$G:$G,培训费明细!$B:$B,$E132,培训费明细!$C:$C,$F132,培训费明细!$F:$F,"&gt;="&amp;AB$9,培训费明细!$F:$F,"&lt;="&amp;AB$10,培训费明细!$A:$A,AB$6)/10000</f>
        <v>0</v>
      </c>
      <c r="AC132" s="120">
        <f>SUMIFS(培训费明细!$G:$G,培训费明细!$B:$B,$E132,培训费明细!$C:$C,$F132,培训费明细!$F:$F,"&gt;="&amp;AC$9,培训费明细!$F:$F,"&lt;="&amp;AC$10,培训费明细!$A:$A,AC$6)/10000</f>
        <v>0</v>
      </c>
      <c r="AD132" s="120">
        <f>SUMIFS(培训费明细!$G:$G,培训费明细!$B:$B,$E132,培训费明细!$C:$C,$F132,培训费明细!$F:$F,"&gt;="&amp;AD$9,培训费明细!$F:$F,"&lt;="&amp;AD$10,培训费明细!$A:$A,AD$6)/10000</f>
        <v>0</v>
      </c>
      <c r="AE132" s="120">
        <f>SUMIFS(培训费明细!$G:$G,培训费明细!$B:$B,$E132,培训费明细!$C:$C,$F132,培训费明细!$F:$F,"&gt;="&amp;AE$9,培训费明细!$F:$F,"&lt;="&amp;AE$10,培训费明细!$A:$A,AE$6)/10000</f>
        <v>0</v>
      </c>
      <c r="AF132" s="120">
        <f>SUMIFS(培训费明细!$G:$G,培训费明细!$B:$B,$E132,培训费明细!$C:$C,$F132,培训费明细!$F:$F,"&gt;="&amp;AF$9,培训费明细!$F:$F,"&lt;="&amp;AF$10,培训费明细!$A:$A,AF$6)/10000</f>
        <v>0</v>
      </c>
      <c r="AG132" s="120">
        <f>SUMIFS(培训费明细!$G:$G,培训费明细!$B:$B,$E132,培训费明细!$C:$C,$F132,培训费明细!$F:$F,"&gt;="&amp;AG$9,培训费明细!$F:$F,"&lt;="&amp;AG$10,培训费明细!$A:$A,AG$6)/10000</f>
        <v>0</v>
      </c>
      <c r="AH132" s="120">
        <f>SUMIFS(培训费明细!$G:$G,培训费明细!$B:$B,$E132,培训费明细!$C:$C,$F132,培训费明细!$F:$F,"&gt;="&amp;AH$9,培训费明细!$F:$F,"&lt;="&amp;AH$10,培训费明细!$A:$A,AH$6)/10000</f>
        <v>7</v>
      </c>
      <c r="AI132" s="120">
        <f>SUMIFS(培训费明细!$G:$G,培训费明细!$B:$B,$E132,培训费明细!$C:$C,$F132,培训费明细!$F:$F,"&gt;="&amp;AI$9,培训费明细!$F:$F,"&lt;="&amp;AI$10,培训费明细!$A:$A,AI$6)/10000</f>
        <v>0</v>
      </c>
      <c r="AJ132" s="120">
        <f>SUMIFS(培训费明细!$G:$G,培训费明细!$B:$B,$E132,培训费明细!$C:$C,$F132,培训费明细!$F:$F,"&gt;="&amp;AJ$9,培训费明细!$F:$F,"&lt;="&amp;AJ$10,培训费明细!$A:$A,AJ$6)/10000</f>
        <v>0</v>
      </c>
      <c r="AK132" s="120">
        <f>SUMIFS(培训费明细!$G:$G,培训费明细!$B:$B,$E132,培训费明细!$C:$C,$F132,培训费明细!$F:$F,"&gt;="&amp;AK$9,培训费明细!$F:$F,"&lt;="&amp;AK$10,培训费明细!$A:$A,AK$6)/10000</f>
        <v>0</v>
      </c>
      <c r="AL132" s="120">
        <f>SUMIFS(培训费明细!$G:$G,培训费明细!$B:$B,$E132,培训费明细!$C:$C,$F132,培训费明细!$F:$F,"&gt;="&amp;AL$9,培训费明细!$F:$F,"&lt;="&amp;AL$10,培训费明细!$A:$A,AL$6)/10000</f>
        <v>0</v>
      </c>
      <c r="AM132" s="120">
        <f>SUMIFS(培训费明细!$G:$G,培训费明细!$B:$B,$E132,培训费明细!$C:$C,$F132,培训费明细!$F:$F,"&gt;="&amp;AM$9,培训费明细!$F:$F,"&lt;="&amp;AM$10,培训费明细!$A:$A,AM$6)/10000</f>
        <v>0</v>
      </c>
      <c r="AN132" s="120">
        <f>SUMIFS(培训费明细!$G:$G,培训费明细!$B:$B,$E132,培训费明细!$C:$C,$F132,培训费明细!$F:$F,"&gt;="&amp;AN$9,培训费明细!$F:$F,"&lt;="&amp;AN$10,培训费明细!$A:$A,AN$6)/10000</f>
        <v>0</v>
      </c>
      <c r="AO132" s="120">
        <f>SUMIFS(培训费明细!$G:$G,培训费明细!$B:$B,$E132,培训费明细!$C:$C,$F132,培训费明细!$F:$F,"&gt;="&amp;AO$9,培训费明细!$F:$F,"&lt;="&amp;AO$10,培训费明细!$A:$A,AO$6)/10000</f>
        <v>0</v>
      </c>
      <c r="AP132" s="120">
        <f>SUMIFS(培训费明细!$G:$G,培训费明细!$B:$B,$E132,培训费明细!$C:$C,$F132,培训费明细!$F:$F,"&gt;="&amp;AP$9,培训费明细!$F:$F,"&lt;="&amp;AP$10,培训费明细!$A:$A,AP$6)/10000</f>
        <v>0</v>
      </c>
      <c r="AQ132" s="120">
        <f>SUMIFS(培训费明细!$G:$G,培训费明细!$B:$B,$E132,培训费明细!$C:$C,$F132,培训费明细!$F:$F,"&gt;="&amp;AQ$9,培训费明细!$F:$F,"&lt;="&amp;AQ$10,培训费明细!$A:$A,AQ$6)/10000</f>
        <v>0</v>
      </c>
      <c r="AR132" s="120">
        <f>SUMIFS(培训费明细!$G:$G,培训费明细!$B:$B,$E132,培训费明细!$C:$C,$F132,培训费明细!$F:$F,"&gt;="&amp;AR$9,培训费明细!$F:$F,"&lt;="&amp;AR$10,培训费明细!$A:$A,AR$6)/10000</f>
        <v>0</v>
      </c>
      <c r="AS132" s="120">
        <f>SUMIFS(培训费明细!$G:$G,培训费明细!$B:$B,$E132,培训费明细!$C:$C,$F132,培训费明细!$F:$F,"&gt;="&amp;AS$9,培训费明细!$F:$F,"&lt;="&amp;AS$10,培训费明细!$A:$A,AS$6)/10000</f>
        <v>7</v>
      </c>
      <c r="AT132" s="120">
        <f>SUMIFS(培训费明细!$G:$G,培训费明细!$B:$B,$E132,培训费明细!$C:$C,$F132,培训费明细!$F:$F,"&gt;="&amp;AT$9,培训费明细!$F:$F,"&lt;="&amp;AT$10,培训费明细!$A:$A,AT$6)/10000</f>
        <v>0</v>
      </c>
      <c r="AU132" s="120">
        <f>SUMIFS(培训费明细!$G:$G,培训费明细!$B:$B,$E132,培训费明细!$C:$C,$F132,培训费明细!$F:$F,"&gt;="&amp;AU$9,培训费明细!$F:$F,"&lt;="&amp;AU$10,培训费明细!$A:$A,AU$6)/10000</f>
        <v>29.8</v>
      </c>
      <c r="AV132" s="120">
        <f>SUMIFS(培训费明细!$G:$G,培训费明细!$B:$B,$E132,培训费明细!$C:$C,$F132,培训费明细!$F:$F,"&gt;="&amp;AV$9,培训费明细!$F:$F,"&lt;="&amp;AV$10,培训费明细!$A:$A,AV$6)/10000</f>
        <v>0</v>
      </c>
      <c r="AW132" s="120">
        <f>SUMIFS(培训费明细!$G:$G,培训费明细!$B:$B,$E132,培训费明细!$C:$C,$F132,培训费明细!$F:$F,"&gt;="&amp;AW$9,培训费明细!$F:$F,"&lt;="&amp;AW$10,培训费明细!$A:$A,AW$6)/10000</f>
        <v>0</v>
      </c>
      <c r="AX132" s="120">
        <f>SUMIFS(培训费明细!$G:$G,培训费明细!$B:$B,$E132,培训费明细!$C:$C,$F132,培训费明细!$F:$F,"&gt;="&amp;AX$9,培训费明细!$F:$F,"&lt;="&amp;AX$10,培训费明细!$A:$A,AX$6)/10000</f>
        <v>0</v>
      </c>
      <c r="AY132" s="120">
        <f>SUMIFS(培训费明细!$G:$G,培训费明细!$B:$B,$E132,培训费明细!$C:$C,$F132,培训费明细!$F:$F,"&gt;="&amp;AY$9,培训费明细!$F:$F,"&lt;="&amp;AY$10,培训费明细!$A:$A,AY$6)/10000</f>
        <v>0</v>
      </c>
      <c r="AZ132" s="120">
        <f>SUMIFS(培训费明细!$G:$G,培训费明细!$B:$B,$E132,培训费明细!$C:$C,$F132,培训费明细!$F:$F,"&gt;="&amp;AZ$9,培训费明细!$F:$F,"&lt;="&amp;AZ$10,培训费明细!$A:$A,AZ$6)/10000</f>
        <v>0</v>
      </c>
      <c r="BA132" s="120">
        <f>SUMIFS(培训费明细!$G:$G,培训费明细!$B:$B,$E132,培训费明细!$C:$C,$F132,培训费明细!$F:$F,"&gt;="&amp;BA$9,培训费明细!$F:$F,"&lt;="&amp;BA$10,培训费明细!$A:$A,BA$6)/10000</f>
        <v>0</v>
      </c>
      <c r="BB132" s="120">
        <f>SUMIFS(培训费明细!$G:$G,培训费明细!$B:$B,$E132,培训费明细!$C:$C,$F132,培训费明细!$F:$F,"&gt;="&amp;BB$9,培训费明细!$F:$F,"&lt;="&amp;BB$10,培训费明细!$A:$A,BB$6)/10000</f>
        <v>0</v>
      </c>
      <c r="BC132" s="120">
        <f>SUMIFS(培训费明细!$G:$G,培训费明细!$B:$B,$E132,培训费明细!$C:$C,$F132,培训费明细!$F:$F,"&gt;="&amp;BC$9,培训费明细!$F:$F,"&lt;="&amp;BC$10,培训费明细!$A:$A,BC$6)/10000</f>
        <v>0</v>
      </c>
      <c r="BD132" s="120">
        <f>SUMIFS(培训费明细!$G:$G,培训费明细!$B:$B,$E132,培训费明细!$C:$C,$F132,培训费明细!$F:$F,"&gt;="&amp;BD$9,培训费明细!$F:$F,"&lt;="&amp;BD$10,培训费明细!$A:$A,BD$6)/10000</f>
        <v>0</v>
      </c>
      <c r="BE132" s="120">
        <f>SUMIFS(培训费明细!$G:$G,培训费明细!$B:$B,$E132,培训费明细!$C:$C,$F132,培训费明细!$F:$F,"&gt;="&amp;BE$9,培训费明细!$F:$F,"&lt;="&amp;BE$10,培训费明细!$A:$A,BE$6)/10000</f>
        <v>29.8</v>
      </c>
      <c r="BF132" s="120">
        <f>SUMIFS(培训费明细!$G:$G,培训费明细!$B:$B,$E132,培训费明细!$C:$C,$F132,培训费明细!$F:$F,"&gt;="&amp;BF$9,培训费明细!$F:$F,"&lt;="&amp;BF$10,培训费明细!$A:$A,BF$6)/10000</f>
        <v>0</v>
      </c>
      <c r="BG132" s="120">
        <f>SUMIFS(培训费明细!$G:$G,培训费明细!$B:$B,$E132,培训费明细!$C:$C,$F132,培训费明细!$F:$F,"&gt;="&amp;BG$9,培训费明细!$F:$F,"&lt;="&amp;BG$10,培训费明细!$A:$A,BG$6)/10000</f>
        <v>0</v>
      </c>
    </row>
    <row r="133" ht="16.2" spans="3:59">
      <c r="C133" s="42" t="s">
        <v>79</v>
      </c>
      <c r="D133" s="42"/>
      <c r="E133" s="116" t="str">
        <f>IF(C133&lt;&gt;"",C133,E130)</f>
        <v>流程中心</v>
      </c>
      <c r="F133" s="116" t="str">
        <f>IF(D133&lt;&gt;"",D133,"*")</f>
        <v>*</v>
      </c>
      <c r="G133" s="121">
        <f>SUMIFS(培训费明细!$G:$G,培训费明细!$B:$B,$E133,培训费明细!$C:$C,$F133,培训费明细!$F:$F,"&gt;="&amp;G$9,培训费明细!$F:$F,"&lt;="&amp;G$10,培训费明细!$A:$A,G$6)/10000</f>
        <v>0</v>
      </c>
      <c r="H133" s="121">
        <f>SUMIFS(培训费明细!$G:$G,培训费明细!$B:$B,$E133,培训费明细!$C:$C,$F133,培训费明细!$F:$F,"&gt;="&amp;H$9,培训费明细!$F:$F,"&lt;="&amp;H$10,培训费明细!$A:$A,H$6)/10000</f>
        <v>0</v>
      </c>
      <c r="I133" s="121">
        <f>SUMIFS(培训费明细!$G:$G,培训费明细!$B:$B,$E133,培训费明细!$C:$C,$F133,培训费明细!$F:$F,"&gt;="&amp;I$9,培训费明细!$F:$F,"&lt;="&amp;I$10,培训费明细!$A:$A,I$6)/10000</f>
        <v>0</v>
      </c>
      <c r="J133" s="121">
        <f>SUMIFS(培训费明细!$G:$G,培训费明细!$B:$B,$E133,培训费明细!$C:$C,$F133,培训费明细!$F:$F,"&gt;="&amp;J$9,培训费明细!$F:$F,"&lt;="&amp;J$10,培训费明细!$A:$A,J$6)/10000</f>
        <v>0</v>
      </c>
      <c r="K133" s="121">
        <f>SUMIFS(培训费明细!$G:$G,培训费明细!$B:$B,$E133,培训费明细!$C:$C,$F133,培训费明细!$F:$F,"&gt;="&amp;K$9,培训费明细!$F:$F,"&lt;="&amp;K$10,培训费明细!$A:$A,K$6)/10000</f>
        <v>0</v>
      </c>
      <c r="L133" s="121">
        <f>SUMIFS(培训费明细!$G:$G,培训费明细!$B:$B,$E133,培训费明细!$C:$C,$F133,培训费明细!$F:$F,"&gt;="&amp;L$9,培训费明细!$F:$F,"&lt;="&amp;L$10,培训费明细!$A:$A,L$6)/10000</f>
        <v>0</v>
      </c>
      <c r="M133" s="121">
        <f>SUMIFS(培训费明细!$G:$G,培训费明细!$B:$B,$E133,培训费明细!$C:$C,$F133,培训费明细!$F:$F,"&gt;="&amp;M$9,培训费明细!$F:$F,"&lt;="&amp;M$10,培训费明细!$A:$A,M$6)/10000</f>
        <v>0</v>
      </c>
      <c r="N133" s="121">
        <f>SUMIFS(培训费明细!$G:$G,培训费明细!$B:$B,$E133,培训费明细!$C:$C,$F133,培训费明细!$F:$F,"&gt;="&amp;N$9,培训费明细!$F:$F,"&lt;="&amp;N$10,培训费明细!$A:$A,N$6)/10000</f>
        <v>0</v>
      </c>
      <c r="O133" s="121">
        <f>SUMIFS(培训费明细!$G:$G,培训费明细!$B:$B,$E133,培训费明细!$C:$C,$F133,培训费明细!$F:$F,"&gt;="&amp;O$9,培训费明细!$F:$F,"&lt;="&amp;O$10,培训费明细!$A:$A,O$6)/10000</f>
        <v>0</v>
      </c>
      <c r="P133" s="121">
        <f>SUMIFS(培训费明细!$G:$G,培训费明细!$B:$B,$E133,培训费明细!$C:$C,$F133,培训费明细!$F:$F,"&gt;="&amp;P$9,培训费明细!$F:$F,"&lt;="&amp;P$10,培训费明细!$A:$A,P$6)/10000</f>
        <v>0</v>
      </c>
      <c r="Q133" s="121">
        <f>SUMIFS(培训费明细!$G:$G,培训费明细!$B:$B,$E133,培训费明细!$C:$C,$F133,培训费明细!$F:$F,"&gt;="&amp;Q$9,培训费明细!$F:$F,"&lt;="&amp;Q$10,培训费明细!$A:$A,Q$6)/10000</f>
        <v>0</v>
      </c>
      <c r="R133" s="121">
        <f>SUMIFS(培训费明细!$G:$G,培训费明细!$B:$B,$E133,培训费明细!$C:$C,$F133,培训费明细!$F:$F,"&gt;="&amp;R$9,培训费明细!$F:$F,"&lt;="&amp;R$10,培训费明细!$A:$A,R$6)/10000</f>
        <v>0</v>
      </c>
      <c r="S133" s="121">
        <f>SUMIFS(培训费明细!$G:$G,培训费明细!$B:$B,$E133,培训费明细!$C:$C,$F133,培训费明细!$F:$F,"&gt;="&amp;S$9,培训费明细!$F:$F,"&lt;="&amp;S$10,培训费明细!$A:$A,S$6)/10000</f>
        <v>0</v>
      </c>
      <c r="T133" s="125">
        <f>U133+AH133</f>
        <v>0</v>
      </c>
      <c r="U133" s="121">
        <f>SUMIFS(培训费明细!$G:$G,培训费明细!$B:$B,$E133,培训费明细!$C:$C,$F133,培训费明细!$F:$F,"&gt;="&amp;U$9,培训费明细!$F:$F,"&lt;="&amp;U$10,培训费明细!$A:$A,U$6)/10000</f>
        <v>0</v>
      </c>
      <c r="V133" s="121">
        <f>SUMIFS(培训费明细!$G:$G,培训费明细!$B:$B,$E133,培训费明细!$C:$C,$F133,培训费明细!$F:$F,"&gt;="&amp;V$9,培训费明细!$F:$F,"&lt;="&amp;V$10,培训费明细!$A:$A,V$6)/10000</f>
        <v>0</v>
      </c>
      <c r="W133" s="121">
        <f>SUMIFS(培训费明细!$G:$G,培训费明细!$B:$B,$E133,培训费明细!$C:$C,$F133,培训费明细!$F:$F,"&gt;="&amp;W$9,培训费明细!$F:$F,"&lt;="&amp;W$10,培训费明细!$A:$A,W$6)/10000</f>
        <v>0</v>
      </c>
      <c r="X133" s="121">
        <f>SUMIFS(培训费明细!$G:$G,培训费明细!$B:$B,$E133,培训费明细!$C:$C,$F133,培训费明细!$F:$F,"&gt;="&amp;X$9,培训费明细!$F:$F,"&lt;="&amp;X$10,培训费明细!$A:$A,X$6)/10000</f>
        <v>0</v>
      </c>
      <c r="Y133" s="121">
        <f>SUMIFS(培训费明细!$G:$G,培训费明细!$B:$B,$E133,培训费明细!$C:$C,$F133,培训费明细!$F:$F,"&gt;="&amp;Y$9,培训费明细!$F:$F,"&lt;="&amp;Y$10,培训费明细!$A:$A,Y$6)/10000</f>
        <v>0</v>
      </c>
      <c r="Z133" s="121">
        <f>SUMIFS(培训费明细!$G:$G,培训费明细!$B:$B,$E133,培训费明细!$C:$C,$F133,培训费明细!$F:$F,"&gt;="&amp;Z$9,培训费明细!$F:$F,"&lt;="&amp;Z$10,培训费明细!$A:$A,Z$6)/10000</f>
        <v>0</v>
      </c>
      <c r="AA133" s="121">
        <f>SUMIFS(培训费明细!$G:$G,培训费明细!$B:$B,$E133,培训费明细!$C:$C,$F133,培训费明细!$F:$F,"&gt;="&amp;AA$9,培训费明细!$F:$F,"&lt;="&amp;AA$10,培训费明细!$A:$A,AA$6)/10000</f>
        <v>0</v>
      </c>
      <c r="AB133" s="121">
        <f>SUMIFS(培训费明细!$G:$G,培训费明细!$B:$B,$E133,培训费明细!$C:$C,$F133,培训费明细!$F:$F,"&gt;="&amp;AB$9,培训费明细!$F:$F,"&lt;="&amp;AB$10,培训费明细!$A:$A,AB$6)/10000</f>
        <v>0</v>
      </c>
      <c r="AC133" s="121">
        <f>SUMIFS(培训费明细!$G:$G,培训费明细!$B:$B,$E133,培训费明细!$C:$C,$F133,培训费明细!$F:$F,"&gt;="&amp;AC$9,培训费明细!$F:$F,"&lt;="&amp;AC$10,培训费明细!$A:$A,AC$6)/10000</f>
        <v>0</v>
      </c>
      <c r="AD133" s="121">
        <f>SUMIFS(培训费明细!$G:$G,培训费明细!$B:$B,$E133,培训费明细!$C:$C,$F133,培训费明细!$F:$F,"&gt;="&amp;AD$9,培训费明细!$F:$F,"&lt;="&amp;AD$10,培训费明细!$A:$A,AD$6)/10000</f>
        <v>0</v>
      </c>
      <c r="AE133" s="121">
        <f>SUMIFS(培训费明细!$G:$G,培训费明细!$B:$B,$E133,培训费明细!$C:$C,$F133,培训费明细!$F:$F,"&gt;="&amp;AE$9,培训费明细!$F:$F,"&lt;="&amp;AE$10,培训费明细!$A:$A,AE$6)/10000</f>
        <v>0</v>
      </c>
      <c r="AF133" s="121">
        <f>SUMIFS(培训费明细!$G:$G,培训费明细!$B:$B,$E133,培训费明细!$C:$C,$F133,培训费明细!$F:$F,"&gt;="&amp;AF$9,培训费明细!$F:$F,"&lt;="&amp;AF$10,培训费明细!$A:$A,AF$6)/10000</f>
        <v>0</v>
      </c>
      <c r="AG133" s="121">
        <f>SUMIFS(培训费明细!$G:$G,培训费明细!$B:$B,$E133,培训费明细!$C:$C,$F133,培训费明细!$F:$F,"&gt;="&amp;AG$9,培训费明细!$F:$F,"&lt;="&amp;AG$10,培训费明细!$A:$A,AG$6)/10000</f>
        <v>0</v>
      </c>
      <c r="AH133" s="121">
        <f>SUMIFS(培训费明细!$G:$G,培训费明细!$B:$B,$E133,培训费明细!$C:$C,$F133,培训费明细!$F:$F,"&gt;="&amp;AH$9,培训费明细!$F:$F,"&lt;="&amp;AH$10,培训费明细!$A:$A,AH$6)/10000</f>
        <v>0</v>
      </c>
      <c r="AI133" s="121">
        <f>SUMIFS(培训费明细!$G:$G,培训费明细!$B:$B,$E133,培训费明细!$C:$C,$F133,培训费明细!$F:$F,"&gt;="&amp;AI$9,培训费明细!$F:$F,"&lt;="&amp;AI$10,培训费明细!$A:$A,AI$6)/10000</f>
        <v>0</v>
      </c>
      <c r="AJ133" s="121">
        <f>SUMIFS(培训费明细!$G:$G,培训费明细!$B:$B,$E133,培训费明细!$C:$C,$F133,培训费明细!$F:$F,"&gt;="&amp;AJ$9,培训费明细!$F:$F,"&lt;="&amp;AJ$10,培训费明细!$A:$A,AJ$6)/10000</f>
        <v>0</v>
      </c>
      <c r="AK133" s="121">
        <f>SUMIFS(培训费明细!$G:$G,培训费明细!$B:$B,$E133,培训费明细!$C:$C,$F133,培训费明细!$F:$F,"&gt;="&amp;AK$9,培训费明细!$F:$F,"&lt;="&amp;AK$10,培训费明细!$A:$A,AK$6)/10000</f>
        <v>0</v>
      </c>
      <c r="AL133" s="121">
        <f>SUMIFS(培训费明细!$G:$G,培训费明细!$B:$B,$E133,培训费明细!$C:$C,$F133,培训费明细!$F:$F,"&gt;="&amp;AL$9,培训费明细!$F:$F,"&lt;="&amp;AL$10,培训费明细!$A:$A,AL$6)/10000</f>
        <v>0</v>
      </c>
      <c r="AM133" s="121">
        <f>SUMIFS(培训费明细!$G:$G,培训费明细!$B:$B,$E133,培训费明细!$C:$C,$F133,培训费明细!$F:$F,"&gt;="&amp;AM$9,培训费明细!$F:$F,"&lt;="&amp;AM$10,培训费明细!$A:$A,AM$6)/10000</f>
        <v>0</v>
      </c>
      <c r="AN133" s="121">
        <f>SUMIFS(培训费明细!$G:$G,培训费明细!$B:$B,$E133,培训费明细!$C:$C,$F133,培训费明细!$F:$F,"&gt;="&amp;AN$9,培训费明细!$F:$F,"&lt;="&amp;AN$10,培训费明细!$A:$A,AN$6)/10000</f>
        <v>0</v>
      </c>
      <c r="AO133" s="121">
        <f>SUMIFS(培训费明细!$G:$G,培训费明细!$B:$B,$E133,培训费明细!$C:$C,$F133,培训费明细!$F:$F,"&gt;="&amp;AO$9,培训费明细!$F:$F,"&lt;="&amp;AO$10,培训费明细!$A:$A,AO$6)/10000</f>
        <v>0</v>
      </c>
      <c r="AP133" s="121">
        <f>SUMIFS(培训费明细!$G:$G,培训费明细!$B:$B,$E133,培训费明细!$C:$C,$F133,培训费明细!$F:$F,"&gt;="&amp;AP$9,培训费明细!$F:$F,"&lt;="&amp;AP$10,培训费明细!$A:$A,AP$6)/10000</f>
        <v>0</v>
      </c>
      <c r="AQ133" s="121">
        <f>SUMIFS(培训费明细!$G:$G,培训费明细!$B:$B,$E133,培训费明细!$C:$C,$F133,培训费明细!$F:$F,"&gt;="&amp;AQ$9,培训费明细!$F:$F,"&lt;="&amp;AQ$10,培训费明细!$A:$A,AQ$6)/10000</f>
        <v>0</v>
      </c>
      <c r="AR133" s="121">
        <f>SUMIFS(培训费明细!$G:$G,培训费明细!$B:$B,$E133,培训费明细!$C:$C,$F133,培训费明细!$F:$F,"&gt;="&amp;AR$9,培训费明细!$F:$F,"&lt;="&amp;AR$10,培训费明细!$A:$A,AR$6)/10000</f>
        <v>0</v>
      </c>
      <c r="AS133" s="121">
        <f>SUMIFS(培训费明细!$G:$G,培训费明细!$B:$B,$E133,培训费明细!$C:$C,$F133,培训费明细!$F:$F,"&gt;="&amp;AS$9,培训费明细!$F:$F,"&lt;="&amp;AS$10,培训费明细!$A:$A,AS$6)/10000</f>
        <v>0</v>
      </c>
      <c r="AT133" s="121">
        <f>SUMIFS(培训费明细!$G:$G,培训费明细!$B:$B,$E133,培训费明细!$C:$C,$F133,培训费明细!$F:$F,"&gt;="&amp;AT$9,培训费明细!$F:$F,"&lt;="&amp;AT$10,培训费明细!$A:$A,AT$6)/10000</f>
        <v>0</v>
      </c>
      <c r="AU133" s="121">
        <f>SUMIFS(培训费明细!$G:$G,培训费明细!$B:$B,$E133,培训费明细!$C:$C,$F133,培训费明细!$F:$F,"&gt;="&amp;AU$9,培训费明细!$F:$F,"&lt;="&amp;AU$10,培训费明细!$A:$A,AU$6)/10000</f>
        <v>0</v>
      </c>
      <c r="AV133" s="121">
        <f>SUMIFS(培训费明细!$G:$G,培训费明细!$B:$B,$E133,培训费明细!$C:$C,$F133,培训费明细!$F:$F,"&gt;="&amp;AV$9,培训费明细!$F:$F,"&lt;="&amp;AV$10,培训费明细!$A:$A,AV$6)/10000</f>
        <v>0</v>
      </c>
      <c r="AW133" s="121">
        <f>SUMIFS(培训费明细!$G:$G,培训费明细!$B:$B,$E133,培训费明细!$C:$C,$F133,培训费明细!$F:$F,"&gt;="&amp;AW$9,培训费明细!$F:$F,"&lt;="&amp;AW$10,培训费明细!$A:$A,AW$6)/10000</f>
        <v>0</v>
      </c>
      <c r="AX133" s="121">
        <f>SUMIFS(培训费明细!$G:$G,培训费明细!$B:$B,$E133,培训费明细!$C:$C,$F133,培训费明细!$F:$F,"&gt;="&amp;AX$9,培训费明细!$F:$F,"&lt;="&amp;AX$10,培训费明细!$A:$A,AX$6)/10000</f>
        <v>0</v>
      </c>
      <c r="AY133" s="121">
        <f>SUMIFS(培训费明细!$G:$G,培训费明细!$B:$B,$E133,培训费明细!$C:$C,$F133,培训费明细!$F:$F,"&gt;="&amp;AY$9,培训费明细!$F:$F,"&lt;="&amp;AY$10,培训费明细!$A:$A,AY$6)/10000</f>
        <v>0</v>
      </c>
      <c r="AZ133" s="121">
        <f>SUMIFS(培训费明细!$G:$G,培训费明细!$B:$B,$E133,培训费明细!$C:$C,$F133,培训费明细!$F:$F,"&gt;="&amp;AZ$9,培训费明细!$F:$F,"&lt;="&amp;AZ$10,培训费明细!$A:$A,AZ$6)/10000</f>
        <v>0</v>
      </c>
      <c r="BA133" s="121">
        <f>SUMIFS(培训费明细!$G:$G,培训费明细!$B:$B,$E133,培训费明细!$C:$C,$F133,培训费明细!$F:$F,"&gt;="&amp;BA$9,培训费明细!$F:$F,"&lt;="&amp;BA$10,培训费明细!$A:$A,BA$6)/10000</f>
        <v>0</v>
      </c>
      <c r="BB133" s="121">
        <f>SUMIFS(培训费明细!$G:$G,培训费明细!$B:$B,$E133,培训费明细!$C:$C,$F133,培训费明细!$F:$F,"&gt;="&amp;BB$9,培训费明细!$F:$F,"&lt;="&amp;BB$10,培训费明细!$A:$A,BB$6)/10000</f>
        <v>0</v>
      </c>
      <c r="BC133" s="121">
        <f>SUMIFS(培训费明细!$G:$G,培训费明细!$B:$B,$E133,培训费明细!$C:$C,$F133,培训费明细!$F:$F,"&gt;="&amp;BC$9,培训费明细!$F:$F,"&lt;="&amp;BC$10,培训费明细!$A:$A,BC$6)/10000</f>
        <v>0</v>
      </c>
      <c r="BD133" s="121">
        <f>SUMIFS(培训费明细!$G:$G,培训费明细!$B:$B,$E133,培训费明细!$C:$C,$F133,培训费明细!$F:$F,"&gt;="&amp;BD$9,培训费明细!$F:$F,"&lt;="&amp;BD$10,培训费明细!$A:$A,BD$6)/10000</f>
        <v>0</v>
      </c>
      <c r="BE133" s="121">
        <f>SUMIFS(培训费明细!$G:$G,培训费明细!$B:$B,$E133,培训费明细!$C:$C,$F133,培训费明细!$F:$F,"&gt;="&amp;BE$9,培训费明细!$F:$F,"&lt;="&amp;BE$10,培训费明细!$A:$A,BE$6)/10000</f>
        <v>0</v>
      </c>
      <c r="BF133" s="121">
        <f>SUMIFS(培训费明细!$G:$G,培训费明细!$B:$B,$E133,培训费明细!$C:$C,$F133,培训费明细!$F:$F,"&gt;="&amp;BF$9,培训费明细!$F:$F,"&lt;="&amp;BF$10,培训费明细!$A:$A,BF$6)/10000</f>
        <v>0</v>
      </c>
      <c r="BG133" s="121">
        <f>SUMIFS(培训费明细!$G:$G,培训费明细!$B:$B,$E133,培训费明细!$C:$C,$F133,培训费明细!$F:$F,"&gt;="&amp;BG$9,培训费明细!$F:$F,"&lt;="&amp;BG$10,培训费明细!$A:$A,BG$6)/10000</f>
        <v>0</v>
      </c>
    </row>
    <row r="134" ht="16.2" spans="3:59">
      <c r="C134" s="42"/>
      <c r="D134" s="42" t="s">
        <v>80</v>
      </c>
      <c r="E134" s="116" t="str">
        <f t="shared" ref="E134:E144" si="102">IF(C134&lt;&gt;"",C134,E133)</f>
        <v>流程中心</v>
      </c>
      <c r="F134" s="116" t="str">
        <f t="shared" ref="F134:F144" si="103">IF(D134&lt;&gt;"",D134,"*")</f>
        <v>销售中心</v>
      </c>
      <c r="G134" s="121">
        <f>SUMIFS(培训费明细!$G:$G,培训费明细!$B:$B,$E134,培训费明细!$C:$C,$F134,培训费明细!$F:$F,"&gt;="&amp;G$9,培训费明细!$F:$F,"&lt;="&amp;G$10,培训费明细!$A:$A,G$6)/10000</f>
        <v>0</v>
      </c>
      <c r="H134" s="121">
        <f>SUMIFS(培训费明细!$G:$G,培训费明细!$B:$B,$E134,培训费明细!$C:$C,$F134,培训费明细!$F:$F,"&gt;="&amp;H$9,培训费明细!$F:$F,"&lt;="&amp;H$10,培训费明细!$A:$A,H$6)/10000</f>
        <v>0</v>
      </c>
      <c r="I134" s="121">
        <f>SUMIFS(培训费明细!$G:$G,培训费明细!$B:$B,$E134,培训费明细!$C:$C,$F134,培训费明细!$F:$F,"&gt;="&amp;I$9,培训费明细!$F:$F,"&lt;="&amp;I$10,培训费明细!$A:$A,I$6)/10000</f>
        <v>0</v>
      </c>
      <c r="J134" s="121">
        <f>SUMIFS(培训费明细!$G:$G,培训费明细!$B:$B,$E134,培训费明细!$C:$C,$F134,培训费明细!$F:$F,"&gt;="&amp;J$9,培训费明细!$F:$F,"&lt;="&amp;J$10,培训费明细!$A:$A,J$6)/10000</f>
        <v>0</v>
      </c>
      <c r="K134" s="121">
        <f>SUMIFS(培训费明细!$G:$G,培训费明细!$B:$B,$E134,培训费明细!$C:$C,$F134,培训费明细!$F:$F,"&gt;="&amp;K$9,培训费明细!$F:$F,"&lt;="&amp;K$10,培训费明细!$A:$A,K$6)/10000</f>
        <v>0</v>
      </c>
      <c r="L134" s="121">
        <f>SUMIFS(培训费明细!$G:$G,培训费明细!$B:$B,$E134,培训费明细!$C:$C,$F134,培训费明细!$F:$F,"&gt;="&amp;L$9,培训费明细!$F:$F,"&lt;="&amp;L$10,培训费明细!$A:$A,L$6)/10000</f>
        <v>0</v>
      </c>
      <c r="M134" s="121">
        <f>SUMIFS(培训费明细!$G:$G,培训费明细!$B:$B,$E134,培训费明细!$C:$C,$F134,培训费明细!$F:$F,"&gt;="&amp;M$9,培训费明细!$F:$F,"&lt;="&amp;M$10,培训费明细!$A:$A,M$6)/10000</f>
        <v>0</v>
      </c>
      <c r="N134" s="121">
        <f>SUMIFS(培训费明细!$G:$G,培训费明细!$B:$B,$E134,培训费明细!$C:$C,$F134,培训费明细!$F:$F,"&gt;="&amp;N$9,培训费明细!$F:$F,"&lt;="&amp;N$10,培训费明细!$A:$A,N$6)/10000</f>
        <v>0</v>
      </c>
      <c r="O134" s="121">
        <f>SUMIFS(培训费明细!$G:$G,培训费明细!$B:$B,$E134,培训费明细!$C:$C,$F134,培训费明细!$F:$F,"&gt;="&amp;O$9,培训费明细!$F:$F,"&lt;="&amp;O$10,培训费明细!$A:$A,O$6)/10000</f>
        <v>0</v>
      </c>
      <c r="P134" s="121">
        <f>SUMIFS(培训费明细!$G:$G,培训费明细!$B:$B,$E134,培训费明细!$C:$C,$F134,培训费明细!$F:$F,"&gt;="&amp;P$9,培训费明细!$F:$F,"&lt;="&amp;P$10,培训费明细!$A:$A,P$6)/10000</f>
        <v>0</v>
      </c>
      <c r="Q134" s="121">
        <f>SUMIFS(培训费明细!$G:$G,培训费明细!$B:$B,$E134,培训费明细!$C:$C,$F134,培训费明细!$F:$F,"&gt;="&amp;Q$9,培训费明细!$F:$F,"&lt;="&amp;Q$10,培训费明细!$A:$A,Q$6)/10000</f>
        <v>0</v>
      </c>
      <c r="R134" s="121">
        <f>SUMIFS(培训费明细!$G:$G,培训费明细!$B:$B,$E134,培训费明细!$C:$C,$F134,培训费明细!$F:$F,"&gt;="&amp;R$9,培训费明细!$F:$F,"&lt;="&amp;R$10,培训费明细!$A:$A,R$6)/10000</f>
        <v>0</v>
      </c>
      <c r="S134" s="121">
        <f>SUMIFS(培训费明细!$G:$G,培训费明细!$B:$B,$E134,培训费明细!$C:$C,$F134,培训费明细!$F:$F,"&gt;="&amp;S$9,培训费明细!$F:$F,"&lt;="&amp;S$10,培训费明细!$A:$A,S$6)/10000</f>
        <v>0</v>
      </c>
      <c r="T134" s="125">
        <f t="shared" ref="T134:T144" si="104">U134+AH134</f>
        <v>0</v>
      </c>
      <c r="U134" s="121">
        <f>SUMIFS(培训费明细!$G:$G,培训费明细!$B:$B,$E134,培训费明细!$C:$C,$F134,培训费明细!$F:$F,"&gt;="&amp;U$9,培训费明细!$F:$F,"&lt;="&amp;U$10,培训费明细!$A:$A,U$6)/10000</f>
        <v>0</v>
      </c>
      <c r="V134" s="121">
        <f>SUMIFS(培训费明细!$G:$G,培训费明细!$B:$B,$E134,培训费明细!$C:$C,$F134,培训费明细!$F:$F,"&gt;="&amp;V$9,培训费明细!$F:$F,"&lt;="&amp;V$10,培训费明细!$A:$A,V$6)/10000</f>
        <v>0</v>
      </c>
      <c r="W134" s="121">
        <f>SUMIFS(培训费明细!$G:$G,培训费明细!$B:$B,$E134,培训费明细!$C:$C,$F134,培训费明细!$F:$F,"&gt;="&amp;W$9,培训费明细!$F:$F,"&lt;="&amp;W$10,培训费明细!$A:$A,W$6)/10000</f>
        <v>0</v>
      </c>
      <c r="X134" s="121">
        <f>SUMIFS(培训费明细!$G:$G,培训费明细!$B:$B,$E134,培训费明细!$C:$C,$F134,培训费明细!$F:$F,"&gt;="&amp;X$9,培训费明细!$F:$F,"&lt;="&amp;X$10,培训费明细!$A:$A,X$6)/10000</f>
        <v>0</v>
      </c>
      <c r="Y134" s="121">
        <f>SUMIFS(培训费明细!$G:$G,培训费明细!$B:$B,$E134,培训费明细!$C:$C,$F134,培训费明细!$F:$F,"&gt;="&amp;Y$9,培训费明细!$F:$F,"&lt;="&amp;Y$10,培训费明细!$A:$A,Y$6)/10000</f>
        <v>0</v>
      </c>
      <c r="Z134" s="121">
        <f>SUMIFS(培训费明细!$G:$G,培训费明细!$B:$B,$E134,培训费明细!$C:$C,$F134,培训费明细!$F:$F,"&gt;="&amp;Z$9,培训费明细!$F:$F,"&lt;="&amp;Z$10,培训费明细!$A:$A,Z$6)/10000</f>
        <v>0</v>
      </c>
      <c r="AA134" s="121">
        <f>SUMIFS(培训费明细!$G:$G,培训费明细!$B:$B,$E134,培训费明细!$C:$C,$F134,培训费明细!$F:$F,"&gt;="&amp;AA$9,培训费明细!$F:$F,"&lt;="&amp;AA$10,培训费明细!$A:$A,AA$6)/10000</f>
        <v>0</v>
      </c>
      <c r="AB134" s="121">
        <f>SUMIFS(培训费明细!$G:$G,培训费明细!$B:$B,$E134,培训费明细!$C:$C,$F134,培训费明细!$F:$F,"&gt;="&amp;AB$9,培训费明细!$F:$F,"&lt;="&amp;AB$10,培训费明细!$A:$A,AB$6)/10000</f>
        <v>0</v>
      </c>
      <c r="AC134" s="121">
        <f>SUMIFS(培训费明细!$G:$G,培训费明细!$B:$B,$E134,培训费明细!$C:$C,$F134,培训费明细!$F:$F,"&gt;="&amp;AC$9,培训费明细!$F:$F,"&lt;="&amp;AC$10,培训费明细!$A:$A,AC$6)/10000</f>
        <v>0</v>
      </c>
      <c r="AD134" s="121">
        <f>SUMIFS(培训费明细!$G:$G,培训费明细!$B:$B,$E134,培训费明细!$C:$C,$F134,培训费明细!$F:$F,"&gt;="&amp;AD$9,培训费明细!$F:$F,"&lt;="&amp;AD$10,培训费明细!$A:$A,AD$6)/10000</f>
        <v>0</v>
      </c>
      <c r="AE134" s="121">
        <f>SUMIFS(培训费明细!$G:$G,培训费明细!$B:$B,$E134,培训费明细!$C:$C,$F134,培训费明细!$F:$F,"&gt;="&amp;AE$9,培训费明细!$F:$F,"&lt;="&amp;AE$10,培训费明细!$A:$A,AE$6)/10000</f>
        <v>0</v>
      </c>
      <c r="AF134" s="121">
        <f>SUMIFS(培训费明细!$G:$G,培训费明细!$B:$B,$E134,培训费明细!$C:$C,$F134,培训费明细!$F:$F,"&gt;="&amp;AF$9,培训费明细!$F:$F,"&lt;="&amp;AF$10,培训费明细!$A:$A,AF$6)/10000</f>
        <v>0</v>
      </c>
      <c r="AG134" s="121">
        <f>SUMIFS(培训费明细!$G:$G,培训费明细!$B:$B,$E134,培训费明细!$C:$C,$F134,培训费明细!$F:$F,"&gt;="&amp;AG$9,培训费明细!$F:$F,"&lt;="&amp;AG$10,培训费明细!$A:$A,AG$6)/10000</f>
        <v>0</v>
      </c>
      <c r="AH134" s="121">
        <f>SUMIFS(培训费明细!$G:$G,培训费明细!$B:$B,$E134,培训费明细!$C:$C,$F134,培训费明细!$F:$F,"&gt;="&amp;AH$9,培训费明细!$F:$F,"&lt;="&amp;AH$10,培训费明细!$A:$A,AH$6)/10000</f>
        <v>0</v>
      </c>
      <c r="AI134" s="121">
        <f>SUMIFS(培训费明细!$G:$G,培训费明细!$B:$B,$E134,培训费明细!$C:$C,$F134,培训费明细!$F:$F,"&gt;="&amp;AI$9,培训费明细!$F:$F,"&lt;="&amp;AI$10,培训费明细!$A:$A,AI$6)/10000</f>
        <v>0</v>
      </c>
      <c r="AJ134" s="121">
        <f>SUMIFS(培训费明细!$G:$G,培训费明细!$B:$B,$E134,培训费明细!$C:$C,$F134,培训费明细!$F:$F,"&gt;="&amp;AJ$9,培训费明细!$F:$F,"&lt;="&amp;AJ$10,培训费明细!$A:$A,AJ$6)/10000</f>
        <v>0</v>
      </c>
      <c r="AK134" s="121">
        <f>SUMIFS(培训费明细!$G:$G,培训费明细!$B:$B,$E134,培训费明细!$C:$C,$F134,培训费明细!$F:$F,"&gt;="&amp;AK$9,培训费明细!$F:$F,"&lt;="&amp;AK$10,培训费明细!$A:$A,AK$6)/10000</f>
        <v>0</v>
      </c>
      <c r="AL134" s="121">
        <f>SUMIFS(培训费明细!$G:$G,培训费明细!$B:$B,$E134,培训费明细!$C:$C,$F134,培训费明细!$F:$F,"&gt;="&amp;AL$9,培训费明细!$F:$F,"&lt;="&amp;AL$10,培训费明细!$A:$A,AL$6)/10000</f>
        <v>0</v>
      </c>
      <c r="AM134" s="121">
        <f>SUMIFS(培训费明细!$G:$G,培训费明细!$B:$B,$E134,培训费明细!$C:$C,$F134,培训费明细!$F:$F,"&gt;="&amp;AM$9,培训费明细!$F:$F,"&lt;="&amp;AM$10,培训费明细!$A:$A,AM$6)/10000</f>
        <v>0</v>
      </c>
      <c r="AN134" s="121">
        <f>SUMIFS(培训费明细!$G:$G,培训费明细!$B:$B,$E134,培训费明细!$C:$C,$F134,培训费明细!$F:$F,"&gt;="&amp;AN$9,培训费明细!$F:$F,"&lt;="&amp;AN$10,培训费明细!$A:$A,AN$6)/10000</f>
        <v>0</v>
      </c>
      <c r="AO134" s="121">
        <f>SUMIFS(培训费明细!$G:$G,培训费明细!$B:$B,$E134,培训费明细!$C:$C,$F134,培训费明细!$F:$F,"&gt;="&amp;AO$9,培训费明细!$F:$F,"&lt;="&amp;AO$10,培训费明细!$A:$A,AO$6)/10000</f>
        <v>0</v>
      </c>
      <c r="AP134" s="121">
        <f>SUMIFS(培训费明细!$G:$G,培训费明细!$B:$B,$E134,培训费明细!$C:$C,$F134,培训费明细!$F:$F,"&gt;="&amp;AP$9,培训费明细!$F:$F,"&lt;="&amp;AP$10,培训费明细!$A:$A,AP$6)/10000</f>
        <v>0</v>
      </c>
      <c r="AQ134" s="121">
        <f>SUMIFS(培训费明细!$G:$G,培训费明细!$B:$B,$E134,培训费明细!$C:$C,$F134,培训费明细!$F:$F,"&gt;="&amp;AQ$9,培训费明细!$F:$F,"&lt;="&amp;AQ$10,培训费明细!$A:$A,AQ$6)/10000</f>
        <v>0</v>
      </c>
      <c r="AR134" s="121">
        <f>SUMIFS(培训费明细!$G:$G,培训费明细!$B:$B,$E134,培训费明细!$C:$C,$F134,培训费明细!$F:$F,"&gt;="&amp;AR$9,培训费明细!$F:$F,"&lt;="&amp;AR$10,培训费明细!$A:$A,AR$6)/10000</f>
        <v>0</v>
      </c>
      <c r="AS134" s="121">
        <f>SUMIFS(培训费明细!$G:$G,培训费明细!$B:$B,$E134,培训费明细!$C:$C,$F134,培训费明细!$F:$F,"&gt;="&amp;AS$9,培训费明细!$F:$F,"&lt;="&amp;AS$10,培训费明细!$A:$A,AS$6)/10000</f>
        <v>0</v>
      </c>
      <c r="AT134" s="121">
        <f>SUMIFS(培训费明细!$G:$G,培训费明细!$B:$B,$E134,培训费明细!$C:$C,$F134,培训费明细!$F:$F,"&gt;="&amp;AT$9,培训费明细!$F:$F,"&lt;="&amp;AT$10,培训费明细!$A:$A,AT$6)/10000</f>
        <v>0</v>
      </c>
      <c r="AU134" s="121">
        <f>SUMIFS(培训费明细!$G:$G,培训费明细!$B:$B,$E134,培训费明细!$C:$C,$F134,培训费明细!$F:$F,"&gt;="&amp;AU$9,培训费明细!$F:$F,"&lt;="&amp;AU$10,培训费明细!$A:$A,AU$6)/10000</f>
        <v>0</v>
      </c>
      <c r="AV134" s="121">
        <f>SUMIFS(培训费明细!$G:$G,培训费明细!$B:$B,$E134,培训费明细!$C:$C,$F134,培训费明细!$F:$F,"&gt;="&amp;AV$9,培训费明细!$F:$F,"&lt;="&amp;AV$10,培训费明细!$A:$A,AV$6)/10000</f>
        <v>0</v>
      </c>
      <c r="AW134" s="121">
        <f>SUMIFS(培训费明细!$G:$G,培训费明细!$B:$B,$E134,培训费明细!$C:$C,$F134,培训费明细!$F:$F,"&gt;="&amp;AW$9,培训费明细!$F:$F,"&lt;="&amp;AW$10,培训费明细!$A:$A,AW$6)/10000</f>
        <v>0</v>
      </c>
      <c r="AX134" s="121">
        <f>SUMIFS(培训费明细!$G:$G,培训费明细!$B:$B,$E134,培训费明细!$C:$C,$F134,培训费明细!$F:$F,"&gt;="&amp;AX$9,培训费明细!$F:$F,"&lt;="&amp;AX$10,培训费明细!$A:$A,AX$6)/10000</f>
        <v>0</v>
      </c>
      <c r="AY134" s="121">
        <f>SUMIFS(培训费明细!$G:$G,培训费明细!$B:$B,$E134,培训费明细!$C:$C,$F134,培训费明细!$F:$F,"&gt;="&amp;AY$9,培训费明细!$F:$F,"&lt;="&amp;AY$10,培训费明细!$A:$A,AY$6)/10000</f>
        <v>0</v>
      </c>
      <c r="AZ134" s="121">
        <f>SUMIFS(培训费明细!$G:$G,培训费明细!$B:$B,$E134,培训费明细!$C:$C,$F134,培训费明细!$F:$F,"&gt;="&amp;AZ$9,培训费明细!$F:$F,"&lt;="&amp;AZ$10,培训费明细!$A:$A,AZ$6)/10000</f>
        <v>0</v>
      </c>
      <c r="BA134" s="121">
        <f>SUMIFS(培训费明细!$G:$G,培训费明细!$B:$B,$E134,培训费明细!$C:$C,$F134,培训费明细!$F:$F,"&gt;="&amp;BA$9,培训费明细!$F:$F,"&lt;="&amp;BA$10,培训费明细!$A:$A,BA$6)/10000</f>
        <v>0</v>
      </c>
      <c r="BB134" s="121">
        <f>SUMIFS(培训费明细!$G:$G,培训费明细!$B:$B,$E134,培训费明细!$C:$C,$F134,培训费明细!$F:$F,"&gt;="&amp;BB$9,培训费明细!$F:$F,"&lt;="&amp;BB$10,培训费明细!$A:$A,BB$6)/10000</f>
        <v>0</v>
      </c>
      <c r="BC134" s="121">
        <f>SUMIFS(培训费明细!$G:$G,培训费明细!$B:$B,$E134,培训费明细!$C:$C,$F134,培训费明细!$F:$F,"&gt;="&amp;BC$9,培训费明细!$F:$F,"&lt;="&amp;BC$10,培训费明细!$A:$A,BC$6)/10000</f>
        <v>0</v>
      </c>
      <c r="BD134" s="121">
        <f>SUMIFS(培训费明细!$G:$G,培训费明细!$B:$B,$E134,培训费明细!$C:$C,$F134,培训费明细!$F:$F,"&gt;="&amp;BD$9,培训费明细!$F:$F,"&lt;="&amp;BD$10,培训费明细!$A:$A,BD$6)/10000</f>
        <v>0</v>
      </c>
      <c r="BE134" s="121">
        <f>SUMIFS(培训费明细!$G:$G,培训费明细!$B:$B,$E134,培训费明细!$C:$C,$F134,培训费明细!$F:$F,"&gt;="&amp;BE$9,培训费明细!$F:$F,"&lt;="&amp;BE$10,培训费明细!$A:$A,BE$6)/10000</f>
        <v>0</v>
      </c>
      <c r="BF134" s="121">
        <f>SUMIFS(培训费明细!$G:$G,培训费明细!$B:$B,$E134,培训费明细!$C:$C,$F134,培训费明细!$F:$F,"&gt;="&amp;BF$9,培训费明细!$F:$F,"&lt;="&amp;BF$10,培训费明细!$A:$A,BF$6)/10000</f>
        <v>0</v>
      </c>
      <c r="BG134" s="121">
        <f>SUMIFS(培训费明细!$G:$G,培训费明细!$B:$B,$E134,培训费明细!$C:$C,$F134,培训费明细!$F:$F,"&gt;="&amp;BG$9,培训费明细!$F:$F,"&lt;="&amp;BG$10,培训费明细!$A:$A,BG$6)/10000</f>
        <v>0</v>
      </c>
    </row>
    <row r="135" ht="16.2" spans="3:59">
      <c r="C135" s="42"/>
      <c r="D135" s="42" t="s">
        <v>81</v>
      </c>
      <c r="E135" s="116" t="str">
        <f t="shared" si="102"/>
        <v>流程中心</v>
      </c>
      <c r="F135" s="116" t="str">
        <f t="shared" si="103"/>
        <v>制造中心</v>
      </c>
      <c r="G135" s="121">
        <f>SUMIFS(培训费明细!$G:$G,培训费明细!$B:$B,$E135,培训费明细!$C:$C,$F135,培训费明细!$F:$F,"&gt;="&amp;G$9,培训费明细!$F:$F,"&lt;="&amp;G$10,培训费明细!$A:$A,G$6)/10000</f>
        <v>0</v>
      </c>
      <c r="H135" s="121">
        <f>SUMIFS(培训费明细!$G:$G,培训费明细!$B:$B,$E135,培训费明细!$C:$C,$F135,培训费明细!$F:$F,"&gt;="&amp;H$9,培训费明细!$F:$F,"&lt;="&amp;H$10,培训费明细!$A:$A,H$6)/10000</f>
        <v>0</v>
      </c>
      <c r="I135" s="121">
        <f>SUMIFS(培训费明细!$G:$G,培训费明细!$B:$B,$E135,培训费明细!$C:$C,$F135,培训费明细!$F:$F,"&gt;="&amp;I$9,培训费明细!$F:$F,"&lt;="&amp;I$10,培训费明细!$A:$A,I$6)/10000</f>
        <v>0</v>
      </c>
      <c r="J135" s="121">
        <f>SUMIFS(培训费明细!$G:$G,培训费明细!$B:$B,$E135,培训费明细!$C:$C,$F135,培训费明细!$F:$F,"&gt;="&amp;J$9,培训费明细!$F:$F,"&lt;="&amp;J$10,培训费明细!$A:$A,J$6)/10000</f>
        <v>0</v>
      </c>
      <c r="K135" s="121">
        <f>SUMIFS(培训费明细!$G:$G,培训费明细!$B:$B,$E135,培训费明细!$C:$C,$F135,培训费明细!$F:$F,"&gt;="&amp;K$9,培训费明细!$F:$F,"&lt;="&amp;K$10,培训费明细!$A:$A,K$6)/10000</f>
        <v>0</v>
      </c>
      <c r="L135" s="121">
        <f>SUMIFS(培训费明细!$G:$G,培训费明细!$B:$B,$E135,培训费明细!$C:$C,$F135,培训费明细!$F:$F,"&gt;="&amp;L$9,培训费明细!$F:$F,"&lt;="&amp;L$10,培训费明细!$A:$A,L$6)/10000</f>
        <v>0</v>
      </c>
      <c r="M135" s="121">
        <f>SUMIFS(培训费明细!$G:$G,培训费明细!$B:$B,$E135,培训费明细!$C:$C,$F135,培训费明细!$F:$F,"&gt;="&amp;M$9,培训费明细!$F:$F,"&lt;="&amp;M$10,培训费明细!$A:$A,M$6)/10000</f>
        <v>0</v>
      </c>
      <c r="N135" s="121">
        <f>SUMIFS(培训费明细!$G:$G,培训费明细!$B:$B,$E135,培训费明细!$C:$C,$F135,培训费明细!$F:$F,"&gt;="&amp;N$9,培训费明细!$F:$F,"&lt;="&amp;N$10,培训费明细!$A:$A,N$6)/10000</f>
        <v>0</v>
      </c>
      <c r="O135" s="121">
        <f>SUMIFS(培训费明细!$G:$G,培训费明细!$B:$B,$E135,培训费明细!$C:$C,$F135,培训费明细!$F:$F,"&gt;="&amp;O$9,培训费明细!$F:$F,"&lt;="&amp;O$10,培训费明细!$A:$A,O$6)/10000</f>
        <v>0</v>
      </c>
      <c r="P135" s="121">
        <f>SUMIFS(培训费明细!$G:$G,培训费明细!$B:$B,$E135,培训费明细!$C:$C,$F135,培训费明细!$F:$F,"&gt;="&amp;P$9,培训费明细!$F:$F,"&lt;="&amp;P$10,培训费明细!$A:$A,P$6)/10000</f>
        <v>0</v>
      </c>
      <c r="Q135" s="121">
        <f>SUMIFS(培训费明细!$G:$G,培训费明细!$B:$B,$E135,培训费明细!$C:$C,$F135,培训费明细!$F:$F,"&gt;="&amp;Q$9,培训费明细!$F:$F,"&lt;="&amp;Q$10,培训费明细!$A:$A,Q$6)/10000</f>
        <v>0</v>
      </c>
      <c r="R135" s="121">
        <f>SUMIFS(培训费明细!$G:$G,培训费明细!$B:$B,$E135,培训费明细!$C:$C,$F135,培训费明细!$F:$F,"&gt;="&amp;R$9,培训费明细!$F:$F,"&lt;="&amp;R$10,培训费明细!$A:$A,R$6)/10000</f>
        <v>0</v>
      </c>
      <c r="S135" s="121">
        <f>SUMIFS(培训费明细!$G:$G,培训费明细!$B:$B,$E135,培训费明细!$C:$C,$F135,培训费明细!$F:$F,"&gt;="&amp;S$9,培训费明细!$F:$F,"&lt;="&amp;S$10,培训费明细!$A:$A,S$6)/10000</f>
        <v>0</v>
      </c>
      <c r="T135" s="125">
        <f t="shared" si="104"/>
        <v>0</v>
      </c>
      <c r="U135" s="121">
        <f>SUMIFS(培训费明细!$G:$G,培训费明细!$B:$B,$E135,培训费明细!$C:$C,$F135,培训费明细!$F:$F,"&gt;="&amp;U$9,培训费明细!$F:$F,"&lt;="&amp;U$10,培训费明细!$A:$A,U$6)/10000</f>
        <v>0</v>
      </c>
      <c r="V135" s="121">
        <f>SUMIFS(培训费明细!$G:$G,培训费明细!$B:$B,$E135,培训费明细!$C:$C,$F135,培训费明细!$F:$F,"&gt;="&amp;V$9,培训费明细!$F:$F,"&lt;="&amp;V$10,培训费明细!$A:$A,V$6)/10000</f>
        <v>0</v>
      </c>
      <c r="W135" s="121">
        <f>SUMIFS(培训费明细!$G:$G,培训费明细!$B:$B,$E135,培训费明细!$C:$C,$F135,培训费明细!$F:$F,"&gt;="&amp;W$9,培训费明细!$F:$F,"&lt;="&amp;W$10,培训费明细!$A:$A,W$6)/10000</f>
        <v>0</v>
      </c>
      <c r="X135" s="121">
        <f>SUMIFS(培训费明细!$G:$G,培训费明细!$B:$B,$E135,培训费明细!$C:$C,$F135,培训费明细!$F:$F,"&gt;="&amp;X$9,培训费明细!$F:$F,"&lt;="&amp;X$10,培训费明细!$A:$A,X$6)/10000</f>
        <v>0</v>
      </c>
      <c r="Y135" s="121">
        <f>SUMIFS(培训费明细!$G:$G,培训费明细!$B:$B,$E135,培训费明细!$C:$C,$F135,培训费明细!$F:$F,"&gt;="&amp;Y$9,培训费明细!$F:$F,"&lt;="&amp;Y$10,培训费明细!$A:$A,Y$6)/10000</f>
        <v>0</v>
      </c>
      <c r="Z135" s="121">
        <f>SUMIFS(培训费明细!$G:$G,培训费明细!$B:$B,$E135,培训费明细!$C:$C,$F135,培训费明细!$F:$F,"&gt;="&amp;Z$9,培训费明细!$F:$F,"&lt;="&amp;Z$10,培训费明细!$A:$A,Z$6)/10000</f>
        <v>0</v>
      </c>
      <c r="AA135" s="121">
        <f>SUMIFS(培训费明细!$G:$G,培训费明细!$B:$B,$E135,培训费明细!$C:$C,$F135,培训费明细!$F:$F,"&gt;="&amp;AA$9,培训费明细!$F:$F,"&lt;="&amp;AA$10,培训费明细!$A:$A,AA$6)/10000</f>
        <v>0</v>
      </c>
      <c r="AB135" s="121">
        <f>SUMIFS(培训费明细!$G:$G,培训费明细!$B:$B,$E135,培训费明细!$C:$C,$F135,培训费明细!$F:$F,"&gt;="&amp;AB$9,培训费明细!$F:$F,"&lt;="&amp;AB$10,培训费明细!$A:$A,AB$6)/10000</f>
        <v>0</v>
      </c>
      <c r="AC135" s="121">
        <f>SUMIFS(培训费明细!$G:$G,培训费明细!$B:$B,$E135,培训费明细!$C:$C,$F135,培训费明细!$F:$F,"&gt;="&amp;AC$9,培训费明细!$F:$F,"&lt;="&amp;AC$10,培训费明细!$A:$A,AC$6)/10000</f>
        <v>0</v>
      </c>
      <c r="AD135" s="121">
        <f>SUMIFS(培训费明细!$G:$G,培训费明细!$B:$B,$E135,培训费明细!$C:$C,$F135,培训费明细!$F:$F,"&gt;="&amp;AD$9,培训费明细!$F:$F,"&lt;="&amp;AD$10,培训费明细!$A:$A,AD$6)/10000</f>
        <v>0</v>
      </c>
      <c r="AE135" s="121">
        <f>SUMIFS(培训费明细!$G:$G,培训费明细!$B:$B,$E135,培训费明细!$C:$C,$F135,培训费明细!$F:$F,"&gt;="&amp;AE$9,培训费明细!$F:$F,"&lt;="&amp;AE$10,培训费明细!$A:$A,AE$6)/10000</f>
        <v>0</v>
      </c>
      <c r="AF135" s="121">
        <f>SUMIFS(培训费明细!$G:$G,培训费明细!$B:$B,$E135,培训费明细!$C:$C,$F135,培训费明细!$F:$F,"&gt;="&amp;AF$9,培训费明细!$F:$F,"&lt;="&amp;AF$10,培训费明细!$A:$A,AF$6)/10000</f>
        <v>0</v>
      </c>
      <c r="AG135" s="121">
        <f>SUMIFS(培训费明细!$G:$G,培训费明细!$B:$B,$E135,培训费明细!$C:$C,$F135,培训费明细!$F:$F,"&gt;="&amp;AG$9,培训费明细!$F:$F,"&lt;="&amp;AG$10,培训费明细!$A:$A,AG$6)/10000</f>
        <v>0</v>
      </c>
      <c r="AH135" s="121">
        <f>SUMIFS(培训费明细!$G:$G,培训费明细!$B:$B,$E135,培训费明细!$C:$C,$F135,培训费明细!$F:$F,"&gt;="&amp;AH$9,培训费明细!$F:$F,"&lt;="&amp;AH$10,培训费明细!$A:$A,AH$6)/10000</f>
        <v>0</v>
      </c>
      <c r="AI135" s="121">
        <f>SUMIFS(培训费明细!$G:$G,培训费明细!$B:$B,$E135,培训费明细!$C:$C,$F135,培训费明细!$F:$F,"&gt;="&amp;AI$9,培训费明细!$F:$F,"&lt;="&amp;AI$10,培训费明细!$A:$A,AI$6)/10000</f>
        <v>0</v>
      </c>
      <c r="AJ135" s="121">
        <f>SUMIFS(培训费明细!$G:$G,培训费明细!$B:$B,$E135,培训费明细!$C:$C,$F135,培训费明细!$F:$F,"&gt;="&amp;AJ$9,培训费明细!$F:$F,"&lt;="&amp;AJ$10,培训费明细!$A:$A,AJ$6)/10000</f>
        <v>0</v>
      </c>
      <c r="AK135" s="121">
        <f>SUMIFS(培训费明细!$G:$G,培训费明细!$B:$B,$E135,培训费明细!$C:$C,$F135,培训费明细!$F:$F,"&gt;="&amp;AK$9,培训费明细!$F:$F,"&lt;="&amp;AK$10,培训费明细!$A:$A,AK$6)/10000</f>
        <v>0</v>
      </c>
      <c r="AL135" s="121">
        <f>SUMIFS(培训费明细!$G:$G,培训费明细!$B:$B,$E135,培训费明细!$C:$C,$F135,培训费明细!$F:$F,"&gt;="&amp;AL$9,培训费明细!$F:$F,"&lt;="&amp;AL$10,培训费明细!$A:$A,AL$6)/10000</f>
        <v>0</v>
      </c>
      <c r="AM135" s="121">
        <f>SUMIFS(培训费明细!$G:$G,培训费明细!$B:$B,$E135,培训费明细!$C:$C,$F135,培训费明细!$F:$F,"&gt;="&amp;AM$9,培训费明细!$F:$F,"&lt;="&amp;AM$10,培训费明细!$A:$A,AM$6)/10000</f>
        <v>0</v>
      </c>
      <c r="AN135" s="121">
        <f>SUMIFS(培训费明细!$G:$G,培训费明细!$B:$B,$E135,培训费明细!$C:$C,$F135,培训费明细!$F:$F,"&gt;="&amp;AN$9,培训费明细!$F:$F,"&lt;="&amp;AN$10,培训费明细!$A:$A,AN$6)/10000</f>
        <v>0</v>
      </c>
      <c r="AO135" s="121">
        <f>SUMIFS(培训费明细!$G:$G,培训费明细!$B:$B,$E135,培训费明细!$C:$C,$F135,培训费明细!$F:$F,"&gt;="&amp;AO$9,培训费明细!$F:$F,"&lt;="&amp;AO$10,培训费明细!$A:$A,AO$6)/10000</f>
        <v>0</v>
      </c>
      <c r="AP135" s="121">
        <f>SUMIFS(培训费明细!$G:$G,培训费明细!$B:$B,$E135,培训费明细!$C:$C,$F135,培训费明细!$F:$F,"&gt;="&amp;AP$9,培训费明细!$F:$F,"&lt;="&amp;AP$10,培训费明细!$A:$A,AP$6)/10000</f>
        <v>0</v>
      </c>
      <c r="AQ135" s="121">
        <f>SUMIFS(培训费明细!$G:$G,培训费明细!$B:$B,$E135,培训费明细!$C:$C,$F135,培训费明细!$F:$F,"&gt;="&amp;AQ$9,培训费明细!$F:$F,"&lt;="&amp;AQ$10,培训费明细!$A:$A,AQ$6)/10000</f>
        <v>0</v>
      </c>
      <c r="AR135" s="121">
        <f>SUMIFS(培训费明细!$G:$G,培训费明细!$B:$B,$E135,培训费明细!$C:$C,$F135,培训费明细!$F:$F,"&gt;="&amp;AR$9,培训费明细!$F:$F,"&lt;="&amp;AR$10,培训费明细!$A:$A,AR$6)/10000</f>
        <v>0</v>
      </c>
      <c r="AS135" s="121">
        <f>SUMIFS(培训费明细!$G:$G,培训费明细!$B:$B,$E135,培训费明细!$C:$C,$F135,培训费明细!$F:$F,"&gt;="&amp;AS$9,培训费明细!$F:$F,"&lt;="&amp;AS$10,培训费明细!$A:$A,AS$6)/10000</f>
        <v>0</v>
      </c>
      <c r="AT135" s="121">
        <f>SUMIFS(培训费明细!$G:$G,培训费明细!$B:$B,$E135,培训费明细!$C:$C,$F135,培训费明细!$F:$F,"&gt;="&amp;AT$9,培训费明细!$F:$F,"&lt;="&amp;AT$10,培训费明细!$A:$A,AT$6)/10000</f>
        <v>0</v>
      </c>
      <c r="AU135" s="121">
        <f>SUMIFS(培训费明细!$G:$G,培训费明细!$B:$B,$E135,培训费明细!$C:$C,$F135,培训费明细!$F:$F,"&gt;="&amp;AU$9,培训费明细!$F:$F,"&lt;="&amp;AU$10,培训费明细!$A:$A,AU$6)/10000</f>
        <v>0</v>
      </c>
      <c r="AV135" s="121">
        <f>SUMIFS(培训费明细!$G:$G,培训费明细!$B:$B,$E135,培训费明细!$C:$C,$F135,培训费明细!$F:$F,"&gt;="&amp;AV$9,培训费明细!$F:$F,"&lt;="&amp;AV$10,培训费明细!$A:$A,AV$6)/10000</f>
        <v>0</v>
      </c>
      <c r="AW135" s="121">
        <f>SUMIFS(培训费明细!$G:$G,培训费明细!$B:$B,$E135,培训费明细!$C:$C,$F135,培训费明细!$F:$F,"&gt;="&amp;AW$9,培训费明细!$F:$F,"&lt;="&amp;AW$10,培训费明细!$A:$A,AW$6)/10000</f>
        <v>0</v>
      </c>
      <c r="AX135" s="121">
        <f>SUMIFS(培训费明细!$G:$G,培训费明细!$B:$B,$E135,培训费明细!$C:$C,$F135,培训费明细!$F:$F,"&gt;="&amp;AX$9,培训费明细!$F:$F,"&lt;="&amp;AX$10,培训费明细!$A:$A,AX$6)/10000</f>
        <v>0</v>
      </c>
      <c r="AY135" s="121">
        <f>SUMIFS(培训费明细!$G:$G,培训费明细!$B:$B,$E135,培训费明细!$C:$C,$F135,培训费明细!$F:$F,"&gt;="&amp;AY$9,培训费明细!$F:$F,"&lt;="&amp;AY$10,培训费明细!$A:$A,AY$6)/10000</f>
        <v>0</v>
      </c>
      <c r="AZ135" s="121">
        <f>SUMIFS(培训费明细!$G:$G,培训费明细!$B:$B,$E135,培训费明细!$C:$C,$F135,培训费明细!$F:$F,"&gt;="&amp;AZ$9,培训费明细!$F:$F,"&lt;="&amp;AZ$10,培训费明细!$A:$A,AZ$6)/10000</f>
        <v>0</v>
      </c>
      <c r="BA135" s="121">
        <f>SUMIFS(培训费明细!$G:$G,培训费明细!$B:$B,$E135,培训费明细!$C:$C,$F135,培训费明细!$F:$F,"&gt;="&amp;BA$9,培训费明细!$F:$F,"&lt;="&amp;BA$10,培训费明细!$A:$A,BA$6)/10000</f>
        <v>0</v>
      </c>
      <c r="BB135" s="121">
        <f>SUMIFS(培训费明细!$G:$G,培训费明细!$B:$B,$E135,培训费明细!$C:$C,$F135,培训费明细!$F:$F,"&gt;="&amp;BB$9,培训费明细!$F:$F,"&lt;="&amp;BB$10,培训费明细!$A:$A,BB$6)/10000</f>
        <v>0</v>
      </c>
      <c r="BC135" s="121">
        <f>SUMIFS(培训费明细!$G:$G,培训费明细!$B:$B,$E135,培训费明细!$C:$C,$F135,培训费明细!$F:$F,"&gt;="&amp;BC$9,培训费明细!$F:$F,"&lt;="&amp;BC$10,培训费明细!$A:$A,BC$6)/10000</f>
        <v>0</v>
      </c>
      <c r="BD135" s="121">
        <f>SUMIFS(培训费明细!$G:$G,培训费明细!$B:$B,$E135,培训费明细!$C:$C,$F135,培训费明细!$F:$F,"&gt;="&amp;BD$9,培训费明细!$F:$F,"&lt;="&amp;BD$10,培训费明细!$A:$A,BD$6)/10000</f>
        <v>0</v>
      </c>
      <c r="BE135" s="121">
        <f>SUMIFS(培训费明细!$G:$G,培训费明细!$B:$B,$E135,培训费明细!$C:$C,$F135,培训费明细!$F:$F,"&gt;="&amp;BE$9,培训费明细!$F:$F,"&lt;="&amp;BE$10,培训费明细!$A:$A,BE$6)/10000</f>
        <v>0</v>
      </c>
      <c r="BF135" s="121">
        <f>SUMIFS(培训费明细!$G:$G,培训费明细!$B:$B,$E135,培训费明细!$C:$C,$F135,培训费明细!$F:$F,"&gt;="&amp;BF$9,培训费明细!$F:$F,"&lt;="&amp;BF$10,培训费明细!$A:$A,BF$6)/10000</f>
        <v>0</v>
      </c>
      <c r="BG135" s="121">
        <f>SUMIFS(培训费明细!$G:$G,培训费明细!$B:$B,$E135,培训费明细!$C:$C,$F135,培训费明细!$F:$F,"&gt;="&amp;BG$9,培训费明细!$F:$F,"&lt;="&amp;BG$10,培训费明细!$A:$A,BG$6)/10000</f>
        <v>0</v>
      </c>
    </row>
    <row r="136" ht="16.2" spans="3:59">
      <c r="C136" s="42" t="s">
        <v>82</v>
      </c>
      <c r="D136" s="42"/>
      <c r="E136" s="116" t="str">
        <f t="shared" si="102"/>
        <v>创新中心</v>
      </c>
      <c r="F136" s="116" t="str">
        <f t="shared" si="103"/>
        <v>*</v>
      </c>
      <c r="G136" s="121">
        <f>SUMIFS(培训费明细!$G:$G,培训费明细!$B:$B,$E136,培训费明细!$C:$C,$F136,培训费明细!$F:$F,"&gt;="&amp;G$9,培训费明细!$F:$F,"&lt;="&amp;G$10,培训费明细!$A:$A,G$6)/10000</f>
        <v>0</v>
      </c>
      <c r="H136" s="121">
        <f>SUMIFS(培训费明细!$G:$G,培训费明细!$B:$B,$E136,培训费明细!$C:$C,$F136,培训费明细!$F:$F,"&gt;="&amp;H$9,培训费明细!$F:$F,"&lt;="&amp;H$10,培训费明细!$A:$A,H$6)/10000</f>
        <v>0</v>
      </c>
      <c r="I136" s="121">
        <f>SUMIFS(培训费明细!$G:$G,培训费明细!$B:$B,$E136,培训费明细!$C:$C,$F136,培训费明细!$F:$F,"&gt;="&amp;I$9,培训费明细!$F:$F,"&lt;="&amp;I$10,培训费明细!$A:$A,I$6)/10000</f>
        <v>0</v>
      </c>
      <c r="J136" s="121">
        <f>SUMIFS(培训费明细!$G:$G,培训费明细!$B:$B,$E136,培训费明细!$C:$C,$F136,培训费明细!$F:$F,"&gt;="&amp;J$9,培训费明细!$F:$F,"&lt;="&amp;J$10,培训费明细!$A:$A,J$6)/10000</f>
        <v>0</v>
      </c>
      <c r="K136" s="121">
        <f>SUMIFS(培训费明细!$G:$G,培训费明细!$B:$B,$E136,培训费明细!$C:$C,$F136,培训费明细!$F:$F,"&gt;="&amp;K$9,培训费明细!$F:$F,"&lt;="&amp;K$10,培训费明细!$A:$A,K$6)/10000</f>
        <v>0</v>
      </c>
      <c r="L136" s="121">
        <f>SUMIFS(培训费明细!$G:$G,培训费明细!$B:$B,$E136,培训费明细!$C:$C,$F136,培训费明细!$F:$F,"&gt;="&amp;L$9,培训费明细!$F:$F,"&lt;="&amp;L$10,培训费明细!$A:$A,L$6)/10000</f>
        <v>0</v>
      </c>
      <c r="M136" s="121">
        <f>SUMIFS(培训费明细!$G:$G,培训费明细!$B:$B,$E136,培训费明细!$C:$C,$F136,培训费明细!$F:$F,"&gt;="&amp;M$9,培训费明细!$F:$F,"&lt;="&amp;M$10,培训费明细!$A:$A,M$6)/10000</f>
        <v>0</v>
      </c>
      <c r="N136" s="121">
        <f>SUMIFS(培训费明细!$G:$G,培训费明细!$B:$B,$E136,培训费明细!$C:$C,$F136,培训费明细!$F:$F,"&gt;="&amp;N$9,培训费明细!$F:$F,"&lt;="&amp;N$10,培训费明细!$A:$A,N$6)/10000</f>
        <v>0</v>
      </c>
      <c r="O136" s="121">
        <f>SUMIFS(培训费明细!$G:$G,培训费明细!$B:$B,$E136,培训费明细!$C:$C,$F136,培训费明细!$F:$F,"&gt;="&amp;O$9,培训费明细!$F:$F,"&lt;="&amp;O$10,培训费明细!$A:$A,O$6)/10000</f>
        <v>0</v>
      </c>
      <c r="P136" s="121">
        <f>SUMIFS(培训费明细!$G:$G,培训费明细!$B:$B,$E136,培训费明细!$C:$C,$F136,培训费明细!$F:$F,"&gt;="&amp;P$9,培训费明细!$F:$F,"&lt;="&amp;P$10,培训费明细!$A:$A,P$6)/10000</f>
        <v>0</v>
      </c>
      <c r="Q136" s="121">
        <f>SUMIFS(培训费明细!$G:$G,培训费明细!$B:$B,$E136,培训费明细!$C:$C,$F136,培训费明细!$F:$F,"&gt;="&amp;Q$9,培训费明细!$F:$F,"&lt;="&amp;Q$10,培训费明细!$A:$A,Q$6)/10000</f>
        <v>0</v>
      </c>
      <c r="R136" s="121">
        <f>SUMIFS(培训费明细!$G:$G,培训费明细!$B:$B,$E136,培训费明细!$C:$C,$F136,培训费明细!$F:$F,"&gt;="&amp;R$9,培训费明细!$F:$F,"&lt;="&amp;R$10,培训费明细!$A:$A,R$6)/10000</f>
        <v>0</v>
      </c>
      <c r="S136" s="121">
        <f>SUMIFS(培训费明细!$G:$G,培训费明细!$B:$B,$E136,培训费明细!$C:$C,$F136,培训费明细!$F:$F,"&gt;="&amp;S$9,培训费明细!$F:$F,"&lt;="&amp;S$10,培训费明细!$A:$A,S$6)/10000</f>
        <v>0</v>
      </c>
      <c r="T136" s="125">
        <f t="shared" si="104"/>
        <v>0</v>
      </c>
      <c r="U136" s="121">
        <f>SUMIFS(培训费明细!$G:$G,培训费明细!$B:$B,$E136,培训费明细!$C:$C,$F136,培训费明细!$F:$F,"&gt;="&amp;U$9,培训费明细!$F:$F,"&lt;="&amp;U$10,培训费明细!$A:$A,U$6)/10000</f>
        <v>0</v>
      </c>
      <c r="V136" s="121">
        <f>SUMIFS(培训费明细!$G:$G,培训费明细!$B:$B,$E136,培训费明细!$C:$C,$F136,培训费明细!$F:$F,"&gt;="&amp;V$9,培训费明细!$F:$F,"&lt;="&amp;V$10,培训费明细!$A:$A,V$6)/10000</f>
        <v>0</v>
      </c>
      <c r="W136" s="121">
        <f>SUMIFS(培训费明细!$G:$G,培训费明细!$B:$B,$E136,培训费明细!$C:$C,$F136,培训费明细!$F:$F,"&gt;="&amp;W$9,培训费明细!$F:$F,"&lt;="&amp;W$10,培训费明细!$A:$A,W$6)/10000</f>
        <v>0</v>
      </c>
      <c r="X136" s="121">
        <f>SUMIFS(培训费明细!$G:$G,培训费明细!$B:$B,$E136,培训费明细!$C:$C,$F136,培训费明细!$F:$F,"&gt;="&amp;X$9,培训费明细!$F:$F,"&lt;="&amp;X$10,培训费明细!$A:$A,X$6)/10000</f>
        <v>0</v>
      </c>
      <c r="Y136" s="121">
        <f>SUMIFS(培训费明细!$G:$G,培训费明细!$B:$B,$E136,培训费明细!$C:$C,$F136,培训费明细!$F:$F,"&gt;="&amp;Y$9,培训费明细!$F:$F,"&lt;="&amp;Y$10,培训费明细!$A:$A,Y$6)/10000</f>
        <v>0</v>
      </c>
      <c r="Z136" s="121">
        <f>SUMIFS(培训费明细!$G:$G,培训费明细!$B:$B,$E136,培训费明细!$C:$C,$F136,培训费明细!$F:$F,"&gt;="&amp;Z$9,培训费明细!$F:$F,"&lt;="&amp;Z$10,培训费明细!$A:$A,Z$6)/10000</f>
        <v>0</v>
      </c>
      <c r="AA136" s="121">
        <f>SUMIFS(培训费明细!$G:$G,培训费明细!$B:$B,$E136,培训费明细!$C:$C,$F136,培训费明细!$F:$F,"&gt;="&amp;AA$9,培训费明细!$F:$F,"&lt;="&amp;AA$10,培训费明细!$A:$A,AA$6)/10000</f>
        <v>0</v>
      </c>
      <c r="AB136" s="121">
        <f>SUMIFS(培训费明细!$G:$G,培训费明细!$B:$B,$E136,培训费明细!$C:$C,$F136,培训费明细!$F:$F,"&gt;="&amp;AB$9,培训费明细!$F:$F,"&lt;="&amp;AB$10,培训费明细!$A:$A,AB$6)/10000</f>
        <v>0</v>
      </c>
      <c r="AC136" s="121">
        <f>SUMIFS(培训费明细!$G:$G,培训费明细!$B:$B,$E136,培训费明细!$C:$C,$F136,培训费明细!$F:$F,"&gt;="&amp;AC$9,培训费明细!$F:$F,"&lt;="&amp;AC$10,培训费明细!$A:$A,AC$6)/10000</f>
        <v>0</v>
      </c>
      <c r="AD136" s="121">
        <f>SUMIFS(培训费明细!$G:$G,培训费明细!$B:$B,$E136,培训费明细!$C:$C,$F136,培训费明细!$F:$F,"&gt;="&amp;AD$9,培训费明细!$F:$F,"&lt;="&amp;AD$10,培训费明细!$A:$A,AD$6)/10000</f>
        <v>0</v>
      </c>
      <c r="AE136" s="121">
        <f>SUMIFS(培训费明细!$G:$G,培训费明细!$B:$B,$E136,培训费明细!$C:$C,$F136,培训费明细!$F:$F,"&gt;="&amp;AE$9,培训费明细!$F:$F,"&lt;="&amp;AE$10,培训费明细!$A:$A,AE$6)/10000</f>
        <v>0</v>
      </c>
      <c r="AF136" s="121">
        <f>SUMIFS(培训费明细!$G:$G,培训费明细!$B:$B,$E136,培训费明细!$C:$C,$F136,培训费明细!$F:$F,"&gt;="&amp;AF$9,培训费明细!$F:$F,"&lt;="&amp;AF$10,培训费明细!$A:$A,AF$6)/10000</f>
        <v>0</v>
      </c>
      <c r="AG136" s="121">
        <f>SUMIFS(培训费明细!$G:$G,培训费明细!$B:$B,$E136,培训费明细!$C:$C,$F136,培训费明细!$F:$F,"&gt;="&amp;AG$9,培训费明细!$F:$F,"&lt;="&amp;AG$10,培训费明细!$A:$A,AG$6)/10000</f>
        <v>0</v>
      </c>
      <c r="AH136" s="121">
        <f>SUMIFS(培训费明细!$G:$G,培训费明细!$B:$B,$E136,培训费明细!$C:$C,$F136,培训费明细!$F:$F,"&gt;="&amp;AH$9,培训费明细!$F:$F,"&lt;="&amp;AH$10,培训费明细!$A:$A,AH$6)/10000</f>
        <v>0</v>
      </c>
      <c r="AI136" s="121">
        <f>SUMIFS(培训费明细!$G:$G,培训费明细!$B:$B,$E136,培训费明细!$C:$C,$F136,培训费明细!$F:$F,"&gt;="&amp;AI$9,培训费明细!$F:$F,"&lt;="&amp;AI$10,培训费明细!$A:$A,AI$6)/10000</f>
        <v>0</v>
      </c>
      <c r="AJ136" s="121">
        <f>SUMIFS(培训费明细!$G:$G,培训费明细!$B:$B,$E136,培训费明细!$C:$C,$F136,培训费明细!$F:$F,"&gt;="&amp;AJ$9,培训费明细!$F:$F,"&lt;="&amp;AJ$10,培训费明细!$A:$A,AJ$6)/10000</f>
        <v>0</v>
      </c>
      <c r="AK136" s="121">
        <f>SUMIFS(培训费明细!$G:$G,培训费明细!$B:$B,$E136,培训费明细!$C:$C,$F136,培训费明细!$F:$F,"&gt;="&amp;AK$9,培训费明细!$F:$F,"&lt;="&amp;AK$10,培训费明细!$A:$A,AK$6)/10000</f>
        <v>0</v>
      </c>
      <c r="AL136" s="121">
        <f>SUMIFS(培训费明细!$G:$G,培训费明细!$B:$B,$E136,培训费明细!$C:$C,$F136,培训费明细!$F:$F,"&gt;="&amp;AL$9,培训费明细!$F:$F,"&lt;="&amp;AL$10,培训费明细!$A:$A,AL$6)/10000</f>
        <v>0</v>
      </c>
      <c r="AM136" s="121">
        <f>SUMIFS(培训费明细!$G:$G,培训费明细!$B:$B,$E136,培训费明细!$C:$C,$F136,培训费明细!$F:$F,"&gt;="&amp;AM$9,培训费明细!$F:$F,"&lt;="&amp;AM$10,培训费明细!$A:$A,AM$6)/10000</f>
        <v>0</v>
      </c>
      <c r="AN136" s="121">
        <f>SUMIFS(培训费明细!$G:$G,培训费明细!$B:$B,$E136,培训费明细!$C:$C,$F136,培训费明细!$F:$F,"&gt;="&amp;AN$9,培训费明细!$F:$F,"&lt;="&amp;AN$10,培训费明细!$A:$A,AN$6)/10000</f>
        <v>0</v>
      </c>
      <c r="AO136" s="121">
        <f>SUMIFS(培训费明细!$G:$G,培训费明细!$B:$B,$E136,培训费明细!$C:$C,$F136,培训费明细!$F:$F,"&gt;="&amp;AO$9,培训费明细!$F:$F,"&lt;="&amp;AO$10,培训费明细!$A:$A,AO$6)/10000</f>
        <v>0</v>
      </c>
      <c r="AP136" s="121">
        <f>SUMIFS(培训费明细!$G:$G,培训费明细!$B:$B,$E136,培训费明细!$C:$C,$F136,培训费明细!$F:$F,"&gt;="&amp;AP$9,培训费明细!$F:$F,"&lt;="&amp;AP$10,培训费明细!$A:$A,AP$6)/10000</f>
        <v>0</v>
      </c>
      <c r="AQ136" s="121">
        <f>SUMIFS(培训费明细!$G:$G,培训费明细!$B:$B,$E136,培训费明细!$C:$C,$F136,培训费明细!$F:$F,"&gt;="&amp;AQ$9,培训费明细!$F:$F,"&lt;="&amp;AQ$10,培训费明细!$A:$A,AQ$6)/10000</f>
        <v>0</v>
      </c>
      <c r="AR136" s="121">
        <f>SUMIFS(培训费明细!$G:$G,培训费明细!$B:$B,$E136,培训费明细!$C:$C,$F136,培训费明细!$F:$F,"&gt;="&amp;AR$9,培训费明细!$F:$F,"&lt;="&amp;AR$10,培训费明细!$A:$A,AR$6)/10000</f>
        <v>0</v>
      </c>
      <c r="AS136" s="121">
        <f>SUMIFS(培训费明细!$G:$G,培训费明细!$B:$B,$E136,培训费明细!$C:$C,$F136,培训费明细!$F:$F,"&gt;="&amp;AS$9,培训费明细!$F:$F,"&lt;="&amp;AS$10,培训费明细!$A:$A,AS$6)/10000</f>
        <v>0</v>
      </c>
      <c r="AT136" s="121">
        <f>SUMIFS(培训费明细!$G:$G,培训费明细!$B:$B,$E136,培训费明细!$C:$C,$F136,培训费明细!$F:$F,"&gt;="&amp;AT$9,培训费明细!$F:$F,"&lt;="&amp;AT$10,培训费明细!$A:$A,AT$6)/10000</f>
        <v>0</v>
      </c>
      <c r="AU136" s="121">
        <f>SUMIFS(培训费明细!$G:$G,培训费明细!$B:$B,$E136,培训费明细!$C:$C,$F136,培训费明细!$F:$F,"&gt;="&amp;AU$9,培训费明细!$F:$F,"&lt;="&amp;AU$10,培训费明细!$A:$A,AU$6)/10000</f>
        <v>0</v>
      </c>
      <c r="AV136" s="121">
        <f>SUMIFS(培训费明细!$G:$G,培训费明细!$B:$B,$E136,培训费明细!$C:$C,$F136,培训费明细!$F:$F,"&gt;="&amp;AV$9,培训费明细!$F:$F,"&lt;="&amp;AV$10,培训费明细!$A:$A,AV$6)/10000</f>
        <v>0</v>
      </c>
      <c r="AW136" s="121">
        <f>SUMIFS(培训费明细!$G:$G,培训费明细!$B:$B,$E136,培训费明细!$C:$C,$F136,培训费明细!$F:$F,"&gt;="&amp;AW$9,培训费明细!$F:$F,"&lt;="&amp;AW$10,培训费明细!$A:$A,AW$6)/10000</f>
        <v>0</v>
      </c>
      <c r="AX136" s="121">
        <f>SUMIFS(培训费明细!$G:$G,培训费明细!$B:$B,$E136,培训费明细!$C:$C,$F136,培训费明细!$F:$F,"&gt;="&amp;AX$9,培训费明细!$F:$F,"&lt;="&amp;AX$10,培训费明细!$A:$A,AX$6)/10000</f>
        <v>0</v>
      </c>
      <c r="AY136" s="121">
        <f>SUMIFS(培训费明细!$G:$G,培训费明细!$B:$B,$E136,培训费明细!$C:$C,$F136,培训费明细!$F:$F,"&gt;="&amp;AY$9,培训费明细!$F:$F,"&lt;="&amp;AY$10,培训费明细!$A:$A,AY$6)/10000</f>
        <v>0</v>
      </c>
      <c r="AZ136" s="121">
        <f>SUMIFS(培训费明细!$G:$G,培训费明细!$B:$B,$E136,培训费明细!$C:$C,$F136,培训费明细!$F:$F,"&gt;="&amp;AZ$9,培训费明细!$F:$F,"&lt;="&amp;AZ$10,培训费明细!$A:$A,AZ$6)/10000</f>
        <v>0</v>
      </c>
      <c r="BA136" s="121">
        <f>SUMIFS(培训费明细!$G:$G,培训费明细!$B:$B,$E136,培训费明细!$C:$C,$F136,培训费明细!$F:$F,"&gt;="&amp;BA$9,培训费明细!$F:$F,"&lt;="&amp;BA$10,培训费明细!$A:$A,BA$6)/10000</f>
        <v>0</v>
      </c>
      <c r="BB136" s="121">
        <f>SUMIFS(培训费明细!$G:$G,培训费明细!$B:$B,$E136,培训费明细!$C:$C,$F136,培训费明细!$F:$F,"&gt;="&amp;BB$9,培训费明细!$F:$F,"&lt;="&amp;BB$10,培训费明细!$A:$A,BB$6)/10000</f>
        <v>0</v>
      </c>
      <c r="BC136" s="121">
        <f>SUMIFS(培训费明细!$G:$G,培训费明细!$B:$B,$E136,培训费明细!$C:$C,$F136,培训费明细!$F:$F,"&gt;="&amp;BC$9,培训费明细!$F:$F,"&lt;="&amp;BC$10,培训费明细!$A:$A,BC$6)/10000</f>
        <v>0</v>
      </c>
      <c r="BD136" s="121">
        <f>SUMIFS(培训费明细!$G:$G,培训费明细!$B:$B,$E136,培训费明细!$C:$C,$F136,培训费明细!$F:$F,"&gt;="&amp;BD$9,培训费明细!$F:$F,"&lt;="&amp;BD$10,培训费明细!$A:$A,BD$6)/10000</f>
        <v>0</v>
      </c>
      <c r="BE136" s="121">
        <f>SUMIFS(培训费明细!$G:$G,培训费明细!$B:$B,$E136,培训费明细!$C:$C,$F136,培训费明细!$F:$F,"&gt;="&amp;BE$9,培训费明细!$F:$F,"&lt;="&amp;BE$10,培训费明细!$A:$A,BE$6)/10000</f>
        <v>0</v>
      </c>
      <c r="BF136" s="121">
        <f>SUMIFS(培训费明细!$G:$G,培训费明细!$B:$B,$E136,培训费明细!$C:$C,$F136,培训费明细!$F:$F,"&gt;="&amp;BF$9,培训费明细!$F:$F,"&lt;="&amp;BF$10,培训费明细!$A:$A,BF$6)/10000</f>
        <v>0</v>
      </c>
      <c r="BG136" s="121">
        <f>SUMIFS(培训费明细!$G:$G,培训费明细!$B:$B,$E136,培训费明细!$C:$C,$F136,培训费明细!$F:$F,"&gt;="&amp;BG$9,培训费明细!$F:$F,"&lt;="&amp;BG$10,培训费明细!$A:$A,BG$6)/10000</f>
        <v>0</v>
      </c>
    </row>
    <row r="137" ht="16.2" spans="3:59">
      <c r="C137" s="42"/>
      <c r="D137" s="42" t="s">
        <v>83</v>
      </c>
      <c r="E137" s="116" t="str">
        <f t="shared" si="102"/>
        <v>创新中心</v>
      </c>
      <c r="F137" s="116" t="str">
        <f t="shared" si="103"/>
        <v>产品
研发部</v>
      </c>
      <c r="G137" s="121">
        <f>SUMIFS(培训费明细!$G:$G,培训费明细!$B:$B,$E137,培训费明细!$C:$C,$F137,培训费明细!$F:$F,"&gt;="&amp;G$9,培训费明细!$F:$F,"&lt;="&amp;G$10,培训费明细!$A:$A,G$6)/10000</f>
        <v>0</v>
      </c>
      <c r="H137" s="121">
        <f>SUMIFS(培训费明细!$G:$G,培训费明细!$B:$B,$E137,培训费明细!$C:$C,$F137,培训费明细!$F:$F,"&gt;="&amp;H$9,培训费明细!$F:$F,"&lt;="&amp;H$10,培训费明细!$A:$A,H$6)/10000</f>
        <v>0</v>
      </c>
      <c r="I137" s="121">
        <f>SUMIFS(培训费明细!$G:$G,培训费明细!$B:$B,$E137,培训费明细!$C:$C,$F137,培训费明细!$F:$F,"&gt;="&amp;I$9,培训费明细!$F:$F,"&lt;="&amp;I$10,培训费明细!$A:$A,I$6)/10000</f>
        <v>0</v>
      </c>
      <c r="J137" s="121">
        <f>SUMIFS(培训费明细!$G:$G,培训费明细!$B:$B,$E137,培训费明细!$C:$C,$F137,培训费明细!$F:$F,"&gt;="&amp;J$9,培训费明细!$F:$F,"&lt;="&amp;J$10,培训费明细!$A:$A,J$6)/10000</f>
        <v>0</v>
      </c>
      <c r="K137" s="121">
        <f>SUMIFS(培训费明细!$G:$G,培训费明细!$B:$B,$E137,培训费明细!$C:$C,$F137,培训费明细!$F:$F,"&gt;="&amp;K$9,培训费明细!$F:$F,"&lt;="&amp;K$10,培训费明细!$A:$A,K$6)/10000</f>
        <v>0</v>
      </c>
      <c r="L137" s="121">
        <f>SUMIFS(培训费明细!$G:$G,培训费明细!$B:$B,$E137,培训费明细!$C:$C,$F137,培训费明细!$F:$F,"&gt;="&amp;L$9,培训费明细!$F:$F,"&lt;="&amp;L$10,培训费明细!$A:$A,L$6)/10000</f>
        <v>0</v>
      </c>
      <c r="M137" s="121">
        <f>SUMIFS(培训费明细!$G:$G,培训费明细!$B:$B,$E137,培训费明细!$C:$C,$F137,培训费明细!$F:$F,"&gt;="&amp;M$9,培训费明细!$F:$F,"&lt;="&amp;M$10,培训费明细!$A:$A,M$6)/10000</f>
        <v>0</v>
      </c>
      <c r="N137" s="121">
        <f>SUMIFS(培训费明细!$G:$G,培训费明细!$B:$B,$E137,培训费明细!$C:$C,$F137,培训费明细!$F:$F,"&gt;="&amp;N$9,培训费明细!$F:$F,"&lt;="&amp;N$10,培训费明细!$A:$A,N$6)/10000</f>
        <v>0</v>
      </c>
      <c r="O137" s="121">
        <f>SUMIFS(培训费明细!$G:$G,培训费明细!$B:$B,$E137,培训费明细!$C:$C,$F137,培训费明细!$F:$F,"&gt;="&amp;O$9,培训费明细!$F:$F,"&lt;="&amp;O$10,培训费明细!$A:$A,O$6)/10000</f>
        <v>0</v>
      </c>
      <c r="P137" s="121">
        <f>SUMIFS(培训费明细!$G:$G,培训费明细!$B:$B,$E137,培训费明细!$C:$C,$F137,培训费明细!$F:$F,"&gt;="&amp;P$9,培训费明细!$F:$F,"&lt;="&amp;P$10,培训费明细!$A:$A,P$6)/10000</f>
        <v>0</v>
      </c>
      <c r="Q137" s="121">
        <f>SUMIFS(培训费明细!$G:$G,培训费明细!$B:$B,$E137,培训费明细!$C:$C,$F137,培训费明细!$F:$F,"&gt;="&amp;Q$9,培训费明细!$F:$F,"&lt;="&amp;Q$10,培训费明细!$A:$A,Q$6)/10000</f>
        <v>0</v>
      </c>
      <c r="R137" s="121">
        <f>SUMIFS(培训费明细!$G:$G,培训费明细!$B:$B,$E137,培训费明细!$C:$C,$F137,培训费明细!$F:$F,"&gt;="&amp;R$9,培训费明细!$F:$F,"&lt;="&amp;R$10,培训费明细!$A:$A,R$6)/10000</f>
        <v>0</v>
      </c>
      <c r="S137" s="121">
        <f>SUMIFS(培训费明细!$G:$G,培训费明细!$B:$B,$E137,培训费明细!$C:$C,$F137,培训费明细!$F:$F,"&gt;="&amp;S$9,培训费明细!$F:$F,"&lt;="&amp;S$10,培训费明细!$A:$A,S$6)/10000</f>
        <v>0</v>
      </c>
      <c r="T137" s="125">
        <f t="shared" si="104"/>
        <v>0</v>
      </c>
      <c r="U137" s="121">
        <f>SUMIFS(培训费明细!$G:$G,培训费明细!$B:$B,$E137,培训费明细!$C:$C,$F137,培训费明细!$F:$F,"&gt;="&amp;U$9,培训费明细!$F:$F,"&lt;="&amp;U$10,培训费明细!$A:$A,U$6)/10000</f>
        <v>0</v>
      </c>
      <c r="V137" s="121">
        <f>SUMIFS(培训费明细!$G:$G,培训费明细!$B:$B,$E137,培训费明细!$C:$C,$F137,培训费明细!$F:$F,"&gt;="&amp;V$9,培训费明细!$F:$F,"&lt;="&amp;V$10,培训费明细!$A:$A,V$6)/10000</f>
        <v>0</v>
      </c>
      <c r="W137" s="121">
        <f>SUMIFS(培训费明细!$G:$G,培训费明细!$B:$B,$E137,培训费明细!$C:$C,$F137,培训费明细!$F:$F,"&gt;="&amp;W$9,培训费明细!$F:$F,"&lt;="&amp;W$10,培训费明细!$A:$A,W$6)/10000</f>
        <v>0</v>
      </c>
      <c r="X137" s="121">
        <f>SUMIFS(培训费明细!$G:$G,培训费明细!$B:$B,$E137,培训费明细!$C:$C,$F137,培训费明细!$F:$F,"&gt;="&amp;X$9,培训费明细!$F:$F,"&lt;="&amp;X$10,培训费明细!$A:$A,X$6)/10000</f>
        <v>0</v>
      </c>
      <c r="Y137" s="121">
        <f>SUMIFS(培训费明细!$G:$G,培训费明细!$B:$B,$E137,培训费明细!$C:$C,$F137,培训费明细!$F:$F,"&gt;="&amp;Y$9,培训费明细!$F:$F,"&lt;="&amp;Y$10,培训费明细!$A:$A,Y$6)/10000</f>
        <v>0</v>
      </c>
      <c r="Z137" s="121">
        <f>SUMIFS(培训费明细!$G:$G,培训费明细!$B:$B,$E137,培训费明细!$C:$C,$F137,培训费明细!$F:$F,"&gt;="&amp;Z$9,培训费明细!$F:$F,"&lt;="&amp;Z$10,培训费明细!$A:$A,Z$6)/10000</f>
        <v>0</v>
      </c>
      <c r="AA137" s="121">
        <f>SUMIFS(培训费明细!$G:$G,培训费明细!$B:$B,$E137,培训费明细!$C:$C,$F137,培训费明细!$F:$F,"&gt;="&amp;AA$9,培训费明细!$F:$F,"&lt;="&amp;AA$10,培训费明细!$A:$A,AA$6)/10000</f>
        <v>0</v>
      </c>
      <c r="AB137" s="121">
        <f>SUMIFS(培训费明细!$G:$G,培训费明细!$B:$B,$E137,培训费明细!$C:$C,$F137,培训费明细!$F:$F,"&gt;="&amp;AB$9,培训费明细!$F:$F,"&lt;="&amp;AB$10,培训费明细!$A:$A,AB$6)/10000</f>
        <v>0</v>
      </c>
      <c r="AC137" s="121">
        <f>SUMIFS(培训费明细!$G:$G,培训费明细!$B:$B,$E137,培训费明细!$C:$C,$F137,培训费明细!$F:$F,"&gt;="&amp;AC$9,培训费明细!$F:$F,"&lt;="&amp;AC$10,培训费明细!$A:$A,AC$6)/10000</f>
        <v>0</v>
      </c>
      <c r="AD137" s="121">
        <f>SUMIFS(培训费明细!$G:$G,培训费明细!$B:$B,$E137,培训费明细!$C:$C,$F137,培训费明细!$F:$F,"&gt;="&amp;AD$9,培训费明细!$F:$F,"&lt;="&amp;AD$10,培训费明细!$A:$A,AD$6)/10000</f>
        <v>0</v>
      </c>
      <c r="AE137" s="121">
        <f>SUMIFS(培训费明细!$G:$G,培训费明细!$B:$B,$E137,培训费明细!$C:$C,$F137,培训费明细!$F:$F,"&gt;="&amp;AE$9,培训费明细!$F:$F,"&lt;="&amp;AE$10,培训费明细!$A:$A,AE$6)/10000</f>
        <v>0</v>
      </c>
      <c r="AF137" s="121">
        <f>SUMIFS(培训费明细!$G:$G,培训费明细!$B:$B,$E137,培训费明细!$C:$C,$F137,培训费明细!$F:$F,"&gt;="&amp;AF$9,培训费明细!$F:$F,"&lt;="&amp;AF$10,培训费明细!$A:$A,AF$6)/10000</f>
        <v>0</v>
      </c>
      <c r="AG137" s="121">
        <f>SUMIFS(培训费明细!$G:$G,培训费明细!$B:$B,$E137,培训费明细!$C:$C,$F137,培训费明细!$F:$F,"&gt;="&amp;AG$9,培训费明细!$F:$F,"&lt;="&amp;AG$10,培训费明细!$A:$A,AG$6)/10000</f>
        <v>0</v>
      </c>
      <c r="AH137" s="121">
        <f>SUMIFS(培训费明细!$G:$G,培训费明细!$B:$B,$E137,培训费明细!$C:$C,$F137,培训费明细!$F:$F,"&gt;="&amp;AH$9,培训费明细!$F:$F,"&lt;="&amp;AH$10,培训费明细!$A:$A,AH$6)/10000</f>
        <v>0</v>
      </c>
      <c r="AI137" s="121">
        <f>SUMIFS(培训费明细!$G:$G,培训费明细!$B:$B,$E137,培训费明细!$C:$C,$F137,培训费明细!$F:$F,"&gt;="&amp;AI$9,培训费明细!$F:$F,"&lt;="&amp;AI$10,培训费明细!$A:$A,AI$6)/10000</f>
        <v>0</v>
      </c>
      <c r="AJ137" s="121">
        <f>SUMIFS(培训费明细!$G:$G,培训费明细!$B:$B,$E137,培训费明细!$C:$C,$F137,培训费明细!$F:$F,"&gt;="&amp;AJ$9,培训费明细!$F:$F,"&lt;="&amp;AJ$10,培训费明细!$A:$A,AJ$6)/10000</f>
        <v>0</v>
      </c>
      <c r="AK137" s="121">
        <f>SUMIFS(培训费明细!$G:$G,培训费明细!$B:$B,$E137,培训费明细!$C:$C,$F137,培训费明细!$F:$F,"&gt;="&amp;AK$9,培训费明细!$F:$F,"&lt;="&amp;AK$10,培训费明细!$A:$A,AK$6)/10000</f>
        <v>0</v>
      </c>
      <c r="AL137" s="121">
        <f>SUMIFS(培训费明细!$G:$G,培训费明细!$B:$B,$E137,培训费明细!$C:$C,$F137,培训费明细!$F:$F,"&gt;="&amp;AL$9,培训费明细!$F:$F,"&lt;="&amp;AL$10,培训费明细!$A:$A,AL$6)/10000</f>
        <v>0</v>
      </c>
      <c r="AM137" s="121">
        <f>SUMIFS(培训费明细!$G:$G,培训费明细!$B:$B,$E137,培训费明细!$C:$C,$F137,培训费明细!$F:$F,"&gt;="&amp;AM$9,培训费明细!$F:$F,"&lt;="&amp;AM$10,培训费明细!$A:$A,AM$6)/10000</f>
        <v>0</v>
      </c>
      <c r="AN137" s="121">
        <f>SUMIFS(培训费明细!$G:$G,培训费明细!$B:$B,$E137,培训费明细!$C:$C,$F137,培训费明细!$F:$F,"&gt;="&amp;AN$9,培训费明细!$F:$F,"&lt;="&amp;AN$10,培训费明细!$A:$A,AN$6)/10000</f>
        <v>0</v>
      </c>
      <c r="AO137" s="121">
        <f>SUMIFS(培训费明细!$G:$G,培训费明细!$B:$B,$E137,培训费明细!$C:$C,$F137,培训费明细!$F:$F,"&gt;="&amp;AO$9,培训费明细!$F:$F,"&lt;="&amp;AO$10,培训费明细!$A:$A,AO$6)/10000</f>
        <v>0</v>
      </c>
      <c r="AP137" s="121">
        <f>SUMIFS(培训费明细!$G:$G,培训费明细!$B:$B,$E137,培训费明细!$C:$C,$F137,培训费明细!$F:$F,"&gt;="&amp;AP$9,培训费明细!$F:$F,"&lt;="&amp;AP$10,培训费明细!$A:$A,AP$6)/10000</f>
        <v>0</v>
      </c>
      <c r="AQ137" s="121">
        <f>SUMIFS(培训费明细!$G:$G,培训费明细!$B:$B,$E137,培训费明细!$C:$C,$F137,培训费明细!$F:$F,"&gt;="&amp;AQ$9,培训费明细!$F:$F,"&lt;="&amp;AQ$10,培训费明细!$A:$A,AQ$6)/10000</f>
        <v>0</v>
      </c>
      <c r="AR137" s="121">
        <f>SUMIFS(培训费明细!$G:$G,培训费明细!$B:$B,$E137,培训费明细!$C:$C,$F137,培训费明细!$F:$F,"&gt;="&amp;AR$9,培训费明细!$F:$F,"&lt;="&amp;AR$10,培训费明细!$A:$A,AR$6)/10000</f>
        <v>0</v>
      </c>
      <c r="AS137" s="121">
        <f>SUMIFS(培训费明细!$G:$G,培训费明细!$B:$B,$E137,培训费明细!$C:$C,$F137,培训费明细!$F:$F,"&gt;="&amp;AS$9,培训费明细!$F:$F,"&lt;="&amp;AS$10,培训费明细!$A:$A,AS$6)/10000</f>
        <v>0</v>
      </c>
      <c r="AT137" s="121">
        <f>SUMIFS(培训费明细!$G:$G,培训费明细!$B:$B,$E137,培训费明细!$C:$C,$F137,培训费明细!$F:$F,"&gt;="&amp;AT$9,培训费明细!$F:$F,"&lt;="&amp;AT$10,培训费明细!$A:$A,AT$6)/10000</f>
        <v>0</v>
      </c>
      <c r="AU137" s="121">
        <f>SUMIFS(培训费明细!$G:$G,培训费明细!$B:$B,$E137,培训费明细!$C:$C,$F137,培训费明细!$F:$F,"&gt;="&amp;AU$9,培训费明细!$F:$F,"&lt;="&amp;AU$10,培训费明细!$A:$A,AU$6)/10000</f>
        <v>0</v>
      </c>
      <c r="AV137" s="121">
        <f>SUMIFS(培训费明细!$G:$G,培训费明细!$B:$B,$E137,培训费明细!$C:$C,$F137,培训费明细!$F:$F,"&gt;="&amp;AV$9,培训费明细!$F:$F,"&lt;="&amp;AV$10,培训费明细!$A:$A,AV$6)/10000</f>
        <v>0</v>
      </c>
      <c r="AW137" s="121">
        <f>SUMIFS(培训费明细!$G:$G,培训费明细!$B:$B,$E137,培训费明细!$C:$C,$F137,培训费明细!$F:$F,"&gt;="&amp;AW$9,培训费明细!$F:$F,"&lt;="&amp;AW$10,培训费明细!$A:$A,AW$6)/10000</f>
        <v>0</v>
      </c>
      <c r="AX137" s="121">
        <f>SUMIFS(培训费明细!$G:$G,培训费明细!$B:$B,$E137,培训费明细!$C:$C,$F137,培训费明细!$F:$F,"&gt;="&amp;AX$9,培训费明细!$F:$F,"&lt;="&amp;AX$10,培训费明细!$A:$A,AX$6)/10000</f>
        <v>0</v>
      </c>
      <c r="AY137" s="121">
        <f>SUMIFS(培训费明细!$G:$G,培训费明细!$B:$B,$E137,培训费明细!$C:$C,$F137,培训费明细!$F:$F,"&gt;="&amp;AY$9,培训费明细!$F:$F,"&lt;="&amp;AY$10,培训费明细!$A:$A,AY$6)/10000</f>
        <v>0</v>
      </c>
      <c r="AZ137" s="121">
        <f>SUMIFS(培训费明细!$G:$G,培训费明细!$B:$B,$E137,培训费明细!$C:$C,$F137,培训费明细!$F:$F,"&gt;="&amp;AZ$9,培训费明细!$F:$F,"&lt;="&amp;AZ$10,培训费明细!$A:$A,AZ$6)/10000</f>
        <v>0</v>
      </c>
      <c r="BA137" s="121">
        <f>SUMIFS(培训费明细!$G:$G,培训费明细!$B:$B,$E137,培训费明细!$C:$C,$F137,培训费明细!$F:$F,"&gt;="&amp;BA$9,培训费明细!$F:$F,"&lt;="&amp;BA$10,培训费明细!$A:$A,BA$6)/10000</f>
        <v>0</v>
      </c>
      <c r="BB137" s="121">
        <f>SUMIFS(培训费明细!$G:$G,培训费明细!$B:$B,$E137,培训费明细!$C:$C,$F137,培训费明细!$F:$F,"&gt;="&amp;BB$9,培训费明细!$F:$F,"&lt;="&amp;BB$10,培训费明细!$A:$A,BB$6)/10000</f>
        <v>0</v>
      </c>
      <c r="BC137" s="121">
        <f>SUMIFS(培训费明细!$G:$G,培训费明细!$B:$B,$E137,培训费明细!$C:$C,$F137,培训费明细!$F:$F,"&gt;="&amp;BC$9,培训费明细!$F:$F,"&lt;="&amp;BC$10,培训费明细!$A:$A,BC$6)/10000</f>
        <v>0</v>
      </c>
      <c r="BD137" s="121">
        <f>SUMIFS(培训费明细!$G:$G,培训费明细!$B:$B,$E137,培训费明细!$C:$C,$F137,培训费明细!$F:$F,"&gt;="&amp;BD$9,培训费明细!$F:$F,"&lt;="&amp;BD$10,培训费明细!$A:$A,BD$6)/10000</f>
        <v>0</v>
      </c>
      <c r="BE137" s="121">
        <f>SUMIFS(培训费明细!$G:$G,培训费明细!$B:$B,$E137,培训费明细!$C:$C,$F137,培训费明细!$F:$F,"&gt;="&amp;BE$9,培训费明细!$F:$F,"&lt;="&amp;BE$10,培训费明细!$A:$A,BE$6)/10000</f>
        <v>0</v>
      </c>
      <c r="BF137" s="121">
        <f>SUMIFS(培训费明细!$G:$G,培训费明细!$B:$B,$E137,培训费明细!$C:$C,$F137,培训费明细!$F:$F,"&gt;="&amp;BF$9,培训费明细!$F:$F,"&lt;="&amp;BF$10,培训费明细!$A:$A,BF$6)/10000</f>
        <v>0</v>
      </c>
      <c r="BG137" s="121">
        <f>SUMIFS(培训费明细!$G:$G,培训费明细!$B:$B,$E137,培训费明细!$C:$C,$F137,培训费明细!$F:$F,"&gt;="&amp;BG$9,培训费明细!$F:$F,"&lt;="&amp;BG$10,培训费明细!$A:$A,BG$6)/10000</f>
        <v>0</v>
      </c>
    </row>
    <row r="138" ht="16.2" spans="3:59">
      <c r="C138" s="42"/>
      <c r="D138" s="42" t="s">
        <v>84</v>
      </c>
      <c r="E138" s="116" t="str">
        <f t="shared" si="102"/>
        <v>创新中心</v>
      </c>
      <c r="F138" s="116" t="str">
        <f t="shared" si="103"/>
        <v>XX
试验室</v>
      </c>
      <c r="G138" s="121">
        <f>SUMIFS(培训费明细!$G:$G,培训费明细!$B:$B,$E138,培训费明细!$C:$C,$F138,培训费明细!$F:$F,"&gt;="&amp;G$9,培训费明细!$F:$F,"&lt;="&amp;G$10,培训费明细!$A:$A,G$6)/10000</f>
        <v>0</v>
      </c>
      <c r="H138" s="121">
        <f>SUMIFS(培训费明细!$G:$G,培训费明细!$B:$B,$E138,培训费明细!$C:$C,$F138,培训费明细!$F:$F,"&gt;="&amp;H$9,培训费明细!$F:$F,"&lt;="&amp;H$10,培训费明细!$A:$A,H$6)/10000</f>
        <v>0</v>
      </c>
      <c r="I138" s="121">
        <f>SUMIFS(培训费明细!$G:$G,培训费明细!$B:$B,$E138,培训费明细!$C:$C,$F138,培训费明细!$F:$F,"&gt;="&amp;I$9,培训费明细!$F:$F,"&lt;="&amp;I$10,培训费明细!$A:$A,I$6)/10000</f>
        <v>0</v>
      </c>
      <c r="J138" s="121">
        <f>SUMIFS(培训费明细!$G:$G,培训费明细!$B:$B,$E138,培训费明细!$C:$C,$F138,培训费明细!$F:$F,"&gt;="&amp;J$9,培训费明细!$F:$F,"&lt;="&amp;J$10,培训费明细!$A:$A,J$6)/10000</f>
        <v>0</v>
      </c>
      <c r="K138" s="121">
        <f>SUMIFS(培训费明细!$G:$G,培训费明细!$B:$B,$E138,培训费明细!$C:$C,$F138,培训费明细!$F:$F,"&gt;="&amp;K$9,培训费明细!$F:$F,"&lt;="&amp;K$10,培训费明细!$A:$A,K$6)/10000</f>
        <v>0</v>
      </c>
      <c r="L138" s="121">
        <f>SUMIFS(培训费明细!$G:$G,培训费明细!$B:$B,$E138,培训费明细!$C:$C,$F138,培训费明细!$F:$F,"&gt;="&amp;L$9,培训费明细!$F:$F,"&lt;="&amp;L$10,培训费明细!$A:$A,L$6)/10000</f>
        <v>0</v>
      </c>
      <c r="M138" s="121">
        <f>SUMIFS(培训费明细!$G:$G,培训费明细!$B:$B,$E138,培训费明细!$C:$C,$F138,培训费明细!$F:$F,"&gt;="&amp;M$9,培训费明细!$F:$F,"&lt;="&amp;M$10,培训费明细!$A:$A,M$6)/10000</f>
        <v>0</v>
      </c>
      <c r="N138" s="121">
        <f>SUMIFS(培训费明细!$G:$G,培训费明细!$B:$B,$E138,培训费明细!$C:$C,$F138,培训费明细!$F:$F,"&gt;="&amp;N$9,培训费明细!$F:$F,"&lt;="&amp;N$10,培训费明细!$A:$A,N$6)/10000</f>
        <v>0</v>
      </c>
      <c r="O138" s="121">
        <f>SUMIFS(培训费明细!$G:$G,培训费明细!$B:$B,$E138,培训费明细!$C:$C,$F138,培训费明细!$F:$F,"&gt;="&amp;O$9,培训费明细!$F:$F,"&lt;="&amp;O$10,培训费明细!$A:$A,O$6)/10000</f>
        <v>0</v>
      </c>
      <c r="P138" s="121">
        <f>SUMIFS(培训费明细!$G:$G,培训费明细!$B:$B,$E138,培训费明细!$C:$C,$F138,培训费明细!$F:$F,"&gt;="&amp;P$9,培训费明细!$F:$F,"&lt;="&amp;P$10,培训费明细!$A:$A,P$6)/10000</f>
        <v>0</v>
      </c>
      <c r="Q138" s="121">
        <f>SUMIFS(培训费明细!$G:$G,培训费明细!$B:$B,$E138,培训费明细!$C:$C,$F138,培训费明细!$F:$F,"&gt;="&amp;Q$9,培训费明细!$F:$F,"&lt;="&amp;Q$10,培训费明细!$A:$A,Q$6)/10000</f>
        <v>0</v>
      </c>
      <c r="R138" s="121">
        <f>SUMIFS(培训费明细!$G:$G,培训费明细!$B:$B,$E138,培训费明细!$C:$C,$F138,培训费明细!$F:$F,"&gt;="&amp;R$9,培训费明细!$F:$F,"&lt;="&amp;R$10,培训费明细!$A:$A,R$6)/10000</f>
        <v>0</v>
      </c>
      <c r="S138" s="121">
        <f>SUMIFS(培训费明细!$G:$G,培训费明细!$B:$B,$E138,培训费明细!$C:$C,$F138,培训费明细!$F:$F,"&gt;="&amp;S$9,培训费明细!$F:$F,"&lt;="&amp;S$10,培训费明细!$A:$A,S$6)/10000</f>
        <v>0</v>
      </c>
      <c r="T138" s="125">
        <f t="shared" si="104"/>
        <v>0</v>
      </c>
      <c r="U138" s="121">
        <f>SUMIFS(培训费明细!$G:$G,培训费明细!$B:$B,$E138,培训费明细!$C:$C,$F138,培训费明细!$F:$F,"&gt;="&amp;U$9,培训费明细!$F:$F,"&lt;="&amp;U$10,培训费明细!$A:$A,U$6)/10000</f>
        <v>0</v>
      </c>
      <c r="V138" s="121">
        <f>SUMIFS(培训费明细!$G:$G,培训费明细!$B:$B,$E138,培训费明细!$C:$C,$F138,培训费明细!$F:$F,"&gt;="&amp;V$9,培训费明细!$F:$F,"&lt;="&amp;V$10,培训费明细!$A:$A,V$6)/10000</f>
        <v>0</v>
      </c>
      <c r="W138" s="121">
        <f>SUMIFS(培训费明细!$G:$G,培训费明细!$B:$B,$E138,培训费明细!$C:$C,$F138,培训费明细!$F:$F,"&gt;="&amp;W$9,培训费明细!$F:$F,"&lt;="&amp;W$10,培训费明细!$A:$A,W$6)/10000</f>
        <v>0</v>
      </c>
      <c r="X138" s="121">
        <f>SUMIFS(培训费明细!$G:$G,培训费明细!$B:$B,$E138,培训费明细!$C:$C,$F138,培训费明细!$F:$F,"&gt;="&amp;X$9,培训费明细!$F:$F,"&lt;="&amp;X$10,培训费明细!$A:$A,X$6)/10000</f>
        <v>0</v>
      </c>
      <c r="Y138" s="121">
        <f>SUMIFS(培训费明细!$G:$G,培训费明细!$B:$B,$E138,培训费明细!$C:$C,$F138,培训费明细!$F:$F,"&gt;="&amp;Y$9,培训费明细!$F:$F,"&lt;="&amp;Y$10,培训费明细!$A:$A,Y$6)/10000</f>
        <v>0</v>
      </c>
      <c r="Z138" s="121">
        <f>SUMIFS(培训费明细!$G:$G,培训费明细!$B:$B,$E138,培训费明细!$C:$C,$F138,培训费明细!$F:$F,"&gt;="&amp;Z$9,培训费明细!$F:$F,"&lt;="&amp;Z$10,培训费明细!$A:$A,Z$6)/10000</f>
        <v>0</v>
      </c>
      <c r="AA138" s="121">
        <f>SUMIFS(培训费明细!$G:$G,培训费明细!$B:$B,$E138,培训费明细!$C:$C,$F138,培训费明细!$F:$F,"&gt;="&amp;AA$9,培训费明细!$F:$F,"&lt;="&amp;AA$10,培训费明细!$A:$A,AA$6)/10000</f>
        <v>0</v>
      </c>
      <c r="AB138" s="121">
        <f>SUMIFS(培训费明细!$G:$G,培训费明细!$B:$B,$E138,培训费明细!$C:$C,$F138,培训费明细!$F:$F,"&gt;="&amp;AB$9,培训费明细!$F:$F,"&lt;="&amp;AB$10,培训费明细!$A:$A,AB$6)/10000</f>
        <v>0</v>
      </c>
      <c r="AC138" s="121">
        <f>SUMIFS(培训费明细!$G:$G,培训费明细!$B:$B,$E138,培训费明细!$C:$C,$F138,培训费明细!$F:$F,"&gt;="&amp;AC$9,培训费明细!$F:$F,"&lt;="&amp;AC$10,培训费明细!$A:$A,AC$6)/10000</f>
        <v>0</v>
      </c>
      <c r="AD138" s="121">
        <f>SUMIFS(培训费明细!$G:$G,培训费明细!$B:$B,$E138,培训费明细!$C:$C,$F138,培训费明细!$F:$F,"&gt;="&amp;AD$9,培训费明细!$F:$F,"&lt;="&amp;AD$10,培训费明细!$A:$A,AD$6)/10000</f>
        <v>0</v>
      </c>
      <c r="AE138" s="121">
        <f>SUMIFS(培训费明细!$G:$G,培训费明细!$B:$B,$E138,培训费明细!$C:$C,$F138,培训费明细!$F:$F,"&gt;="&amp;AE$9,培训费明细!$F:$F,"&lt;="&amp;AE$10,培训费明细!$A:$A,AE$6)/10000</f>
        <v>0</v>
      </c>
      <c r="AF138" s="121">
        <f>SUMIFS(培训费明细!$G:$G,培训费明细!$B:$B,$E138,培训费明细!$C:$C,$F138,培训费明细!$F:$F,"&gt;="&amp;AF$9,培训费明细!$F:$F,"&lt;="&amp;AF$10,培训费明细!$A:$A,AF$6)/10000</f>
        <v>0</v>
      </c>
      <c r="AG138" s="121">
        <f>SUMIFS(培训费明细!$G:$G,培训费明细!$B:$B,$E138,培训费明细!$C:$C,$F138,培训费明细!$F:$F,"&gt;="&amp;AG$9,培训费明细!$F:$F,"&lt;="&amp;AG$10,培训费明细!$A:$A,AG$6)/10000</f>
        <v>0</v>
      </c>
      <c r="AH138" s="121">
        <f>SUMIFS(培训费明细!$G:$G,培训费明细!$B:$B,$E138,培训费明细!$C:$C,$F138,培训费明细!$F:$F,"&gt;="&amp;AH$9,培训费明细!$F:$F,"&lt;="&amp;AH$10,培训费明细!$A:$A,AH$6)/10000</f>
        <v>0</v>
      </c>
      <c r="AI138" s="121">
        <f>SUMIFS(培训费明细!$G:$G,培训费明细!$B:$B,$E138,培训费明细!$C:$C,$F138,培训费明细!$F:$F,"&gt;="&amp;AI$9,培训费明细!$F:$F,"&lt;="&amp;AI$10,培训费明细!$A:$A,AI$6)/10000</f>
        <v>0</v>
      </c>
      <c r="AJ138" s="121">
        <f>SUMIFS(培训费明细!$G:$G,培训费明细!$B:$B,$E138,培训费明细!$C:$C,$F138,培训费明细!$F:$F,"&gt;="&amp;AJ$9,培训费明细!$F:$F,"&lt;="&amp;AJ$10,培训费明细!$A:$A,AJ$6)/10000</f>
        <v>0</v>
      </c>
      <c r="AK138" s="121">
        <f>SUMIFS(培训费明细!$G:$G,培训费明细!$B:$B,$E138,培训费明细!$C:$C,$F138,培训费明细!$F:$F,"&gt;="&amp;AK$9,培训费明细!$F:$F,"&lt;="&amp;AK$10,培训费明细!$A:$A,AK$6)/10000</f>
        <v>0</v>
      </c>
      <c r="AL138" s="121">
        <f>SUMIFS(培训费明细!$G:$G,培训费明细!$B:$B,$E138,培训费明细!$C:$C,$F138,培训费明细!$F:$F,"&gt;="&amp;AL$9,培训费明细!$F:$F,"&lt;="&amp;AL$10,培训费明细!$A:$A,AL$6)/10000</f>
        <v>0</v>
      </c>
      <c r="AM138" s="121">
        <f>SUMIFS(培训费明细!$G:$G,培训费明细!$B:$B,$E138,培训费明细!$C:$C,$F138,培训费明细!$F:$F,"&gt;="&amp;AM$9,培训费明细!$F:$F,"&lt;="&amp;AM$10,培训费明细!$A:$A,AM$6)/10000</f>
        <v>0</v>
      </c>
      <c r="AN138" s="121">
        <f>SUMIFS(培训费明细!$G:$G,培训费明细!$B:$B,$E138,培训费明细!$C:$C,$F138,培训费明细!$F:$F,"&gt;="&amp;AN$9,培训费明细!$F:$F,"&lt;="&amp;AN$10,培训费明细!$A:$A,AN$6)/10000</f>
        <v>0</v>
      </c>
      <c r="AO138" s="121">
        <f>SUMIFS(培训费明细!$G:$G,培训费明细!$B:$B,$E138,培训费明细!$C:$C,$F138,培训费明细!$F:$F,"&gt;="&amp;AO$9,培训费明细!$F:$F,"&lt;="&amp;AO$10,培训费明细!$A:$A,AO$6)/10000</f>
        <v>0</v>
      </c>
      <c r="AP138" s="121">
        <f>SUMIFS(培训费明细!$G:$G,培训费明细!$B:$B,$E138,培训费明细!$C:$C,$F138,培训费明细!$F:$F,"&gt;="&amp;AP$9,培训费明细!$F:$F,"&lt;="&amp;AP$10,培训费明细!$A:$A,AP$6)/10000</f>
        <v>0</v>
      </c>
      <c r="AQ138" s="121">
        <f>SUMIFS(培训费明细!$G:$G,培训费明细!$B:$B,$E138,培训费明细!$C:$C,$F138,培训费明细!$F:$F,"&gt;="&amp;AQ$9,培训费明细!$F:$F,"&lt;="&amp;AQ$10,培训费明细!$A:$A,AQ$6)/10000</f>
        <v>0</v>
      </c>
      <c r="AR138" s="121">
        <f>SUMIFS(培训费明细!$G:$G,培训费明细!$B:$B,$E138,培训费明细!$C:$C,$F138,培训费明细!$F:$F,"&gt;="&amp;AR$9,培训费明细!$F:$F,"&lt;="&amp;AR$10,培训费明细!$A:$A,AR$6)/10000</f>
        <v>0</v>
      </c>
      <c r="AS138" s="121">
        <f>SUMIFS(培训费明细!$G:$G,培训费明细!$B:$B,$E138,培训费明细!$C:$C,$F138,培训费明细!$F:$F,"&gt;="&amp;AS$9,培训费明细!$F:$F,"&lt;="&amp;AS$10,培训费明细!$A:$A,AS$6)/10000</f>
        <v>0</v>
      </c>
      <c r="AT138" s="121">
        <f>SUMIFS(培训费明细!$G:$G,培训费明细!$B:$B,$E138,培训费明细!$C:$C,$F138,培训费明细!$F:$F,"&gt;="&amp;AT$9,培训费明细!$F:$F,"&lt;="&amp;AT$10,培训费明细!$A:$A,AT$6)/10000</f>
        <v>0</v>
      </c>
      <c r="AU138" s="121">
        <f>SUMIFS(培训费明细!$G:$G,培训费明细!$B:$B,$E138,培训费明细!$C:$C,$F138,培训费明细!$F:$F,"&gt;="&amp;AU$9,培训费明细!$F:$F,"&lt;="&amp;AU$10,培训费明细!$A:$A,AU$6)/10000</f>
        <v>0</v>
      </c>
      <c r="AV138" s="121">
        <f>SUMIFS(培训费明细!$G:$G,培训费明细!$B:$B,$E138,培训费明细!$C:$C,$F138,培训费明细!$F:$F,"&gt;="&amp;AV$9,培训费明细!$F:$F,"&lt;="&amp;AV$10,培训费明细!$A:$A,AV$6)/10000</f>
        <v>0</v>
      </c>
      <c r="AW138" s="121">
        <f>SUMIFS(培训费明细!$G:$G,培训费明细!$B:$B,$E138,培训费明细!$C:$C,$F138,培训费明细!$F:$F,"&gt;="&amp;AW$9,培训费明细!$F:$F,"&lt;="&amp;AW$10,培训费明细!$A:$A,AW$6)/10000</f>
        <v>0</v>
      </c>
      <c r="AX138" s="121">
        <f>SUMIFS(培训费明细!$G:$G,培训费明细!$B:$B,$E138,培训费明细!$C:$C,$F138,培训费明细!$F:$F,"&gt;="&amp;AX$9,培训费明细!$F:$F,"&lt;="&amp;AX$10,培训费明细!$A:$A,AX$6)/10000</f>
        <v>0</v>
      </c>
      <c r="AY138" s="121">
        <f>SUMIFS(培训费明细!$G:$G,培训费明细!$B:$B,$E138,培训费明细!$C:$C,$F138,培训费明细!$F:$F,"&gt;="&amp;AY$9,培训费明细!$F:$F,"&lt;="&amp;AY$10,培训费明细!$A:$A,AY$6)/10000</f>
        <v>0</v>
      </c>
      <c r="AZ138" s="121">
        <f>SUMIFS(培训费明细!$G:$G,培训费明细!$B:$B,$E138,培训费明细!$C:$C,$F138,培训费明细!$F:$F,"&gt;="&amp;AZ$9,培训费明细!$F:$F,"&lt;="&amp;AZ$10,培训费明细!$A:$A,AZ$6)/10000</f>
        <v>0</v>
      </c>
      <c r="BA138" s="121">
        <f>SUMIFS(培训费明细!$G:$G,培训费明细!$B:$B,$E138,培训费明细!$C:$C,$F138,培训费明细!$F:$F,"&gt;="&amp;BA$9,培训费明细!$F:$F,"&lt;="&amp;BA$10,培训费明细!$A:$A,BA$6)/10000</f>
        <v>0</v>
      </c>
      <c r="BB138" s="121">
        <f>SUMIFS(培训费明细!$G:$G,培训费明细!$B:$B,$E138,培训费明细!$C:$C,$F138,培训费明细!$F:$F,"&gt;="&amp;BB$9,培训费明细!$F:$F,"&lt;="&amp;BB$10,培训费明细!$A:$A,BB$6)/10000</f>
        <v>0</v>
      </c>
      <c r="BC138" s="121">
        <f>SUMIFS(培训费明细!$G:$G,培训费明细!$B:$B,$E138,培训费明细!$C:$C,$F138,培训费明细!$F:$F,"&gt;="&amp;BC$9,培训费明细!$F:$F,"&lt;="&amp;BC$10,培训费明细!$A:$A,BC$6)/10000</f>
        <v>0</v>
      </c>
      <c r="BD138" s="121">
        <f>SUMIFS(培训费明细!$G:$G,培训费明细!$B:$B,$E138,培训费明细!$C:$C,$F138,培训费明细!$F:$F,"&gt;="&amp;BD$9,培训费明细!$F:$F,"&lt;="&amp;BD$10,培训费明细!$A:$A,BD$6)/10000</f>
        <v>0</v>
      </c>
      <c r="BE138" s="121">
        <f>SUMIFS(培训费明细!$G:$G,培训费明细!$B:$B,$E138,培训费明细!$C:$C,$F138,培训费明细!$F:$F,"&gt;="&amp;BE$9,培训费明细!$F:$F,"&lt;="&amp;BE$10,培训费明细!$A:$A,BE$6)/10000</f>
        <v>0</v>
      </c>
      <c r="BF138" s="121">
        <f>SUMIFS(培训费明细!$G:$G,培训费明细!$B:$B,$E138,培训费明细!$C:$C,$F138,培训费明细!$F:$F,"&gt;="&amp;BF$9,培训费明细!$F:$F,"&lt;="&amp;BF$10,培训费明细!$A:$A,BF$6)/10000</f>
        <v>0</v>
      </c>
      <c r="BG138" s="121">
        <f>SUMIFS(培训费明细!$G:$G,培训费明细!$B:$B,$E138,培训费明细!$C:$C,$F138,培训费明细!$F:$F,"&gt;="&amp;BG$9,培训费明细!$F:$F,"&lt;="&amp;BG$10,培训费明细!$A:$A,BG$6)/10000</f>
        <v>0</v>
      </c>
    </row>
    <row r="139" ht="16.2" spans="3:59">
      <c r="C139" s="42"/>
      <c r="D139" s="42" t="s">
        <v>85</v>
      </c>
      <c r="E139" s="116" t="str">
        <f t="shared" si="102"/>
        <v>创新中心</v>
      </c>
      <c r="F139" s="116" t="str">
        <f t="shared" si="103"/>
        <v>XX
孵化业务</v>
      </c>
      <c r="G139" s="121">
        <f>SUMIFS(培训费明细!$G:$G,培训费明细!$B:$B,$E139,培训费明细!$C:$C,$F139,培训费明细!$F:$F,"&gt;="&amp;G$9,培训费明细!$F:$F,"&lt;="&amp;G$10,培训费明细!$A:$A,G$6)/10000</f>
        <v>0</v>
      </c>
      <c r="H139" s="121">
        <f>SUMIFS(培训费明细!$G:$G,培训费明细!$B:$B,$E139,培训费明细!$C:$C,$F139,培训费明细!$F:$F,"&gt;="&amp;H$9,培训费明细!$F:$F,"&lt;="&amp;H$10,培训费明细!$A:$A,H$6)/10000</f>
        <v>0</v>
      </c>
      <c r="I139" s="121">
        <f>SUMIFS(培训费明细!$G:$G,培训费明细!$B:$B,$E139,培训费明细!$C:$C,$F139,培训费明细!$F:$F,"&gt;="&amp;I$9,培训费明细!$F:$F,"&lt;="&amp;I$10,培训费明细!$A:$A,I$6)/10000</f>
        <v>0</v>
      </c>
      <c r="J139" s="121">
        <f>SUMIFS(培训费明细!$G:$G,培训费明细!$B:$B,$E139,培训费明细!$C:$C,$F139,培训费明细!$F:$F,"&gt;="&amp;J$9,培训费明细!$F:$F,"&lt;="&amp;J$10,培训费明细!$A:$A,J$6)/10000</f>
        <v>0</v>
      </c>
      <c r="K139" s="121">
        <f>SUMIFS(培训费明细!$G:$G,培训费明细!$B:$B,$E139,培训费明细!$C:$C,$F139,培训费明细!$F:$F,"&gt;="&amp;K$9,培训费明细!$F:$F,"&lt;="&amp;K$10,培训费明细!$A:$A,K$6)/10000</f>
        <v>0</v>
      </c>
      <c r="L139" s="121">
        <f>SUMIFS(培训费明细!$G:$G,培训费明细!$B:$B,$E139,培训费明细!$C:$C,$F139,培训费明细!$F:$F,"&gt;="&amp;L$9,培训费明细!$F:$F,"&lt;="&amp;L$10,培训费明细!$A:$A,L$6)/10000</f>
        <v>0</v>
      </c>
      <c r="M139" s="121">
        <f>SUMIFS(培训费明细!$G:$G,培训费明细!$B:$B,$E139,培训费明细!$C:$C,$F139,培训费明细!$F:$F,"&gt;="&amp;M$9,培训费明细!$F:$F,"&lt;="&amp;M$10,培训费明细!$A:$A,M$6)/10000</f>
        <v>0</v>
      </c>
      <c r="N139" s="121">
        <f>SUMIFS(培训费明细!$G:$G,培训费明细!$B:$B,$E139,培训费明细!$C:$C,$F139,培训费明细!$F:$F,"&gt;="&amp;N$9,培训费明细!$F:$F,"&lt;="&amp;N$10,培训费明细!$A:$A,N$6)/10000</f>
        <v>0</v>
      </c>
      <c r="O139" s="121">
        <f>SUMIFS(培训费明细!$G:$G,培训费明细!$B:$B,$E139,培训费明细!$C:$C,$F139,培训费明细!$F:$F,"&gt;="&amp;O$9,培训费明细!$F:$F,"&lt;="&amp;O$10,培训费明细!$A:$A,O$6)/10000</f>
        <v>0</v>
      </c>
      <c r="P139" s="121">
        <f>SUMIFS(培训费明细!$G:$G,培训费明细!$B:$B,$E139,培训费明细!$C:$C,$F139,培训费明细!$F:$F,"&gt;="&amp;P$9,培训费明细!$F:$F,"&lt;="&amp;P$10,培训费明细!$A:$A,P$6)/10000</f>
        <v>0</v>
      </c>
      <c r="Q139" s="121">
        <f>SUMIFS(培训费明细!$G:$G,培训费明细!$B:$B,$E139,培训费明细!$C:$C,$F139,培训费明细!$F:$F,"&gt;="&amp;Q$9,培训费明细!$F:$F,"&lt;="&amp;Q$10,培训费明细!$A:$A,Q$6)/10000</f>
        <v>0</v>
      </c>
      <c r="R139" s="121">
        <f>SUMIFS(培训费明细!$G:$G,培训费明细!$B:$B,$E139,培训费明细!$C:$C,$F139,培训费明细!$F:$F,"&gt;="&amp;R$9,培训费明细!$F:$F,"&lt;="&amp;R$10,培训费明细!$A:$A,R$6)/10000</f>
        <v>0</v>
      </c>
      <c r="S139" s="121">
        <f>SUMIFS(培训费明细!$G:$G,培训费明细!$B:$B,$E139,培训费明细!$C:$C,$F139,培训费明细!$F:$F,"&gt;="&amp;S$9,培训费明细!$F:$F,"&lt;="&amp;S$10,培训费明细!$A:$A,S$6)/10000</f>
        <v>0</v>
      </c>
      <c r="T139" s="125">
        <f t="shared" si="104"/>
        <v>0</v>
      </c>
      <c r="U139" s="121">
        <f>SUMIFS(培训费明细!$G:$G,培训费明细!$B:$B,$E139,培训费明细!$C:$C,$F139,培训费明细!$F:$F,"&gt;="&amp;U$9,培训费明细!$F:$F,"&lt;="&amp;U$10,培训费明细!$A:$A,U$6)/10000</f>
        <v>0</v>
      </c>
      <c r="V139" s="121">
        <f>SUMIFS(培训费明细!$G:$G,培训费明细!$B:$B,$E139,培训费明细!$C:$C,$F139,培训费明细!$F:$F,"&gt;="&amp;V$9,培训费明细!$F:$F,"&lt;="&amp;V$10,培训费明细!$A:$A,V$6)/10000</f>
        <v>0</v>
      </c>
      <c r="W139" s="121">
        <f>SUMIFS(培训费明细!$G:$G,培训费明细!$B:$B,$E139,培训费明细!$C:$C,$F139,培训费明细!$F:$F,"&gt;="&amp;W$9,培训费明细!$F:$F,"&lt;="&amp;W$10,培训费明细!$A:$A,W$6)/10000</f>
        <v>0</v>
      </c>
      <c r="X139" s="121">
        <f>SUMIFS(培训费明细!$G:$G,培训费明细!$B:$B,$E139,培训费明细!$C:$C,$F139,培训费明细!$F:$F,"&gt;="&amp;X$9,培训费明细!$F:$F,"&lt;="&amp;X$10,培训费明细!$A:$A,X$6)/10000</f>
        <v>0</v>
      </c>
      <c r="Y139" s="121">
        <f>SUMIFS(培训费明细!$G:$G,培训费明细!$B:$B,$E139,培训费明细!$C:$C,$F139,培训费明细!$F:$F,"&gt;="&amp;Y$9,培训费明细!$F:$F,"&lt;="&amp;Y$10,培训费明细!$A:$A,Y$6)/10000</f>
        <v>0</v>
      </c>
      <c r="Z139" s="121">
        <f>SUMIFS(培训费明细!$G:$G,培训费明细!$B:$B,$E139,培训费明细!$C:$C,$F139,培训费明细!$F:$F,"&gt;="&amp;Z$9,培训费明细!$F:$F,"&lt;="&amp;Z$10,培训费明细!$A:$A,Z$6)/10000</f>
        <v>0</v>
      </c>
      <c r="AA139" s="121">
        <f>SUMIFS(培训费明细!$G:$G,培训费明细!$B:$B,$E139,培训费明细!$C:$C,$F139,培训费明细!$F:$F,"&gt;="&amp;AA$9,培训费明细!$F:$F,"&lt;="&amp;AA$10,培训费明细!$A:$A,AA$6)/10000</f>
        <v>0</v>
      </c>
      <c r="AB139" s="121">
        <f>SUMIFS(培训费明细!$G:$G,培训费明细!$B:$B,$E139,培训费明细!$C:$C,$F139,培训费明细!$F:$F,"&gt;="&amp;AB$9,培训费明细!$F:$F,"&lt;="&amp;AB$10,培训费明细!$A:$A,AB$6)/10000</f>
        <v>0</v>
      </c>
      <c r="AC139" s="121">
        <f>SUMIFS(培训费明细!$G:$G,培训费明细!$B:$B,$E139,培训费明细!$C:$C,$F139,培训费明细!$F:$F,"&gt;="&amp;AC$9,培训费明细!$F:$F,"&lt;="&amp;AC$10,培训费明细!$A:$A,AC$6)/10000</f>
        <v>0</v>
      </c>
      <c r="AD139" s="121">
        <f>SUMIFS(培训费明细!$G:$G,培训费明细!$B:$B,$E139,培训费明细!$C:$C,$F139,培训费明细!$F:$F,"&gt;="&amp;AD$9,培训费明细!$F:$F,"&lt;="&amp;AD$10,培训费明细!$A:$A,AD$6)/10000</f>
        <v>0</v>
      </c>
      <c r="AE139" s="121">
        <f>SUMIFS(培训费明细!$G:$G,培训费明细!$B:$B,$E139,培训费明细!$C:$C,$F139,培训费明细!$F:$F,"&gt;="&amp;AE$9,培训费明细!$F:$F,"&lt;="&amp;AE$10,培训费明细!$A:$A,AE$6)/10000</f>
        <v>0</v>
      </c>
      <c r="AF139" s="121">
        <f>SUMIFS(培训费明细!$G:$G,培训费明细!$B:$B,$E139,培训费明细!$C:$C,$F139,培训费明细!$F:$F,"&gt;="&amp;AF$9,培训费明细!$F:$F,"&lt;="&amp;AF$10,培训费明细!$A:$A,AF$6)/10000</f>
        <v>0</v>
      </c>
      <c r="AG139" s="121">
        <f>SUMIFS(培训费明细!$G:$G,培训费明细!$B:$B,$E139,培训费明细!$C:$C,$F139,培训费明细!$F:$F,"&gt;="&amp;AG$9,培训费明细!$F:$F,"&lt;="&amp;AG$10,培训费明细!$A:$A,AG$6)/10000</f>
        <v>0</v>
      </c>
      <c r="AH139" s="121">
        <f>SUMIFS(培训费明细!$G:$G,培训费明细!$B:$B,$E139,培训费明细!$C:$C,$F139,培训费明细!$F:$F,"&gt;="&amp;AH$9,培训费明细!$F:$F,"&lt;="&amp;AH$10,培训费明细!$A:$A,AH$6)/10000</f>
        <v>0</v>
      </c>
      <c r="AI139" s="121">
        <f>SUMIFS(培训费明细!$G:$G,培训费明细!$B:$B,$E139,培训费明细!$C:$C,$F139,培训费明细!$F:$F,"&gt;="&amp;AI$9,培训费明细!$F:$F,"&lt;="&amp;AI$10,培训费明细!$A:$A,AI$6)/10000</f>
        <v>0</v>
      </c>
      <c r="AJ139" s="121">
        <f>SUMIFS(培训费明细!$G:$G,培训费明细!$B:$B,$E139,培训费明细!$C:$C,$F139,培训费明细!$F:$F,"&gt;="&amp;AJ$9,培训费明细!$F:$F,"&lt;="&amp;AJ$10,培训费明细!$A:$A,AJ$6)/10000</f>
        <v>0</v>
      </c>
      <c r="AK139" s="121">
        <f>SUMIFS(培训费明细!$G:$G,培训费明细!$B:$B,$E139,培训费明细!$C:$C,$F139,培训费明细!$F:$F,"&gt;="&amp;AK$9,培训费明细!$F:$F,"&lt;="&amp;AK$10,培训费明细!$A:$A,AK$6)/10000</f>
        <v>0</v>
      </c>
      <c r="AL139" s="121">
        <f>SUMIFS(培训费明细!$G:$G,培训费明细!$B:$B,$E139,培训费明细!$C:$C,$F139,培训费明细!$F:$F,"&gt;="&amp;AL$9,培训费明细!$F:$F,"&lt;="&amp;AL$10,培训费明细!$A:$A,AL$6)/10000</f>
        <v>0</v>
      </c>
      <c r="AM139" s="121">
        <f>SUMIFS(培训费明细!$G:$G,培训费明细!$B:$B,$E139,培训费明细!$C:$C,$F139,培训费明细!$F:$F,"&gt;="&amp;AM$9,培训费明细!$F:$F,"&lt;="&amp;AM$10,培训费明细!$A:$A,AM$6)/10000</f>
        <v>0</v>
      </c>
      <c r="AN139" s="121">
        <f>SUMIFS(培训费明细!$G:$G,培训费明细!$B:$B,$E139,培训费明细!$C:$C,$F139,培训费明细!$F:$F,"&gt;="&amp;AN$9,培训费明细!$F:$F,"&lt;="&amp;AN$10,培训费明细!$A:$A,AN$6)/10000</f>
        <v>0</v>
      </c>
      <c r="AO139" s="121">
        <f>SUMIFS(培训费明细!$G:$G,培训费明细!$B:$B,$E139,培训费明细!$C:$C,$F139,培训费明细!$F:$F,"&gt;="&amp;AO$9,培训费明细!$F:$F,"&lt;="&amp;AO$10,培训费明细!$A:$A,AO$6)/10000</f>
        <v>0</v>
      </c>
      <c r="AP139" s="121">
        <f>SUMIFS(培训费明细!$G:$G,培训费明细!$B:$B,$E139,培训费明细!$C:$C,$F139,培训费明细!$F:$F,"&gt;="&amp;AP$9,培训费明细!$F:$F,"&lt;="&amp;AP$10,培训费明细!$A:$A,AP$6)/10000</f>
        <v>0</v>
      </c>
      <c r="AQ139" s="121">
        <f>SUMIFS(培训费明细!$G:$G,培训费明细!$B:$B,$E139,培训费明细!$C:$C,$F139,培训费明细!$F:$F,"&gt;="&amp;AQ$9,培训费明细!$F:$F,"&lt;="&amp;AQ$10,培训费明细!$A:$A,AQ$6)/10000</f>
        <v>0</v>
      </c>
      <c r="AR139" s="121">
        <f>SUMIFS(培训费明细!$G:$G,培训费明细!$B:$B,$E139,培训费明细!$C:$C,$F139,培训费明细!$F:$F,"&gt;="&amp;AR$9,培训费明细!$F:$F,"&lt;="&amp;AR$10,培训费明细!$A:$A,AR$6)/10000</f>
        <v>0</v>
      </c>
      <c r="AS139" s="121">
        <f>SUMIFS(培训费明细!$G:$G,培训费明细!$B:$B,$E139,培训费明细!$C:$C,$F139,培训费明细!$F:$F,"&gt;="&amp;AS$9,培训费明细!$F:$F,"&lt;="&amp;AS$10,培训费明细!$A:$A,AS$6)/10000</f>
        <v>0</v>
      </c>
      <c r="AT139" s="121">
        <f>SUMIFS(培训费明细!$G:$G,培训费明细!$B:$B,$E139,培训费明细!$C:$C,$F139,培训费明细!$F:$F,"&gt;="&amp;AT$9,培训费明细!$F:$F,"&lt;="&amp;AT$10,培训费明细!$A:$A,AT$6)/10000</f>
        <v>0</v>
      </c>
      <c r="AU139" s="121">
        <f>SUMIFS(培训费明细!$G:$G,培训费明细!$B:$B,$E139,培训费明细!$C:$C,$F139,培训费明细!$F:$F,"&gt;="&amp;AU$9,培训费明细!$F:$F,"&lt;="&amp;AU$10,培训费明细!$A:$A,AU$6)/10000</f>
        <v>0</v>
      </c>
      <c r="AV139" s="121">
        <f>SUMIFS(培训费明细!$G:$G,培训费明细!$B:$B,$E139,培训费明细!$C:$C,$F139,培训费明细!$F:$F,"&gt;="&amp;AV$9,培训费明细!$F:$F,"&lt;="&amp;AV$10,培训费明细!$A:$A,AV$6)/10000</f>
        <v>0</v>
      </c>
      <c r="AW139" s="121">
        <f>SUMIFS(培训费明细!$G:$G,培训费明细!$B:$B,$E139,培训费明细!$C:$C,$F139,培训费明细!$F:$F,"&gt;="&amp;AW$9,培训费明细!$F:$F,"&lt;="&amp;AW$10,培训费明细!$A:$A,AW$6)/10000</f>
        <v>0</v>
      </c>
      <c r="AX139" s="121">
        <f>SUMIFS(培训费明细!$G:$G,培训费明细!$B:$B,$E139,培训费明细!$C:$C,$F139,培训费明细!$F:$F,"&gt;="&amp;AX$9,培训费明细!$F:$F,"&lt;="&amp;AX$10,培训费明细!$A:$A,AX$6)/10000</f>
        <v>0</v>
      </c>
      <c r="AY139" s="121">
        <f>SUMIFS(培训费明细!$G:$G,培训费明细!$B:$B,$E139,培训费明细!$C:$C,$F139,培训费明细!$F:$F,"&gt;="&amp;AY$9,培训费明细!$F:$F,"&lt;="&amp;AY$10,培训费明细!$A:$A,AY$6)/10000</f>
        <v>0</v>
      </c>
      <c r="AZ139" s="121">
        <f>SUMIFS(培训费明细!$G:$G,培训费明细!$B:$B,$E139,培训费明细!$C:$C,$F139,培训费明细!$F:$F,"&gt;="&amp;AZ$9,培训费明细!$F:$F,"&lt;="&amp;AZ$10,培训费明细!$A:$A,AZ$6)/10000</f>
        <v>0</v>
      </c>
      <c r="BA139" s="121">
        <f>SUMIFS(培训费明细!$G:$G,培训费明细!$B:$B,$E139,培训费明细!$C:$C,$F139,培训费明细!$F:$F,"&gt;="&amp;BA$9,培训费明细!$F:$F,"&lt;="&amp;BA$10,培训费明细!$A:$A,BA$6)/10000</f>
        <v>0</v>
      </c>
      <c r="BB139" s="121">
        <f>SUMIFS(培训费明细!$G:$G,培训费明细!$B:$B,$E139,培训费明细!$C:$C,$F139,培训费明细!$F:$F,"&gt;="&amp;BB$9,培训费明细!$F:$F,"&lt;="&amp;BB$10,培训费明细!$A:$A,BB$6)/10000</f>
        <v>0</v>
      </c>
      <c r="BC139" s="121">
        <f>SUMIFS(培训费明细!$G:$G,培训费明细!$B:$B,$E139,培训费明细!$C:$C,$F139,培训费明细!$F:$F,"&gt;="&amp;BC$9,培训费明细!$F:$F,"&lt;="&amp;BC$10,培训费明细!$A:$A,BC$6)/10000</f>
        <v>0</v>
      </c>
      <c r="BD139" s="121">
        <f>SUMIFS(培训费明细!$G:$G,培训费明细!$B:$B,$E139,培训费明细!$C:$C,$F139,培训费明细!$F:$F,"&gt;="&amp;BD$9,培训费明细!$F:$F,"&lt;="&amp;BD$10,培训费明细!$A:$A,BD$6)/10000</f>
        <v>0</v>
      </c>
      <c r="BE139" s="121">
        <f>SUMIFS(培训费明细!$G:$G,培训费明细!$B:$B,$E139,培训费明细!$C:$C,$F139,培训费明细!$F:$F,"&gt;="&amp;BE$9,培训费明细!$F:$F,"&lt;="&amp;BE$10,培训费明细!$A:$A,BE$6)/10000</f>
        <v>0</v>
      </c>
      <c r="BF139" s="121">
        <f>SUMIFS(培训费明细!$G:$G,培训费明细!$B:$B,$E139,培训费明细!$C:$C,$F139,培训费明细!$F:$F,"&gt;="&amp;BF$9,培训费明细!$F:$F,"&lt;="&amp;BF$10,培训费明细!$A:$A,BF$6)/10000</f>
        <v>0</v>
      </c>
      <c r="BG139" s="121">
        <f>SUMIFS(培训费明细!$G:$G,培训费明细!$B:$B,$E139,培训费明细!$C:$C,$F139,培训费明细!$F:$F,"&gt;="&amp;BG$9,培训费明细!$F:$F,"&lt;="&amp;BG$10,培训费明细!$A:$A,BG$6)/10000</f>
        <v>0</v>
      </c>
    </row>
    <row r="140" ht="16.2" spans="3:59">
      <c r="C140" s="42" t="s">
        <v>86</v>
      </c>
      <c r="D140" s="42"/>
      <c r="E140" s="116" t="str">
        <f t="shared" si="102"/>
        <v>支持中心</v>
      </c>
      <c r="F140" s="116" t="str">
        <f t="shared" si="103"/>
        <v>*</v>
      </c>
      <c r="G140" s="121">
        <f>SUMIFS(培训费明细!$G:$G,培训费明细!$B:$B,$E140,培训费明细!$C:$C,$F140,培训费明细!$F:$F,"&gt;="&amp;G$9,培训费明细!$F:$F,"&lt;="&amp;G$10,培训费明细!$A:$A,G$6)/10000</f>
        <v>3</v>
      </c>
      <c r="H140" s="121">
        <f>SUMIFS(培训费明细!$G:$G,培训费明细!$B:$B,$E140,培训费明细!$C:$C,$F140,培训费明细!$F:$F,"&gt;="&amp;H$9,培训费明细!$F:$F,"&lt;="&amp;H$10,培训费明细!$A:$A,H$6)/10000</f>
        <v>3</v>
      </c>
      <c r="I140" s="121">
        <f>SUMIFS(培训费明细!$G:$G,培训费明细!$B:$B,$E140,培训费明细!$C:$C,$F140,培训费明细!$F:$F,"&gt;="&amp;I$9,培训费明细!$F:$F,"&lt;="&amp;I$10,培训费明细!$A:$A,I$6)/10000</f>
        <v>0</v>
      </c>
      <c r="J140" s="121">
        <f>SUMIFS(培训费明细!$G:$G,培训费明细!$B:$B,$E140,培训费明细!$C:$C,$F140,培训费明细!$F:$F,"&gt;="&amp;J$9,培训费明细!$F:$F,"&lt;="&amp;J$10,培训费明细!$A:$A,J$6)/10000</f>
        <v>0</v>
      </c>
      <c r="K140" s="121">
        <f>SUMIFS(培训费明细!$G:$G,培训费明细!$B:$B,$E140,培训费明细!$C:$C,$F140,培训费明细!$F:$F,"&gt;="&amp;K$9,培训费明细!$F:$F,"&lt;="&amp;K$10,培训费明细!$A:$A,K$6)/10000</f>
        <v>0</v>
      </c>
      <c r="L140" s="121">
        <f>SUMIFS(培训费明细!$G:$G,培训费明细!$B:$B,$E140,培训费明细!$C:$C,$F140,培训费明细!$F:$F,"&gt;="&amp;L$9,培训费明细!$F:$F,"&lt;="&amp;L$10,培训费明细!$A:$A,L$6)/10000</f>
        <v>0</v>
      </c>
      <c r="M140" s="121">
        <f>SUMIFS(培训费明细!$G:$G,培训费明细!$B:$B,$E140,培训费明细!$C:$C,$F140,培训费明细!$F:$F,"&gt;="&amp;M$9,培训费明细!$F:$F,"&lt;="&amp;M$10,培训费明细!$A:$A,M$6)/10000</f>
        <v>0</v>
      </c>
      <c r="N140" s="121">
        <f>SUMIFS(培训费明细!$G:$G,培训费明细!$B:$B,$E140,培训费明细!$C:$C,$F140,培训费明细!$F:$F,"&gt;="&amp;N$9,培训费明细!$F:$F,"&lt;="&amp;N$10,培训费明细!$A:$A,N$6)/10000</f>
        <v>0</v>
      </c>
      <c r="O140" s="121">
        <f>SUMIFS(培训费明细!$G:$G,培训费明细!$B:$B,$E140,培训费明细!$C:$C,$F140,培训费明细!$F:$F,"&gt;="&amp;O$9,培训费明细!$F:$F,"&lt;="&amp;O$10,培训费明细!$A:$A,O$6)/10000</f>
        <v>0</v>
      </c>
      <c r="P140" s="121">
        <f>SUMIFS(培训费明细!$G:$G,培训费明细!$B:$B,$E140,培训费明细!$C:$C,$F140,培训费明细!$F:$F,"&gt;="&amp;P$9,培训费明细!$F:$F,"&lt;="&amp;P$10,培训费明细!$A:$A,P$6)/10000</f>
        <v>0</v>
      </c>
      <c r="Q140" s="121">
        <f>SUMIFS(培训费明细!$G:$G,培训费明细!$B:$B,$E140,培训费明细!$C:$C,$F140,培训费明细!$F:$F,"&gt;="&amp;Q$9,培训费明细!$F:$F,"&lt;="&amp;Q$10,培训费明细!$A:$A,Q$6)/10000</f>
        <v>0</v>
      </c>
      <c r="R140" s="121">
        <f>SUMIFS(培训费明细!$G:$G,培训费明细!$B:$B,$E140,培训费明细!$C:$C,$F140,培训费明细!$F:$F,"&gt;="&amp;R$9,培训费明细!$F:$F,"&lt;="&amp;R$10,培训费明细!$A:$A,R$6)/10000</f>
        <v>0</v>
      </c>
      <c r="S140" s="121">
        <f>SUMIFS(培训费明细!$G:$G,培训费明细!$B:$B,$E140,培训费明细!$C:$C,$F140,培训费明细!$F:$F,"&gt;="&amp;S$9,培训费明细!$F:$F,"&lt;="&amp;S$10,培训费明细!$A:$A,S$6)/10000</f>
        <v>0</v>
      </c>
      <c r="T140" s="125">
        <f t="shared" si="104"/>
        <v>22</v>
      </c>
      <c r="U140" s="121">
        <f>SUMIFS(培训费明细!$G:$G,培训费明细!$B:$B,$E140,培训费明细!$C:$C,$F140,培训费明细!$F:$F,"&gt;="&amp;U$9,培训费明细!$F:$F,"&lt;="&amp;U$10,培训费明细!$A:$A,U$6)/10000</f>
        <v>15</v>
      </c>
      <c r="V140" s="121">
        <f>SUMIFS(培训费明细!$G:$G,培训费明细!$B:$B,$E140,培训费明细!$C:$C,$F140,培训费明细!$F:$F,"&gt;="&amp;V$9,培训费明细!$F:$F,"&lt;="&amp;V$10,培训费明细!$A:$A,V$6)/10000</f>
        <v>15</v>
      </c>
      <c r="W140" s="121">
        <f>SUMIFS(培训费明细!$G:$G,培训费明细!$B:$B,$E140,培训费明细!$C:$C,$F140,培训费明细!$F:$F,"&gt;="&amp;W$9,培训费明细!$F:$F,"&lt;="&amp;W$10,培训费明细!$A:$A,W$6)/10000</f>
        <v>0</v>
      </c>
      <c r="X140" s="121">
        <f>SUMIFS(培训费明细!$G:$G,培训费明细!$B:$B,$E140,培训费明细!$C:$C,$F140,培训费明细!$F:$F,"&gt;="&amp;X$9,培训费明细!$F:$F,"&lt;="&amp;X$10,培训费明细!$A:$A,X$6)/10000</f>
        <v>0</v>
      </c>
      <c r="Y140" s="121">
        <f>SUMIFS(培训费明细!$G:$G,培训费明细!$B:$B,$E140,培训费明细!$C:$C,$F140,培训费明细!$F:$F,"&gt;="&amp;Y$9,培训费明细!$F:$F,"&lt;="&amp;Y$10,培训费明细!$A:$A,Y$6)/10000</f>
        <v>0</v>
      </c>
      <c r="Z140" s="121">
        <f>SUMIFS(培训费明细!$G:$G,培训费明细!$B:$B,$E140,培训费明细!$C:$C,$F140,培训费明细!$F:$F,"&gt;="&amp;Z$9,培训费明细!$F:$F,"&lt;="&amp;Z$10,培训费明细!$A:$A,Z$6)/10000</f>
        <v>0</v>
      </c>
      <c r="AA140" s="121">
        <f>SUMIFS(培训费明细!$G:$G,培训费明细!$B:$B,$E140,培训费明细!$C:$C,$F140,培训费明细!$F:$F,"&gt;="&amp;AA$9,培训费明细!$F:$F,"&lt;="&amp;AA$10,培训费明细!$A:$A,AA$6)/10000</f>
        <v>0</v>
      </c>
      <c r="AB140" s="121">
        <f>SUMIFS(培训费明细!$G:$G,培训费明细!$B:$B,$E140,培训费明细!$C:$C,$F140,培训费明细!$F:$F,"&gt;="&amp;AB$9,培训费明细!$F:$F,"&lt;="&amp;AB$10,培训费明细!$A:$A,AB$6)/10000</f>
        <v>0</v>
      </c>
      <c r="AC140" s="121">
        <f>SUMIFS(培训费明细!$G:$G,培训费明细!$B:$B,$E140,培训费明细!$C:$C,$F140,培训费明细!$F:$F,"&gt;="&amp;AC$9,培训费明细!$F:$F,"&lt;="&amp;AC$10,培训费明细!$A:$A,AC$6)/10000</f>
        <v>0</v>
      </c>
      <c r="AD140" s="121">
        <f>SUMIFS(培训费明细!$G:$G,培训费明细!$B:$B,$E140,培训费明细!$C:$C,$F140,培训费明细!$F:$F,"&gt;="&amp;AD$9,培训费明细!$F:$F,"&lt;="&amp;AD$10,培训费明细!$A:$A,AD$6)/10000</f>
        <v>0</v>
      </c>
      <c r="AE140" s="121">
        <f>SUMIFS(培训费明细!$G:$G,培训费明细!$B:$B,$E140,培训费明细!$C:$C,$F140,培训费明细!$F:$F,"&gt;="&amp;AE$9,培训费明细!$F:$F,"&lt;="&amp;AE$10,培训费明细!$A:$A,AE$6)/10000</f>
        <v>0</v>
      </c>
      <c r="AF140" s="121">
        <f>SUMIFS(培训费明细!$G:$G,培训费明细!$B:$B,$E140,培训费明细!$C:$C,$F140,培训费明细!$F:$F,"&gt;="&amp;AF$9,培训费明细!$F:$F,"&lt;="&amp;AF$10,培训费明细!$A:$A,AF$6)/10000</f>
        <v>0</v>
      </c>
      <c r="AG140" s="121">
        <f>SUMIFS(培训费明细!$G:$G,培训费明细!$B:$B,$E140,培训费明细!$C:$C,$F140,培训费明细!$F:$F,"&gt;="&amp;AG$9,培训费明细!$F:$F,"&lt;="&amp;AG$10,培训费明细!$A:$A,AG$6)/10000</f>
        <v>0</v>
      </c>
      <c r="AH140" s="121">
        <f>SUMIFS(培训费明细!$G:$G,培训费明细!$B:$B,$E140,培训费明细!$C:$C,$F140,培训费明细!$F:$F,"&gt;="&amp;AH$9,培训费明细!$F:$F,"&lt;="&amp;AH$10,培训费明细!$A:$A,AH$6)/10000</f>
        <v>7</v>
      </c>
      <c r="AI140" s="121">
        <f>SUMIFS(培训费明细!$G:$G,培训费明细!$B:$B,$E140,培训费明细!$C:$C,$F140,培训费明细!$F:$F,"&gt;="&amp;AI$9,培训费明细!$F:$F,"&lt;="&amp;AI$10,培训费明细!$A:$A,AI$6)/10000</f>
        <v>0</v>
      </c>
      <c r="AJ140" s="121">
        <f>SUMIFS(培训费明细!$G:$G,培训费明细!$B:$B,$E140,培训费明细!$C:$C,$F140,培训费明细!$F:$F,"&gt;="&amp;AJ$9,培训费明细!$F:$F,"&lt;="&amp;AJ$10,培训费明细!$A:$A,AJ$6)/10000</f>
        <v>0</v>
      </c>
      <c r="AK140" s="121">
        <f>SUMIFS(培训费明细!$G:$G,培训费明细!$B:$B,$E140,培训费明细!$C:$C,$F140,培训费明细!$F:$F,"&gt;="&amp;AK$9,培训费明细!$F:$F,"&lt;="&amp;AK$10,培训费明细!$A:$A,AK$6)/10000</f>
        <v>0</v>
      </c>
      <c r="AL140" s="121">
        <f>SUMIFS(培训费明细!$G:$G,培训费明细!$B:$B,$E140,培训费明细!$C:$C,$F140,培训费明细!$F:$F,"&gt;="&amp;AL$9,培训费明细!$F:$F,"&lt;="&amp;AL$10,培训费明细!$A:$A,AL$6)/10000</f>
        <v>0</v>
      </c>
      <c r="AM140" s="121">
        <f>SUMIFS(培训费明细!$G:$G,培训费明细!$B:$B,$E140,培训费明细!$C:$C,$F140,培训费明细!$F:$F,"&gt;="&amp;AM$9,培训费明细!$F:$F,"&lt;="&amp;AM$10,培训费明细!$A:$A,AM$6)/10000</f>
        <v>0</v>
      </c>
      <c r="AN140" s="121">
        <f>SUMIFS(培训费明细!$G:$G,培训费明细!$B:$B,$E140,培训费明细!$C:$C,$F140,培训费明细!$F:$F,"&gt;="&amp;AN$9,培训费明细!$F:$F,"&lt;="&amp;AN$10,培训费明细!$A:$A,AN$6)/10000</f>
        <v>0</v>
      </c>
      <c r="AO140" s="121">
        <f>SUMIFS(培训费明细!$G:$G,培训费明细!$B:$B,$E140,培训费明细!$C:$C,$F140,培训费明细!$F:$F,"&gt;="&amp;AO$9,培训费明细!$F:$F,"&lt;="&amp;AO$10,培训费明细!$A:$A,AO$6)/10000</f>
        <v>0</v>
      </c>
      <c r="AP140" s="121">
        <f>SUMIFS(培训费明细!$G:$G,培训费明细!$B:$B,$E140,培训费明细!$C:$C,$F140,培训费明细!$F:$F,"&gt;="&amp;AP$9,培训费明细!$F:$F,"&lt;="&amp;AP$10,培训费明细!$A:$A,AP$6)/10000</f>
        <v>0</v>
      </c>
      <c r="AQ140" s="121">
        <f>SUMIFS(培训费明细!$G:$G,培训费明细!$B:$B,$E140,培训费明细!$C:$C,$F140,培训费明细!$F:$F,"&gt;="&amp;AQ$9,培训费明细!$F:$F,"&lt;="&amp;AQ$10,培训费明细!$A:$A,AQ$6)/10000</f>
        <v>0</v>
      </c>
      <c r="AR140" s="121">
        <f>SUMIFS(培训费明细!$G:$G,培训费明细!$B:$B,$E140,培训费明细!$C:$C,$F140,培训费明细!$F:$F,"&gt;="&amp;AR$9,培训费明细!$F:$F,"&lt;="&amp;AR$10,培训费明细!$A:$A,AR$6)/10000</f>
        <v>0</v>
      </c>
      <c r="AS140" s="121">
        <f>SUMIFS(培训费明细!$G:$G,培训费明细!$B:$B,$E140,培训费明细!$C:$C,$F140,培训费明细!$F:$F,"&gt;="&amp;AS$9,培训费明细!$F:$F,"&lt;="&amp;AS$10,培训费明细!$A:$A,AS$6)/10000</f>
        <v>7</v>
      </c>
      <c r="AT140" s="121">
        <f>SUMIFS(培训费明细!$G:$G,培训费明细!$B:$B,$E140,培训费明细!$C:$C,$F140,培训费明细!$F:$F,"&gt;="&amp;AT$9,培训费明细!$F:$F,"&lt;="&amp;AT$10,培训费明细!$A:$A,AT$6)/10000</f>
        <v>0</v>
      </c>
      <c r="AU140" s="121">
        <f>SUMIFS(培训费明细!$G:$G,培训费明细!$B:$B,$E140,培训费明细!$C:$C,$F140,培训费明细!$F:$F,"&gt;="&amp;AU$9,培训费明细!$F:$F,"&lt;="&amp;AU$10,培训费明细!$A:$A,AU$6)/10000</f>
        <v>29.8</v>
      </c>
      <c r="AV140" s="121">
        <f>SUMIFS(培训费明细!$G:$G,培训费明细!$B:$B,$E140,培训费明细!$C:$C,$F140,培训费明细!$F:$F,"&gt;="&amp;AV$9,培训费明细!$F:$F,"&lt;="&amp;AV$10,培训费明细!$A:$A,AV$6)/10000</f>
        <v>0</v>
      </c>
      <c r="AW140" s="121">
        <f>SUMIFS(培训费明细!$G:$G,培训费明细!$B:$B,$E140,培训费明细!$C:$C,$F140,培训费明细!$F:$F,"&gt;="&amp;AW$9,培训费明细!$F:$F,"&lt;="&amp;AW$10,培训费明细!$A:$A,AW$6)/10000</f>
        <v>0</v>
      </c>
      <c r="AX140" s="121">
        <f>SUMIFS(培训费明细!$G:$G,培训费明细!$B:$B,$E140,培训费明细!$C:$C,$F140,培训费明细!$F:$F,"&gt;="&amp;AX$9,培训费明细!$F:$F,"&lt;="&amp;AX$10,培训费明细!$A:$A,AX$6)/10000</f>
        <v>0</v>
      </c>
      <c r="AY140" s="121">
        <f>SUMIFS(培训费明细!$G:$G,培训费明细!$B:$B,$E140,培训费明细!$C:$C,$F140,培训费明细!$F:$F,"&gt;="&amp;AY$9,培训费明细!$F:$F,"&lt;="&amp;AY$10,培训费明细!$A:$A,AY$6)/10000</f>
        <v>0</v>
      </c>
      <c r="AZ140" s="121">
        <f>SUMIFS(培训费明细!$G:$G,培训费明细!$B:$B,$E140,培训费明细!$C:$C,$F140,培训费明细!$F:$F,"&gt;="&amp;AZ$9,培训费明细!$F:$F,"&lt;="&amp;AZ$10,培训费明细!$A:$A,AZ$6)/10000</f>
        <v>0</v>
      </c>
      <c r="BA140" s="121">
        <f>SUMIFS(培训费明细!$G:$G,培训费明细!$B:$B,$E140,培训费明细!$C:$C,$F140,培训费明细!$F:$F,"&gt;="&amp;BA$9,培训费明细!$F:$F,"&lt;="&amp;BA$10,培训费明细!$A:$A,BA$6)/10000</f>
        <v>0</v>
      </c>
      <c r="BB140" s="121">
        <f>SUMIFS(培训费明细!$G:$G,培训费明细!$B:$B,$E140,培训费明细!$C:$C,$F140,培训费明细!$F:$F,"&gt;="&amp;BB$9,培训费明细!$F:$F,"&lt;="&amp;BB$10,培训费明细!$A:$A,BB$6)/10000</f>
        <v>0</v>
      </c>
      <c r="BC140" s="121">
        <f>SUMIFS(培训费明细!$G:$G,培训费明细!$B:$B,$E140,培训费明细!$C:$C,$F140,培训费明细!$F:$F,"&gt;="&amp;BC$9,培训费明细!$F:$F,"&lt;="&amp;BC$10,培训费明细!$A:$A,BC$6)/10000</f>
        <v>0</v>
      </c>
      <c r="BD140" s="121">
        <f>SUMIFS(培训费明细!$G:$G,培训费明细!$B:$B,$E140,培训费明细!$C:$C,$F140,培训费明细!$F:$F,"&gt;="&amp;BD$9,培训费明细!$F:$F,"&lt;="&amp;BD$10,培训费明细!$A:$A,BD$6)/10000</f>
        <v>0</v>
      </c>
      <c r="BE140" s="121">
        <f>SUMIFS(培训费明细!$G:$G,培训费明细!$B:$B,$E140,培训费明细!$C:$C,$F140,培训费明细!$F:$F,"&gt;="&amp;BE$9,培训费明细!$F:$F,"&lt;="&amp;BE$10,培训费明细!$A:$A,BE$6)/10000</f>
        <v>29.8</v>
      </c>
      <c r="BF140" s="121">
        <f>SUMIFS(培训费明细!$G:$G,培训费明细!$B:$B,$E140,培训费明细!$C:$C,$F140,培训费明细!$F:$F,"&gt;="&amp;BF$9,培训费明细!$F:$F,"&lt;="&amp;BF$10,培训费明细!$A:$A,BF$6)/10000</f>
        <v>0</v>
      </c>
      <c r="BG140" s="121">
        <f>SUMIFS(培训费明细!$G:$G,培训费明细!$B:$B,$E140,培训费明细!$C:$C,$F140,培训费明细!$F:$F,"&gt;="&amp;BG$9,培训费明细!$F:$F,"&lt;="&amp;BG$10,培训费明细!$A:$A,BG$6)/10000</f>
        <v>0</v>
      </c>
    </row>
    <row r="141" ht="16.2" spans="3:59">
      <c r="C141" s="42"/>
      <c r="D141" s="42" t="s">
        <v>87</v>
      </c>
      <c r="E141" s="116" t="str">
        <f t="shared" si="102"/>
        <v>支持中心</v>
      </c>
      <c r="F141" s="116" t="str">
        <f t="shared" si="103"/>
        <v>财务部</v>
      </c>
      <c r="G141" s="121">
        <f>SUMIFS(培训费明细!$G:$G,培训费明细!$B:$B,$E141,培训费明细!$C:$C,$F141,培训费明细!$F:$F,"&gt;="&amp;G$9,培训费明细!$F:$F,"&lt;="&amp;G$10,培训费明细!$A:$A,G$6)/10000</f>
        <v>0</v>
      </c>
      <c r="H141" s="121">
        <f>SUMIFS(培训费明细!$G:$G,培训费明细!$B:$B,$E141,培训费明细!$C:$C,$F141,培训费明细!$F:$F,"&gt;="&amp;H$9,培训费明细!$F:$F,"&lt;="&amp;H$10,培训费明细!$A:$A,H$6)/10000</f>
        <v>0</v>
      </c>
      <c r="I141" s="121">
        <f>SUMIFS(培训费明细!$G:$G,培训费明细!$B:$B,$E141,培训费明细!$C:$C,$F141,培训费明细!$F:$F,"&gt;="&amp;I$9,培训费明细!$F:$F,"&lt;="&amp;I$10,培训费明细!$A:$A,I$6)/10000</f>
        <v>0</v>
      </c>
      <c r="J141" s="121">
        <f>SUMIFS(培训费明细!$G:$G,培训费明细!$B:$B,$E141,培训费明细!$C:$C,$F141,培训费明细!$F:$F,"&gt;="&amp;J$9,培训费明细!$F:$F,"&lt;="&amp;J$10,培训费明细!$A:$A,J$6)/10000</f>
        <v>0</v>
      </c>
      <c r="K141" s="121">
        <f>SUMIFS(培训费明细!$G:$G,培训费明细!$B:$B,$E141,培训费明细!$C:$C,$F141,培训费明细!$F:$F,"&gt;="&amp;K$9,培训费明细!$F:$F,"&lt;="&amp;K$10,培训费明细!$A:$A,K$6)/10000</f>
        <v>0</v>
      </c>
      <c r="L141" s="121">
        <f>SUMIFS(培训费明细!$G:$G,培训费明细!$B:$B,$E141,培训费明细!$C:$C,$F141,培训费明细!$F:$F,"&gt;="&amp;L$9,培训费明细!$F:$F,"&lt;="&amp;L$10,培训费明细!$A:$A,L$6)/10000</f>
        <v>0</v>
      </c>
      <c r="M141" s="121">
        <f>SUMIFS(培训费明细!$G:$G,培训费明细!$B:$B,$E141,培训费明细!$C:$C,$F141,培训费明细!$F:$F,"&gt;="&amp;M$9,培训费明细!$F:$F,"&lt;="&amp;M$10,培训费明细!$A:$A,M$6)/10000</f>
        <v>0</v>
      </c>
      <c r="N141" s="121">
        <f>SUMIFS(培训费明细!$G:$G,培训费明细!$B:$B,$E141,培训费明细!$C:$C,$F141,培训费明细!$F:$F,"&gt;="&amp;N$9,培训费明细!$F:$F,"&lt;="&amp;N$10,培训费明细!$A:$A,N$6)/10000</f>
        <v>0</v>
      </c>
      <c r="O141" s="121">
        <f>SUMIFS(培训费明细!$G:$G,培训费明细!$B:$B,$E141,培训费明细!$C:$C,$F141,培训费明细!$F:$F,"&gt;="&amp;O$9,培训费明细!$F:$F,"&lt;="&amp;O$10,培训费明细!$A:$A,O$6)/10000</f>
        <v>0</v>
      </c>
      <c r="P141" s="121">
        <f>SUMIFS(培训费明细!$G:$G,培训费明细!$B:$B,$E141,培训费明细!$C:$C,$F141,培训费明细!$F:$F,"&gt;="&amp;P$9,培训费明细!$F:$F,"&lt;="&amp;P$10,培训费明细!$A:$A,P$6)/10000</f>
        <v>0</v>
      </c>
      <c r="Q141" s="121">
        <f>SUMIFS(培训费明细!$G:$G,培训费明细!$B:$B,$E141,培训费明细!$C:$C,$F141,培训费明细!$F:$F,"&gt;="&amp;Q$9,培训费明细!$F:$F,"&lt;="&amp;Q$10,培训费明细!$A:$A,Q$6)/10000</f>
        <v>0</v>
      </c>
      <c r="R141" s="121">
        <f>SUMIFS(培训费明细!$G:$G,培训费明细!$B:$B,$E141,培训费明细!$C:$C,$F141,培训费明细!$F:$F,"&gt;="&amp;R$9,培训费明细!$F:$F,"&lt;="&amp;R$10,培训费明细!$A:$A,R$6)/10000</f>
        <v>0</v>
      </c>
      <c r="S141" s="121">
        <f>SUMIFS(培训费明细!$G:$G,培训费明细!$B:$B,$E141,培训费明细!$C:$C,$F141,培训费明细!$F:$F,"&gt;="&amp;S$9,培训费明细!$F:$F,"&lt;="&amp;S$10,培训费明细!$A:$A,S$6)/10000</f>
        <v>0</v>
      </c>
      <c r="T141" s="125">
        <f t="shared" si="104"/>
        <v>0</v>
      </c>
      <c r="U141" s="121">
        <f>SUMIFS(培训费明细!$G:$G,培训费明细!$B:$B,$E141,培训费明细!$C:$C,$F141,培训费明细!$F:$F,"&gt;="&amp;U$9,培训费明细!$F:$F,"&lt;="&amp;U$10,培训费明细!$A:$A,U$6)/10000</f>
        <v>0</v>
      </c>
      <c r="V141" s="121">
        <f>SUMIFS(培训费明细!$G:$G,培训费明细!$B:$B,$E141,培训费明细!$C:$C,$F141,培训费明细!$F:$F,"&gt;="&amp;V$9,培训费明细!$F:$F,"&lt;="&amp;V$10,培训费明细!$A:$A,V$6)/10000</f>
        <v>0</v>
      </c>
      <c r="W141" s="121">
        <f>SUMIFS(培训费明细!$G:$G,培训费明细!$B:$B,$E141,培训费明细!$C:$C,$F141,培训费明细!$F:$F,"&gt;="&amp;W$9,培训费明细!$F:$F,"&lt;="&amp;W$10,培训费明细!$A:$A,W$6)/10000</f>
        <v>0</v>
      </c>
      <c r="X141" s="121">
        <f>SUMIFS(培训费明细!$G:$G,培训费明细!$B:$B,$E141,培训费明细!$C:$C,$F141,培训费明细!$F:$F,"&gt;="&amp;X$9,培训费明细!$F:$F,"&lt;="&amp;X$10,培训费明细!$A:$A,X$6)/10000</f>
        <v>0</v>
      </c>
      <c r="Y141" s="121">
        <f>SUMIFS(培训费明细!$G:$G,培训费明细!$B:$B,$E141,培训费明细!$C:$C,$F141,培训费明细!$F:$F,"&gt;="&amp;Y$9,培训费明细!$F:$F,"&lt;="&amp;Y$10,培训费明细!$A:$A,Y$6)/10000</f>
        <v>0</v>
      </c>
      <c r="Z141" s="121">
        <f>SUMIFS(培训费明细!$G:$G,培训费明细!$B:$B,$E141,培训费明细!$C:$C,$F141,培训费明细!$F:$F,"&gt;="&amp;Z$9,培训费明细!$F:$F,"&lt;="&amp;Z$10,培训费明细!$A:$A,Z$6)/10000</f>
        <v>0</v>
      </c>
      <c r="AA141" s="121">
        <f>SUMIFS(培训费明细!$G:$G,培训费明细!$B:$B,$E141,培训费明细!$C:$C,$F141,培训费明细!$F:$F,"&gt;="&amp;AA$9,培训费明细!$F:$F,"&lt;="&amp;AA$10,培训费明细!$A:$A,AA$6)/10000</f>
        <v>0</v>
      </c>
      <c r="AB141" s="121">
        <f>SUMIFS(培训费明细!$G:$G,培训费明细!$B:$B,$E141,培训费明细!$C:$C,$F141,培训费明细!$F:$F,"&gt;="&amp;AB$9,培训费明细!$F:$F,"&lt;="&amp;AB$10,培训费明细!$A:$A,AB$6)/10000</f>
        <v>0</v>
      </c>
      <c r="AC141" s="121">
        <f>SUMIFS(培训费明细!$G:$G,培训费明细!$B:$B,$E141,培训费明细!$C:$C,$F141,培训费明细!$F:$F,"&gt;="&amp;AC$9,培训费明细!$F:$F,"&lt;="&amp;AC$10,培训费明细!$A:$A,AC$6)/10000</f>
        <v>0</v>
      </c>
      <c r="AD141" s="121">
        <f>SUMIFS(培训费明细!$G:$G,培训费明细!$B:$B,$E141,培训费明细!$C:$C,$F141,培训费明细!$F:$F,"&gt;="&amp;AD$9,培训费明细!$F:$F,"&lt;="&amp;AD$10,培训费明细!$A:$A,AD$6)/10000</f>
        <v>0</v>
      </c>
      <c r="AE141" s="121">
        <f>SUMIFS(培训费明细!$G:$G,培训费明细!$B:$B,$E141,培训费明细!$C:$C,$F141,培训费明细!$F:$F,"&gt;="&amp;AE$9,培训费明细!$F:$F,"&lt;="&amp;AE$10,培训费明细!$A:$A,AE$6)/10000</f>
        <v>0</v>
      </c>
      <c r="AF141" s="121">
        <f>SUMIFS(培训费明细!$G:$G,培训费明细!$B:$B,$E141,培训费明细!$C:$C,$F141,培训费明细!$F:$F,"&gt;="&amp;AF$9,培训费明细!$F:$F,"&lt;="&amp;AF$10,培训费明细!$A:$A,AF$6)/10000</f>
        <v>0</v>
      </c>
      <c r="AG141" s="121">
        <f>SUMIFS(培训费明细!$G:$G,培训费明细!$B:$B,$E141,培训费明细!$C:$C,$F141,培训费明细!$F:$F,"&gt;="&amp;AG$9,培训费明细!$F:$F,"&lt;="&amp;AG$10,培训费明细!$A:$A,AG$6)/10000</f>
        <v>0</v>
      </c>
      <c r="AH141" s="121">
        <f>SUMIFS(培训费明细!$G:$G,培训费明细!$B:$B,$E141,培训费明细!$C:$C,$F141,培训费明细!$F:$F,"&gt;="&amp;AH$9,培训费明细!$F:$F,"&lt;="&amp;AH$10,培训费明细!$A:$A,AH$6)/10000</f>
        <v>0</v>
      </c>
      <c r="AI141" s="121">
        <f>SUMIFS(培训费明细!$G:$G,培训费明细!$B:$B,$E141,培训费明细!$C:$C,$F141,培训费明细!$F:$F,"&gt;="&amp;AI$9,培训费明细!$F:$F,"&lt;="&amp;AI$10,培训费明细!$A:$A,AI$6)/10000</f>
        <v>0</v>
      </c>
      <c r="AJ141" s="121">
        <f>SUMIFS(培训费明细!$G:$G,培训费明细!$B:$B,$E141,培训费明细!$C:$C,$F141,培训费明细!$F:$F,"&gt;="&amp;AJ$9,培训费明细!$F:$F,"&lt;="&amp;AJ$10,培训费明细!$A:$A,AJ$6)/10000</f>
        <v>0</v>
      </c>
      <c r="AK141" s="121">
        <f>SUMIFS(培训费明细!$G:$G,培训费明细!$B:$B,$E141,培训费明细!$C:$C,$F141,培训费明细!$F:$F,"&gt;="&amp;AK$9,培训费明细!$F:$F,"&lt;="&amp;AK$10,培训费明细!$A:$A,AK$6)/10000</f>
        <v>0</v>
      </c>
      <c r="AL141" s="121">
        <f>SUMIFS(培训费明细!$G:$G,培训费明细!$B:$B,$E141,培训费明细!$C:$C,$F141,培训费明细!$F:$F,"&gt;="&amp;AL$9,培训费明细!$F:$F,"&lt;="&amp;AL$10,培训费明细!$A:$A,AL$6)/10000</f>
        <v>0</v>
      </c>
      <c r="AM141" s="121">
        <f>SUMIFS(培训费明细!$G:$G,培训费明细!$B:$B,$E141,培训费明细!$C:$C,$F141,培训费明细!$F:$F,"&gt;="&amp;AM$9,培训费明细!$F:$F,"&lt;="&amp;AM$10,培训费明细!$A:$A,AM$6)/10000</f>
        <v>0</v>
      </c>
      <c r="AN141" s="121">
        <f>SUMIFS(培训费明细!$G:$G,培训费明细!$B:$B,$E141,培训费明细!$C:$C,$F141,培训费明细!$F:$F,"&gt;="&amp;AN$9,培训费明细!$F:$F,"&lt;="&amp;AN$10,培训费明细!$A:$A,AN$6)/10000</f>
        <v>0</v>
      </c>
      <c r="AO141" s="121">
        <f>SUMIFS(培训费明细!$G:$G,培训费明细!$B:$B,$E141,培训费明细!$C:$C,$F141,培训费明细!$F:$F,"&gt;="&amp;AO$9,培训费明细!$F:$F,"&lt;="&amp;AO$10,培训费明细!$A:$A,AO$6)/10000</f>
        <v>0</v>
      </c>
      <c r="AP141" s="121">
        <f>SUMIFS(培训费明细!$G:$G,培训费明细!$B:$B,$E141,培训费明细!$C:$C,$F141,培训费明细!$F:$F,"&gt;="&amp;AP$9,培训费明细!$F:$F,"&lt;="&amp;AP$10,培训费明细!$A:$A,AP$6)/10000</f>
        <v>0</v>
      </c>
      <c r="AQ141" s="121">
        <f>SUMIFS(培训费明细!$G:$G,培训费明细!$B:$B,$E141,培训费明细!$C:$C,$F141,培训费明细!$F:$F,"&gt;="&amp;AQ$9,培训费明细!$F:$F,"&lt;="&amp;AQ$10,培训费明细!$A:$A,AQ$6)/10000</f>
        <v>0</v>
      </c>
      <c r="AR141" s="121">
        <f>SUMIFS(培训费明细!$G:$G,培训费明细!$B:$B,$E141,培训费明细!$C:$C,$F141,培训费明细!$F:$F,"&gt;="&amp;AR$9,培训费明细!$F:$F,"&lt;="&amp;AR$10,培训费明细!$A:$A,AR$6)/10000</f>
        <v>0</v>
      </c>
      <c r="AS141" s="121">
        <f>SUMIFS(培训费明细!$G:$G,培训费明细!$B:$B,$E141,培训费明细!$C:$C,$F141,培训费明细!$F:$F,"&gt;="&amp;AS$9,培训费明细!$F:$F,"&lt;="&amp;AS$10,培训费明细!$A:$A,AS$6)/10000</f>
        <v>0</v>
      </c>
      <c r="AT141" s="121">
        <f>SUMIFS(培训费明细!$G:$G,培训费明细!$B:$B,$E141,培训费明细!$C:$C,$F141,培训费明细!$F:$F,"&gt;="&amp;AT$9,培训费明细!$F:$F,"&lt;="&amp;AT$10,培训费明细!$A:$A,AT$6)/10000</f>
        <v>0</v>
      </c>
      <c r="AU141" s="121">
        <f>SUMIFS(培训费明细!$G:$G,培训费明细!$B:$B,$E141,培训费明细!$C:$C,$F141,培训费明细!$F:$F,"&gt;="&amp;AU$9,培训费明细!$F:$F,"&lt;="&amp;AU$10,培训费明细!$A:$A,AU$6)/10000</f>
        <v>0</v>
      </c>
      <c r="AV141" s="121">
        <f>SUMIFS(培训费明细!$G:$G,培训费明细!$B:$B,$E141,培训费明细!$C:$C,$F141,培训费明细!$F:$F,"&gt;="&amp;AV$9,培训费明细!$F:$F,"&lt;="&amp;AV$10,培训费明细!$A:$A,AV$6)/10000</f>
        <v>0</v>
      </c>
      <c r="AW141" s="121">
        <f>SUMIFS(培训费明细!$G:$G,培训费明细!$B:$B,$E141,培训费明细!$C:$C,$F141,培训费明细!$F:$F,"&gt;="&amp;AW$9,培训费明细!$F:$F,"&lt;="&amp;AW$10,培训费明细!$A:$A,AW$6)/10000</f>
        <v>0</v>
      </c>
      <c r="AX141" s="121">
        <f>SUMIFS(培训费明细!$G:$G,培训费明细!$B:$B,$E141,培训费明细!$C:$C,$F141,培训费明细!$F:$F,"&gt;="&amp;AX$9,培训费明细!$F:$F,"&lt;="&amp;AX$10,培训费明细!$A:$A,AX$6)/10000</f>
        <v>0</v>
      </c>
      <c r="AY141" s="121">
        <f>SUMIFS(培训费明细!$G:$G,培训费明细!$B:$B,$E141,培训费明细!$C:$C,$F141,培训费明细!$F:$F,"&gt;="&amp;AY$9,培训费明细!$F:$F,"&lt;="&amp;AY$10,培训费明细!$A:$A,AY$6)/10000</f>
        <v>0</v>
      </c>
      <c r="AZ141" s="121">
        <f>SUMIFS(培训费明细!$G:$G,培训费明细!$B:$B,$E141,培训费明细!$C:$C,$F141,培训费明细!$F:$F,"&gt;="&amp;AZ$9,培训费明细!$F:$F,"&lt;="&amp;AZ$10,培训费明细!$A:$A,AZ$6)/10000</f>
        <v>0</v>
      </c>
      <c r="BA141" s="121">
        <f>SUMIFS(培训费明细!$G:$G,培训费明细!$B:$B,$E141,培训费明细!$C:$C,$F141,培训费明细!$F:$F,"&gt;="&amp;BA$9,培训费明细!$F:$F,"&lt;="&amp;BA$10,培训费明细!$A:$A,BA$6)/10000</f>
        <v>0</v>
      </c>
      <c r="BB141" s="121">
        <f>SUMIFS(培训费明细!$G:$G,培训费明细!$B:$B,$E141,培训费明细!$C:$C,$F141,培训费明细!$F:$F,"&gt;="&amp;BB$9,培训费明细!$F:$F,"&lt;="&amp;BB$10,培训费明细!$A:$A,BB$6)/10000</f>
        <v>0</v>
      </c>
      <c r="BC141" s="121">
        <f>SUMIFS(培训费明细!$G:$G,培训费明细!$B:$B,$E141,培训费明细!$C:$C,$F141,培训费明细!$F:$F,"&gt;="&amp;BC$9,培训费明细!$F:$F,"&lt;="&amp;BC$10,培训费明细!$A:$A,BC$6)/10000</f>
        <v>0</v>
      </c>
      <c r="BD141" s="121">
        <f>SUMIFS(培训费明细!$G:$G,培训费明细!$B:$B,$E141,培训费明细!$C:$C,$F141,培训费明细!$F:$F,"&gt;="&amp;BD$9,培训费明细!$F:$F,"&lt;="&amp;BD$10,培训费明细!$A:$A,BD$6)/10000</f>
        <v>0</v>
      </c>
      <c r="BE141" s="121">
        <f>SUMIFS(培训费明细!$G:$G,培训费明细!$B:$B,$E141,培训费明细!$C:$C,$F141,培训费明细!$F:$F,"&gt;="&amp;BE$9,培训费明细!$F:$F,"&lt;="&amp;BE$10,培训费明细!$A:$A,BE$6)/10000</f>
        <v>0</v>
      </c>
      <c r="BF141" s="121">
        <f>SUMIFS(培训费明细!$G:$G,培训费明细!$B:$B,$E141,培训费明细!$C:$C,$F141,培训费明细!$F:$F,"&gt;="&amp;BF$9,培训费明细!$F:$F,"&lt;="&amp;BF$10,培训费明细!$A:$A,BF$6)/10000</f>
        <v>0</v>
      </c>
      <c r="BG141" s="121">
        <f>SUMIFS(培训费明细!$G:$G,培训费明细!$B:$B,$E141,培训费明细!$C:$C,$F141,培训费明细!$F:$F,"&gt;="&amp;BG$9,培训费明细!$F:$F,"&lt;="&amp;BG$10,培训费明细!$A:$A,BG$6)/10000</f>
        <v>0</v>
      </c>
    </row>
    <row r="142" ht="16.2" spans="3:59">
      <c r="C142" s="42"/>
      <c r="D142" s="42" t="s">
        <v>88</v>
      </c>
      <c r="E142" s="116" t="str">
        <f t="shared" si="102"/>
        <v>支持中心</v>
      </c>
      <c r="F142" s="116" t="str">
        <f t="shared" si="103"/>
        <v>人力资源部</v>
      </c>
      <c r="G142" s="121">
        <f>SUMIFS(培训费明细!$G:$G,培训费明细!$B:$B,$E142,培训费明细!$C:$C,$F142,培训费明细!$F:$F,"&gt;="&amp;G$9,培训费明细!$F:$F,"&lt;="&amp;G$10,培训费明细!$A:$A,G$6)/10000</f>
        <v>0</v>
      </c>
      <c r="H142" s="121">
        <f>SUMIFS(培训费明细!$G:$G,培训费明细!$B:$B,$E142,培训费明细!$C:$C,$F142,培训费明细!$F:$F,"&gt;="&amp;H$9,培训费明细!$F:$F,"&lt;="&amp;H$10,培训费明细!$A:$A,H$6)/10000</f>
        <v>0</v>
      </c>
      <c r="I142" s="121">
        <f>SUMIFS(培训费明细!$G:$G,培训费明细!$B:$B,$E142,培训费明细!$C:$C,$F142,培训费明细!$F:$F,"&gt;="&amp;I$9,培训费明细!$F:$F,"&lt;="&amp;I$10,培训费明细!$A:$A,I$6)/10000</f>
        <v>0</v>
      </c>
      <c r="J142" s="121">
        <f>SUMIFS(培训费明细!$G:$G,培训费明细!$B:$B,$E142,培训费明细!$C:$C,$F142,培训费明细!$F:$F,"&gt;="&amp;J$9,培训费明细!$F:$F,"&lt;="&amp;J$10,培训费明细!$A:$A,J$6)/10000</f>
        <v>0</v>
      </c>
      <c r="K142" s="121">
        <f>SUMIFS(培训费明细!$G:$G,培训费明细!$B:$B,$E142,培训费明细!$C:$C,$F142,培训费明细!$F:$F,"&gt;="&amp;K$9,培训费明细!$F:$F,"&lt;="&amp;K$10,培训费明细!$A:$A,K$6)/10000</f>
        <v>0</v>
      </c>
      <c r="L142" s="121">
        <f>SUMIFS(培训费明细!$G:$G,培训费明细!$B:$B,$E142,培训费明细!$C:$C,$F142,培训费明细!$F:$F,"&gt;="&amp;L$9,培训费明细!$F:$F,"&lt;="&amp;L$10,培训费明细!$A:$A,L$6)/10000</f>
        <v>0</v>
      </c>
      <c r="M142" s="121">
        <f>SUMIFS(培训费明细!$G:$G,培训费明细!$B:$B,$E142,培训费明细!$C:$C,$F142,培训费明细!$F:$F,"&gt;="&amp;M$9,培训费明细!$F:$F,"&lt;="&amp;M$10,培训费明细!$A:$A,M$6)/10000</f>
        <v>0</v>
      </c>
      <c r="N142" s="121">
        <f>SUMIFS(培训费明细!$G:$G,培训费明细!$B:$B,$E142,培训费明细!$C:$C,$F142,培训费明细!$F:$F,"&gt;="&amp;N$9,培训费明细!$F:$F,"&lt;="&amp;N$10,培训费明细!$A:$A,N$6)/10000</f>
        <v>0</v>
      </c>
      <c r="O142" s="121">
        <f>SUMIFS(培训费明细!$G:$G,培训费明细!$B:$B,$E142,培训费明细!$C:$C,$F142,培训费明细!$F:$F,"&gt;="&amp;O$9,培训费明细!$F:$F,"&lt;="&amp;O$10,培训费明细!$A:$A,O$6)/10000</f>
        <v>0</v>
      </c>
      <c r="P142" s="121">
        <f>SUMIFS(培训费明细!$G:$G,培训费明细!$B:$B,$E142,培训费明细!$C:$C,$F142,培训费明细!$F:$F,"&gt;="&amp;P$9,培训费明细!$F:$F,"&lt;="&amp;P$10,培训费明细!$A:$A,P$6)/10000</f>
        <v>0</v>
      </c>
      <c r="Q142" s="121">
        <f>SUMIFS(培训费明细!$G:$G,培训费明细!$B:$B,$E142,培训费明细!$C:$C,$F142,培训费明细!$F:$F,"&gt;="&amp;Q$9,培训费明细!$F:$F,"&lt;="&amp;Q$10,培训费明细!$A:$A,Q$6)/10000</f>
        <v>0</v>
      </c>
      <c r="R142" s="121">
        <f>SUMIFS(培训费明细!$G:$G,培训费明细!$B:$B,$E142,培训费明细!$C:$C,$F142,培训费明细!$F:$F,"&gt;="&amp;R$9,培训费明细!$F:$F,"&lt;="&amp;R$10,培训费明细!$A:$A,R$6)/10000</f>
        <v>0</v>
      </c>
      <c r="S142" s="121">
        <f>SUMIFS(培训费明细!$G:$G,培训费明细!$B:$B,$E142,培训费明细!$C:$C,$F142,培训费明细!$F:$F,"&gt;="&amp;S$9,培训费明细!$F:$F,"&lt;="&amp;S$10,培训费明细!$A:$A,S$6)/10000</f>
        <v>0</v>
      </c>
      <c r="T142" s="125">
        <f t="shared" si="104"/>
        <v>0</v>
      </c>
      <c r="U142" s="121">
        <f>SUMIFS(培训费明细!$G:$G,培训费明细!$B:$B,$E142,培训费明细!$C:$C,$F142,培训费明细!$F:$F,"&gt;="&amp;U$9,培训费明细!$F:$F,"&lt;="&amp;U$10,培训费明细!$A:$A,U$6)/10000</f>
        <v>0</v>
      </c>
      <c r="V142" s="121">
        <f>SUMIFS(培训费明细!$G:$G,培训费明细!$B:$B,$E142,培训费明细!$C:$C,$F142,培训费明细!$F:$F,"&gt;="&amp;V$9,培训费明细!$F:$F,"&lt;="&amp;V$10,培训费明细!$A:$A,V$6)/10000</f>
        <v>0</v>
      </c>
      <c r="W142" s="121">
        <f>SUMIFS(培训费明细!$G:$G,培训费明细!$B:$B,$E142,培训费明细!$C:$C,$F142,培训费明细!$F:$F,"&gt;="&amp;W$9,培训费明细!$F:$F,"&lt;="&amp;W$10,培训费明细!$A:$A,W$6)/10000</f>
        <v>0</v>
      </c>
      <c r="X142" s="121">
        <f>SUMIFS(培训费明细!$G:$G,培训费明细!$B:$B,$E142,培训费明细!$C:$C,$F142,培训费明细!$F:$F,"&gt;="&amp;X$9,培训费明细!$F:$F,"&lt;="&amp;X$10,培训费明细!$A:$A,X$6)/10000</f>
        <v>0</v>
      </c>
      <c r="Y142" s="121">
        <f>SUMIFS(培训费明细!$G:$G,培训费明细!$B:$B,$E142,培训费明细!$C:$C,$F142,培训费明细!$F:$F,"&gt;="&amp;Y$9,培训费明细!$F:$F,"&lt;="&amp;Y$10,培训费明细!$A:$A,Y$6)/10000</f>
        <v>0</v>
      </c>
      <c r="Z142" s="121">
        <f>SUMIFS(培训费明细!$G:$G,培训费明细!$B:$B,$E142,培训费明细!$C:$C,$F142,培训费明细!$F:$F,"&gt;="&amp;Z$9,培训费明细!$F:$F,"&lt;="&amp;Z$10,培训费明细!$A:$A,Z$6)/10000</f>
        <v>0</v>
      </c>
      <c r="AA142" s="121">
        <f>SUMIFS(培训费明细!$G:$G,培训费明细!$B:$B,$E142,培训费明细!$C:$C,$F142,培训费明细!$F:$F,"&gt;="&amp;AA$9,培训费明细!$F:$F,"&lt;="&amp;AA$10,培训费明细!$A:$A,AA$6)/10000</f>
        <v>0</v>
      </c>
      <c r="AB142" s="121">
        <f>SUMIFS(培训费明细!$G:$G,培训费明细!$B:$B,$E142,培训费明细!$C:$C,$F142,培训费明细!$F:$F,"&gt;="&amp;AB$9,培训费明细!$F:$F,"&lt;="&amp;AB$10,培训费明细!$A:$A,AB$6)/10000</f>
        <v>0</v>
      </c>
      <c r="AC142" s="121">
        <f>SUMIFS(培训费明细!$G:$G,培训费明细!$B:$B,$E142,培训费明细!$C:$C,$F142,培训费明细!$F:$F,"&gt;="&amp;AC$9,培训费明细!$F:$F,"&lt;="&amp;AC$10,培训费明细!$A:$A,AC$6)/10000</f>
        <v>0</v>
      </c>
      <c r="AD142" s="121">
        <f>SUMIFS(培训费明细!$G:$G,培训费明细!$B:$B,$E142,培训费明细!$C:$C,$F142,培训费明细!$F:$F,"&gt;="&amp;AD$9,培训费明细!$F:$F,"&lt;="&amp;AD$10,培训费明细!$A:$A,AD$6)/10000</f>
        <v>0</v>
      </c>
      <c r="AE142" s="121">
        <f>SUMIFS(培训费明细!$G:$G,培训费明细!$B:$B,$E142,培训费明细!$C:$C,$F142,培训费明细!$F:$F,"&gt;="&amp;AE$9,培训费明细!$F:$F,"&lt;="&amp;AE$10,培训费明细!$A:$A,AE$6)/10000</f>
        <v>0</v>
      </c>
      <c r="AF142" s="121">
        <f>SUMIFS(培训费明细!$G:$G,培训费明细!$B:$B,$E142,培训费明细!$C:$C,$F142,培训费明细!$F:$F,"&gt;="&amp;AF$9,培训费明细!$F:$F,"&lt;="&amp;AF$10,培训费明细!$A:$A,AF$6)/10000</f>
        <v>0</v>
      </c>
      <c r="AG142" s="121">
        <f>SUMIFS(培训费明细!$G:$G,培训费明细!$B:$B,$E142,培训费明细!$C:$C,$F142,培训费明细!$F:$F,"&gt;="&amp;AG$9,培训费明细!$F:$F,"&lt;="&amp;AG$10,培训费明细!$A:$A,AG$6)/10000</f>
        <v>0</v>
      </c>
      <c r="AH142" s="121">
        <f>SUMIFS(培训费明细!$G:$G,培训费明细!$B:$B,$E142,培训费明细!$C:$C,$F142,培训费明细!$F:$F,"&gt;="&amp;AH$9,培训费明细!$F:$F,"&lt;="&amp;AH$10,培训费明细!$A:$A,AH$6)/10000</f>
        <v>0</v>
      </c>
      <c r="AI142" s="121">
        <f>SUMIFS(培训费明细!$G:$G,培训费明细!$B:$B,$E142,培训费明细!$C:$C,$F142,培训费明细!$F:$F,"&gt;="&amp;AI$9,培训费明细!$F:$F,"&lt;="&amp;AI$10,培训费明细!$A:$A,AI$6)/10000</f>
        <v>0</v>
      </c>
      <c r="AJ142" s="121">
        <f>SUMIFS(培训费明细!$G:$G,培训费明细!$B:$B,$E142,培训费明细!$C:$C,$F142,培训费明细!$F:$F,"&gt;="&amp;AJ$9,培训费明细!$F:$F,"&lt;="&amp;AJ$10,培训费明细!$A:$A,AJ$6)/10000</f>
        <v>0</v>
      </c>
      <c r="AK142" s="121">
        <f>SUMIFS(培训费明细!$G:$G,培训费明细!$B:$B,$E142,培训费明细!$C:$C,$F142,培训费明细!$F:$F,"&gt;="&amp;AK$9,培训费明细!$F:$F,"&lt;="&amp;AK$10,培训费明细!$A:$A,AK$6)/10000</f>
        <v>0</v>
      </c>
      <c r="AL142" s="121">
        <f>SUMIFS(培训费明细!$G:$G,培训费明细!$B:$B,$E142,培训费明细!$C:$C,$F142,培训费明细!$F:$F,"&gt;="&amp;AL$9,培训费明细!$F:$F,"&lt;="&amp;AL$10,培训费明细!$A:$A,AL$6)/10000</f>
        <v>0</v>
      </c>
      <c r="AM142" s="121">
        <f>SUMIFS(培训费明细!$G:$G,培训费明细!$B:$B,$E142,培训费明细!$C:$C,$F142,培训费明细!$F:$F,"&gt;="&amp;AM$9,培训费明细!$F:$F,"&lt;="&amp;AM$10,培训费明细!$A:$A,AM$6)/10000</f>
        <v>0</v>
      </c>
      <c r="AN142" s="121">
        <f>SUMIFS(培训费明细!$G:$G,培训费明细!$B:$B,$E142,培训费明细!$C:$C,$F142,培训费明细!$F:$F,"&gt;="&amp;AN$9,培训费明细!$F:$F,"&lt;="&amp;AN$10,培训费明细!$A:$A,AN$6)/10000</f>
        <v>0</v>
      </c>
      <c r="AO142" s="121">
        <f>SUMIFS(培训费明细!$G:$G,培训费明细!$B:$B,$E142,培训费明细!$C:$C,$F142,培训费明细!$F:$F,"&gt;="&amp;AO$9,培训费明细!$F:$F,"&lt;="&amp;AO$10,培训费明细!$A:$A,AO$6)/10000</f>
        <v>0</v>
      </c>
      <c r="AP142" s="121">
        <f>SUMIFS(培训费明细!$G:$G,培训费明细!$B:$B,$E142,培训费明细!$C:$C,$F142,培训费明细!$F:$F,"&gt;="&amp;AP$9,培训费明细!$F:$F,"&lt;="&amp;AP$10,培训费明细!$A:$A,AP$6)/10000</f>
        <v>0</v>
      </c>
      <c r="AQ142" s="121">
        <f>SUMIFS(培训费明细!$G:$G,培训费明细!$B:$B,$E142,培训费明细!$C:$C,$F142,培训费明细!$F:$F,"&gt;="&amp;AQ$9,培训费明细!$F:$F,"&lt;="&amp;AQ$10,培训费明细!$A:$A,AQ$6)/10000</f>
        <v>0</v>
      </c>
      <c r="AR142" s="121">
        <f>SUMIFS(培训费明细!$G:$G,培训费明细!$B:$B,$E142,培训费明细!$C:$C,$F142,培训费明细!$F:$F,"&gt;="&amp;AR$9,培训费明细!$F:$F,"&lt;="&amp;AR$10,培训费明细!$A:$A,AR$6)/10000</f>
        <v>0</v>
      </c>
      <c r="AS142" s="121">
        <f>SUMIFS(培训费明细!$G:$G,培训费明细!$B:$B,$E142,培训费明细!$C:$C,$F142,培训费明细!$F:$F,"&gt;="&amp;AS$9,培训费明细!$F:$F,"&lt;="&amp;AS$10,培训费明细!$A:$A,AS$6)/10000</f>
        <v>0</v>
      </c>
      <c r="AT142" s="121">
        <f>SUMIFS(培训费明细!$G:$G,培训费明细!$B:$B,$E142,培训费明细!$C:$C,$F142,培训费明细!$F:$F,"&gt;="&amp;AT$9,培训费明细!$F:$F,"&lt;="&amp;AT$10,培训费明细!$A:$A,AT$6)/10000</f>
        <v>0</v>
      </c>
      <c r="AU142" s="121">
        <f>SUMIFS(培训费明细!$G:$G,培训费明细!$B:$B,$E142,培训费明细!$C:$C,$F142,培训费明细!$F:$F,"&gt;="&amp;AU$9,培训费明细!$F:$F,"&lt;="&amp;AU$10,培训费明细!$A:$A,AU$6)/10000</f>
        <v>0</v>
      </c>
      <c r="AV142" s="121">
        <f>SUMIFS(培训费明细!$G:$G,培训费明细!$B:$B,$E142,培训费明细!$C:$C,$F142,培训费明细!$F:$F,"&gt;="&amp;AV$9,培训费明细!$F:$F,"&lt;="&amp;AV$10,培训费明细!$A:$A,AV$6)/10000</f>
        <v>0</v>
      </c>
      <c r="AW142" s="121">
        <f>SUMIFS(培训费明细!$G:$G,培训费明细!$B:$B,$E142,培训费明细!$C:$C,$F142,培训费明细!$F:$F,"&gt;="&amp;AW$9,培训费明细!$F:$F,"&lt;="&amp;AW$10,培训费明细!$A:$A,AW$6)/10000</f>
        <v>0</v>
      </c>
      <c r="AX142" s="121">
        <f>SUMIFS(培训费明细!$G:$G,培训费明细!$B:$B,$E142,培训费明细!$C:$C,$F142,培训费明细!$F:$F,"&gt;="&amp;AX$9,培训费明细!$F:$F,"&lt;="&amp;AX$10,培训费明细!$A:$A,AX$6)/10000</f>
        <v>0</v>
      </c>
      <c r="AY142" s="121">
        <f>SUMIFS(培训费明细!$G:$G,培训费明细!$B:$B,$E142,培训费明细!$C:$C,$F142,培训费明细!$F:$F,"&gt;="&amp;AY$9,培训费明细!$F:$F,"&lt;="&amp;AY$10,培训费明细!$A:$A,AY$6)/10000</f>
        <v>0</v>
      </c>
      <c r="AZ142" s="121">
        <f>SUMIFS(培训费明细!$G:$G,培训费明细!$B:$B,$E142,培训费明细!$C:$C,$F142,培训费明细!$F:$F,"&gt;="&amp;AZ$9,培训费明细!$F:$F,"&lt;="&amp;AZ$10,培训费明细!$A:$A,AZ$6)/10000</f>
        <v>0</v>
      </c>
      <c r="BA142" s="121">
        <f>SUMIFS(培训费明细!$G:$G,培训费明细!$B:$B,$E142,培训费明细!$C:$C,$F142,培训费明细!$F:$F,"&gt;="&amp;BA$9,培训费明细!$F:$F,"&lt;="&amp;BA$10,培训费明细!$A:$A,BA$6)/10000</f>
        <v>0</v>
      </c>
      <c r="BB142" s="121">
        <f>SUMIFS(培训费明细!$G:$G,培训费明细!$B:$B,$E142,培训费明细!$C:$C,$F142,培训费明细!$F:$F,"&gt;="&amp;BB$9,培训费明细!$F:$F,"&lt;="&amp;BB$10,培训费明细!$A:$A,BB$6)/10000</f>
        <v>0</v>
      </c>
      <c r="BC142" s="121">
        <f>SUMIFS(培训费明细!$G:$G,培训费明细!$B:$B,$E142,培训费明细!$C:$C,$F142,培训费明细!$F:$F,"&gt;="&amp;BC$9,培训费明细!$F:$F,"&lt;="&amp;BC$10,培训费明细!$A:$A,BC$6)/10000</f>
        <v>0</v>
      </c>
      <c r="BD142" s="121">
        <f>SUMIFS(培训费明细!$G:$G,培训费明细!$B:$B,$E142,培训费明细!$C:$C,$F142,培训费明细!$F:$F,"&gt;="&amp;BD$9,培训费明细!$F:$F,"&lt;="&amp;BD$10,培训费明细!$A:$A,BD$6)/10000</f>
        <v>0</v>
      </c>
      <c r="BE142" s="121">
        <f>SUMIFS(培训费明细!$G:$G,培训费明细!$B:$B,$E142,培训费明细!$C:$C,$F142,培训费明细!$F:$F,"&gt;="&amp;BE$9,培训费明细!$F:$F,"&lt;="&amp;BE$10,培训费明细!$A:$A,BE$6)/10000</f>
        <v>0</v>
      </c>
      <c r="BF142" s="121">
        <f>SUMIFS(培训费明细!$G:$G,培训费明细!$B:$B,$E142,培训费明细!$C:$C,$F142,培训费明细!$F:$F,"&gt;="&amp;BF$9,培训费明细!$F:$F,"&lt;="&amp;BF$10,培训费明细!$A:$A,BF$6)/10000</f>
        <v>0</v>
      </c>
      <c r="BG142" s="121">
        <f>SUMIFS(培训费明细!$G:$G,培训费明细!$B:$B,$E142,培训费明细!$C:$C,$F142,培训费明细!$F:$F,"&gt;="&amp;BG$9,培训费明细!$F:$F,"&lt;="&amp;BG$10,培训费明细!$A:$A,BG$6)/10000</f>
        <v>0</v>
      </c>
    </row>
    <row r="143" ht="16.2" spans="3:59">
      <c r="C143" s="42"/>
      <c r="D143" s="42" t="s">
        <v>89</v>
      </c>
      <c r="E143" s="116" t="str">
        <f t="shared" si="102"/>
        <v>支持中心</v>
      </c>
      <c r="F143" s="116" t="str">
        <f t="shared" si="103"/>
        <v>IT部</v>
      </c>
      <c r="G143" s="121">
        <f>SUMIFS(培训费明细!$G:$G,培训费明细!$B:$B,$E143,培训费明细!$C:$C,$F143,培训费明细!$F:$F,"&gt;="&amp;G$9,培训费明细!$F:$F,"&lt;="&amp;G$10,培训费明细!$A:$A,G$6)/10000</f>
        <v>0</v>
      </c>
      <c r="H143" s="121">
        <f>SUMIFS(培训费明细!$G:$G,培训费明细!$B:$B,$E143,培训费明细!$C:$C,$F143,培训费明细!$F:$F,"&gt;="&amp;H$9,培训费明细!$F:$F,"&lt;="&amp;H$10,培训费明细!$A:$A,H$6)/10000</f>
        <v>0</v>
      </c>
      <c r="I143" s="121">
        <f>SUMIFS(培训费明细!$G:$G,培训费明细!$B:$B,$E143,培训费明细!$C:$C,$F143,培训费明细!$F:$F,"&gt;="&amp;I$9,培训费明细!$F:$F,"&lt;="&amp;I$10,培训费明细!$A:$A,I$6)/10000</f>
        <v>0</v>
      </c>
      <c r="J143" s="121">
        <f>SUMIFS(培训费明细!$G:$G,培训费明细!$B:$B,$E143,培训费明细!$C:$C,$F143,培训费明细!$F:$F,"&gt;="&amp;J$9,培训费明细!$F:$F,"&lt;="&amp;J$10,培训费明细!$A:$A,J$6)/10000</f>
        <v>0</v>
      </c>
      <c r="K143" s="121">
        <f>SUMIFS(培训费明细!$G:$G,培训费明细!$B:$B,$E143,培训费明细!$C:$C,$F143,培训费明细!$F:$F,"&gt;="&amp;K$9,培训费明细!$F:$F,"&lt;="&amp;K$10,培训费明细!$A:$A,K$6)/10000</f>
        <v>0</v>
      </c>
      <c r="L143" s="121">
        <f>SUMIFS(培训费明细!$G:$G,培训费明细!$B:$B,$E143,培训费明细!$C:$C,$F143,培训费明细!$F:$F,"&gt;="&amp;L$9,培训费明细!$F:$F,"&lt;="&amp;L$10,培训费明细!$A:$A,L$6)/10000</f>
        <v>0</v>
      </c>
      <c r="M143" s="121">
        <f>SUMIFS(培训费明细!$G:$G,培训费明细!$B:$B,$E143,培训费明细!$C:$C,$F143,培训费明细!$F:$F,"&gt;="&amp;M$9,培训费明细!$F:$F,"&lt;="&amp;M$10,培训费明细!$A:$A,M$6)/10000</f>
        <v>0</v>
      </c>
      <c r="N143" s="121">
        <f>SUMIFS(培训费明细!$G:$G,培训费明细!$B:$B,$E143,培训费明细!$C:$C,$F143,培训费明细!$F:$F,"&gt;="&amp;N$9,培训费明细!$F:$F,"&lt;="&amp;N$10,培训费明细!$A:$A,N$6)/10000</f>
        <v>0</v>
      </c>
      <c r="O143" s="121">
        <f>SUMIFS(培训费明细!$G:$G,培训费明细!$B:$B,$E143,培训费明细!$C:$C,$F143,培训费明细!$F:$F,"&gt;="&amp;O$9,培训费明细!$F:$F,"&lt;="&amp;O$10,培训费明细!$A:$A,O$6)/10000</f>
        <v>0</v>
      </c>
      <c r="P143" s="121">
        <f>SUMIFS(培训费明细!$G:$G,培训费明细!$B:$B,$E143,培训费明细!$C:$C,$F143,培训费明细!$F:$F,"&gt;="&amp;P$9,培训费明细!$F:$F,"&lt;="&amp;P$10,培训费明细!$A:$A,P$6)/10000</f>
        <v>0</v>
      </c>
      <c r="Q143" s="121">
        <f>SUMIFS(培训费明细!$G:$G,培训费明细!$B:$B,$E143,培训费明细!$C:$C,$F143,培训费明细!$F:$F,"&gt;="&amp;Q$9,培训费明细!$F:$F,"&lt;="&amp;Q$10,培训费明细!$A:$A,Q$6)/10000</f>
        <v>0</v>
      </c>
      <c r="R143" s="121">
        <f>SUMIFS(培训费明细!$G:$G,培训费明细!$B:$B,$E143,培训费明细!$C:$C,$F143,培训费明细!$F:$F,"&gt;="&amp;R$9,培训费明细!$F:$F,"&lt;="&amp;R$10,培训费明细!$A:$A,R$6)/10000</f>
        <v>0</v>
      </c>
      <c r="S143" s="121">
        <f>SUMIFS(培训费明细!$G:$G,培训费明细!$B:$B,$E143,培训费明细!$C:$C,$F143,培训费明细!$F:$F,"&gt;="&amp;S$9,培训费明细!$F:$F,"&lt;="&amp;S$10,培训费明细!$A:$A,S$6)/10000</f>
        <v>0</v>
      </c>
      <c r="T143" s="125">
        <f t="shared" si="104"/>
        <v>0</v>
      </c>
      <c r="U143" s="121">
        <f>SUMIFS(培训费明细!$G:$G,培训费明细!$B:$B,$E143,培训费明细!$C:$C,$F143,培训费明细!$F:$F,"&gt;="&amp;U$9,培训费明细!$F:$F,"&lt;="&amp;U$10,培训费明细!$A:$A,U$6)/10000</f>
        <v>0</v>
      </c>
      <c r="V143" s="121">
        <f>SUMIFS(培训费明细!$G:$G,培训费明细!$B:$B,$E143,培训费明细!$C:$C,$F143,培训费明细!$F:$F,"&gt;="&amp;V$9,培训费明细!$F:$F,"&lt;="&amp;V$10,培训费明细!$A:$A,V$6)/10000</f>
        <v>0</v>
      </c>
      <c r="W143" s="121">
        <f>SUMIFS(培训费明细!$G:$G,培训费明细!$B:$B,$E143,培训费明细!$C:$C,$F143,培训费明细!$F:$F,"&gt;="&amp;W$9,培训费明细!$F:$F,"&lt;="&amp;W$10,培训费明细!$A:$A,W$6)/10000</f>
        <v>0</v>
      </c>
      <c r="X143" s="121">
        <f>SUMIFS(培训费明细!$G:$G,培训费明细!$B:$B,$E143,培训费明细!$C:$C,$F143,培训费明细!$F:$F,"&gt;="&amp;X$9,培训费明细!$F:$F,"&lt;="&amp;X$10,培训费明细!$A:$A,X$6)/10000</f>
        <v>0</v>
      </c>
      <c r="Y143" s="121">
        <f>SUMIFS(培训费明细!$G:$G,培训费明细!$B:$B,$E143,培训费明细!$C:$C,$F143,培训费明细!$F:$F,"&gt;="&amp;Y$9,培训费明细!$F:$F,"&lt;="&amp;Y$10,培训费明细!$A:$A,Y$6)/10000</f>
        <v>0</v>
      </c>
      <c r="Z143" s="121">
        <f>SUMIFS(培训费明细!$G:$G,培训费明细!$B:$B,$E143,培训费明细!$C:$C,$F143,培训费明细!$F:$F,"&gt;="&amp;Z$9,培训费明细!$F:$F,"&lt;="&amp;Z$10,培训费明细!$A:$A,Z$6)/10000</f>
        <v>0</v>
      </c>
      <c r="AA143" s="121">
        <f>SUMIFS(培训费明细!$G:$G,培训费明细!$B:$B,$E143,培训费明细!$C:$C,$F143,培训费明细!$F:$F,"&gt;="&amp;AA$9,培训费明细!$F:$F,"&lt;="&amp;AA$10,培训费明细!$A:$A,AA$6)/10000</f>
        <v>0</v>
      </c>
      <c r="AB143" s="121">
        <f>SUMIFS(培训费明细!$G:$G,培训费明细!$B:$B,$E143,培训费明细!$C:$C,$F143,培训费明细!$F:$F,"&gt;="&amp;AB$9,培训费明细!$F:$F,"&lt;="&amp;AB$10,培训费明细!$A:$A,AB$6)/10000</f>
        <v>0</v>
      </c>
      <c r="AC143" s="121">
        <f>SUMIFS(培训费明细!$G:$G,培训费明细!$B:$B,$E143,培训费明细!$C:$C,$F143,培训费明细!$F:$F,"&gt;="&amp;AC$9,培训费明细!$F:$F,"&lt;="&amp;AC$10,培训费明细!$A:$A,AC$6)/10000</f>
        <v>0</v>
      </c>
      <c r="AD143" s="121">
        <f>SUMIFS(培训费明细!$G:$G,培训费明细!$B:$B,$E143,培训费明细!$C:$C,$F143,培训费明细!$F:$F,"&gt;="&amp;AD$9,培训费明细!$F:$F,"&lt;="&amp;AD$10,培训费明细!$A:$A,AD$6)/10000</f>
        <v>0</v>
      </c>
      <c r="AE143" s="121">
        <f>SUMIFS(培训费明细!$G:$G,培训费明细!$B:$B,$E143,培训费明细!$C:$C,$F143,培训费明细!$F:$F,"&gt;="&amp;AE$9,培训费明细!$F:$F,"&lt;="&amp;AE$10,培训费明细!$A:$A,AE$6)/10000</f>
        <v>0</v>
      </c>
      <c r="AF143" s="121">
        <f>SUMIFS(培训费明细!$G:$G,培训费明细!$B:$B,$E143,培训费明细!$C:$C,$F143,培训费明细!$F:$F,"&gt;="&amp;AF$9,培训费明细!$F:$F,"&lt;="&amp;AF$10,培训费明细!$A:$A,AF$6)/10000</f>
        <v>0</v>
      </c>
      <c r="AG143" s="121">
        <f>SUMIFS(培训费明细!$G:$G,培训费明细!$B:$B,$E143,培训费明细!$C:$C,$F143,培训费明细!$F:$F,"&gt;="&amp;AG$9,培训费明细!$F:$F,"&lt;="&amp;AG$10,培训费明细!$A:$A,AG$6)/10000</f>
        <v>0</v>
      </c>
      <c r="AH143" s="121">
        <f>SUMIFS(培训费明细!$G:$G,培训费明细!$B:$B,$E143,培训费明细!$C:$C,$F143,培训费明细!$F:$F,"&gt;="&amp;AH$9,培训费明细!$F:$F,"&lt;="&amp;AH$10,培训费明细!$A:$A,AH$6)/10000</f>
        <v>0</v>
      </c>
      <c r="AI143" s="121">
        <f>SUMIFS(培训费明细!$G:$G,培训费明细!$B:$B,$E143,培训费明细!$C:$C,$F143,培训费明细!$F:$F,"&gt;="&amp;AI$9,培训费明细!$F:$F,"&lt;="&amp;AI$10,培训费明细!$A:$A,AI$6)/10000</f>
        <v>0</v>
      </c>
      <c r="AJ143" s="121">
        <f>SUMIFS(培训费明细!$G:$G,培训费明细!$B:$B,$E143,培训费明细!$C:$C,$F143,培训费明细!$F:$F,"&gt;="&amp;AJ$9,培训费明细!$F:$F,"&lt;="&amp;AJ$10,培训费明细!$A:$A,AJ$6)/10000</f>
        <v>0</v>
      </c>
      <c r="AK143" s="121">
        <f>SUMIFS(培训费明细!$G:$G,培训费明细!$B:$B,$E143,培训费明细!$C:$C,$F143,培训费明细!$F:$F,"&gt;="&amp;AK$9,培训费明细!$F:$F,"&lt;="&amp;AK$10,培训费明细!$A:$A,AK$6)/10000</f>
        <v>0</v>
      </c>
      <c r="AL143" s="121">
        <f>SUMIFS(培训费明细!$G:$G,培训费明细!$B:$B,$E143,培训费明细!$C:$C,$F143,培训费明细!$F:$F,"&gt;="&amp;AL$9,培训费明细!$F:$F,"&lt;="&amp;AL$10,培训费明细!$A:$A,AL$6)/10000</f>
        <v>0</v>
      </c>
      <c r="AM143" s="121">
        <f>SUMIFS(培训费明细!$G:$G,培训费明细!$B:$B,$E143,培训费明细!$C:$C,$F143,培训费明细!$F:$F,"&gt;="&amp;AM$9,培训费明细!$F:$F,"&lt;="&amp;AM$10,培训费明细!$A:$A,AM$6)/10000</f>
        <v>0</v>
      </c>
      <c r="AN143" s="121">
        <f>SUMIFS(培训费明细!$G:$G,培训费明细!$B:$B,$E143,培训费明细!$C:$C,$F143,培训费明细!$F:$F,"&gt;="&amp;AN$9,培训费明细!$F:$F,"&lt;="&amp;AN$10,培训费明细!$A:$A,AN$6)/10000</f>
        <v>0</v>
      </c>
      <c r="AO143" s="121">
        <f>SUMIFS(培训费明细!$G:$G,培训费明细!$B:$B,$E143,培训费明细!$C:$C,$F143,培训费明细!$F:$F,"&gt;="&amp;AO$9,培训费明细!$F:$F,"&lt;="&amp;AO$10,培训费明细!$A:$A,AO$6)/10000</f>
        <v>0</v>
      </c>
      <c r="AP143" s="121">
        <f>SUMIFS(培训费明细!$G:$G,培训费明细!$B:$B,$E143,培训费明细!$C:$C,$F143,培训费明细!$F:$F,"&gt;="&amp;AP$9,培训费明细!$F:$F,"&lt;="&amp;AP$10,培训费明细!$A:$A,AP$6)/10000</f>
        <v>0</v>
      </c>
      <c r="AQ143" s="121">
        <f>SUMIFS(培训费明细!$G:$G,培训费明细!$B:$B,$E143,培训费明细!$C:$C,$F143,培训费明细!$F:$F,"&gt;="&amp;AQ$9,培训费明细!$F:$F,"&lt;="&amp;AQ$10,培训费明细!$A:$A,AQ$6)/10000</f>
        <v>0</v>
      </c>
      <c r="AR143" s="121">
        <f>SUMIFS(培训费明细!$G:$G,培训费明细!$B:$B,$E143,培训费明细!$C:$C,$F143,培训费明细!$F:$F,"&gt;="&amp;AR$9,培训费明细!$F:$F,"&lt;="&amp;AR$10,培训费明细!$A:$A,AR$6)/10000</f>
        <v>0</v>
      </c>
      <c r="AS143" s="121">
        <f>SUMIFS(培训费明细!$G:$G,培训费明细!$B:$B,$E143,培训费明细!$C:$C,$F143,培训费明细!$F:$F,"&gt;="&amp;AS$9,培训费明细!$F:$F,"&lt;="&amp;AS$10,培训费明细!$A:$A,AS$6)/10000</f>
        <v>0</v>
      </c>
      <c r="AT143" s="121">
        <f>SUMIFS(培训费明细!$G:$G,培训费明细!$B:$B,$E143,培训费明细!$C:$C,$F143,培训费明细!$F:$F,"&gt;="&amp;AT$9,培训费明细!$F:$F,"&lt;="&amp;AT$10,培训费明细!$A:$A,AT$6)/10000</f>
        <v>0</v>
      </c>
      <c r="AU143" s="121">
        <f>SUMIFS(培训费明细!$G:$G,培训费明细!$B:$B,$E143,培训费明细!$C:$C,$F143,培训费明细!$F:$F,"&gt;="&amp;AU$9,培训费明细!$F:$F,"&lt;="&amp;AU$10,培训费明细!$A:$A,AU$6)/10000</f>
        <v>0</v>
      </c>
      <c r="AV143" s="121">
        <f>SUMIFS(培训费明细!$G:$G,培训费明细!$B:$B,$E143,培训费明细!$C:$C,$F143,培训费明细!$F:$F,"&gt;="&amp;AV$9,培训费明细!$F:$F,"&lt;="&amp;AV$10,培训费明细!$A:$A,AV$6)/10000</f>
        <v>0</v>
      </c>
      <c r="AW143" s="121">
        <f>SUMIFS(培训费明细!$G:$G,培训费明细!$B:$B,$E143,培训费明细!$C:$C,$F143,培训费明细!$F:$F,"&gt;="&amp;AW$9,培训费明细!$F:$F,"&lt;="&amp;AW$10,培训费明细!$A:$A,AW$6)/10000</f>
        <v>0</v>
      </c>
      <c r="AX143" s="121">
        <f>SUMIFS(培训费明细!$G:$G,培训费明细!$B:$B,$E143,培训费明细!$C:$C,$F143,培训费明细!$F:$F,"&gt;="&amp;AX$9,培训费明细!$F:$F,"&lt;="&amp;AX$10,培训费明细!$A:$A,AX$6)/10000</f>
        <v>0</v>
      </c>
      <c r="AY143" s="121">
        <f>SUMIFS(培训费明细!$G:$G,培训费明细!$B:$B,$E143,培训费明细!$C:$C,$F143,培训费明细!$F:$F,"&gt;="&amp;AY$9,培训费明细!$F:$F,"&lt;="&amp;AY$10,培训费明细!$A:$A,AY$6)/10000</f>
        <v>0</v>
      </c>
      <c r="AZ143" s="121">
        <f>SUMIFS(培训费明细!$G:$G,培训费明细!$B:$B,$E143,培训费明细!$C:$C,$F143,培训费明细!$F:$F,"&gt;="&amp;AZ$9,培训费明细!$F:$F,"&lt;="&amp;AZ$10,培训费明细!$A:$A,AZ$6)/10000</f>
        <v>0</v>
      </c>
      <c r="BA143" s="121">
        <f>SUMIFS(培训费明细!$G:$G,培训费明细!$B:$B,$E143,培训费明细!$C:$C,$F143,培训费明细!$F:$F,"&gt;="&amp;BA$9,培训费明细!$F:$F,"&lt;="&amp;BA$10,培训费明细!$A:$A,BA$6)/10000</f>
        <v>0</v>
      </c>
      <c r="BB143" s="121">
        <f>SUMIFS(培训费明细!$G:$G,培训费明细!$B:$B,$E143,培训费明细!$C:$C,$F143,培训费明细!$F:$F,"&gt;="&amp;BB$9,培训费明细!$F:$F,"&lt;="&amp;BB$10,培训费明细!$A:$A,BB$6)/10000</f>
        <v>0</v>
      </c>
      <c r="BC143" s="121">
        <f>SUMIFS(培训费明细!$G:$G,培训费明细!$B:$B,$E143,培训费明细!$C:$C,$F143,培训费明细!$F:$F,"&gt;="&amp;BC$9,培训费明细!$F:$F,"&lt;="&amp;BC$10,培训费明细!$A:$A,BC$6)/10000</f>
        <v>0</v>
      </c>
      <c r="BD143" s="121">
        <f>SUMIFS(培训费明细!$G:$G,培训费明细!$B:$B,$E143,培训费明细!$C:$C,$F143,培训费明细!$F:$F,"&gt;="&amp;BD$9,培训费明细!$F:$F,"&lt;="&amp;BD$10,培训费明细!$A:$A,BD$6)/10000</f>
        <v>0</v>
      </c>
      <c r="BE143" s="121">
        <f>SUMIFS(培训费明细!$G:$G,培训费明细!$B:$B,$E143,培训费明细!$C:$C,$F143,培训费明细!$F:$F,"&gt;="&amp;BE$9,培训费明细!$F:$F,"&lt;="&amp;BE$10,培训费明细!$A:$A,BE$6)/10000</f>
        <v>0</v>
      </c>
      <c r="BF143" s="121">
        <f>SUMIFS(培训费明细!$G:$G,培训费明细!$B:$B,$E143,培训费明细!$C:$C,$F143,培训费明细!$F:$F,"&gt;="&amp;BF$9,培训费明细!$F:$F,"&lt;="&amp;BF$10,培训费明细!$A:$A,BF$6)/10000</f>
        <v>0</v>
      </c>
      <c r="BG143" s="121">
        <f>SUMIFS(培训费明细!$G:$G,培训费明细!$B:$B,$E143,培训费明细!$C:$C,$F143,培训费明细!$F:$F,"&gt;="&amp;BG$9,培训费明细!$F:$F,"&lt;="&amp;BG$10,培训费明细!$A:$A,BG$6)/10000</f>
        <v>0</v>
      </c>
    </row>
    <row r="144" ht="16.2" spans="3:59">
      <c r="C144" s="42"/>
      <c r="D144" s="42" t="s">
        <v>90</v>
      </c>
      <c r="E144" s="116" t="str">
        <f t="shared" si="102"/>
        <v>支持中心</v>
      </c>
      <c r="F144" s="116" t="str">
        <f t="shared" si="103"/>
        <v>总经办</v>
      </c>
      <c r="G144" s="121">
        <f>SUMIFS(培训费明细!$G:$G,培训费明细!$B:$B,$E144,培训费明细!$C:$C,$F144,培训费明细!$F:$F,"&gt;="&amp;G$9,培训费明细!$F:$F,"&lt;="&amp;G$10,培训费明细!$A:$A,G$6)/10000</f>
        <v>3</v>
      </c>
      <c r="H144" s="121">
        <f>SUMIFS(培训费明细!$G:$G,培训费明细!$B:$B,$E144,培训费明细!$C:$C,$F144,培训费明细!$F:$F,"&gt;="&amp;H$9,培训费明细!$F:$F,"&lt;="&amp;H$10,培训费明细!$A:$A,H$6)/10000</f>
        <v>3</v>
      </c>
      <c r="I144" s="121">
        <f>SUMIFS(培训费明细!$G:$G,培训费明细!$B:$B,$E144,培训费明细!$C:$C,$F144,培训费明细!$F:$F,"&gt;="&amp;I$9,培训费明细!$F:$F,"&lt;="&amp;I$10,培训费明细!$A:$A,I$6)/10000</f>
        <v>0</v>
      </c>
      <c r="J144" s="121">
        <f>SUMIFS(培训费明细!$G:$G,培训费明细!$B:$B,$E144,培训费明细!$C:$C,$F144,培训费明细!$F:$F,"&gt;="&amp;J$9,培训费明细!$F:$F,"&lt;="&amp;J$10,培训费明细!$A:$A,J$6)/10000</f>
        <v>0</v>
      </c>
      <c r="K144" s="121">
        <f>SUMIFS(培训费明细!$G:$G,培训费明细!$B:$B,$E144,培训费明细!$C:$C,$F144,培训费明细!$F:$F,"&gt;="&amp;K$9,培训费明细!$F:$F,"&lt;="&amp;K$10,培训费明细!$A:$A,K$6)/10000</f>
        <v>0</v>
      </c>
      <c r="L144" s="121">
        <f>SUMIFS(培训费明细!$G:$G,培训费明细!$B:$B,$E144,培训费明细!$C:$C,$F144,培训费明细!$F:$F,"&gt;="&amp;L$9,培训费明细!$F:$F,"&lt;="&amp;L$10,培训费明细!$A:$A,L$6)/10000</f>
        <v>0</v>
      </c>
      <c r="M144" s="121">
        <f>SUMIFS(培训费明细!$G:$G,培训费明细!$B:$B,$E144,培训费明细!$C:$C,$F144,培训费明细!$F:$F,"&gt;="&amp;M$9,培训费明细!$F:$F,"&lt;="&amp;M$10,培训费明细!$A:$A,M$6)/10000</f>
        <v>0</v>
      </c>
      <c r="N144" s="121">
        <f>SUMIFS(培训费明细!$G:$G,培训费明细!$B:$B,$E144,培训费明细!$C:$C,$F144,培训费明细!$F:$F,"&gt;="&amp;N$9,培训费明细!$F:$F,"&lt;="&amp;N$10,培训费明细!$A:$A,N$6)/10000</f>
        <v>0</v>
      </c>
      <c r="O144" s="121">
        <f>SUMIFS(培训费明细!$G:$G,培训费明细!$B:$B,$E144,培训费明细!$C:$C,$F144,培训费明细!$F:$F,"&gt;="&amp;O$9,培训费明细!$F:$F,"&lt;="&amp;O$10,培训费明细!$A:$A,O$6)/10000</f>
        <v>0</v>
      </c>
      <c r="P144" s="121">
        <f>SUMIFS(培训费明细!$G:$G,培训费明细!$B:$B,$E144,培训费明细!$C:$C,$F144,培训费明细!$F:$F,"&gt;="&amp;P$9,培训费明细!$F:$F,"&lt;="&amp;P$10,培训费明细!$A:$A,P$6)/10000</f>
        <v>0</v>
      </c>
      <c r="Q144" s="121">
        <f>SUMIFS(培训费明细!$G:$G,培训费明细!$B:$B,$E144,培训费明细!$C:$C,$F144,培训费明细!$F:$F,"&gt;="&amp;Q$9,培训费明细!$F:$F,"&lt;="&amp;Q$10,培训费明细!$A:$A,Q$6)/10000</f>
        <v>0</v>
      </c>
      <c r="R144" s="121">
        <f>SUMIFS(培训费明细!$G:$G,培训费明细!$B:$B,$E144,培训费明细!$C:$C,$F144,培训费明细!$F:$F,"&gt;="&amp;R$9,培训费明细!$F:$F,"&lt;="&amp;R$10,培训费明细!$A:$A,R$6)/10000</f>
        <v>0</v>
      </c>
      <c r="S144" s="121">
        <f>SUMIFS(培训费明细!$G:$G,培训费明细!$B:$B,$E144,培训费明细!$C:$C,$F144,培训费明细!$F:$F,"&gt;="&amp;S$9,培训费明细!$F:$F,"&lt;="&amp;S$10,培训费明细!$A:$A,S$6)/10000</f>
        <v>0</v>
      </c>
      <c r="T144" s="125">
        <f t="shared" si="104"/>
        <v>22</v>
      </c>
      <c r="U144" s="121">
        <f>SUMIFS(培训费明细!$G:$G,培训费明细!$B:$B,$E144,培训费明细!$C:$C,$F144,培训费明细!$F:$F,"&gt;="&amp;U$9,培训费明细!$F:$F,"&lt;="&amp;U$10,培训费明细!$A:$A,U$6)/10000</f>
        <v>15</v>
      </c>
      <c r="V144" s="121">
        <f>SUMIFS(培训费明细!$G:$G,培训费明细!$B:$B,$E144,培训费明细!$C:$C,$F144,培训费明细!$F:$F,"&gt;="&amp;V$9,培训费明细!$F:$F,"&lt;="&amp;V$10,培训费明细!$A:$A,V$6)/10000</f>
        <v>15</v>
      </c>
      <c r="W144" s="121">
        <f>SUMIFS(培训费明细!$G:$G,培训费明细!$B:$B,$E144,培训费明细!$C:$C,$F144,培训费明细!$F:$F,"&gt;="&amp;W$9,培训费明细!$F:$F,"&lt;="&amp;W$10,培训费明细!$A:$A,W$6)/10000</f>
        <v>0</v>
      </c>
      <c r="X144" s="121">
        <f>SUMIFS(培训费明细!$G:$G,培训费明细!$B:$B,$E144,培训费明细!$C:$C,$F144,培训费明细!$F:$F,"&gt;="&amp;X$9,培训费明细!$F:$F,"&lt;="&amp;X$10,培训费明细!$A:$A,X$6)/10000</f>
        <v>0</v>
      </c>
      <c r="Y144" s="121">
        <f>SUMIFS(培训费明细!$G:$G,培训费明细!$B:$B,$E144,培训费明细!$C:$C,$F144,培训费明细!$F:$F,"&gt;="&amp;Y$9,培训费明细!$F:$F,"&lt;="&amp;Y$10,培训费明细!$A:$A,Y$6)/10000</f>
        <v>0</v>
      </c>
      <c r="Z144" s="121">
        <f>SUMIFS(培训费明细!$G:$G,培训费明细!$B:$B,$E144,培训费明细!$C:$C,$F144,培训费明细!$F:$F,"&gt;="&amp;Z$9,培训费明细!$F:$F,"&lt;="&amp;Z$10,培训费明细!$A:$A,Z$6)/10000</f>
        <v>0</v>
      </c>
      <c r="AA144" s="121">
        <f>SUMIFS(培训费明细!$G:$G,培训费明细!$B:$B,$E144,培训费明细!$C:$C,$F144,培训费明细!$F:$F,"&gt;="&amp;AA$9,培训费明细!$F:$F,"&lt;="&amp;AA$10,培训费明细!$A:$A,AA$6)/10000</f>
        <v>0</v>
      </c>
      <c r="AB144" s="121">
        <f>SUMIFS(培训费明细!$G:$G,培训费明细!$B:$B,$E144,培训费明细!$C:$C,$F144,培训费明细!$F:$F,"&gt;="&amp;AB$9,培训费明细!$F:$F,"&lt;="&amp;AB$10,培训费明细!$A:$A,AB$6)/10000</f>
        <v>0</v>
      </c>
      <c r="AC144" s="121">
        <f>SUMIFS(培训费明细!$G:$G,培训费明细!$B:$B,$E144,培训费明细!$C:$C,$F144,培训费明细!$F:$F,"&gt;="&amp;AC$9,培训费明细!$F:$F,"&lt;="&amp;AC$10,培训费明细!$A:$A,AC$6)/10000</f>
        <v>0</v>
      </c>
      <c r="AD144" s="121">
        <f>SUMIFS(培训费明细!$G:$G,培训费明细!$B:$B,$E144,培训费明细!$C:$C,$F144,培训费明细!$F:$F,"&gt;="&amp;AD$9,培训费明细!$F:$F,"&lt;="&amp;AD$10,培训费明细!$A:$A,AD$6)/10000</f>
        <v>0</v>
      </c>
      <c r="AE144" s="121">
        <f>SUMIFS(培训费明细!$G:$G,培训费明细!$B:$B,$E144,培训费明细!$C:$C,$F144,培训费明细!$F:$F,"&gt;="&amp;AE$9,培训费明细!$F:$F,"&lt;="&amp;AE$10,培训费明细!$A:$A,AE$6)/10000</f>
        <v>0</v>
      </c>
      <c r="AF144" s="121">
        <f>SUMIFS(培训费明细!$G:$G,培训费明细!$B:$B,$E144,培训费明细!$C:$C,$F144,培训费明细!$F:$F,"&gt;="&amp;AF$9,培训费明细!$F:$F,"&lt;="&amp;AF$10,培训费明细!$A:$A,AF$6)/10000</f>
        <v>0</v>
      </c>
      <c r="AG144" s="121">
        <f>SUMIFS(培训费明细!$G:$G,培训费明细!$B:$B,$E144,培训费明细!$C:$C,$F144,培训费明细!$F:$F,"&gt;="&amp;AG$9,培训费明细!$F:$F,"&lt;="&amp;AG$10,培训费明细!$A:$A,AG$6)/10000</f>
        <v>0</v>
      </c>
      <c r="AH144" s="121">
        <f>SUMIFS(培训费明细!$G:$G,培训费明细!$B:$B,$E144,培训费明细!$C:$C,$F144,培训费明细!$F:$F,"&gt;="&amp;AH$9,培训费明细!$F:$F,"&lt;="&amp;AH$10,培训费明细!$A:$A,AH$6)/10000</f>
        <v>7</v>
      </c>
      <c r="AI144" s="121">
        <f>SUMIFS(培训费明细!$G:$G,培训费明细!$B:$B,$E144,培训费明细!$C:$C,$F144,培训费明细!$F:$F,"&gt;="&amp;AI$9,培训费明细!$F:$F,"&lt;="&amp;AI$10,培训费明细!$A:$A,AI$6)/10000</f>
        <v>0</v>
      </c>
      <c r="AJ144" s="121">
        <f>SUMIFS(培训费明细!$G:$G,培训费明细!$B:$B,$E144,培训费明细!$C:$C,$F144,培训费明细!$F:$F,"&gt;="&amp;AJ$9,培训费明细!$F:$F,"&lt;="&amp;AJ$10,培训费明细!$A:$A,AJ$6)/10000</f>
        <v>0</v>
      </c>
      <c r="AK144" s="121">
        <f>SUMIFS(培训费明细!$G:$G,培训费明细!$B:$B,$E144,培训费明细!$C:$C,$F144,培训费明细!$F:$F,"&gt;="&amp;AK$9,培训费明细!$F:$F,"&lt;="&amp;AK$10,培训费明细!$A:$A,AK$6)/10000</f>
        <v>0</v>
      </c>
      <c r="AL144" s="121">
        <f>SUMIFS(培训费明细!$G:$G,培训费明细!$B:$B,$E144,培训费明细!$C:$C,$F144,培训费明细!$F:$F,"&gt;="&amp;AL$9,培训费明细!$F:$F,"&lt;="&amp;AL$10,培训费明细!$A:$A,AL$6)/10000</f>
        <v>0</v>
      </c>
      <c r="AM144" s="121">
        <f>SUMIFS(培训费明细!$G:$G,培训费明细!$B:$B,$E144,培训费明细!$C:$C,$F144,培训费明细!$F:$F,"&gt;="&amp;AM$9,培训费明细!$F:$F,"&lt;="&amp;AM$10,培训费明细!$A:$A,AM$6)/10000</f>
        <v>0</v>
      </c>
      <c r="AN144" s="121">
        <f>SUMIFS(培训费明细!$G:$G,培训费明细!$B:$B,$E144,培训费明细!$C:$C,$F144,培训费明细!$F:$F,"&gt;="&amp;AN$9,培训费明细!$F:$F,"&lt;="&amp;AN$10,培训费明细!$A:$A,AN$6)/10000</f>
        <v>0</v>
      </c>
      <c r="AO144" s="121">
        <f>SUMIFS(培训费明细!$G:$G,培训费明细!$B:$B,$E144,培训费明细!$C:$C,$F144,培训费明细!$F:$F,"&gt;="&amp;AO$9,培训费明细!$F:$F,"&lt;="&amp;AO$10,培训费明细!$A:$A,AO$6)/10000</f>
        <v>0</v>
      </c>
      <c r="AP144" s="121">
        <f>SUMIFS(培训费明细!$G:$G,培训费明细!$B:$B,$E144,培训费明细!$C:$C,$F144,培训费明细!$F:$F,"&gt;="&amp;AP$9,培训费明细!$F:$F,"&lt;="&amp;AP$10,培训费明细!$A:$A,AP$6)/10000</f>
        <v>0</v>
      </c>
      <c r="AQ144" s="121">
        <f>SUMIFS(培训费明细!$G:$G,培训费明细!$B:$B,$E144,培训费明细!$C:$C,$F144,培训费明细!$F:$F,"&gt;="&amp;AQ$9,培训费明细!$F:$F,"&lt;="&amp;AQ$10,培训费明细!$A:$A,AQ$6)/10000</f>
        <v>0</v>
      </c>
      <c r="AR144" s="121">
        <f>SUMIFS(培训费明细!$G:$G,培训费明细!$B:$B,$E144,培训费明细!$C:$C,$F144,培训费明细!$F:$F,"&gt;="&amp;AR$9,培训费明细!$F:$F,"&lt;="&amp;AR$10,培训费明细!$A:$A,AR$6)/10000</f>
        <v>0</v>
      </c>
      <c r="AS144" s="121">
        <f>SUMIFS(培训费明细!$G:$G,培训费明细!$B:$B,$E144,培训费明细!$C:$C,$F144,培训费明细!$F:$F,"&gt;="&amp;AS$9,培训费明细!$F:$F,"&lt;="&amp;AS$10,培训费明细!$A:$A,AS$6)/10000</f>
        <v>7</v>
      </c>
      <c r="AT144" s="121">
        <f>SUMIFS(培训费明细!$G:$G,培训费明细!$B:$B,$E144,培训费明细!$C:$C,$F144,培训费明细!$F:$F,"&gt;="&amp;AT$9,培训费明细!$F:$F,"&lt;="&amp;AT$10,培训费明细!$A:$A,AT$6)/10000</f>
        <v>0</v>
      </c>
      <c r="AU144" s="121">
        <f>SUMIFS(培训费明细!$G:$G,培训费明细!$B:$B,$E144,培训费明细!$C:$C,$F144,培训费明细!$F:$F,"&gt;="&amp;AU$9,培训费明细!$F:$F,"&lt;="&amp;AU$10,培训费明细!$A:$A,AU$6)/10000</f>
        <v>29.8</v>
      </c>
      <c r="AV144" s="121">
        <f>SUMIFS(培训费明细!$G:$G,培训费明细!$B:$B,$E144,培训费明细!$C:$C,$F144,培训费明细!$F:$F,"&gt;="&amp;AV$9,培训费明细!$F:$F,"&lt;="&amp;AV$10,培训费明细!$A:$A,AV$6)/10000</f>
        <v>0</v>
      </c>
      <c r="AW144" s="121">
        <f>SUMIFS(培训费明细!$G:$G,培训费明细!$B:$B,$E144,培训费明细!$C:$C,$F144,培训费明细!$F:$F,"&gt;="&amp;AW$9,培训费明细!$F:$F,"&lt;="&amp;AW$10,培训费明细!$A:$A,AW$6)/10000</f>
        <v>0</v>
      </c>
      <c r="AX144" s="121">
        <f>SUMIFS(培训费明细!$G:$G,培训费明细!$B:$B,$E144,培训费明细!$C:$C,$F144,培训费明细!$F:$F,"&gt;="&amp;AX$9,培训费明细!$F:$F,"&lt;="&amp;AX$10,培训费明细!$A:$A,AX$6)/10000</f>
        <v>0</v>
      </c>
      <c r="AY144" s="121">
        <f>SUMIFS(培训费明细!$G:$G,培训费明细!$B:$B,$E144,培训费明细!$C:$C,$F144,培训费明细!$F:$F,"&gt;="&amp;AY$9,培训费明细!$F:$F,"&lt;="&amp;AY$10,培训费明细!$A:$A,AY$6)/10000</f>
        <v>0</v>
      </c>
      <c r="AZ144" s="121">
        <f>SUMIFS(培训费明细!$G:$G,培训费明细!$B:$B,$E144,培训费明细!$C:$C,$F144,培训费明细!$F:$F,"&gt;="&amp;AZ$9,培训费明细!$F:$F,"&lt;="&amp;AZ$10,培训费明细!$A:$A,AZ$6)/10000</f>
        <v>0</v>
      </c>
      <c r="BA144" s="121">
        <f>SUMIFS(培训费明细!$G:$G,培训费明细!$B:$B,$E144,培训费明细!$C:$C,$F144,培训费明细!$F:$F,"&gt;="&amp;BA$9,培训费明细!$F:$F,"&lt;="&amp;BA$10,培训费明细!$A:$A,BA$6)/10000</f>
        <v>0</v>
      </c>
      <c r="BB144" s="121">
        <f>SUMIFS(培训费明细!$G:$G,培训费明细!$B:$B,$E144,培训费明细!$C:$C,$F144,培训费明细!$F:$F,"&gt;="&amp;BB$9,培训费明细!$F:$F,"&lt;="&amp;BB$10,培训费明细!$A:$A,BB$6)/10000</f>
        <v>0</v>
      </c>
      <c r="BC144" s="121">
        <f>SUMIFS(培训费明细!$G:$G,培训费明细!$B:$B,$E144,培训费明细!$C:$C,$F144,培训费明细!$F:$F,"&gt;="&amp;BC$9,培训费明细!$F:$F,"&lt;="&amp;BC$10,培训费明细!$A:$A,BC$6)/10000</f>
        <v>0</v>
      </c>
      <c r="BD144" s="121">
        <f>SUMIFS(培训费明细!$G:$G,培训费明细!$B:$B,$E144,培训费明细!$C:$C,$F144,培训费明细!$F:$F,"&gt;="&amp;BD$9,培训费明细!$F:$F,"&lt;="&amp;BD$10,培训费明细!$A:$A,BD$6)/10000</f>
        <v>0</v>
      </c>
      <c r="BE144" s="121">
        <f>SUMIFS(培训费明细!$G:$G,培训费明细!$B:$B,$E144,培训费明细!$C:$C,$F144,培训费明细!$F:$F,"&gt;="&amp;BE$9,培训费明细!$F:$F,"&lt;="&amp;BE$10,培训费明细!$A:$A,BE$6)/10000</f>
        <v>29.8</v>
      </c>
      <c r="BF144" s="121">
        <f>SUMIFS(培训费明细!$G:$G,培训费明细!$B:$B,$E144,培训费明细!$C:$C,$F144,培训费明细!$F:$F,"&gt;="&amp;BF$9,培训费明细!$F:$F,"&lt;="&amp;BF$10,培训费明细!$A:$A,BF$6)/10000</f>
        <v>0</v>
      </c>
      <c r="BG144" s="121">
        <f>SUMIFS(培训费明细!$G:$G,培训费明细!$B:$B,$E144,培训费明细!$C:$C,$F144,培训费明细!$F:$F,"&gt;="&amp;BG$9,培训费明细!$F:$F,"&lt;="&amp;BG$10,培训费明细!$A:$A,BG$6)/10000</f>
        <v>0</v>
      </c>
    </row>
    <row r="146" ht="20.4" spans="2:2">
      <c r="B146" s="118" t="s">
        <v>99</v>
      </c>
    </row>
    <row r="147" s="101" customFormat="1" ht="19.2" customHeight="1" spans="2:59">
      <c r="B147" s="42" t="s">
        <v>76</v>
      </c>
      <c r="C147" s="119"/>
      <c r="D147" s="119"/>
      <c r="E147" s="119" t="s">
        <v>78</v>
      </c>
      <c r="F147" s="119" t="s">
        <v>78</v>
      </c>
      <c r="G147" s="120">
        <f>SUMIFS(招聘费明细!$G:$G,招聘费明细!$B:$B,$E147,招聘费明细!$C:$C,$F147,招聘费明细!$F:$F,"&gt;="&amp;G$9,招聘费明细!$F:$F,"&lt;="&amp;G$10,招聘费明细!$A:$A,G$6)/10000</f>
        <v>11</v>
      </c>
      <c r="H147" s="120">
        <f>SUMIFS(招聘费明细!$G:$G,招聘费明细!$B:$B,$E147,招聘费明细!$C:$C,$F147,招聘费明细!$F:$F,"&gt;="&amp;H$9,招聘费明细!$F:$F,"&lt;="&amp;H$10,招聘费明细!$A:$A,H$6)/10000</f>
        <v>8</v>
      </c>
      <c r="I147" s="120">
        <f>SUMIFS(招聘费明细!$G:$G,招聘费明细!$B:$B,$E147,招聘费明细!$C:$C,$F147,招聘费明细!$F:$F,"&gt;="&amp;I$9,招聘费明细!$F:$F,"&lt;="&amp;I$10,招聘费明细!$A:$A,I$6)/10000</f>
        <v>3</v>
      </c>
      <c r="J147" s="120">
        <f>SUMIFS(招聘费明细!$G:$G,招聘费明细!$B:$B,$E147,招聘费明细!$C:$C,$F147,招聘费明细!$F:$F,"&gt;="&amp;J$9,招聘费明细!$F:$F,"&lt;="&amp;J$10,招聘费明细!$A:$A,J$6)/10000</f>
        <v>0</v>
      </c>
      <c r="K147" s="120">
        <f>SUMIFS(招聘费明细!$G:$G,招聘费明细!$B:$B,$E147,招聘费明细!$C:$C,$F147,招聘费明细!$F:$F,"&gt;="&amp;K$9,招聘费明细!$F:$F,"&lt;="&amp;K$10,招聘费明细!$A:$A,K$6)/10000</f>
        <v>0</v>
      </c>
      <c r="L147" s="120">
        <f>SUMIFS(招聘费明细!$G:$G,招聘费明细!$B:$B,$E147,招聘费明细!$C:$C,$F147,招聘费明细!$F:$F,"&gt;="&amp;L$9,招聘费明细!$F:$F,"&lt;="&amp;L$10,招聘费明细!$A:$A,L$6)/10000</f>
        <v>0</v>
      </c>
      <c r="M147" s="120">
        <f>SUMIFS(招聘费明细!$G:$G,招聘费明细!$B:$B,$E147,招聘费明细!$C:$C,$F147,招聘费明细!$F:$F,"&gt;="&amp;M$9,招聘费明细!$F:$F,"&lt;="&amp;M$10,招聘费明细!$A:$A,M$6)/10000</f>
        <v>0</v>
      </c>
      <c r="N147" s="120">
        <f>SUMIFS(招聘费明细!$G:$G,招聘费明细!$B:$B,$E147,招聘费明细!$C:$C,$F147,招聘费明细!$F:$F,"&gt;="&amp;N$9,招聘费明细!$F:$F,"&lt;="&amp;N$10,招聘费明细!$A:$A,N$6)/10000</f>
        <v>0</v>
      </c>
      <c r="O147" s="120">
        <f>SUMIFS(招聘费明细!$G:$G,招聘费明细!$B:$B,$E147,招聘费明细!$C:$C,$F147,招聘费明细!$F:$F,"&gt;="&amp;O$9,招聘费明细!$F:$F,"&lt;="&amp;O$10,招聘费明细!$A:$A,O$6)/10000</f>
        <v>0</v>
      </c>
      <c r="P147" s="120">
        <f>SUMIFS(招聘费明细!$G:$G,招聘费明细!$B:$B,$E147,招聘费明细!$C:$C,$F147,招聘费明细!$F:$F,"&gt;="&amp;P$9,招聘费明细!$F:$F,"&lt;="&amp;P$10,招聘费明细!$A:$A,P$6)/10000</f>
        <v>0</v>
      </c>
      <c r="Q147" s="120">
        <f>SUMIFS(招聘费明细!$G:$G,招聘费明细!$B:$B,$E147,招聘费明细!$C:$C,$F147,招聘费明细!$F:$F,"&gt;="&amp;Q$9,招聘费明细!$F:$F,"&lt;="&amp;Q$10,招聘费明细!$A:$A,Q$6)/10000</f>
        <v>0</v>
      </c>
      <c r="R147" s="120">
        <f>SUMIFS(招聘费明细!$G:$G,招聘费明细!$B:$B,$E147,招聘费明细!$C:$C,$F147,招聘费明细!$F:$F,"&gt;="&amp;R$9,招聘费明细!$F:$F,"&lt;="&amp;R$10,招聘费明细!$A:$A,R$6)/10000</f>
        <v>0</v>
      </c>
      <c r="S147" s="120">
        <f>SUMIFS(招聘费明细!$G:$G,招聘费明细!$B:$B,$E147,招聘费明细!$C:$C,$F147,招聘费明细!$F:$F,"&gt;="&amp;S$9,招聘费明细!$F:$F,"&lt;="&amp;S$10,招聘费明细!$A:$A,S$6)/10000</f>
        <v>0</v>
      </c>
      <c r="T147" s="124">
        <f>U147+AH147</f>
        <v>7</v>
      </c>
      <c r="U147" s="120">
        <f>SUMIFS(招聘费明细!$G:$G,招聘费明细!$B:$B,$E147,招聘费明细!$C:$C,$F147,招聘费明细!$F:$F,"&gt;="&amp;U$9,招聘费明细!$F:$F,"&lt;="&amp;U$10,招聘费明细!$A:$A,U$6)/10000</f>
        <v>4</v>
      </c>
      <c r="V147" s="120">
        <f>SUMIFS(招聘费明细!$G:$G,招聘费明细!$B:$B,$E147,招聘费明细!$C:$C,$F147,招聘费明细!$F:$F,"&gt;="&amp;V$9,招聘费明细!$F:$F,"&lt;="&amp;V$10,招聘费明细!$A:$A,V$6)/10000</f>
        <v>4</v>
      </c>
      <c r="W147" s="120">
        <f>SUMIFS(招聘费明细!$G:$G,招聘费明细!$B:$B,$E147,招聘费明细!$C:$C,$F147,招聘费明细!$F:$F,"&gt;="&amp;W$9,招聘费明细!$F:$F,"&lt;="&amp;W$10,招聘费明细!$A:$A,W$6)/10000</f>
        <v>0</v>
      </c>
      <c r="X147" s="120">
        <f>SUMIFS(招聘费明细!$G:$G,招聘费明细!$B:$B,$E147,招聘费明细!$C:$C,$F147,招聘费明细!$F:$F,"&gt;="&amp;X$9,招聘费明细!$F:$F,"&lt;="&amp;X$10,招聘费明细!$A:$A,X$6)/10000</f>
        <v>0</v>
      </c>
      <c r="Y147" s="120">
        <f>SUMIFS(招聘费明细!$G:$G,招聘费明细!$B:$B,$E147,招聘费明细!$C:$C,$F147,招聘费明细!$F:$F,"&gt;="&amp;Y$9,招聘费明细!$F:$F,"&lt;="&amp;Y$10,招聘费明细!$A:$A,Y$6)/10000</f>
        <v>0</v>
      </c>
      <c r="Z147" s="120">
        <f>SUMIFS(招聘费明细!$G:$G,招聘费明细!$B:$B,$E147,招聘费明细!$C:$C,$F147,招聘费明细!$F:$F,"&gt;="&amp;Z$9,招聘费明细!$F:$F,"&lt;="&amp;Z$10,招聘费明细!$A:$A,Z$6)/10000</f>
        <v>0</v>
      </c>
      <c r="AA147" s="120">
        <f>SUMIFS(招聘费明细!$G:$G,招聘费明细!$B:$B,$E147,招聘费明细!$C:$C,$F147,招聘费明细!$F:$F,"&gt;="&amp;AA$9,招聘费明细!$F:$F,"&lt;="&amp;AA$10,招聘费明细!$A:$A,AA$6)/10000</f>
        <v>0</v>
      </c>
      <c r="AB147" s="120">
        <f>SUMIFS(招聘费明细!$G:$G,招聘费明细!$B:$B,$E147,招聘费明细!$C:$C,$F147,招聘费明细!$F:$F,"&gt;="&amp;AB$9,招聘费明细!$F:$F,"&lt;="&amp;AB$10,招聘费明细!$A:$A,AB$6)/10000</f>
        <v>0</v>
      </c>
      <c r="AC147" s="120">
        <f>SUMIFS(招聘费明细!$G:$G,招聘费明细!$B:$B,$E147,招聘费明细!$C:$C,$F147,招聘费明细!$F:$F,"&gt;="&amp;AC$9,招聘费明细!$F:$F,"&lt;="&amp;AC$10,招聘费明细!$A:$A,AC$6)/10000</f>
        <v>0</v>
      </c>
      <c r="AD147" s="120">
        <f>SUMIFS(招聘费明细!$G:$G,招聘费明细!$B:$B,$E147,招聘费明细!$C:$C,$F147,招聘费明细!$F:$F,"&gt;="&amp;AD$9,招聘费明细!$F:$F,"&lt;="&amp;AD$10,招聘费明细!$A:$A,AD$6)/10000</f>
        <v>0</v>
      </c>
      <c r="AE147" s="120">
        <f>SUMIFS(招聘费明细!$G:$G,招聘费明细!$B:$B,$E147,招聘费明细!$C:$C,$F147,招聘费明细!$F:$F,"&gt;="&amp;AE$9,招聘费明细!$F:$F,"&lt;="&amp;AE$10,招聘费明细!$A:$A,AE$6)/10000</f>
        <v>0</v>
      </c>
      <c r="AF147" s="120">
        <f>SUMIFS(招聘费明细!$G:$G,招聘费明细!$B:$B,$E147,招聘费明细!$C:$C,$F147,招聘费明细!$F:$F,"&gt;="&amp;AF$9,招聘费明细!$F:$F,"&lt;="&amp;AF$10,招聘费明细!$A:$A,AF$6)/10000</f>
        <v>0</v>
      </c>
      <c r="AG147" s="120">
        <f>SUMIFS(招聘费明细!$G:$G,招聘费明细!$B:$B,$E147,招聘费明细!$C:$C,$F147,招聘费明细!$F:$F,"&gt;="&amp;AG$9,招聘费明细!$F:$F,"&lt;="&amp;AG$10,招聘费明细!$A:$A,AG$6)/10000</f>
        <v>0</v>
      </c>
      <c r="AH147" s="120">
        <f>SUMIFS(招聘费明细!$G:$G,招聘费明细!$B:$B,$E147,招聘费明细!$C:$C,$F147,招聘费明细!$F:$F,"&gt;="&amp;AH$9,招聘费明细!$F:$F,"&lt;="&amp;AH$10,招聘费明细!$A:$A,AH$6)/10000</f>
        <v>3</v>
      </c>
      <c r="AI147" s="120">
        <f>SUMIFS(招聘费明细!$G:$G,招聘费明细!$B:$B,$E147,招聘费明细!$C:$C,$F147,招聘费明细!$F:$F,"&gt;="&amp;AI$9,招聘费明细!$F:$F,"&lt;="&amp;AI$10,招聘费明细!$A:$A,AI$6)/10000</f>
        <v>0</v>
      </c>
      <c r="AJ147" s="120">
        <f>SUMIFS(招聘费明细!$G:$G,招聘费明细!$B:$B,$E147,招聘费明细!$C:$C,$F147,招聘费明细!$F:$F,"&gt;="&amp;AJ$9,招聘费明细!$F:$F,"&lt;="&amp;AJ$10,招聘费明细!$A:$A,AJ$6)/10000</f>
        <v>0</v>
      </c>
      <c r="AK147" s="120">
        <f>SUMIFS(招聘费明细!$G:$G,招聘费明细!$B:$B,$E147,招聘费明细!$C:$C,$F147,招聘费明细!$F:$F,"&gt;="&amp;AK$9,招聘费明细!$F:$F,"&lt;="&amp;AK$10,招聘费明细!$A:$A,AK$6)/10000</f>
        <v>0</v>
      </c>
      <c r="AL147" s="120">
        <f>SUMIFS(招聘费明细!$G:$G,招聘费明细!$B:$B,$E147,招聘费明细!$C:$C,$F147,招聘费明细!$F:$F,"&gt;="&amp;AL$9,招聘费明细!$F:$F,"&lt;="&amp;AL$10,招聘费明细!$A:$A,AL$6)/10000</f>
        <v>0</v>
      </c>
      <c r="AM147" s="120">
        <f>SUMIFS(招聘费明细!$G:$G,招聘费明细!$B:$B,$E147,招聘费明细!$C:$C,$F147,招聘费明细!$F:$F,"&gt;="&amp;AM$9,招聘费明细!$F:$F,"&lt;="&amp;AM$10,招聘费明细!$A:$A,AM$6)/10000</f>
        <v>0</v>
      </c>
      <c r="AN147" s="120">
        <f>SUMIFS(招聘费明细!$G:$G,招聘费明细!$B:$B,$E147,招聘费明细!$C:$C,$F147,招聘费明细!$F:$F,"&gt;="&amp;AN$9,招聘费明细!$F:$F,"&lt;="&amp;AN$10,招聘费明细!$A:$A,AN$6)/10000</f>
        <v>0</v>
      </c>
      <c r="AO147" s="120">
        <f>SUMIFS(招聘费明细!$G:$G,招聘费明细!$B:$B,$E147,招聘费明细!$C:$C,$F147,招聘费明细!$F:$F,"&gt;="&amp;AO$9,招聘费明细!$F:$F,"&lt;="&amp;AO$10,招聘费明细!$A:$A,AO$6)/10000</f>
        <v>0</v>
      </c>
      <c r="AP147" s="120">
        <f>SUMIFS(招聘费明细!$G:$G,招聘费明细!$B:$B,$E147,招聘费明细!$C:$C,$F147,招聘费明细!$F:$F,"&gt;="&amp;AP$9,招聘费明细!$F:$F,"&lt;="&amp;AP$10,招聘费明细!$A:$A,AP$6)/10000</f>
        <v>0</v>
      </c>
      <c r="AQ147" s="120">
        <f>SUMIFS(招聘费明细!$G:$G,招聘费明细!$B:$B,$E147,招聘费明细!$C:$C,$F147,招聘费明细!$F:$F,"&gt;="&amp;AQ$9,招聘费明细!$F:$F,"&lt;="&amp;AQ$10,招聘费明细!$A:$A,AQ$6)/10000</f>
        <v>0</v>
      </c>
      <c r="AR147" s="120">
        <f>SUMIFS(招聘费明细!$G:$G,招聘费明细!$B:$B,$E147,招聘费明细!$C:$C,$F147,招聘费明细!$F:$F,"&gt;="&amp;AR$9,招聘费明细!$F:$F,"&lt;="&amp;AR$10,招聘费明细!$A:$A,AR$6)/10000</f>
        <v>0</v>
      </c>
      <c r="AS147" s="120">
        <f>SUMIFS(招聘费明细!$G:$G,招聘费明细!$B:$B,$E147,招聘费明细!$C:$C,$F147,招聘费明细!$F:$F,"&gt;="&amp;AS$9,招聘费明细!$F:$F,"&lt;="&amp;AS$10,招聘费明细!$A:$A,AS$6)/10000</f>
        <v>0</v>
      </c>
      <c r="AT147" s="120">
        <f>SUMIFS(招聘费明细!$G:$G,招聘费明细!$B:$B,$E147,招聘费明细!$C:$C,$F147,招聘费明细!$F:$F,"&gt;="&amp;AT$9,招聘费明细!$F:$F,"&lt;="&amp;AT$10,招聘费明细!$A:$A,AT$6)/10000</f>
        <v>3</v>
      </c>
      <c r="AU147" s="120">
        <f>SUMIFS(招聘费明细!$G:$G,招聘费明细!$B:$B,$E147,招聘费明细!$C:$C,$F147,招聘费明细!$F:$F,"&gt;="&amp;AU$9,招聘费明细!$F:$F,"&lt;="&amp;AU$10,招聘费明细!$A:$A,AU$6)/10000</f>
        <v>12</v>
      </c>
      <c r="AV147" s="120">
        <f>SUMIFS(招聘费明细!$G:$G,招聘费明细!$B:$B,$E147,招聘费明细!$C:$C,$F147,招聘费明细!$F:$F,"&gt;="&amp;AV$9,招聘费明细!$F:$F,"&lt;="&amp;AV$10,招聘费明细!$A:$A,AV$6)/10000</f>
        <v>0</v>
      </c>
      <c r="AW147" s="120">
        <f>SUMIFS(招聘费明细!$G:$G,招聘费明细!$B:$B,$E147,招聘费明细!$C:$C,$F147,招聘费明细!$F:$F,"&gt;="&amp;AW$9,招聘费明细!$F:$F,"&lt;="&amp;AW$10,招聘费明细!$A:$A,AW$6)/10000</f>
        <v>0</v>
      </c>
      <c r="AX147" s="120">
        <f>SUMIFS(招聘费明细!$G:$G,招聘费明细!$B:$B,$E147,招聘费明细!$C:$C,$F147,招聘费明细!$F:$F,"&gt;="&amp;AX$9,招聘费明细!$F:$F,"&lt;="&amp;AX$10,招聘费明细!$A:$A,AX$6)/10000</f>
        <v>0</v>
      </c>
      <c r="AY147" s="120">
        <f>SUMIFS(招聘费明细!$G:$G,招聘费明细!$B:$B,$E147,招聘费明细!$C:$C,$F147,招聘费明细!$F:$F,"&gt;="&amp;AY$9,招聘费明细!$F:$F,"&lt;="&amp;AY$10,招聘费明细!$A:$A,AY$6)/10000</f>
        <v>0</v>
      </c>
      <c r="AZ147" s="120">
        <f>SUMIFS(招聘费明细!$G:$G,招聘费明细!$B:$B,$E147,招聘费明细!$C:$C,$F147,招聘费明细!$F:$F,"&gt;="&amp;AZ$9,招聘费明细!$F:$F,"&lt;="&amp;AZ$10,招聘费明细!$A:$A,AZ$6)/10000</f>
        <v>0</v>
      </c>
      <c r="BA147" s="120">
        <f>SUMIFS(招聘费明细!$G:$G,招聘费明细!$B:$B,$E147,招聘费明细!$C:$C,$F147,招聘费明细!$F:$F,"&gt;="&amp;BA$9,招聘费明细!$F:$F,"&lt;="&amp;BA$10,招聘费明细!$A:$A,BA$6)/10000</f>
        <v>0</v>
      </c>
      <c r="BB147" s="120">
        <f>SUMIFS(招聘费明细!$G:$G,招聘费明细!$B:$B,$E147,招聘费明细!$C:$C,$F147,招聘费明细!$F:$F,"&gt;="&amp;BB$9,招聘费明细!$F:$F,"&lt;="&amp;BB$10,招聘费明细!$A:$A,BB$6)/10000</f>
        <v>0</v>
      </c>
      <c r="BC147" s="120">
        <f>SUMIFS(招聘费明细!$G:$G,招聘费明细!$B:$B,$E147,招聘费明细!$C:$C,$F147,招聘费明细!$F:$F,"&gt;="&amp;BC$9,招聘费明细!$F:$F,"&lt;="&amp;BC$10,招聘费明细!$A:$A,BC$6)/10000</f>
        <v>0</v>
      </c>
      <c r="BD147" s="120">
        <f>SUMIFS(招聘费明细!$G:$G,招聘费明细!$B:$B,$E147,招聘费明细!$C:$C,$F147,招聘费明细!$F:$F,"&gt;="&amp;BD$9,招聘费明细!$F:$F,"&lt;="&amp;BD$10,招聘费明细!$A:$A,BD$6)/10000</f>
        <v>0</v>
      </c>
      <c r="BE147" s="120">
        <f>SUMIFS(招聘费明细!$G:$G,招聘费明细!$B:$B,$E147,招聘费明细!$C:$C,$F147,招聘费明细!$F:$F,"&gt;="&amp;BE$9,招聘费明细!$F:$F,"&lt;="&amp;BE$10,招聘费明细!$A:$A,BE$6)/10000</f>
        <v>12</v>
      </c>
      <c r="BF147" s="120">
        <f>SUMIFS(招聘费明细!$G:$G,招聘费明细!$B:$B,$E147,招聘费明细!$C:$C,$F147,招聘费明细!$F:$F,"&gt;="&amp;BF$9,招聘费明细!$F:$F,"&lt;="&amp;BF$10,招聘费明细!$A:$A,BF$6)/10000</f>
        <v>0</v>
      </c>
      <c r="BG147" s="120">
        <f>SUMIFS(招聘费明细!$G:$G,招聘费明细!$B:$B,$E147,招聘费明细!$C:$C,$F147,招聘费明细!$F:$F,"&gt;="&amp;BG$9,招聘费明细!$F:$F,"&lt;="&amp;BG$10,招聘费明细!$A:$A,BG$6)/10000</f>
        <v>0</v>
      </c>
    </row>
    <row r="148" ht="16.2" spans="3:59">
      <c r="C148" s="42" t="s">
        <v>79</v>
      </c>
      <c r="D148" s="42"/>
      <c r="E148" s="116" t="str">
        <f>IF(C148&lt;&gt;"",C148,E145)</f>
        <v>流程中心</v>
      </c>
      <c r="F148" s="116" t="str">
        <f>IF(D148&lt;&gt;"",D148,"*")</f>
        <v>*</v>
      </c>
      <c r="G148" s="121">
        <f>SUMIFS(招聘费明细!$G:$G,招聘费明细!$B:$B,$E148,招聘费明细!$C:$C,$F148,招聘费明细!$F:$F,"&gt;="&amp;G$9,招聘费明细!$F:$F,"&lt;="&amp;G$10,招聘费明细!$A:$A,G$6)/10000</f>
        <v>0</v>
      </c>
      <c r="H148" s="121">
        <f>SUMIFS(招聘费明细!$G:$G,招聘费明细!$B:$B,$E148,招聘费明细!$C:$C,$F148,招聘费明细!$F:$F,"&gt;="&amp;H$9,招聘费明细!$F:$F,"&lt;="&amp;H$10,招聘费明细!$A:$A,H$6)/10000</f>
        <v>0</v>
      </c>
      <c r="I148" s="121">
        <f>SUMIFS(招聘费明细!$G:$G,招聘费明细!$B:$B,$E148,招聘费明细!$C:$C,$F148,招聘费明细!$F:$F,"&gt;="&amp;I$9,招聘费明细!$F:$F,"&lt;="&amp;I$10,招聘费明细!$A:$A,I$6)/10000</f>
        <v>0</v>
      </c>
      <c r="J148" s="121">
        <f>SUMIFS(招聘费明细!$G:$G,招聘费明细!$B:$B,$E148,招聘费明细!$C:$C,$F148,招聘费明细!$F:$F,"&gt;="&amp;J$9,招聘费明细!$F:$F,"&lt;="&amp;J$10,招聘费明细!$A:$A,J$6)/10000</f>
        <v>0</v>
      </c>
      <c r="K148" s="121">
        <f>SUMIFS(招聘费明细!$G:$G,招聘费明细!$B:$B,$E148,招聘费明细!$C:$C,$F148,招聘费明细!$F:$F,"&gt;="&amp;K$9,招聘费明细!$F:$F,"&lt;="&amp;K$10,招聘费明细!$A:$A,K$6)/10000</f>
        <v>0</v>
      </c>
      <c r="L148" s="121">
        <f>SUMIFS(招聘费明细!$G:$G,招聘费明细!$B:$B,$E148,招聘费明细!$C:$C,$F148,招聘费明细!$F:$F,"&gt;="&amp;L$9,招聘费明细!$F:$F,"&lt;="&amp;L$10,招聘费明细!$A:$A,L$6)/10000</f>
        <v>0</v>
      </c>
      <c r="M148" s="121">
        <f>SUMIFS(招聘费明细!$G:$G,招聘费明细!$B:$B,$E148,招聘费明细!$C:$C,$F148,招聘费明细!$F:$F,"&gt;="&amp;M$9,招聘费明细!$F:$F,"&lt;="&amp;M$10,招聘费明细!$A:$A,M$6)/10000</f>
        <v>0</v>
      </c>
      <c r="N148" s="121">
        <f>SUMIFS(招聘费明细!$G:$G,招聘费明细!$B:$B,$E148,招聘费明细!$C:$C,$F148,招聘费明细!$F:$F,"&gt;="&amp;N$9,招聘费明细!$F:$F,"&lt;="&amp;N$10,招聘费明细!$A:$A,N$6)/10000</f>
        <v>0</v>
      </c>
      <c r="O148" s="121">
        <f>SUMIFS(招聘费明细!$G:$G,招聘费明细!$B:$B,$E148,招聘费明细!$C:$C,$F148,招聘费明细!$F:$F,"&gt;="&amp;O$9,招聘费明细!$F:$F,"&lt;="&amp;O$10,招聘费明细!$A:$A,O$6)/10000</f>
        <v>0</v>
      </c>
      <c r="P148" s="121">
        <f>SUMIFS(招聘费明细!$G:$G,招聘费明细!$B:$B,$E148,招聘费明细!$C:$C,$F148,招聘费明细!$F:$F,"&gt;="&amp;P$9,招聘费明细!$F:$F,"&lt;="&amp;P$10,招聘费明细!$A:$A,P$6)/10000</f>
        <v>0</v>
      </c>
      <c r="Q148" s="121">
        <f>SUMIFS(招聘费明细!$G:$G,招聘费明细!$B:$B,$E148,招聘费明细!$C:$C,$F148,招聘费明细!$F:$F,"&gt;="&amp;Q$9,招聘费明细!$F:$F,"&lt;="&amp;Q$10,招聘费明细!$A:$A,Q$6)/10000</f>
        <v>0</v>
      </c>
      <c r="R148" s="121">
        <f>SUMIFS(招聘费明细!$G:$G,招聘费明细!$B:$B,$E148,招聘费明细!$C:$C,$F148,招聘费明细!$F:$F,"&gt;="&amp;R$9,招聘费明细!$F:$F,"&lt;="&amp;R$10,招聘费明细!$A:$A,R$6)/10000</f>
        <v>0</v>
      </c>
      <c r="S148" s="121">
        <f>SUMIFS(招聘费明细!$G:$G,招聘费明细!$B:$B,$E148,招聘费明细!$C:$C,$F148,招聘费明细!$F:$F,"&gt;="&amp;S$9,招聘费明细!$F:$F,"&lt;="&amp;S$10,招聘费明细!$A:$A,S$6)/10000</f>
        <v>0</v>
      </c>
      <c r="T148" s="125">
        <f>U148+AH148</f>
        <v>0</v>
      </c>
      <c r="U148" s="121">
        <f>SUMIFS(招聘费明细!$G:$G,招聘费明细!$B:$B,$E148,招聘费明细!$C:$C,$F148,招聘费明细!$F:$F,"&gt;="&amp;U$9,招聘费明细!$F:$F,"&lt;="&amp;U$10,招聘费明细!$A:$A,U$6)/10000</f>
        <v>0</v>
      </c>
      <c r="V148" s="121">
        <f>SUMIFS(招聘费明细!$G:$G,招聘费明细!$B:$B,$E148,招聘费明细!$C:$C,$F148,招聘费明细!$F:$F,"&gt;="&amp;V$9,招聘费明细!$F:$F,"&lt;="&amp;V$10,招聘费明细!$A:$A,V$6)/10000</f>
        <v>0</v>
      </c>
      <c r="W148" s="121">
        <f>SUMIFS(招聘费明细!$G:$G,招聘费明细!$B:$B,$E148,招聘费明细!$C:$C,$F148,招聘费明细!$F:$F,"&gt;="&amp;W$9,招聘费明细!$F:$F,"&lt;="&amp;W$10,招聘费明细!$A:$A,W$6)/10000</f>
        <v>0</v>
      </c>
      <c r="X148" s="121">
        <f>SUMIFS(招聘费明细!$G:$G,招聘费明细!$B:$B,$E148,招聘费明细!$C:$C,$F148,招聘费明细!$F:$F,"&gt;="&amp;X$9,招聘费明细!$F:$F,"&lt;="&amp;X$10,招聘费明细!$A:$A,X$6)/10000</f>
        <v>0</v>
      </c>
      <c r="Y148" s="121">
        <f>SUMIFS(招聘费明细!$G:$G,招聘费明细!$B:$B,$E148,招聘费明细!$C:$C,$F148,招聘费明细!$F:$F,"&gt;="&amp;Y$9,招聘费明细!$F:$F,"&lt;="&amp;Y$10,招聘费明细!$A:$A,Y$6)/10000</f>
        <v>0</v>
      </c>
      <c r="Z148" s="121">
        <f>SUMIFS(招聘费明细!$G:$G,招聘费明细!$B:$B,$E148,招聘费明细!$C:$C,$F148,招聘费明细!$F:$F,"&gt;="&amp;Z$9,招聘费明细!$F:$F,"&lt;="&amp;Z$10,招聘费明细!$A:$A,Z$6)/10000</f>
        <v>0</v>
      </c>
      <c r="AA148" s="121">
        <f>SUMIFS(招聘费明细!$G:$G,招聘费明细!$B:$B,$E148,招聘费明细!$C:$C,$F148,招聘费明细!$F:$F,"&gt;="&amp;AA$9,招聘费明细!$F:$F,"&lt;="&amp;AA$10,招聘费明细!$A:$A,AA$6)/10000</f>
        <v>0</v>
      </c>
      <c r="AB148" s="121">
        <f>SUMIFS(招聘费明细!$G:$G,招聘费明细!$B:$B,$E148,招聘费明细!$C:$C,$F148,招聘费明细!$F:$F,"&gt;="&amp;AB$9,招聘费明细!$F:$F,"&lt;="&amp;AB$10,招聘费明细!$A:$A,AB$6)/10000</f>
        <v>0</v>
      </c>
      <c r="AC148" s="121">
        <f>SUMIFS(招聘费明细!$G:$G,招聘费明细!$B:$B,$E148,招聘费明细!$C:$C,$F148,招聘费明细!$F:$F,"&gt;="&amp;AC$9,招聘费明细!$F:$F,"&lt;="&amp;AC$10,招聘费明细!$A:$A,AC$6)/10000</f>
        <v>0</v>
      </c>
      <c r="AD148" s="121">
        <f>SUMIFS(招聘费明细!$G:$G,招聘费明细!$B:$B,$E148,招聘费明细!$C:$C,$F148,招聘费明细!$F:$F,"&gt;="&amp;AD$9,招聘费明细!$F:$F,"&lt;="&amp;AD$10,招聘费明细!$A:$A,AD$6)/10000</f>
        <v>0</v>
      </c>
      <c r="AE148" s="121">
        <f>SUMIFS(招聘费明细!$G:$G,招聘费明细!$B:$B,$E148,招聘费明细!$C:$C,$F148,招聘费明细!$F:$F,"&gt;="&amp;AE$9,招聘费明细!$F:$F,"&lt;="&amp;AE$10,招聘费明细!$A:$A,AE$6)/10000</f>
        <v>0</v>
      </c>
      <c r="AF148" s="121">
        <f>SUMIFS(招聘费明细!$G:$G,招聘费明细!$B:$B,$E148,招聘费明细!$C:$C,$F148,招聘费明细!$F:$F,"&gt;="&amp;AF$9,招聘费明细!$F:$F,"&lt;="&amp;AF$10,招聘费明细!$A:$A,AF$6)/10000</f>
        <v>0</v>
      </c>
      <c r="AG148" s="121">
        <f>SUMIFS(招聘费明细!$G:$G,招聘费明细!$B:$B,$E148,招聘费明细!$C:$C,$F148,招聘费明细!$F:$F,"&gt;="&amp;AG$9,招聘费明细!$F:$F,"&lt;="&amp;AG$10,招聘费明细!$A:$A,AG$6)/10000</f>
        <v>0</v>
      </c>
      <c r="AH148" s="121">
        <f>SUMIFS(招聘费明细!$G:$G,招聘费明细!$B:$B,$E148,招聘费明细!$C:$C,$F148,招聘费明细!$F:$F,"&gt;="&amp;AH$9,招聘费明细!$F:$F,"&lt;="&amp;AH$10,招聘费明细!$A:$A,AH$6)/10000</f>
        <v>0</v>
      </c>
      <c r="AI148" s="121">
        <f>SUMIFS(招聘费明细!$G:$G,招聘费明细!$B:$B,$E148,招聘费明细!$C:$C,$F148,招聘费明细!$F:$F,"&gt;="&amp;AI$9,招聘费明细!$F:$F,"&lt;="&amp;AI$10,招聘费明细!$A:$A,AI$6)/10000</f>
        <v>0</v>
      </c>
      <c r="AJ148" s="121">
        <f>SUMIFS(招聘费明细!$G:$G,招聘费明细!$B:$B,$E148,招聘费明细!$C:$C,$F148,招聘费明细!$F:$F,"&gt;="&amp;AJ$9,招聘费明细!$F:$F,"&lt;="&amp;AJ$10,招聘费明细!$A:$A,AJ$6)/10000</f>
        <v>0</v>
      </c>
      <c r="AK148" s="121">
        <f>SUMIFS(招聘费明细!$G:$G,招聘费明细!$B:$B,$E148,招聘费明细!$C:$C,$F148,招聘费明细!$F:$F,"&gt;="&amp;AK$9,招聘费明细!$F:$F,"&lt;="&amp;AK$10,招聘费明细!$A:$A,AK$6)/10000</f>
        <v>0</v>
      </c>
      <c r="AL148" s="121">
        <f>SUMIFS(招聘费明细!$G:$G,招聘费明细!$B:$B,$E148,招聘费明细!$C:$C,$F148,招聘费明细!$F:$F,"&gt;="&amp;AL$9,招聘费明细!$F:$F,"&lt;="&amp;AL$10,招聘费明细!$A:$A,AL$6)/10000</f>
        <v>0</v>
      </c>
      <c r="AM148" s="121">
        <f>SUMIFS(招聘费明细!$G:$G,招聘费明细!$B:$B,$E148,招聘费明细!$C:$C,$F148,招聘费明细!$F:$F,"&gt;="&amp;AM$9,招聘费明细!$F:$F,"&lt;="&amp;AM$10,招聘费明细!$A:$A,AM$6)/10000</f>
        <v>0</v>
      </c>
      <c r="AN148" s="121">
        <f>SUMIFS(招聘费明细!$G:$G,招聘费明细!$B:$B,$E148,招聘费明细!$C:$C,$F148,招聘费明细!$F:$F,"&gt;="&amp;AN$9,招聘费明细!$F:$F,"&lt;="&amp;AN$10,招聘费明细!$A:$A,AN$6)/10000</f>
        <v>0</v>
      </c>
      <c r="AO148" s="121">
        <f>SUMIFS(招聘费明细!$G:$G,招聘费明细!$B:$B,$E148,招聘费明细!$C:$C,$F148,招聘费明细!$F:$F,"&gt;="&amp;AO$9,招聘费明细!$F:$F,"&lt;="&amp;AO$10,招聘费明细!$A:$A,AO$6)/10000</f>
        <v>0</v>
      </c>
      <c r="AP148" s="121">
        <f>SUMIFS(招聘费明细!$G:$G,招聘费明细!$B:$B,$E148,招聘费明细!$C:$C,$F148,招聘费明细!$F:$F,"&gt;="&amp;AP$9,招聘费明细!$F:$F,"&lt;="&amp;AP$10,招聘费明细!$A:$A,AP$6)/10000</f>
        <v>0</v>
      </c>
      <c r="AQ148" s="121">
        <f>SUMIFS(招聘费明细!$G:$G,招聘费明细!$B:$B,$E148,招聘费明细!$C:$C,$F148,招聘费明细!$F:$F,"&gt;="&amp;AQ$9,招聘费明细!$F:$F,"&lt;="&amp;AQ$10,招聘费明细!$A:$A,AQ$6)/10000</f>
        <v>0</v>
      </c>
      <c r="AR148" s="121">
        <f>SUMIFS(招聘费明细!$G:$G,招聘费明细!$B:$B,$E148,招聘费明细!$C:$C,$F148,招聘费明细!$F:$F,"&gt;="&amp;AR$9,招聘费明细!$F:$F,"&lt;="&amp;AR$10,招聘费明细!$A:$A,AR$6)/10000</f>
        <v>0</v>
      </c>
      <c r="AS148" s="121">
        <f>SUMIFS(招聘费明细!$G:$G,招聘费明细!$B:$B,$E148,招聘费明细!$C:$C,$F148,招聘费明细!$F:$F,"&gt;="&amp;AS$9,招聘费明细!$F:$F,"&lt;="&amp;AS$10,招聘费明细!$A:$A,AS$6)/10000</f>
        <v>0</v>
      </c>
      <c r="AT148" s="121">
        <f>SUMIFS(招聘费明细!$G:$G,招聘费明细!$B:$B,$E148,招聘费明细!$C:$C,$F148,招聘费明细!$F:$F,"&gt;="&amp;AT$9,招聘费明细!$F:$F,"&lt;="&amp;AT$10,招聘费明细!$A:$A,AT$6)/10000</f>
        <v>0</v>
      </c>
      <c r="AU148" s="121">
        <f>SUMIFS(招聘费明细!$G:$G,招聘费明细!$B:$B,$E148,招聘费明细!$C:$C,$F148,招聘费明细!$F:$F,"&gt;="&amp;AU$9,招聘费明细!$F:$F,"&lt;="&amp;AU$10,招聘费明细!$A:$A,AU$6)/10000</f>
        <v>0</v>
      </c>
      <c r="AV148" s="121">
        <f>SUMIFS(招聘费明细!$G:$G,招聘费明细!$B:$B,$E148,招聘费明细!$C:$C,$F148,招聘费明细!$F:$F,"&gt;="&amp;AV$9,招聘费明细!$F:$F,"&lt;="&amp;AV$10,招聘费明细!$A:$A,AV$6)/10000</f>
        <v>0</v>
      </c>
      <c r="AW148" s="121">
        <f>SUMIFS(招聘费明细!$G:$G,招聘费明细!$B:$B,$E148,招聘费明细!$C:$C,$F148,招聘费明细!$F:$F,"&gt;="&amp;AW$9,招聘费明细!$F:$F,"&lt;="&amp;AW$10,招聘费明细!$A:$A,AW$6)/10000</f>
        <v>0</v>
      </c>
      <c r="AX148" s="121">
        <f>SUMIFS(招聘费明细!$G:$G,招聘费明细!$B:$B,$E148,招聘费明细!$C:$C,$F148,招聘费明细!$F:$F,"&gt;="&amp;AX$9,招聘费明细!$F:$F,"&lt;="&amp;AX$10,招聘费明细!$A:$A,AX$6)/10000</f>
        <v>0</v>
      </c>
      <c r="AY148" s="121">
        <f>SUMIFS(招聘费明细!$G:$G,招聘费明细!$B:$B,$E148,招聘费明细!$C:$C,$F148,招聘费明细!$F:$F,"&gt;="&amp;AY$9,招聘费明细!$F:$F,"&lt;="&amp;AY$10,招聘费明细!$A:$A,AY$6)/10000</f>
        <v>0</v>
      </c>
      <c r="AZ148" s="121">
        <f>SUMIFS(招聘费明细!$G:$G,招聘费明细!$B:$B,$E148,招聘费明细!$C:$C,$F148,招聘费明细!$F:$F,"&gt;="&amp;AZ$9,招聘费明细!$F:$F,"&lt;="&amp;AZ$10,招聘费明细!$A:$A,AZ$6)/10000</f>
        <v>0</v>
      </c>
      <c r="BA148" s="121">
        <f>SUMIFS(招聘费明细!$G:$G,招聘费明细!$B:$B,$E148,招聘费明细!$C:$C,$F148,招聘费明细!$F:$F,"&gt;="&amp;BA$9,招聘费明细!$F:$F,"&lt;="&amp;BA$10,招聘费明细!$A:$A,BA$6)/10000</f>
        <v>0</v>
      </c>
      <c r="BB148" s="121">
        <f>SUMIFS(招聘费明细!$G:$G,招聘费明细!$B:$B,$E148,招聘费明细!$C:$C,$F148,招聘费明细!$F:$F,"&gt;="&amp;BB$9,招聘费明细!$F:$F,"&lt;="&amp;BB$10,招聘费明细!$A:$A,BB$6)/10000</f>
        <v>0</v>
      </c>
      <c r="BC148" s="121">
        <f>SUMIFS(招聘费明细!$G:$G,招聘费明细!$B:$B,$E148,招聘费明细!$C:$C,$F148,招聘费明细!$F:$F,"&gt;="&amp;BC$9,招聘费明细!$F:$F,"&lt;="&amp;BC$10,招聘费明细!$A:$A,BC$6)/10000</f>
        <v>0</v>
      </c>
      <c r="BD148" s="121">
        <f>SUMIFS(招聘费明细!$G:$G,招聘费明细!$B:$B,$E148,招聘费明细!$C:$C,$F148,招聘费明细!$F:$F,"&gt;="&amp;BD$9,招聘费明细!$F:$F,"&lt;="&amp;BD$10,招聘费明细!$A:$A,BD$6)/10000</f>
        <v>0</v>
      </c>
      <c r="BE148" s="121">
        <f>SUMIFS(招聘费明细!$G:$G,招聘费明细!$B:$B,$E148,招聘费明细!$C:$C,$F148,招聘费明细!$F:$F,"&gt;="&amp;BE$9,招聘费明细!$F:$F,"&lt;="&amp;BE$10,招聘费明细!$A:$A,BE$6)/10000</f>
        <v>0</v>
      </c>
      <c r="BF148" s="121">
        <f>SUMIFS(招聘费明细!$G:$G,招聘费明细!$B:$B,$E148,招聘费明细!$C:$C,$F148,招聘费明细!$F:$F,"&gt;="&amp;BF$9,招聘费明细!$F:$F,"&lt;="&amp;BF$10,招聘费明细!$A:$A,BF$6)/10000</f>
        <v>0</v>
      </c>
      <c r="BG148" s="121">
        <f>SUMIFS(招聘费明细!$G:$G,招聘费明细!$B:$B,$E148,招聘费明细!$C:$C,$F148,招聘费明细!$F:$F,"&gt;="&amp;BG$9,招聘费明细!$F:$F,"&lt;="&amp;BG$10,招聘费明细!$A:$A,BG$6)/10000</f>
        <v>0</v>
      </c>
    </row>
    <row r="149" ht="16.2" spans="3:59">
      <c r="C149" s="42"/>
      <c r="D149" s="42" t="s">
        <v>80</v>
      </c>
      <c r="E149" s="116" t="str">
        <f t="shared" ref="E149:E159" si="105">IF(C149&lt;&gt;"",C149,E148)</f>
        <v>流程中心</v>
      </c>
      <c r="F149" s="116" t="str">
        <f t="shared" ref="F149:F159" si="106">IF(D149&lt;&gt;"",D149,"*")</f>
        <v>销售中心</v>
      </c>
      <c r="G149" s="121">
        <f>SUMIFS(招聘费明细!$G:$G,招聘费明细!$B:$B,$E149,招聘费明细!$C:$C,$F149,招聘费明细!$F:$F,"&gt;="&amp;G$9,招聘费明细!$F:$F,"&lt;="&amp;G$10,招聘费明细!$A:$A,G$6)/10000</f>
        <v>0</v>
      </c>
      <c r="H149" s="121">
        <f>SUMIFS(招聘费明细!$G:$G,招聘费明细!$B:$B,$E149,招聘费明细!$C:$C,$F149,招聘费明细!$F:$F,"&gt;="&amp;H$9,招聘费明细!$F:$F,"&lt;="&amp;H$10,招聘费明细!$A:$A,H$6)/10000</f>
        <v>0</v>
      </c>
      <c r="I149" s="121">
        <f>SUMIFS(招聘费明细!$G:$G,招聘费明细!$B:$B,$E149,招聘费明细!$C:$C,$F149,招聘费明细!$F:$F,"&gt;="&amp;I$9,招聘费明细!$F:$F,"&lt;="&amp;I$10,招聘费明细!$A:$A,I$6)/10000</f>
        <v>0</v>
      </c>
      <c r="J149" s="121">
        <f>SUMIFS(招聘费明细!$G:$G,招聘费明细!$B:$B,$E149,招聘费明细!$C:$C,$F149,招聘费明细!$F:$F,"&gt;="&amp;J$9,招聘费明细!$F:$F,"&lt;="&amp;J$10,招聘费明细!$A:$A,J$6)/10000</f>
        <v>0</v>
      </c>
      <c r="K149" s="121">
        <f>SUMIFS(招聘费明细!$G:$G,招聘费明细!$B:$B,$E149,招聘费明细!$C:$C,$F149,招聘费明细!$F:$F,"&gt;="&amp;K$9,招聘费明细!$F:$F,"&lt;="&amp;K$10,招聘费明细!$A:$A,K$6)/10000</f>
        <v>0</v>
      </c>
      <c r="L149" s="121">
        <f>SUMIFS(招聘费明细!$G:$G,招聘费明细!$B:$B,$E149,招聘费明细!$C:$C,$F149,招聘费明细!$F:$F,"&gt;="&amp;L$9,招聘费明细!$F:$F,"&lt;="&amp;L$10,招聘费明细!$A:$A,L$6)/10000</f>
        <v>0</v>
      </c>
      <c r="M149" s="121">
        <f>SUMIFS(招聘费明细!$G:$G,招聘费明细!$B:$B,$E149,招聘费明细!$C:$C,$F149,招聘费明细!$F:$F,"&gt;="&amp;M$9,招聘费明细!$F:$F,"&lt;="&amp;M$10,招聘费明细!$A:$A,M$6)/10000</f>
        <v>0</v>
      </c>
      <c r="N149" s="121">
        <f>SUMIFS(招聘费明细!$G:$G,招聘费明细!$B:$B,$E149,招聘费明细!$C:$C,$F149,招聘费明细!$F:$F,"&gt;="&amp;N$9,招聘费明细!$F:$F,"&lt;="&amp;N$10,招聘费明细!$A:$A,N$6)/10000</f>
        <v>0</v>
      </c>
      <c r="O149" s="121">
        <f>SUMIFS(招聘费明细!$G:$G,招聘费明细!$B:$B,$E149,招聘费明细!$C:$C,$F149,招聘费明细!$F:$F,"&gt;="&amp;O$9,招聘费明细!$F:$F,"&lt;="&amp;O$10,招聘费明细!$A:$A,O$6)/10000</f>
        <v>0</v>
      </c>
      <c r="P149" s="121">
        <f>SUMIFS(招聘费明细!$G:$G,招聘费明细!$B:$B,$E149,招聘费明细!$C:$C,$F149,招聘费明细!$F:$F,"&gt;="&amp;P$9,招聘费明细!$F:$F,"&lt;="&amp;P$10,招聘费明细!$A:$A,P$6)/10000</f>
        <v>0</v>
      </c>
      <c r="Q149" s="121">
        <f>SUMIFS(招聘费明细!$G:$G,招聘费明细!$B:$B,$E149,招聘费明细!$C:$C,$F149,招聘费明细!$F:$F,"&gt;="&amp;Q$9,招聘费明细!$F:$F,"&lt;="&amp;Q$10,招聘费明细!$A:$A,Q$6)/10000</f>
        <v>0</v>
      </c>
      <c r="R149" s="121">
        <f>SUMIFS(招聘费明细!$G:$G,招聘费明细!$B:$B,$E149,招聘费明细!$C:$C,$F149,招聘费明细!$F:$F,"&gt;="&amp;R$9,招聘费明细!$F:$F,"&lt;="&amp;R$10,招聘费明细!$A:$A,R$6)/10000</f>
        <v>0</v>
      </c>
      <c r="S149" s="121">
        <f>SUMIFS(招聘费明细!$G:$G,招聘费明细!$B:$B,$E149,招聘费明细!$C:$C,$F149,招聘费明细!$F:$F,"&gt;="&amp;S$9,招聘费明细!$F:$F,"&lt;="&amp;S$10,招聘费明细!$A:$A,S$6)/10000</f>
        <v>0</v>
      </c>
      <c r="T149" s="125">
        <f t="shared" ref="T149:T159" si="107">U149+AH149</f>
        <v>0</v>
      </c>
      <c r="U149" s="121">
        <f>SUMIFS(招聘费明细!$G:$G,招聘费明细!$B:$B,$E149,招聘费明细!$C:$C,$F149,招聘费明细!$F:$F,"&gt;="&amp;U$9,招聘费明细!$F:$F,"&lt;="&amp;U$10,招聘费明细!$A:$A,U$6)/10000</f>
        <v>0</v>
      </c>
      <c r="V149" s="121">
        <f>SUMIFS(招聘费明细!$G:$G,招聘费明细!$B:$B,$E149,招聘费明细!$C:$C,$F149,招聘费明细!$F:$F,"&gt;="&amp;V$9,招聘费明细!$F:$F,"&lt;="&amp;V$10,招聘费明细!$A:$A,V$6)/10000</f>
        <v>0</v>
      </c>
      <c r="W149" s="121">
        <f>SUMIFS(招聘费明细!$G:$G,招聘费明细!$B:$B,$E149,招聘费明细!$C:$C,$F149,招聘费明细!$F:$F,"&gt;="&amp;W$9,招聘费明细!$F:$F,"&lt;="&amp;W$10,招聘费明细!$A:$A,W$6)/10000</f>
        <v>0</v>
      </c>
      <c r="X149" s="121">
        <f>SUMIFS(招聘费明细!$G:$G,招聘费明细!$B:$B,$E149,招聘费明细!$C:$C,$F149,招聘费明细!$F:$F,"&gt;="&amp;X$9,招聘费明细!$F:$F,"&lt;="&amp;X$10,招聘费明细!$A:$A,X$6)/10000</f>
        <v>0</v>
      </c>
      <c r="Y149" s="121">
        <f>SUMIFS(招聘费明细!$G:$G,招聘费明细!$B:$B,$E149,招聘费明细!$C:$C,$F149,招聘费明细!$F:$F,"&gt;="&amp;Y$9,招聘费明细!$F:$F,"&lt;="&amp;Y$10,招聘费明细!$A:$A,Y$6)/10000</f>
        <v>0</v>
      </c>
      <c r="Z149" s="121">
        <f>SUMIFS(招聘费明细!$G:$G,招聘费明细!$B:$B,$E149,招聘费明细!$C:$C,$F149,招聘费明细!$F:$F,"&gt;="&amp;Z$9,招聘费明细!$F:$F,"&lt;="&amp;Z$10,招聘费明细!$A:$A,Z$6)/10000</f>
        <v>0</v>
      </c>
      <c r="AA149" s="121">
        <f>SUMIFS(招聘费明细!$G:$G,招聘费明细!$B:$B,$E149,招聘费明细!$C:$C,$F149,招聘费明细!$F:$F,"&gt;="&amp;AA$9,招聘费明细!$F:$F,"&lt;="&amp;AA$10,招聘费明细!$A:$A,AA$6)/10000</f>
        <v>0</v>
      </c>
      <c r="AB149" s="121">
        <f>SUMIFS(招聘费明细!$G:$G,招聘费明细!$B:$B,$E149,招聘费明细!$C:$C,$F149,招聘费明细!$F:$F,"&gt;="&amp;AB$9,招聘费明细!$F:$F,"&lt;="&amp;AB$10,招聘费明细!$A:$A,AB$6)/10000</f>
        <v>0</v>
      </c>
      <c r="AC149" s="121">
        <f>SUMIFS(招聘费明细!$G:$G,招聘费明细!$B:$B,$E149,招聘费明细!$C:$C,$F149,招聘费明细!$F:$F,"&gt;="&amp;AC$9,招聘费明细!$F:$F,"&lt;="&amp;AC$10,招聘费明细!$A:$A,AC$6)/10000</f>
        <v>0</v>
      </c>
      <c r="AD149" s="121">
        <f>SUMIFS(招聘费明细!$G:$G,招聘费明细!$B:$B,$E149,招聘费明细!$C:$C,$F149,招聘费明细!$F:$F,"&gt;="&amp;AD$9,招聘费明细!$F:$F,"&lt;="&amp;AD$10,招聘费明细!$A:$A,AD$6)/10000</f>
        <v>0</v>
      </c>
      <c r="AE149" s="121">
        <f>SUMIFS(招聘费明细!$G:$G,招聘费明细!$B:$B,$E149,招聘费明细!$C:$C,$F149,招聘费明细!$F:$F,"&gt;="&amp;AE$9,招聘费明细!$F:$F,"&lt;="&amp;AE$10,招聘费明细!$A:$A,AE$6)/10000</f>
        <v>0</v>
      </c>
      <c r="AF149" s="121">
        <f>SUMIFS(招聘费明细!$G:$G,招聘费明细!$B:$B,$E149,招聘费明细!$C:$C,$F149,招聘费明细!$F:$F,"&gt;="&amp;AF$9,招聘费明细!$F:$F,"&lt;="&amp;AF$10,招聘费明细!$A:$A,AF$6)/10000</f>
        <v>0</v>
      </c>
      <c r="AG149" s="121">
        <f>SUMIFS(招聘费明细!$G:$G,招聘费明细!$B:$B,$E149,招聘费明细!$C:$C,$F149,招聘费明细!$F:$F,"&gt;="&amp;AG$9,招聘费明细!$F:$F,"&lt;="&amp;AG$10,招聘费明细!$A:$A,AG$6)/10000</f>
        <v>0</v>
      </c>
      <c r="AH149" s="121">
        <f>SUMIFS(招聘费明细!$G:$G,招聘费明细!$B:$B,$E149,招聘费明细!$C:$C,$F149,招聘费明细!$F:$F,"&gt;="&amp;AH$9,招聘费明细!$F:$F,"&lt;="&amp;AH$10,招聘费明细!$A:$A,AH$6)/10000</f>
        <v>0</v>
      </c>
      <c r="AI149" s="121">
        <f>SUMIFS(招聘费明细!$G:$G,招聘费明细!$B:$B,$E149,招聘费明细!$C:$C,$F149,招聘费明细!$F:$F,"&gt;="&amp;AI$9,招聘费明细!$F:$F,"&lt;="&amp;AI$10,招聘费明细!$A:$A,AI$6)/10000</f>
        <v>0</v>
      </c>
      <c r="AJ149" s="121">
        <f>SUMIFS(招聘费明细!$G:$G,招聘费明细!$B:$B,$E149,招聘费明细!$C:$C,$F149,招聘费明细!$F:$F,"&gt;="&amp;AJ$9,招聘费明细!$F:$F,"&lt;="&amp;AJ$10,招聘费明细!$A:$A,AJ$6)/10000</f>
        <v>0</v>
      </c>
      <c r="AK149" s="121">
        <f>SUMIFS(招聘费明细!$G:$G,招聘费明细!$B:$B,$E149,招聘费明细!$C:$C,$F149,招聘费明细!$F:$F,"&gt;="&amp;AK$9,招聘费明细!$F:$F,"&lt;="&amp;AK$10,招聘费明细!$A:$A,AK$6)/10000</f>
        <v>0</v>
      </c>
      <c r="AL149" s="121">
        <f>SUMIFS(招聘费明细!$G:$G,招聘费明细!$B:$B,$E149,招聘费明细!$C:$C,$F149,招聘费明细!$F:$F,"&gt;="&amp;AL$9,招聘费明细!$F:$F,"&lt;="&amp;AL$10,招聘费明细!$A:$A,AL$6)/10000</f>
        <v>0</v>
      </c>
      <c r="AM149" s="121">
        <f>SUMIFS(招聘费明细!$G:$G,招聘费明细!$B:$B,$E149,招聘费明细!$C:$C,$F149,招聘费明细!$F:$F,"&gt;="&amp;AM$9,招聘费明细!$F:$F,"&lt;="&amp;AM$10,招聘费明细!$A:$A,AM$6)/10000</f>
        <v>0</v>
      </c>
      <c r="AN149" s="121">
        <f>SUMIFS(招聘费明细!$G:$G,招聘费明细!$B:$B,$E149,招聘费明细!$C:$C,$F149,招聘费明细!$F:$F,"&gt;="&amp;AN$9,招聘费明细!$F:$F,"&lt;="&amp;AN$10,招聘费明细!$A:$A,AN$6)/10000</f>
        <v>0</v>
      </c>
      <c r="AO149" s="121">
        <f>SUMIFS(招聘费明细!$G:$G,招聘费明细!$B:$B,$E149,招聘费明细!$C:$C,$F149,招聘费明细!$F:$F,"&gt;="&amp;AO$9,招聘费明细!$F:$F,"&lt;="&amp;AO$10,招聘费明细!$A:$A,AO$6)/10000</f>
        <v>0</v>
      </c>
      <c r="AP149" s="121">
        <f>SUMIFS(招聘费明细!$G:$G,招聘费明细!$B:$B,$E149,招聘费明细!$C:$C,$F149,招聘费明细!$F:$F,"&gt;="&amp;AP$9,招聘费明细!$F:$F,"&lt;="&amp;AP$10,招聘费明细!$A:$A,AP$6)/10000</f>
        <v>0</v>
      </c>
      <c r="AQ149" s="121">
        <f>SUMIFS(招聘费明细!$G:$G,招聘费明细!$B:$B,$E149,招聘费明细!$C:$C,$F149,招聘费明细!$F:$F,"&gt;="&amp;AQ$9,招聘费明细!$F:$F,"&lt;="&amp;AQ$10,招聘费明细!$A:$A,AQ$6)/10000</f>
        <v>0</v>
      </c>
      <c r="AR149" s="121">
        <f>SUMIFS(招聘费明细!$G:$G,招聘费明细!$B:$B,$E149,招聘费明细!$C:$C,$F149,招聘费明细!$F:$F,"&gt;="&amp;AR$9,招聘费明细!$F:$F,"&lt;="&amp;AR$10,招聘费明细!$A:$A,AR$6)/10000</f>
        <v>0</v>
      </c>
      <c r="AS149" s="121">
        <f>SUMIFS(招聘费明细!$G:$G,招聘费明细!$B:$B,$E149,招聘费明细!$C:$C,$F149,招聘费明细!$F:$F,"&gt;="&amp;AS$9,招聘费明细!$F:$F,"&lt;="&amp;AS$10,招聘费明细!$A:$A,AS$6)/10000</f>
        <v>0</v>
      </c>
      <c r="AT149" s="121">
        <f>SUMIFS(招聘费明细!$G:$G,招聘费明细!$B:$B,$E149,招聘费明细!$C:$C,$F149,招聘费明细!$F:$F,"&gt;="&amp;AT$9,招聘费明细!$F:$F,"&lt;="&amp;AT$10,招聘费明细!$A:$A,AT$6)/10000</f>
        <v>0</v>
      </c>
      <c r="AU149" s="121">
        <f>SUMIFS(招聘费明细!$G:$G,招聘费明细!$B:$B,$E149,招聘费明细!$C:$C,$F149,招聘费明细!$F:$F,"&gt;="&amp;AU$9,招聘费明细!$F:$F,"&lt;="&amp;AU$10,招聘费明细!$A:$A,AU$6)/10000</f>
        <v>0</v>
      </c>
      <c r="AV149" s="121">
        <f>SUMIFS(招聘费明细!$G:$G,招聘费明细!$B:$B,$E149,招聘费明细!$C:$C,$F149,招聘费明细!$F:$F,"&gt;="&amp;AV$9,招聘费明细!$F:$F,"&lt;="&amp;AV$10,招聘费明细!$A:$A,AV$6)/10000</f>
        <v>0</v>
      </c>
      <c r="AW149" s="121">
        <f>SUMIFS(招聘费明细!$G:$G,招聘费明细!$B:$B,$E149,招聘费明细!$C:$C,$F149,招聘费明细!$F:$F,"&gt;="&amp;AW$9,招聘费明细!$F:$F,"&lt;="&amp;AW$10,招聘费明细!$A:$A,AW$6)/10000</f>
        <v>0</v>
      </c>
      <c r="AX149" s="121">
        <f>SUMIFS(招聘费明细!$G:$G,招聘费明细!$B:$B,$E149,招聘费明细!$C:$C,$F149,招聘费明细!$F:$F,"&gt;="&amp;AX$9,招聘费明细!$F:$F,"&lt;="&amp;AX$10,招聘费明细!$A:$A,AX$6)/10000</f>
        <v>0</v>
      </c>
      <c r="AY149" s="121">
        <f>SUMIFS(招聘费明细!$G:$G,招聘费明细!$B:$B,$E149,招聘费明细!$C:$C,$F149,招聘费明细!$F:$F,"&gt;="&amp;AY$9,招聘费明细!$F:$F,"&lt;="&amp;AY$10,招聘费明细!$A:$A,AY$6)/10000</f>
        <v>0</v>
      </c>
      <c r="AZ149" s="121">
        <f>SUMIFS(招聘费明细!$G:$G,招聘费明细!$B:$B,$E149,招聘费明细!$C:$C,$F149,招聘费明细!$F:$F,"&gt;="&amp;AZ$9,招聘费明细!$F:$F,"&lt;="&amp;AZ$10,招聘费明细!$A:$A,AZ$6)/10000</f>
        <v>0</v>
      </c>
      <c r="BA149" s="121">
        <f>SUMIFS(招聘费明细!$G:$G,招聘费明细!$B:$B,$E149,招聘费明细!$C:$C,$F149,招聘费明细!$F:$F,"&gt;="&amp;BA$9,招聘费明细!$F:$F,"&lt;="&amp;BA$10,招聘费明细!$A:$A,BA$6)/10000</f>
        <v>0</v>
      </c>
      <c r="BB149" s="121">
        <f>SUMIFS(招聘费明细!$G:$G,招聘费明细!$B:$B,$E149,招聘费明细!$C:$C,$F149,招聘费明细!$F:$F,"&gt;="&amp;BB$9,招聘费明细!$F:$F,"&lt;="&amp;BB$10,招聘费明细!$A:$A,BB$6)/10000</f>
        <v>0</v>
      </c>
      <c r="BC149" s="121">
        <f>SUMIFS(招聘费明细!$G:$G,招聘费明细!$B:$B,$E149,招聘费明细!$C:$C,$F149,招聘费明细!$F:$F,"&gt;="&amp;BC$9,招聘费明细!$F:$F,"&lt;="&amp;BC$10,招聘费明细!$A:$A,BC$6)/10000</f>
        <v>0</v>
      </c>
      <c r="BD149" s="121">
        <f>SUMIFS(招聘费明细!$G:$G,招聘费明细!$B:$B,$E149,招聘费明细!$C:$C,$F149,招聘费明细!$F:$F,"&gt;="&amp;BD$9,招聘费明细!$F:$F,"&lt;="&amp;BD$10,招聘费明细!$A:$A,BD$6)/10000</f>
        <v>0</v>
      </c>
      <c r="BE149" s="121">
        <f>SUMIFS(招聘费明细!$G:$G,招聘费明细!$B:$B,$E149,招聘费明细!$C:$C,$F149,招聘费明细!$F:$F,"&gt;="&amp;BE$9,招聘费明细!$F:$F,"&lt;="&amp;BE$10,招聘费明细!$A:$A,BE$6)/10000</f>
        <v>0</v>
      </c>
      <c r="BF149" s="121">
        <f>SUMIFS(招聘费明细!$G:$G,招聘费明细!$B:$B,$E149,招聘费明细!$C:$C,$F149,招聘费明细!$F:$F,"&gt;="&amp;BF$9,招聘费明细!$F:$F,"&lt;="&amp;BF$10,招聘费明细!$A:$A,BF$6)/10000</f>
        <v>0</v>
      </c>
      <c r="BG149" s="121">
        <f>SUMIFS(招聘费明细!$G:$G,招聘费明细!$B:$B,$E149,招聘费明细!$C:$C,$F149,招聘费明细!$F:$F,"&gt;="&amp;BG$9,招聘费明细!$F:$F,"&lt;="&amp;BG$10,招聘费明细!$A:$A,BG$6)/10000</f>
        <v>0</v>
      </c>
    </row>
    <row r="150" ht="16.2" spans="3:59">
      <c r="C150" s="42"/>
      <c r="D150" s="42" t="s">
        <v>81</v>
      </c>
      <c r="E150" s="116" t="str">
        <f t="shared" si="105"/>
        <v>流程中心</v>
      </c>
      <c r="F150" s="116" t="str">
        <f t="shared" si="106"/>
        <v>制造中心</v>
      </c>
      <c r="G150" s="121">
        <f>SUMIFS(招聘费明细!$G:$G,招聘费明细!$B:$B,$E150,招聘费明细!$C:$C,$F150,招聘费明细!$F:$F,"&gt;="&amp;G$9,招聘费明细!$F:$F,"&lt;="&amp;G$10,招聘费明细!$A:$A,G$6)/10000</f>
        <v>0</v>
      </c>
      <c r="H150" s="121">
        <f>SUMIFS(招聘费明细!$G:$G,招聘费明细!$B:$B,$E150,招聘费明细!$C:$C,$F150,招聘费明细!$F:$F,"&gt;="&amp;H$9,招聘费明细!$F:$F,"&lt;="&amp;H$10,招聘费明细!$A:$A,H$6)/10000</f>
        <v>0</v>
      </c>
      <c r="I150" s="121">
        <f>SUMIFS(招聘费明细!$G:$G,招聘费明细!$B:$B,$E150,招聘费明细!$C:$C,$F150,招聘费明细!$F:$F,"&gt;="&amp;I$9,招聘费明细!$F:$F,"&lt;="&amp;I$10,招聘费明细!$A:$A,I$6)/10000</f>
        <v>0</v>
      </c>
      <c r="J150" s="121">
        <f>SUMIFS(招聘费明细!$G:$G,招聘费明细!$B:$B,$E150,招聘费明细!$C:$C,$F150,招聘费明细!$F:$F,"&gt;="&amp;J$9,招聘费明细!$F:$F,"&lt;="&amp;J$10,招聘费明细!$A:$A,J$6)/10000</f>
        <v>0</v>
      </c>
      <c r="K150" s="121">
        <f>SUMIFS(招聘费明细!$G:$G,招聘费明细!$B:$B,$E150,招聘费明细!$C:$C,$F150,招聘费明细!$F:$F,"&gt;="&amp;K$9,招聘费明细!$F:$F,"&lt;="&amp;K$10,招聘费明细!$A:$A,K$6)/10000</f>
        <v>0</v>
      </c>
      <c r="L150" s="121">
        <f>SUMIFS(招聘费明细!$G:$G,招聘费明细!$B:$B,$E150,招聘费明细!$C:$C,$F150,招聘费明细!$F:$F,"&gt;="&amp;L$9,招聘费明细!$F:$F,"&lt;="&amp;L$10,招聘费明细!$A:$A,L$6)/10000</f>
        <v>0</v>
      </c>
      <c r="M150" s="121">
        <f>SUMIFS(招聘费明细!$G:$G,招聘费明细!$B:$B,$E150,招聘费明细!$C:$C,$F150,招聘费明细!$F:$F,"&gt;="&amp;M$9,招聘费明细!$F:$F,"&lt;="&amp;M$10,招聘费明细!$A:$A,M$6)/10000</f>
        <v>0</v>
      </c>
      <c r="N150" s="121">
        <f>SUMIFS(招聘费明细!$G:$G,招聘费明细!$B:$B,$E150,招聘费明细!$C:$C,$F150,招聘费明细!$F:$F,"&gt;="&amp;N$9,招聘费明细!$F:$F,"&lt;="&amp;N$10,招聘费明细!$A:$A,N$6)/10000</f>
        <v>0</v>
      </c>
      <c r="O150" s="121">
        <f>SUMIFS(招聘费明细!$G:$G,招聘费明细!$B:$B,$E150,招聘费明细!$C:$C,$F150,招聘费明细!$F:$F,"&gt;="&amp;O$9,招聘费明细!$F:$F,"&lt;="&amp;O$10,招聘费明细!$A:$A,O$6)/10000</f>
        <v>0</v>
      </c>
      <c r="P150" s="121">
        <f>SUMIFS(招聘费明细!$G:$G,招聘费明细!$B:$B,$E150,招聘费明细!$C:$C,$F150,招聘费明细!$F:$F,"&gt;="&amp;P$9,招聘费明细!$F:$F,"&lt;="&amp;P$10,招聘费明细!$A:$A,P$6)/10000</f>
        <v>0</v>
      </c>
      <c r="Q150" s="121">
        <f>SUMIFS(招聘费明细!$G:$G,招聘费明细!$B:$B,$E150,招聘费明细!$C:$C,$F150,招聘费明细!$F:$F,"&gt;="&amp;Q$9,招聘费明细!$F:$F,"&lt;="&amp;Q$10,招聘费明细!$A:$A,Q$6)/10000</f>
        <v>0</v>
      </c>
      <c r="R150" s="121">
        <f>SUMIFS(招聘费明细!$G:$G,招聘费明细!$B:$B,$E150,招聘费明细!$C:$C,$F150,招聘费明细!$F:$F,"&gt;="&amp;R$9,招聘费明细!$F:$F,"&lt;="&amp;R$10,招聘费明细!$A:$A,R$6)/10000</f>
        <v>0</v>
      </c>
      <c r="S150" s="121">
        <f>SUMIFS(招聘费明细!$G:$G,招聘费明细!$B:$B,$E150,招聘费明细!$C:$C,$F150,招聘费明细!$F:$F,"&gt;="&amp;S$9,招聘费明细!$F:$F,"&lt;="&amp;S$10,招聘费明细!$A:$A,S$6)/10000</f>
        <v>0</v>
      </c>
      <c r="T150" s="125">
        <f t="shared" si="107"/>
        <v>0</v>
      </c>
      <c r="U150" s="121">
        <f>SUMIFS(招聘费明细!$G:$G,招聘费明细!$B:$B,$E150,招聘费明细!$C:$C,$F150,招聘费明细!$F:$F,"&gt;="&amp;U$9,招聘费明细!$F:$F,"&lt;="&amp;U$10,招聘费明细!$A:$A,U$6)/10000</f>
        <v>0</v>
      </c>
      <c r="V150" s="121">
        <f>SUMIFS(招聘费明细!$G:$G,招聘费明细!$B:$B,$E150,招聘费明细!$C:$C,$F150,招聘费明细!$F:$F,"&gt;="&amp;V$9,招聘费明细!$F:$F,"&lt;="&amp;V$10,招聘费明细!$A:$A,V$6)/10000</f>
        <v>0</v>
      </c>
      <c r="W150" s="121">
        <f>SUMIFS(招聘费明细!$G:$G,招聘费明细!$B:$B,$E150,招聘费明细!$C:$C,$F150,招聘费明细!$F:$F,"&gt;="&amp;W$9,招聘费明细!$F:$F,"&lt;="&amp;W$10,招聘费明细!$A:$A,W$6)/10000</f>
        <v>0</v>
      </c>
      <c r="X150" s="121">
        <f>SUMIFS(招聘费明细!$G:$G,招聘费明细!$B:$B,$E150,招聘费明细!$C:$C,$F150,招聘费明细!$F:$F,"&gt;="&amp;X$9,招聘费明细!$F:$F,"&lt;="&amp;X$10,招聘费明细!$A:$A,X$6)/10000</f>
        <v>0</v>
      </c>
      <c r="Y150" s="121">
        <f>SUMIFS(招聘费明细!$G:$G,招聘费明细!$B:$B,$E150,招聘费明细!$C:$C,$F150,招聘费明细!$F:$F,"&gt;="&amp;Y$9,招聘费明细!$F:$F,"&lt;="&amp;Y$10,招聘费明细!$A:$A,Y$6)/10000</f>
        <v>0</v>
      </c>
      <c r="Z150" s="121">
        <f>SUMIFS(招聘费明细!$G:$G,招聘费明细!$B:$B,$E150,招聘费明细!$C:$C,$F150,招聘费明细!$F:$F,"&gt;="&amp;Z$9,招聘费明细!$F:$F,"&lt;="&amp;Z$10,招聘费明细!$A:$A,Z$6)/10000</f>
        <v>0</v>
      </c>
      <c r="AA150" s="121">
        <f>SUMIFS(招聘费明细!$G:$G,招聘费明细!$B:$B,$E150,招聘费明细!$C:$C,$F150,招聘费明细!$F:$F,"&gt;="&amp;AA$9,招聘费明细!$F:$F,"&lt;="&amp;AA$10,招聘费明细!$A:$A,AA$6)/10000</f>
        <v>0</v>
      </c>
      <c r="AB150" s="121">
        <f>SUMIFS(招聘费明细!$G:$G,招聘费明细!$B:$B,$E150,招聘费明细!$C:$C,$F150,招聘费明细!$F:$F,"&gt;="&amp;AB$9,招聘费明细!$F:$F,"&lt;="&amp;AB$10,招聘费明细!$A:$A,AB$6)/10000</f>
        <v>0</v>
      </c>
      <c r="AC150" s="121">
        <f>SUMIFS(招聘费明细!$G:$G,招聘费明细!$B:$B,$E150,招聘费明细!$C:$C,$F150,招聘费明细!$F:$F,"&gt;="&amp;AC$9,招聘费明细!$F:$F,"&lt;="&amp;AC$10,招聘费明细!$A:$A,AC$6)/10000</f>
        <v>0</v>
      </c>
      <c r="AD150" s="121">
        <f>SUMIFS(招聘费明细!$G:$G,招聘费明细!$B:$B,$E150,招聘费明细!$C:$C,$F150,招聘费明细!$F:$F,"&gt;="&amp;AD$9,招聘费明细!$F:$F,"&lt;="&amp;AD$10,招聘费明细!$A:$A,AD$6)/10000</f>
        <v>0</v>
      </c>
      <c r="AE150" s="121">
        <f>SUMIFS(招聘费明细!$G:$G,招聘费明细!$B:$B,$E150,招聘费明细!$C:$C,$F150,招聘费明细!$F:$F,"&gt;="&amp;AE$9,招聘费明细!$F:$F,"&lt;="&amp;AE$10,招聘费明细!$A:$A,AE$6)/10000</f>
        <v>0</v>
      </c>
      <c r="AF150" s="121">
        <f>SUMIFS(招聘费明细!$G:$G,招聘费明细!$B:$B,$E150,招聘费明细!$C:$C,$F150,招聘费明细!$F:$F,"&gt;="&amp;AF$9,招聘费明细!$F:$F,"&lt;="&amp;AF$10,招聘费明细!$A:$A,AF$6)/10000</f>
        <v>0</v>
      </c>
      <c r="AG150" s="121">
        <f>SUMIFS(招聘费明细!$G:$G,招聘费明细!$B:$B,$E150,招聘费明细!$C:$C,$F150,招聘费明细!$F:$F,"&gt;="&amp;AG$9,招聘费明细!$F:$F,"&lt;="&amp;AG$10,招聘费明细!$A:$A,AG$6)/10000</f>
        <v>0</v>
      </c>
      <c r="AH150" s="121">
        <f>SUMIFS(招聘费明细!$G:$G,招聘费明细!$B:$B,$E150,招聘费明细!$C:$C,$F150,招聘费明细!$F:$F,"&gt;="&amp;AH$9,招聘费明细!$F:$F,"&lt;="&amp;AH$10,招聘费明细!$A:$A,AH$6)/10000</f>
        <v>0</v>
      </c>
      <c r="AI150" s="121">
        <f>SUMIFS(招聘费明细!$G:$G,招聘费明细!$B:$B,$E150,招聘费明细!$C:$C,$F150,招聘费明细!$F:$F,"&gt;="&amp;AI$9,招聘费明细!$F:$F,"&lt;="&amp;AI$10,招聘费明细!$A:$A,AI$6)/10000</f>
        <v>0</v>
      </c>
      <c r="AJ150" s="121">
        <f>SUMIFS(招聘费明细!$G:$G,招聘费明细!$B:$B,$E150,招聘费明细!$C:$C,$F150,招聘费明细!$F:$F,"&gt;="&amp;AJ$9,招聘费明细!$F:$F,"&lt;="&amp;AJ$10,招聘费明细!$A:$A,AJ$6)/10000</f>
        <v>0</v>
      </c>
      <c r="AK150" s="121">
        <f>SUMIFS(招聘费明细!$G:$G,招聘费明细!$B:$B,$E150,招聘费明细!$C:$C,$F150,招聘费明细!$F:$F,"&gt;="&amp;AK$9,招聘费明细!$F:$F,"&lt;="&amp;AK$10,招聘费明细!$A:$A,AK$6)/10000</f>
        <v>0</v>
      </c>
      <c r="AL150" s="121">
        <f>SUMIFS(招聘费明细!$G:$G,招聘费明细!$B:$B,$E150,招聘费明细!$C:$C,$F150,招聘费明细!$F:$F,"&gt;="&amp;AL$9,招聘费明细!$F:$F,"&lt;="&amp;AL$10,招聘费明细!$A:$A,AL$6)/10000</f>
        <v>0</v>
      </c>
      <c r="AM150" s="121">
        <f>SUMIFS(招聘费明细!$G:$G,招聘费明细!$B:$B,$E150,招聘费明细!$C:$C,$F150,招聘费明细!$F:$F,"&gt;="&amp;AM$9,招聘费明细!$F:$F,"&lt;="&amp;AM$10,招聘费明细!$A:$A,AM$6)/10000</f>
        <v>0</v>
      </c>
      <c r="AN150" s="121">
        <f>SUMIFS(招聘费明细!$G:$G,招聘费明细!$B:$B,$E150,招聘费明细!$C:$C,$F150,招聘费明细!$F:$F,"&gt;="&amp;AN$9,招聘费明细!$F:$F,"&lt;="&amp;AN$10,招聘费明细!$A:$A,AN$6)/10000</f>
        <v>0</v>
      </c>
      <c r="AO150" s="121">
        <f>SUMIFS(招聘费明细!$G:$G,招聘费明细!$B:$B,$E150,招聘费明细!$C:$C,$F150,招聘费明细!$F:$F,"&gt;="&amp;AO$9,招聘费明细!$F:$F,"&lt;="&amp;AO$10,招聘费明细!$A:$A,AO$6)/10000</f>
        <v>0</v>
      </c>
      <c r="AP150" s="121">
        <f>SUMIFS(招聘费明细!$G:$G,招聘费明细!$B:$B,$E150,招聘费明细!$C:$C,$F150,招聘费明细!$F:$F,"&gt;="&amp;AP$9,招聘费明细!$F:$F,"&lt;="&amp;AP$10,招聘费明细!$A:$A,AP$6)/10000</f>
        <v>0</v>
      </c>
      <c r="AQ150" s="121">
        <f>SUMIFS(招聘费明细!$G:$G,招聘费明细!$B:$B,$E150,招聘费明细!$C:$C,$F150,招聘费明细!$F:$F,"&gt;="&amp;AQ$9,招聘费明细!$F:$F,"&lt;="&amp;AQ$10,招聘费明细!$A:$A,AQ$6)/10000</f>
        <v>0</v>
      </c>
      <c r="AR150" s="121">
        <f>SUMIFS(招聘费明细!$G:$G,招聘费明细!$B:$B,$E150,招聘费明细!$C:$C,$F150,招聘费明细!$F:$F,"&gt;="&amp;AR$9,招聘费明细!$F:$F,"&lt;="&amp;AR$10,招聘费明细!$A:$A,AR$6)/10000</f>
        <v>0</v>
      </c>
      <c r="AS150" s="121">
        <f>SUMIFS(招聘费明细!$G:$G,招聘费明细!$B:$B,$E150,招聘费明细!$C:$C,$F150,招聘费明细!$F:$F,"&gt;="&amp;AS$9,招聘费明细!$F:$F,"&lt;="&amp;AS$10,招聘费明细!$A:$A,AS$6)/10000</f>
        <v>0</v>
      </c>
      <c r="AT150" s="121">
        <f>SUMIFS(招聘费明细!$G:$G,招聘费明细!$B:$B,$E150,招聘费明细!$C:$C,$F150,招聘费明细!$F:$F,"&gt;="&amp;AT$9,招聘费明细!$F:$F,"&lt;="&amp;AT$10,招聘费明细!$A:$A,AT$6)/10000</f>
        <v>0</v>
      </c>
      <c r="AU150" s="121">
        <f>SUMIFS(招聘费明细!$G:$G,招聘费明细!$B:$B,$E150,招聘费明细!$C:$C,$F150,招聘费明细!$F:$F,"&gt;="&amp;AU$9,招聘费明细!$F:$F,"&lt;="&amp;AU$10,招聘费明细!$A:$A,AU$6)/10000</f>
        <v>0</v>
      </c>
      <c r="AV150" s="121">
        <f>SUMIFS(招聘费明细!$G:$G,招聘费明细!$B:$B,$E150,招聘费明细!$C:$C,$F150,招聘费明细!$F:$F,"&gt;="&amp;AV$9,招聘费明细!$F:$F,"&lt;="&amp;AV$10,招聘费明细!$A:$A,AV$6)/10000</f>
        <v>0</v>
      </c>
      <c r="AW150" s="121">
        <f>SUMIFS(招聘费明细!$G:$G,招聘费明细!$B:$B,$E150,招聘费明细!$C:$C,$F150,招聘费明细!$F:$F,"&gt;="&amp;AW$9,招聘费明细!$F:$F,"&lt;="&amp;AW$10,招聘费明细!$A:$A,AW$6)/10000</f>
        <v>0</v>
      </c>
      <c r="AX150" s="121">
        <f>SUMIFS(招聘费明细!$G:$G,招聘费明细!$B:$B,$E150,招聘费明细!$C:$C,$F150,招聘费明细!$F:$F,"&gt;="&amp;AX$9,招聘费明细!$F:$F,"&lt;="&amp;AX$10,招聘费明细!$A:$A,AX$6)/10000</f>
        <v>0</v>
      </c>
      <c r="AY150" s="121">
        <f>SUMIFS(招聘费明细!$G:$G,招聘费明细!$B:$B,$E150,招聘费明细!$C:$C,$F150,招聘费明细!$F:$F,"&gt;="&amp;AY$9,招聘费明细!$F:$F,"&lt;="&amp;AY$10,招聘费明细!$A:$A,AY$6)/10000</f>
        <v>0</v>
      </c>
      <c r="AZ150" s="121">
        <f>SUMIFS(招聘费明细!$G:$G,招聘费明细!$B:$B,$E150,招聘费明细!$C:$C,$F150,招聘费明细!$F:$F,"&gt;="&amp;AZ$9,招聘费明细!$F:$F,"&lt;="&amp;AZ$10,招聘费明细!$A:$A,AZ$6)/10000</f>
        <v>0</v>
      </c>
      <c r="BA150" s="121">
        <f>SUMIFS(招聘费明细!$G:$G,招聘费明细!$B:$B,$E150,招聘费明细!$C:$C,$F150,招聘费明细!$F:$F,"&gt;="&amp;BA$9,招聘费明细!$F:$F,"&lt;="&amp;BA$10,招聘费明细!$A:$A,BA$6)/10000</f>
        <v>0</v>
      </c>
      <c r="BB150" s="121">
        <f>SUMIFS(招聘费明细!$G:$G,招聘费明细!$B:$B,$E150,招聘费明细!$C:$C,$F150,招聘费明细!$F:$F,"&gt;="&amp;BB$9,招聘费明细!$F:$F,"&lt;="&amp;BB$10,招聘费明细!$A:$A,BB$6)/10000</f>
        <v>0</v>
      </c>
      <c r="BC150" s="121">
        <f>SUMIFS(招聘费明细!$G:$G,招聘费明细!$B:$B,$E150,招聘费明细!$C:$C,$F150,招聘费明细!$F:$F,"&gt;="&amp;BC$9,招聘费明细!$F:$F,"&lt;="&amp;BC$10,招聘费明细!$A:$A,BC$6)/10000</f>
        <v>0</v>
      </c>
      <c r="BD150" s="121">
        <f>SUMIFS(招聘费明细!$G:$G,招聘费明细!$B:$B,$E150,招聘费明细!$C:$C,$F150,招聘费明细!$F:$F,"&gt;="&amp;BD$9,招聘费明细!$F:$F,"&lt;="&amp;BD$10,招聘费明细!$A:$A,BD$6)/10000</f>
        <v>0</v>
      </c>
      <c r="BE150" s="121">
        <f>SUMIFS(招聘费明细!$G:$G,招聘费明细!$B:$B,$E150,招聘费明细!$C:$C,$F150,招聘费明细!$F:$F,"&gt;="&amp;BE$9,招聘费明细!$F:$F,"&lt;="&amp;BE$10,招聘费明细!$A:$A,BE$6)/10000</f>
        <v>0</v>
      </c>
      <c r="BF150" s="121">
        <f>SUMIFS(招聘费明细!$G:$G,招聘费明细!$B:$B,$E150,招聘费明细!$C:$C,$F150,招聘费明细!$F:$F,"&gt;="&amp;BF$9,招聘费明细!$F:$F,"&lt;="&amp;BF$10,招聘费明细!$A:$A,BF$6)/10000</f>
        <v>0</v>
      </c>
      <c r="BG150" s="121">
        <f>SUMIFS(招聘费明细!$G:$G,招聘费明细!$B:$B,$E150,招聘费明细!$C:$C,$F150,招聘费明细!$F:$F,"&gt;="&amp;BG$9,招聘费明细!$F:$F,"&lt;="&amp;BG$10,招聘费明细!$A:$A,BG$6)/10000</f>
        <v>0</v>
      </c>
    </row>
    <row r="151" ht="16.2" spans="3:59">
      <c r="C151" s="42" t="s">
        <v>82</v>
      </c>
      <c r="D151" s="42"/>
      <c r="E151" s="116" t="str">
        <f t="shared" si="105"/>
        <v>创新中心</v>
      </c>
      <c r="F151" s="116" t="str">
        <f t="shared" si="106"/>
        <v>*</v>
      </c>
      <c r="G151" s="121">
        <f>SUMIFS(招聘费明细!$G:$G,招聘费明细!$B:$B,$E151,招聘费明细!$C:$C,$F151,招聘费明细!$F:$F,"&gt;="&amp;G$9,招聘费明细!$F:$F,"&lt;="&amp;G$10,招聘费明细!$A:$A,G$6)/10000</f>
        <v>0</v>
      </c>
      <c r="H151" s="121">
        <f>SUMIFS(招聘费明细!$G:$G,招聘费明细!$B:$B,$E151,招聘费明细!$C:$C,$F151,招聘费明细!$F:$F,"&gt;="&amp;H$9,招聘费明细!$F:$F,"&lt;="&amp;H$10,招聘费明细!$A:$A,H$6)/10000</f>
        <v>0</v>
      </c>
      <c r="I151" s="121">
        <f>SUMIFS(招聘费明细!$G:$G,招聘费明细!$B:$B,$E151,招聘费明细!$C:$C,$F151,招聘费明细!$F:$F,"&gt;="&amp;I$9,招聘费明细!$F:$F,"&lt;="&amp;I$10,招聘费明细!$A:$A,I$6)/10000</f>
        <v>0</v>
      </c>
      <c r="J151" s="121">
        <f>SUMIFS(招聘费明细!$G:$G,招聘费明细!$B:$B,$E151,招聘费明细!$C:$C,$F151,招聘费明细!$F:$F,"&gt;="&amp;J$9,招聘费明细!$F:$F,"&lt;="&amp;J$10,招聘费明细!$A:$A,J$6)/10000</f>
        <v>0</v>
      </c>
      <c r="K151" s="121">
        <f>SUMIFS(招聘费明细!$G:$G,招聘费明细!$B:$B,$E151,招聘费明细!$C:$C,$F151,招聘费明细!$F:$F,"&gt;="&amp;K$9,招聘费明细!$F:$F,"&lt;="&amp;K$10,招聘费明细!$A:$A,K$6)/10000</f>
        <v>0</v>
      </c>
      <c r="L151" s="121">
        <f>SUMIFS(招聘费明细!$G:$G,招聘费明细!$B:$B,$E151,招聘费明细!$C:$C,$F151,招聘费明细!$F:$F,"&gt;="&amp;L$9,招聘费明细!$F:$F,"&lt;="&amp;L$10,招聘费明细!$A:$A,L$6)/10000</f>
        <v>0</v>
      </c>
      <c r="M151" s="121">
        <f>SUMIFS(招聘费明细!$G:$G,招聘费明细!$B:$B,$E151,招聘费明细!$C:$C,$F151,招聘费明细!$F:$F,"&gt;="&amp;M$9,招聘费明细!$F:$F,"&lt;="&amp;M$10,招聘费明细!$A:$A,M$6)/10000</f>
        <v>0</v>
      </c>
      <c r="N151" s="121">
        <f>SUMIFS(招聘费明细!$G:$G,招聘费明细!$B:$B,$E151,招聘费明细!$C:$C,$F151,招聘费明细!$F:$F,"&gt;="&amp;N$9,招聘费明细!$F:$F,"&lt;="&amp;N$10,招聘费明细!$A:$A,N$6)/10000</f>
        <v>0</v>
      </c>
      <c r="O151" s="121">
        <f>SUMIFS(招聘费明细!$G:$G,招聘费明细!$B:$B,$E151,招聘费明细!$C:$C,$F151,招聘费明细!$F:$F,"&gt;="&amp;O$9,招聘费明细!$F:$F,"&lt;="&amp;O$10,招聘费明细!$A:$A,O$6)/10000</f>
        <v>0</v>
      </c>
      <c r="P151" s="121">
        <f>SUMIFS(招聘费明细!$G:$G,招聘费明细!$B:$B,$E151,招聘费明细!$C:$C,$F151,招聘费明细!$F:$F,"&gt;="&amp;P$9,招聘费明细!$F:$F,"&lt;="&amp;P$10,招聘费明细!$A:$A,P$6)/10000</f>
        <v>0</v>
      </c>
      <c r="Q151" s="121">
        <f>SUMIFS(招聘费明细!$G:$G,招聘费明细!$B:$B,$E151,招聘费明细!$C:$C,$F151,招聘费明细!$F:$F,"&gt;="&amp;Q$9,招聘费明细!$F:$F,"&lt;="&amp;Q$10,招聘费明细!$A:$A,Q$6)/10000</f>
        <v>0</v>
      </c>
      <c r="R151" s="121">
        <f>SUMIFS(招聘费明细!$G:$G,招聘费明细!$B:$B,$E151,招聘费明细!$C:$C,$F151,招聘费明细!$F:$F,"&gt;="&amp;R$9,招聘费明细!$F:$F,"&lt;="&amp;R$10,招聘费明细!$A:$A,R$6)/10000</f>
        <v>0</v>
      </c>
      <c r="S151" s="121">
        <f>SUMIFS(招聘费明细!$G:$G,招聘费明细!$B:$B,$E151,招聘费明细!$C:$C,$F151,招聘费明细!$F:$F,"&gt;="&amp;S$9,招聘费明细!$F:$F,"&lt;="&amp;S$10,招聘费明细!$A:$A,S$6)/10000</f>
        <v>0</v>
      </c>
      <c r="T151" s="125">
        <f t="shared" si="107"/>
        <v>0</v>
      </c>
      <c r="U151" s="121">
        <f>SUMIFS(招聘费明细!$G:$G,招聘费明细!$B:$B,$E151,招聘费明细!$C:$C,$F151,招聘费明细!$F:$F,"&gt;="&amp;U$9,招聘费明细!$F:$F,"&lt;="&amp;U$10,招聘费明细!$A:$A,U$6)/10000</f>
        <v>0</v>
      </c>
      <c r="V151" s="121">
        <f>SUMIFS(招聘费明细!$G:$G,招聘费明细!$B:$B,$E151,招聘费明细!$C:$C,$F151,招聘费明细!$F:$F,"&gt;="&amp;V$9,招聘费明细!$F:$F,"&lt;="&amp;V$10,招聘费明细!$A:$A,V$6)/10000</f>
        <v>0</v>
      </c>
      <c r="W151" s="121">
        <f>SUMIFS(招聘费明细!$G:$G,招聘费明细!$B:$B,$E151,招聘费明细!$C:$C,$F151,招聘费明细!$F:$F,"&gt;="&amp;W$9,招聘费明细!$F:$F,"&lt;="&amp;W$10,招聘费明细!$A:$A,W$6)/10000</f>
        <v>0</v>
      </c>
      <c r="X151" s="121">
        <f>SUMIFS(招聘费明细!$G:$G,招聘费明细!$B:$B,$E151,招聘费明细!$C:$C,$F151,招聘费明细!$F:$F,"&gt;="&amp;X$9,招聘费明细!$F:$F,"&lt;="&amp;X$10,招聘费明细!$A:$A,X$6)/10000</f>
        <v>0</v>
      </c>
      <c r="Y151" s="121">
        <f>SUMIFS(招聘费明细!$G:$G,招聘费明细!$B:$B,$E151,招聘费明细!$C:$C,$F151,招聘费明细!$F:$F,"&gt;="&amp;Y$9,招聘费明细!$F:$F,"&lt;="&amp;Y$10,招聘费明细!$A:$A,Y$6)/10000</f>
        <v>0</v>
      </c>
      <c r="Z151" s="121">
        <f>SUMIFS(招聘费明细!$G:$G,招聘费明细!$B:$B,$E151,招聘费明细!$C:$C,$F151,招聘费明细!$F:$F,"&gt;="&amp;Z$9,招聘费明细!$F:$F,"&lt;="&amp;Z$10,招聘费明细!$A:$A,Z$6)/10000</f>
        <v>0</v>
      </c>
      <c r="AA151" s="121">
        <f>SUMIFS(招聘费明细!$G:$G,招聘费明细!$B:$B,$E151,招聘费明细!$C:$C,$F151,招聘费明细!$F:$F,"&gt;="&amp;AA$9,招聘费明细!$F:$F,"&lt;="&amp;AA$10,招聘费明细!$A:$A,AA$6)/10000</f>
        <v>0</v>
      </c>
      <c r="AB151" s="121">
        <f>SUMIFS(招聘费明细!$G:$G,招聘费明细!$B:$B,$E151,招聘费明细!$C:$C,$F151,招聘费明细!$F:$F,"&gt;="&amp;AB$9,招聘费明细!$F:$F,"&lt;="&amp;AB$10,招聘费明细!$A:$A,AB$6)/10000</f>
        <v>0</v>
      </c>
      <c r="AC151" s="121">
        <f>SUMIFS(招聘费明细!$G:$G,招聘费明细!$B:$B,$E151,招聘费明细!$C:$C,$F151,招聘费明细!$F:$F,"&gt;="&amp;AC$9,招聘费明细!$F:$F,"&lt;="&amp;AC$10,招聘费明细!$A:$A,AC$6)/10000</f>
        <v>0</v>
      </c>
      <c r="AD151" s="121">
        <f>SUMIFS(招聘费明细!$G:$G,招聘费明细!$B:$B,$E151,招聘费明细!$C:$C,$F151,招聘费明细!$F:$F,"&gt;="&amp;AD$9,招聘费明细!$F:$F,"&lt;="&amp;AD$10,招聘费明细!$A:$A,AD$6)/10000</f>
        <v>0</v>
      </c>
      <c r="AE151" s="121">
        <f>SUMIFS(招聘费明细!$G:$G,招聘费明细!$B:$B,$E151,招聘费明细!$C:$C,$F151,招聘费明细!$F:$F,"&gt;="&amp;AE$9,招聘费明细!$F:$F,"&lt;="&amp;AE$10,招聘费明细!$A:$A,AE$6)/10000</f>
        <v>0</v>
      </c>
      <c r="AF151" s="121">
        <f>SUMIFS(招聘费明细!$G:$G,招聘费明细!$B:$B,$E151,招聘费明细!$C:$C,$F151,招聘费明细!$F:$F,"&gt;="&amp;AF$9,招聘费明细!$F:$F,"&lt;="&amp;AF$10,招聘费明细!$A:$A,AF$6)/10000</f>
        <v>0</v>
      </c>
      <c r="AG151" s="121">
        <f>SUMIFS(招聘费明细!$G:$G,招聘费明细!$B:$B,$E151,招聘费明细!$C:$C,$F151,招聘费明细!$F:$F,"&gt;="&amp;AG$9,招聘费明细!$F:$F,"&lt;="&amp;AG$10,招聘费明细!$A:$A,AG$6)/10000</f>
        <v>0</v>
      </c>
      <c r="AH151" s="121">
        <f>SUMIFS(招聘费明细!$G:$G,招聘费明细!$B:$B,$E151,招聘费明细!$C:$C,$F151,招聘费明细!$F:$F,"&gt;="&amp;AH$9,招聘费明细!$F:$F,"&lt;="&amp;AH$10,招聘费明细!$A:$A,AH$6)/10000</f>
        <v>0</v>
      </c>
      <c r="AI151" s="121">
        <f>SUMIFS(招聘费明细!$G:$G,招聘费明细!$B:$B,$E151,招聘费明细!$C:$C,$F151,招聘费明细!$F:$F,"&gt;="&amp;AI$9,招聘费明细!$F:$F,"&lt;="&amp;AI$10,招聘费明细!$A:$A,AI$6)/10000</f>
        <v>0</v>
      </c>
      <c r="AJ151" s="121">
        <f>SUMIFS(招聘费明细!$G:$G,招聘费明细!$B:$B,$E151,招聘费明细!$C:$C,$F151,招聘费明细!$F:$F,"&gt;="&amp;AJ$9,招聘费明细!$F:$F,"&lt;="&amp;AJ$10,招聘费明细!$A:$A,AJ$6)/10000</f>
        <v>0</v>
      </c>
      <c r="AK151" s="121">
        <f>SUMIFS(招聘费明细!$G:$G,招聘费明细!$B:$B,$E151,招聘费明细!$C:$C,$F151,招聘费明细!$F:$F,"&gt;="&amp;AK$9,招聘费明细!$F:$F,"&lt;="&amp;AK$10,招聘费明细!$A:$A,AK$6)/10000</f>
        <v>0</v>
      </c>
      <c r="AL151" s="121">
        <f>SUMIFS(招聘费明细!$G:$G,招聘费明细!$B:$B,$E151,招聘费明细!$C:$C,$F151,招聘费明细!$F:$F,"&gt;="&amp;AL$9,招聘费明细!$F:$F,"&lt;="&amp;AL$10,招聘费明细!$A:$A,AL$6)/10000</f>
        <v>0</v>
      </c>
      <c r="AM151" s="121">
        <f>SUMIFS(招聘费明细!$G:$G,招聘费明细!$B:$B,$E151,招聘费明细!$C:$C,$F151,招聘费明细!$F:$F,"&gt;="&amp;AM$9,招聘费明细!$F:$F,"&lt;="&amp;AM$10,招聘费明细!$A:$A,AM$6)/10000</f>
        <v>0</v>
      </c>
      <c r="AN151" s="121">
        <f>SUMIFS(招聘费明细!$G:$G,招聘费明细!$B:$B,$E151,招聘费明细!$C:$C,$F151,招聘费明细!$F:$F,"&gt;="&amp;AN$9,招聘费明细!$F:$F,"&lt;="&amp;AN$10,招聘费明细!$A:$A,AN$6)/10000</f>
        <v>0</v>
      </c>
      <c r="AO151" s="121">
        <f>SUMIFS(招聘费明细!$G:$G,招聘费明细!$B:$B,$E151,招聘费明细!$C:$C,$F151,招聘费明细!$F:$F,"&gt;="&amp;AO$9,招聘费明细!$F:$F,"&lt;="&amp;AO$10,招聘费明细!$A:$A,AO$6)/10000</f>
        <v>0</v>
      </c>
      <c r="AP151" s="121">
        <f>SUMIFS(招聘费明细!$G:$G,招聘费明细!$B:$B,$E151,招聘费明细!$C:$C,$F151,招聘费明细!$F:$F,"&gt;="&amp;AP$9,招聘费明细!$F:$F,"&lt;="&amp;AP$10,招聘费明细!$A:$A,AP$6)/10000</f>
        <v>0</v>
      </c>
      <c r="AQ151" s="121">
        <f>SUMIFS(招聘费明细!$G:$G,招聘费明细!$B:$B,$E151,招聘费明细!$C:$C,$F151,招聘费明细!$F:$F,"&gt;="&amp;AQ$9,招聘费明细!$F:$F,"&lt;="&amp;AQ$10,招聘费明细!$A:$A,AQ$6)/10000</f>
        <v>0</v>
      </c>
      <c r="AR151" s="121">
        <f>SUMIFS(招聘费明细!$G:$G,招聘费明细!$B:$B,$E151,招聘费明细!$C:$C,$F151,招聘费明细!$F:$F,"&gt;="&amp;AR$9,招聘费明细!$F:$F,"&lt;="&amp;AR$10,招聘费明细!$A:$A,AR$6)/10000</f>
        <v>0</v>
      </c>
      <c r="AS151" s="121">
        <f>SUMIFS(招聘费明细!$G:$G,招聘费明细!$B:$B,$E151,招聘费明细!$C:$C,$F151,招聘费明细!$F:$F,"&gt;="&amp;AS$9,招聘费明细!$F:$F,"&lt;="&amp;AS$10,招聘费明细!$A:$A,AS$6)/10000</f>
        <v>0</v>
      </c>
      <c r="AT151" s="121">
        <f>SUMIFS(招聘费明细!$G:$G,招聘费明细!$B:$B,$E151,招聘费明细!$C:$C,$F151,招聘费明细!$F:$F,"&gt;="&amp;AT$9,招聘费明细!$F:$F,"&lt;="&amp;AT$10,招聘费明细!$A:$A,AT$6)/10000</f>
        <v>0</v>
      </c>
      <c r="AU151" s="121">
        <f>SUMIFS(招聘费明细!$G:$G,招聘费明细!$B:$B,$E151,招聘费明细!$C:$C,$F151,招聘费明细!$F:$F,"&gt;="&amp;AU$9,招聘费明细!$F:$F,"&lt;="&amp;AU$10,招聘费明细!$A:$A,AU$6)/10000</f>
        <v>0</v>
      </c>
      <c r="AV151" s="121">
        <f>SUMIFS(招聘费明细!$G:$G,招聘费明细!$B:$B,$E151,招聘费明细!$C:$C,$F151,招聘费明细!$F:$F,"&gt;="&amp;AV$9,招聘费明细!$F:$F,"&lt;="&amp;AV$10,招聘费明细!$A:$A,AV$6)/10000</f>
        <v>0</v>
      </c>
      <c r="AW151" s="121">
        <f>SUMIFS(招聘费明细!$G:$G,招聘费明细!$B:$B,$E151,招聘费明细!$C:$C,$F151,招聘费明细!$F:$F,"&gt;="&amp;AW$9,招聘费明细!$F:$F,"&lt;="&amp;AW$10,招聘费明细!$A:$A,AW$6)/10000</f>
        <v>0</v>
      </c>
      <c r="AX151" s="121">
        <f>SUMIFS(招聘费明细!$G:$G,招聘费明细!$B:$B,$E151,招聘费明细!$C:$C,$F151,招聘费明细!$F:$F,"&gt;="&amp;AX$9,招聘费明细!$F:$F,"&lt;="&amp;AX$10,招聘费明细!$A:$A,AX$6)/10000</f>
        <v>0</v>
      </c>
      <c r="AY151" s="121">
        <f>SUMIFS(招聘费明细!$G:$G,招聘费明细!$B:$B,$E151,招聘费明细!$C:$C,$F151,招聘费明细!$F:$F,"&gt;="&amp;AY$9,招聘费明细!$F:$F,"&lt;="&amp;AY$10,招聘费明细!$A:$A,AY$6)/10000</f>
        <v>0</v>
      </c>
      <c r="AZ151" s="121">
        <f>SUMIFS(招聘费明细!$G:$G,招聘费明细!$B:$B,$E151,招聘费明细!$C:$C,$F151,招聘费明细!$F:$F,"&gt;="&amp;AZ$9,招聘费明细!$F:$F,"&lt;="&amp;AZ$10,招聘费明细!$A:$A,AZ$6)/10000</f>
        <v>0</v>
      </c>
      <c r="BA151" s="121">
        <f>SUMIFS(招聘费明细!$G:$G,招聘费明细!$B:$B,$E151,招聘费明细!$C:$C,$F151,招聘费明细!$F:$F,"&gt;="&amp;BA$9,招聘费明细!$F:$F,"&lt;="&amp;BA$10,招聘费明细!$A:$A,BA$6)/10000</f>
        <v>0</v>
      </c>
      <c r="BB151" s="121">
        <f>SUMIFS(招聘费明细!$G:$G,招聘费明细!$B:$B,$E151,招聘费明细!$C:$C,$F151,招聘费明细!$F:$F,"&gt;="&amp;BB$9,招聘费明细!$F:$F,"&lt;="&amp;BB$10,招聘费明细!$A:$A,BB$6)/10000</f>
        <v>0</v>
      </c>
      <c r="BC151" s="121">
        <f>SUMIFS(招聘费明细!$G:$G,招聘费明细!$B:$B,$E151,招聘费明细!$C:$C,$F151,招聘费明细!$F:$F,"&gt;="&amp;BC$9,招聘费明细!$F:$F,"&lt;="&amp;BC$10,招聘费明细!$A:$A,BC$6)/10000</f>
        <v>0</v>
      </c>
      <c r="BD151" s="121">
        <f>SUMIFS(招聘费明细!$G:$G,招聘费明细!$B:$B,$E151,招聘费明细!$C:$C,$F151,招聘费明细!$F:$F,"&gt;="&amp;BD$9,招聘费明细!$F:$F,"&lt;="&amp;BD$10,招聘费明细!$A:$A,BD$6)/10000</f>
        <v>0</v>
      </c>
      <c r="BE151" s="121">
        <f>SUMIFS(招聘费明细!$G:$G,招聘费明细!$B:$B,$E151,招聘费明细!$C:$C,$F151,招聘费明细!$F:$F,"&gt;="&amp;BE$9,招聘费明细!$F:$F,"&lt;="&amp;BE$10,招聘费明细!$A:$A,BE$6)/10000</f>
        <v>0</v>
      </c>
      <c r="BF151" s="121">
        <f>SUMIFS(招聘费明细!$G:$G,招聘费明细!$B:$B,$E151,招聘费明细!$C:$C,$F151,招聘费明细!$F:$F,"&gt;="&amp;BF$9,招聘费明细!$F:$F,"&lt;="&amp;BF$10,招聘费明细!$A:$A,BF$6)/10000</f>
        <v>0</v>
      </c>
      <c r="BG151" s="121">
        <f>SUMIFS(招聘费明细!$G:$G,招聘费明细!$B:$B,$E151,招聘费明细!$C:$C,$F151,招聘费明细!$F:$F,"&gt;="&amp;BG$9,招聘费明细!$F:$F,"&lt;="&amp;BG$10,招聘费明细!$A:$A,BG$6)/10000</f>
        <v>0</v>
      </c>
    </row>
    <row r="152" ht="16.2" spans="3:59">
      <c r="C152" s="42"/>
      <c r="D152" s="42" t="s">
        <v>83</v>
      </c>
      <c r="E152" s="116" t="str">
        <f t="shared" si="105"/>
        <v>创新中心</v>
      </c>
      <c r="F152" s="116" t="str">
        <f t="shared" si="106"/>
        <v>产品
研发部</v>
      </c>
      <c r="G152" s="121">
        <f>SUMIFS(招聘费明细!$G:$G,招聘费明细!$B:$B,$E152,招聘费明细!$C:$C,$F152,招聘费明细!$F:$F,"&gt;="&amp;G$9,招聘费明细!$F:$F,"&lt;="&amp;G$10,招聘费明细!$A:$A,G$6)/10000</f>
        <v>0</v>
      </c>
      <c r="H152" s="121">
        <f>SUMIFS(招聘费明细!$G:$G,招聘费明细!$B:$B,$E152,招聘费明细!$C:$C,$F152,招聘费明细!$F:$F,"&gt;="&amp;H$9,招聘费明细!$F:$F,"&lt;="&amp;H$10,招聘费明细!$A:$A,H$6)/10000</f>
        <v>0</v>
      </c>
      <c r="I152" s="121">
        <f>SUMIFS(招聘费明细!$G:$G,招聘费明细!$B:$B,$E152,招聘费明细!$C:$C,$F152,招聘费明细!$F:$F,"&gt;="&amp;I$9,招聘费明细!$F:$F,"&lt;="&amp;I$10,招聘费明细!$A:$A,I$6)/10000</f>
        <v>0</v>
      </c>
      <c r="J152" s="121">
        <f>SUMIFS(招聘费明细!$G:$G,招聘费明细!$B:$B,$E152,招聘费明细!$C:$C,$F152,招聘费明细!$F:$F,"&gt;="&amp;J$9,招聘费明细!$F:$F,"&lt;="&amp;J$10,招聘费明细!$A:$A,J$6)/10000</f>
        <v>0</v>
      </c>
      <c r="K152" s="121">
        <f>SUMIFS(招聘费明细!$G:$G,招聘费明细!$B:$B,$E152,招聘费明细!$C:$C,$F152,招聘费明细!$F:$F,"&gt;="&amp;K$9,招聘费明细!$F:$F,"&lt;="&amp;K$10,招聘费明细!$A:$A,K$6)/10000</f>
        <v>0</v>
      </c>
      <c r="L152" s="121">
        <f>SUMIFS(招聘费明细!$G:$G,招聘费明细!$B:$B,$E152,招聘费明细!$C:$C,$F152,招聘费明细!$F:$F,"&gt;="&amp;L$9,招聘费明细!$F:$F,"&lt;="&amp;L$10,招聘费明细!$A:$A,L$6)/10000</f>
        <v>0</v>
      </c>
      <c r="M152" s="121">
        <f>SUMIFS(招聘费明细!$G:$G,招聘费明细!$B:$B,$E152,招聘费明细!$C:$C,$F152,招聘费明细!$F:$F,"&gt;="&amp;M$9,招聘费明细!$F:$F,"&lt;="&amp;M$10,招聘费明细!$A:$A,M$6)/10000</f>
        <v>0</v>
      </c>
      <c r="N152" s="121">
        <f>SUMIFS(招聘费明细!$G:$G,招聘费明细!$B:$B,$E152,招聘费明细!$C:$C,$F152,招聘费明细!$F:$F,"&gt;="&amp;N$9,招聘费明细!$F:$F,"&lt;="&amp;N$10,招聘费明细!$A:$A,N$6)/10000</f>
        <v>0</v>
      </c>
      <c r="O152" s="121">
        <f>SUMIFS(招聘费明细!$G:$G,招聘费明细!$B:$B,$E152,招聘费明细!$C:$C,$F152,招聘费明细!$F:$F,"&gt;="&amp;O$9,招聘费明细!$F:$F,"&lt;="&amp;O$10,招聘费明细!$A:$A,O$6)/10000</f>
        <v>0</v>
      </c>
      <c r="P152" s="121">
        <f>SUMIFS(招聘费明细!$G:$G,招聘费明细!$B:$B,$E152,招聘费明细!$C:$C,$F152,招聘费明细!$F:$F,"&gt;="&amp;P$9,招聘费明细!$F:$F,"&lt;="&amp;P$10,招聘费明细!$A:$A,P$6)/10000</f>
        <v>0</v>
      </c>
      <c r="Q152" s="121">
        <f>SUMIFS(招聘费明细!$G:$G,招聘费明细!$B:$B,$E152,招聘费明细!$C:$C,$F152,招聘费明细!$F:$F,"&gt;="&amp;Q$9,招聘费明细!$F:$F,"&lt;="&amp;Q$10,招聘费明细!$A:$A,Q$6)/10000</f>
        <v>0</v>
      </c>
      <c r="R152" s="121">
        <f>SUMIFS(招聘费明细!$G:$G,招聘费明细!$B:$B,$E152,招聘费明细!$C:$C,$F152,招聘费明细!$F:$F,"&gt;="&amp;R$9,招聘费明细!$F:$F,"&lt;="&amp;R$10,招聘费明细!$A:$A,R$6)/10000</f>
        <v>0</v>
      </c>
      <c r="S152" s="121">
        <f>SUMIFS(招聘费明细!$G:$G,招聘费明细!$B:$B,$E152,招聘费明细!$C:$C,$F152,招聘费明细!$F:$F,"&gt;="&amp;S$9,招聘费明细!$F:$F,"&lt;="&amp;S$10,招聘费明细!$A:$A,S$6)/10000</f>
        <v>0</v>
      </c>
      <c r="T152" s="125">
        <f t="shared" si="107"/>
        <v>0</v>
      </c>
      <c r="U152" s="121">
        <f>SUMIFS(招聘费明细!$G:$G,招聘费明细!$B:$B,$E152,招聘费明细!$C:$C,$F152,招聘费明细!$F:$F,"&gt;="&amp;U$9,招聘费明细!$F:$F,"&lt;="&amp;U$10,招聘费明细!$A:$A,U$6)/10000</f>
        <v>0</v>
      </c>
      <c r="V152" s="121">
        <f>SUMIFS(招聘费明细!$G:$G,招聘费明细!$B:$B,$E152,招聘费明细!$C:$C,$F152,招聘费明细!$F:$F,"&gt;="&amp;V$9,招聘费明细!$F:$F,"&lt;="&amp;V$10,招聘费明细!$A:$A,V$6)/10000</f>
        <v>0</v>
      </c>
      <c r="W152" s="121">
        <f>SUMIFS(招聘费明细!$G:$G,招聘费明细!$B:$B,$E152,招聘费明细!$C:$C,$F152,招聘费明细!$F:$F,"&gt;="&amp;W$9,招聘费明细!$F:$F,"&lt;="&amp;W$10,招聘费明细!$A:$A,W$6)/10000</f>
        <v>0</v>
      </c>
      <c r="X152" s="121">
        <f>SUMIFS(招聘费明细!$G:$G,招聘费明细!$B:$B,$E152,招聘费明细!$C:$C,$F152,招聘费明细!$F:$F,"&gt;="&amp;X$9,招聘费明细!$F:$F,"&lt;="&amp;X$10,招聘费明细!$A:$A,X$6)/10000</f>
        <v>0</v>
      </c>
      <c r="Y152" s="121">
        <f>SUMIFS(招聘费明细!$G:$G,招聘费明细!$B:$B,$E152,招聘费明细!$C:$C,$F152,招聘费明细!$F:$F,"&gt;="&amp;Y$9,招聘费明细!$F:$F,"&lt;="&amp;Y$10,招聘费明细!$A:$A,Y$6)/10000</f>
        <v>0</v>
      </c>
      <c r="Z152" s="121">
        <f>SUMIFS(招聘费明细!$G:$G,招聘费明细!$B:$B,$E152,招聘费明细!$C:$C,$F152,招聘费明细!$F:$F,"&gt;="&amp;Z$9,招聘费明细!$F:$F,"&lt;="&amp;Z$10,招聘费明细!$A:$A,Z$6)/10000</f>
        <v>0</v>
      </c>
      <c r="AA152" s="121">
        <f>SUMIFS(招聘费明细!$G:$G,招聘费明细!$B:$B,$E152,招聘费明细!$C:$C,$F152,招聘费明细!$F:$F,"&gt;="&amp;AA$9,招聘费明细!$F:$F,"&lt;="&amp;AA$10,招聘费明细!$A:$A,AA$6)/10000</f>
        <v>0</v>
      </c>
      <c r="AB152" s="121">
        <f>SUMIFS(招聘费明细!$G:$G,招聘费明细!$B:$B,$E152,招聘费明细!$C:$C,$F152,招聘费明细!$F:$F,"&gt;="&amp;AB$9,招聘费明细!$F:$F,"&lt;="&amp;AB$10,招聘费明细!$A:$A,AB$6)/10000</f>
        <v>0</v>
      </c>
      <c r="AC152" s="121">
        <f>SUMIFS(招聘费明细!$G:$G,招聘费明细!$B:$B,$E152,招聘费明细!$C:$C,$F152,招聘费明细!$F:$F,"&gt;="&amp;AC$9,招聘费明细!$F:$F,"&lt;="&amp;AC$10,招聘费明细!$A:$A,AC$6)/10000</f>
        <v>0</v>
      </c>
      <c r="AD152" s="121">
        <f>SUMIFS(招聘费明细!$G:$G,招聘费明细!$B:$B,$E152,招聘费明细!$C:$C,$F152,招聘费明细!$F:$F,"&gt;="&amp;AD$9,招聘费明细!$F:$F,"&lt;="&amp;AD$10,招聘费明细!$A:$A,AD$6)/10000</f>
        <v>0</v>
      </c>
      <c r="AE152" s="121">
        <f>SUMIFS(招聘费明细!$G:$G,招聘费明细!$B:$B,$E152,招聘费明细!$C:$C,$F152,招聘费明细!$F:$F,"&gt;="&amp;AE$9,招聘费明细!$F:$F,"&lt;="&amp;AE$10,招聘费明细!$A:$A,AE$6)/10000</f>
        <v>0</v>
      </c>
      <c r="AF152" s="121">
        <f>SUMIFS(招聘费明细!$G:$G,招聘费明细!$B:$B,$E152,招聘费明细!$C:$C,$F152,招聘费明细!$F:$F,"&gt;="&amp;AF$9,招聘费明细!$F:$F,"&lt;="&amp;AF$10,招聘费明细!$A:$A,AF$6)/10000</f>
        <v>0</v>
      </c>
      <c r="AG152" s="121">
        <f>SUMIFS(招聘费明细!$G:$G,招聘费明细!$B:$B,$E152,招聘费明细!$C:$C,$F152,招聘费明细!$F:$F,"&gt;="&amp;AG$9,招聘费明细!$F:$F,"&lt;="&amp;AG$10,招聘费明细!$A:$A,AG$6)/10000</f>
        <v>0</v>
      </c>
      <c r="AH152" s="121">
        <f>SUMIFS(招聘费明细!$G:$G,招聘费明细!$B:$B,$E152,招聘费明细!$C:$C,$F152,招聘费明细!$F:$F,"&gt;="&amp;AH$9,招聘费明细!$F:$F,"&lt;="&amp;AH$10,招聘费明细!$A:$A,AH$6)/10000</f>
        <v>0</v>
      </c>
      <c r="AI152" s="121">
        <f>SUMIFS(招聘费明细!$G:$G,招聘费明细!$B:$B,$E152,招聘费明细!$C:$C,$F152,招聘费明细!$F:$F,"&gt;="&amp;AI$9,招聘费明细!$F:$F,"&lt;="&amp;AI$10,招聘费明细!$A:$A,AI$6)/10000</f>
        <v>0</v>
      </c>
      <c r="AJ152" s="121">
        <f>SUMIFS(招聘费明细!$G:$G,招聘费明细!$B:$B,$E152,招聘费明细!$C:$C,$F152,招聘费明细!$F:$F,"&gt;="&amp;AJ$9,招聘费明细!$F:$F,"&lt;="&amp;AJ$10,招聘费明细!$A:$A,AJ$6)/10000</f>
        <v>0</v>
      </c>
      <c r="AK152" s="121">
        <f>SUMIFS(招聘费明细!$G:$G,招聘费明细!$B:$B,$E152,招聘费明细!$C:$C,$F152,招聘费明细!$F:$F,"&gt;="&amp;AK$9,招聘费明细!$F:$F,"&lt;="&amp;AK$10,招聘费明细!$A:$A,AK$6)/10000</f>
        <v>0</v>
      </c>
      <c r="AL152" s="121">
        <f>SUMIFS(招聘费明细!$G:$G,招聘费明细!$B:$B,$E152,招聘费明细!$C:$C,$F152,招聘费明细!$F:$F,"&gt;="&amp;AL$9,招聘费明细!$F:$F,"&lt;="&amp;AL$10,招聘费明细!$A:$A,AL$6)/10000</f>
        <v>0</v>
      </c>
      <c r="AM152" s="121">
        <f>SUMIFS(招聘费明细!$G:$G,招聘费明细!$B:$B,$E152,招聘费明细!$C:$C,$F152,招聘费明细!$F:$F,"&gt;="&amp;AM$9,招聘费明细!$F:$F,"&lt;="&amp;AM$10,招聘费明细!$A:$A,AM$6)/10000</f>
        <v>0</v>
      </c>
      <c r="AN152" s="121">
        <f>SUMIFS(招聘费明细!$G:$G,招聘费明细!$B:$B,$E152,招聘费明细!$C:$C,$F152,招聘费明细!$F:$F,"&gt;="&amp;AN$9,招聘费明细!$F:$F,"&lt;="&amp;AN$10,招聘费明细!$A:$A,AN$6)/10000</f>
        <v>0</v>
      </c>
      <c r="AO152" s="121">
        <f>SUMIFS(招聘费明细!$G:$G,招聘费明细!$B:$B,$E152,招聘费明细!$C:$C,$F152,招聘费明细!$F:$F,"&gt;="&amp;AO$9,招聘费明细!$F:$F,"&lt;="&amp;AO$10,招聘费明细!$A:$A,AO$6)/10000</f>
        <v>0</v>
      </c>
      <c r="AP152" s="121">
        <f>SUMIFS(招聘费明细!$G:$G,招聘费明细!$B:$B,$E152,招聘费明细!$C:$C,$F152,招聘费明细!$F:$F,"&gt;="&amp;AP$9,招聘费明细!$F:$F,"&lt;="&amp;AP$10,招聘费明细!$A:$A,AP$6)/10000</f>
        <v>0</v>
      </c>
      <c r="AQ152" s="121">
        <f>SUMIFS(招聘费明细!$G:$G,招聘费明细!$B:$B,$E152,招聘费明细!$C:$C,$F152,招聘费明细!$F:$F,"&gt;="&amp;AQ$9,招聘费明细!$F:$F,"&lt;="&amp;AQ$10,招聘费明细!$A:$A,AQ$6)/10000</f>
        <v>0</v>
      </c>
      <c r="AR152" s="121">
        <f>SUMIFS(招聘费明细!$G:$G,招聘费明细!$B:$B,$E152,招聘费明细!$C:$C,$F152,招聘费明细!$F:$F,"&gt;="&amp;AR$9,招聘费明细!$F:$F,"&lt;="&amp;AR$10,招聘费明细!$A:$A,AR$6)/10000</f>
        <v>0</v>
      </c>
      <c r="AS152" s="121">
        <f>SUMIFS(招聘费明细!$G:$G,招聘费明细!$B:$B,$E152,招聘费明细!$C:$C,$F152,招聘费明细!$F:$F,"&gt;="&amp;AS$9,招聘费明细!$F:$F,"&lt;="&amp;AS$10,招聘费明细!$A:$A,AS$6)/10000</f>
        <v>0</v>
      </c>
      <c r="AT152" s="121">
        <f>SUMIFS(招聘费明细!$G:$G,招聘费明细!$B:$B,$E152,招聘费明细!$C:$C,$F152,招聘费明细!$F:$F,"&gt;="&amp;AT$9,招聘费明细!$F:$F,"&lt;="&amp;AT$10,招聘费明细!$A:$A,AT$6)/10000</f>
        <v>0</v>
      </c>
      <c r="AU152" s="121">
        <f>SUMIFS(招聘费明细!$G:$G,招聘费明细!$B:$B,$E152,招聘费明细!$C:$C,$F152,招聘费明细!$F:$F,"&gt;="&amp;AU$9,招聘费明细!$F:$F,"&lt;="&amp;AU$10,招聘费明细!$A:$A,AU$6)/10000</f>
        <v>0</v>
      </c>
      <c r="AV152" s="121">
        <f>SUMIFS(招聘费明细!$G:$G,招聘费明细!$B:$B,$E152,招聘费明细!$C:$C,$F152,招聘费明细!$F:$F,"&gt;="&amp;AV$9,招聘费明细!$F:$F,"&lt;="&amp;AV$10,招聘费明细!$A:$A,AV$6)/10000</f>
        <v>0</v>
      </c>
      <c r="AW152" s="121">
        <f>SUMIFS(招聘费明细!$G:$G,招聘费明细!$B:$B,$E152,招聘费明细!$C:$C,$F152,招聘费明细!$F:$F,"&gt;="&amp;AW$9,招聘费明细!$F:$F,"&lt;="&amp;AW$10,招聘费明细!$A:$A,AW$6)/10000</f>
        <v>0</v>
      </c>
      <c r="AX152" s="121">
        <f>SUMIFS(招聘费明细!$G:$G,招聘费明细!$B:$B,$E152,招聘费明细!$C:$C,$F152,招聘费明细!$F:$F,"&gt;="&amp;AX$9,招聘费明细!$F:$F,"&lt;="&amp;AX$10,招聘费明细!$A:$A,AX$6)/10000</f>
        <v>0</v>
      </c>
      <c r="AY152" s="121">
        <f>SUMIFS(招聘费明细!$G:$G,招聘费明细!$B:$B,$E152,招聘费明细!$C:$C,$F152,招聘费明细!$F:$F,"&gt;="&amp;AY$9,招聘费明细!$F:$F,"&lt;="&amp;AY$10,招聘费明细!$A:$A,AY$6)/10000</f>
        <v>0</v>
      </c>
      <c r="AZ152" s="121">
        <f>SUMIFS(招聘费明细!$G:$G,招聘费明细!$B:$B,$E152,招聘费明细!$C:$C,$F152,招聘费明细!$F:$F,"&gt;="&amp;AZ$9,招聘费明细!$F:$F,"&lt;="&amp;AZ$10,招聘费明细!$A:$A,AZ$6)/10000</f>
        <v>0</v>
      </c>
      <c r="BA152" s="121">
        <f>SUMIFS(招聘费明细!$G:$G,招聘费明细!$B:$B,$E152,招聘费明细!$C:$C,$F152,招聘费明细!$F:$F,"&gt;="&amp;BA$9,招聘费明细!$F:$F,"&lt;="&amp;BA$10,招聘费明细!$A:$A,BA$6)/10000</f>
        <v>0</v>
      </c>
      <c r="BB152" s="121">
        <f>SUMIFS(招聘费明细!$G:$G,招聘费明细!$B:$B,$E152,招聘费明细!$C:$C,$F152,招聘费明细!$F:$F,"&gt;="&amp;BB$9,招聘费明细!$F:$F,"&lt;="&amp;BB$10,招聘费明细!$A:$A,BB$6)/10000</f>
        <v>0</v>
      </c>
      <c r="BC152" s="121">
        <f>SUMIFS(招聘费明细!$G:$G,招聘费明细!$B:$B,$E152,招聘费明细!$C:$C,$F152,招聘费明细!$F:$F,"&gt;="&amp;BC$9,招聘费明细!$F:$F,"&lt;="&amp;BC$10,招聘费明细!$A:$A,BC$6)/10000</f>
        <v>0</v>
      </c>
      <c r="BD152" s="121">
        <f>SUMIFS(招聘费明细!$G:$G,招聘费明细!$B:$B,$E152,招聘费明细!$C:$C,$F152,招聘费明细!$F:$F,"&gt;="&amp;BD$9,招聘费明细!$F:$F,"&lt;="&amp;BD$10,招聘费明细!$A:$A,BD$6)/10000</f>
        <v>0</v>
      </c>
      <c r="BE152" s="121">
        <f>SUMIFS(招聘费明细!$G:$G,招聘费明细!$B:$B,$E152,招聘费明细!$C:$C,$F152,招聘费明细!$F:$F,"&gt;="&amp;BE$9,招聘费明细!$F:$F,"&lt;="&amp;BE$10,招聘费明细!$A:$A,BE$6)/10000</f>
        <v>0</v>
      </c>
      <c r="BF152" s="121">
        <f>SUMIFS(招聘费明细!$G:$G,招聘费明细!$B:$B,$E152,招聘费明细!$C:$C,$F152,招聘费明细!$F:$F,"&gt;="&amp;BF$9,招聘费明细!$F:$F,"&lt;="&amp;BF$10,招聘费明细!$A:$A,BF$6)/10000</f>
        <v>0</v>
      </c>
      <c r="BG152" s="121">
        <f>SUMIFS(招聘费明细!$G:$G,招聘费明细!$B:$B,$E152,招聘费明细!$C:$C,$F152,招聘费明细!$F:$F,"&gt;="&amp;BG$9,招聘费明细!$F:$F,"&lt;="&amp;BG$10,招聘费明细!$A:$A,BG$6)/10000</f>
        <v>0</v>
      </c>
    </row>
    <row r="153" ht="16.2" spans="3:59">
      <c r="C153" s="42"/>
      <c r="D153" s="42" t="s">
        <v>84</v>
      </c>
      <c r="E153" s="116" t="str">
        <f t="shared" si="105"/>
        <v>创新中心</v>
      </c>
      <c r="F153" s="116" t="str">
        <f t="shared" si="106"/>
        <v>XX
试验室</v>
      </c>
      <c r="G153" s="121">
        <f>SUMIFS(招聘费明细!$G:$G,招聘费明细!$B:$B,$E153,招聘费明细!$C:$C,$F153,招聘费明细!$F:$F,"&gt;="&amp;G$9,招聘费明细!$F:$F,"&lt;="&amp;G$10,招聘费明细!$A:$A,G$6)/10000</f>
        <v>0</v>
      </c>
      <c r="H153" s="121">
        <f>SUMIFS(招聘费明细!$G:$G,招聘费明细!$B:$B,$E153,招聘费明细!$C:$C,$F153,招聘费明细!$F:$F,"&gt;="&amp;H$9,招聘费明细!$F:$F,"&lt;="&amp;H$10,招聘费明细!$A:$A,H$6)/10000</f>
        <v>0</v>
      </c>
      <c r="I153" s="121">
        <f>SUMIFS(招聘费明细!$G:$G,招聘费明细!$B:$B,$E153,招聘费明细!$C:$C,$F153,招聘费明细!$F:$F,"&gt;="&amp;I$9,招聘费明细!$F:$F,"&lt;="&amp;I$10,招聘费明细!$A:$A,I$6)/10000</f>
        <v>0</v>
      </c>
      <c r="J153" s="121">
        <f>SUMIFS(招聘费明细!$G:$G,招聘费明细!$B:$B,$E153,招聘费明细!$C:$C,$F153,招聘费明细!$F:$F,"&gt;="&amp;J$9,招聘费明细!$F:$F,"&lt;="&amp;J$10,招聘费明细!$A:$A,J$6)/10000</f>
        <v>0</v>
      </c>
      <c r="K153" s="121">
        <f>SUMIFS(招聘费明细!$G:$G,招聘费明细!$B:$B,$E153,招聘费明细!$C:$C,$F153,招聘费明细!$F:$F,"&gt;="&amp;K$9,招聘费明细!$F:$F,"&lt;="&amp;K$10,招聘费明细!$A:$A,K$6)/10000</f>
        <v>0</v>
      </c>
      <c r="L153" s="121">
        <f>SUMIFS(招聘费明细!$G:$G,招聘费明细!$B:$B,$E153,招聘费明细!$C:$C,$F153,招聘费明细!$F:$F,"&gt;="&amp;L$9,招聘费明细!$F:$F,"&lt;="&amp;L$10,招聘费明细!$A:$A,L$6)/10000</f>
        <v>0</v>
      </c>
      <c r="M153" s="121">
        <f>SUMIFS(招聘费明细!$G:$G,招聘费明细!$B:$B,$E153,招聘费明细!$C:$C,$F153,招聘费明细!$F:$F,"&gt;="&amp;M$9,招聘费明细!$F:$F,"&lt;="&amp;M$10,招聘费明细!$A:$A,M$6)/10000</f>
        <v>0</v>
      </c>
      <c r="N153" s="121">
        <f>SUMIFS(招聘费明细!$G:$G,招聘费明细!$B:$B,$E153,招聘费明细!$C:$C,$F153,招聘费明细!$F:$F,"&gt;="&amp;N$9,招聘费明细!$F:$F,"&lt;="&amp;N$10,招聘费明细!$A:$A,N$6)/10000</f>
        <v>0</v>
      </c>
      <c r="O153" s="121">
        <f>SUMIFS(招聘费明细!$G:$G,招聘费明细!$B:$B,$E153,招聘费明细!$C:$C,$F153,招聘费明细!$F:$F,"&gt;="&amp;O$9,招聘费明细!$F:$F,"&lt;="&amp;O$10,招聘费明细!$A:$A,O$6)/10000</f>
        <v>0</v>
      </c>
      <c r="P153" s="121">
        <f>SUMIFS(招聘费明细!$G:$G,招聘费明细!$B:$B,$E153,招聘费明细!$C:$C,$F153,招聘费明细!$F:$F,"&gt;="&amp;P$9,招聘费明细!$F:$F,"&lt;="&amp;P$10,招聘费明细!$A:$A,P$6)/10000</f>
        <v>0</v>
      </c>
      <c r="Q153" s="121">
        <f>SUMIFS(招聘费明细!$G:$G,招聘费明细!$B:$B,$E153,招聘费明细!$C:$C,$F153,招聘费明细!$F:$F,"&gt;="&amp;Q$9,招聘费明细!$F:$F,"&lt;="&amp;Q$10,招聘费明细!$A:$A,Q$6)/10000</f>
        <v>0</v>
      </c>
      <c r="R153" s="121">
        <f>SUMIFS(招聘费明细!$G:$G,招聘费明细!$B:$B,$E153,招聘费明细!$C:$C,$F153,招聘费明细!$F:$F,"&gt;="&amp;R$9,招聘费明细!$F:$F,"&lt;="&amp;R$10,招聘费明细!$A:$A,R$6)/10000</f>
        <v>0</v>
      </c>
      <c r="S153" s="121">
        <f>SUMIFS(招聘费明细!$G:$G,招聘费明细!$B:$B,$E153,招聘费明细!$C:$C,$F153,招聘费明细!$F:$F,"&gt;="&amp;S$9,招聘费明细!$F:$F,"&lt;="&amp;S$10,招聘费明细!$A:$A,S$6)/10000</f>
        <v>0</v>
      </c>
      <c r="T153" s="125">
        <f t="shared" si="107"/>
        <v>0</v>
      </c>
      <c r="U153" s="121">
        <f>SUMIFS(招聘费明细!$G:$G,招聘费明细!$B:$B,$E153,招聘费明细!$C:$C,$F153,招聘费明细!$F:$F,"&gt;="&amp;U$9,招聘费明细!$F:$F,"&lt;="&amp;U$10,招聘费明细!$A:$A,U$6)/10000</f>
        <v>0</v>
      </c>
      <c r="V153" s="121">
        <f>SUMIFS(招聘费明细!$G:$G,招聘费明细!$B:$B,$E153,招聘费明细!$C:$C,$F153,招聘费明细!$F:$F,"&gt;="&amp;V$9,招聘费明细!$F:$F,"&lt;="&amp;V$10,招聘费明细!$A:$A,V$6)/10000</f>
        <v>0</v>
      </c>
      <c r="W153" s="121">
        <f>SUMIFS(招聘费明细!$G:$G,招聘费明细!$B:$B,$E153,招聘费明细!$C:$C,$F153,招聘费明细!$F:$F,"&gt;="&amp;W$9,招聘费明细!$F:$F,"&lt;="&amp;W$10,招聘费明细!$A:$A,W$6)/10000</f>
        <v>0</v>
      </c>
      <c r="X153" s="121">
        <f>SUMIFS(招聘费明细!$G:$G,招聘费明细!$B:$B,$E153,招聘费明细!$C:$C,$F153,招聘费明细!$F:$F,"&gt;="&amp;X$9,招聘费明细!$F:$F,"&lt;="&amp;X$10,招聘费明细!$A:$A,X$6)/10000</f>
        <v>0</v>
      </c>
      <c r="Y153" s="121">
        <f>SUMIFS(招聘费明细!$G:$G,招聘费明细!$B:$B,$E153,招聘费明细!$C:$C,$F153,招聘费明细!$F:$F,"&gt;="&amp;Y$9,招聘费明细!$F:$F,"&lt;="&amp;Y$10,招聘费明细!$A:$A,Y$6)/10000</f>
        <v>0</v>
      </c>
      <c r="Z153" s="121">
        <f>SUMIFS(招聘费明细!$G:$G,招聘费明细!$B:$B,$E153,招聘费明细!$C:$C,$F153,招聘费明细!$F:$F,"&gt;="&amp;Z$9,招聘费明细!$F:$F,"&lt;="&amp;Z$10,招聘费明细!$A:$A,Z$6)/10000</f>
        <v>0</v>
      </c>
      <c r="AA153" s="121">
        <f>SUMIFS(招聘费明细!$G:$G,招聘费明细!$B:$B,$E153,招聘费明细!$C:$C,$F153,招聘费明细!$F:$F,"&gt;="&amp;AA$9,招聘费明细!$F:$F,"&lt;="&amp;AA$10,招聘费明细!$A:$A,AA$6)/10000</f>
        <v>0</v>
      </c>
      <c r="AB153" s="121">
        <f>SUMIFS(招聘费明细!$G:$G,招聘费明细!$B:$B,$E153,招聘费明细!$C:$C,$F153,招聘费明细!$F:$F,"&gt;="&amp;AB$9,招聘费明细!$F:$F,"&lt;="&amp;AB$10,招聘费明细!$A:$A,AB$6)/10000</f>
        <v>0</v>
      </c>
      <c r="AC153" s="121">
        <f>SUMIFS(招聘费明细!$G:$G,招聘费明细!$B:$B,$E153,招聘费明细!$C:$C,$F153,招聘费明细!$F:$F,"&gt;="&amp;AC$9,招聘费明细!$F:$F,"&lt;="&amp;AC$10,招聘费明细!$A:$A,AC$6)/10000</f>
        <v>0</v>
      </c>
      <c r="AD153" s="121">
        <f>SUMIFS(招聘费明细!$G:$G,招聘费明细!$B:$B,$E153,招聘费明细!$C:$C,$F153,招聘费明细!$F:$F,"&gt;="&amp;AD$9,招聘费明细!$F:$F,"&lt;="&amp;AD$10,招聘费明细!$A:$A,AD$6)/10000</f>
        <v>0</v>
      </c>
      <c r="AE153" s="121">
        <f>SUMIFS(招聘费明细!$G:$G,招聘费明细!$B:$B,$E153,招聘费明细!$C:$C,$F153,招聘费明细!$F:$F,"&gt;="&amp;AE$9,招聘费明细!$F:$F,"&lt;="&amp;AE$10,招聘费明细!$A:$A,AE$6)/10000</f>
        <v>0</v>
      </c>
      <c r="AF153" s="121">
        <f>SUMIFS(招聘费明细!$G:$G,招聘费明细!$B:$B,$E153,招聘费明细!$C:$C,$F153,招聘费明细!$F:$F,"&gt;="&amp;AF$9,招聘费明细!$F:$F,"&lt;="&amp;AF$10,招聘费明细!$A:$A,AF$6)/10000</f>
        <v>0</v>
      </c>
      <c r="AG153" s="121">
        <f>SUMIFS(招聘费明细!$G:$G,招聘费明细!$B:$B,$E153,招聘费明细!$C:$C,$F153,招聘费明细!$F:$F,"&gt;="&amp;AG$9,招聘费明细!$F:$F,"&lt;="&amp;AG$10,招聘费明细!$A:$A,AG$6)/10000</f>
        <v>0</v>
      </c>
      <c r="AH153" s="121">
        <f>SUMIFS(招聘费明细!$G:$G,招聘费明细!$B:$B,$E153,招聘费明细!$C:$C,$F153,招聘费明细!$F:$F,"&gt;="&amp;AH$9,招聘费明细!$F:$F,"&lt;="&amp;AH$10,招聘费明细!$A:$A,AH$6)/10000</f>
        <v>0</v>
      </c>
      <c r="AI153" s="121">
        <f>SUMIFS(招聘费明细!$G:$G,招聘费明细!$B:$B,$E153,招聘费明细!$C:$C,$F153,招聘费明细!$F:$F,"&gt;="&amp;AI$9,招聘费明细!$F:$F,"&lt;="&amp;AI$10,招聘费明细!$A:$A,AI$6)/10000</f>
        <v>0</v>
      </c>
      <c r="AJ153" s="121">
        <f>SUMIFS(招聘费明细!$G:$G,招聘费明细!$B:$B,$E153,招聘费明细!$C:$C,$F153,招聘费明细!$F:$F,"&gt;="&amp;AJ$9,招聘费明细!$F:$F,"&lt;="&amp;AJ$10,招聘费明细!$A:$A,AJ$6)/10000</f>
        <v>0</v>
      </c>
      <c r="AK153" s="121">
        <f>SUMIFS(招聘费明细!$G:$G,招聘费明细!$B:$B,$E153,招聘费明细!$C:$C,$F153,招聘费明细!$F:$F,"&gt;="&amp;AK$9,招聘费明细!$F:$F,"&lt;="&amp;AK$10,招聘费明细!$A:$A,AK$6)/10000</f>
        <v>0</v>
      </c>
      <c r="AL153" s="121">
        <f>SUMIFS(招聘费明细!$G:$G,招聘费明细!$B:$B,$E153,招聘费明细!$C:$C,$F153,招聘费明细!$F:$F,"&gt;="&amp;AL$9,招聘费明细!$F:$F,"&lt;="&amp;AL$10,招聘费明细!$A:$A,AL$6)/10000</f>
        <v>0</v>
      </c>
      <c r="AM153" s="121">
        <f>SUMIFS(招聘费明细!$G:$G,招聘费明细!$B:$B,$E153,招聘费明细!$C:$C,$F153,招聘费明细!$F:$F,"&gt;="&amp;AM$9,招聘费明细!$F:$F,"&lt;="&amp;AM$10,招聘费明细!$A:$A,AM$6)/10000</f>
        <v>0</v>
      </c>
      <c r="AN153" s="121">
        <f>SUMIFS(招聘费明细!$G:$G,招聘费明细!$B:$B,$E153,招聘费明细!$C:$C,$F153,招聘费明细!$F:$F,"&gt;="&amp;AN$9,招聘费明细!$F:$F,"&lt;="&amp;AN$10,招聘费明细!$A:$A,AN$6)/10000</f>
        <v>0</v>
      </c>
      <c r="AO153" s="121">
        <f>SUMIFS(招聘费明细!$G:$G,招聘费明细!$B:$B,$E153,招聘费明细!$C:$C,$F153,招聘费明细!$F:$F,"&gt;="&amp;AO$9,招聘费明细!$F:$F,"&lt;="&amp;AO$10,招聘费明细!$A:$A,AO$6)/10000</f>
        <v>0</v>
      </c>
      <c r="AP153" s="121">
        <f>SUMIFS(招聘费明细!$G:$G,招聘费明细!$B:$B,$E153,招聘费明细!$C:$C,$F153,招聘费明细!$F:$F,"&gt;="&amp;AP$9,招聘费明细!$F:$F,"&lt;="&amp;AP$10,招聘费明细!$A:$A,AP$6)/10000</f>
        <v>0</v>
      </c>
      <c r="AQ153" s="121">
        <f>SUMIFS(招聘费明细!$G:$G,招聘费明细!$B:$B,$E153,招聘费明细!$C:$C,$F153,招聘费明细!$F:$F,"&gt;="&amp;AQ$9,招聘费明细!$F:$F,"&lt;="&amp;AQ$10,招聘费明细!$A:$A,AQ$6)/10000</f>
        <v>0</v>
      </c>
      <c r="AR153" s="121">
        <f>SUMIFS(招聘费明细!$G:$G,招聘费明细!$B:$B,$E153,招聘费明细!$C:$C,$F153,招聘费明细!$F:$F,"&gt;="&amp;AR$9,招聘费明细!$F:$F,"&lt;="&amp;AR$10,招聘费明细!$A:$A,AR$6)/10000</f>
        <v>0</v>
      </c>
      <c r="AS153" s="121">
        <f>SUMIFS(招聘费明细!$G:$G,招聘费明细!$B:$B,$E153,招聘费明细!$C:$C,$F153,招聘费明细!$F:$F,"&gt;="&amp;AS$9,招聘费明细!$F:$F,"&lt;="&amp;AS$10,招聘费明细!$A:$A,AS$6)/10000</f>
        <v>0</v>
      </c>
      <c r="AT153" s="121">
        <f>SUMIFS(招聘费明细!$G:$G,招聘费明细!$B:$B,$E153,招聘费明细!$C:$C,$F153,招聘费明细!$F:$F,"&gt;="&amp;AT$9,招聘费明细!$F:$F,"&lt;="&amp;AT$10,招聘费明细!$A:$A,AT$6)/10000</f>
        <v>0</v>
      </c>
      <c r="AU153" s="121">
        <f>SUMIFS(招聘费明细!$G:$G,招聘费明细!$B:$B,$E153,招聘费明细!$C:$C,$F153,招聘费明细!$F:$F,"&gt;="&amp;AU$9,招聘费明细!$F:$F,"&lt;="&amp;AU$10,招聘费明细!$A:$A,AU$6)/10000</f>
        <v>0</v>
      </c>
      <c r="AV153" s="121">
        <f>SUMIFS(招聘费明细!$G:$G,招聘费明细!$B:$B,$E153,招聘费明细!$C:$C,$F153,招聘费明细!$F:$F,"&gt;="&amp;AV$9,招聘费明细!$F:$F,"&lt;="&amp;AV$10,招聘费明细!$A:$A,AV$6)/10000</f>
        <v>0</v>
      </c>
      <c r="AW153" s="121">
        <f>SUMIFS(招聘费明细!$G:$G,招聘费明细!$B:$B,$E153,招聘费明细!$C:$C,$F153,招聘费明细!$F:$F,"&gt;="&amp;AW$9,招聘费明细!$F:$F,"&lt;="&amp;AW$10,招聘费明细!$A:$A,AW$6)/10000</f>
        <v>0</v>
      </c>
      <c r="AX153" s="121">
        <f>SUMIFS(招聘费明细!$G:$G,招聘费明细!$B:$B,$E153,招聘费明细!$C:$C,$F153,招聘费明细!$F:$F,"&gt;="&amp;AX$9,招聘费明细!$F:$F,"&lt;="&amp;AX$10,招聘费明细!$A:$A,AX$6)/10000</f>
        <v>0</v>
      </c>
      <c r="AY153" s="121">
        <f>SUMIFS(招聘费明细!$G:$G,招聘费明细!$B:$B,$E153,招聘费明细!$C:$C,$F153,招聘费明细!$F:$F,"&gt;="&amp;AY$9,招聘费明细!$F:$F,"&lt;="&amp;AY$10,招聘费明细!$A:$A,AY$6)/10000</f>
        <v>0</v>
      </c>
      <c r="AZ153" s="121">
        <f>SUMIFS(招聘费明细!$G:$G,招聘费明细!$B:$B,$E153,招聘费明细!$C:$C,$F153,招聘费明细!$F:$F,"&gt;="&amp;AZ$9,招聘费明细!$F:$F,"&lt;="&amp;AZ$10,招聘费明细!$A:$A,AZ$6)/10000</f>
        <v>0</v>
      </c>
      <c r="BA153" s="121">
        <f>SUMIFS(招聘费明细!$G:$G,招聘费明细!$B:$B,$E153,招聘费明细!$C:$C,$F153,招聘费明细!$F:$F,"&gt;="&amp;BA$9,招聘费明细!$F:$F,"&lt;="&amp;BA$10,招聘费明细!$A:$A,BA$6)/10000</f>
        <v>0</v>
      </c>
      <c r="BB153" s="121">
        <f>SUMIFS(招聘费明细!$G:$G,招聘费明细!$B:$B,$E153,招聘费明细!$C:$C,$F153,招聘费明细!$F:$F,"&gt;="&amp;BB$9,招聘费明细!$F:$F,"&lt;="&amp;BB$10,招聘费明细!$A:$A,BB$6)/10000</f>
        <v>0</v>
      </c>
      <c r="BC153" s="121">
        <f>SUMIFS(招聘费明细!$G:$G,招聘费明细!$B:$B,$E153,招聘费明细!$C:$C,$F153,招聘费明细!$F:$F,"&gt;="&amp;BC$9,招聘费明细!$F:$F,"&lt;="&amp;BC$10,招聘费明细!$A:$A,BC$6)/10000</f>
        <v>0</v>
      </c>
      <c r="BD153" s="121">
        <f>SUMIFS(招聘费明细!$G:$G,招聘费明细!$B:$B,$E153,招聘费明细!$C:$C,$F153,招聘费明细!$F:$F,"&gt;="&amp;BD$9,招聘费明细!$F:$F,"&lt;="&amp;BD$10,招聘费明细!$A:$A,BD$6)/10000</f>
        <v>0</v>
      </c>
      <c r="BE153" s="121">
        <f>SUMIFS(招聘费明细!$G:$G,招聘费明细!$B:$B,$E153,招聘费明细!$C:$C,$F153,招聘费明细!$F:$F,"&gt;="&amp;BE$9,招聘费明细!$F:$F,"&lt;="&amp;BE$10,招聘费明细!$A:$A,BE$6)/10000</f>
        <v>0</v>
      </c>
      <c r="BF153" s="121">
        <f>SUMIFS(招聘费明细!$G:$G,招聘费明细!$B:$B,$E153,招聘费明细!$C:$C,$F153,招聘费明细!$F:$F,"&gt;="&amp;BF$9,招聘费明细!$F:$F,"&lt;="&amp;BF$10,招聘费明细!$A:$A,BF$6)/10000</f>
        <v>0</v>
      </c>
      <c r="BG153" s="121">
        <f>SUMIFS(招聘费明细!$G:$G,招聘费明细!$B:$B,$E153,招聘费明细!$C:$C,$F153,招聘费明细!$F:$F,"&gt;="&amp;BG$9,招聘费明细!$F:$F,"&lt;="&amp;BG$10,招聘费明细!$A:$A,BG$6)/10000</f>
        <v>0</v>
      </c>
    </row>
    <row r="154" ht="16.2" spans="3:59">
      <c r="C154" s="42"/>
      <c r="D154" s="42" t="s">
        <v>85</v>
      </c>
      <c r="E154" s="116" t="str">
        <f t="shared" si="105"/>
        <v>创新中心</v>
      </c>
      <c r="F154" s="116" t="str">
        <f t="shared" si="106"/>
        <v>XX
孵化业务</v>
      </c>
      <c r="G154" s="121">
        <f>SUMIFS(招聘费明细!$G:$G,招聘费明细!$B:$B,$E154,招聘费明细!$C:$C,$F154,招聘费明细!$F:$F,"&gt;="&amp;G$9,招聘费明细!$F:$F,"&lt;="&amp;G$10,招聘费明细!$A:$A,G$6)/10000</f>
        <v>0</v>
      </c>
      <c r="H154" s="121">
        <f>SUMIFS(招聘费明细!$G:$G,招聘费明细!$B:$B,$E154,招聘费明细!$C:$C,$F154,招聘费明细!$F:$F,"&gt;="&amp;H$9,招聘费明细!$F:$F,"&lt;="&amp;H$10,招聘费明细!$A:$A,H$6)/10000</f>
        <v>0</v>
      </c>
      <c r="I154" s="121">
        <f>SUMIFS(招聘费明细!$G:$G,招聘费明细!$B:$B,$E154,招聘费明细!$C:$C,$F154,招聘费明细!$F:$F,"&gt;="&amp;I$9,招聘费明细!$F:$F,"&lt;="&amp;I$10,招聘费明细!$A:$A,I$6)/10000</f>
        <v>0</v>
      </c>
      <c r="J154" s="121">
        <f>SUMIFS(招聘费明细!$G:$G,招聘费明细!$B:$B,$E154,招聘费明细!$C:$C,$F154,招聘费明细!$F:$F,"&gt;="&amp;J$9,招聘费明细!$F:$F,"&lt;="&amp;J$10,招聘费明细!$A:$A,J$6)/10000</f>
        <v>0</v>
      </c>
      <c r="K154" s="121">
        <f>SUMIFS(招聘费明细!$G:$G,招聘费明细!$B:$B,$E154,招聘费明细!$C:$C,$F154,招聘费明细!$F:$F,"&gt;="&amp;K$9,招聘费明细!$F:$F,"&lt;="&amp;K$10,招聘费明细!$A:$A,K$6)/10000</f>
        <v>0</v>
      </c>
      <c r="L154" s="121">
        <f>SUMIFS(招聘费明细!$G:$G,招聘费明细!$B:$B,$E154,招聘费明细!$C:$C,$F154,招聘费明细!$F:$F,"&gt;="&amp;L$9,招聘费明细!$F:$F,"&lt;="&amp;L$10,招聘费明细!$A:$A,L$6)/10000</f>
        <v>0</v>
      </c>
      <c r="M154" s="121">
        <f>SUMIFS(招聘费明细!$G:$G,招聘费明细!$B:$B,$E154,招聘费明细!$C:$C,$F154,招聘费明细!$F:$F,"&gt;="&amp;M$9,招聘费明细!$F:$F,"&lt;="&amp;M$10,招聘费明细!$A:$A,M$6)/10000</f>
        <v>0</v>
      </c>
      <c r="N154" s="121">
        <f>SUMIFS(招聘费明细!$G:$G,招聘费明细!$B:$B,$E154,招聘费明细!$C:$C,$F154,招聘费明细!$F:$F,"&gt;="&amp;N$9,招聘费明细!$F:$F,"&lt;="&amp;N$10,招聘费明细!$A:$A,N$6)/10000</f>
        <v>0</v>
      </c>
      <c r="O154" s="121">
        <f>SUMIFS(招聘费明细!$G:$G,招聘费明细!$B:$B,$E154,招聘费明细!$C:$C,$F154,招聘费明细!$F:$F,"&gt;="&amp;O$9,招聘费明细!$F:$F,"&lt;="&amp;O$10,招聘费明细!$A:$A,O$6)/10000</f>
        <v>0</v>
      </c>
      <c r="P154" s="121">
        <f>SUMIFS(招聘费明细!$G:$G,招聘费明细!$B:$B,$E154,招聘费明细!$C:$C,$F154,招聘费明细!$F:$F,"&gt;="&amp;P$9,招聘费明细!$F:$F,"&lt;="&amp;P$10,招聘费明细!$A:$A,P$6)/10000</f>
        <v>0</v>
      </c>
      <c r="Q154" s="121">
        <f>SUMIFS(招聘费明细!$G:$G,招聘费明细!$B:$B,$E154,招聘费明细!$C:$C,$F154,招聘费明细!$F:$F,"&gt;="&amp;Q$9,招聘费明细!$F:$F,"&lt;="&amp;Q$10,招聘费明细!$A:$A,Q$6)/10000</f>
        <v>0</v>
      </c>
      <c r="R154" s="121">
        <f>SUMIFS(招聘费明细!$G:$G,招聘费明细!$B:$B,$E154,招聘费明细!$C:$C,$F154,招聘费明细!$F:$F,"&gt;="&amp;R$9,招聘费明细!$F:$F,"&lt;="&amp;R$10,招聘费明细!$A:$A,R$6)/10000</f>
        <v>0</v>
      </c>
      <c r="S154" s="121">
        <f>SUMIFS(招聘费明细!$G:$G,招聘费明细!$B:$B,$E154,招聘费明细!$C:$C,$F154,招聘费明细!$F:$F,"&gt;="&amp;S$9,招聘费明细!$F:$F,"&lt;="&amp;S$10,招聘费明细!$A:$A,S$6)/10000</f>
        <v>0</v>
      </c>
      <c r="T154" s="125">
        <f t="shared" si="107"/>
        <v>0</v>
      </c>
      <c r="U154" s="121">
        <f>SUMIFS(招聘费明细!$G:$G,招聘费明细!$B:$B,$E154,招聘费明细!$C:$C,$F154,招聘费明细!$F:$F,"&gt;="&amp;U$9,招聘费明细!$F:$F,"&lt;="&amp;U$10,招聘费明细!$A:$A,U$6)/10000</f>
        <v>0</v>
      </c>
      <c r="V154" s="121">
        <f>SUMIFS(招聘费明细!$G:$G,招聘费明细!$B:$B,$E154,招聘费明细!$C:$C,$F154,招聘费明细!$F:$F,"&gt;="&amp;V$9,招聘费明细!$F:$F,"&lt;="&amp;V$10,招聘费明细!$A:$A,V$6)/10000</f>
        <v>0</v>
      </c>
      <c r="W154" s="121">
        <f>SUMIFS(招聘费明细!$G:$G,招聘费明细!$B:$B,$E154,招聘费明细!$C:$C,$F154,招聘费明细!$F:$F,"&gt;="&amp;W$9,招聘费明细!$F:$F,"&lt;="&amp;W$10,招聘费明细!$A:$A,W$6)/10000</f>
        <v>0</v>
      </c>
      <c r="X154" s="121">
        <f>SUMIFS(招聘费明细!$G:$G,招聘费明细!$B:$B,$E154,招聘费明细!$C:$C,$F154,招聘费明细!$F:$F,"&gt;="&amp;X$9,招聘费明细!$F:$F,"&lt;="&amp;X$10,招聘费明细!$A:$A,X$6)/10000</f>
        <v>0</v>
      </c>
      <c r="Y154" s="121">
        <f>SUMIFS(招聘费明细!$G:$G,招聘费明细!$B:$B,$E154,招聘费明细!$C:$C,$F154,招聘费明细!$F:$F,"&gt;="&amp;Y$9,招聘费明细!$F:$F,"&lt;="&amp;Y$10,招聘费明细!$A:$A,Y$6)/10000</f>
        <v>0</v>
      </c>
      <c r="Z154" s="121">
        <f>SUMIFS(招聘费明细!$G:$G,招聘费明细!$B:$B,$E154,招聘费明细!$C:$C,$F154,招聘费明细!$F:$F,"&gt;="&amp;Z$9,招聘费明细!$F:$F,"&lt;="&amp;Z$10,招聘费明细!$A:$A,Z$6)/10000</f>
        <v>0</v>
      </c>
      <c r="AA154" s="121">
        <f>SUMIFS(招聘费明细!$G:$G,招聘费明细!$B:$B,$E154,招聘费明细!$C:$C,$F154,招聘费明细!$F:$F,"&gt;="&amp;AA$9,招聘费明细!$F:$F,"&lt;="&amp;AA$10,招聘费明细!$A:$A,AA$6)/10000</f>
        <v>0</v>
      </c>
      <c r="AB154" s="121">
        <f>SUMIFS(招聘费明细!$G:$G,招聘费明细!$B:$B,$E154,招聘费明细!$C:$C,$F154,招聘费明细!$F:$F,"&gt;="&amp;AB$9,招聘费明细!$F:$F,"&lt;="&amp;AB$10,招聘费明细!$A:$A,AB$6)/10000</f>
        <v>0</v>
      </c>
      <c r="AC154" s="121">
        <f>SUMIFS(招聘费明细!$G:$G,招聘费明细!$B:$B,$E154,招聘费明细!$C:$C,$F154,招聘费明细!$F:$F,"&gt;="&amp;AC$9,招聘费明细!$F:$F,"&lt;="&amp;AC$10,招聘费明细!$A:$A,AC$6)/10000</f>
        <v>0</v>
      </c>
      <c r="AD154" s="121">
        <f>SUMIFS(招聘费明细!$G:$G,招聘费明细!$B:$B,$E154,招聘费明细!$C:$C,$F154,招聘费明细!$F:$F,"&gt;="&amp;AD$9,招聘费明细!$F:$F,"&lt;="&amp;AD$10,招聘费明细!$A:$A,AD$6)/10000</f>
        <v>0</v>
      </c>
      <c r="AE154" s="121">
        <f>SUMIFS(招聘费明细!$G:$G,招聘费明细!$B:$B,$E154,招聘费明细!$C:$C,$F154,招聘费明细!$F:$F,"&gt;="&amp;AE$9,招聘费明细!$F:$F,"&lt;="&amp;AE$10,招聘费明细!$A:$A,AE$6)/10000</f>
        <v>0</v>
      </c>
      <c r="AF154" s="121">
        <f>SUMIFS(招聘费明细!$G:$G,招聘费明细!$B:$B,$E154,招聘费明细!$C:$C,$F154,招聘费明细!$F:$F,"&gt;="&amp;AF$9,招聘费明细!$F:$F,"&lt;="&amp;AF$10,招聘费明细!$A:$A,AF$6)/10000</f>
        <v>0</v>
      </c>
      <c r="AG154" s="121">
        <f>SUMIFS(招聘费明细!$G:$G,招聘费明细!$B:$B,$E154,招聘费明细!$C:$C,$F154,招聘费明细!$F:$F,"&gt;="&amp;AG$9,招聘费明细!$F:$F,"&lt;="&amp;AG$10,招聘费明细!$A:$A,AG$6)/10000</f>
        <v>0</v>
      </c>
      <c r="AH154" s="121">
        <f>SUMIFS(招聘费明细!$G:$G,招聘费明细!$B:$B,$E154,招聘费明细!$C:$C,$F154,招聘费明细!$F:$F,"&gt;="&amp;AH$9,招聘费明细!$F:$F,"&lt;="&amp;AH$10,招聘费明细!$A:$A,AH$6)/10000</f>
        <v>0</v>
      </c>
      <c r="AI154" s="121">
        <f>SUMIFS(招聘费明细!$G:$G,招聘费明细!$B:$B,$E154,招聘费明细!$C:$C,$F154,招聘费明细!$F:$F,"&gt;="&amp;AI$9,招聘费明细!$F:$F,"&lt;="&amp;AI$10,招聘费明细!$A:$A,AI$6)/10000</f>
        <v>0</v>
      </c>
      <c r="AJ154" s="121">
        <f>SUMIFS(招聘费明细!$G:$G,招聘费明细!$B:$B,$E154,招聘费明细!$C:$C,$F154,招聘费明细!$F:$F,"&gt;="&amp;AJ$9,招聘费明细!$F:$F,"&lt;="&amp;AJ$10,招聘费明细!$A:$A,AJ$6)/10000</f>
        <v>0</v>
      </c>
      <c r="AK154" s="121">
        <f>SUMIFS(招聘费明细!$G:$G,招聘费明细!$B:$B,$E154,招聘费明细!$C:$C,$F154,招聘费明细!$F:$F,"&gt;="&amp;AK$9,招聘费明细!$F:$F,"&lt;="&amp;AK$10,招聘费明细!$A:$A,AK$6)/10000</f>
        <v>0</v>
      </c>
      <c r="AL154" s="121">
        <f>SUMIFS(招聘费明细!$G:$G,招聘费明细!$B:$B,$E154,招聘费明细!$C:$C,$F154,招聘费明细!$F:$F,"&gt;="&amp;AL$9,招聘费明细!$F:$F,"&lt;="&amp;AL$10,招聘费明细!$A:$A,AL$6)/10000</f>
        <v>0</v>
      </c>
      <c r="AM154" s="121">
        <f>SUMIFS(招聘费明细!$G:$G,招聘费明细!$B:$B,$E154,招聘费明细!$C:$C,$F154,招聘费明细!$F:$F,"&gt;="&amp;AM$9,招聘费明细!$F:$F,"&lt;="&amp;AM$10,招聘费明细!$A:$A,AM$6)/10000</f>
        <v>0</v>
      </c>
      <c r="AN154" s="121">
        <f>SUMIFS(招聘费明细!$G:$G,招聘费明细!$B:$B,$E154,招聘费明细!$C:$C,$F154,招聘费明细!$F:$F,"&gt;="&amp;AN$9,招聘费明细!$F:$F,"&lt;="&amp;AN$10,招聘费明细!$A:$A,AN$6)/10000</f>
        <v>0</v>
      </c>
      <c r="AO154" s="121">
        <f>SUMIFS(招聘费明细!$G:$G,招聘费明细!$B:$B,$E154,招聘费明细!$C:$C,$F154,招聘费明细!$F:$F,"&gt;="&amp;AO$9,招聘费明细!$F:$F,"&lt;="&amp;AO$10,招聘费明细!$A:$A,AO$6)/10000</f>
        <v>0</v>
      </c>
      <c r="AP154" s="121">
        <f>SUMIFS(招聘费明细!$G:$G,招聘费明细!$B:$B,$E154,招聘费明细!$C:$C,$F154,招聘费明细!$F:$F,"&gt;="&amp;AP$9,招聘费明细!$F:$F,"&lt;="&amp;AP$10,招聘费明细!$A:$A,AP$6)/10000</f>
        <v>0</v>
      </c>
      <c r="AQ154" s="121">
        <f>SUMIFS(招聘费明细!$G:$G,招聘费明细!$B:$B,$E154,招聘费明细!$C:$C,$F154,招聘费明细!$F:$F,"&gt;="&amp;AQ$9,招聘费明细!$F:$F,"&lt;="&amp;AQ$10,招聘费明细!$A:$A,AQ$6)/10000</f>
        <v>0</v>
      </c>
      <c r="AR154" s="121">
        <f>SUMIFS(招聘费明细!$G:$G,招聘费明细!$B:$B,$E154,招聘费明细!$C:$C,$F154,招聘费明细!$F:$F,"&gt;="&amp;AR$9,招聘费明细!$F:$F,"&lt;="&amp;AR$10,招聘费明细!$A:$A,AR$6)/10000</f>
        <v>0</v>
      </c>
      <c r="AS154" s="121">
        <f>SUMIFS(招聘费明细!$G:$G,招聘费明细!$B:$B,$E154,招聘费明细!$C:$C,$F154,招聘费明细!$F:$F,"&gt;="&amp;AS$9,招聘费明细!$F:$F,"&lt;="&amp;AS$10,招聘费明细!$A:$A,AS$6)/10000</f>
        <v>0</v>
      </c>
      <c r="AT154" s="121">
        <f>SUMIFS(招聘费明细!$G:$G,招聘费明细!$B:$B,$E154,招聘费明细!$C:$C,$F154,招聘费明细!$F:$F,"&gt;="&amp;AT$9,招聘费明细!$F:$F,"&lt;="&amp;AT$10,招聘费明细!$A:$A,AT$6)/10000</f>
        <v>0</v>
      </c>
      <c r="AU154" s="121">
        <f>SUMIFS(招聘费明细!$G:$G,招聘费明细!$B:$B,$E154,招聘费明细!$C:$C,$F154,招聘费明细!$F:$F,"&gt;="&amp;AU$9,招聘费明细!$F:$F,"&lt;="&amp;AU$10,招聘费明细!$A:$A,AU$6)/10000</f>
        <v>0</v>
      </c>
      <c r="AV154" s="121">
        <f>SUMIFS(招聘费明细!$G:$G,招聘费明细!$B:$B,$E154,招聘费明细!$C:$C,$F154,招聘费明细!$F:$F,"&gt;="&amp;AV$9,招聘费明细!$F:$F,"&lt;="&amp;AV$10,招聘费明细!$A:$A,AV$6)/10000</f>
        <v>0</v>
      </c>
      <c r="AW154" s="121">
        <f>SUMIFS(招聘费明细!$G:$G,招聘费明细!$B:$B,$E154,招聘费明细!$C:$C,$F154,招聘费明细!$F:$F,"&gt;="&amp;AW$9,招聘费明细!$F:$F,"&lt;="&amp;AW$10,招聘费明细!$A:$A,AW$6)/10000</f>
        <v>0</v>
      </c>
      <c r="AX154" s="121">
        <f>SUMIFS(招聘费明细!$G:$G,招聘费明细!$B:$B,$E154,招聘费明细!$C:$C,$F154,招聘费明细!$F:$F,"&gt;="&amp;AX$9,招聘费明细!$F:$F,"&lt;="&amp;AX$10,招聘费明细!$A:$A,AX$6)/10000</f>
        <v>0</v>
      </c>
      <c r="AY154" s="121">
        <f>SUMIFS(招聘费明细!$G:$G,招聘费明细!$B:$B,$E154,招聘费明细!$C:$C,$F154,招聘费明细!$F:$F,"&gt;="&amp;AY$9,招聘费明细!$F:$F,"&lt;="&amp;AY$10,招聘费明细!$A:$A,AY$6)/10000</f>
        <v>0</v>
      </c>
      <c r="AZ154" s="121">
        <f>SUMIFS(招聘费明细!$G:$G,招聘费明细!$B:$B,$E154,招聘费明细!$C:$C,$F154,招聘费明细!$F:$F,"&gt;="&amp;AZ$9,招聘费明细!$F:$F,"&lt;="&amp;AZ$10,招聘费明细!$A:$A,AZ$6)/10000</f>
        <v>0</v>
      </c>
      <c r="BA154" s="121">
        <f>SUMIFS(招聘费明细!$G:$G,招聘费明细!$B:$B,$E154,招聘费明细!$C:$C,$F154,招聘费明细!$F:$F,"&gt;="&amp;BA$9,招聘费明细!$F:$F,"&lt;="&amp;BA$10,招聘费明细!$A:$A,BA$6)/10000</f>
        <v>0</v>
      </c>
      <c r="BB154" s="121">
        <f>SUMIFS(招聘费明细!$G:$G,招聘费明细!$B:$B,$E154,招聘费明细!$C:$C,$F154,招聘费明细!$F:$F,"&gt;="&amp;BB$9,招聘费明细!$F:$F,"&lt;="&amp;BB$10,招聘费明细!$A:$A,BB$6)/10000</f>
        <v>0</v>
      </c>
      <c r="BC154" s="121">
        <f>SUMIFS(招聘费明细!$G:$G,招聘费明细!$B:$B,$E154,招聘费明细!$C:$C,$F154,招聘费明细!$F:$F,"&gt;="&amp;BC$9,招聘费明细!$F:$F,"&lt;="&amp;BC$10,招聘费明细!$A:$A,BC$6)/10000</f>
        <v>0</v>
      </c>
      <c r="BD154" s="121">
        <f>SUMIFS(招聘费明细!$G:$G,招聘费明细!$B:$B,$E154,招聘费明细!$C:$C,$F154,招聘费明细!$F:$F,"&gt;="&amp;BD$9,招聘费明细!$F:$F,"&lt;="&amp;BD$10,招聘费明细!$A:$A,BD$6)/10000</f>
        <v>0</v>
      </c>
      <c r="BE154" s="121">
        <f>SUMIFS(招聘费明细!$G:$G,招聘费明细!$B:$B,$E154,招聘费明细!$C:$C,$F154,招聘费明细!$F:$F,"&gt;="&amp;BE$9,招聘费明细!$F:$F,"&lt;="&amp;BE$10,招聘费明细!$A:$A,BE$6)/10000</f>
        <v>0</v>
      </c>
      <c r="BF154" s="121">
        <f>SUMIFS(招聘费明细!$G:$G,招聘费明细!$B:$B,$E154,招聘费明细!$C:$C,$F154,招聘费明细!$F:$F,"&gt;="&amp;BF$9,招聘费明细!$F:$F,"&lt;="&amp;BF$10,招聘费明细!$A:$A,BF$6)/10000</f>
        <v>0</v>
      </c>
      <c r="BG154" s="121">
        <f>SUMIFS(招聘费明细!$G:$G,招聘费明细!$B:$B,$E154,招聘费明细!$C:$C,$F154,招聘费明细!$F:$F,"&gt;="&amp;BG$9,招聘费明细!$F:$F,"&lt;="&amp;BG$10,招聘费明细!$A:$A,BG$6)/10000</f>
        <v>0</v>
      </c>
    </row>
    <row r="155" ht="16.2" spans="3:59">
      <c r="C155" s="42" t="s">
        <v>86</v>
      </c>
      <c r="D155" s="42"/>
      <c r="E155" s="116" t="str">
        <f t="shared" si="105"/>
        <v>支持中心</v>
      </c>
      <c r="F155" s="116" t="str">
        <f t="shared" si="106"/>
        <v>*</v>
      </c>
      <c r="G155" s="121">
        <f>SUMIFS(招聘费明细!$G:$G,招聘费明细!$B:$B,$E155,招聘费明细!$C:$C,$F155,招聘费明细!$F:$F,"&gt;="&amp;G$9,招聘费明细!$F:$F,"&lt;="&amp;G$10,招聘费明细!$A:$A,G$6)/10000</f>
        <v>11</v>
      </c>
      <c r="H155" s="121">
        <f>SUMIFS(招聘费明细!$G:$G,招聘费明细!$B:$B,$E155,招聘费明细!$C:$C,$F155,招聘费明细!$F:$F,"&gt;="&amp;H$9,招聘费明细!$F:$F,"&lt;="&amp;H$10,招聘费明细!$A:$A,H$6)/10000</f>
        <v>8</v>
      </c>
      <c r="I155" s="121">
        <f>SUMIFS(招聘费明细!$G:$G,招聘费明细!$B:$B,$E155,招聘费明细!$C:$C,$F155,招聘费明细!$F:$F,"&gt;="&amp;I$9,招聘费明细!$F:$F,"&lt;="&amp;I$10,招聘费明细!$A:$A,I$6)/10000</f>
        <v>3</v>
      </c>
      <c r="J155" s="121">
        <f>SUMIFS(招聘费明细!$G:$G,招聘费明细!$B:$B,$E155,招聘费明细!$C:$C,$F155,招聘费明细!$F:$F,"&gt;="&amp;J$9,招聘费明细!$F:$F,"&lt;="&amp;J$10,招聘费明细!$A:$A,J$6)/10000</f>
        <v>0</v>
      </c>
      <c r="K155" s="121">
        <f>SUMIFS(招聘费明细!$G:$G,招聘费明细!$B:$B,$E155,招聘费明细!$C:$C,$F155,招聘费明细!$F:$F,"&gt;="&amp;K$9,招聘费明细!$F:$F,"&lt;="&amp;K$10,招聘费明细!$A:$A,K$6)/10000</f>
        <v>0</v>
      </c>
      <c r="L155" s="121">
        <f>SUMIFS(招聘费明细!$G:$G,招聘费明细!$B:$B,$E155,招聘费明细!$C:$C,$F155,招聘费明细!$F:$F,"&gt;="&amp;L$9,招聘费明细!$F:$F,"&lt;="&amp;L$10,招聘费明细!$A:$A,L$6)/10000</f>
        <v>0</v>
      </c>
      <c r="M155" s="121">
        <f>SUMIFS(招聘费明细!$G:$G,招聘费明细!$B:$B,$E155,招聘费明细!$C:$C,$F155,招聘费明细!$F:$F,"&gt;="&amp;M$9,招聘费明细!$F:$F,"&lt;="&amp;M$10,招聘费明细!$A:$A,M$6)/10000</f>
        <v>0</v>
      </c>
      <c r="N155" s="121">
        <f>SUMIFS(招聘费明细!$G:$G,招聘费明细!$B:$B,$E155,招聘费明细!$C:$C,$F155,招聘费明细!$F:$F,"&gt;="&amp;N$9,招聘费明细!$F:$F,"&lt;="&amp;N$10,招聘费明细!$A:$A,N$6)/10000</f>
        <v>0</v>
      </c>
      <c r="O155" s="121">
        <f>SUMIFS(招聘费明细!$G:$G,招聘费明细!$B:$B,$E155,招聘费明细!$C:$C,$F155,招聘费明细!$F:$F,"&gt;="&amp;O$9,招聘费明细!$F:$F,"&lt;="&amp;O$10,招聘费明细!$A:$A,O$6)/10000</f>
        <v>0</v>
      </c>
      <c r="P155" s="121">
        <f>SUMIFS(招聘费明细!$G:$G,招聘费明细!$B:$B,$E155,招聘费明细!$C:$C,$F155,招聘费明细!$F:$F,"&gt;="&amp;P$9,招聘费明细!$F:$F,"&lt;="&amp;P$10,招聘费明细!$A:$A,P$6)/10000</f>
        <v>0</v>
      </c>
      <c r="Q155" s="121">
        <f>SUMIFS(招聘费明细!$G:$G,招聘费明细!$B:$B,$E155,招聘费明细!$C:$C,$F155,招聘费明细!$F:$F,"&gt;="&amp;Q$9,招聘费明细!$F:$F,"&lt;="&amp;Q$10,招聘费明细!$A:$A,Q$6)/10000</f>
        <v>0</v>
      </c>
      <c r="R155" s="121">
        <f>SUMIFS(招聘费明细!$G:$G,招聘费明细!$B:$B,$E155,招聘费明细!$C:$C,$F155,招聘费明细!$F:$F,"&gt;="&amp;R$9,招聘费明细!$F:$F,"&lt;="&amp;R$10,招聘费明细!$A:$A,R$6)/10000</f>
        <v>0</v>
      </c>
      <c r="S155" s="121">
        <f>SUMIFS(招聘费明细!$G:$G,招聘费明细!$B:$B,$E155,招聘费明细!$C:$C,$F155,招聘费明细!$F:$F,"&gt;="&amp;S$9,招聘费明细!$F:$F,"&lt;="&amp;S$10,招聘费明细!$A:$A,S$6)/10000</f>
        <v>0</v>
      </c>
      <c r="T155" s="125">
        <f t="shared" si="107"/>
        <v>7</v>
      </c>
      <c r="U155" s="121">
        <f>SUMIFS(招聘费明细!$G:$G,招聘费明细!$B:$B,$E155,招聘费明细!$C:$C,$F155,招聘费明细!$F:$F,"&gt;="&amp;U$9,招聘费明细!$F:$F,"&lt;="&amp;U$10,招聘费明细!$A:$A,U$6)/10000</f>
        <v>4</v>
      </c>
      <c r="V155" s="121">
        <f>SUMIFS(招聘费明细!$G:$G,招聘费明细!$B:$B,$E155,招聘费明细!$C:$C,$F155,招聘费明细!$F:$F,"&gt;="&amp;V$9,招聘费明细!$F:$F,"&lt;="&amp;V$10,招聘费明细!$A:$A,V$6)/10000</f>
        <v>4</v>
      </c>
      <c r="W155" s="121">
        <f>SUMIFS(招聘费明细!$G:$G,招聘费明细!$B:$B,$E155,招聘费明细!$C:$C,$F155,招聘费明细!$F:$F,"&gt;="&amp;W$9,招聘费明细!$F:$F,"&lt;="&amp;W$10,招聘费明细!$A:$A,W$6)/10000</f>
        <v>0</v>
      </c>
      <c r="X155" s="121">
        <f>SUMIFS(招聘费明细!$G:$G,招聘费明细!$B:$B,$E155,招聘费明细!$C:$C,$F155,招聘费明细!$F:$F,"&gt;="&amp;X$9,招聘费明细!$F:$F,"&lt;="&amp;X$10,招聘费明细!$A:$A,X$6)/10000</f>
        <v>0</v>
      </c>
      <c r="Y155" s="121">
        <f>SUMIFS(招聘费明细!$G:$G,招聘费明细!$B:$B,$E155,招聘费明细!$C:$C,$F155,招聘费明细!$F:$F,"&gt;="&amp;Y$9,招聘费明细!$F:$F,"&lt;="&amp;Y$10,招聘费明细!$A:$A,Y$6)/10000</f>
        <v>0</v>
      </c>
      <c r="Z155" s="121">
        <f>SUMIFS(招聘费明细!$G:$G,招聘费明细!$B:$B,$E155,招聘费明细!$C:$C,$F155,招聘费明细!$F:$F,"&gt;="&amp;Z$9,招聘费明细!$F:$F,"&lt;="&amp;Z$10,招聘费明细!$A:$A,Z$6)/10000</f>
        <v>0</v>
      </c>
      <c r="AA155" s="121">
        <f>SUMIFS(招聘费明细!$G:$G,招聘费明细!$B:$B,$E155,招聘费明细!$C:$C,$F155,招聘费明细!$F:$F,"&gt;="&amp;AA$9,招聘费明细!$F:$F,"&lt;="&amp;AA$10,招聘费明细!$A:$A,AA$6)/10000</f>
        <v>0</v>
      </c>
      <c r="AB155" s="121">
        <f>SUMIFS(招聘费明细!$G:$G,招聘费明细!$B:$B,$E155,招聘费明细!$C:$C,$F155,招聘费明细!$F:$F,"&gt;="&amp;AB$9,招聘费明细!$F:$F,"&lt;="&amp;AB$10,招聘费明细!$A:$A,AB$6)/10000</f>
        <v>0</v>
      </c>
      <c r="AC155" s="121">
        <f>SUMIFS(招聘费明细!$G:$G,招聘费明细!$B:$B,$E155,招聘费明细!$C:$C,$F155,招聘费明细!$F:$F,"&gt;="&amp;AC$9,招聘费明细!$F:$F,"&lt;="&amp;AC$10,招聘费明细!$A:$A,AC$6)/10000</f>
        <v>0</v>
      </c>
      <c r="AD155" s="121">
        <f>SUMIFS(招聘费明细!$G:$G,招聘费明细!$B:$B,$E155,招聘费明细!$C:$C,$F155,招聘费明细!$F:$F,"&gt;="&amp;AD$9,招聘费明细!$F:$F,"&lt;="&amp;AD$10,招聘费明细!$A:$A,AD$6)/10000</f>
        <v>0</v>
      </c>
      <c r="AE155" s="121">
        <f>SUMIFS(招聘费明细!$G:$G,招聘费明细!$B:$B,$E155,招聘费明细!$C:$C,$F155,招聘费明细!$F:$F,"&gt;="&amp;AE$9,招聘费明细!$F:$F,"&lt;="&amp;AE$10,招聘费明细!$A:$A,AE$6)/10000</f>
        <v>0</v>
      </c>
      <c r="AF155" s="121">
        <f>SUMIFS(招聘费明细!$G:$G,招聘费明细!$B:$B,$E155,招聘费明细!$C:$C,$F155,招聘费明细!$F:$F,"&gt;="&amp;AF$9,招聘费明细!$F:$F,"&lt;="&amp;AF$10,招聘费明细!$A:$A,AF$6)/10000</f>
        <v>0</v>
      </c>
      <c r="AG155" s="121">
        <f>SUMIFS(招聘费明细!$G:$G,招聘费明细!$B:$B,$E155,招聘费明细!$C:$C,$F155,招聘费明细!$F:$F,"&gt;="&amp;AG$9,招聘费明细!$F:$F,"&lt;="&amp;AG$10,招聘费明细!$A:$A,AG$6)/10000</f>
        <v>0</v>
      </c>
      <c r="AH155" s="121">
        <f>SUMIFS(招聘费明细!$G:$G,招聘费明细!$B:$B,$E155,招聘费明细!$C:$C,$F155,招聘费明细!$F:$F,"&gt;="&amp;AH$9,招聘费明细!$F:$F,"&lt;="&amp;AH$10,招聘费明细!$A:$A,AH$6)/10000</f>
        <v>3</v>
      </c>
      <c r="AI155" s="121">
        <f>SUMIFS(招聘费明细!$G:$G,招聘费明细!$B:$B,$E155,招聘费明细!$C:$C,$F155,招聘费明细!$F:$F,"&gt;="&amp;AI$9,招聘费明细!$F:$F,"&lt;="&amp;AI$10,招聘费明细!$A:$A,AI$6)/10000</f>
        <v>0</v>
      </c>
      <c r="AJ155" s="121">
        <f>SUMIFS(招聘费明细!$G:$G,招聘费明细!$B:$B,$E155,招聘费明细!$C:$C,$F155,招聘费明细!$F:$F,"&gt;="&amp;AJ$9,招聘费明细!$F:$F,"&lt;="&amp;AJ$10,招聘费明细!$A:$A,AJ$6)/10000</f>
        <v>0</v>
      </c>
      <c r="AK155" s="121">
        <f>SUMIFS(招聘费明细!$G:$G,招聘费明细!$B:$B,$E155,招聘费明细!$C:$C,$F155,招聘费明细!$F:$F,"&gt;="&amp;AK$9,招聘费明细!$F:$F,"&lt;="&amp;AK$10,招聘费明细!$A:$A,AK$6)/10000</f>
        <v>0</v>
      </c>
      <c r="AL155" s="121">
        <f>SUMIFS(招聘费明细!$G:$G,招聘费明细!$B:$B,$E155,招聘费明细!$C:$C,$F155,招聘费明细!$F:$F,"&gt;="&amp;AL$9,招聘费明细!$F:$F,"&lt;="&amp;AL$10,招聘费明细!$A:$A,AL$6)/10000</f>
        <v>0</v>
      </c>
      <c r="AM155" s="121">
        <f>SUMIFS(招聘费明细!$G:$G,招聘费明细!$B:$B,$E155,招聘费明细!$C:$C,$F155,招聘费明细!$F:$F,"&gt;="&amp;AM$9,招聘费明细!$F:$F,"&lt;="&amp;AM$10,招聘费明细!$A:$A,AM$6)/10000</f>
        <v>0</v>
      </c>
      <c r="AN155" s="121">
        <f>SUMIFS(招聘费明细!$G:$G,招聘费明细!$B:$B,$E155,招聘费明细!$C:$C,$F155,招聘费明细!$F:$F,"&gt;="&amp;AN$9,招聘费明细!$F:$F,"&lt;="&amp;AN$10,招聘费明细!$A:$A,AN$6)/10000</f>
        <v>0</v>
      </c>
      <c r="AO155" s="121">
        <f>SUMIFS(招聘费明细!$G:$G,招聘费明细!$B:$B,$E155,招聘费明细!$C:$C,$F155,招聘费明细!$F:$F,"&gt;="&amp;AO$9,招聘费明细!$F:$F,"&lt;="&amp;AO$10,招聘费明细!$A:$A,AO$6)/10000</f>
        <v>0</v>
      </c>
      <c r="AP155" s="121">
        <f>SUMIFS(招聘费明细!$G:$G,招聘费明细!$B:$B,$E155,招聘费明细!$C:$C,$F155,招聘费明细!$F:$F,"&gt;="&amp;AP$9,招聘费明细!$F:$F,"&lt;="&amp;AP$10,招聘费明细!$A:$A,AP$6)/10000</f>
        <v>0</v>
      </c>
      <c r="AQ155" s="121">
        <f>SUMIFS(招聘费明细!$G:$G,招聘费明细!$B:$B,$E155,招聘费明细!$C:$C,$F155,招聘费明细!$F:$F,"&gt;="&amp;AQ$9,招聘费明细!$F:$F,"&lt;="&amp;AQ$10,招聘费明细!$A:$A,AQ$6)/10000</f>
        <v>0</v>
      </c>
      <c r="AR155" s="121">
        <f>SUMIFS(招聘费明细!$G:$G,招聘费明细!$B:$B,$E155,招聘费明细!$C:$C,$F155,招聘费明细!$F:$F,"&gt;="&amp;AR$9,招聘费明细!$F:$F,"&lt;="&amp;AR$10,招聘费明细!$A:$A,AR$6)/10000</f>
        <v>0</v>
      </c>
      <c r="AS155" s="121">
        <f>SUMIFS(招聘费明细!$G:$G,招聘费明细!$B:$B,$E155,招聘费明细!$C:$C,$F155,招聘费明细!$F:$F,"&gt;="&amp;AS$9,招聘费明细!$F:$F,"&lt;="&amp;AS$10,招聘费明细!$A:$A,AS$6)/10000</f>
        <v>0</v>
      </c>
      <c r="AT155" s="121">
        <f>SUMIFS(招聘费明细!$G:$G,招聘费明细!$B:$B,$E155,招聘费明细!$C:$C,$F155,招聘费明细!$F:$F,"&gt;="&amp;AT$9,招聘费明细!$F:$F,"&lt;="&amp;AT$10,招聘费明细!$A:$A,AT$6)/10000</f>
        <v>3</v>
      </c>
      <c r="AU155" s="121">
        <f>SUMIFS(招聘费明细!$G:$G,招聘费明细!$B:$B,$E155,招聘费明细!$C:$C,$F155,招聘费明细!$F:$F,"&gt;="&amp;AU$9,招聘费明细!$F:$F,"&lt;="&amp;AU$10,招聘费明细!$A:$A,AU$6)/10000</f>
        <v>12</v>
      </c>
      <c r="AV155" s="121">
        <f>SUMIFS(招聘费明细!$G:$G,招聘费明细!$B:$B,$E155,招聘费明细!$C:$C,$F155,招聘费明细!$F:$F,"&gt;="&amp;AV$9,招聘费明细!$F:$F,"&lt;="&amp;AV$10,招聘费明细!$A:$A,AV$6)/10000</f>
        <v>0</v>
      </c>
      <c r="AW155" s="121">
        <f>SUMIFS(招聘费明细!$G:$G,招聘费明细!$B:$B,$E155,招聘费明细!$C:$C,$F155,招聘费明细!$F:$F,"&gt;="&amp;AW$9,招聘费明细!$F:$F,"&lt;="&amp;AW$10,招聘费明细!$A:$A,AW$6)/10000</f>
        <v>0</v>
      </c>
      <c r="AX155" s="121">
        <f>SUMIFS(招聘费明细!$G:$G,招聘费明细!$B:$B,$E155,招聘费明细!$C:$C,$F155,招聘费明细!$F:$F,"&gt;="&amp;AX$9,招聘费明细!$F:$F,"&lt;="&amp;AX$10,招聘费明细!$A:$A,AX$6)/10000</f>
        <v>0</v>
      </c>
      <c r="AY155" s="121">
        <f>SUMIFS(招聘费明细!$G:$G,招聘费明细!$B:$B,$E155,招聘费明细!$C:$C,$F155,招聘费明细!$F:$F,"&gt;="&amp;AY$9,招聘费明细!$F:$F,"&lt;="&amp;AY$10,招聘费明细!$A:$A,AY$6)/10000</f>
        <v>0</v>
      </c>
      <c r="AZ155" s="121">
        <f>SUMIFS(招聘费明细!$G:$G,招聘费明细!$B:$B,$E155,招聘费明细!$C:$C,$F155,招聘费明细!$F:$F,"&gt;="&amp;AZ$9,招聘费明细!$F:$F,"&lt;="&amp;AZ$10,招聘费明细!$A:$A,AZ$6)/10000</f>
        <v>0</v>
      </c>
      <c r="BA155" s="121">
        <f>SUMIFS(招聘费明细!$G:$G,招聘费明细!$B:$B,$E155,招聘费明细!$C:$C,$F155,招聘费明细!$F:$F,"&gt;="&amp;BA$9,招聘费明细!$F:$F,"&lt;="&amp;BA$10,招聘费明细!$A:$A,BA$6)/10000</f>
        <v>0</v>
      </c>
      <c r="BB155" s="121">
        <f>SUMIFS(招聘费明细!$G:$G,招聘费明细!$B:$B,$E155,招聘费明细!$C:$C,$F155,招聘费明细!$F:$F,"&gt;="&amp;BB$9,招聘费明细!$F:$F,"&lt;="&amp;BB$10,招聘费明细!$A:$A,BB$6)/10000</f>
        <v>0</v>
      </c>
      <c r="BC155" s="121">
        <f>SUMIFS(招聘费明细!$G:$G,招聘费明细!$B:$B,$E155,招聘费明细!$C:$C,$F155,招聘费明细!$F:$F,"&gt;="&amp;BC$9,招聘费明细!$F:$F,"&lt;="&amp;BC$10,招聘费明细!$A:$A,BC$6)/10000</f>
        <v>0</v>
      </c>
      <c r="BD155" s="121">
        <f>SUMIFS(招聘费明细!$G:$G,招聘费明细!$B:$B,$E155,招聘费明细!$C:$C,$F155,招聘费明细!$F:$F,"&gt;="&amp;BD$9,招聘费明细!$F:$F,"&lt;="&amp;BD$10,招聘费明细!$A:$A,BD$6)/10000</f>
        <v>0</v>
      </c>
      <c r="BE155" s="121">
        <f>SUMIFS(招聘费明细!$G:$G,招聘费明细!$B:$B,$E155,招聘费明细!$C:$C,$F155,招聘费明细!$F:$F,"&gt;="&amp;BE$9,招聘费明细!$F:$F,"&lt;="&amp;BE$10,招聘费明细!$A:$A,BE$6)/10000</f>
        <v>12</v>
      </c>
      <c r="BF155" s="121">
        <f>SUMIFS(招聘费明细!$G:$G,招聘费明细!$B:$B,$E155,招聘费明细!$C:$C,$F155,招聘费明细!$F:$F,"&gt;="&amp;BF$9,招聘费明细!$F:$F,"&lt;="&amp;BF$10,招聘费明细!$A:$A,BF$6)/10000</f>
        <v>0</v>
      </c>
      <c r="BG155" s="121">
        <f>SUMIFS(招聘费明细!$G:$G,招聘费明细!$B:$B,$E155,招聘费明细!$C:$C,$F155,招聘费明细!$F:$F,"&gt;="&amp;BG$9,招聘费明细!$F:$F,"&lt;="&amp;BG$10,招聘费明细!$A:$A,BG$6)/10000</f>
        <v>0</v>
      </c>
    </row>
    <row r="156" ht="16.2" spans="3:59">
      <c r="C156" s="42"/>
      <c r="D156" s="42" t="s">
        <v>87</v>
      </c>
      <c r="E156" s="116" t="str">
        <f t="shared" si="105"/>
        <v>支持中心</v>
      </c>
      <c r="F156" s="116" t="str">
        <f t="shared" si="106"/>
        <v>财务部</v>
      </c>
      <c r="G156" s="121">
        <f>SUMIFS(招聘费明细!$G:$G,招聘费明细!$B:$B,$E156,招聘费明细!$C:$C,$F156,招聘费明细!$F:$F,"&gt;="&amp;G$9,招聘费明细!$F:$F,"&lt;="&amp;G$10,招聘费明细!$A:$A,G$6)/10000</f>
        <v>0</v>
      </c>
      <c r="H156" s="121">
        <f>SUMIFS(招聘费明细!$G:$G,招聘费明细!$B:$B,$E156,招聘费明细!$C:$C,$F156,招聘费明细!$F:$F,"&gt;="&amp;H$9,招聘费明细!$F:$F,"&lt;="&amp;H$10,招聘费明细!$A:$A,H$6)/10000</f>
        <v>0</v>
      </c>
      <c r="I156" s="121">
        <f>SUMIFS(招聘费明细!$G:$G,招聘费明细!$B:$B,$E156,招聘费明细!$C:$C,$F156,招聘费明细!$F:$F,"&gt;="&amp;I$9,招聘费明细!$F:$F,"&lt;="&amp;I$10,招聘费明细!$A:$A,I$6)/10000</f>
        <v>0</v>
      </c>
      <c r="J156" s="121">
        <f>SUMIFS(招聘费明细!$G:$G,招聘费明细!$B:$B,$E156,招聘费明细!$C:$C,$F156,招聘费明细!$F:$F,"&gt;="&amp;J$9,招聘费明细!$F:$F,"&lt;="&amp;J$10,招聘费明细!$A:$A,J$6)/10000</f>
        <v>0</v>
      </c>
      <c r="K156" s="121">
        <f>SUMIFS(招聘费明细!$G:$G,招聘费明细!$B:$B,$E156,招聘费明细!$C:$C,$F156,招聘费明细!$F:$F,"&gt;="&amp;K$9,招聘费明细!$F:$F,"&lt;="&amp;K$10,招聘费明细!$A:$A,K$6)/10000</f>
        <v>0</v>
      </c>
      <c r="L156" s="121">
        <f>SUMIFS(招聘费明细!$G:$G,招聘费明细!$B:$B,$E156,招聘费明细!$C:$C,$F156,招聘费明细!$F:$F,"&gt;="&amp;L$9,招聘费明细!$F:$F,"&lt;="&amp;L$10,招聘费明细!$A:$A,L$6)/10000</f>
        <v>0</v>
      </c>
      <c r="M156" s="121">
        <f>SUMIFS(招聘费明细!$G:$G,招聘费明细!$B:$B,$E156,招聘费明细!$C:$C,$F156,招聘费明细!$F:$F,"&gt;="&amp;M$9,招聘费明细!$F:$F,"&lt;="&amp;M$10,招聘费明细!$A:$A,M$6)/10000</f>
        <v>0</v>
      </c>
      <c r="N156" s="121">
        <f>SUMIFS(招聘费明细!$G:$G,招聘费明细!$B:$B,$E156,招聘费明细!$C:$C,$F156,招聘费明细!$F:$F,"&gt;="&amp;N$9,招聘费明细!$F:$F,"&lt;="&amp;N$10,招聘费明细!$A:$A,N$6)/10000</f>
        <v>0</v>
      </c>
      <c r="O156" s="121">
        <f>SUMIFS(招聘费明细!$G:$G,招聘费明细!$B:$B,$E156,招聘费明细!$C:$C,$F156,招聘费明细!$F:$F,"&gt;="&amp;O$9,招聘费明细!$F:$F,"&lt;="&amp;O$10,招聘费明细!$A:$A,O$6)/10000</f>
        <v>0</v>
      </c>
      <c r="P156" s="121">
        <f>SUMIFS(招聘费明细!$G:$G,招聘费明细!$B:$B,$E156,招聘费明细!$C:$C,$F156,招聘费明细!$F:$F,"&gt;="&amp;P$9,招聘费明细!$F:$F,"&lt;="&amp;P$10,招聘费明细!$A:$A,P$6)/10000</f>
        <v>0</v>
      </c>
      <c r="Q156" s="121">
        <f>SUMIFS(招聘费明细!$G:$G,招聘费明细!$B:$B,$E156,招聘费明细!$C:$C,$F156,招聘费明细!$F:$F,"&gt;="&amp;Q$9,招聘费明细!$F:$F,"&lt;="&amp;Q$10,招聘费明细!$A:$A,Q$6)/10000</f>
        <v>0</v>
      </c>
      <c r="R156" s="121">
        <f>SUMIFS(招聘费明细!$G:$G,招聘费明细!$B:$B,$E156,招聘费明细!$C:$C,$F156,招聘费明细!$F:$F,"&gt;="&amp;R$9,招聘费明细!$F:$F,"&lt;="&amp;R$10,招聘费明细!$A:$A,R$6)/10000</f>
        <v>0</v>
      </c>
      <c r="S156" s="121">
        <f>SUMIFS(招聘费明细!$G:$G,招聘费明细!$B:$B,$E156,招聘费明细!$C:$C,$F156,招聘费明细!$F:$F,"&gt;="&amp;S$9,招聘费明细!$F:$F,"&lt;="&amp;S$10,招聘费明细!$A:$A,S$6)/10000</f>
        <v>0</v>
      </c>
      <c r="T156" s="125">
        <f t="shared" si="107"/>
        <v>0</v>
      </c>
      <c r="U156" s="121">
        <f>SUMIFS(招聘费明细!$G:$G,招聘费明细!$B:$B,$E156,招聘费明细!$C:$C,$F156,招聘费明细!$F:$F,"&gt;="&amp;U$9,招聘费明细!$F:$F,"&lt;="&amp;U$10,招聘费明细!$A:$A,U$6)/10000</f>
        <v>0</v>
      </c>
      <c r="V156" s="121">
        <f>SUMIFS(招聘费明细!$G:$G,招聘费明细!$B:$B,$E156,招聘费明细!$C:$C,$F156,招聘费明细!$F:$F,"&gt;="&amp;V$9,招聘费明细!$F:$F,"&lt;="&amp;V$10,招聘费明细!$A:$A,V$6)/10000</f>
        <v>0</v>
      </c>
      <c r="W156" s="121">
        <f>SUMIFS(招聘费明细!$G:$G,招聘费明细!$B:$B,$E156,招聘费明细!$C:$C,$F156,招聘费明细!$F:$F,"&gt;="&amp;W$9,招聘费明细!$F:$F,"&lt;="&amp;W$10,招聘费明细!$A:$A,W$6)/10000</f>
        <v>0</v>
      </c>
      <c r="X156" s="121">
        <f>SUMIFS(招聘费明细!$G:$G,招聘费明细!$B:$B,$E156,招聘费明细!$C:$C,$F156,招聘费明细!$F:$F,"&gt;="&amp;X$9,招聘费明细!$F:$F,"&lt;="&amp;X$10,招聘费明细!$A:$A,X$6)/10000</f>
        <v>0</v>
      </c>
      <c r="Y156" s="121">
        <f>SUMIFS(招聘费明细!$G:$G,招聘费明细!$B:$B,$E156,招聘费明细!$C:$C,$F156,招聘费明细!$F:$F,"&gt;="&amp;Y$9,招聘费明细!$F:$F,"&lt;="&amp;Y$10,招聘费明细!$A:$A,Y$6)/10000</f>
        <v>0</v>
      </c>
      <c r="Z156" s="121">
        <f>SUMIFS(招聘费明细!$G:$G,招聘费明细!$B:$B,$E156,招聘费明细!$C:$C,$F156,招聘费明细!$F:$F,"&gt;="&amp;Z$9,招聘费明细!$F:$F,"&lt;="&amp;Z$10,招聘费明细!$A:$A,Z$6)/10000</f>
        <v>0</v>
      </c>
      <c r="AA156" s="121">
        <f>SUMIFS(招聘费明细!$G:$G,招聘费明细!$B:$B,$E156,招聘费明细!$C:$C,$F156,招聘费明细!$F:$F,"&gt;="&amp;AA$9,招聘费明细!$F:$F,"&lt;="&amp;AA$10,招聘费明细!$A:$A,AA$6)/10000</f>
        <v>0</v>
      </c>
      <c r="AB156" s="121">
        <f>SUMIFS(招聘费明细!$G:$G,招聘费明细!$B:$B,$E156,招聘费明细!$C:$C,$F156,招聘费明细!$F:$F,"&gt;="&amp;AB$9,招聘费明细!$F:$F,"&lt;="&amp;AB$10,招聘费明细!$A:$A,AB$6)/10000</f>
        <v>0</v>
      </c>
      <c r="AC156" s="121">
        <f>SUMIFS(招聘费明细!$G:$G,招聘费明细!$B:$B,$E156,招聘费明细!$C:$C,$F156,招聘费明细!$F:$F,"&gt;="&amp;AC$9,招聘费明细!$F:$F,"&lt;="&amp;AC$10,招聘费明细!$A:$A,AC$6)/10000</f>
        <v>0</v>
      </c>
      <c r="AD156" s="121">
        <f>SUMIFS(招聘费明细!$G:$G,招聘费明细!$B:$B,$E156,招聘费明细!$C:$C,$F156,招聘费明细!$F:$F,"&gt;="&amp;AD$9,招聘费明细!$F:$F,"&lt;="&amp;AD$10,招聘费明细!$A:$A,AD$6)/10000</f>
        <v>0</v>
      </c>
      <c r="AE156" s="121">
        <f>SUMIFS(招聘费明细!$G:$G,招聘费明细!$B:$B,$E156,招聘费明细!$C:$C,$F156,招聘费明细!$F:$F,"&gt;="&amp;AE$9,招聘费明细!$F:$F,"&lt;="&amp;AE$10,招聘费明细!$A:$A,AE$6)/10000</f>
        <v>0</v>
      </c>
      <c r="AF156" s="121">
        <f>SUMIFS(招聘费明细!$G:$G,招聘费明细!$B:$B,$E156,招聘费明细!$C:$C,$F156,招聘费明细!$F:$F,"&gt;="&amp;AF$9,招聘费明细!$F:$F,"&lt;="&amp;AF$10,招聘费明细!$A:$A,AF$6)/10000</f>
        <v>0</v>
      </c>
      <c r="AG156" s="121">
        <f>SUMIFS(招聘费明细!$G:$G,招聘费明细!$B:$B,$E156,招聘费明细!$C:$C,$F156,招聘费明细!$F:$F,"&gt;="&amp;AG$9,招聘费明细!$F:$F,"&lt;="&amp;AG$10,招聘费明细!$A:$A,AG$6)/10000</f>
        <v>0</v>
      </c>
      <c r="AH156" s="121">
        <f>SUMIFS(招聘费明细!$G:$G,招聘费明细!$B:$B,$E156,招聘费明细!$C:$C,$F156,招聘费明细!$F:$F,"&gt;="&amp;AH$9,招聘费明细!$F:$F,"&lt;="&amp;AH$10,招聘费明细!$A:$A,AH$6)/10000</f>
        <v>0</v>
      </c>
      <c r="AI156" s="121">
        <f>SUMIFS(招聘费明细!$G:$G,招聘费明细!$B:$B,$E156,招聘费明细!$C:$C,$F156,招聘费明细!$F:$F,"&gt;="&amp;AI$9,招聘费明细!$F:$F,"&lt;="&amp;AI$10,招聘费明细!$A:$A,AI$6)/10000</f>
        <v>0</v>
      </c>
      <c r="AJ156" s="121">
        <f>SUMIFS(招聘费明细!$G:$G,招聘费明细!$B:$B,$E156,招聘费明细!$C:$C,$F156,招聘费明细!$F:$F,"&gt;="&amp;AJ$9,招聘费明细!$F:$F,"&lt;="&amp;AJ$10,招聘费明细!$A:$A,AJ$6)/10000</f>
        <v>0</v>
      </c>
      <c r="AK156" s="121">
        <f>SUMIFS(招聘费明细!$G:$G,招聘费明细!$B:$B,$E156,招聘费明细!$C:$C,$F156,招聘费明细!$F:$F,"&gt;="&amp;AK$9,招聘费明细!$F:$F,"&lt;="&amp;AK$10,招聘费明细!$A:$A,AK$6)/10000</f>
        <v>0</v>
      </c>
      <c r="AL156" s="121">
        <f>SUMIFS(招聘费明细!$G:$G,招聘费明细!$B:$B,$E156,招聘费明细!$C:$C,$F156,招聘费明细!$F:$F,"&gt;="&amp;AL$9,招聘费明细!$F:$F,"&lt;="&amp;AL$10,招聘费明细!$A:$A,AL$6)/10000</f>
        <v>0</v>
      </c>
      <c r="AM156" s="121">
        <f>SUMIFS(招聘费明细!$G:$G,招聘费明细!$B:$B,$E156,招聘费明细!$C:$C,$F156,招聘费明细!$F:$F,"&gt;="&amp;AM$9,招聘费明细!$F:$F,"&lt;="&amp;AM$10,招聘费明细!$A:$A,AM$6)/10000</f>
        <v>0</v>
      </c>
      <c r="AN156" s="121">
        <f>SUMIFS(招聘费明细!$G:$G,招聘费明细!$B:$B,$E156,招聘费明细!$C:$C,$F156,招聘费明细!$F:$F,"&gt;="&amp;AN$9,招聘费明细!$F:$F,"&lt;="&amp;AN$10,招聘费明细!$A:$A,AN$6)/10000</f>
        <v>0</v>
      </c>
      <c r="AO156" s="121">
        <f>SUMIFS(招聘费明细!$G:$G,招聘费明细!$B:$B,$E156,招聘费明细!$C:$C,$F156,招聘费明细!$F:$F,"&gt;="&amp;AO$9,招聘费明细!$F:$F,"&lt;="&amp;AO$10,招聘费明细!$A:$A,AO$6)/10000</f>
        <v>0</v>
      </c>
      <c r="AP156" s="121">
        <f>SUMIFS(招聘费明细!$G:$G,招聘费明细!$B:$B,$E156,招聘费明细!$C:$C,$F156,招聘费明细!$F:$F,"&gt;="&amp;AP$9,招聘费明细!$F:$F,"&lt;="&amp;AP$10,招聘费明细!$A:$A,AP$6)/10000</f>
        <v>0</v>
      </c>
      <c r="AQ156" s="121">
        <f>SUMIFS(招聘费明细!$G:$G,招聘费明细!$B:$B,$E156,招聘费明细!$C:$C,$F156,招聘费明细!$F:$F,"&gt;="&amp;AQ$9,招聘费明细!$F:$F,"&lt;="&amp;AQ$10,招聘费明细!$A:$A,AQ$6)/10000</f>
        <v>0</v>
      </c>
      <c r="AR156" s="121">
        <f>SUMIFS(招聘费明细!$G:$G,招聘费明细!$B:$B,$E156,招聘费明细!$C:$C,$F156,招聘费明细!$F:$F,"&gt;="&amp;AR$9,招聘费明细!$F:$F,"&lt;="&amp;AR$10,招聘费明细!$A:$A,AR$6)/10000</f>
        <v>0</v>
      </c>
      <c r="AS156" s="121">
        <f>SUMIFS(招聘费明细!$G:$G,招聘费明细!$B:$B,$E156,招聘费明细!$C:$C,$F156,招聘费明细!$F:$F,"&gt;="&amp;AS$9,招聘费明细!$F:$F,"&lt;="&amp;AS$10,招聘费明细!$A:$A,AS$6)/10000</f>
        <v>0</v>
      </c>
      <c r="AT156" s="121">
        <f>SUMIFS(招聘费明细!$G:$G,招聘费明细!$B:$B,$E156,招聘费明细!$C:$C,$F156,招聘费明细!$F:$F,"&gt;="&amp;AT$9,招聘费明细!$F:$F,"&lt;="&amp;AT$10,招聘费明细!$A:$A,AT$6)/10000</f>
        <v>0</v>
      </c>
      <c r="AU156" s="121">
        <f>SUMIFS(招聘费明细!$G:$G,招聘费明细!$B:$B,$E156,招聘费明细!$C:$C,$F156,招聘费明细!$F:$F,"&gt;="&amp;AU$9,招聘费明细!$F:$F,"&lt;="&amp;AU$10,招聘费明细!$A:$A,AU$6)/10000</f>
        <v>0</v>
      </c>
      <c r="AV156" s="121">
        <f>SUMIFS(招聘费明细!$G:$G,招聘费明细!$B:$B,$E156,招聘费明细!$C:$C,$F156,招聘费明细!$F:$F,"&gt;="&amp;AV$9,招聘费明细!$F:$F,"&lt;="&amp;AV$10,招聘费明细!$A:$A,AV$6)/10000</f>
        <v>0</v>
      </c>
      <c r="AW156" s="121">
        <f>SUMIFS(招聘费明细!$G:$G,招聘费明细!$B:$B,$E156,招聘费明细!$C:$C,$F156,招聘费明细!$F:$F,"&gt;="&amp;AW$9,招聘费明细!$F:$F,"&lt;="&amp;AW$10,招聘费明细!$A:$A,AW$6)/10000</f>
        <v>0</v>
      </c>
      <c r="AX156" s="121">
        <f>SUMIFS(招聘费明细!$G:$G,招聘费明细!$B:$B,$E156,招聘费明细!$C:$C,$F156,招聘费明细!$F:$F,"&gt;="&amp;AX$9,招聘费明细!$F:$F,"&lt;="&amp;AX$10,招聘费明细!$A:$A,AX$6)/10000</f>
        <v>0</v>
      </c>
      <c r="AY156" s="121">
        <f>SUMIFS(招聘费明细!$G:$G,招聘费明细!$B:$B,$E156,招聘费明细!$C:$C,$F156,招聘费明细!$F:$F,"&gt;="&amp;AY$9,招聘费明细!$F:$F,"&lt;="&amp;AY$10,招聘费明细!$A:$A,AY$6)/10000</f>
        <v>0</v>
      </c>
      <c r="AZ156" s="121">
        <f>SUMIFS(招聘费明细!$G:$G,招聘费明细!$B:$B,$E156,招聘费明细!$C:$C,$F156,招聘费明细!$F:$F,"&gt;="&amp;AZ$9,招聘费明细!$F:$F,"&lt;="&amp;AZ$10,招聘费明细!$A:$A,AZ$6)/10000</f>
        <v>0</v>
      </c>
      <c r="BA156" s="121">
        <f>SUMIFS(招聘费明细!$G:$G,招聘费明细!$B:$B,$E156,招聘费明细!$C:$C,$F156,招聘费明细!$F:$F,"&gt;="&amp;BA$9,招聘费明细!$F:$F,"&lt;="&amp;BA$10,招聘费明细!$A:$A,BA$6)/10000</f>
        <v>0</v>
      </c>
      <c r="BB156" s="121">
        <f>SUMIFS(招聘费明细!$G:$G,招聘费明细!$B:$B,$E156,招聘费明细!$C:$C,$F156,招聘费明细!$F:$F,"&gt;="&amp;BB$9,招聘费明细!$F:$F,"&lt;="&amp;BB$10,招聘费明细!$A:$A,BB$6)/10000</f>
        <v>0</v>
      </c>
      <c r="BC156" s="121">
        <f>SUMIFS(招聘费明细!$G:$G,招聘费明细!$B:$B,$E156,招聘费明细!$C:$C,$F156,招聘费明细!$F:$F,"&gt;="&amp;BC$9,招聘费明细!$F:$F,"&lt;="&amp;BC$10,招聘费明细!$A:$A,BC$6)/10000</f>
        <v>0</v>
      </c>
      <c r="BD156" s="121">
        <f>SUMIFS(招聘费明细!$G:$G,招聘费明细!$B:$B,$E156,招聘费明细!$C:$C,$F156,招聘费明细!$F:$F,"&gt;="&amp;BD$9,招聘费明细!$F:$F,"&lt;="&amp;BD$10,招聘费明细!$A:$A,BD$6)/10000</f>
        <v>0</v>
      </c>
      <c r="BE156" s="121">
        <f>SUMIFS(招聘费明细!$G:$G,招聘费明细!$B:$B,$E156,招聘费明细!$C:$C,$F156,招聘费明细!$F:$F,"&gt;="&amp;BE$9,招聘费明细!$F:$F,"&lt;="&amp;BE$10,招聘费明细!$A:$A,BE$6)/10000</f>
        <v>0</v>
      </c>
      <c r="BF156" s="121">
        <f>SUMIFS(招聘费明细!$G:$G,招聘费明细!$B:$B,$E156,招聘费明细!$C:$C,$F156,招聘费明细!$F:$F,"&gt;="&amp;BF$9,招聘费明细!$F:$F,"&lt;="&amp;BF$10,招聘费明细!$A:$A,BF$6)/10000</f>
        <v>0</v>
      </c>
      <c r="BG156" s="121">
        <f>SUMIFS(招聘费明细!$G:$G,招聘费明细!$B:$B,$E156,招聘费明细!$C:$C,$F156,招聘费明细!$F:$F,"&gt;="&amp;BG$9,招聘费明细!$F:$F,"&lt;="&amp;BG$10,招聘费明细!$A:$A,BG$6)/10000</f>
        <v>0</v>
      </c>
    </row>
    <row r="157" ht="16.2" spans="3:59">
      <c r="C157" s="42"/>
      <c r="D157" s="42" t="s">
        <v>88</v>
      </c>
      <c r="E157" s="116" t="str">
        <f t="shared" si="105"/>
        <v>支持中心</v>
      </c>
      <c r="F157" s="116" t="str">
        <f t="shared" si="106"/>
        <v>人力资源部</v>
      </c>
      <c r="G157" s="121">
        <f>SUMIFS(招聘费明细!$G:$G,招聘费明细!$B:$B,$E157,招聘费明细!$C:$C,$F157,招聘费明细!$F:$F,"&gt;="&amp;G$9,招聘费明细!$F:$F,"&lt;="&amp;G$10,招聘费明细!$A:$A,G$6)/10000</f>
        <v>11</v>
      </c>
      <c r="H157" s="121">
        <f>SUMIFS(招聘费明细!$G:$G,招聘费明细!$B:$B,$E157,招聘费明细!$C:$C,$F157,招聘费明细!$F:$F,"&gt;="&amp;H$9,招聘费明细!$F:$F,"&lt;="&amp;H$10,招聘费明细!$A:$A,H$6)/10000</f>
        <v>8</v>
      </c>
      <c r="I157" s="121">
        <f>SUMIFS(招聘费明细!$G:$G,招聘费明细!$B:$B,$E157,招聘费明细!$C:$C,$F157,招聘费明细!$F:$F,"&gt;="&amp;I$9,招聘费明细!$F:$F,"&lt;="&amp;I$10,招聘费明细!$A:$A,I$6)/10000</f>
        <v>3</v>
      </c>
      <c r="J157" s="121">
        <f>SUMIFS(招聘费明细!$G:$G,招聘费明细!$B:$B,$E157,招聘费明细!$C:$C,$F157,招聘费明细!$F:$F,"&gt;="&amp;J$9,招聘费明细!$F:$F,"&lt;="&amp;J$10,招聘费明细!$A:$A,J$6)/10000</f>
        <v>0</v>
      </c>
      <c r="K157" s="121">
        <f>SUMIFS(招聘费明细!$G:$G,招聘费明细!$B:$B,$E157,招聘费明细!$C:$C,$F157,招聘费明细!$F:$F,"&gt;="&amp;K$9,招聘费明细!$F:$F,"&lt;="&amp;K$10,招聘费明细!$A:$A,K$6)/10000</f>
        <v>0</v>
      </c>
      <c r="L157" s="121">
        <f>SUMIFS(招聘费明细!$G:$G,招聘费明细!$B:$B,$E157,招聘费明细!$C:$C,$F157,招聘费明细!$F:$F,"&gt;="&amp;L$9,招聘费明细!$F:$F,"&lt;="&amp;L$10,招聘费明细!$A:$A,L$6)/10000</f>
        <v>0</v>
      </c>
      <c r="M157" s="121">
        <f>SUMIFS(招聘费明细!$G:$G,招聘费明细!$B:$B,$E157,招聘费明细!$C:$C,$F157,招聘费明细!$F:$F,"&gt;="&amp;M$9,招聘费明细!$F:$F,"&lt;="&amp;M$10,招聘费明细!$A:$A,M$6)/10000</f>
        <v>0</v>
      </c>
      <c r="N157" s="121">
        <f>SUMIFS(招聘费明细!$G:$G,招聘费明细!$B:$B,$E157,招聘费明细!$C:$C,$F157,招聘费明细!$F:$F,"&gt;="&amp;N$9,招聘费明细!$F:$F,"&lt;="&amp;N$10,招聘费明细!$A:$A,N$6)/10000</f>
        <v>0</v>
      </c>
      <c r="O157" s="121">
        <f>SUMIFS(招聘费明细!$G:$G,招聘费明细!$B:$B,$E157,招聘费明细!$C:$C,$F157,招聘费明细!$F:$F,"&gt;="&amp;O$9,招聘费明细!$F:$F,"&lt;="&amp;O$10,招聘费明细!$A:$A,O$6)/10000</f>
        <v>0</v>
      </c>
      <c r="P157" s="121">
        <f>SUMIFS(招聘费明细!$G:$G,招聘费明细!$B:$B,$E157,招聘费明细!$C:$C,$F157,招聘费明细!$F:$F,"&gt;="&amp;P$9,招聘费明细!$F:$F,"&lt;="&amp;P$10,招聘费明细!$A:$A,P$6)/10000</f>
        <v>0</v>
      </c>
      <c r="Q157" s="121">
        <f>SUMIFS(招聘费明细!$G:$G,招聘费明细!$B:$B,$E157,招聘费明细!$C:$C,$F157,招聘费明细!$F:$F,"&gt;="&amp;Q$9,招聘费明细!$F:$F,"&lt;="&amp;Q$10,招聘费明细!$A:$A,Q$6)/10000</f>
        <v>0</v>
      </c>
      <c r="R157" s="121">
        <f>SUMIFS(招聘费明细!$G:$G,招聘费明细!$B:$B,$E157,招聘费明细!$C:$C,$F157,招聘费明细!$F:$F,"&gt;="&amp;R$9,招聘费明细!$F:$F,"&lt;="&amp;R$10,招聘费明细!$A:$A,R$6)/10000</f>
        <v>0</v>
      </c>
      <c r="S157" s="121">
        <f>SUMIFS(招聘费明细!$G:$G,招聘费明细!$B:$B,$E157,招聘费明细!$C:$C,$F157,招聘费明细!$F:$F,"&gt;="&amp;S$9,招聘费明细!$F:$F,"&lt;="&amp;S$10,招聘费明细!$A:$A,S$6)/10000</f>
        <v>0</v>
      </c>
      <c r="T157" s="125">
        <f t="shared" si="107"/>
        <v>7</v>
      </c>
      <c r="U157" s="121">
        <f>SUMIFS(招聘费明细!$G:$G,招聘费明细!$B:$B,$E157,招聘费明细!$C:$C,$F157,招聘费明细!$F:$F,"&gt;="&amp;U$9,招聘费明细!$F:$F,"&lt;="&amp;U$10,招聘费明细!$A:$A,U$6)/10000</f>
        <v>4</v>
      </c>
      <c r="V157" s="121">
        <f>SUMIFS(招聘费明细!$G:$G,招聘费明细!$B:$B,$E157,招聘费明细!$C:$C,$F157,招聘费明细!$F:$F,"&gt;="&amp;V$9,招聘费明细!$F:$F,"&lt;="&amp;V$10,招聘费明细!$A:$A,V$6)/10000</f>
        <v>4</v>
      </c>
      <c r="W157" s="121">
        <f>SUMIFS(招聘费明细!$G:$G,招聘费明细!$B:$B,$E157,招聘费明细!$C:$C,$F157,招聘费明细!$F:$F,"&gt;="&amp;W$9,招聘费明细!$F:$F,"&lt;="&amp;W$10,招聘费明细!$A:$A,W$6)/10000</f>
        <v>0</v>
      </c>
      <c r="X157" s="121">
        <f>SUMIFS(招聘费明细!$G:$G,招聘费明细!$B:$B,$E157,招聘费明细!$C:$C,$F157,招聘费明细!$F:$F,"&gt;="&amp;X$9,招聘费明细!$F:$F,"&lt;="&amp;X$10,招聘费明细!$A:$A,X$6)/10000</f>
        <v>0</v>
      </c>
      <c r="Y157" s="121">
        <f>SUMIFS(招聘费明细!$G:$G,招聘费明细!$B:$B,$E157,招聘费明细!$C:$C,$F157,招聘费明细!$F:$F,"&gt;="&amp;Y$9,招聘费明细!$F:$F,"&lt;="&amp;Y$10,招聘费明细!$A:$A,Y$6)/10000</f>
        <v>0</v>
      </c>
      <c r="Z157" s="121">
        <f>SUMIFS(招聘费明细!$G:$G,招聘费明细!$B:$B,$E157,招聘费明细!$C:$C,$F157,招聘费明细!$F:$F,"&gt;="&amp;Z$9,招聘费明细!$F:$F,"&lt;="&amp;Z$10,招聘费明细!$A:$A,Z$6)/10000</f>
        <v>0</v>
      </c>
      <c r="AA157" s="121">
        <f>SUMIFS(招聘费明细!$G:$G,招聘费明细!$B:$B,$E157,招聘费明细!$C:$C,$F157,招聘费明细!$F:$F,"&gt;="&amp;AA$9,招聘费明细!$F:$F,"&lt;="&amp;AA$10,招聘费明细!$A:$A,AA$6)/10000</f>
        <v>0</v>
      </c>
      <c r="AB157" s="121">
        <f>SUMIFS(招聘费明细!$G:$G,招聘费明细!$B:$B,$E157,招聘费明细!$C:$C,$F157,招聘费明细!$F:$F,"&gt;="&amp;AB$9,招聘费明细!$F:$F,"&lt;="&amp;AB$10,招聘费明细!$A:$A,AB$6)/10000</f>
        <v>0</v>
      </c>
      <c r="AC157" s="121">
        <f>SUMIFS(招聘费明细!$G:$G,招聘费明细!$B:$B,$E157,招聘费明细!$C:$C,$F157,招聘费明细!$F:$F,"&gt;="&amp;AC$9,招聘费明细!$F:$F,"&lt;="&amp;AC$10,招聘费明细!$A:$A,AC$6)/10000</f>
        <v>0</v>
      </c>
      <c r="AD157" s="121">
        <f>SUMIFS(招聘费明细!$G:$G,招聘费明细!$B:$B,$E157,招聘费明细!$C:$C,$F157,招聘费明细!$F:$F,"&gt;="&amp;AD$9,招聘费明细!$F:$F,"&lt;="&amp;AD$10,招聘费明细!$A:$A,AD$6)/10000</f>
        <v>0</v>
      </c>
      <c r="AE157" s="121">
        <f>SUMIFS(招聘费明细!$G:$G,招聘费明细!$B:$B,$E157,招聘费明细!$C:$C,$F157,招聘费明细!$F:$F,"&gt;="&amp;AE$9,招聘费明细!$F:$F,"&lt;="&amp;AE$10,招聘费明细!$A:$A,AE$6)/10000</f>
        <v>0</v>
      </c>
      <c r="AF157" s="121">
        <f>SUMIFS(招聘费明细!$G:$G,招聘费明细!$B:$B,$E157,招聘费明细!$C:$C,$F157,招聘费明细!$F:$F,"&gt;="&amp;AF$9,招聘费明细!$F:$F,"&lt;="&amp;AF$10,招聘费明细!$A:$A,AF$6)/10000</f>
        <v>0</v>
      </c>
      <c r="AG157" s="121">
        <f>SUMIFS(招聘费明细!$G:$G,招聘费明细!$B:$B,$E157,招聘费明细!$C:$C,$F157,招聘费明细!$F:$F,"&gt;="&amp;AG$9,招聘费明细!$F:$F,"&lt;="&amp;AG$10,招聘费明细!$A:$A,AG$6)/10000</f>
        <v>0</v>
      </c>
      <c r="AH157" s="121">
        <f>SUMIFS(招聘费明细!$G:$G,招聘费明细!$B:$B,$E157,招聘费明细!$C:$C,$F157,招聘费明细!$F:$F,"&gt;="&amp;AH$9,招聘费明细!$F:$F,"&lt;="&amp;AH$10,招聘费明细!$A:$A,AH$6)/10000</f>
        <v>3</v>
      </c>
      <c r="AI157" s="121">
        <f>SUMIFS(招聘费明细!$G:$G,招聘费明细!$B:$B,$E157,招聘费明细!$C:$C,$F157,招聘费明细!$F:$F,"&gt;="&amp;AI$9,招聘费明细!$F:$F,"&lt;="&amp;AI$10,招聘费明细!$A:$A,AI$6)/10000</f>
        <v>0</v>
      </c>
      <c r="AJ157" s="121">
        <f>SUMIFS(招聘费明细!$G:$G,招聘费明细!$B:$B,$E157,招聘费明细!$C:$C,$F157,招聘费明细!$F:$F,"&gt;="&amp;AJ$9,招聘费明细!$F:$F,"&lt;="&amp;AJ$10,招聘费明细!$A:$A,AJ$6)/10000</f>
        <v>0</v>
      </c>
      <c r="AK157" s="121">
        <f>SUMIFS(招聘费明细!$G:$G,招聘费明细!$B:$B,$E157,招聘费明细!$C:$C,$F157,招聘费明细!$F:$F,"&gt;="&amp;AK$9,招聘费明细!$F:$F,"&lt;="&amp;AK$10,招聘费明细!$A:$A,AK$6)/10000</f>
        <v>0</v>
      </c>
      <c r="AL157" s="121">
        <f>SUMIFS(招聘费明细!$G:$G,招聘费明细!$B:$B,$E157,招聘费明细!$C:$C,$F157,招聘费明细!$F:$F,"&gt;="&amp;AL$9,招聘费明细!$F:$F,"&lt;="&amp;AL$10,招聘费明细!$A:$A,AL$6)/10000</f>
        <v>0</v>
      </c>
      <c r="AM157" s="121">
        <f>SUMIFS(招聘费明细!$G:$G,招聘费明细!$B:$B,$E157,招聘费明细!$C:$C,$F157,招聘费明细!$F:$F,"&gt;="&amp;AM$9,招聘费明细!$F:$F,"&lt;="&amp;AM$10,招聘费明细!$A:$A,AM$6)/10000</f>
        <v>0</v>
      </c>
      <c r="AN157" s="121">
        <f>SUMIFS(招聘费明细!$G:$G,招聘费明细!$B:$B,$E157,招聘费明细!$C:$C,$F157,招聘费明细!$F:$F,"&gt;="&amp;AN$9,招聘费明细!$F:$F,"&lt;="&amp;AN$10,招聘费明细!$A:$A,AN$6)/10000</f>
        <v>0</v>
      </c>
      <c r="AO157" s="121">
        <f>SUMIFS(招聘费明细!$G:$G,招聘费明细!$B:$B,$E157,招聘费明细!$C:$C,$F157,招聘费明细!$F:$F,"&gt;="&amp;AO$9,招聘费明细!$F:$F,"&lt;="&amp;AO$10,招聘费明细!$A:$A,AO$6)/10000</f>
        <v>0</v>
      </c>
      <c r="AP157" s="121">
        <f>SUMIFS(招聘费明细!$G:$G,招聘费明细!$B:$B,$E157,招聘费明细!$C:$C,$F157,招聘费明细!$F:$F,"&gt;="&amp;AP$9,招聘费明细!$F:$F,"&lt;="&amp;AP$10,招聘费明细!$A:$A,AP$6)/10000</f>
        <v>0</v>
      </c>
      <c r="AQ157" s="121">
        <f>SUMIFS(招聘费明细!$G:$G,招聘费明细!$B:$B,$E157,招聘费明细!$C:$C,$F157,招聘费明细!$F:$F,"&gt;="&amp;AQ$9,招聘费明细!$F:$F,"&lt;="&amp;AQ$10,招聘费明细!$A:$A,AQ$6)/10000</f>
        <v>0</v>
      </c>
      <c r="AR157" s="121">
        <f>SUMIFS(招聘费明细!$G:$G,招聘费明细!$B:$B,$E157,招聘费明细!$C:$C,$F157,招聘费明细!$F:$F,"&gt;="&amp;AR$9,招聘费明细!$F:$F,"&lt;="&amp;AR$10,招聘费明细!$A:$A,AR$6)/10000</f>
        <v>0</v>
      </c>
      <c r="AS157" s="121">
        <f>SUMIFS(招聘费明细!$G:$G,招聘费明细!$B:$B,$E157,招聘费明细!$C:$C,$F157,招聘费明细!$F:$F,"&gt;="&amp;AS$9,招聘费明细!$F:$F,"&lt;="&amp;AS$10,招聘费明细!$A:$A,AS$6)/10000</f>
        <v>0</v>
      </c>
      <c r="AT157" s="121">
        <f>SUMIFS(招聘费明细!$G:$G,招聘费明细!$B:$B,$E157,招聘费明细!$C:$C,$F157,招聘费明细!$F:$F,"&gt;="&amp;AT$9,招聘费明细!$F:$F,"&lt;="&amp;AT$10,招聘费明细!$A:$A,AT$6)/10000</f>
        <v>3</v>
      </c>
      <c r="AU157" s="121">
        <f>SUMIFS(招聘费明细!$G:$G,招聘费明细!$B:$B,$E157,招聘费明细!$C:$C,$F157,招聘费明细!$F:$F,"&gt;="&amp;AU$9,招聘费明细!$F:$F,"&lt;="&amp;AU$10,招聘费明细!$A:$A,AU$6)/10000</f>
        <v>12</v>
      </c>
      <c r="AV157" s="121">
        <f>SUMIFS(招聘费明细!$G:$G,招聘费明细!$B:$B,$E157,招聘费明细!$C:$C,$F157,招聘费明细!$F:$F,"&gt;="&amp;AV$9,招聘费明细!$F:$F,"&lt;="&amp;AV$10,招聘费明细!$A:$A,AV$6)/10000</f>
        <v>0</v>
      </c>
      <c r="AW157" s="121">
        <f>SUMIFS(招聘费明细!$G:$G,招聘费明细!$B:$B,$E157,招聘费明细!$C:$C,$F157,招聘费明细!$F:$F,"&gt;="&amp;AW$9,招聘费明细!$F:$F,"&lt;="&amp;AW$10,招聘费明细!$A:$A,AW$6)/10000</f>
        <v>0</v>
      </c>
      <c r="AX157" s="121">
        <f>SUMIFS(招聘费明细!$G:$G,招聘费明细!$B:$B,$E157,招聘费明细!$C:$C,$F157,招聘费明细!$F:$F,"&gt;="&amp;AX$9,招聘费明细!$F:$F,"&lt;="&amp;AX$10,招聘费明细!$A:$A,AX$6)/10000</f>
        <v>0</v>
      </c>
      <c r="AY157" s="121">
        <f>SUMIFS(招聘费明细!$G:$G,招聘费明细!$B:$B,$E157,招聘费明细!$C:$C,$F157,招聘费明细!$F:$F,"&gt;="&amp;AY$9,招聘费明细!$F:$F,"&lt;="&amp;AY$10,招聘费明细!$A:$A,AY$6)/10000</f>
        <v>0</v>
      </c>
      <c r="AZ157" s="121">
        <f>SUMIFS(招聘费明细!$G:$G,招聘费明细!$B:$B,$E157,招聘费明细!$C:$C,$F157,招聘费明细!$F:$F,"&gt;="&amp;AZ$9,招聘费明细!$F:$F,"&lt;="&amp;AZ$10,招聘费明细!$A:$A,AZ$6)/10000</f>
        <v>0</v>
      </c>
      <c r="BA157" s="121">
        <f>SUMIFS(招聘费明细!$G:$G,招聘费明细!$B:$B,$E157,招聘费明细!$C:$C,$F157,招聘费明细!$F:$F,"&gt;="&amp;BA$9,招聘费明细!$F:$F,"&lt;="&amp;BA$10,招聘费明细!$A:$A,BA$6)/10000</f>
        <v>0</v>
      </c>
      <c r="BB157" s="121">
        <f>SUMIFS(招聘费明细!$G:$G,招聘费明细!$B:$B,$E157,招聘费明细!$C:$C,$F157,招聘费明细!$F:$F,"&gt;="&amp;BB$9,招聘费明细!$F:$F,"&lt;="&amp;BB$10,招聘费明细!$A:$A,BB$6)/10000</f>
        <v>0</v>
      </c>
      <c r="BC157" s="121">
        <f>SUMIFS(招聘费明细!$G:$G,招聘费明细!$B:$B,$E157,招聘费明细!$C:$C,$F157,招聘费明细!$F:$F,"&gt;="&amp;BC$9,招聘费明细!$F:$F,"&lt;="&amp;BC$10,招聘费明细!$A:$A,BC$6)/10000</f>
        <v>0</v>
      </c>
      <c r="BD157" s="121">
        <f>SUMIFS(招聘费明细!$G:$G,招聘费明细!$B:$B,$E157,招聘费明细!$C:$C,$F157,招聘费明细!$F:$F,"&gt;="&amp;BD$9,招聘费明细!$F:$F,"&lt;="&amp;BD$10,招聘费明细!$A:$A,BD$6)/10000</f>
        <v>0</v>
      </c>
      <c r="BE157" s="121">
        <f>SUMIFS(招聘费明细!$G:$G,招聘费明细!$B:$B,$E157,招聘费明细!$C:$C,$F157,招聘费明细!$F:$F,"&gt;="&amp;BE$9,招聘费明细!$F:$F,"&lt;="&amp;BE$10,招聘费明细!$A:$A,BE$6)/10000</f>
        <v>12</v>
      </c>
      <c r="BF157" s="121">
        <f>SUMIFS(招聘费明细!$G:$G,招聘费明细!$B:$B,$E157,招聘费明细!$C:$C,$F157,招聘费明细!$F:$F,"&gt;="&amp;BF$9,招聘费明细!$F:$F,"&lt;="&amp;BF$10,招聘费明细!$A:$A,BF$6)/10000</f>
        <v>0</v>
      </c>
      <c r="BG157" s="121">
        <f>SUMIFS(招聘费明细!$G:$G,招聘费明细!$B:$B,$E157,招聘费明细!$C:$C,$F157,招聘费明细!$F:$F,"&gt;="&amp;BG$9,招聘费明细!$F:$F,"&lt;="&amp;BG$10,招聘费明细!$A:$A,BG$6)/10000</f>
        <v>0</v>
      </c>
    </row>
    <row r="158" ht="16.2" spans="3:59">
      <c r="C158" s="42"/>
      <c r="D158" s="42" t="s">
        <v>89</v>
      </c>
      <c r="E158" s="116" t="str">
        <f t="shared" si="105"/>
        <v>支持中心</v>
      </c>
      <c r="F158" s="116" t="str">
        <f t="shared" si="106"/>
        <v>IT部</v>
      </c>
      <c r="G158" s="121">
        <f>SUMIFS(招聘费明细!$G:$G,招聘费明细!$B:$B,$E158,招聘费明细!$C:$C,$F158,招聘费明细!$F:$F,"&gt;="&amp;G$9,招聘费明细!$F:$F,"&lt;="&amp;G$10,招聘费明细!$A:$A,G$6)/10000</f>
        <v>0</v>
      </c>
      <c r="H158" s="121">
        <f>SUMIFS(招聘费明细!$G:$G,招聘费明细!$B:$B,$E158,招聘费明细!$C:$C,$F158,招聘费明细!$F:$F,"&gt;="&amp;H$9,招聘费明细!$F:$F,"&lt;="&amp;H$10,招聘费明细!$A:$A,H$6)/10000</f>
        <v>0</v>
      </c>
      <c r="I158" s="121">
        <f>SUMIFS(招聘费明细!$G:$G,招聘费明细!$B:$B,$E158,招聘费明细!$C:$C,$F158,招聘费明细!$F:$F,"&gt;="&amp;I$9,招聘费明细!$F:$F,"&lt;="&amp;I$10,招聘费明细!$A:$A,I$6)/10000</f>
        <v>0</v>
      </c>
      <c r="J158" s="121">
        <f>SUMIFS(招聘费明细!$G:$G,招聘费明细!$B:$B,$E158,招聘费明细!$C:$C,$F158,招聘费明细!$F:$F,"&gt;="&amp;J$9,招聘费明细!$F:$F,"&lt;="&amp;J$10,招聘费明细!$A:$A,J$6)/10000</f>
        <v>0</v>
      </c>
      <c r="K158" s="121">
        <f>SUMIFS(招聘费明细!$G:$G,招聘费明细!$B:$B,$E158,招聘费明细!$C:$C,$F158,招聘费明细!$F:$F,"&gt;="&amp;K$9,招聘费明细!$F:$F,"&lt;="&amp;K$10,招聘费明细!$A:$A,K$6)/10000</f>
        <v>0</v>
      </c>
      <c r="L158" s="121">
        <f>SUMIFS(招聘费明细!$G:$G,招聘费明细!$B:$B,$E158,招聘费明细!$C:$C,$F158,招聘费明细!$F:$F,"&gt;="&amp;L$9,招聘费明细!$F:$F,"&lt;="&amp;L$10,招聘费明细!$A:$A,L$6)/10000</f>
        <v>0</v>
      </c>
      <c r="M158" s="121">
        <f>SUMIFS(招聘费明细!$G:$G,招聘费明细!$B:$B,$E158,招聘费明细!$C:$C,$F158,招聘费明细!$F:$F,"&gt;="&amp;M$9,招聘费明细!$F:$F,"&lt;="&amp;M$10,招聘费明细!$A:$A,M$6)/10000</f>
        <v>0</v>
      </c>
      <c r="N158" s="121">
        <f>SUMIFS(招聘费明细!$G:$G,招聘费明细!$B:$B,$E158,招聘费明细!$C:$C,$F158,招聘费明细!$F:$F,"&gt;="&amp;N$9,招聘费明细!$F:$F,"&lt;="&amp;N$10,招聘费明细!$A:$A,N$6)/10000</f>
        <v>0</v>
      </c>
      <c r="O158" s="121">
        <f>SUMIFS(招聘费明细!$G:$G,招聘费明细!$B:$B,$E158,招聘费明细!$C:$C,$F158,招聘费明细!$F:$F,"&gt;="&amp;O$9,招聘费明细!$F:$F,"&lt;="&amp;O$10,招聘费明细!$A:$A,O$6)/10000</f>
        <v>0</v>
      </c>
      <c r="P158" s="121">
        <f>SUMIFS(招聘费明细!$G:$G,招聘费明细!$B:$B,$E158,招聘费明细!$C:$C,$F158,招聘费明细!$F:$F,"&gt;="&amp;P$9,招聘费明细!$F:$F,"&lt;="&amp;P$10,招聘费明细!$A:$A,P$6)/10000</f>
        <v>0</v>
      </c>
      <c r="Q158" s="121">
        <f>SUMIFS(招聘费明细!$G:$G,招聘费明细!$B:$B,$E158,招聘费明细!$C:$C,$F158,招聘费明细!$F:$F,"&gt;="&amp;Q$9,招聘费明细!$F:$F,"&lt;="&amp;Q$10,招聘费明细!$A:$A,Q$6)/10000</f>
        <v>0</v>
      </c>
      <c r="R158" s="121">
        <f>SUMIFS(招聘费明细!$G:$G,招聘费明细!$B:$B,$E158,招聘费明细!$C:$C,$F158,招聘费明细!$F:$F,"&gt;="&amp;R$9,招聘费明细!$F:$F,"&lt;="&amp;R$10,招聘费明细!$A:$A,R$6)/10000</f>
        <v>0</v>
      </c>
      <c r="S158" s="121">
        <f>SUMIFS(招聘费明细!$G:$G,招聘费明细!$B:$B,$E158,招聘费明细!$C:$C,$F158,招聘费明细!$F:$F,"&gt;="&amp;S$9,招聘费明细!$F:$F,"&lt;="&amp;S$10,招聘费明细!$A:$A,S$6)/10000</f>
        <v>0</v>
      </c>
      <c r="T158" s="125">
        <f t="shared" si="107"/>
        <v>0</v>
      </c>
      <c r="U158" s="121">
        <f>SUMIFS(招聘费明细!$G:$G,招聘费明细!$B:$B,$E158,招聘费明细!$C:$C,$F158,招聘费明细!$F:$F,"&gt;="&amp;U$9,招聘费明细!$F:$F,"&lt;="&amp;U$10,招聘费明细!$A:$A,U$6)/10000</f>
        <v>0</v>
      </c>
      <c r="V158" s="121">
        <f>SUMIFS(招聘费明细!$G:$G,招聘费明细!$B:$B,$E158,招聘费明细!$C:$C,$F158,招聘费明细!$F:$F,"&gt;="&amp;V$9,招聘费明细!$F:$F,"&lt;="&amp;V$10,招聘费明细!$A:$A,V$6)/10000</f>
        <v>0</v>
      </c>
      <c r="W158" s="121">
        <f>SUMIFS(招聘费明细!$G:$G,招聘费明细!$B:$B,$E158,招聘费明细!$C:$C,$F158,招聘费明细!$F:$F,"&gt;="&amp;W$9,招聘费明细!$F:$F,"&lt;="&amp;W$10,招聘费明细!$A:$A,W$6)/10000</f>
        <v>0</v>
      </c>
      <c r="X158" s="121">
        <f>SUMIFS(招聘费明细!$G:$G,招聘费明细!$B:$B,$E158,招聘费明细!$C:$C,$F158,招聘费明细!$F:$F,"&gt;="&amp;X$9,招聘费明细!$F:$F,"&lt;="&amp;X$10,招聘费明细!$A:$A,X$6)/10000</f>
        <v>0</v>
      </c>
      <c r="Y158" s="121">
        <f>SUMIFS(招聘费明细!$G:$G,招聘费明细!$B:$B,$E158,招聘费明细!$C:$C,$F158,招聘费明细!$F:$F,"&gt;="&amp;Y$9,招聘费明细!$F:$F,"&lt;="&amp;Y$10,招聘费明细!$A:$A,Y$6)/10000</f>
        <v>0</v>
      </c>
      <c r="Z158" s="121">
        <f>SUMIFS(招聘费明细!$G:$G,招聘费明细!$B:$B,$E158,招聘费明细!$C:$C,$F158,招聘费明细!$F:$F,"&gt;="&amp;Z$9,招聘费明细!$F:$F,"&lt;="&amp;Z$10,招聘费明细!$A:$A,Z$6)/10000</f>
        <v>0</v>
      </c>
      <c r="AA158" s="121">
        <f>SUMIFS(招聘费明细!$G:$G,招聘费明细!$B:$B,$E158,招聘费明细!$C:$C,$F158,招聘费明细!$F:$F,"&gt;="&amp;AA$9,招聘费明细!$F:$F,"&lt;="&amp;AA$10,招聘费明细!$A:$A,AA$6)/10000</f>
        <v>0</v>
      </c>
      <c r="AB158" s="121">
        <f>SUMIFS(招聘费明细!$G:$G,招聘费明细!$B:$B,$E158,招聘费明细!$C:$C,$F158,招聘费明细!$F:$F,"&gt;="&amp;AB$9,招聘费明细!$F:$F,"&lt;="&amp;AB$10,招聘费明细!$A:$A,AB$6)/10000</f>
        <v>0</v>
      </c>
      <c r="AC158" s="121">
        <f>SUMIFS(招聘费明细!$G:$G,招聘费明细!$B:$B,$E158,招聘费明细!$C:$C,$F158,招聘费明细!$F:$F,"&gt;="&amp;AC$9,招聘费明细!$F:$F,"&lt;="&amp;AC$10,招聘费明细!$A:$A,AC$6)/10000</f>
        <v>0</v>
      </c>
      <c r="AD158" s="121">
        <f>SUMIFS(招聘费明细!$G:$G,招聘费明细!$B:$B,$E158,招聘费明细!$C:$C,$F158,招聘费明细!$F:$F,"&gt;="&amp;AD$9,招聘费明细!$F:$F,"&lt;="&amp;AD$10,招聘费明细!$A:$A,AD$6)/10000</f>
        <v>0</v>
      </c>
      <c r="AE158" s="121">
        <f>SUMIFS(招聘费明细!$G:$G,招聘费明细!$B:$B,$E158,招聘费明细!$C:$C,$F158,招聘费明细!$F:$F,"&gt;="&amp;AE$9,招聘费明细!$F:$F,"&lt;="&amp;AE$10,招聘费明细!$A:$A,AE$6)/10000</f>
        <v>0</v>
      </c>
      <c r="AF158" s="121">
        <f>SUMIFS(招聘费明细!$G:$G,招聘费明细!$B:$B,$E158,招聘费明细!$C:$C,$F158,招聘费明细!$F:$F,"&gt;="&amp;AF$9,招聘费明细!$F:$F,"&lt;="&amp;AF$10,招聘费明细!$A:$A,AF$6)/10000</f>
        <v>0</v>
      </c>
      <c r="AG158" s="121">
        <f>SUMIFS(招聘费明细!$G:$G,招聘费明细!$B:$B,$E158,招聘费明细!$C:$C,$F158,招聘费明细!$F:$F,"&gt;="&amp;AG$9,招聘费明细!$F:$F,"&lt;="&amp;AG$10,招聘费明细!$A:$A,AG$6)/10000</f>
        <v>0</v>
      </c>
      <c r="AH158" s="121">
        <f>SUMIFS(招聘费明细!$G:$G,招聘费明细!$B:$B,$E158,招聘费明细!$C:$C,$F158,招聘费明细!$F:$F,"&gt;="&amp;AH$9,招聘费明细!$F:$F,"&lt;="&amp;AH$10,招聘费明细!$A:$A,AH$6)/10000</f>
        <v>0</v>
      </c>
      <c r="AI158" s="121">
        <f>SUMIFS(招聘费明细!$G:$G,招聘费明细!$B:$B,$E158,招聘费明细!$C:$C,$F158,招聘费明细!$F:$F,"&gt;="&amp;AI$9,招聘费明细!$F:$F,"&lt;="&amp;AI$10,招聘费明细!$A:$A,AI$6)/10000</f>
        <v>0</v>
      </c>
      <c r="AJ158" s="121">
        <f>SUMIFS(招聘费明细!$G:$G,招聘费明细!$B:$B,$E158,招聘费明细!$C:$C,$F158,招聘费明细!$F:$F,"&gt;="&amp;AJ$9,招聘费明细!$F:$F,"&lt;="&amp;AJ$10,招聘费明细!$A:$A,AJ$6)/10000</f>
        <v>0</v>
      </c>
      <c r="AK158" s="121">
        <f>SUMIFS(招聘费明细!$G:$G,招聘费明细!$B:$B,$E158,招聘费明细!$C:$C,$F158,招聘费明细!$F:$F,"&gt;="&amp;AK$9,招聘费明细!$F:$F,"&lt;="&amp;AK$10,招聘费明细!$A:$A,AK$6)/10000</f>
        <v>0</v>
      </c>
      <c r="AL158" s="121">
        <f>SUMIFS(招聘费明细!$G:$G,招聘费明细!$B:$B,$E158,招聘费明细!$C:$C,$F158,招聘费明细!$F:$F,"&gt;="&amp;AL$9,招聘费明细!$F:$F,"&lt;="&amp;AL$10,招聘费明细!$A:$A,AL$6)/10000</f>
        <v>0</v>
      </c>
      <c r="AM158" s="121">
        <f>SUMIFS(招聘费明细!$G:$G,招聘费明细!$B:$B,$E158,招聘费明细!$C:$C,$F158,招聘费明细!$F:$F,"&gt;="&amp;AM$9,招聘费明细!$F:$F,"&lt;="&amp;AM$10,招聘费明细!$A:$A,AM$6)/10000</f>
        <v>0</v>
      </c>
      <c r="AN158" s="121">
        <f>SUMIFS(招聘费明细!$G:$G,招聘费明细!$B:$B,$E158,招聘费明细!$C:$C,$F158,招聘费明细!$F:$F,"&gt;="&amp;AN$9,招聘费明细!$F:$F,"&lt;="&amp;AN$10,招聘费明细!$A:$A,AN$6)/10000</f>
        <v>0</v>
      </c>
      <c r="AO158" s="121">
        <f>SUMIFS(招聘费明细!$G:$G,招聘费明细!$B:$B,$E158,招聘费明细!$C:$C,$F158,招聘费明细!$F:$F,"&gt;="&amp;AO$9,招聘费明细!$F:$F,"&lt;="&amp;AO$10,招聘费明细!$A:$A,AO$6)/10000</f>
        <v>0</v>
      </c>
      <c r="AP158" s="121">
        <f>SUMIFS(招聘费明细!$G:$G,招聘费明细!$B:$B,$E158,招聘费明细!$C:$C,$F158,招聘费明细!$F:$F,"&gt;="&amp;AP$9,招聘费明细!$F:$F,"&lt;="&amp;AP$10,招聘费明细!$A:$A,AP$6)/10000</f>
        <v>0</v>
      </c>
      <c r="AQ158" s="121">
        <f>SUMIFS(招聘费明细!$G:$G,招聘费明细!$B:$B,$E158,招聘费明细!$C:$C,$F158,招聘费明细!$F:$F,"&gt;="&amp;AQ$9,招聘费明细!$F:$F,"&lt;="&amp;AQ$10,招聘费明细!$A:$A,AQ$6)/10000</f>
        <v>0</v>
      </c>
      <c r="AR158" s="121">
        <f>SUMIFS(招聘费明细!$G:$G,招聘费明细!$B:$B,$E158,招聘费明细!$C:$C,$F158,招聘费明细!$F:$F,"&gt;="&amp;AR$9,招聘费明细!$F:$F,"&lt;="&amp;AR$10,招聘费明细!$A:$A,AR$6)/10000</f>
        <v>0</v>
      </c>
      <c r="AS158" s="121">
        <f>SUMIFS(招聘费明细!$G:$G,招聘费明细!$B:$B,$E158,招聘费明细!$C:$C,$F158,招聘费明细!$F:$F,"&gt;="&amp;AS$9,招聘费明细!$F:$F,"&lt;="&amp;AS$10,招聘费明细!$A:$A,AS$6)/10000</f>
        <v>0</v>
      </c>
      <c r="AT158" s="121">
        <f>SUMIFS(招聘费明细!$G:$G,招聘费明细!$B:$B,$E158,招聘费明细!$C:$C,$F158,招聘费明细!$F:$F,"&gt;="&amp;AT$9,招聘费明细!$F:$F,"&lt;="&amp;AT$10,招聘费明细!$A:$A,AT$6)/10000</f>
        <v>0</v>
      </c>
      <c r="AU158" s="121">
        <f>SUMIFS(招聘费明细!$G:$G,招聘费明细!$B:$B,$E158,招聘费明细!$C:$C,$F158,招聘费明细!$F:$F,"&gt;="&amp;AU$9,招聘费明细!$F:$F,"&lt;="&amp;AU$10,招聘费明细!$A:$A,AU$6)/10000</f>
        <v>0</v>
      </c>
      <c r="AV158" s="121">
        <f>SUMIFS(招聘费明细!$G:$G,招聘费明细!$B:$B,$E158,招聘费明细!$C:$C,$F158,招聘费明细!$F:$F,"&gt;="&amp;AV$9,招聘费明细!$F:$F,"&lt;="&amp;AV$10,招聘费明细!$A:$A,AV$6)/10000</f>
        <v>0</v>
      </c>
      <c r="AW158" s="121">
        <f>SUMIFS(招聘费明细!$G:$G,招聘费明细!$B:$B,$E158,招聘费明细!$C:$C,$F158,招聘费明细!$F:$F,"&gt;="&amp;AW$9,招聘费明细!$F:$F,"&lt;="&amp;AW$10,招聘费明细!$A:$A,AW$6)/10000</f>
        <v>0</v>
      </c>
      <c r="AX158" s="121">
        <f>SUMIFS(招聘费明细!$G:$G,招聘费明细!$B:$B,$E158,招聘费明细!$C:$C,$F158,招聘费明细!$F:$F,"&gt;="&amp;AX$9,招聘费明细!$F:$F,"&lt;="&amp;AX$10,招聘费明细!$A:$A,AX$6)/10000</f>
        <v>0</v>
      </c>
      <c r="AY158" s="121">
        <f>SUMIFS(招聘费明细!$G:$G,招聘费明细!$B:$B,$E158,招聘费明细!$C:$C,$F158,招聘费明细!$F:$F,"&gt;="&amp;AY$9,招聘费明细!$F:$F,"&lt;="&amp;AY$10,招聘费明细!$A:$A,AY$6)/10000</f>
        <v>0</v>
      </c>
      <c r="AZ158" s="121">
        <f>SUMIFS(招聘费明细!$G:$G,招聘费明细!$B:$B,$E158,招聘费明细!$C:$C,$F158,招聘费明细!$F:$F,"&gt;="&amp;AZ$9,招聘费明细!$F:$F,"&lt;="&amp;AZ$10,招聘费明细!$A:$A,AZ$6)/10000</f>
        <v>0</v>
      </c>
      <c r="BA158" s="121">
        <f>SUMIFS(招聘费明细!$G:$G,招聘费明细!$B:$B,$E158,招聘费明细!$C:$C,$F158,招聘费明细!$F:$F,"&gt;="&amp;BA$9,招聘费明细!$F:$F,"&lt;="&amp;BA$10,招聘费明细!$A:$A,BA$6)/10000</f>
        <v>0</v>
      </c>
      <c r="BB158" s="121">
        <f>SUMIFS(招聘费明细!$G:$G,招聘费明细!$B:$B,$E158,招聘费明细!$C:$C,$F158,招聘费明细!$F:$F,"&gt;="&amp;BB$9,招聘费明细!$F:$F,"&lt;="&amp;BB$10,招聘费明细!$A:$A,BB$6)/10000</f>
        <v>0</v>
      </c>
      <c r="BC158" s="121">
        <f>SUMIFS(招聘费明细!$G:$G,招聘费明细!$B:$B,$E158,招聘费明细!$C:$C,$F158,招聘费明细!$F:$F,"&gt;="&amp;BC$9,招聘费明细!$F:$F,"&lt;="&amp;BC$10,招聘费明细!$A:$A,BC$6)/10000</f>
        <v>0</v>
      </c>
      <c r="BD158" s="121">
        <f>SUMIFS(招聘费明细!$G:$G,招聘费明细!$B:$B,$E158,招聘费明细!$C:$C,$F158,招聘费明细!$F:$F,"&gt;="&amp;BD$9,招聘费明细!$F:$F,"&lt;="&amp;BD$10,招聘费明细!$A:$A,BD$6)/10000</f>
        <v>0</v>
      </c>
      <c r="BE158" s="121">
        <f>SUMIFS(招聘费明细!$G:$G,招聘费明细!$B:$B,$E158,招聘费明细!$C:$C,$F158,招聘费明细!$F:$F,"&gt;="&amp;BE$9,招聘费明细!$F:$F,"&lt;="&amp;BE$10,招聘费明细!$A:$A,BE$6)/10000</f>
        <v>0</v>
      </c>
      <c r="BF158" s="121">
        <f>SUMIFS(招聘费明细!$G:$G,招聘费明细!$B:$B,$E158,招聘费明细!$C:$C,$F158,招聘费明细!$F:$F,"&gt;="&amp;BF$9,招聘费明细!$F:$F,"&lt;="&amp;BF$10,招聘费明细!$A:$A,BF$6)/10000</f>
        <v>0</v>
      </c>
      <c r="BG158" s="121">
        <f>SUMIFS(招聘费明细!$G:$G,招聘费明细!$B:$B,$E158,招聘费明细!$C:$C,$F158,招聘费明细!$F:$F,"&gt;="&amp;BG$9,招聘费明细!$F:$F,"&lt;="&amp;BG$10,招聘费明细!$A:$A,BG$6)/10000</f>
        <v>0</v>
      </c>
    </row>
    <row r="159" ht="16.2" spans="3:59">
      <c r="C159" s="42"/>
      <c r="D159" s="42" t="s">
        <v>90</v>
      </c>
      <c r="E159" s="116" t="str">
        <f t="shared" si="105"/>
        <v>支持中心</v>
      </c>
      <c r="F159" s="116" t="str">
        <f t="shared" si="106"/>
        <v>总经办</v>
      </c>
      <c r="G159" s="121">
        <f>SUMIFS(招聘费明细!$G:$G,招聘费明细!$B:$B,$E159,招聘费明细!$C:$C,$F159,招聘费明细!$F:$F,"&gt;="&amp;G$9,招聘费明细!$F:$F,"&lt;="&amp;G$10,招聘费明细!$A:$A,G$6)/10000</f>
        <v>0</v>
      </c>
      <c r="H159" s="121">
        <f>SUMIFS(招聘费明细!$G:$G,招聘费明细!$B:$B,$E159,招聘费明细!$C:$C,$F159,招聘费明细!$F:$F,"&gt;="&amp;H$9,招聘费明细!$F:$F,"&lt;="&amp;H$10,招聘费明细!$A:$A,H$6)/10000</f>
        <v>0</v>
      </c>
      <c r="I159" s="121">
        <f>SUMIFS(招聘费明细!$G:$G,招聘费明细!$B:$B,$E159,招聘费明细!$C:$C,$F159,招聘费明细!$F:$F,"&gt;="&amp;I$9,招聘费明细!$F:$F,"&lt;="&amp;I$10,招聘费明细!$A:$A,I$6)/10000</f>
        <v>0</v>
      </c>
      <c r="J159" s="121">
        <f>SUMIFS(招聘费明细!$G:$G,招聘费明细!$B:$B,$E159,招聘费明细!$C:$C,$F159,招聘费明细!$F:$F,"&gt;="&amp;J$9,招聘费明细!$F:$F,"&lt;="&amp;J$10,招聘费明细!$A:$A,J$6)/10000</f>
        <v>0</v>
      </c>
      <c r="K159" s="121">
        <f>SUMIFS(招聘费明细!$G:$G,招聘费明细!$B:$B,$E159,招聘费明细!$C:$C,$F159,招聘费明细!$F:$F,"&gt;="&amp;K$9,招聘费明细!$F:$F,"&lt;="&amp;K$10,招聘费明细!$A:$A,K$6)/10000</f>
        <v>0</v>
      </c>
      <c r="L159" s="121">
        <f>SUMIFS(招聘费明细!$G:$G,招聘费明细!$B:$B,$E159,招聘费明细!$C:$C,$F159,招聘费明细!$F:$F,"&gt;="&amp;L$9,招聘费明细!$F:$F,"&lt;="&amp;L$10,招聘费明细!$A:$A,L$6)/10000</f>
        <v>0</v>
      </c>
      <c r="M159" s="121">
        <f>SUMIFS(招聘费明细!$G:$G,招聘费明细!$B:$B,$E159,招聘费明细!$C:$C,$F159,招聘费明细!$F:$F,"&gt;="&amp;M$9,招聘费明细!$F:$F,"&lt;="&amp;M$10,招聘费明细!$A:$A,M$6)/10000</f>
        <v>0</v>
      </c>
      <c r="N159" s="121">
        <f>SUMIFS(招聘费明细!$G:$G,招聘费明细!$B:$B,$E159,招聘费明细!$C:$C,$F159,招聘费明细!$F:$F,"&gt;="&amp;N$9,招聘费明细!$F:$F,"&lt;="&amp;N$10,招聘费明细!$A:$A,N$6)/10000</f>
        <v>0</v>
      </c>
      <c r="O159" s="121">
        <f>SUMIFS(招聘费明细!$G:$G,招聘费明细!$B:$B,$E159,招聘费明细!$C:$C,$F159,招聘费明细!$F:$F,"&gt;="&amp;O$9,招聘费明细!$F:$F,"&lt;="&amp;O$10,招聘费明细!$A:$A,O$6)/10000</f>
        <v>0</v>
      </c>
      <c r="P159" s="121">
        <f>SUMIFS(招聘费明细!$G:$G,招聘费明细!$B:$B,$E159,招聘费明细!$C:$C,$F159,招聘费明细!$F:$F,"&gt;="&amp;P$9,招聘费明细!$F:$F,"&lt;="&amp;P$10,招聘费明细!$A:$A,P$6)/10000</f>
        <v>0</v>
      </c>
      <c r="Q159" s="121">
        <f>SUMIFS(招聘费明细!$G:$G,招聘费明细!$B:$B,$E159,招聘费明细!$C:$C,$F159,招聘费明细!$F:$F,"&gt;="&amp;Q$9,招聘费明细!$F:$F,"&lt;="&amp;Q$10,招聘费明细!$A:$A,Q$6)/10000</f>
        <v>0</v>
      </c>
      <c r="R159" s="121">
        <f>SUMIFS(招聘费明细!$G:$G,招聘费明细!$B:$B,$E159,招聘费明细!$C:$C,$F159,招聘费明细!$F:$F,"&gt;="&amp;R$9,招聘费明细!$F:$F,"&lt;="&amp;R$10,招聘费明细!$A:$A,R$6)/10000</f>
        <v>0</v>
      </c>
      <c r="S159" s="121">
        <f>SUMIFS(招聘费明细!$G:$G,招聘费明细!$B:$B,$E159,招聘费明细!$C:$C,$F159,招聘费明细!$F:$F,"&gt;="&amp;S$9,招聘费明细!$F:$F,"&lt;="&amp;S$10,招聘费明细!$A:$A,S$6)/10000</f>
        <v>0</v>
      </c>
      <c r="T159" s="125">
        <f t="shared" si="107"/>
        <v>0</v>
      </c>
      <c r="U159" s="121">
        <f>SUMIFS(招聘费明细!$G:$G,招聘费明细!$B:$B,$E159,招聘费明细!$C:$C,$F159,招聘费明细!$F:$F,"&gt;="&amp;U$9,招聘费明细!$F:$F,"&lt;="&amp;U$10,招聘费明细!$A:$A,U$6)/10000</f>
        <v>0</v>
      </c>
      <c r="V159" s="121">
        <f>SUMIFS(招聘费明细!$G:$G,招聘费明细!$B:$B,$E159,招聘费明细!$C:$C,$F159,招聘费明细!$F:$F,"&gt;="&amp;V$9,招聘费明细!$F:$F,"&lt;="&amp;V$10,招聘费明细!$A:$A,V$6)/10000</f>
        <v>0</v>
      </c>
      <c r="W159" s="121">
        <f>SUMIFS(招聘费明细!$G:$G,招聘费明细!$B:$B,$E159,招聘费明细!$C:$C,$F159,招聘费明细!$F:$F,"&gt;="&amp;W$9,招聘费明细!$F:$F,"&lt;="&amp;W$10,招聘费明细!$A:$A,W$6)/10000</f>
        <v>0</v>
      </c>
      <c r="X159" s="121">
        <f>SUMIFS(招聘费明细!$G:$G,招聘费明细!$B:$B,$E159,招聘费明细!$C:$C,$F159,招聘费明细!$F:$F,"&gt;="&amp;X$9,招聘费明细!$F:$F,"&lt;="&amp;X$10,招聘费明细!$A:$A,X$6)/10000</f>
        <v>0</v>
      </c>
      <c r="Y159" s="121">
        <f>SUMIFS(招聘费明细!$G:$G,招聘费明细!$B:$B,$E159,招聘费明细!$C:$C,$F159,招聘费明细!$F:$F,"&gt;="&amp;Y$9,招聘费明细!$F:$F,"&lt;="&amp;Y$10,招聘费明细!$A:$A,Y$6)/10000</f>
        <v>0</v>
      </c>
      <c r="Z159" s="121">
        <f>SUMIFS(招聘费明细!$G:$G,招聘费明细!$B:$B,$E159,招聘费明细!$C:$C,$F159,招聘费明细!$F:$F,"&gt;="&amp;Z$9,招聘费明细!$F:$F,"&lt;="&amp;Z$10,招聘费明细!$A:$A,Z$6)/10000</f>
        <v>0</v>
      </c>
      <c r="AA159" s="121">
        <f>SUMIFS(招聘费明细!$G:$G,招聘费明细!$B:$B,$E159,招聘费明细!$C:$C,$F159,招聘费明细!$F:$F,"&gt;="&amp;AA$9,招聘费明细!$F:$F,"&lt;="&amp;AA$10,招聘费明细!$A:$A,AA$6)/10000</f>
        <v>0</v>
      </c>
      <c r="AB159" s="121">
        <f>SUMIFS(招聘费明细!$G:$G,招聘费明细!$B:$B,$E159,招聘费明细!$C:$C,$F159,招聘费明细!$F:$F,"&gt;="&amp;AB$9,招聘费明细!$F:$F,"&lt;="&amp;AB$10,招聘费明细!$A:$A,AB$6)/10000</f>
        <v>0</v>
      </c>
      <c r="AC159" s="121">
        <f>SUMIFS(招聘费明细!$G:$G,招聘费明细!$B:$B,$E159,招聘费明细!$C:$C,$F159,招聘费明细!$F:$F,"&gt;="&amp;AC$9,招聘费明细!$F:$F,"&lt;="&amp;AC$10,招聘费明细!$A:$A,AC$6)/10000</f>
        <v>0</v>
      </c>
      <c r="AD159" s="121">
        <f>SUMIFS(招聘费明细!$G:$G,招聘费明细!$B:$B,$E159,招聘费明细!$C:$C,$F159,招聘费明细!$F:$F,"&gt;="&amp;AD$9,招聘费明细!$F:$F,"&lt;="&amp;AD$10,招聘费明细!$A:$A,AD$6)/10000</f>
        <v>0</v>
      </c>
      <c r="AE159" s="121">
        <f>SUMIFS(招聘费明细!$G:$G,招聘费明细!$B:$B,$E159,招聘费明细!$C:$C,$F159,招聘费明细!$F:$F,"&gt;="&amp;AE$9,招聘费明细!$F:$F,"&lt;="&amp;AE$10,招聘费明细!$A:$A,AE$6)/10000</f>
        <v>0</v>
      </c>
      <c r="AF159" s="121">
        <f>SUMIFS(招聘费明细!$G:$G,招聘费明细!$B:$B,$E159,招聘费明细!$C:$C,$F159,招聘费明细!$F:$F,"&gt;="&amp;AF$9,招聘费明细!$F:$F,"&lt;="&amp;AF$10,招聘费明细!$A:$A,AF$6)/10000</f>
        <v>0</v>
      </c>
      <c r="AG159" s="121">
        <f>SUMIFS(招聘费明细!$G:$G,招聘费明细!$B:$B,$E159,招聘费明细!$C:$C,$F159,招聘费明细!$F:$F,"&gt;="&amp;AG$9,招聘费明细!$F:$F,"&lt;="&amp;AG$10,招聘费明细!$A:$A,AG$6)/10000</f>
        <v>0</v>
      </c>
      <c r="AH159" s="121">
        <f>SUMIFS(招聘费明细!$G:$G,招聘费明细!$B:$B,$E159,招聘费明细!$C:$C,$F159,招聘费明细!$F:$F,"&gt;="&amp;AH$9,招聘费明细!$F:$F,"&lt;="&amp;AH$10,招聘费明细!$A:$A,AH$6)/10000</f>
        <v>0</v>
      </c>
      <c r="AI159" s="121">
        <f>SUMIFS(招聘费明细!$G:$G,招聘费明细!$B:$B,$E159,招聘费明细!$C:$C,$F159,招聘费明细!$F:$F,"&gt;="&amp;AI$9,招聘费明细!$F:$F,"&lt;="&amp;AI$10,招聘费明细!$A:$A,AI$6)/10000</f>
        <v>0</v>
      </c>
      <c r="AJ159" s="121">
        <f>SUMIFS(招聘费明细!$G:$G,招聘费明细!$B:$B,$E159,招聘费明细!$C:$C,$F159,招聘费明细!$F:$F,"&gt;="&amp;AJ$9,招聘费明细!$F:$F,"&lt;="&amp;AJ$10,招聘费明细!$A:$A,AJ$6)/10000</f>
        <v>0</v>
      </c>
      <c r="AK159" s="121">
        <f>SUMIFS(招聘费明细!$G:$G,招聘费明细!$B:$B,$E159,招聘费明细!$C:$C,$F159,招聘费明细!$F:$F,"&gt;="&amp;AK$9,招聘费明细!$F:$F,"&lt;="&amp;AK$10,招聘费明细!$A:$A,AK$6)/10000</f>
        <v>0</v>
      </c>
      <c r="AL159" s="121">
        <f>SUMIFS(招聘费明细!$G:$G,招聘费明细!$B:$B,$E159,招聘费明细!$C:$C,$F159,招聘费明细!$F:$F,"&gt;="&amp;AL$9,招聘费明细!$F:$F,"&lt;="&amp;AL$10,招聘费明细!$A:$A,AL$6)/10000</f>
        <v>0</v>
      </c>
      <c r="AM159" s="121">
        <f>SUMIFS(招聘费明细!$G:$G,招聘费明细!$B:$B,$E159,招聘费明细!$C:$C,$F159,招聘费明细!$F:$F,"&gt;="&amp;AM$9,招聘费明细!$F:$F,"&lt;="&amp;AM$10,招聘费明细!$A:$A,AM$6)/10000</f>
        <v>0</v>
      </c>
      <c r="AN159" s="121">
        <f>SUMIFS(招聘费明细!$G:$G,招聘费明细!$B:$B,$E159,招聘费明细!$C:$C,$F159,招聘费明细!$F:$F,"&gt;="&amp;AN$9,招聘费明细!$F:$F,"&lt;="&amp;AN$10,招聘费明细!$A:$A,AN$6)/10000</f>
        <v>0</v>
      </c>
      <c r="AO159" s="121">
        <f>SUMIFS(招聘费明细!$G:$G,招聘费明细!$B:$B,$E159,招聘费明细!$C:$C,$F159,招聘费明细!$F:$F,"&gt;="&amp;AO$9,招聘费明细!$F:$F,"&lt;="&amp;AO$10,招聘费明细!$A:$A,AO$6)/10000</f>
        <v>0</v>
      </c>
      <c r="AP159" s="121">
        <f>SUMIFS(招聘费明细!$G:$G,招聘费明细!$B:$B,$E159,招聘费明细!$C:$C,$F159,招聘费明细!$F:$F,"&gt;="&amp;AP$9,招聘费明细!$F:$F,"&lt;="&amp;AP$10,招聘费明细!$A:$A,AP$6)/10000</f>
        <v>0</v>
      </c>
      <c r="AQ159" s="121">
        <f>SUMIFS(招聘费明细!$G:$G,招聘费明细!$B:$B,$E159,招聘费明细!$C:$C,$F159,招聘费明细!$F:$F,"&gt;="&amp;AQ$9,招聘费明细!$F:$F,"&lt;="&amp;AQ$10,招聘费明细!$A:$A,AQ$6)/10000</f>
        <v>0</v>
      </c>
      <c r="AR159" s="121">
        <f>SUMIFS(招聘费明细!$G:$G,招聘费明细!$B:$B,$E159,招聘费明细!$C:$C,$F159,招聘费明细!$F:$F,"&gt;="&amp;AR$9,招聘费明细!$F:$F,"&lt;="&amp;AR$10,招聘费明细!$A:$A,AR$6)/10000</f>
        <v>0</v>
      </c>
      <c r="AS159" s="121">
        <f>SUMIFS(招聘费明细!$G:$G,招聘费明细!$B:$B,$E159,招聘费明细!$C:$C,$F159,招聘费明细!$F:$F,"&gt;="&amp;AS$9,招聘费明细!$F:$F,"&lt;="&amp;AS$10,招聘费明细!$A:$A,AS$6)/10000</f>
        <v>0</v>
      </c>
      <c r="AT159" s="121">
        <f>SUMIFS(招聘费明细!$G:$G,招聘费明细!$B:$B,$E159,招聘费明细!$C:$C,$F159,招聘费明细!$F:$F,"&gt;="&amp;AT$9,招聘费明细!$F:$F,"&lt;="&amp;AT$10,招聘费明细!$A:$A,AT$6)/10000</f>
        <v>0</v>
      </c>
      <c r="AU159" s="121">
        <f>SUMIFS(招聘费明细!$G:$G,招聘费明细!$B:$B,$E159,招聘费明细!$C:$C,$F159,招聘费明细!$F:$F,"&gt;="&amp;AU$9,招聘费明细!$F:$F,"&lt;="&amp;AU$10,招聘费明细!$A:$A,AU$6)/10000</f>
        <v>0</v>
      </c>
      <c r="AV159" s="121">
        <f>SUMIFS(招聘费明细!$G:$G,招聘费明细!$B:$B,$E159,招聘费明细!$C:$C,$F159,招聘费明细!$F:$F,"&gt;="&amp;AV$9,招聘费明细!$F:$F,"&lt;="&amp;AV$10,招聘费明细!$A:$A,AV$6)/10000</f>
        <v>0</v>
      </c>
      <c r="AW159" s="121">
        <f>SUMIFS(招聘费明细!$G:$G,招聘费明细!$B:$B,$E159,招聘费明细!$C:$C,$F159,招聘费明细!$F:$F,"&gt;="&amp;AW$9,招聘费明细!$F:$F,"&lt;="&amp;AW$10,招聘费明细!$A:$A,AW$6)/10000</f>
        <v>0</v>
      </c>
      <c r="AX159" s="121">
        <f>SUMIFS(招聘费明细!$G:$G,招聘费明细!$B:$B,$E159,招聘费明细!$C:$C,$F159,招聘费明细!$F:$F,"&gt;="&amp;AX$9,招聘费明细!$F:$F,"&lt;="&amp;AX$10,招聘费明细!$A:$A,AX$6)/10000</f>
        <v>0</v>
      </c>
      <c r="AY159" s="121">
        <f>SUMIFS(招聘费明细!$G:$G,招聘费明细!$B:$B,$E159,招聘费明细!$C:$C,$F159,招聘费明细!$F:$F,"&gt;="&amp;AY$9,招聘费明细!$F:$F,"&lt;="&amp;AY$10,招聘费明细!$A:$A,AY$6)/10000</f>
        <v>0</v>
      </c>
      <c r="AZ159" s="121">
        <f>SUMIFS(招聘费明细!$G:$G,招聘费明细!$B:$B,$E159,招聘费明细!$C:$C,$F159,招聘费明细!$F:$F,"&gt;="&amp;AZ$9,招聘费明细!$F:$F,"&lt;="&amp;AZ$10,招聘费明细!$A:$A,AZ$6)/10000</f>
        <v>0</v>
      </c>
      <c r="BA159" s="121">
        <f>SUMIFS(招聘费明细!$G:$G,招聘费明细!$B:$B,$E159,招聘费明细!$C:$C,$F159,招聘费明细!$F:$F,"&gt;="&amp;BA$9,招聘费明细!$F:$F,"&lt;="&amp;BA$10,招聘费明细!$A:$A,BA$6)/10000</f>
        <v>0</v>
      </c>
      <c r="BB159" s="121">
        <f>SUMIFS(招聘费明细!$G:$G,招聘费明细!$B:$B,$E159,招聘费明细!$C:$C,$F159,招聘费明细!$F:$F,"&gt;="&amp;BB$9,招聘费明细!$F:$F,"&lt;="&amp;BB$10,招聘费明细!$A:$A,BB$6)/10000</f>
        <v>0</v>
      </c>
      <c r="BC159" s="121">
        <f>SUMIFS(招聘费明细!$G:$G,招聘费明细!$B:$B,$E159,招聘费明细!$C:$C,$F159,招聘费明细!$F:$F,"&gt;="&amp;BC$9,招聘费明细!$F:$F,"&lt;="&amp;BC$10,招聘费明细!$A:$A,BC$6)/10000</f>
        <v>0</v>
      </c>
      <c r="BD159" s="121">
        <f>SUMIFS(招聘费明细!$G:$G,招聘费明细!$B:$B,$E159,招聘费明细!$C:$C,$F159,招聘费明细!$F:$F,"&gt;="&amp;BD$9,招聘费明细!$F:$F,"&lt;="&amp;BD$10,招聘费明细!$A:$A,BD$6)/10000</f>
        <v>0</v>
      </c>
      <c r="BE159" s="121">
        <f>SUMIFS(招聘费明细!$G:$G,招聘费明细!$B:$B,$E159,招聘费明细!$C:$C,$F159,招聘费明细!$F:$F,"&gt;="&amp;BE$9,招聘费明细!$F:$F,"&lt;="&amp;BE$10,招聘费明细!$A:$A,BE$6)/10000</f>
        <v>0</v>
      </c>
      <c r="BF159" s="121">
        <f>SUMIFS(招聘费明细!$G:$G,招聘费明细!$B:$B,$E159,招聘费明细!$C:$C,$F159,招聘费明细!$F:$F,"&gt;="&amp;BF$9,招聘费明细!$F:$F,"&lt;="&amp;BF$10,招聘费明细!$A:$A,BF$6)/10000</f>
        <v>0</v>
      </c>
      <c r="BG159" s="121">
        <f>SUMIFS(招聘费明细!$G:$G,招聘费明细!$B:$B,$E159,招聘费明细!$C:$C,$F159,招聘费明细!$F:$F,"&gt;="&amp;BG$9,招聘费明细!$F:$F,"&lt;="&amp;BG$10,招聘费明细!$A:$A,BG$6)/10000</f>
        <v>0</v>
      </c>
    </row>
  </sheetData>
  <sheetProtection formatCells="0" formatColumns="0" formatRows="0" insertRows="0" insertColumns="0" autoFilter="0"/>
  <mergeCells count="12">
    <mergeCell ref="C3:D3"/>
    <mergeCell ref="B5:F5"/>
    <mergeCell ref="H5:S5"/>
    <mergeCell ref="V5:AG5"/>
    <mergeCell ref="AI5:AT5"/>
    <mergeCell ref="AV5:BG5"/>
    <mergeCell ref="G7:G8"/>
    <mergeCell ref="T7:T8"/>
    <mergeCell ref="U7:U8"/>
    <mergeCell ref="AH7:AH8"/>
    <mergeCell ref="AU7:AU8"/>
    <mergeCell ref="B6:F8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31"/>
  <sheetViews>
    <sheetView workbookViewId="0">
      <selection activeCell="Q13" sqref="Q13"/>
    </sheetView>
  </sheetViews>
  <sheetFormatPr defaultColWidth="9" defaultRowHeight="15.6"/>
  <cols>
    <col min="1" max="3" width="8.88888888888889" style="74"/>
    <col min="4" max="5" width="11.6666666666667" style="74" customWidth="1"/>
    <col min="6" max="6" width="8.88888888888889" style="74"/>
    <col min="7" max="7" width="13.8888888888889" style="74" customWidth="1"/>
    <col min="8" max="11" width="14.2222222222222" style="74" customWidth="1"/>
    <col min="12" max="12" width="13.5555555555556" style="89" customWidth="1"/>
    <col min="13" max="14" width="11" style="89" customWidth="1"/>
    <col min="15" max="15" width="12.3333333333333" style="89" customWidth="1"/>
    <col min="16" max="16384" width="8.88888888888889" style="74"/>
  </cols>
  <sheetData>
    <row r="1" ht="14.4" spans="1:1">
      <c r="A1" s="95" t="s">
        <v>100</v>
      </c>
    </row>
    <row r="2" ht="14.4" spans="1:1">
      <c r="A2" s="95" t="s">
        <v>101</v>
      </c>
    </row>
    <row r="3" spans="1:16">
      <c r="A3" s="92" t="s">
        <v>102</v>
      </c>
      <c r="B3" s="85" t="s">
        <v>103</v>
      </c>
      <c r="C3" s="85" t="s">
        <v>104</v>
      </c>
      <c r="D3" s="85" t="s">
        <v>105</v>
      </c>
      <c r="E3" s="85" t="s">
        <v>106</v>
      </c>
      <c r="F3" s="85" t="s">
        <v>107</v>
      </c>
      <c r="G3" s="85" t="s">
        <v>108</v>
      </c>
      <c r="H3" s="85" t="s">
        <v>109</v>
      </c>
      <c r="I3" s="85" t="s">
        <v>110</v>
      </c>
      <c r="J3" s="85" t="s">
        <v>111</v>
      </c>
      <c r="K3" s="85" t="s">
        <v>91</v>
      </c>
      <c r="L3" s="96" t="s">
        <v>92</v>
      </c>
      <c r="M3" s="97" t="s">
        <v>93</v>
      </c>
      <c r="N3" s="97" t="s">
        <v>94</v>
      </c>
      <c r="O3" s="97" t="s">
        <v>112</v>
      </c>
      <c r="P3" s="85" t="s">
        <v>4</v>
      </c>
    </row>
    <row r="4" spans="1:15">
      <c r="A4" s="74" t="s">
        <v>113</v>
      </c>
      <c r="B4" s="74" t="s">
        <v>114</v>
      </c>
      <c r="C4" s="74" t="s">
        <v>115</v>
      </c>
      <c r="D4" s="74" t="s">
        <v>79</v>
      </c>
      <c r="E4" s="74" t="s">
        <v>80</v>
      </c>
      <c r="F4" s="86" t="s">
        <v>116</v>
      </c>
      <c r="G4" s="74" t="s">
        <v>117</v>
      </c>
      <c r="H4" s="87">
        <v>44227</v>
      </c>
      <c r="I4" s="98">
        <v>23</v>
      </c>
      <c r="J4" s="98">
        <v>23</v>
      </c>
      <c r="K4" s="89">
        <f>I4/J4</f>
        <v>1</v>
      </c>
      <c r="L4" s="89">
        <v>8113.46</v>
      </c>
      <c r="M4" s="89">
        <v>3009.47</v>
      </c>
      <c r="N4" s="89">
        <v>872.33</v>
      </c>
      <c r="O4" s="89">
        <f>SUM(L4:N4)</f>
        <v>11995.26</v>
      </c>
    </row>
    <row r="5" spans="1:15">
      <c r="A5" s="74" t="s">
        <v>113</v>
      </c>
      <c r="B5" s="74" t="s">
        <v>118</v>
      </c>
      <c r="C5" s="74" t="s">
        <v>119</v>
      </c>
      <c r="D5" s="74" t="s">
        <v>79</v>
      </c>
      <c r="E5" s="74" t="s">
        <v>80</v>
      </c>
      <c r="F5" s="86" t="s">
        <v>120</v>
      </c>
      <c r="G5" s="74" t="s">
        <v>117</v>
      </c>
      <c r="H5" s="87">
        <v>44227</v>
      </c>
      <c r="I5" s="98">
        <v>23</v>
      </c>
      <c r="J5" s="98">
        <v>23</v>
      </c>
      <c r="K5" s="89">
        <f t="shared" ref="K5:K68" si="0">I5/J5</f>
        <v>1</v>
      </c>
      <c r="L5" s="89">
        <v>7369.54</v>
      </c>
      <c r="M5" s="89">
        <v>3095.68</v>
      </c>
      <c r="N5" s="89">
        <v>726.93</v>
      </c>
      <c r="O5" s="89">
        <f t="shared" ref="O5:O68" si="1">SUM(L5:N5)</f>
        <v>11192.15</v>
      </c>
    </row>
    <row r="6" spans="1:15">
      <c r="A6" s="74" t="s">
        <v>113</v>
      </c>
      <c r="B6" s="74" t="s">
        <v>121</v>
      </c>
      <c r="C6" s="74" t="s">
        <v>122</v>
      </c>
      <c r="D6" s="74" t="s">
        <v>79</v>
      </c>
      <c r="E6" s="74" t="s">
        <v>80</v>
      </c>
      <c r="F6" s="86" t="s">
        <v>123</v>
      </c>
      <c r="G6" s="74" t="s">
        <v>117</v>
      </c>
      <c r="H6" s="87">
        <v>44227</v>
      </c>
      <c r="I6" s="98">
        <v>23</v>
      </c>
      <c r="J6" s="98">
        <v>23</v>
      </c>
      <c r="K6" s="89">
        <f t="shared" si="0"/>
        <v>1</v>
      </c>
      <c r="L6" s="89">
        <v>6362.78</v>
      </c>
      <c r="M6" s="89">
        <v>3158.05</v>
      </c>
      <c r="N6" s="89">
        <v>643.51</v>
      </c>
      <c r="O6" s="89">
        <f t="shared" si="1"/>
        <v>10164.34</v>
      </c>
    </row>
    <row r="7" spans="1:15">
      <c r="A7" s="74" t="s">
        <v>113</v>
      </c>
      <c r="B7" s="74" t="s">
        <v>124</v>
      </c>
      <c r="C7" s="74" t="s">
        <v>125</v>
      </c>
      <c r="D7" s="74" t="s">
        <v>79</v>
      </c>
      <c r="E7" s="74" t="s">
        <v>80</v>
      </c>
      <c r="F7" s="86" t="s">
        <v>116</v>
      </c>
      <c r="G7" s="74" t="s">
        <v>117</v>
      </c>
      <c r="H7" s="87">
        <v>44227</v>
      </c>
      <c r="I7" s="98">
        <v>23</v>
      </c>
      <c r="J7" s="98">
        <v>23</v>
      </c>
      <c r="K7" s="89">
        <f t="shared" si="0"/>
        <v>1</v>
      </c>
      <c r="L7" s="89">
        <v>8250.68</v>
      </c>
      <c r="M7" s="89">
        <v>3081.46</v>
      </c>
      <c r="N7" s="89">
        <v>845.77</v>
      </c>
      <c r="O7" s="89">
        <f t="shared" si="1"/>
        <v>12177.91</v>
      </c>
    </row>
    <row r="8" spans="1:15">
      <c r="A8" s="74" t="s">
        <v>113</v>
      </c>
      <c r="B8" s="74" t="s">
        <v>126</v>
      </c>
      <c r="C8" s="74" t="s">
        <v>127</v>
      </c>
      <c r="D8" s="74" t="s">
        <v>79</v>
      </c>
      <c r="E8" s="74" t="s">
        <v>80</v>
      </c>
      <c r="F8" s="86" t="s">
        <v>120</v>
      </c>
      <c r="G8" s="74" t="s">
        <v>117</v>
      </c>
      <c r="H8" s="87">
        <v>44227</v>
      </c>
      <c r="I8" s="98">
        <v>23</v>
      </c>
      <c r="J8" s="98">
        <v>23</v>
      </c>
      <c r="K8" s="89">
        <f t="shared" si="0"/>
        <v>1</v>
      </c>
      <c r="L8" s="89">
        <v>7634.45</v>
      </c>
      <c r="M8" s="89">
        <v>3235.85</v>
      </c>
      <c r="N8" s="89">
        <v>757.91</v>
      </c>
      <c r="O8" s="89">
        <f t="shared" si="1"/>
        <v>11628.21</v>
      </c>
    </row>
    <row r="9" spans="1:15">
      <c r="A9" s="74" t="s">
        <v>113</v>
      </c>
      <c r="B9" s="74" t="s">
        <v>128</v>
      </c>
      <c r="C9" s="74" t="s">
        <v>129</v>
      </c>
      <c r="D9" s="74" t="s">
        <v>79</v>
      </c>
      <c r="E9" s="74" t="s">
        <v>80</v>
      </c>
      <c r="F9" s="86" t="s">
        <v>123</v>
      </c>
      <c r="G9" s="74" t="s">
        <v>117</v>
      </c>
      <c r="H9" s="87">
        <v>44227</v>
      </c>
      <c r="I9" s="98">
        <v>23</v>
      </c>
      <c r="J9" s="98">
        <v>23</v>
      </c>
      <c r="K9" s="89">
        <f t="shared" si="0"/>
        <v>1</v>
      </c>
      <c r="L9" s="89">
        <v>6320.49</v>
      </c>
      <c r="M9" s="89">
        <v>3150.18</v>
      </c>
      <c r="N9" s="89">
        <v>601.8</v>
      </c>
      <c r="O9" s="89">
        <f t="shared" si="1"/>
        <v>10072.47</v>
      </c>
    </row>
    <row r="10" spans="1:15">
      <c r="A10" s="74" t="s">
        <v>113</v>
      </c>
      <c r="B10" s="74" t="s">
        <v>130</v>
      </c>
      <c r="C10" s="74" t="s">
        <v>131</v>
      </c>
      <c r="D10" s="74" t="s">
        <v>79</v>
      </c>
      <c r="E10" s="74" t="s">
        <v>80</v>
      </c>
      <c r="F10" s="86" t="s">
        <v>116</v>
      </c>
      <c r="G10" s="74" t="s">
        <v>117</v>
      </c>
      <c r="H10" s="87">
        <v>44227</v>
      </c>
      <c r="I10" s="98">
        <v>23</v>
      </c>
      <c r="J10" s="98">
        <v>23</v>
      </c>
      <c r="K10" s="89">
        <f t="shared" si="0"/>
        <v>1</v>
      </c>
      <c r="L10" s="89">
        <v>8773.6</v>
      </c>
      <c r="M10" s="89">
        <v>3189.11</v>
      </c>
      <c r="N10" s="89">
        <v>810.28</v>
      </c>
      <c r="O10" s="89">
        <f t="shared" si="1"/>
        <v>12772.99</v>
      </c>
    </row>
    <row r="11" spans="1:15">
      <c r="A11" s="74" t="s">
        <v>113</v>
      </c>
      <c r="B11" s="74" t="s">
        <v>132</v>
      </c>
      <c r="C11" s="74" t="s">
        <v>133</v>
      </c>
      <c r="D11" s="74" t="s">
        <v>79</v>
      </c>
      <c r="E11" s="74" t="s">
        <v>80</v>
      </c>
      <c r="F11" s="86" t="s">
        <v>120</v>
      </c>
      <c r="G11" s="74" t="s">
        <v>117</v>
      </c>
      <c r="H11" s="87">
        <v>44227</v>
      </c>
      <c r="I11" s="98">
        <v>23</v>
      </c>
      <c r="J11" s="98">
        <v>23</v>
      </c>
      <c r="K11" s="89">
        <f t="shared" si="0"/>
        <v>1</v>
      </c>
      <c r="L11" s="89">
        <v>7098.06</v>
      </c>
      <c r="M11" s="89">
        <v>3118.39</v>
      </c>
      <c r="N11" s="89">
        <v>713.34</v>
      </c>
      <c r="O11" s="89">
        <f t="shared" si="1"/>
        <v>10929.79</v>
      </c>
    </row>
    <row r="12" spans="1:15">
      <c r="A12" s="74" t="s">
        <v>113</v>
      </c>
      <c r="B12" s="74" t="s">
        <v>134</v>
      </c>
      <c r="C12" s="74" t="s">
        <v>135</v>
      </c>
      <c r="D12" s="74" t="s">
        <v>79</v>
      </c>
      <c r="E12" s="74" t="s">
        <v>80</v>
      </c>
      <c r="F12" s="86" t="s">
        <v>123</v>
      </c>
      <c r="G12" s="74" t="s">
        <v>117</v>
      </c>
      <c r="H12" s="87">
        <v>44227</v>
      </c>
      <c r="I12" s="98">
        <v>23</v>
      </c>
      <c r="J12" s="98">
        <v>23</v>
      </c>
      <c r="K12" s="89">
        <f t="shared" si="0"/>
        <v>1</v>
      </c>
      <c r="L12" s="89">
        <v>6436.43</v>
      </c>
      <c r="M12" s="89">
        <v>3081.24</v>
      </c>
      <c r="N12" s="89">
        <v>626.52</v>
      </c>
      <c r="O12" s="89">
        <f t="shared" si="1"/>
        <v>10144.19</v>
      </c>
    </row>
    <row r="13" spans="1:15">
      <c r="A13" s="74" t="s">
        <v>113</v>
      </c>
      <c r="B13" s="74" t="s">
        <v>136</v>
      </c>
      <c r="C13" s="74" t="s">
        <v>137</v>
      </c>
      <c r="D13" s="74" t="s">
        <v>79</v>
      </c>
      <c r="E13" s="74" t="s">
        <v>80</v>
      </c>
      <c r="F13" s="86" t="s">
        <v>116</v>
      </c>
      <c r="G13" s="74" t="s">
        <v>138</v>
      </c>
      <c r="H13" s="87">
        <v>44227</v>
      </c>
      <c r="I13" s="98">
        <v>23</v>
      </c>
      <c r="J13" s="98">
        <v>23</v>
      </c>
      <c r="K13" s="89">
        <f t="shared" si="0"/>
        <v>1</v>
      </c>
      <c r="L13" s="89">
        <v>8543.69</v>
      </c>
      <c r="M13" s="89">
        <v>3033.89</v>
      </c>
      <c r="N13" s="89">
        <v>850.07</v>
      </c>
      <c r="O13" s="89">
        <f t="shared" si="1"/>
        <v>12427.65</v>
      </c>
    </row>
    <row r="14" spans="1:15">
      <c r="A14" s="74" t="s">
        <v>113</v>
      </c>
      <c r="B14" s="74" t="s">
        <v>139</v>
      </c>
      <c r="C14" s="74" t="s">
        <v>140</v>
      </c>
      <c r="D14" s="74" t="s">
        <v>79</v>
      </c>
      <c r="E14" s="74" t="s">
        <v>80</v>
      </c>
      <c r="F14" s="86" t="s">
        <v>120</v>
      </c>
      <c r="G14" s="74" t="s">
        <v>138</v>
      </c>
      <c r="H14" s="87">
        <v>44227</v>
      </c>
      <c r="I14" s="98">
        <v>23</v>
      </c>
      <c r="J14" s="98">
        <v>23</v>
      </c>
      <c r="K14" s="89">
        <f t="shared" si="0"/>
        <v>1</v>
      </c>
      <c r="L14" s="89">
        <v>7119.83</v>
      </c>
      <c r="M14" s="89">
        <v>3077.3</v>
      </c>
      <c r="N14" s="89">
        <v>763.94</v>
      </c>
      <c r="O14" s="89">
        <f t="shared" si="1"/>
        <v>10961.07</v>
      </c>
    </row>
    <row r="15" spans="1:15">
      <c r="A15" s="74" t="s">
        <v>113</v>
      </c>
      <c r="B15" s="74" t="s">
        <v>141</v>
      </c>
      <c r="C15" s="74" t="s">
        <v>142</v>
      </c>
      <c r="D15" s="74" t="s">
        <v>79</v>
      </c>
      <c r="E15" s="74" t="s">
        <v>80</v>
      </c>
      <c r="F15" s="86" t="s">
        <v>123</v>
      </c>
      <c r="G15" s="74" t="s">
        <v>138</v>
      </c>
      <c r="H15" s="87">
        <v>44227</v>
      </c>
      <c r="I15" s="98">
        <v>23</v>
      </c>
      <c r="J15" s="98">
        <v>23</v>
      </c>
      <c r="K15" s="89">
        <f t="shared" si="0"/>
        <v>1</v>
      </c>
      <c r="L15" s="89">
        <v>6555.29</v>
      </c>
      <c r="M15" s="89">
        <v>3069.26</v>
      </c>
      <c r="N15" s="89">
        <v>647.63</v>
      </c>
      <c r="O15" s="89">
        <f t="shared" si="1"/>
        <v>10272.18</v>
      </c>
    </row>
    <row r="16" spans="1:15">
      <c r="A16" s="74" t="s">
        <v>113</v>
      </c>
      <c r="B16" s="74" t="s">
        <v>143</v>
      </c>
      <c r="C16" s="74" t="s">
        <v>144</v>
      </c>
      <c r="D16" s="74" t="s">
        <v>79</v>
      </c>
      <c r="E16" s="74" t="s">
        <v>80</v>
      </c>
      <c r="F16" s="86" t="s">
        <v>145</v>
      </c>
      <c r="G16" s="74" t="s">
        <v>146</v>
      </c>
      <c r="H16" s="87">
        <v>44227</v>
      </c>
      <c r="I16" s="98">
        <v>23</v>
      </c>
      <c r="J16" s="98">
        <v>23</v>
      </c>
      <c r="K16" s="89">
        <f t="shared" si="0"/>
        <v>1</v>
      </c>
      <c r="L16" s="89">
        <v>20652.41</v>
      </c>
      <c r="M16" s="89">
        <v>3216.05</v>
      </c>
      <c r="N16" s="89">
        <v>1918.77</v>
      </c>
      <c r="O16" s="89">
        <f t="shared" si="1"/>
        <v>25787.23</v>
      </c>
    </row>
    <row r="17" spans="1:15">
      <c r="A17" s="74" t="s">
        <v>113</v>
      </c>
      <c r="B17" s="74" t="s">
        <v>147</v>
      </c>
      <c r="C17" s="74" t="s">
        <v>148</v>
      </c>
      <c r="D17" s="74" t="s">
        <v>79</v>
      </c>
      <c r="E17" s="74" t="s">
        <v>80</v>
      </c>
      <c r="F17" s="86" t="s">
        <v>149</v>
      </c>
      <c r="G17" s="74" t="s">
        <v>150</v>
      </c>
      <c r="H17" s="87">
        <v>44227</v>
      </c>
      <c r="I17" s="98">
        <v>23</v>
      </c>
      <c r="J17" s="98">
        <v>23</v>
      </c>
      <c r="K17" s="89">
        <f t="shared" si="0"/>
        <v>1</v>
      </c>
      <c r="L17" s="89">
        <v>18461.07</v>
      </c>
      <c r="M17" s="89">
        <v>3024.47</v>
      </c>
      <c r="N17" s="89">
        <v>1738.53</v>
      </c>
      <c r="O17" s="89">
        <f t="shared" si="1"/>
        <v>23224.07</v>
      </c>
    </row>
    <row r="18" spans="1:15">
      <c r="A18" s="74" t="s">
        <v>113</v>
      </c>
      <c r="B18" s="74" t="s">
        <v>151</v>
      </c>
      <c r="C18" s="74" t="s">
        <v>152</v>
      </c>
      <c r="D18" s="74" t="s">
        <v>79</v>
      </c>
      <c r="E18" s="74" t="s">
        <v>81</v>
      </c>
      <c r="F18" s="86" t="s">
        <v>123</v>
      </c>
      <c r="G18" s="74" t="s">
        <v>153</v>
      </c>
      <c r="H18" s="87">
        <v>44227</v>
      </c>
      <c r="I18" s="98">
        <v>23</v>
      </c>
      <c r="J18" s="98">
        <v>23</v>
      </c>
      <c r="K18" s="89">
        <f t="shared" si="0"/>
        <v>1</v>
      </c>
      <c r="L18" s="89">
        <v>6238.33</v>
      </c>
      <c r="M18" s="89">
        <v>3234.65</v>
      </c>
      <c r="N18" s="89">
        <v>627.57</v>
      </c>
      <c r="O18" s="89">
        <f t="shared" si="1"/>
        <v>10100.55</v>
      </c>
    </row>
    <row r="19" spans="1:15">
      <c r="A19" s="74" t="s">
        <v>113</v>
      </c>
      <c r="B19" s="74" t="s">
        <v>154</v>
      </c>
      <c r="C19" s="74" t="s">
        <v>155</v>
      </c>
      <c r="D19" s="74" t="s">
        <v>79</v>
      </c>
      <c r="E19" s="74" t="s">
        <v>81</v>
      </c>
      <c r="F19" s="86" t="s">
        <v>156</v>
      </c>
      <c r="G19" s="74" t="s">
        <v>157</v>
      </c>
      <c r="H19" s="87">
        <v>44227</v>
      </c>
      <c r="I19" s="98">
        <v>23</v>
      </c>
      <c r="J19" s="98">
        <v>23</v>
      </c>
      <c r="K19" s="89">
        <f t="shared" si="0"/>
        <v>1</v>
      </c>
      <c r="L19" s="89">
        <v>5281.71</v>
      </c>
      <c r="M19" s="89">
        <v>3047.79</v>
      </c>
      <c r="N19" s="89">
        <v>533.13</v>
      </c>
      <c r="O19" s="89">
        <f t="shared" si="1"/>
        <v>8862.63</v>
      </c>
    </row>
    <row r="20" spans="1:15">
      <c r="A20" s="74" t="s">
        <v>113</v>
      </c>
      <c r="B20" s="74" t="s">
        <v>158</v>
      </c>
      <c r="C20" s="74" t="s">
        <v>159</v>
      </c>
      <c r="D20" s="74" t="s">
        <v>79</v>
      </c>
      <c r="E20" s="74" t="s">
        <v>81</v>
      </c>
      <c r="F20" s="86" t="s">
        <v>160</v>
      </c>
      <c r="G20" s="74" t="s">
        <v>161</v>
      </c>
      <c r="H20" s="87">
        <v>44227</v>
      </c>
      <c r="I20" s="98">
        <v>23</v>
      </c>
      <c r="J20" s="98">
        <v>23</v>
      </c>
      <c r="K20" s="89">
        <f t="shared" si="0"/>
        <v>1</v>
      </c>
      <c r="L20" s="89">
        <v>4042.66</v>
      </c>
      <c r="M20" s="89">
        <v>3180.42</v>
      </c>
      <c r="N20" s="89">
        <v>412.29</v>
      </c>
      <c r="O20" s="89">
        <f t="shared" si="1"/>
        <v>7635.37</v>
      </c>
    </row>
    <row r="21" spans="1:15">
      <c r="A21" s="74" t="s">
        <v>113</v>
      </c>
      <c r="B21" s="74" t="s">
        <v>162</v>
      </c>
      <c r="C21" s="74" t="s">
        <v>163</v>
      </c>
      <c r="D21" s="74" t="s">
        <v>79</v>
      </c>
      <c r="E21" s="74" t="s">
        <v>81</v>
      </c>
      <c r="F21" s="86" t="s">
        <v>123</v>
      </c>
      <c r="G21" s="74" t="s">
        <v>153</v>
      </c>
      <c r="H21" s="87">
        <v>44227</v>
      </c>
      <c r="I21" s="98">
        <v>23</v>
      </c>
      <c r="J21" s="98">
        <v>23</v>
      </c>
      <c r="K21" s="89">
        <f t="shared" si="0"/>
        <v>1</v>
      </c>
      <c r="L21" s="89">
        <v>6396.83</v>
      </c>
      <c r="M21" s="89">
        <v>3181.83</v>
      </c>
      <c r="N21" s="89">
        <v>618.33</v>
      </c>
      <c r="O21" s="89">
        <f t="shared" si="1"/>
        <v>10196.99</v>
      </c>
    </row>
    <row r="22" spans="1:15">
      <c r="A22" s="74" t="s">
        <v>113</v>
      </c>
      <c r="B22" s="74" t="s">
        <v>164</v>
      </c>
      <c r="C22" s="74" t="s">
        <v>165</v>
      </c>
      <c r="D22" s="74" t="s">
        <v>79</v>
      </c>
      <c r="E22" s="74" t="s">
        <v>81</v>
      </c>
      <c r="F22" s="86" t="s">
        <v>156</v>
      </c>
      <c r="G22" s="74" t="s">
        <v>157</v>
      </c>
      <c r="H22" s="87">
        <v>44227</v>
      </c>
      <c r="I22" s="98">
        <v>23</v>
      </c>
      <c r="J22" s="98">
        <v>23</v>
      </c>
      <c r="K22" s="89">
        <f t="shared" si="0"/>
        <v>1</v>
      </c>
      <c r="L22" s="89">
        <v>5171.44</v>
      </c>
      <c r="M22" s="89">
        <v>3007.8</v>
      </c>
      <c r="N22" s="89">
        <v>525</v>
      </c>
      <c r="O22" s="89">
        <f t="shared" si="1"/>
        <v>8704.24</v>
      </c>
    </row>
    <row r="23" spans="1:15">
      <c r="A23" s="74" t="s">
        <v>113</v>
      </c>
      <c r="B23" s="74" t="s">
        <v>166</v>
      </c>
      <c r="C23" s="74" t="s">
        <v>167</v>
      </c>
      <c r="D23" s="74" t="s">
        <v>79</v>
      </c>
      <c r="E23" s="74" t="s">
        <v>81</v>
      </c>
      <c r="F23" s="86" t="s">
        <v>160</v>
      </c>
      <c r="G23" s="74" t="s">
        <v>161</v>
      </c>
      <c r="H23" s="87">
        <v>44227</v>
      </c>
      <c r="I23" s="98">
        <v>23</v>
      </c>
      <c r="J23" s="98">
        <v>23</v>
      </c>
      <c r="K23" s="89">
        <f t="shared" si="0"/>
        <v>1</v>
      </c>
      <c r="L23" s="89">
        <v>4213.96</v>
      </c>
      <c r="M23" s="89">
        <v>3026.8</v>
      </c>
      <c r="N23" s="89">
        <v>429.78</v>
      </c>
      <c r="O23" s="89">
        <f t="shared" si="1"/>
        <v>7670.54</v>
      </c>
    </row>
    <row r="24" spans="1:15">
      <c r="A24" s="74" t="s">
        <v>113</v>
      </c>
      <c r="B24" s="74" t="s">
        <v>168</v>
      </c>
      <c r="C24" s="74" t="s">
        <v>169</v>
      </c>
      <c r="D24" s="74" t="s">
        <v>79</v>
      </c>
      <c r="E24" s="74" t="s">
        <v>81</v>
      </c>
      <c r="F24" s="86" t="s">
        <v>123</v>
      </c>
      <c r="G24" s="74" t="s">
        <v>153</v>
      </c>
      <c r="H24" s="87">
        <v>44227</v>
      </c>
      <c r="I24" s="98">
        <v>23</v>
      </c>
      <c r="J24" s="98">
        <v>23</v>
      </c>
      <c r="K24" s="89">
        <f t="shared" si="0"/>
        <v>1</v>
      </c>
      <c r="L24" s="89">
        <v>6091.49</v>
      </c>
      <c r="M24" s="89">
        <v>3005.89</v>
      </c>
      <c r="N24" s="89">
        <v>611.4</v>
      </c>
      <c r="O24" s="89">
        <f t="shared" si="1"/>
        <v>9708.78</v>
      </c>
    </row>
    <row r="25" spans="1:15">
      <c r="A25" s="74" t="s">
        <v>113</v>
      </c>
      <c r="B25" s="74" t="s">
        <v>170</v>
      </c>
      <c r="C25" s="74" t="s">
        <v>171</v>
      </c>
      <c r="D25" s="74" t="s">
        <v>79</v>
      </c>
      <c r="E25" s="74" t="s">
        <v>81</v>
      </c>
      <c r="F25" s="86" t="s">
        <v>156</v>
      </c>
      <c r="G25" s="74" t="s">
        <v>157</v>
      </c>
      <c r="H25" s="87">
        <v>44227</v>
      </c>
      <c r="I25" s="98">
        <v>23</v>
      </c>
      <c r="J25" s="98">
        <v>23</v>
      </c>
      <c r="K25" s="89">
        <f t="shared" si="0"/>
        <v>1</v>
      </c>
      <c r="L25" s="89">
        <v>5445.07</v>
      </c>
      <c r="M25" s="89">
        <v>3012.36</v>
      </c>
      <c r="N25" s="89">
        <v>548.8</v>
      </c>
      <c r="O25" s="89">
        <f t="shared" si="1"/>
        <v>9006.23</v>
      </c>
    </row>
    <row r="26" spans="1:15">
      <c r="A26" s="74" t="s">
        <v>113</v>
      </c>
      <c r="B26" s="74" t="s">
        <v>172</v>
      </c>
      <c r="C26" s="74" t="s">
        <v>173</v>
      </c>
      <c r="D26" s="74" t="s">
        <v>79</v>
      </c>
      <c r="E26" s="74" t="s">
        <v>81</v>
      </c>
      <c r="F26" s="86" t="s">
        <v>160</v>
      </c>
      <c r="G26" s="74" t="s">
        <v>161</v>
      </c>
      <c r="H26" s="87">
        <v>44227</v>
      </c>
      <c r="I26" s="98">
        <v>23</v>
      </c>
      <c r="J26" s="98">
        <v>23</v>
      </c>
      <c r="K26" s="89">
        <f t="shared" si="0"/>
        <v>1</v>
      </c>
      <c r="L26" s="89">
        <v>4187.37</v>
      </c>
      <c r="M26" s="89">
        <v>3125.42</v>
      </c>
      <c r="N26" s="89">
        <v>407.95</v>
      </c>
      <c r="O26" s="89">
        <f t="shared" si="1"/>
        <v>7720.74</v>
      </c>
    </row>
    <row r="27" spans="1:15">
      <c r="A27" s="74" t="s">
        <v>113</v>
      </c>
      <c r="B27" s="74" t="s">
        <v>174</v>
      </c>
      <c r="C27" s="74" t="s">
        <v>175</v>
      </c>
      <c r="D27" s="74" t="s">
        <v>79</v>
      </c>
      <c r="E27" s="74" t="s">
        <v>81</v>
      </c>
      <c r="F27" s="86" t="s">
        <v>176</v>
      </c>
      <c r="G27" s="74" t="s">
        <v>177</v>
      </c>
      <c r="H27" s="87">
        <v>44227</v>
      </c>
      <c r="I27" s="98">
        <v>23</v>
      </c>
      <c r="J27" s="98">
        <v>23</v>
      </c>
      <c r="K27" s="89">
        <f t="shared" si="0"/>
        <v>1</v>
      </c>
      <c r="L27" s="89">
        <v>3103.33</v>
      </c>
      <c r="M27" s="89">
        <v>3059.98</v>
      </c>
      <c r="N27" s="89">
        <v>326.33</v>
      </c>
      <c r="O27" s="89">
        <f t="shared" si="1"/>
        <v>6489.64</v>
      </c>
    </row>
    <row r="28" spans="1:15">
      <c r="A28" s="74" t="s">
        <v>113</v>
      </c>
      <c r="B28" s="74" t="s">
        <v>178</v>
      </c>
      <c r="C28" s="74" t="s">
        <v>179</v>
      </c>
      <c r="D28" s="74" t="s">
        <v>79</v>
      </c>
      <c r="E28" s="74" t="s">
        <v>81</v>
      </c>
      <c r="F28" s="86" t="s">
        <v>180</v>
      </c>
      <c r="G28" s="74" t="s">
        <v>177</v>
      </c>
      <c r="H28" s="87">
        <v>44227</v>
      </c>
      <c r="I28" s="98">
        <v>23</v>
      </c>
      <c r="J28" s="98">
        <v>23</v>
      </c>
      <c r="K28" s="89">
        <f t="shared" si="0"/>
        <v>1</v>
      </c>
      <c r="L28" s="89">
        <v>2066.32</v>
      </c>
      <c r="M28" s="89">
        <v>3163.24</v>
      </c>
      <c r="N28" s="89">
        <v>216.33</v>
      </c>
      <c r="O28" s="89">
        <f t="shared" si="1"/>
        <v>5445.89</v>
      </c>
    </row>
    <row r="29" spans="1:15">
      <c r="A29" s="74" t="s">
        <v>113</v>
      </c>
      <c r="B29" s="74" t="s">
        <v>181</v>
      </c>
      <c r="C29" s="74" t="s">
        <v>182</v>
      </c>
      <c r="D29" s="74" t="s">
        <v>79</v>
      </c>
      <c r="E29" s="74" t="s">
        <v>81</v>
      </c>
      <c r="F29" s="86" t="s">
        <v>183</v>
      </c>
      <c r="G29" s="74" t="s">
        <v>177</v>
      </c>
      <c r="H29" s="87">
        <v>44227</v>
      </c>
      <c r="I29" s="98">
        <v>23</v>
      </c>
      <c r="J29" s="98">
        <v>23</v>
      </c>
      <c r="K29" s="89">
        <f t="shared" si="0"/>
        <v>1</v>
      </c>
      <c r="L29" s="89">
        <v>1067.62</v>
      </c>
      <c r="M29" s="89">
        <v>3007.92</v>
      </c>
      <c r="N29" s="89">
        <v>102.36</v>
      </c>
      <c r="O29" s="89">
        <f t="shared" si="1"/>
        <v>4177.9</v>
      </c>
    </row>
    <row r="30" spans="1:15">
      <c r="A30" s="74" t="s">
        <v>113</v>
      </c>
      <c r="B30" s="74" t="s">
        <v>184</v>
      </c>
      <c r="C30" s="74" t="s">
        <v>185</v>
      </c>
      <c r="D30" s="74" t="s">
        <v>79</v>
      </c>
      <c r="E30" s="74" t="s">
        <v>81</v>
      </c>
      <c r="F30" s="86" t="s">
        <v>176</v>
      </c>
      <c r="G30" s="74" t="s">
        <v>177</v>
      </c>
      <c r="H30" s="87">
        <v>44227</v>
      </c>
      <c r="I30" s="98">
        <v>23</v>
      </c>
      <c r="J30" s="98">
        <v>23</v>
      </c>
      <c r="K30" s="89">
        <f t="shared" si="0"/>
        <v>1</v>
      </c>
      <c r="L30" s="89">
        <v>3141.56</v>
      </c>
      <c r="M30" s="89">
        <v>3157.7</v>
      </c>
      <c r="N30" s="89">
        <v>304.57</v>
      </c>
      <c r="O30" s="89">
        <f t="shared" si="1"/>
        <v>6603.83</v>
      </c>
    </row>
    <row r="31" spans="1:15">
      <c r="A31" s="74" t="s">
        <v>113</v>
      </c>
      <c r="B31" s="74" t="s">
        <v>186</v>
      </c>
      <c r="C31" s="74" t="s">
        <v>187</v>
      </c>
      <c r="D31" s="74" t="s">
        <v>79</v>
      </c>
      <c r="E31" s="74" t="s">
        <v>81</v>
      </c>
      <c r="F31" s="86" t="s">
        <v>180</v>
      </c>
      <c r="G31" s="74" t="s">
        <v>177</v>
      </c>
      <c r="H31" s="87">
        <v>44227</v>
      </c>
      <c r="I31" s="98">
        <v>23</v>
      </c>
      <c r="J31" s="98">
        <v>23</v>
      </c>
      <c r="K31" s="89">
        <f t="shared" si="0"/>
        <v>1</v>
      </c>
      <c r="L31" s="89">
        <v>2096.18</v>
      </c>
      <c r="M31" s="89">
        <v>3066.08</v>
      </c>
      <c r="N31" s="89">
        <v>206.66</v>
      </c>
      <c r="O31" s="89">
        <f t="shared" si="1"/>
        <v>5368.92</v>
      </c>
    </row>
    <row r="32" spans="1:15">
      <c r="A32" s="74" t="s">
        <v>113</v>
      </c>
      <c r="B32" s="74" t="s">
        <v>188</v>
      </c>
      <c r="C32" s="74" t="s">
        <v>189</v>
      </c>
      <c r="D32" s="74" t="s">
        <v>79</v>
      </c>
      <c r="E32" s="74" t="s">
        <v>81</v>
      </c>
      <c r="F32" s="86" t="s">
        <v>183</v>
      </c>
      <c r="G32" s="74" t="s">
        <v>177</v>
      </c>
      <c r="H32" s="87">
        <v>44227</v>
      </c>
      <c r="I32" s="98">
        <v>23</v>
      </c>
      <c r="J32" s="98">
        <v>23</v>
      </c>
      <c r="K32" s="89">
        <f t="shared" si="0"/>
        <v>1</v>
      </c>
      <c r="L32" s="89">
        <v>1094.6</v>
      </c>
      <c r="M32" s="89">
        <v>3233.56</v>
      </c>
      <c r="N32" s="89">
        <v>108.24</v>
      </c>
      <c r="O32" s="89">
        <f t="shared" si="1"/>
        <v>4436.4</v>
      </c>
    </row>
    <row r="33" spans="1:15">
      <c r="A33" s="74" t="s">
        <v>113</v>
      </c>
      <c r="B33" s="74" t="s">
        <v>190</v>
      </c>
      <c r="C33" s="74" t="s">
        <v>191</v>
      </c>
      <c r="D33" s="74" t="s">
        <v>79</v>
      </c>
      <c r="E33" s="74" t="s">
        <v>81</v>
      </c>
      <c r="F33" s="86" t="s">
        <v>176</v>
      </c>
      <c r="G33" s="74" t="s">
        <v>177</v>
      </c>
      <c r="H33" s="87">
        <v>44227</v>
      </c>
      <c r="I33" s="98">
        <v>23</v>
      </c>
      <c r="J33" s="98">
        <v>23</v>
      </c>
      <c r="K33" s="89">
        <f t="shared" si="0"/>
        <v>1</v>
      </c>
      <c r="L33" s="89">
        <v>3074.08</v>
      </c>
      <c r="M33" s="89">
        <v>3272.04</v>
      </c>
      <c r="N33" s="89">
        <v>307.63</v>
      </c>
      <c r="O33" s="89">
        <f t="shared" si="1"/>
        <v>6653.75</v>
      </c>
    </row>
    <row r="34" spans="1:15">
      <c r="A34" s="74" t="s">
        <v>113</v>
      </c>
      <c r="B34" s="74" t="s">
        <v>192</v>
      </c>
      <c r="C34" s="74" t="s">
        <v>193</v>
      </c>
      <c r="D34" s="74" t="s">
        <v>79</v>
      </c>
      <c r="E34" s="74" t="s">
        <v>81</v>
      </c>
      <c r="F34" s="86" t="s">
        <v>180</v>
      </c>
      <c r="G34" s="74" t="s">
        <v>177</v>
      </c>
      <c r="H34" s="87">
        <v>44227</v>
      </c>
      <c r="I34" s="98">
        <v>23</v>
      </c>
      <c r="J34" s="98">
        <v>23</v>
      </c>
      <c r="K34" s="89">
        <f t="shared" si="0"/>
        <v>1</v>
      </c>
      <c r="L34" s="89">
        <v>2068.39</v>
      </c>
      <c r="M34" s="89">
        <v>3150.27</v>
      </c>
      <c r="N34" s="89">
        <v>207.7</v>
      </c>
      <c r="O34" s="89">
        <f t="shared" si="1"/>
        <v>5426.36</v>
      </c>
    </row>
    <row r="35" spans="1:15">
      <c r="A35" s="74" t="s">
        <v>113</v>
      </c>
      <c r="B35" s="74" t="s">
        <v>194</v>
      </c>
      <c r="C35" s="74" t="s">
        <v>195</v>
      </c>
      <c r="D35" s="74" t="s">
        <v>79</v>
      </c>
      <c r="E35" s="74" t="s">
        <v>81</v>
      </c>
      <c r="F35" s="86" t="s">
        <v>183</v>
      </c>
      <c r="G35" s="74" t="s">
        <v>177</v>
      </c>
      <c r="H35" s="87">
        <v>44227</v>
      </c>
      <c r="I35" s="98">
        <v>23</v>
      </c>
      <c r="J35" s="98">
        <v>23</v>
      </c>
      <c r="K35" s="89">
        <f t="shared" si="0"/>
        <v>1</v>
      </c>
      <c r="L35" s="89">
        <v>1083.5</v>
      </c>
      <c r="M35" s="89">
        <v>3212.49</v>
      </c>
      <c r="N35" s="89">
        <v>102</v>
      </c>
      <c r="O35" s="89">
        <f t="shared" si="1"/>
        <v>4397.99</v>
      </c>
    </row>
    <row r="36" spans="1:15">
      <c r="A36" s="74" t="s">
        <v>113</v>
      </c>
      <c r="B36" s="74" t="s">
        <v>196</v>
      </c>
      <c r="C36" s="74" t="s">
        <v>197</v>
      </c>
      <c r="D36" s="74" t="s">
        <v>79</v>
      </c>
      <c r="E36" s="74" t="s">
        <v>81</v>
      </c>
      <c r="F36" s="86" t="s">
        <v>176</v>
      </c>
      <c r="G36" s="74" t="s">
        <v>177</v>
      </c>
      <c r="H36" s="87">
        <v>44227</v>
      </c>
      <c r="I36" s="98">
        <v>23</v>
      </c>
      <c r="J36" s="98">
        <v>23</v>
      </c>
      <c r="K36" s="89">
        <f t="shared" si="0"/>
        <v>1</v>
      </c>
      <c r="L36" s="89">
        <v>3282.62</v>
      </c>
      <c r="M36" s="89">
        <v>3186.65</v>
      </c>
      <c r="N36" s="89">
        <v>304.51</v>
      </c>
      <c r="O36" s="89">
        <f t="shared" si="1"/>
        <v>6773.78</v>
      </c>
    </row>
    <row r="37" spans="1:15">
      <c r="A37" s="74" t="s">
        <v>113</v>
      </c>
      <c r="B37" s="74" t="s">
        <v>198</v>
      </c>
      <c r="C37" s="74" t="s">
        <v>199</v>
      </c>
      <c r="D37" s="74" t="s">
        <v>79</v>
      </c>
      <c r="E37" s="74" t="s">
        <v>81</v>
      </c>
      <c r="F37" s="86" t="s">
        <v>180</v>
      </c>
      <c r="G37" s="74" t="s">
        <v>177</v>
      </c>
      <c r="H37" s="87">
        <v>44227</v>
      </c>
      <c r="I37" s="98">
        <v>23</v>
      </c>
      <c r="J37" s="98">
        <v>23</v>
      </c>
      <c r="K37" s="89">
        <f t="shared" si="0"/>
        <v>1</v>
      </c>
      <c r="L37" s="89">
        <v>2114.87</v>
      </c>
      <c r="M37" s="89">
        <v>3010.07</v>
      </c>
      <c r="N37" s="89">
        <v>206.5</v>
      </c>
      <c r="O37" s="89">
        <f t="shared" si="1"/>
        <v>5331.44</v>
      </c>
    </row>
    <row r="38" spans="1:15">
      <c r="A38" s="74" t="s">
        <v>113</v>
      </c>
      <c r="B38" s="74" t="s">
        <v>200</v>
      </c>
      <c r="C38" s="74" t="s">
        <v>201</v>
      </c>
      <c r="D38" s="74" t="s">
        <v>79</v>
      </c>
      <c r="E38" s="74" t="s">
        <v>81</v>
      </c>
      <c r="F38" s="86" t="s">
        <v>183</v>
      </c>
      <c r="G38" s="74" t="s">
        <v>177</v>
      </c>
      <c r="H38" s="87">
        <v>44227</v>
      </c>
      <c r="I38" s="98">
        <v>23</v>
      </c>
      <c r="J38" s="98">
        <v>23</v>
      </c>
      <c r="K38" s="89">
        <f t="shared" si="0"/>
        <v>1</v>
      </c>
      <c r="L38" s="89">
        <v>1031.86</v>
      </c>
      <c r="M38" s="89">
        <v>3150.82</v>
      </c>
      <c r="N38" s="89">
        <v>108.98</v>
      </c>
      <c r="O38" s="89">
        <f t="shared" si="1"/>
        <v>4291.66</v>
      </c>
    </row>
    <row r="39" spans="1:15">
      <c r="A39" s="74" t="s">
        <v>113</v>
      </c>
      <c r="B39" s="74" t="s">
        <v>202</v>
      </c>
      <c r="C39" s="74" t="s">
        <v>203</v>
      </c>
      <c r="D39" s="74" t="s">
        <v>79</v>
      </c>
      <c r="E39" s="74" t="s">
        <v>81</v>
      </c>
      <c r="F39" s="86" t="s">
        <v>204</v>
      </c>
      <c r="G39" s="74" t="s">
        <v>205</v>
      </c>
      <c r="H39" s="87">
        <v>44227</v>
      </c>
      <c r="I39" s="98">
        <v>23</v>
      </c>
      <c r="J39" s="98">
        <v>23</v>
      </c>
      <c r="K39" s="89">
        <f t="shared" si="0"/>
        <v>1</v>
      </c>
      <c r="L39" s="89">
        <v>18935.77</v>
      </c>
      <c r="M39" s="89">
        <v>3049.42</v>
      </c>
      <c r="N39" s="89">
        <v>1876.74</v>
      </c>
      <c r="O39" s="89">
        <f t="shared" si="1"/>
        <v>23861.93</v>
      </c>
    </row>
    <row r="40" spans="1:15">
      <c r="A40" s="74" t="s">
        <v>113</v>
      </c>
      <c r="B40" s="74" t="s">
        <v>206</v>
      </c>
      <c r="C40" s="74" t="s">
        <v>207</v>
      </c>
      <c r="D40" s="88" t="s">
        <v>82</v>
      </c>
      <c r="E40" s="88" t="s">
        <v>84</v>
      </c>
      <c r="F40" s="86" t="s">
        <v>208</v>
      </c>
      <c r="G40" s="74" t="s">
        <v>209</v>
      </c>
      <c r="H40" s="87">
        <v>44227</v>
      </c>
      <c r="I40" s="98">
        <v>23</v>
      </c>
      <c r="J40" s="98">
        <v>23</v>
      </c>
      <c r="K40" s="89">
        <f t="shared" si="0"/>
        <v>1</v>
      </c>
      <c r="L40" s="89">
        <v>9048.56</v>
      </c>
      <c r="M40" s="89">
        <v>3072.69</v>
      </c>
      <c r="N40" s="89">
        <v>932.17</v>
      </c>
      <c r="O40" s="89">
        <f t="shared" si="1"/>
        <v>13053.42</v>
      </c>
    </row>
    <row r="41" spans="1:15">
      <c r="A41" s="74" t="s">
        <v>113</v>
      </c>
      <c r="B41" s="74" t="s">
        <v>210</v>
      </c>
      <c r="C41" s="74" t="s">
        <v>211</v>
      </c>
      <c r="D41" s="88" t="s">
        <v>82</v>
      </c>
      <c r="E41" s="88" t="s">
        <v>84</v>
      </c>
      <c r="F41" s="86" t="s">
        <v>116</v>
      </c>
      <c r="G41" s="74" t="s">
        <v>209</v>
      </c>
      <c r="H41" s="87">
        <v>44227</v>
      </c>
      <c r="I41" s="98">
        <v>23</v>
      </c>
      <c r="J41" s="98">
        <v>23</v>
      </c>
      <c r="K41" s="89">
        <f t="shared" si="0"/>
        <v>1</v>
      </c>
      <c r="L41" s="89">
        <v>8013.16</v>
      </c>
      <c r="M41" s="89">
        <v>3026.12</v>
      </c>
      <c r="N41" s="89">
        <v>839.68</v>
      </c>
      <c r="O41" s="89">
        <f t="shared" si="1"/>
        <v>11878.96</v>
      </c>
    </row>
    <row r="42" spans="1:15">
      <c r="A42" s="74" t="s">
        <v>113</v>
      </c>
      <c r="B42" s="74" t="s">
        <v>212</v>
      </c>
      <c r="C42" s="74" t="s">
        <v>213</v>
      </c>
      <c r="D42" s="88" t="s">
        <v>82</v>
      </c>
      <c r="E42" s="88" t="s">
        <v>84</v>
      </c>
      <c r="F42" s="86" t="s">
        <v>208</v>
      </c>
      <c r="G42" s="74" t="s">
        <v>209</v>
      </c>
      <c r="H42" s="87">
        <v>44227</v>
      </c>
      <c r="I42" s="98">
        <v>23</v>
      </c>
      <c r="J42" s="98">
        <v>23</v>
      </c>
      <c r="K42" s="89">
        <f t="shared" si="0"/>
        <v>1</v>
      </c>
      <c r="L42" s="89">
        <v>9458.35</v>
      </c>
      <c r="M42" s="89">
        <v>3039.47</v>
      </c>
      <c r="N42" s="89">
        <v>950.36</v>
      </c>
      <c r="O42" s="89">
        <f t="shared" si="1"/>
        <v>13448.18</v>
      </c>
    </row>
    <row r="43" spans="1:15">
      <c r="A43" s="74" t="s">
        <v>113</v>
      </c>
      <c r="B43" s="74" t="s">
        <v>214</v>
      </c>
      <c r="C43" s="74" t="s">
        <v>215</v>
      </c>
      <c r="D43" s="88" t="s">
        <v>82</v>
      </c>
      <c r="E43" s="88" t="s">
        <v>84</v>
      </c>
      <c r="F43" s="86" t="s">
        <v>116</v>
      </c>
      <c r="G43" s="74" t="s">
        <v>209</v>
      </c>
      <c r="H43" s="87">
        <v>44227</v>
      </c>
      <c r="I43" s="98">
        <v>23</v>
      </c>
      <c r="J43" s="98">
        <v>23</v>
      </c>
      <c r="K43" s="89">
        <f t="shared" si="0"/>
        <v>1</v>
      </c>
      <c r="L43" s="89">
        <v>8519.33</v>
      </c>
      <c r="M43" s="89">
        <v>3243.85</v>
      </c>
      <c r="N43" s="89">
        <v>867.19</v>
      </c>
      <c r="O43" s="89">
        <f t="shared" si="1"/>
        <v>12630.37</v>
      </c>
    </row>
    <row r="44" spans="1:15">
      <c r="A44" s="74" t="s">
        <v>113</v>
      </c>
      <c r="B44" s="74" t="s">
        <v>216</v>
      </c>
      <c r="C44" s="74" t="s">
        <v>217</v>
      </c>
      <c r="D44" s="88" t="s">
        <v>82</v>
      </c>
      <c r="E44" s="88" t="s">
        <v>84</v>
      </c>
      <c r="F44" s="86" t="s">
        <v>218</v>
      </c>
      <c r="G44" s="74" t="s">
        <v>219</v>
      </c>
      <c r="H44" s="87">
        <v>44227</v>
      </c>
      <c r="I44" s="98">
        <v>23</v>
      </c>
      <c r="J44" s="98">
        <v>23</v>
      </c>
      <c r="K44" s="89">
        <f t="shared" si="0"/>
        <v>1</v>
      </c>
      <c r="L44" s="89">
        <v>11423.8</v>
      </c>
      <c r="M44" s="89">
        <v>3277.16</v>
      </c>
      <c r="N44" s="89">
        <v>1161.8</v>
      </c>
      <c r="O44" s="89">
        <f t="shared" si="1"/>
        <v>15862.76</v>
      </c>
    </row>
    <row r="45" spans="1:15">
      <c r="A45" s="74" t="s">
        <v>113</v>
      </c>
      <c r="B45" s="74" t="s">
        <v>220</v>
      </c>
      <c r="C45" s="74" t="s">
        <v>221</v>
      </c>
      <c r="D45" s="88" t="s">
        <v>82</v>
      </c>
      <c r="E45" s="74" t="s">
        <v>83</v>
      </c>
      <c r="F45" s="86" t="s">
        <v>218</v>
      </c>
      <c r="G45" s="74" t="s">
        <v>222</v>
      </c>
      <c r="H45" s="87">
        <v>44227</v>
      </c>
      <c r="I45" s="98">
        <v>23</v>
      </c>
      <c r="J45" s="98">
        <v>23</v>
      </c>
      <c r="K45" s="89">
        <f t="shared" si="0"/>
        <v>1</v>
      </c>
      <c r="L45" s="89">
        <v>11650.67</v>
      </c>
      <c r="M45" s="89">
        <v>3033.02</v>
      </c>
      <c r="N45" s="89">
        <v>1139.67</v>
      </c>
      <c r="O45" s="89">
        <f t="shared" si="1"/>
        <v>15823.36</v>
      </c>
    </row>
    <row r="46" spans="1:15">
      <c r="A46" s="74" t="s">
        <v>113</v>
      </c>
      <c r="B46" s="74" t="s">
        <v>223</v>
      </c>
      <c r="C46" s="74" t="s">
        <v>224</v>
      </c>
      <c r="D46" s="88" t="s">
        <v>82</v>
      </c>
      <c r="E46" s="74" t="s">
        <v>83</v>
      </c>
      <c r="F46" s="86" t="s">
        <v>225</v>
      </c>
      <c r="G46" s="74" t="s">
        <v>209</v>
      </c>
      <c r="H46" s="87">
        <v>44227</v>
      </c>
      <c r="I46" s="98">
        <v>23</v>
      </c>
      <c r="J46" s="98">
        <v>23</v>
      </c>
      <c r="K46" s="89">
        <f t="shared" si="0"/>
        <v>1</v>
      </c>
      <c r="L46" s="89">
        <v>10941.01</v>
      </c>
      <c r="M46" s="89">
        <v>3186.25</v>
      </c>
      <c r="N46" s="89">
        <v>1021.96</v>
      </c>
      <c r="O46" s="89">
        <f t="shared" si="1"/>
        <v>15149.22</v>
      </c>
    </row>
    <row r="47" spans="1:15">
      <c r="A47" s="74" t="s">
        <v>113</v>
      </c>
      <c r="B47" s="74" t="s">
        <v>226</v>
      </c>
      <c r="C47" s="74" t="s">
        <v>227</v>
      </c>
      <c r="D47" s="88" t="s">
        <v>82</v>
      </c>
      <c r="E47" s="74" t="s">
        <v>83</v>
      </c>
      <c r="F47" s="86" t="s">
        <v>208</v>
      </c>
      <c r="G47" s="74" t="s">
        <v>209</v>
      </c>
      <c r="H47" s="87">
        <v>44227</v>
      </c>
      <c r="I47" s="98">
        <v>23</v>
      </c>
      <c r="J47" s="98">
        <v>23</v>
      </c>
      <c r="K47" s="89">
        <f t="shared" si="0"/>
        <v>1</v>
      </c>
      <c r="L47" s="89">
        <v>9509.81</v>
      </c>
      <c r="M47" s="89">
        <v>3169.99</v>
      </c>
      <c r="N47" s="89">
        <v>924.63</v>
      </c>
      <c r="O47" s="89">
        <f t="shared" si="1"/>
        <v>13604.43</v>
      </c>
    </row>
    <row r="48" spans="1:15">
      <c r="A48" s="74" t="s">
        <v>113</v>
      </c>
      <c r="B48" s="74" t="s">
        <v>228</v>
      </c>
      <c r="C48" s="74" t="s">
        <v>229</v>
      </c>
      <c r="D48" s="88" t="s">
        <v>82</v>
      </c>
      <c r="E48" s="74" t="s">
        <v>83</v>
      </c>
      <c r="F48" s="86" t="s">
        <v>116</v>
      </c>
      <c r="G48" s="74" t="s">
        <v>209</v>
      </c>
      <c r="H48" s="87">
        <v>44227</v>
      </c>
      <c r="I48" s="98">
        <v>23</v>
      </c>
      <c r="J48" s="98">
        <v>23</v>
      </c>
      <c r="K48" s="89">
        <f t="shared" si="0"/>
        <v>1</v>
      </c>
      <c r="L48" s="89">
        <v>8786.07</v>
      </c>
      <c r="M48" s="89">
        <v>3067.13</v>
      </c>
      <c r="N48" s="89">
        <v>874.35</v>
      </c>
      <c r="O48" s="89">
        <f t="shared" si="1"/>
        <v>12727.55</v>
      </c>
    </row>
    <row r="49" spans="1:15">
      <c r="A49" s="74" t="s">
        <v>113</v>
      </c>
      <c r="B49" s="74" t="s">
        <v>230</v>
      </c>
      <c r="C49" s="74" t="s">
        <v>231</v>
      </c>
      <c r="D49" s="88" t="s">
        <v>82</v>
      </c>
      <c r="E49" s="74" t="s">
        <v>83</v>
      </c>
      <c r="F49" s="86" t="s">
        <v>120</v>
      </c>
      <c r="G49" s="74" t="s">
        <v>209</v>
      </c>
      <c r="H49" s="87">
        <v>44227</v>
      </c>
      <c r="I49" s="98">
        <v>23</v>
      </c>
      <c r="J49" s="98">
        <v>23</v>
      </c>
      <c r="K49" s="89">
        <f t="shared" si="0"/>
        <v>1</v>
      </c>
      <c r="L49" s="89">
        <v>7033.8</v>
      </c>
      <c r="M49" s="89">
        <v>3016.55</v>
      </c>
      <c r="N49" s="89">
        <v>712.4</v>
      </c>
      <c r="O49" s="89">
        <f t="shared" si="1"/>
        <v>10762.75</v>
      </c>
    </row>
    <row r="50" spans="1:15">
      <c r="A50" s="74" t="s">
        <v>113</v>
      </c>
      <c r="B50" s="74" t="s">
        <v>232</v>
      </c>
      <c r="C50" s="74" t="s">
        <v>233</v>
      </c>
      <c r="D50" s="88" t="s">
        <v>82</v>
      </c>
      <c r="E50" s="74" t="s">
        <v>83</v>
      </c>
      <c r="F50" s="86" t="s">
        <v>123</v>
      </c>
      <c r="G50" s="74" t="s">
        <v>209</v>
      </c>
      <c r="H50" s="87">
        <v>44227</v>
      </c>
      <c r="I50" s="98">
        <v>23</v>
      </c>
      <c r="J50" s="98">
        <v>23</v>
      </c>
      <c r="K50" s="89">
        <f t="shared" si="0"/>
        <v>1</v>
      </c>
      <c r="L50" s="89">
        <v>6322.61</v>
      </c>
      <c r="M50" s="89">
        <v>3263.82</v>
      </c>
      <c r="N50" s="89">
        <v>607.47</v>
      </c>
      <c r="O50" s="89">
        <f t="shared" si="1"/>
        <v>10193.9</v>
      </c>
    </row>
    <row r="51" spans="1:15">
      <c r="A51" s="74" t="s">
        <v>113</v>
      </c>
      <c r="B51" s="74" t="s">
        <v>234</v>
      </c>
      <c r="C51" s="74" t="s">
        <v>235</v>
      </c>
      <c r="D51" s="88" t="s">
        <v>82</v>
      </c>
      <c r="E51" s="74" t="s">
        <v>83</v>
      </c>
      <c r="F51" s="86" t="s">
        <v>116</v>
      </c>
      <c r="G51" s="74" t="s">
        <v>209</v>
      </c>
      <c r="H51" s="87">
        <v>44227</v>
      </c>
      <c r="I51" s="98">
        <v>23</v>
      </c>
      <c r="J51" s="98">
        <v>23</v>
      </c>
      <c r="K51" s="89">
        <f t="shared" si="0"/>
        <v>1</v>
      </c>
      <c r="L51" s="89">
        <v>8104.5</v>
      </c>
      <c r="M51" s="89">
        <v>3299.17</v>
      </c>
      <c r="N51" s="89">
        <v>854.75</v>
      </c>
      <c r="O51" s="89">
        <f t="shared" si="1"/>
        <v>12258.42</v>
      </c>
    </row>
    <row r="52" spans="1:15">
      <c r="A52" s="74" t="s">
        <v>113</v>
      </c>
      <c r="B52" s="74" t="s">
        <v>236</v>
      </c>
      <c r="C52" s="74" t="s">
        <v>237</v>
      </c>
      <c r="D52" s="88" t="s">
        <v>82</v>
      </c>
      <c r="E52" s="74" t="s">
        <v>83</v>
      </c>
      <c r="F52" s="86" t="s">
        <v>120</v>
      </c>
      <c r="G52" s="74" t="s">
        <v>209</v>
      </c>
      <c r="H52" s="87">
        <v>44227</v>
      </c>
      <c r="I52" s="98">
        <v>23</v>
      </c>
      <c r="J52" s="98">
        <v>23</v>
      </c>
      <c r="K52" s="89">
        <f t="shared" si="0"/>
        <v>1</v>
      </c>
      <c r="L52" s="89">
        <v>7097.27</v>
      </c>
      <c r="M52" s="89">
        <v>3206.96</v>
      </c>
      <c r="N52" s="89">
        <v>766.02</v>
      </c>
      <c r="O52" s="89">
        <f t="shared" si="1"/>
        <v>11070.25</v>
      </c>
    </row>
    <row r="53" spans="1:15">
      <c r="A53" s="74" t="s">
        <v>113</v>
      </c>
      <c r="B53" s="74" t="s">
        <v>238</v>
      </c>
      <c r="C53" s="74" t="s">
        <v>239</v>
      </c>
      <c r="D53" s="74" t="s">
        <v>86</v>
      </c>
      <c r="E53" s="74" t="s">
        <v>87</v>
      </c>
      <c r="F53" s="86" t="s">
        <v>204</v>
      </c>
      <c r="G53" s="74" t="s">
        <v>240</v>
      </c>
      <c r="H53" s="87">
        <v>44227</v>
      </c>
      <c r="I53" s="98">
        <v>23</v>
      </c>
      <c r="J53" s="98">
        <v>23</v>
      </c>
      <c r="K53" s="89">
        <f t="shared" si="0"/>
        <v>1</v>
      </c>
      <c r="L53" s="89">
        <v>15422.73</v>
      </c>
      <c r="M53" s="89">
        <v>3049.4</v>
      </c>
      <c r="N53" s="89">
        <v>1914.61</v>
      </c>
      <c r="O53" s="89">
        <f t="shared" si="1"/>
        <v>20386.74</v>
      </c>
    </row>
    <row r="54" spans="1:15">
      <c r="A54" s="74" t="s">
        <v>113</v>
      </c>
      <c r="B54" s="74" t="s">
        <v>241</v>
      </c>
      <c r="C54" s="74" t="s">
        <v>242</v>
      </c>
      <c r="D54" s="74" t="s">
        <v>86</v>
      </c>
      <c r="E54" s="74" t="s">
        <v>87</v>
      </c>
      <c r="F54" s="86" t="s">
        <v>243</v>
      </c>
      <c r="G54" s="74" t="s">
        <v>244</v>
      </c>
      <c r="H54" s="87">
        <v>44227</v>
      </c>
      <c r="I54" s="98">
        <v>23</v>
      </c>
      <c r="J54" s="98">
        <v>23</v>
      </c>
      <c r="K54" s="89">
        <f t="shared" si="0"/>
        <v>1</v>
      </c>
      <c r="L54" s="89">
        <v>10421.76</v>
      </c>
      <c r="M54" s="89">
        <v>3196.89</v>
      </c>
      <c r="N54" s="89">
        <v>1375.18</v>
      </c>
      <c r="O54" s="89">
        <f t="shared" si="1"/>
        <v>14993.83</v>
      </c>
    </row>
    <row r="55" spans="1:15">
      <c r="A55" s="74" t="s">
        <v>113</v>
      </c>
      <c r="B55" s="74" t="s">
        <v>245</v>
      </c>
      <c r="C55" s="74" t="s">
        <v>246</v>
      </c>
      <c r="D55" s="74" t="s">
        <v>86</v>
      </c>
      <c r="E55" s="74" t="s">
        <v>87</v>
      </c>
      <c r="F55" s="86" t="s">
        <v>247</v>
      </c>
      <c r="G55" s="74" t="s">
        <v>248</v>
      </c>
      <c r="H55" s="87">
        <v>44227</v>
      </c>
      <c r="I55" s="98">
        <v>23</v>
      </c>
      <c r="J55" s="98">
        <v>23</v>
      </c>
      <c r="K55" s="89">
        <f t="shared" si="0"/>
        <v>1</v>
      </c>
      <c r="L55" s="89">
        <v>9968.91</v>
      </c>
      <c r="M55" s="89">
        <v>3182.38</v>
      </c>
      <c r="N55" s="89">
        <v>1213</v>
      </c>
      <c r="O55" s="89">
        <f t="shared" si="1"/>
        <v>14364.29</v>
      </c>
    </row>
    <row r="56" spans="1:15">
      <c r="A56" s="74" t="s">
        <v>113</v>
      </c>
      <c r="B56" s="74" t="s">
        <v>249</v>
      </c>
      <c r="C56" s="74" t="s">
        <v>250</v>
      </c>
      <c r="D56" s="74" t="s">
        <v>86</v>
      </c>
      <c r="E56" s="74" t="s">
        <v>87</v>
      </c>
      <c r="F56" s="86" t="s">
        <v>251</v>
      </c>
      <c r="G56" s="74" t="s">
        <v>252</v>
      </c>
      <c r="H56" s="87">
        <v>44227</v>
      </c>
      <c r="I56" s="98">
        <v>23</v>
      </c>
      <c r="J56" s="98">
        <v>23</v>
      </c>
      <c r="K56" s="89">
        <f t="shared" si="0"/>
        <v>1</v>
      </c>
      <c r="L56" s="89">
        <v>9543.22</v>
      </c>
      <c r="M56" s="89">
        <v>3258.02</v>
      </c>
      <c r="N56" s="89">
        <v>1197.92</v>
      </c>
      <c r="O56" s="89">
        <f t="shared" si="1"/>
        <v>13999.16</v>
      </c>
    </row>
    <row r="57" spans="1:15">
      <c r="A57" s="74" t="s">
        <v>113</v>
      </c>
      <c r="B57" s="74" t="s">
        <v>253</v>
      </c>
      <c r="C57" s="74" t="s">
        <v>254</v>
      </c>
      <c r="D57" s="74" t="s">
        <v>86</v>
      </c>
      <c r="E57" s="74" t="s">
        <v>87</v>
      </c>
      <c r="F57" s="86" t="s">
        <v>255</v>
      </c>
      <c r="G57" s="74" t="s">
        <v>252</v>
      </c>
      <c r="H57" s="87">
        <v>44227</v>
      </c>
      <c r="I57" s="98">
        <v>23</v>
      </c>
      <c r="J57" s="98">
        <v>23</v>
      </c>
      <c r="K57" s="89">
        <f t="shared" si="0"/>
        <v>1</v>
      </c>
      <c r="L57" s="89">
        <v>8661.87</v>
      </c>
      <c r="M57" s="89">
        <v>3041.74</v>
      </c>
      <c r="N57" s="89">
        <v>1099.57</v>
      </c>
      <c r="O57" s="89">
        <f t="shared" si="1"/>
        <v>12803.18</v>
      </c>
    </row>
    <row r="58" spans="1:15">
      <c r="A58" s="74" t="s">
        <v>113</v>
      </c>
      <c r="B58" s="74" t="s">
        <v>256</v>
      </c>
      <c r="C58" s="74" t="s">
        <v>257</v>
      </c>
      <c r="D58" s="74" t="s">
        <v>86</v>
      </c>
      <c r="E58" s="74" t="s">
        <v>87</v>
      </c>
      <c r="F58" s="86" t="s">
        <v>258</v>
      </c>
      <c r="G58" s="74" t="s">
        <v>252</v>
      </c>
      <c r="H58" s="87">
        <v>44227</v>
      </c>
      <c r="I58" s="98">
        <v>23</v>
      </c>
      <c r="J58" s="98">
        <v>23</v>
      </c>
      <c r="K58" s="89">
        <f t="shared" si="0"/>
        <v>1</v>
      </c>
      <c r="L58" s="89">
        <v>7684.14</v>
      </c>
      <c r="M58" s="89">
        <v>3016.04</v>
      </c>
      <c r="N58" s="89">
        <v>965.07</v>
      </c>
      <c r="O58" s="89">
        <f t="shared" si="1"/>
        <v>11665.25</v>
      </c>
    </row>
    <row r="59" spans="1:15">
      <c r="A59" s="74" t="s">
        <v>113</v>
      </c>
      <c r="B59" s="74" t="s">
        <v>259</v>
      </c>
      <c r="C59" s="74" t="s">
        <v>260</v>
      </c>
      <c r="D59" s="74" t="s">
        <v>86</v>
      </c>
      <c r="E59" s="74" t="s">
        <v>87</v>
      </c>
      <c r="F59" s="86" t="s">
        <v>261</v>
      </c>
      <c r="G59" s="74" t="s">
        <v>262</v>
      </c>
      <c r="H59" s="87">
        <v>44227</v>
      </c>
      <c r="I59" s="98">
        <v>23</v>
      </c>
      <c r="J59" s="98">
        <v>23</v>
      </c>
      <c r="K59" s="89">
        <f t="shared" si="0"/>
        <v>1</v>
      </c>
      <c r="L59" s="89">
        <v>6701.16</v>
      </c>
      <c r="M59" s="89">
        <v>3147.75</v>
      </c>
      <c r="N59" s="89">
        <v>865.67</v>
      </c>
      <c r="O59" s="89">
        <f t="shared" si="1"/>
        <v>10714.58</v>
      </c>
    </row>
    <row r="60" spans="1:15">
      <c r="A60" s="74" t="s">
        <v>113</v>
      </c>
      <c r="B60" s="74" t="s">
        <v>263</v>
      </c>
      <c r="C60" s="74" t="s">
        <v>264</v>
      </c>
      <c r="D60" s="74" t="s">
        <v>86</v>
      </c>
      <c r="E60" s="74" t="s">
        <v>88</v>
      </c>
      <c r="F60" s="86" t="s">
        <v>149</v>
      </c>
      <c r="G60" s="74" t="s">
        <v>265</v>
      </c>
      <c r="H60" s="87">
        <v>44227</v>
      </c>
      <c r="I60" s="98">
        <v>23</v>
      </c>
      <c r="J60" s="98">
        <v>23</v>
      </c>
      <c r="K60" s="89">
        <f t="shared" si="0"/>
        <v>1</v>
      </c>
      <c r="L60" s="89">
        <v>14836.35</v>
      </c>
      <c r="M60" s="89">
        <v>3136.03</v>
      </c>
      <c r="N60" s="89">
        <v>1760.59</v>
      </c>
      <c r="O60" s="89">
        <f t="shared" si="1"/>
        <v>19732.97</v>
      </c>
    </row>
    <row r="61" spans="1:15">
      <c r="A61" s="74" t="s">
        <v>113</v>
      </c>
      <c r="B61" s="74" t="s">
        <v>266</v>
      </c>
      <c r="C61" s="74" t="s">
        <v>267</v>
      </c>
      <c r="D61" s="74" t="s">
        <v>86</v>
      </c>
      <c r="E61" s="74" t="s">
        <v>88</v>
      </c>
      <c r="F61" s="86" t="s">
        <v>243</v>
      </c>
      <c r="G61" s="74" t="s">
        <v>268</v>
      </c>
      <c r="H61" s="87">
        <v>44227</v>
      </c>
      <c r="I61" s="98">
        <v>23</v>
      </c>
      <c r="J61" s="98">
        <v>23</v>
      </c>
      <c r="K61" s="89">
        <f t="shared" si="0"/>
        <v>1</v>
      </c>
      <c r="L61" s="89">
        <v>10434.87</v>
      </c>
      <c r="M61" s="89">
        <v>3016.34</v>
      </c>
      <c r="N61" s="89">
        <v>1329.79</v>
      </c>
      <c r="O61" s="89">
        <f t="shared" si="1"/>
        <v>14781</v>
      </c>
    </row>
    <row r="62" spans="1:15">
      <c r="A62" s="74" t="s">
        <v>113</v>
      </c>
      <c r="B62" s="74" t="s">
        <v>269</v>
      </c>
      <c r="C62" s="74" t="s">
        <v>270</v>
      </c>
      <c r="D62" s="74" t="s">
        <v>86</v>
      </c>
      <c r="E62" s="74" t="s">
        <v>88</v>
      </c>
      <c r="F62" s="86" t="s">
        <v>247</v>
      </c>
      <c r="G62" s="74" t="s">
        <v>268</v>
      </c>
      <c r="H62" s="87">
        <v>44227</v>
      </c>
      <c r="I62" s="98">
        <v>23</v>
      </c>
      <c r="J62" s="98">
        <v>23</v>
      </c>
      <c r="K62" s="89">
        <f t="shared" si="0"/>
        <v>1</v>
      </c>
      <c r="L62" s="89">
        <v>10448.15</v>
      </c>
      <c r="M62" s="89">
        <v>3131.62</v>
      </c>
      <c r="N62" s="89">
        <v>1240.08</v>
      </c>
      <c r="O62" s="89">
        <f t="shared" si="1"/>
        <v>14819.85</v>
      </c>
    </row>
    <row r="63" spans="1:15">
      <c r="A63" s="74" t="s">
        <v>113</v>
      </c>
      <c r="B63" s="74" t="s">
        <v>271</v>
      </c>
      <c r="C63" s="74" t="s">
        <v>272</v>
      </c>
      <c r="D63" s="74" t="s">
        <v>86</v>
      </c>
      <c r="E63" s="74" t="s">
        <v>88</v>
      </c>
      <c r="F63" s="86" t="s">
        <v>251</v>
      </c>
      <c r="G63" s="74" t="s">
        <v>268</v>
      </c>
      <c r="H63" s="87">
        <v>44227</v>
      </c>
      <c r="I63" s="98">
        <v>23</v>
      </c>
      <c r="J63" s="98">
        <v>23</v>
      </c>
      <c r="K63" s="89">
        <f t="shared" si="0"/>
        <v>1</v>
      </c>
      <c r="L63" s="89">
        <v>8914.67</v>
      </c>
      <c r="M63" s="89">
        <v>3178.48</v>
      </c>
      <c r="N63" s="89">
        <v>1171.07</v>
      </c>
      <c r="O63" s="89">
        <f t="shared" si="1"/>
        <v>13264.22</v>
      </c>
    </row>
    <row r="64" spans="1:15">
      <c r="A64" s="74" t="s">
        <v>113</v>
      </c>
      <c r="B64" s="74" t="s">
        <v>273</v>
      </c>
      <c r="C64" s="74" t="s">
        <v>274</v>
      </c>
      <c r="D64" s="74" t="s">
        <v>86</v>
      </c>
      <c r="E64" s="74" t="s">
        <v>88</v>
      </c>
      <c r="F64" s="86" t="s">
        <v>255</v>
      </c>
      <c r="G64" s="74" t="s">
        <v>268</v>
      </c>
      <c r="H64" s="87">
        <v>44227</v>
      </c>
      <c r="I64" s="98">
        <v>23</v>
      </c>
      <c r="J64" s="98">
        <v>23</v>
      </c>
      <c r="K64" s="89">
        <f t="shared" si="0"/>
        <v>1</v>
      </c>
      <c r="L64" s="89">
        <v>8516.26</v>
      </c>
      <c r="M64" s="89">
        <v>3267.24</v>
      </c>
      <c r="N64" s="89">
        <v>1044.81</v>
      </c>
      <c r="O64" s="89">
        <f t="shared" si="1"/>
        <v>12828.31</v>
      </c>
    </row>
    <row r="65" spans="1:15">
      <c r="A65" s="74" t="s">
        <v>113</v>
      </c>
      <c r="B65" s="74" t="s">
        <v>275</v>
      </c>
      <c r="C65" s="74" t="s">
        <v>276</v>
      </c>
      <c r="D65" s="74" t="s">
        <v>86</v>
      </c>
      <c r="E65" s="74" t="s">
        <v>88</v>
      </c>
      <c r="F65" s="86" t="s">
        <v>258</v>
      </c>
      <c r="G65" s="74" t="s">
        <v>268</v>
      </c>
      <c r="H65" s="87">
        <v>44227</v>
      </c>
      <c r="I65" s="98">
        <v>23</v>
      </c>
      <c r="J65" s="98">
        <v>23</v>
      </c>
      <c r="K65" s="89">
        <f t="shared" si="0"/>
        <v>1</v>
      </c>
      <c r="L65" s="89">
        <v>7452.12</v>
      </c>
      <c r="M65" s="89">
        <v>3030.41</v>
      </c>
      <c r="N65" s="89">
        <v>926.09</v>
      </c>
      <c r="O65" s="89">
        <f t="shared" si="1"/>
        <v>11408.62</v>
      </c>
    </row>
    <row r="66" spans="1:15">
      <c r="A66" s="74" t="s">
        <v>113</v>
      </c>
      <c r="B66" s="74" t="s">
        <v>277</v>
      </c>
      <c r="C66" s="74" t="s">
        <v>278</v>
      </c>
      <c r="D66" s="74" t="s">
        <v>86</v>
      </c>
      <c r="E66" s="74" t="s">
        <v>89</v>
      </c>
      <c r="F66" s="86" t="s">
        <v>279</v>
      </c>
      <c r="G66" s="74" t="s">
        <v>280</v>
      </c>
      <c r="H66" s="87">
        <v>44227</v>
      </c>
      <c r="I66" s="98">
        <v>23</v>
      </c>
      <c r="J66" s="98">
        <v>23</v>
      </c>
      <c r="K66" s="89">
        <f t="shared" si="0"/>
        <v>1</v>
      </c>
      <c r="L66" s="89">
        <v>12930.01</v>
      </c>
      <c r="M66" s="89">
        <v>3046.77</v>
      </c>
      <c r="N66" s="89">
        <v>1503.44</v>
      </c>
      <c r="O66" s="89">
        <f t="shared" si="1"/>
        <v>17480.22</v>
      </c>
    </row>
    <row r="67" spans="1:15">
      <c r="A67" s="74" t="s">
        <v>113</v>
      </c>
      <c r="B67" s="74" t="s">
        <v>281</v>
      </c>
      <c r="C67" s="74" t="s">
        <v>282</v>
      </c>
      <c r="D67" s="74" t="s">
        <v>86</v>
      </c>
      <c r="E67" s="74" t="s">
        <v>89</v>
      </c>
      <c r="F67" s="86" t="s">
        <v>225</v>
      </c>
      <c r="G67" s="74" t="s">
        <v>283</v>
      </c>
      <c r="H67" s="87">
        <v>44227</v>
      </c>
      <c r="I67" s="98">
        <v>23</v>
      </c>
      <c r="J67" s="98">
        <v>23</v>
      </c>
      <c r="K67" s="89">
        <f t="shared" si="0"/>
        <v>1</v>
      </c>
      <c r="L67" s="89">
        <v>8164.21</v>
      </c>
      <c r="M67" s="89">
        <v>3013.65</v>
      </c>
      <c r="N67" s="89">
        <v>1038.16</v>
      </c>
      <c r="O67" s="89">
        <f t="shared" si="1"/>
        <v>12216.02</v>
      </c>
    </row>
    <row r="68" spans="1:15">
      <c r="A68" s="74" t="s">
        <v>113</v>
      </c>
      <c r="B68" s="74" t="s">
        <v>284</v>
      </c>
      <c r="C68" s="74" t="s">
        <v>285</v>
      </c>
      <c r="D68" s="74" t="s">
        <v>86</v>
      </c>
      <c r="E68" s="74" t="s">
        <v>89</v>
      </c>
      <c r="F68" s="86" t="s">
        <v>208</v>
      </c>
      <c r="G68" s="74" t="s">
        <v>283</v>
      </c>
      <c r="H68" s="87">
        <v>44227</v>
      </c>
      <c r="I68" s="98">
        <v>23</v>
      </c>
      <c r="J68" s="98">
        <v>23</v>
      </c>
      <c r="K68" s="89">
        <f t="shared" si="0"/>
        <v>1</v>
      </c>
      <c r="L68" s="89">
        <v>7667.64</v>
      </c>
      <c r="M68" s="89">
        <v>3113.3</v>
      </c>
      <c r="N68" s="89">
        <v>906.59</v>
      </c>
      <c r="O68" s="89">
        <f t="shared" si="1"/>
        <v>11687.53</v>
      </c>
    </row>
    <row r="69" spans="1:15">
      <c r="A69" s="74" t="s">
        <v>113</v>
      </c>
      <c r="B69" s="74" t="s">
        <v>286</v>
      </c>
      <c r="C69" s="74" t="s">
        <v>287</v>
      </c>
      <c r="D69" s="74" t="s">
        <v>82</v>
      </c>
      <c r="E69" s="88" t="s">
        <v>85</v>
      </c>
      <c r="F69" s="86" t="s">
        <v>288</v>
      </c>
      <c r="G69" s="74" t="s">
        <v>289</v>
      </c>
      <c r="H69" s="87">
        <v>44227</v>
      </c>
      <c r="I69" s="98">
        <v>23</v>
      </c>
      <c r="J69" s="98">
        <v>23</v>
      </c>
      <c r="K69" s="89">
        <f t="shared" ref="K69:K77" si="2">I69/J69</f>
        <v>1</v>
      </c>
      <c r="L69" s="89">
        <v>12335.31</v>
      </c>
      <c r="M69" s="89">
        <v>3188.11</v>
      </c>
      <c r="N69" s="89">
        <v>1319.48</v>
      </c>
      <c r="O69" s="89">
        <f t="shared" ref="O69:O132" si="3">SUM(L69:N69)</f>
        <v>16842.9</v>
      </c>
    </row>
    <row r="70" spans="1:15">
      <c r="A70" s="74" t="s">
        <v>113</v>
      </c>
      <c r="B70" s="74" t="s">
        <v>290</v>
      </c>
      <c r="C70" s="74" t="s">
        <v>291</v>
      </c>
      <c r="D70" s="74" t="s">
        <v>82</v>
      </c>
      <c r="E70" s="88" t="s">
        <v>85</v>
      </c>
      <c r="F70" s="86" t="s">
        <v>218</v>
      </c>
      <c r="G70" s="74" t="s">
        <v>289</v>
      </c>
      <c r="H70" s="87">
        <v>44227</v>
      </c>
      <c r="I70" s="98">
        <v>23</v>
      </c>
      <c r="J70" s="98">
        <v>23</v>
      </c>
      <c r="K70" s="89">
        <f t="shared" si="2"/>
        <v>1</v>
      </c>
      <c r="L70" s="89">
        <v>11061.44</v>
      </c>
      <c r="M70" s="89">
        <v>3172.6</v>
      </c>
      <c r="N70" s="89">
        <v>1164.14</v>
      </c>
      <c r="O70" s="89">
        <f t="shared" si="3"/>
        <v>15398.18</v>
      </c>
    </row>
    <row r="71" spans="1:15">
      <c r="A71" s="74" t="s">
        <v>113</v>
      </c>
      <c r="B71" s="74" t="s">
        <v>292</v>
      </c>
      <c r="C71" s="74" t="s">
        <v>293</v>
      </c>
      <c r="D71" s="74" t="s">
        <v>82</v>
      </c>
      <c r="E71" s="88" t="s">
        <v>85</v>
      </c>
      <c r="F71" s="86" t="s">
        <v>225</v>
      </c>
      <c r="G71" s="74" t="s">
        <v>289</v>
      </c>
      <c r="H71" s="87">
        <v>44227</v>
      </c>
      <c r="I71" s="98">
        <v>23</v>
      </c>
      <c r="J71" s="98">
        <v>23</v>
      </c>
      <c r="K71" s="89">
        <f t="shared" si="2"/>
        <v>1</v>
      </c>
      <c r="L71" s="89">
        <v>10526.26</v>
      </c>
      <c r="M71" s="89">
        <v>3057.42</v>
      </c>
      <c r="N71" s="89">
        <v>1096.57</v>
      </c>
      <c r="O71" s="89">
        <f t="shared" si="3"/>
        <v>14680.25</v>
      </c>
    </row>
    <row r="72" spans="1:15">
      <c r="A72" s="74" t="s">
        <v>113</v>
      </c>
      <c r="B72" s="74" t="s">
        <v>294</v>
      </c>
      <c r="C72" s="74" t="s">
        <v>295</v>
      </c>
      <c r="D72" s="74" t="s">
        <v>82</v>
      </c>
      <c r="E72" s="88" t="s">
        <v>85</v>
      </c>
      <c r="F72" s="86" t="s">
        <v>208</v>
      </c>
      <c r="G72" s="74" t="s">
        <v>289</v>
      </c>
      <c r="H72" s="87">
        <v>44227</v>
      </c>
      <c r="I72" s="98">
        <v>23</v>
      </c>
      <c r="J72" s="98">
        <v>23</v>
      </c>
      <c r="K72" s="89">
        <f t="shared" si="2"/>
        <v>1</v>
      </c>
      <c r="L72" s="89">
        <v>9584.6</v>
      </c>
      <c r="M72" s="89">
        <v>3240.64</v>
      </c>
      <c r="N72" s="89">
        <v>931.52</v>
      </c>
      <c r="O72" s="89">
        <f t="shared" si="3"/>
        <v>13756.76</v>
      </c>
    </row>
    <row r="73" spans="1:15">
      <c r="A73" s="74" t="s">
        <v>113</v>
      </c>
      <c r="B73" s="74" t="s">
        <v>296</v>
      </c>
      <c r="C73" s="74" t="s">
        <v>297</v>
      </c>
      <c r="D73" s="74" t="s">
        <v>82</v>
      </c>
      <c r="E73" s="88" t="s">
        <v>85</v>
      </c>
      <c r="F73" s="86" t="s">
        <v>116</v>
      </c>
      <c r="G73" s="74" t="s">
        <v>289</v>
      </c>
      <c r="H73" s="87">
        <v>44227</v>
      </c>
      <c r="I73" s="98">
        <v>23</v>
      </c>
      <c r="J73" s="98">
        <v>23</v>
      </c>
      <c r="K73" s="89">
        <f t="shared" si="2"/>
        <v>1</v>
      </c>
      <c r="L73" s="89">
        <v>8095.93</v>
      </c>
      <c r="M73" s="89">
        <v>3000.29</v>
      </c>
      <c r="N73" s="89">
        <v>815.92</v>
      </c>
      <c r="O73" s="89">
        <f t="shared" si="3"/>
        <v>11912.14</v>
      </c>
    </row>
    <row r="74" spans="1:15">
      <c r="A74" s="74" t="s">
        <v>113</v>
      </c>
      <c r="B74" s="74" t="s">
        <v>298</v>
      </c>
      <c r="C74" s="74" t="s">
        <v>299</v>
      </c>
      <c r="D74" s="74" t="s">
        <v>82</v>
      </c>
      <c r="E74" s="88" t="s">
        <v>85</v>
      </c>
      <c r="F74" s="86" t="s">
        <v>279</v>
      </c>
      <c r="G74" s="74" t="s">
        <v>300</v>
      </c>
      <c r="H74" s="87">
        <v>44227</v>
      </c>
      <c r="I74" s="98">
        <v>23</v>
      </c>
      <c r="J74" s="98">
        <v>23</v>
      </c>
      <c r="K74" s="89">
        <f t="shared" si="2"/>
        <v>1</v>
      </c>
      <c r="L74" s="89">
        <v>15332.84</v>
      </c>
      <c r="M74" s="89">
        <v>3059.73</v>
      </c>
      <c r="N74" s="89">
        <v>1648.97</v>
      </c>
      <c r="O74" s="89">
        <f t="shared" si="3"/>
        <v>20041.54</v>
      </c>
    </row>
    <row r="75" spans="1:15">
      <c r="A75" s="74" t="s">
        <v>113</v>
      </c>
      <c r="B75" s="74" t="s">
        <v>301</v>
      </c>
      <c r="C75" s="74" t="s">
        <v>302</v>
      </c>
      <c r="D75" s="74" t="s">
        <v>82</v>
      </c>
      <c r="E75" s="88" t="s">
        <v>85</v>
      </c>
      <c r="F75" s="86" t="s">
        <v>279</v>
      </c>
      <c r="G75" s="74" t="s">
        <v>303</v>
      </c>
      <c r="H75" s="87">
        <v>44227</v>
      </c>
      <c r="I75" s="98">
        <v>23</v>
      </c>
      <c r="J75" s="98">
        <v>23</v>
      </c>
      <c r="K75" s="89">
        <f t="shared" si="2"/>
        <v>1</v>
      </c>
      <c r="L75" s="89">
        <v>16486.6</v>
      </c>
      <c r="M75" s="89">
        <v>3051.28</v>
      </c>
      <c r="N75" s="89">
        <v>1601.47</v>
      </c>
      <c r="O75" s="89">
        <f t="shared" si="3"/>
        <v>21139.35</v>
      </c>
    </row>
    <row r="76" spans="1:15">
      <c r="A76" s="74" t="s">
        <v>113</v>
      </c>
      <c r="B76" s="74" t="s">
        <v>304</v>
      </c>
      <c r="C76" s="74" t="s">
        <v>305</v>
      </c>
      <c r="D76" s="74" t="s">
        <v>86</v>
      </c>
      <c r="E76" s="74" t="s">
        <v>90</v>
      </c>
      <c r="F76" s="86" t="s">
        <v>306</v>
      </c>
      <c r="G76" s="74" t="s">
        <v>307</v>
      </c>
      <c r="H76" s="87">
        <v>44227</v>
      </c>
      <c r="I76" s="98">
        <v>23</v>
      </c>
      <c r="J76" s="98">
        <v>23</v>
      </c>
      <c r="K76" s="89">
        <f t="shared" si="2"/>
        <v>1</v>
      </c>
      <c r="L76" s="89">
        <v>17432.18</v>
      </c>
      <c r="M76" s="89">
        <v>3285.61</v>
      </c>
      <c r="N76" s="89">
        <v>2140.15</v>
      </c>
      <c r="O76" s="89">
        <f t="shared" si="3"/>
        <v>22857.94</v>
      </c>
    </row>
    <row r="77" spans="1:15">
      <c r="A77" s="74" t="s">
        <v>113</v>
      </c>
      <c r="B77" s="74" t="s">
        <v>114</v>
      </c>
      <c r="C77" s="74" t="s">
        <v>115</v>
      </c>
      <c r="D77" s="74" t="s">
        <v>79</v>
      </c>
      <c r="E77" s="74" t="s">
        <v>80</v>
      </c>
      <c r="F77" s="86" t="s">
        <v>116</v>
      </c>
      <c r="G77" s="74" t="s">
        <v>117</v>
      </c>
      <c r="H77" s="87">
        <v>44255</v>
      </c>
      <c r="I77" s="98">
        <v>15</v>
      </c>
      <c r="J77" s="98">
        <v>15</v>
      </c>
      <c r="K77" s="89">
        <f t="shared" si="2"/>
        <v>1</v>
      </c>
      <c r="L77" s="89">
        <v>8790.56</v>
      </c>
      <c r="M77" s="89">
        <v>3284.19</v>
      </c>
      <c r="N77" s="89">
        <v>854.61</v>
      </c>
      <c r="O77" s="89">
        <f t="shared" si="3"/>
        <v>12929.36</v>
      </c>
    </row>
    <row r="78" spans="1:15">
      <c r="A78" s="74" t="s">
        <v>113</v>
      </c>
      <c r="B78" s="74" t="s">
        <v>118</v>
      </c>
      <c r="C78" s="74" t="s">
        <v>119</v>
      </c>
      <c r="D78" s="74" t="s">
        <v>79</v>
      </c>
      <c r="E78" s="74" t="s">
        <v>80</v>
      </c>
      <c r="F78" s="86" t="s">
        <v>120</v>
      </c>
      <c r="G78" s="74" t="s">
        <v>117</v>
      </c>
      <c r="H78" s="87">
        <v>44255</v>
      </c>
      <c r="I78" s="98">
        <v>15</v>
      </c>
      <c r="J78" s="98">
        <v>15</v>
      </c>
      <c r="K78" s="89">
        <f t="shared" ref="K78:K141" si="4">I78/J78</f>
        <v>1</v>
      </c>
      <c r="L78" s="89">
        <v>7631.89</v>
      </c>
      <c r="M78" s="89">
        <v>3290.11</v>
      </c>
      <c r="N78" s="89">
        <v>733.51</v>
      </c>
      <c r="O78" s="89">
        <f t="shared" si="3"/>
        <v>11655.51</v>
      </c>
    </row>
    <row r="79" spans="1:15">
      <c r="A79" s="74" t="s">
        <v>113</v>
      </c>
      <c r="B79" s="74" t="s">
        <v>121</v>
      </c>
      <c r="C79" s="74" t="s">
        <v>122</v>
      </c>
      <c r="D79" s="74" t="s">
        <v>79</v>
      </c>
      <c r="E79" s="74" t="s">
        <v>80</v>
      </c>
      <c r="F79" s="86" t="s">
        <v>123</v>
      </c>
      <c r="G79" s="74" t="s">
        <v>117</v>
      </c>
      <c r="H79" s="87">
        <v>44255</v>
      </c>
      <c r="I79" s="98">
        <v>15</v>
      </c>
      <c r="J79" s="98">
        <v>15</v>
      </c>
      <c r="K79" s="89">
        <f t="shared" si="4"/>
        <v>1</v>
      </c>
      <c r="L79" s="89">
        <v>6201.82</v>
      </c>
      <c r="M79" s="89">
        <v>3226.7</v>
      </c>
      <c r="N79" s="89">
        <v>639.92</v>
      </c>
      <c r="O79" s="89">
        <f t="shared" si="3"/>
        <v>10068.44</v>
      </c>
    </row>
    <row r="80" spans="1:15">
      <c r="A80" s="74" t="s">
        <v>113</v>
      </c>
      <c r="B80" s="74" t="s">
        <v>124</v>
      </c>
      <c r="C80" s="74" t="s">
        <v>125</v>
      </c>
      <c r="D80" s="74" t="s">
        <v>79</v>
      </c>
      <c r="E80" s="74" t="s">
        <v>80</v>
      </c>
      <c r="F80" s="86" t="s">
        <v>116</v>
      </c>
      <c r="G80" s="74" t="s">
        <v>117</v>
      </c>
      <c r="H80" s="87">
        <v>44255</v>
      </c>
      <c r="I80" s="98">
        <v>15</v>
      </c>
      <c r="J80" s="98">
        <v>15</v>
      </c>
      <c r="K80" s="89">
        <f t="shared" si="4"/>
        <v>1</v>
      </c>
      <c r="L80" s="89">
        <v>8426.71</v>
      </c>
      <c r="M80" s="89">
        <v>3047.47</v>
      </c>
      <c r="N80" s="89">
        <v>832.33</v>
      </c>
      <c r="O80" s="89">
        <f t="shared" si="3"/>
        <v>12306.51</v>
      </c>
    </row>
    <row r="81" spans="1:15">
      <c r="A81" s="74" t="s">
        <v>113</v>
      </c>
      <c r="B81" s="74" t="s">
        <v>126</v>
      </c>
      <c r="C81" s="74" t="s">
        <v>127</v>
      </c>
      <c r="D81" s="74" t="s">
        <v>79</v>
      </c>
      <c r="E81" s="74" t="s">
        <v>80</v>
      </c>
      <c r="F81" s="86" t="s">
        <v>120</v>
      </c>
      <c r="G81" s="74" t="s">
        <v>117</v>
      </c>
      <c r="H81" s="87">
        <v>44255</v>
      </c>
      <c r="I81" s="98">
        <v>15</v>
      </c>
      <c r="J81" s="98">
        <v>15</v>
      </c>
      <c r="K81" s="89">
        <f t="shared" si="4"/>
        <v>1</v>
      </c>
      <c r="L81" s="89">
        <v>7274.09</v>
      </c>
      <c r="M81" s="89">
        <v>3050.79</v>
      </c>
      <c r="N81" s="89">
        <v>725.64</v>
      </c>
      <c r="O81" s="89">
        <f t="shared" si="3"/>
        <v>11050.52</v>
      </c>
    </row>
    <row r="82" spans="1:15">
      <c r="A82" s="74" t="s">
        <v>113</v>
      </c>
      <c r="B82" s="74" t="s">
        <v>128</v>
      </c>
      <c r="C82" s="74" t="s">
        <v>129</v>
      </c>
      <c r="D82" s="74" t="s">
        <v>79</v>
      </c>
      <c r="E82" s="74" t="s">
        <v>80</v>
      </c>
      <c r="F82" s="86" t="s">
        <v>123</v>
      </c>
      <c r="G82" s="74" t="s">
        <v>117</v>
      </c>
      <c r="H82" s="87">
        <v>44255</v>
      </c>
      <c r="I82" s="98">
        <v>15</v>
      </c>
      <c r="J82" s="98">
        <v>15</v>
      </c>
      <c r="K82" s="89">
        <f t="shared" si="4"/>
        <v>1</v>
      </c>
      <c r="L82" s="89">
        <v>6117.17</v>
      </c>
      <c r="M82" s="89">
        <v>3022.33</v>
      </c>
      <c r="N82" s="89">
        <v>653.96</v>
      </c>
      <c r="O82" s="89">
        <f t="shared" si="3"/>
        <v>9793.46</v>
      </c>
    </row>
    <row r="83" spans="1:15">
      <c r="A83" s="74" t="s">
        <v>113</v>
      </c>
      <c r="B83" s="74" t="s">
        <v>130</v>
      </c>
      <c r="C83" s="74" t="s">
        <v>131</v>
      </c>
      <c r="D83" s="74" t="s">
        <v>79</v>
      </c>
      <c r="E83" s="74" t="s">
        <v>80</v>
      </c>
      <c r="F83" s="86" t="s">
        <v>116</v>
      </c>
      <c r="G83" s="74" t="s">
        <v>117</v>
      </c>
      <c r="H83" s="87">
        <v>44255</v>
      </c>
      <c r="I83" s="98">
        <v>15</v>
      </c>
      <c r="J83" s="98">
        <v>15</v>
      </c>
      <c r="K83" s="89">
        <f t="shared" si="4"/>
        <v>1</v>
      </c>
      <c r="L83" s="89">
        <v>8690.9</v>
      </c>
      <c r="M83" s="89">
        <v>3173.66</v>
      </c>
      <c r="N83" s="89">
        <v>849.94</v>
      </c>
      <c r="O83" s="89">
        <f t="shared" si="3"/>
        <v>12714.5</v>
      </c>
    </row>
    <row r="84" spans="1:15">
      <c r="A84" s="74" t="s">
        <v>113</v>
      </c>
      <c r="B84" s="74" t="s">
        <v>132</v>
      </c>
      <c r="C84" s="74" t="s">
        <v>133</v>
      </c>
      <c r="D84" s="74" t="s">
        <v>79</v>
      </c>
      <c r="E84" s="74" t="s">
        <v>80</v>
      </c>
      <c r="F84" s="86" t="s">
        <v>120</v>
      </c>
      <c r="G84" s="74" t="s">
        <v>117</v>
      </c>
      <c r="H84" s="87">
        <v>44255</v>
      </c>
      <c r="I84" s="98">
        <v>15</v>
      </c>
      <c r="J84" s="98">
        <v>15</v>
      </c>
      <c r="K84" s="89">
        <f t="shared" si="4"/>
        <v>1</v>
      </c>
      <c r="L84" s="89">
        <v>7131.38</v>
      </c>
      <c r="M84" s="89">
        <v>3077.4</v>
      </c>
      <c r="N84" s="89">
        <v>709.52</v>
      </c>
      <c r="O84" s="89">
        <f t="shared" si="3"/>
        <v>10918.3</v>
      </c>
    </row>
    <row r="85" spans="1:15">
      <c r="A85" s="74" t="s">
        <v>113</v>
      </c>
      <c r="B85" s="74" t="s">
        <v>134</v>
      </c>
      <c r="C85" s="74" t="s">
        <v>135</v>
      </c>
      <c r="D85" s="74" t="s">
        <v>79</v>
      </c>
      <c r="E85" s="74" t="s">
        <v>80</v>
      </c>
      <c r="F85" s="86" t="s">
        <v>123</v>
      </c>
      <c r="G85" s="74" t="s">
        <v>117</v>
      </c>
      <c r="H85" s="87">
        <v>44255</v>
      </c>
      <c r="I85" s="98">
        <v>15</v>
      </c>
      <c r="J85" s="98">
        <v>15</v>
      </c>
      <c r="K85" s="89">
        <f t="shared" si="4"/>
        <v>1</v>
      </c>
      <c r="L85" s="89">
        <v>6481.25</v>
      </c>
      <c r="M85" s="89">
        <v>3156.82</v>
      </c>
      <c r="N85" s="89">
        <v>648.69</v>
      </c>
      <c r="O85" s="89">
        <f t="shared" si="3"/>
        <v>10286.76</v>
      </c>
    </row>
    <row r="86" spans="1:15">
      <c r="A86" s="74" t="s">
        <v>113</v>
      </c>
      <c r="B86" s="74" t="s">
        <v>136</v>
      </c>
      <c r="C86" s="74" t="s">
        <v>137</v>
      </c>
      <c r="D86" s="74" t="s">
        <v>79</v>
      </c>
      <c r="E86" s="74" t="s">
        <v>80</v>
      </c>
      <c r="F86" s="86" t="s">
        <v>116</v>
      </c>
      <c r="G86" s="74" t="s">
        <v>138</v>
      </c>
      <c r="H86" s="87">
        <v>44255</v>
      </c>
      <c r="I86" s="98">
        <v>15</v>
      </c>
      <c r="J86" s="98">
        <v>15</v>
      </c>
      <c r="K86" s="89">
        <f t="shared" si="4"/>
        <v>1</v>
      </c>
      <c r="L86" s="89">
        <v>8201.08</v>
      </c>
      <c r="M86" s="89">
        <v>3103.93</v>
      </c>
      <c r="N86" s="89">
        <v>851.36</v>
      </c>
      <c r="O86" s="89">
        <f t="shared" si="3"/>
        <v>12156.37</v>
      </c>
    </row>
    <row r="87" spans="1:15">
      <c r="A87" s="74" t="s">
        <v>113</v>
      </c>
      <c r="B87" s="74" t="s">
        <v>139</v>
      </c>
      <c r="C87" s="74" t="s">
        <v>140</v>
      </c>
      <c r="D87" s="74" t="s">
        <v>79</v>
      </c>
      <c r="E87" s="74" t="s">
        <v>80</v>
      </c>
      <c r="F87" s="86" t="s">
        <v>120</v>
      </c>
      <c r="G87" s="74" t="s">
        <v>138</v>
      </c>
      <c r="H87" s="87">
        <v>44255</v>
      </c>
      <c r="I87" s="98">
        <v>15</v>
      </c>
      <c r="J87" s="98">
        <v>15</v>
      </c>
      <c r="K87" s="89">
        <f t="shared" si="4"/>
        <v>1</v>
      </c>
      <c r="L87" s="89">
        <v>7311.96</v>
      </c>
      <c r="M87" s="89">
        <v>3283.89</v>
      </c>
      <c r="N87" s="89">
        <v>706.13</v>
      </c>
      <c r="O87" s="89">
        <f t="shared" si="3"/>
        <v>11301.98</v>
      </c>
    </row>
    <row r="88" spans="1:15">
      <c r="A88" s="74" t="s">
        <v>113</v>
      </c>
      <c r="B88" s="74" t="s">
        <v>141</v>
      </c>
      <c r="C88" s="74" t="s">
        <v>142</v>
      </c>
      <c r="D88" s="74" t="s">
        <v>79</v>
      </c>
      <c r="E88" s="74" t="s">
        <v>80</v>
      </c>
      <c r="F88" s="86" t="s">
        <v>123</v>
      </c>
      <c r="G88" s="74" t="s">
        <v>138</v>
      </c>
      <c r="H88" s="87">
        <v>44255</v>
      </c>
      <c r="I88" s="98">
        <v>15</v>
      </c>
      <c r="J88" s="98">
        <v>15</v>
      </c>
      <c r="K88" s="89">
        <f t="shared" si="4"/>
        <v>1</v>
      </c>
      <c r="L88" s="89">
        <v>6333.53</v>
      </c>
      <c r="M88" s="89">
        <v>3036.78</v>
      </c>
      <c r="N88" s="89">
        <v>618.36</v>
      </c>
      <c r="O88" s="89">
        <f t="shared" si="3"/>
        <v>9988.67</v>
      </c>
    </row>
    <row r="89" spans="1:15">
      <c r="A89" s="74" t="s">
        <v>113</v>
      </c>
      <c r="B89" s="74" t="s">
        <v>143</v>
      </c>
      <c r="C89" s="74" t="s">
        <v>144</v>
      </c>
      <c r="D89" s="74" t="s">
        <v>79</v>
      </c>
      <c r="E89" s="74" t="s">
        <v>80</v>
      </c>
      <c r="F89" s="86" t="s">
        <v>145</v>
      </c>
      <c r="G89" s="74" t="s">
        <v>146</v>
      </c>
      <c r="H89" s="87">
        <v>44255</v>
      </c>
      <c r="I89" s="98">
        <v>15</v>
      </c>
      <c r="J89" s="98">
        <v>15</v>
      </c>
      <c r="K89" s="89">
        <f t="shared" si="4"/>
        <v>1</v>
      </c>
      <c r="L89" s="89">
        <v>19009.16</v>
      </c>
      <c r="M89" s="89">
        <v>3143.53</v>
      </c>
      <c r="N89" s="89">
        <v>2073.39</v>
      </c>
      <c r="O89" s="89">
        <f t="shared" si="3"/>
        <v>24226.08</v>
      </c>
    </row>
    <row r="90" spans="1:15">
      <c r="A90" s="74" t="s">
        <v>113</v>
      </c>
      <c r="B90" s="74" t="s">
        <v>147</v>
      </c>
      <c r="C90" s="74" t="s">
        <v>148</v>
      </c>
      <c r="D90" s="74" t="s">
        <v>79</v>
      </c>
      <c r="E90" s="74" t="s">
        <v>80</v>
      </c>
      <c r="F90" s="86" t="s">
        <v>149</v>
      </c>
      <c r="G90" s="74" t="s">
        <v>150</v>
      </c>
      <c r="H90" s="87">
        <v>44255</v>
      </c>
      <c r="I90" s="98">
        <v>15</v>
      </c>
      <c r="J90" s="98">
        <v>15</v>
      </c>
      <c r="K90" s="89">
        <f t="shared" si="4"/>
        <v>1</v>
      </c>
      <c r="L90" s="89">
        <v>18167.32</v>
      </c>
      <c r="M90" s="89">
        <v>3265.34</v>
      </c>
      <c r="N90" s="89">
        <v>1712.57</v>
      </c>
      <c r="O90" s="89">
        <f t="shared" si="3"/>
        <v>23145.23</v>
      </c>
    </row>
    <row r="91" spans="1:15">
      <c r="A91" s="74" t="s">
        <v>113</v>
      </c>
      <c r="B91" s="74" t="s">
        <v>151</v>
      </c>
      <c r="C91" s="74" t="s">
        <v>152</v>
      </c>
      <c r="D91" s="74" t="s">
        <v>79</v>
      </c>
      <c r="E91" s="74" t="s">
        <v>81</v>
      </c>
      <c r="F91" s="86" t="s">
        <v>123</v>
      </c>
      <c r="G91" s="74" t="s">
        <v>153</v>
      </c>
      <c r="H91" s="87">
        <v>44255</v>
      </c>
      <c r="I91" s="98">
        <v>15</v>
      </c>
      <c r="J91" s="98">
        <v>15</v>
      </c>
      <c r="K91" s="89">
        <f t="shared" si="4"/>
        <v>1</v>
      </c>
      <c r="L91" s="89">
        <v>6154.23</v>
      </c>
      <c r="M91" s="89">
        <v>3051.73</v>
      </c>
      <c r="N91" s="89">
        <v>647.8</v>
      </c>
      <c r="O91" s="89">
        <f t="shared" si="3"/>
        <v>9853.76</v>
      </c>
    </row>
    <row r="92" spans="1:15">
      <c r="A92" s="74" t="s">
        <v>113</v>
      </c>
      <c r="B92" s="74" t="s">
        <v>154</v>
      </c>
      <c r="C92" s="74" t="s">
        <v>155</v>
      </c>
      <c r="D92" s="74" t="s">
        <v>79</v>
      </c>
      <c r="E92" s="74" t="s">
        <v>81</v>
      </c>
      <c r="F92" s="86" t="s">
        <v>156</v>
      </c>
      <c r="G92" s="74" t="s">
        <v>157</v>
      </c>
      <c r="H92" s="87">
        <v>44255</v>
      </c>
      <c r="I92" s="98">
        <v>15</v>
      </c>
      <c r="J92" s="98">
        <v>15</v>
      </c>
      <c r="K92" s="89">
        <f t="shared" si="4"/>
        <v>1</v>
      </c>
      <c r="L92" s="89">
        <v>5087.52</v>
      </c>
      <c r="M92" s="89">
        <v>3069.62</v>
      </c>
      <c r="N92" s="89">
        <v>515.59</v>
      </c>
      <c r="O92" s="89">
        <f t="shared" si="3"/>
        <v>8672.73</v>
      </c>
    </row>
    <row r="93" spans="1:15">
      <c r="A93" s="74" t="s">
        <v>113</v>
      </c>
      <c r="B93" s="74" t="s">
        <v>158</v>
      </c>
      <c r="C93" s="74" t="s">
        <v>159</v>
      </c>
      <c r="D93" s="74" t="s">
        <v>79</v>
      </c>
      <c r="E93" s="74" t="s">
        <v>81</v>
      </c>
      <c r="F93" s="86" t="s">
        <v>160</v>
      </c>
      <c r="G93" s="74" t="s">
        <v>161</v>
      </c>
      <c r="H93" s="87">
        <v>44255</v>
      </c>
      <c r="I93" s="98">
        <v>15</v>
      </c>
      <c r="J93" s="98">
        <v>15</v>
      </c>
      <c r="K93" s="89">
        <f t="shared" si="4"/>
        <v>1</v>
      </c>
      <c r="L93" s="89">
        <v>4213.53</v>
      </c>
      <c r="M93" s="89">
        <v>3152.99</v>
      </c>
      <c r="N93" s="89">
        <v>425.82</v>
      </c>
      <c r="O93" s="89">
        <f t="shared" si="3"/>
        <v>7792.34</v>
      </c>
    </row>
    <row r="94" spans="1:15">
      <c r="A94" s="74" t="s">
        <v>113</v>
      </c>
      <c r="B94" s="74" t="s">
        <v>162</v>
      </c>
      <c r="C94" s="74" t="s">
        <v>163</v>
      </c>
      <c r="D94" s="74" t="s">
        <v>79</v>
      </c>
      <c r="E94" s="74" t="s">
        <v>81</v>
      </c>
      <c r="F94" s="86" t="s">
        <v>123</v>
      </c>
      <c r="G94" s="74" t="s">
        <v>153</v>
      </c>
      <c r="H94" s="87">
        <v>44255</v>
      </c>
      <c r="I94" s="98">
        <v>15</v>
      </c>
      <c r="J94" s="98">
        <v>15</v>
      </c>
      <c r="K94" s="89">
        <f t="shared" si="4"/>
        <v>1</v>
      </c>
      <c r="L94" s="89">
        <v>6539.85</v>
      </c>
      <c r="M94" s="89">
        <v>3101.77</v>
      </c>
      <c r="N94" s="89">
        <v>655.98</v>
      </c>
      <c r="O94" s="89">
        <f t="shared" si="3"/>
        <v>10297.6</v>
      </c>
    </row>
    <row r="95" spans="1:15">
      <c r="A95" s="74" t="s">
        <v>113</v>
      </c>
      <c r="B95" s="74" t="s">
        <v>164</v>
      </c>
      <c r="C95" s="74" t="s">
        <v>165</v>
      </c>
      <c r="D95" s="74" t="s">
        <v>79</v>
      </c>
      <c r="E95" s="74" t="s">
        <v>81</v>
      </c>
      <c r="F95" s="86" t="s">
        <v>156</v>
      </c>
      <c r="G95" s="74" t="s">
        <v>157</v>
      </c>
      <c r="H95" s="87">
        <v>44255</v>
      </c>
      <c r="I95" s="98">
        <v>15</v>
      </c>
      <c r="J95" s="98">
        <v>15</v>
      </c>
      <c r="K95" s="89">
        <f t="shared" si="4"/>
        <v>1</v>
      </c>
      <c r="L95" s="89">
        <v>5491.72</v>
      </c>
      <c r="M95" s="89">
        <v>3122.88</v>
      </c>
      <c r="N95" s="89">
        <v>549.86</v>
      </c>
      <c r="O95" s="89">
        <f t="shared" si="3"/>
        <v>9164.46</v>
      </c>
    </row>
    <row r="96" spans="1:15">
      <c r="A96" s="74" t="s">
        <v>113</v>
      </c>
      <c r="B96" s="74" t="s">
        <v>166</v>
      </c>
      <c r="C96" s="74" t="s">
        <v>167</v>
      </c>
      <c r="D96" s="74" t="s">
        <v>79</v>
      </c>
      <c r="E96" s="74" t="s">
        <v>81</v>
      </c>
      <c r="F96" s="86" t="s">
        <v>160</v>
      </c>
      <c r="G96" s="74" t="s">
        <v>161</v>
      </c>
      <c r="H96" s="87">
        <v>44255</v>
      </c>
      <c r="I96" s="98">
        <v>15</v>
      </c>
      <c r="J96" s="98">
        <v>15</v>
      </c>
      <c r="K96" s="89">
        <f t="shared" si="4"/>
        <v>1</v>
      </c>
      <c r="L96" s="89">
        <v>4037.09</v>
      </c>
      <c r="M96" s="89">
        <v>3066.95</v>
      </c>
      <c r="N96" s="89">
        <v>439.47</v>
      </c>
      <c r="O96" s="89">
        <f t="shared" si="3"/>
        <v>7543.51</v>
      </c>
    </row>
    <row r="97" spans="1:15">
      <c r="A97" s="74" t="s">
        <v>113</v>
      </c>
      <c r="B97" s="74" t="s">
        <v>168</v>
      </c>
      <c r="C97" s="74" t="s">
        <v>169</v>
      </c>
      <c r="D97" s="74" t="s">
        <v>79</v>
      </c>
      <c r="E97" s="74" t="s">
        <v>81</v>
      </c>
      <c r="F97" s="86" t="s">
        <v>123</v>
      </c>
      <c r="G97" s="74" t="s">
        <v>153</v>
      </c>
      <c r="H97" s="87">
        <v>44255</v>
      </c>
      <c r="I97" s="98">
        <v>15</v>
      </c>
      <c r="J97" s="98">
        <v>15</v>
      </c>
      <c r="K97" s="89">
        <f t="shared" si="4"/>
        <v>1</v>
      </c>
      <c r="L97" s="89">
        <v>6306.31</v>
      </c>
      <c r="M97" s="89">
        <v>3077.34</v>
      </c>
      <c r="N97" s="89">
        <v>621.22</v>
      </c>
      <c r="O97" s="89">
        <f t="shared" si="3"/>
        <v>10004.87</v>
      </c>
    </row>
    <row r="98" spans="1:15">
      <c r="A98" s="74" t="s">
        <v>113</v>
      </c>
      <c r="B98" s="74" t="s">
        <v>170</v>
      </c>
      <c r="C98" s="74" t="s">
        <v>171</v>
      </c>
      <c r="D98" s="74" t="s">
        <v>79</v>
      </c>
      <c r="E98" s="74" t="s">
        <v>81</v>
      </c>
      <c r="F98" s="86" t="s">
        <v>156</v>
      </c>
      <c r="G98" s="74" t="s">
        <v>157</v>
      </c>
      <c r="H98" s="87">
        <v>44255</v>
      </c>
      <c r="I98" s="98">
        <v>15</v>
      </c>
      <c r="J98" s="98">
        <v>15</v>
      </c>
      <c r="K98" s="89">
        <f t="shared" si="4"/>
        <v>1</v>
      </c>
      <c r="L98" s="89">
        <v>5261.15</v>
      </c>
      <c r="M98" s="89">
        <v>3084.67</v>
      </c>
      <c r="N98" s="89">
        <v>526.69</v>
      </c>
      <c r="O98" s="89">
        <f t="shared" si="3"/>
        <v>8872.51</v>
      </c>
    </row>
    <row r="99" spans="1:15">
      <c r="A99" s="74" t="s">
        <v>113</v>
      </c>
      <c r="B99" s="74" t="s">
        <v>172</v>
      </c>
      <c r="C99" s="74" t="s">
        <v>173</v>
      </c>
      <c r="D99" s="74" t="s">
        <v>79</v>
      </c>
      <c r="E99" s="74" t="s">
        <v>81</v>
      </c>
      <c r="F99" s="86" t="s">
        <v>160</v>
      </c>
      <c r="G99" s="74" t="s">
        <v>161</v>
      </c>
      <c r="H99" s="87">
        <v>44255</v>
      </c>
      <c r="I99" s="98">
        <v>15</v>
      </c>
      <c r="J99" s="98">
        <v>15</v>
      </c>
      <c r="K99" s="89">
        <f t="shared" si="4"/>
        <v>1</v>
      </c>
      <c r="L99" s="89">
        <v>4193.64</v>
      </c>
      <c r="M99" s="89">
        <v>3028.94</v>
      </c>
      <c r="N99" s="89">
        <v>413.72</v>
      </c>
      <c r="O99" s="89">
        <f t="shared" si="3"/>
        <v>7636.3</v>
      </c>
    </row>
    <row r="100" spans="1:15">
      <c r="A100" s="74" t="s">
        <v>113</v>
      </c>
      <c r="B100" s="74" t="s">
        <v>174</v>
      </c>
      <c r="C100" s="74" t="s">
        <v>175</v>
      </c>
      <c r="D100" s="74" t="s">
        <v>79</v>
      </c>
      <c r="E100" s="74" t="s">
        <v>81</v>
      </c>
      <c r="F100" s="86" t="s">
        <v>176</v>
      </c>
      <c r="G100" s="74" t="s">
        <v>177</v>
      </c>
      <c r="H100" s="87">
        <v>44255</v>
      </c>
      <c r="I100" s="98">
        <v>15</v>
      </c>
      <c r="J100" s="98">
        <v>15</v>
      </c>
      <c r="K100" s="89">
        <f t="shared" si="4"/>
        <v>1</v>
      </c>
      <c r="L100" s="89">
        <v>3196.02</v>
      </c>
      <c r="M100" s="89">
        <v>3109.41</v>
      </c>
      <c r="N100" s="89">
        <v>316.98</v>
      </c>
      <c r="O100" s="89">
        <f t="shared" si="3"/>
        <v>6622.41</v>
      </c>
    </row>
    <row r="101" spans="1:15">
      <c r="A101" s="74" t="s">
        <v>113</v>
      </c>
      <c r="B101" s="74" t="s">
        <v>178</v>
      </c>
      <c r="C101" s="74" t="s">
        <v>179</v>
      </c>
      <c r="D101" s="74" t="s">
        <v>79</v>
      </c>
      <c r="E101" s="74" t="s">
        <v>81</v>
      </c>
      <c r="F101" s="86" t="s">
        <v>180</v>
      </c>
      <c r="G101" s="74" t="s">
        <v>177</v>
      </c>
      <c r="H101" s="87">
        <v>44255</v>
      </c>
      <c r="I101" s="98">
        <v>15</v>
      </c>
      <c r="J101" s="98">
        <v>15</v>
      </c>
      <c r="K101" s="89">
        <f t="shared" si="4"/>
        <v>1</v>
      </c>
      <c r="L101" s="89">
        <v>2163.76</v>
      </c>
      <c r="M101" s="89">
        <v>3172.44</v>
      </c>
      <c r="N101" s="89">
        <v>215.59</v>
      </c>
      <c r="O101" s="89">
        <f t="shared" si="3"/>
        <v>5551.79</v>
      </c>
    </row>
    <row r="102" spans="1:15">
      <c r="A102" s="74" t="s">
        <v>113</v>
      </c>
      <c r="B102" s="74" t="s">
        <v>181</v>
      </c>
      <c r="C102" s="74" t="s">
        <v>182</v>
      </c>
      <c r="D102" s="74" t="s">
        <v>79</v>
      </c>
      <c r="E102" s="74" t="s">
        <v>81</v>
      </c>
      <c r="F102" s="86" t="s">
        <v>183</v>
      </c>
      <c r="G102" s="74" t="s">
        <v>177</v>
      </c>
      <c r="H102" s="87">
        <v>44255</v>
      </c>
      <c r="I102" s="98">
        <v>15</v>
      </c>
      <c r="J102" s="98">
        <v>15</v>
      </c>
      <c r="K102" s="89">
        <f t="shared" si="4"/>
        <v>1</v>
      </c>
      <c r="L102" s="89">
        <v>1027.78</v>
      </c>
      <c r="M102" s="89">
        <v>3208.73</v>
      </c>
      <c r="N102" s="89">
        <v>107.51</v>
      </c>
      <c r="O102" s="89">
        <f t="shared" si="3"/>
        <v>4344.02</v>
      </c>
    </row>
    <row r="103" spans="1:15">
      <c r="A103" s="74" t="s">
        <v>113</v>
      </c>
      <c r="B103" s="74" t="s">
        <v>184</v>
      </c>
      <c r="C103" s="74" t="s">
        <v>185</v>
      </c>
      <c r="D103" s="74" t="s">
        <v>79</v>
      </c>
      <c r="E103" s="74" t="s">
        <v>81</v>
      </c>
      <c r="F103" s="86" t="s">
        <v>176</v>
      </c>
      <c r="G103" s="74" t="s">
        <v>177</v>
      </c>
      <c r="H103" s="87">
        <v>44255</v>
      </c>
      <c r="I103" s="98">
        <v>15</v>
      </c>
      <c r="J103" s="98">
        <v>15</v>
      </c>
      <c r="K103" s="89">
        <f t="shared" si="4"/>
        <v>1</v>
      </c>
      <c r="L103" s="89">
        <v>3131.91</v>
      </c>
      <c r="M103" s="89">
        <v>3083.68</v>
      </c>
      <c r="N103" s="89">
        <v>325.23</v>
      </c>
      <c r="O103" s="89">
        <f t="shared" si="3"/>
        <v>6540.82</v>
      </c>
    </row>
    <row r="104" spans="1:15">
      <c r="A104" s="74" t="s">
        <v>113</v>
      </c>
      <c r="B104" s="74" t="s">
        <v>186</v>
      </c>
      <c r="C104" s="74" t="s">
        <v>187</v>
      </c>
      <c r="D104" s="74" t="s">
        <v>79</v>
      </c>
      <c r="E104" s="74" t="s">
        <v>81</v>
      </c>
      <c r="F104" s="86" t="s">
        <v>180</v>
      </c>
      <c r="G104" s="74" t="s">
        <v>177</v>
      </c>
      <c r="H104" s="87">
        <v>44255</v>
      </c>
      <c r="I104" s="98">
        <v>15</v>
      </c>
      <c r="J104" s="98">
        <v>15</v>
      </c>
      <c r="K104" s="89">
        <f t="shared" si="4"/>
        <v>1</v>
      </c>
      <c r="L104" s="89">
        <v>2126.93</v>
      </c>
      <c r="M104" s="89">
        <v>3261.73</v>
      </c>
      <c r="N104" s="89">
        <v>201.13</v>
      </c>
      <c r="O104" s="89">
        <f t="shared" si="3"/>
        <v>5589.79</v>
      </c>
    </row>
    <row r="105" spans="1:15">
      <c r="A105" s="74" t="s">
        <v>113</v>
      </c>
      <c r="B105" s="74" t="s">
        <v>188</v>
      </c>
      <c r="C105" s="74" t="s">
        <v>189</v>
      </c>
      <c r="D105" s="74" t="s">
        <v>79</v>
      </c>
      <c r="E105" s="74" t="s">
        <v>81</v>
      </c>
      <c r="F105" s="86" t="s">
        <v>183</v>
      </c>
      <c r="G105" s="74" t="s">
        <v>177</v>
      </c>
      <c r="H105" s="87">
        <v>44255</v>
      </c>
      <c r="I105" s="98">
        <v>15</v>
      </c>
      <c r="J105" s="98">
        <v>15</v>
      </c>
      <c r="K105" s="89">
        <f t="shared" si="4"/>
        <v>1</v>
      </c>
      <c r="L105" s="89">
        <v>1056.79</v>
      </c>
      <c r="M105" s="89">
        <v>3197.42</v>
      </c>
      <c r="N105" s="89">
        <v>108.9</v>
      </c>
      <c r="O105" s="89">
        <f t="shared" si="3"/>
        <v>4363.11</v>
      </c>
    </row>
    <row r="106" spans="1:15">
      <c r="A106" s="74" t="s">
        <v>113</v>
      </c>
      <c r="B106" s="74" t="s">
        <v>190</v>
      </c>
      <c r="C106" s="74" t="s">
        <v>191</v>
      </c>
      <c r="D106" s="74" t="s">
        <v>79</v>
      </c>
      <c r="E106" s="74" t="s">
        <v>81</v>
      </c>
      <c r="F106" s="86" t="s">
        <v>176</v>
      </c>
      <c r="G106" s="74" t="s">
        <v>177</v>
      </c>
      <c r="H106" s="87">
        <v>44255</v>
      </c>
      <c r="I106" s="98">
        <v>15</v>
      </c>
      <c r="J106" s="98">
        <v>15</v>
      </c>
      <c r="K106" s="89">
        <f t="shared" si="4"/>
        <v>1</v>
      </c>
      <c r="L106" s="89">
        <v>3031.35</v>
      </c>
      <c r="M106" s="89">
        <v>3215.76</v>
      </c>
      <c r="N106" s="89">
        <v>315.36</v>
      </c>
      <c r="O106" s="89">
        <f t="shared" si="3"/>
        <v>6562.47</v>
      </c>
    </row>
    <row r="107" spans="1:15">
      <c r="A107" s="74" t="s">
        <v>113</v>
      </c>
      <c r="B107" s="74" t="s">
        <v>192</v>
      </c>
      <c r="C107" s="74" t="s">
        <v>193</v>
      </c>
      <c r="D107" s="74" t="s">
        <v>79</v>
      </c>
      <c r="E107" s="74" t="s">
        <v>81</v>
      </c>
      <c r="F107" s="86" t="s">
        <v>180</v>
      </c>
      <c r="G107" s="74" t="s">
        <v>177</v>
      </c>
      <c r="H107" s="87">
        <v>44255</v>
      </c>
      <c r="I107" s="98">
        <v>15</v>
      </c>
      <c r="J107" s="98">
        <v>15</v>
      </c>
      <c r="K107" s="89">
        <f t="shared" si="4"/>
        <v>1</v>
      </c>
      <c r="L107" s="89">
        <v>2007.73</v>
      </c>
      <c r="M107" s="89">
        <v>3209.59</v>
      </c>
      <c r="N107" s="89">
        <v>202.6</v>
      </c>
      <c r="O107" s="89">
        <f t="shared" si="3"/>
        <v>5419.92</v>
      </c>
    </row>
    <row r="108" spans="1:15">
      <c r="A108" s="74" t="s">
        <v>113</v>
      </c>
      <c r="B108" s="74" t="s">
        <v>194</v>
      </c>
      <c r="C108" s="74" t="s">
        <v>195</v>
      </c>
      <c r="D108" s="74" t="s">
        <v>79</v>
      </c>
      <c r="E108" s="74" t="s">
        <v>81</v>
      </c>
      <c r="F108" s="86" t="s">
        <v>183</v>
      </c>
      <c r="G108" s="74" t="s">
        <v>177</v>
      </c>
      <c r="H108" s="87">
        <v>44255</v>
      </c>
      <c r="I108" s="98">
        <v>15</v>
      </c>
      <c r="J108" s="98">
        <v>15</v>
      </c>
      <c r="K108" s="89">
        <f t="shared" si="4"/>
        <v>1</v>
      </c>
      <c r="L108" s="89">
        <v>1016.88</v>
      </c>
      <c r="M108" s="89">
        <v>3187.96</v>
      </c>
      <c r="N108" s="89">
        <v>109.79</v>
      </c>
      <c r="O108" s="89">
        <f t="shared" si="3"/>
        <v>4314.63</v>
      </c>
    </row>
    <row r="109" spans="1:15">
      <c r="A109" s="74" t="s">
        <v>113</v>
      </c>
      <c r="B109" s="74" t="s">
        <v>196</v>
      </c>
      <c r="C109" s="74" t="s">
        <v>197</v>
      </c>
      <c r="D109" s="74" t="s">
        <v>79</v>
      </c>
      <c r="E109" s="74" t="s">
        <v>81</v>
      </c>
      <c r="F109" s="86" t="s">
        <v>176</v>
      </c>
      <c r="G109" s="74" t="s">
        <v>177</v>
      </c>
      <c r="H109" s="87">
        <v>44255</v>
      </c>
      <c r="I109" s="98">
        <v>15</v>
      </c>
      <c r="J109" s="98">
        <v>15</v>
      </c>
      <c r="K109" s="89">
        <f t="shared" si="4"/>
        <v>1</v>
      </c>
      <c r="L109" s="89">
        <v>3273.94</v>
      </c>
      <c r="M109" s="89">
        <v>3163.45</v>
      </c>
      <c r="N109" s="89">
        <v>316.79</v>
      </c>
      <c r="O109" s="89">
        <f t="shared" si="3"/>
        <v>6754.18</v>
      </c>
    </row>
    <row r="110" spans="1:15">
      <c r="A110" s="74" t="s">
        <v>113</v>
      </c>
      <c r="B110" s="74" t="s">
        <v>198</v>
      </c>
      <c r="C110" s="74" t="s">
        <v>199</v>
      </c>
      <c r="D110" s="74" t="s">
        <v>79</v>
      </c>
      <c r="E110" s="74" t="s">
        <v>81</v>
      </c>
      <c r="F110" s="86" t="s">
        <v>180</v>
      </c>
      <c r="G110" s="74" t="s">
        <v>177</v>
      </c>
      <c r="H110" s="87">
        <v>44255</v>
      </c>
      <c r="I110" s="98">
        <v>15</v>
      </c>
      <c r="J110" s="98">
        <v>15</v>
      </c>
      <c r="K110" s="89">
        <f t="shared" si="4"/>
        <v>1</v>
      </c>
      <c r="L110" s="89">
        <v>2078.18</v>
      </c>
      <c r="M110" s="89">
        <v>3062.88</v>
      </c>
      <c r="N110" s="89">
        <v>207.15</v>
      </c>
      <c r="O110" s="89">
        <f t="shared" si="3"/>
        <v>5348.21</v>
      </c>
    </row>
    <row r="111" spans="1:15">
      <c r="A111" s="74" t="s">
        <v>113</v>
      </c>
      <c r="B111" s="74" t="s">
        <v>200</v>
      </c>
      <c r="C111" s="74" t="s">
        <v>201</v>
      </c>
      <c r="D111" s="74" t="s">
        <v>79</v>
      </c>
      <c r="E111" s="74" t="s">
        <v>81</v>
      </c>
      <c r="F111" s="86" t="s">
        <v>183</v>
      </c>
      <c r="G111" s="74" t="s">
        <v>177</v>
      </c>
      <c r="H111" s="87">
        <v>44255</v>
      </c>
      <c r="I111" s="98">
        <v>15</v>
      </c>
      <c r="J111" s="98">
        <v>15</v>
      </c>
      <c r="K111" s="89">
        <f t="shared" si="4"/>
        <v>1</v>
      </c>
      <c r="L111" s="89">
        <v>1092.78</v>
      </c>
      <c r="M111" s="89">
        <v>3077.1</v>
      </c>
      <c r="N111" s="89">
        <v>103.77</v>
      </c>
      <c r="O111" s="89">
        <f t="shared" si="3"/>
        <v>4273.65</v>
      </c>
    </row>
    <row r="112" spans="1:15">
      <c r="A112" s="74" t="s">
        <v>113</v>
      </c>
      <c r="B112" s="74" t="s">
        <v>202</v>
      </c>
      <c r="C112" s="74" t="s">
        <v>203</v>
      </c>
      <c r="D112" s="74" t="s">
        <v>79</v>
      </c>
      <c r="E112" s="74" t="s">
        <v>81</v>
      </c>
      <c r="F112" s="86" t="s">
        <v>204</v>
      </c>
      <c r="G112" s="74" t="s">
        <v>205</v>
      </c>
      <c r="H112" s="87">
        <v>44255</v>
      </c>
      <c r="I112" s="98">
        <v>15</v>
      </c>
      <c r="J112" s="98">
        <v>15</v>
      </c>
      <c r="K112" s="89">
        <f t="shared" si="4"/>
        <v>1</v>
      </c>
      <c r="L112" s="89">
        <v>18765.77</v>
      </c>
      <c r="M112" s="89">
        <v>3191.52</v>
      </c>
      <c r="N112" s="89">
        <v>1944.36</v>
      </c>
      <c r="O112" s="89">
        <f t="shared" si="3"/>
        <v>23901.65</v>
      </c>
    </row>
    <row r="113" spans="1:15">
      <c r="A113" s="74" t="s">
        <v>113</v>
      </c>
      <c r="B113" s="74" t="s">
        <v>206</v>
      </c>
      <c r="C113" s="74" t="s">
        <v>207</v>
      </c>
      <c r="D113" s="88" t="s">
        <v>82</v>
      </c>
      <c r="E113" s="88" t="s">
        <v>84</v>
      </c>
      <c r="F113" s="86" t="s">
        <v>208</v>
      </c>
      <c r="G113" s="74" t="s">
        <v>209</v>
      </c>
      <c r="H113" s="87">
        <v>44255</v>
      </c>
      <c r="I113" s="98">
        <v>15</v>
      </c>
      <c r="J113" s="98">
        <v>15</v>
      </c>
      <c r="K113" s="89">
        <f t="shared" si="4"/>
        <v>1</v>
      </c>
      <c r="L113" s="89">
        <v>9889.43</v>
      </c>
      <c r="M113" s="89">
        <v>3161.24</v>
      </c>
      <c r="N113" s="89">
        <v>916.52</v>
      </c>
      <c r="O113" s="89">
        <f t="shared" si="3"/>
        <v>13967.19</v>
      </c>
    </row>
    <row r="114" spans="1:15">
      <c r="A114" s="74" t="s">
        <v>113</v>
      </c>
      <c r="B114" s="74" t="s">
        <v>210</v>
      </c>
      <c r="C114" s="74" t="s">
        <v>211</v>
      </c>
      <c r="D114" s="88" t="s">
        <v>82</v>
      </c>
      <c r="E114" s="88" t="s">
        <v>84</v>
      </c>
      <c r="F114" s="86" t="s">
        <v>116</v>
      </c>
      <c r="G114" s="74" t="s">
        <v>209</v>
      </c>
      <c r="H114" s="87">
        <v>44255</v>
      </c>
      <c r="I114" s="98">
        <v>15</v>
      </c>
      <c r="J114" s="98">
        <v>15</v>
      </c>
      <c r="K114" s="89">
        <f t="shared" si="4"/>
        <v>1</v>
      </c>
      <c r="L114" s="89">
        <v>8608.62</v>
      </c>
      <c r="M114" s="89">
        <v>3247.24</v>
      </c>
      <c r="N114" s="89">
        <v>820.1</v>
      </c>
      <c r="O114" s="89">
        <f t="shared" si="3"/>
        <v>12675.96</v>
      </c>
    </row>
    <row r="115" spans="1:15">
      <c r="A115" s="74" t="s">
        <v>113</v>
      </c>
      <c r="B115" s="74" t="s">
        <v>212</v>
      </c>
      <c r="C115" s="74" t="s">
        <v>213</v>
      </c>
      <c r="D115" s="88" t="s">
        <v>82</v>
      </c>
      <c r="E115" s="88" t="s">
        <v>84</v>
      </c>
      <c r="F115" s="86" t="s">
        <v>208</v>
      </c>
      <c r="G115" s="74" t="s">
        <v>209</v>
      </c>
      <c r="H115" s="87">
        <v>44255</v>
      </c>
      <c r="I115" s="98">
        <v>15</v>
      </c>
      <c r="J115" s="98">
        <v>15</v>
      </c>
      <c r="K115" s="89">
        <f t="shared" si="4"/>
        <v>1</v>
      </c>
      <c r="L115" s="89">
        <v>9656.72</v>
      </c>
      <c r="M115" s="89">
        <v>3157.56</v>
      </c>
      <c r="N115" s="89">
        <v>913.4</v>
      </c>
      <c r="O115" s="89">
        <f t="shared" si="3"/>
        <v>13727.68</v>
      </c>
    </row>
    <row r="116" spans="1:15">
      <c r="A116" s="74" t="s">
        <v>113</v>
      </c>
      <c r="B116" s="74" t="s">
        <v>214</v>
      </c>
      <c r="C116" s="74" t="s">
        <v>215</v>
      </c>
      <c r="D116" s="88" t="s">
        <v>82</v>
      </c>
      <c r="E116" s="88" t="s">
        <v>84</v>
      </c>
      <c r="F116" s="86" t="s">
        <v>116</v>
      </c>
      <c r="G116" s="74" t="s">
        <v>209</v>
      </c>
      <c r="H116" s="87">
        <v>44255</v>
      </c>
      <c r="I116" s="98">
        <v>15</v>
      </c>
      <c r="J116" s="98">
        <v>15</v>
      </c>
      <c r="K116" s="89">
        <f t="shared" si="4"/>
        <v>1</v>
      </c>
      <c r="L116" s="89">
        <v>8769.55</v>
      </c>
      <c r="M116" s="89">
        <v>3056.22</v>
      </c>
      <c r="N116" s="89">
        <v>868.35</v>
      </c>
      <c r="O116" s="89">
        <f t="shared" si="3"/>
        <v>12694.12</v>
      </c>
    </row>
    <row r="117" spans="1:15">
      <c r="A117" s="74" t="s">
        <v>113</v>
      </c>
      <c r="B117" s="74" t="s">
        <v>216</v>
      </c>
      <c r="C117" s="74" t="s">
        <v>217</v>
      </c>
      <c r="D117" s="88" t="s">
        <v>82</v>
      </c>
      <c r="E117" s="88" t="s">
        <v>84</v>
      </c>
      <c r="F117" s="86" t="s">
        <v>218</v>
      </c>
      <c r="G117" s="74" t="s">
        <v>219</v>
      </c>
      <c r="H117" s="87">
        <v>44255</v>
      </c>
      <c r="I117" s="98">
        <v>15</v>
      </c>
      <c r="J117" s="98">
        <v>15</v>
      </c>
      <c r="K117" s="89">
        <f t="shared" si="4"/>
        <v>1</v>
      </c>
      <c r="L117" s="89">
        <v>11383.1</v>
      </c>
      <c r="M117" s="89">
        <v>3184.44</v>
      </c>
      <c r="N117" s="89">
        <v>1127.67</v>
      </c>
      <c r="O117" s="89">
        <f t="shared" si="3"/>
        <v>15695.21</v>
      </c>
    </row>
    <row r="118" spans="1:15">
      <c r="A118" s="74" t="s">
        <v>113</v>
      </c>
      <c r="B118" s="74" t="s">
        <v>220</v>
      </c>
      <c r="C118" s="74" t="s">
        <v>221</v>
      </c>
      <c r="D118" s="88" t="s">
        <v>82</v>
      </c>
      <c r="E118" s="74" t="s">
        <v>83</v>
      </c>
      <c r="F118" s="86" t="s">
        <v>218</v>
      </c>
      <c r="G118" s="74" t="s">
        <v>222</v>
      </c>
      <c r="H118" s="87">
        <v>44255</v>
      </c>
      <c r="I118" s="98">
        <v>15</v>
      </c>
      <c r="J118" s="98">
        <v>15</v>
      </c>
      <c r="K118" s="89">
        <f t="shared" si="4"/>
        <v>1</v>
      </c>
      <c r="L118" s="89">
        <v>12093.43</v>
      </c>
      <c r="M118" s="89">
        <v>3214.82</v>
      </c>
      <c r="N118" s="89">
        <v>1200.06</v>
      </c>
      <c r="O118" s="89">
        <f t="shared" si="3"/>
        <v>16508.31</v>
      </c>
    </row>
    <row r="119" spans="1:15">
      <c r="A119" s="74" t="s">
        <v>113</v>
      </c>
      <c r="B119" s="74" t="s">
        <v>223</v>
      </c>
      <c r="C119" s="74" t="s">
        <v>224</v>
      </c>
      <c r="D119" s="88" t="s">
        <v>82</v>
      </c>
      <c r="E119" s="74" t="s">
        <v>83</v>
      </c>
      <c r="F119" s="86" t="s">
        <v>225</v>
      </c>
      <c r="G119" s="74" t="s">
        <v>209</v>
      </c>
      <c r="H119" s="87">
        <v>44255</v>
      </c>
      <c r="I119" s="98">
        <v>15</v>
      </c>
      <c r="J119" s="98">
        <v>15</v>
      </c>
      <c r="K119" s="89">
        <f t="shared" si="4"/>
        <v>1</v>
      </c>
      <c r="L119" s="89">
        <v>10299.02</v>
      </c>
      <c r="M119" s="89">
        <v>3138.55</v>
      </c>
      <c r="N119" s="89">
        <v>1066.32</v>
      </c>
      <c r="O119" s="89">
        <f t="shared" si="3"/>
        <v>14503.89</v>
      </c>
    </row>
    <row r="120" spans="1:15">
      <c r="A120" s="74" t="s">
        <v>113</v>
      </c>
      <c r="B120" s="74" t="s">
        <v>226</v>
      </c>
      <c r="C120" s="74" t="s">
        <v>227</v>
      </c>
      <c r="D120" s="88" t="s">
        <v>82</v>
      </c>
      <c r="E120" s="74" t="s">
        <v>83</v>
      </c>
      <c r="F120" s="86" t="s">
        <v>208</v>
      </c>
      <c r="G120" s="74" t="s">
        <v>209</v>
      </c>
      <c r="H120" s="87">
        <v>44255</v>
      </c>
      <c r="I120" s="98">
        <v>15</v>
      </c>
      <c r="J120" s="98">
        <v>15</v>
      </c>
      <c r="K120" s="89">
        <f t="shared" si="4"/>
        <v>1</v>
      </c>
      <c r="L120" s="89">
        <v>9874.24</v>
      </c>
      <c r="M120" s="89">
        <v>3217.92</v>
      </c>
      <c r="N120" s="89">
        <v>922.85</v>
      </c>
      <c r="O120" s="89">
        <f t="shared" si="3"/>
        <v>14015.01</v>
      </c>
    </row>
    <row r="121" spans="1:15">
      <c r="A121" s="74" t="s">
        <v>113</v>
      </c>
      <c r="B121" s="74" t="s">
        <v>228</v>
      </c>
      <c r="C121" s="74" t="s">
        <v>229</v>
      </c>
      <c r="D121" s="88" t="s">
        <v>82</v>
      </c>
      <c r="E121" s="74" t="s">
        <v>83</v>
      </c>
      <c r="F121" s="86" t="s">
        <v>116</v>
      </c>
      <c r="G121" s="74" t="s">
        <v>209</v>
      </c>
      <c r="H121" s="87">
        <v>44255</v>
      </c>
      <c r="I121" s="98">
        <v>15</v>
      </c>
      <c r="J121" s="98">
        <v>15</v>
      </c>
      <c r="K121" s="89">
        <f t="shared" si="4"/>
        <v>1</v>
      </c>
      <c r="L121" s="89">
        <v>8185.62</v>
      </c>
      <c r="M121" s="89">
        <v>3060.35</v>
      </c>
      <c r="N121" s="89">
        <v>849.08</v>
      </c>
      <c r="O121" s="89">
        <f t="shared" si="3"/>
        <v>12095.05</v>
      </c>
    </row>
    <row r="122" spans="1:15">
      <c r="A122" s="74" t="s">
        <v>113</v>
      </c>
      <c r="B122" s="74" t="s">
        <v>230</v>
      </c>
      <c r="C122" s="74" t="s">
        <v>231</v>
      </c>
      <c r="D122" s="88" t="s">
        <v>82</v>
      </c>
      <c r="E122" s="74" t="s">
        <v>83</v>
      </c>
      <c r="F122" s="86" t="s">
        <v>120</v>
      </c>
      <c r="G122" s="74" t="s">
        <v>209</v>
      </c>
      <c r="H122" s="87">
        <v>44255</v>
      </c>
      <c r="I122" s="98">
        <v>15</v>
      </c>
      <c r="J122" s="98">
        <v>15</v>
      </c>
      <c r="K122" s="89">
        <f t="shared" si="4"/>
        <v>1</v>
      </c>
      <c r="L122" s="89">
        <v>7581.56</v>
      </c>
      <c r="M122" s="89">
        <v>3023.5</v>
      </c>
      <c r="N122" s="89">
        <v>746.57</v>
      </c>
      <c r="O122" s="89">
        <f t="shared" si="3"/>
        <v>11351.63</v>
      </c>
    </row>
    <row r="123" spans="1:15">
      <c r="A123" s="74" t="s">
        <v>113</v>
      </c>
      <c r="B123" s="74" t="s">
        <v>232</v>
      </c>
      <c r="C123" s="74" t="s">
        <v>233</v>
      </c>
      <c r="D123" s="88" t="s">
        <v>82</v>
      </c>
      <c r="E123" s="74" t="s">
        <v>83</v>
      </c>
      <c r="F123" s="86" t="s">
        <v>123</v>
      </c>
      <c r="G123" s="74" t="s">
        <v>209</v>
      </c>
      <c r="H123" s="87">
        <v>44255</v>
      </c>
      <c r="I123" s="98">
        <v>15</v>
      </c>
      <c r="J123" s="98">
        <v>15</v>
      </c>
      <c r="K123" s="89">
        <f t="shared" si="4"/>
        <v>1</v>
      </c>
      <c r="L123" s="89">
        <v>6140.28</v>
      </c>
      <c r="M123" s="89">
        <v>3200.14</v>
      </c>
      <c r="N123" s="89">
        <v>643.86</v>
      </c>
      <c r="O123" s="89">
        <f t="shared" si="3"/>
        <v>9984.28</v>
      </c>
    </row>
    <row r="124" spans="1:15">
      <c r="A124" s="74" t="s">
        <v>113</v>
      </c>
      <c r="B124" s="74" t="s">
        <v>234</v>
      </c>
      <c r="C124" s="74" t="s">
        <v>235</v>
      </c>
      <c r="D124" s="88" t="s">
        <v>82</v>
      </c>
      <c r="E124" s="74" t="s">
        <v>83</v>
      </c>
      <c r="F124" s="86" t="s">
        <v>116</v>
      </c>
      <c r="G124" s="74" t="s">
        <v>209</v>
      </c>
      <c r="H124" s="87">
        <v>44255</v>
      </c>
      <c r="I124" s="98">
        <v>15</v>
      </c>
      <c r="J124" s="98">
        <v>15</v>
      </c>
      <c r="K124" s="89">
        <f t="shared" si="4"/>
        <v>1</v>
      </c>
      <c r="L124" s="89">
        <v>8655.02</v>
      </c>
      <c r="M124" s="89">
        <v>3160.89</v>
      </c>
      <c r="N124" s="89">
        <v>870.3</v>
      </c>
      <c r="O124" s="89">
        <f t="shared" si="3"/>
        <v>12686.21</v>
      </c>
    </row>
    <row r="125" spans="1:15">
      <c r="A125" s="74" t="s">
        <v>113</v>
      </c>
      <c r="B125" s="74" t="s">
        <v>236</v>
      </c>
      <c r="C125" s="74" t="s">
        <v>237</v>
      </c>
      <c r="D125" s="88" t="s">
        <v>82</v>
      </c>
      <c r="E125" s="74" t="s">
        <v>83</v>
      </c>
      <c r="F125" s="86" t="s">
        <v>120</v>
      </c>
      <c r="G125" s="74" t="s">
        <v>209</v>
      </c>
      <c r="H125" s="87">
        <v>44255</v>
      </c>
      <c r="I125" s="98">
        <v>15</v>
      </c>
      <c r="J125" s="98">
        <v>15</v>
      </c>
      <c r="K125" s="89">
        <f t="shared" si="4"/>
        <v>1</v>
      </c>
      <c r="L125" s="89">
        <v>7588.52</v>
      </c>
      <c r="M125" s="89">
        <v>3128.74</v>
      </c>
      <c r="N125" s="89">
        <v>745.46</v>
      </c>
      <c r="O125" s="89">
        <f t="shared" si="3"/>
        <v>11462.72</v>
      </c>
    </row>
    <row r="126" spans="1:15">
      <c r="A126" s="74" t="s">
        <v>113</v>
      </c>
      <c r="B126" s="74" t="s">
        <v>238</v>
      </c>
      <c r="C126" s="74" t="s">
        <v>239</v>
      </c>
      <c r="D126" s="74" t="s">
        <v>86</v>
      </c>
      <c r="E126" s="74" t="s">
        <v>87</v>
      </c>
      <c r="F126" s="86" t="s">
        <v>204</v>
      </c>
      <c r="G126" s="74" t="s">
        <v>240</v>
      </c>
      <c r="H126" s="87">
        <v>44255</v>
      </c>
      <c r="I126" s="98">
        <v>15</v>
      </c>
      <c r="J126" s="98">
        <v>15</v>
      </c>
      <c r="K126" s="89">
        <f t="shared" si="4"/>
        <v>1</v>
      </c>
      <c r="L126" s="89">
        <v>14827.01</v>
      </c>
      <c r="M126" s="89">
        <v>3018.57</v>
      </c>
      <c r="N126" s="89">
        <v>1879.53</v>
      </c>
      <c r="O126" s="89">
        <f t="shared" si="3"/>
        <v>19725.11</v>
      </c>
    </row>
    <row r="127" spans="1:15">
      <c r="A127" s="74" t="s">
        <v>113</v>
      </c>
      <c r="B127" s="74" t="s">
        <v>241</v>
      </c>
      <c r="C127" s="74" t="s">
        <v>242</v>
      </c>
      <c r="D127" s="74" t="s">
        <v>86</v>
      </c>
      <c r="E127" s="74" t="s">
        <v>87</v>
      </c>
      <c r="F127" s="86" t="s">
        <v>243</v>
      </c>
      <c r="G127" s="74" t="s">
        <v>244</v>
      </c>
      <c r="H127" s="87">
        <v>44255</v>
      </c>
      <c r="I127" s="98">
        <v>15</v>
      </c>
      <c r="J127" s="98">
        <v>15</v>
      </c>
      <c r="K127" s="89">
        <f t="shared" si="4"/>
        <v>1</v>
      </c>
      <c r="L127" s="89">
        <v>10422.58</v>
      </c>
      <c r="M127" s="89">
        <v>3136.22</v>
      </c>
      <c r="N127" s="89">
        <v>1409.17</v>
      </c>
      <c r="O127" s="89">
        <f t="shared" si="3"/>
        <v>14967.97</v>
      </c>
    </row>
    <row r="128" spans="1:15">
      <c r="A128" s="74" t="s">
        <v>113</v>
      </c>
      <c r="B128" s="74" t="s">
        <v>245</v>
      </c>
      <c r="C128" s="74" t="s">
        <v>246</v>
      </c>
      <c r="D128" s="74" t="s">
        <v>86</v>
      </c>
      <c r="E128" s="74" t="s">
        <v>87</v>
      </c>
      <c r="F128" s="86" t="s">
        <v>247</v>
      </c>
      <c r="G128" s="74" t="s">
        <v>248</v>
      </c>
      <c r="H128" s="87">
        <v>44255</v>
      </c>
      <c r="I128" s="98">
        <v>15</v>
      </c>
      <c r="J128" s="98">
        <v>15</v>
      </c>
      <c r="K128" s="89">
        <f t="shared" si="4"/>
        <v>1</v>
      </c>
      <c r="L128" s="89">
        <v>10469.05</v>
      </c>
      <c r="M128" s="89">
        <v>3151.17</v>
      </c>
      <c r="N128" s="89">
        <v>1234.41</v>
      </c>
      <c r="O128" s="89">
        <f t="shared" si="3"/>
        <v>14854.63</v>
      </c>
    </row>
    <row r="129" spans="1:15">
      <c r="A129" s="74" t="s">
        <v>113</v>
      </c>
      <c r="B129" s="74" t="s">
        <v>249</v>
      </c>
      <c r="C129" s="74" t="s">
        <v>250</v>
      </c>
      <c r="D129" s="74" t="s">
        <v>86</v>
      </c>
      <c r="E129" s="74" t="s">
        <v>87</v>
      </c>
      <c r="F129" s="86" t="s">
        <v>251</v>
      </c>
      <c r="G129" s="74" t="s">
        <v>252</v>
      </c>
      <c r="H129" s="87">
        <v>44255</v>
      </c>
      <c r="I129" s="98">
        <v>15</v>
      </c>
      <c r="J129" s="98">
        <v>15</v>
      </c>
      <c r="K129" s="89">
        <f t="shared" si="4"/>
        <v>1</v>
      </c>
      <c r="L129" s="89">
        <v>9035.6</v>
      </c>
      <c r="M129" s="89">
        <v>3242.89</v>
      </c>
      <c r="N129" s="89">
        <v>1183.66</v>
      </c>
      <c r="O129" s="89">
        <f t="shared" si="3"/>
        <v>13462.15</v>
      </c>
    </row>
    <row r="130" spans="1:15">
      <c r="A130" s="74" t="s">
        <v>113</v>
      </c>
      <c r="B130" s="74" t="s">
        <v>253</v>
      </c>
      <c r="C130" s="74" t="s">
        <v>254</v>
      </c>
      <c r="D130" s="74" t="s">
        <v>86</v>
      </c>
      <c r="E130" s="74" t="s">
        <v>87</v>
      </c>
      <c r="F130" s="86" t="s">
        <v>255</v>
      </c>
      <c r="G130" s="74" t="s">
        <v>252</v>
      </c>
      <c r="H130" s="87">
        <v>44255</v>
      </c>
      <c r="I130" s="98">
        <v>15</v>
      </c>
      <c r="J130" s="98">
        <v>15</v>
      </c>
      <c r="K130" s="89">
        <f t="shared" si="4"/>
        <v>1</v>
      </c>
      <c r="L130" s="89">
        <v>8203.01</v>
      </c>
      <c r="M130" s="89">
        <v>3238.09</v>
      </c>
      <c r="N130" s="89">
        <v>1073.53</v>
      </c>
      <c r="O130" s="89">
        <f t="shared" si="3"/>
        <v>12514.63</v>
      </c>
    </row>
    <row r="131" spans="1:15">
      <c r="A131" s="74" t="s">
        <v>113</v>
      </c>
      <c r="B131" s="74" t="s">
        <v>256</v>
      </c>
      <c r="C131" s="74" t="s">
        <v>257</v>
      </c>
      <c r="D131" s="74" t="s">
        <v>86</v>
      </c>
      <c r="E131" s="74" t="s">
        <v>87</v>
      </c>
      <c r="F131" s="86" t="s">
        <v>258</v>
      </c>
      <c r="G131" s="74" t="s">
        <v>252</v>
      </c>
      <c r="H131" s="87">
        <v>44255</v>
      </c>
      <c r="I131" s="98">
        <v>15</v>
      </c>
      <c r="J131" s="98">
        <v>15</v>
      </c>
      <c r="K131" s="89">
        <f t="shared" si="4"/>
        <v>1</v>
      </c>
      <c r="L131" s="89">
        <v>7823.47</v>
      </c>
      <c r="M131" s="89">
        <v>3000.04</v>
      </c>
      <c r="N131" s="89">
        <v>934.7</v>
      </c>
      <c r="O131" s="89">
        <f t="shared" si="3"/>
        <v>11758.21</v>
      </c>
    </row>
    <row r="132" spans="1:15">
      <c r="A132" s="74" t="s">
        <v>113</v>
      </c>
      <c r="B132" s="74" t="s">
        <v>259</v>
      </c>
      <c r="C132" s="74" t="s">
        <v>260</v>
      </c>
      <c r="D132" s="74" t="s">
        <v>86</v>
      </c>
      <c r="E132" s="74" t="s">
        <v>87</v>
      </c>
      <c r="F132" s="86" t="s">
        <v>261</v>
      </c>
      <c r="G132" s="74" t="s">
        <v>262</v>
      </c>
      <c r="H132" s="87">
        <v>44255</v>
      </c>
      <c r="I132" s="98">
        <v>15</v>
      </c>
      <c r="J132" s="98">
        <v>15</v>
      </c>
      <c r="K132" s="89">
        <f t="shared" si="4"/>
        <v>1</v>
      </c>
      <c r="L132" s="89">
        <v>6917.26</v>
      </c>
      <c r="M132" s="89">
        <v>3046.24</v>
      </c>
      <c r="N132" s="89">
        <v>835.2</v>
      </c>
      <c r="O132" s="89">
        <f t="shared" si="3"/>
        <v>10798.7</v>
      </c>
    </row>
    <row r="133" spans="1:15">
      <c r="A133" s="74" t="s">
        <v>113</v>
      </c>
      <c r="B133" s="74" t="s">
        <v>263</v>
      </c>
      <c r="C133" s="74" t="s">
        <v>264</v>
      </c>
      <c r="D133" s="74" t="s">
        <v>86</v>
      </c>
      <c r="E133" s="74" t="s">
        <v>88</v>
      </c>
      <c r="F133" s="86" t="s">
        <v>149</v>
      </c>
      <c r="G133" s="74" t="s">
        <v>265</v>
      </c>
      <c r="H133" s="87">
        <v>44255</v>
      </c>
      <c r="I133" s="98">
        <v>15</v>
      </c>
      <c r="J133" s="98">
        <v>15</v>
      </c>
      <c r="K133" s="89">
        <f t="shared" si="4"/>
        <v>1</v>
      </c>
      <c r="L133" s="89">
        <v>14107.62</v>
      </c>
      <c r="M133" s="89">
        <v>3051.37</v>
      </c>
      <c r="N133" s="89">
        <v>1861.94</v>
      </c>
      <c r="O133" s="89">
        <f t="shared" ref="O133:O196" si="5">SUM(L133:N133)</f>
        <v>19020.93</v>
      </c>
    </row>
    <row r="134" spans="1:15">
      <c r="A134" s="74" t="s">
        <v>113</v>
      </c>
      <c r="B134" s="74" t="s">
        <v>266</v>
      </c>
      <c r="C134" s="74" t="s">
        <v>267</v>
      </c>
      <c r="D134" s="74" t="s">
        <v>86</v>
      </c>
      <c r="E134" s="74" t="s">
        <v>88</v>
      </c>
      <c r="F134" s="86" t="s">
        <v>243</v>
      </c>
      <c r="G134" s="74" t="s">
        <v>268</v>
      </c>
      <c r="H134" s="87">
        <v>44255</v>
      </c>
      <c r="I134" s="98">
        <v>15</v>
      </c>
      <c r="J134" s="98">
        <v>15</v>
      </c>
      <c r="K134" s="89">
        <f t="shared" si="4"/>
        <v>1</v>
      </c>
      <c r="L134" s="89">
        <v>10765.45</v>
      </c>
      <c r="M134" s="89">
        <v>3096.78</v>
      </c>
      <c r="N134" s="89">
        <v>1401.62</v>
      </c>
      <c r="O134" s="89">
        <f t="shared" si="5"/>
        <v>15263.85</v>
      </c>
    </row>
    <row r="135" spans="1:15">
      <c r="A135" s="74" t="s">
        <v>113</v>
      </c>
      <c r="B135" s="74" t="s">
        <v>269</v>
      </c>
      <c r="C135" s="74" t="s">
        <v>270</v>
      </c>
      <c r="D135" s="74" t="s">
        <v>86</v>
      </c>
      <c r="E135" s="74" t="s">
        <v>88</v>
      </c>
      <c r="F135" s="86" t="s">
        <v>247</v>
      </c>
      <c r="G135" s="74" t="s">
        <v>268</v>
      </c>
      <c r="H135" s="87">
        <v>44255</v>
      </c>
      <c r="I135" s="98">
        <v>15</v>
      </c>
      <c r="J135" s="98">
        <v>15</v>
      </c>
      <c r="K135" s="89">
        <f t="shared" si="4"/>
        <v>1</v>
      </c>
      <c r="L135" s="89">
        <v>10056.12</v>
      </c>
      <c r="M135" s="89">
        <v>3030.01</v>
      </c>
      <c r="N135" s="89">
        <v>1232.48</v>
      </c>
      <c r="O135" s="89">
        <f t="shared" si="5"/>
        <v>14318.61</v>
      </c>
    </row>
    <row r="136" spans="1:15">
      <c r="A136" s="74" t="s">
        <v>113</v>
      </c>
      <c r="B136" s="74" t="s">
        <v>271</v>
      </c>
      <c r="C136" s="74" t="s">
        <v>272</v>
      </c>
      <c r="D136" s="74" t="s">
        <v>86</v>
      </c>
      <c r="E136" s="74" t="s">
        <v>88</v>
      </c>
      <c r="F136" s="86" t="s">
        <v>251</v>
      </c>
      <c r="G136" s="74" t="s">
        <v>268</v>
      </c>
      <c r="H136" s="87">
        <v>44255</v>
      </c>
      <c r="I136" s="98">
        <v>15</v>
      </c>
      <c r="J136" s="98">
        <v>15</v>
      </c>
      <c r="K136" s="89">
        <f t="shared" si="4"/>
        <v>1</v>
      </c>
      <c r="L136" s="89">
        <v>9264.11</v>
      </c>
      <c r="M136" s="89">
        <v>3203.69</v>
      </c>
      <c r="N136" s="89">
        <v>1144.63</v>
      </c>
      <c r="O136" s="89">
        <f t="shared" si="5"/>
        <v>13612.43</v>
      </c>
    </row>
    <row r="137" spans="1:15">
      <c r="A137" s="74" t="s">
        <v>113</v>
      </c>
      <c r="B137" s="74" t="s">
        <v>273</v>
      </c>
      <c r="C137" s="74" t="s">
        <v>274</v>
      </c>
      <c r="D137" s="74" t="s">
        <v>86</v>
      </c>
      <c r="E137" s="74" t="s">
        <v>88</v>
      </c>
      <c r="F137" s="86" t="s">
        <v>255</v>
      </c>
      <c r="G137" s="74" t="s">
        <v>268</v>
      </c>
      <c r="H137" s="87">
        <v>44255</v>
      </c>
      <c r="I137" s="98">
        <v>15</v>
      </c>
      <c r="J137" s="98">
        <v>15</v>
      </c>
      <c r="K137" s="89">
        <f t="shared" si="4"/>
        <v>1</v>
      </c>
      <c r="L137" s="89">
        <v>8016.48</v>
      </c>
      <c r="M137" s="89">
        <v>3063.85</v>
      </c>
      <c r="N137" s="89">
        <v>1073</v>
      </c>
      <c r="O137" s="89">
        <f t="shared" si="5"/>
        <v>12153.33</v>
      </c>
    </row>
    <row r="138" spans="1:15">
      <c r="A138" s="74" t="s">
        <v>113</v>
      </c>
      <c r="B138" s="74" t="s">
        <v>275</v>
      </c>
      <c r="C138" s="74" t="s">
        <v>276</v>
      </c>
      <c r="D138" s="74" t="s">
        <v>86</v>
      </c>
      <c r="E138" s="74" t="s">
        <v>88</v>
      </c>
      <c r="F138" s="86" t="s">
        <v>258</v>
      </c>
      <c r="G138" s="74" t="s">
        <v>268</v>
      </c>
      <c r="H138" s="87">
        <v>44255</v>
      </c>
      <c r="I138" s="98">
        <v>15</v>
      </c>
      <c r="J138" s="98">
        <v>15</v>
      </c>
      <c r="K138" s="89">
        <f t="shared" si="4"/>
        <v>1</v>
      </c>
      <c r="L138" s="89">
        <v>7641.08</v>
      </c>
      <c r="M138" s="89">
        <v>3293.43</v>
      </c>
      <c r="N138" s="89">
        <v>943.85</v>
      </c>
      <c r="O138" s="89">
        <f t="shared" si="5"/>
        <v>11878.36</v>
      </c>
    </row>
    <row r="139" spans="1:15">
      <c r="A139" s="74" t="s">
        <v>113</v>
      </c>
      <c r="B139" s="74" t="s">
        <v>277</v>
      </c>
      <c r="C139" s="74" t="s">
        <v>278</v>
      </c>
      <c r="D139" s="74" t="s">
        <v>86</v>
      </c>
      <c r="E139" s="74" t="s">
        <v>89</v>
      </c>
      <c r="F139" s="86" t="s">
        <v>279</v>
      </c>
      <c r="G139" s="74" t="s">
        <v>280</v>
      </c>
      <c r="H139" s="87">
        <v>44255</v>
      </c>
      <c r="I139" s="98">
        <v>15</v>
      </c>
      <c r="J139" s="98">
        <v>15</v>
      </c>
      <c r="K139" s="89">
        <f t="shared" si="4"/>
        <v>1</v>
      </c>
      <c r="L139" s="89">
        <v>12206.65</v>
      </c>
      <c r="M139" s="89">
        <v>3003.31</v>
      </c>
      <c r="N139" s="89">
        <v>1595.33</v>
      </c>
      <c r="O139" s="89">
        <f t="shared" si="5"/>
        <v>16805.29</v>
      </c>
    </row>
    <row r="140" spans="1:15">
      <c r="A140" s="74" t="s">
        <v>113</v>
      </c>
      <c r="B140" s="74" t="s">
        <v>281</v>
      </c>
      <c r="C140" s="74" t="s">
        <v>282</v>
      </c>
      <c r="D140" s="74" t="s">
        <v>86</v>
      </c>
      <c r="E140" s="74" t="s">
        <v>89</v>
      </c>
      <c r="F140" s="86" t="s">
        <v>225</v>
      </c>
      <c r="G140" s="74" t="s">
        <v>283</v>
      </c>
      <c r="H140" s="87">
        <v>44255</v>
      </c>
      <c r="I140" s="98">
        <v>15</v>
      </c>
      <c r="J140" s="98">
        <v>15</v>
      </c>
      <c r="K140" s="89">
        <f t="shared" si="4"/>
        <v>1</v>
      </c>
      <c r="L140" s="89">
        <v>8652.48</v>
      </c>
      <c r="M140" s="89">
        <v>3287.09</v>
      </c>
      <c r="N140" s="89">
        <v>1071.51</v>
      </c>
      <c r="O140" s="89">
        <f t="shared" si="5"/>
        <v>13011.08</v>
      </c>
    </row>
    <row r="141" spans="1:15">
      <c r="A141" s="74" t="s">
        <v>113</v>
      </c>
      <c r="B141" s="74" t="s">
        <v>284</v>
      </c>
      <c r="C141" s="74" t="s">
        <v>285</v>
      </c>
      <c r="D141" s="74" t="s">
        <v>86</v>
      </c>
      <c r="E141" s="74" t="s">
        <v>89</v>
      </c>
      <c r="F141" s="86" t="s">
        <v>208</v>
      </c>
      <c r="G141" s="74" t="s">
        <v>283</v>
      </c>
      <c r="H141" s="87">
        <v>44255</v>
      </c>
      <c r="I141" s="98">
        <v>15</v>
      </c>
      <c r="J141" s="98">
        <v>15</v>
      </c>
      <c r="K141" s="89">
        <f t="shared" si="4"/>
        <v>1</v>
      </c>
      <c r="L141" s="89">
        <v>7567.5</v>
      </c>
      <c r="M141" s="89">
        <v>3260.39</v>
      </c>
      <c r="N141" s="89">
        <v>938.3</v>
      </c>
      <c r="O141" s="89">
        <f t="shared" si="5"/>
        <v>11766.19</v>
      </c>
    </row>
    <row r="142" spans="1:15">
      <c r="A142" s="74" t="s">
        <v>113</v>
      </c>
      <c r="B142" s="74" t="s">
        <v>286</v>
      </c>
      <c r="C142" s="74" t="s">
        <v>287</v>
      </c>
      <c r="D142" s="74" t="s">
        <v>82</v>
      </c>
      <c r="E142" s="88" t="s">
        <v>85</v>
      </c>
      <c r="F142" s="86" t="s">
        <v>288</v>
      </c>
      <c r="G142" s="74" t="s">
        <v>289</v>
      </c>
      <c r="H142" s="87">
        <v>44255</v>
      </c>
      <c r="I142" s="98">
        <v>15</v>
      </c>
      <c r="J142" s="98">
        <v>15</v>
      </c>
      <c r="K142" s="89">
        <f t="shared" ref="K142:K150" si="6">I142/J142</f>
        <v>1</v>
      </c>
      <c r="L142" s="89">
        <v>12076.68</v>
      </c>
      <c r="M142" s="89">
        <v>3164.8</v>
      </c>
      <c r="N142" s="89">
        <v>1252.91</v>
      </c>
      <c r="O142" s="89">
        <f t="shared" si="5"/>
        <v>16494.39</v>
      </c>
    </row>
    <row r="143" spans="1:15">
      <c r="A143" s="74" t="s">
        <v>113</v>
      </c>
      <c r="B143" s="74" t="s">
        <v>290</v>
      </c>
      <c r="C143" s="74" t="s">
        <v>291</v>
      </c>
      <c r="D143" s="74" t="s">
        <v>82</v>
      </c>
      <c r="E143" s="88" t="s">
        <v>85</v>
      </c>
      <c r="F143" s="86" t="s">
        <v>218</v>
      </c>
      <c r="G143" s="74" t="s">
        <v>289</v>
      </c>
      <c r="H143" s="87">
        <v>44255</v>
      </c>
      <c r="I143" s="98">
        <v>15</v>
      </c>
      <c r="J143" s="98">
        <v>15</v>
      </c>
      <c r="K143" s="89">
        <f t="shared" si="6"/>
        <v>1</v>
      </c>
      <c r="L143" s="89">
        <v>11600.69</v>
      </c>
      <c r="M143" s="89">
        <v>3027.47</v>
      </c>
      <c r="N143" s="89">
        <v>1102.9</v>
      </c>
      <c r="O143" s="89">
        <f t="shared" si="5"/>
        <v>15731.06</v>
      </c>
    </row>
    <row r="144" spans="1:15">
      <c r="A144" s="74" t="s">
        <v>113</v>
      </c>
      <c r="B144" s="74" t="s">
        <v>292</v>
      </c>
      <c r="C144" s="74" t="s">
        <v>293</v>
      </c>
      <c r="D144" s="74" t="s">
        <v>82</v>
      </c>
      <c r="E144" s="88" t="s">
        <v>85</v>
      </c>
      <c r="F144" s="86" t="s">
        <v>225</v>
      </c>
      <c r="G144" s="74" t="s">
        <v>289</v>
      </c>
      <c r="H144" s="87">
        <v>44255</v>
      </c>
      <c r="I144" s="98">
        <v>15</v>
      </c>
      <c r="J144" s="98">
        <v>15</v>
      </c>
      <c r="K144" s="89">
        <f t="shared" si="6"/>
        <v>1</v>
      </c>
      <c r="L144" s="89">
        <v>10508.41</v>
      </c>
      <c r="M144" s="89">
        <v>3108.37</v>
      </c>
      <c r="N144" s="89">
        <v>1002.55</v>
      </c>
      <c r="O144" s="89">
        <f t="shared" si="5"/>
        <v>14619.33</v>
      </c>
    </row>
    <row r="145" spans="1:15">
      <c r="A145" s="74" t="s">
        <v>113</v>
      </c>
      <c r="B145" s="74" t="s">
        <v>294</v>
      </c>
      <c r="C145" s="74" t="s">
        <v>295</v>
      </c>
      <c r="D145" s="74" t="s">
        <v>82</v>
      </c>
      <c r="E145" s="88" t="s">
        <v>85</v>
      </c>
      <c r="F145" s="86" t="s">
        <v>208</v>
      </c>
      <c r="G145" s="74" t="s">
        <v>289</v>
      </c>
      <c r="H145" s="87">
        <v>44255</v>
      </c>
      <c r="I145" s="98">
        <v>15</v>
      </c>
      <c r="J145" s="98">
        <v>15</v>
      </c>
      <c r="K145" s="89">
        <f t="shared" si="6"/>
        <v>1</v>
      </c>
      <c r="L145" s="89">
        <v>9243.3</v>
      </c>
      <c r="M145" s="89">
        <v>3285.22</v>
      </c>
      <c r="N145" s="89">
        <v>983.18</v>
      </c>
      <c r="O145" s="89">
        <f t="shared" si="5"/>
        <v>13511.7</v>
      </c>
    </row>
    <row r="146" spans="1:15">
      <c r="A146" s="74" t="s">
        <v>113</v>
      </c>
      <c r="B146" s="74" t="s">
        <v>296</v>
      </c>
      <c r="C146" s="74" t="s">
        <v>297</v>
      </c>
      <c r="D146" s="74" t="s">
        <v>82</v>
      </c>
      <c r="E146" s="88" t="s">
        <v>85</v>
      </c>
      <c r="F146" s="86" t="s">
        <v>116</v>
      </c>
      <c r="G146" s="74" t="s">
        <v>289</v>
      </c>
      <c r="H146" s="87">
        <v>44255</v>
      </c>
      <c r="I146" s="98">
        <v>15</v>
      </c>
      <c r="J146" s="98">
        <v>15</v>
      </c>
      <c r="K146" s="89">
        <f t="shared" si="6"/>
        <v>1</v>
      </c>
      <c r="L146" s="89">
        <v>8531.2</v>
      </c>
      <c r="M146" s="89">
        <v>3181.42</v>
      </c>
      <c r="N146" s="89">
        <v>879.43</v>
      </c>
      <c r="O146" s="89">
        <f t="shared" si="5"/>
        <v>12592.05</v>
      </c>
    </row>
    <row r="147" spans="1:15">
      <c r="A147" s="74" t="s">
        <v>113</v>
      </c>
      <c r="B147" s="74" t="s">
        <v>298</v>
      </c>
      <c r="C147" s="74" t="s">
        <v>299</v>
      </c>
      <c r="D147" s="74" t="s">
        <v>82</v>
      </c>
      <c r="E147" s="88" t="s">
        <v>85</v>
      </c>
      <c r="F147" s="86" t="s">
        <v>279</v>
      </c>
      <c r="G147" s="74" t="s">
        <v>300</v>
      </c>
      <c r="H147" s="87">
        <v>44255</v>
      </c>
      <c r="I147" s="98">
        <v>15</v>
      </c>
      <c r="J147" s="98">
        <v>15</v>
      </c>
      <c r="K147" s="89">
        <f t="shared" si="6"/>
        <v>1</v>
      </c>
      <c r="L147" s="89">
        <v>15223.42</v>
      </c>
      <c r="M147" s="89">
        <v>3183.11</v>
      </c>
      <c r="N147" s="89">
        <v>1527.91</v>
      </c>
      <c r="O147" s="89">
        <f t="shared" si="5"/>
        <v>19934.44</v>
      </c>
    </row>
    <row r="148" spans="1:15">
      <c r="A148" s="74" t="s">
        <v>113</v>
      </c>
      <c r="B148" s="74" t="s">
        <v>301</v>
      </c>
      <c r="C148" s="74" t="s">
        <v>302</v>
      </c>
      <c r="D148" s="74" t="s">
        <v>82</v>
      </c>
      <c r="E148" s="88" t="s">
        <v>85</v>
      </c>
      <c r="F148" s="86" t="s">
        <v>279</v>
      </c>
      <c r="G148" s="74" t="s">
        <v>303</v>
      </c>
      <c r="H148" s="87">
        <v>44255</v>
      </c>
      <c r="I148" s="98">
        <v>15</v>
      </c>
      <c r="J148" s="98">
        <v>15</v>
      </c>
      <c r="K148" s="89">
        <f t="shared" si="6"/>
        <v>1</v>
      </c>
      <c r="L148" s="89">
        <v>16037.64</v>
      </c>
      <c r="M148" s="89">
        <v>3156.16</v>
      </c>
      <c r="N148" s="89">
        <v>1547.11</v>
      </c>
      <c r="O148" s="89">
        <f t="shared" si="5"/>
        <v>20740.91</v>
      </c>
    </row>
    <row r="149" spans="1:15">
      <c r="A149" s="74" t="s">
        <v>113</v>
      </c>
      <c r="B149" s="74" t="s">
        <v>304</v>
      </c>
      <c r="C149" s="74" t="s">
        <v>305</v>
      </c>
      <c r="D149" s="74" t="s">
        <v>86</v>
      </c>
      <c r="E149" s="74" t="s">
        <v>90</v>
      </c>
      <c r="F149" s="86" t="s">
        <v>306</v>
      </c>
      <c r="G149" s="74" t="s">
        <v>307</v>
      </c>
      <c r="H149" s="87">
        <v>44255</v>
      </c>
      <c r="I149" s="98">
        <v>15</v>
      </c>
      <c r="J149" s="98">
        <v>15</v>
      </c>
      <c r="K149" s="89">
        <f t="shared" si="6"/>
        <v>1</v>
      </c>
      <c r="L149" s="89">
        <v>16856.63</v>
      </c>
      <c r="M149" s="89">
        <v>3275.51</v>
      </c>
      <c r="N149" s="89">
        <v>2005.43</v>
      </c>
      <c r="O149" s="89">
        <f t="shared" si="5"/>
        <v>22137.57</v>
      </c>
    </row>
    <row r="150" spans="1:15">
      <c r="A150" s="74" t="s">
        <v>113</v>
      </c>
      <c r="B150" s="74" t="s">
        <v>114</v>
      </c>
      <c r="C150" s="74" t="s">
        <v>115</v>
      </c>
      <c r="D150" s="74" t="s">
        <v>79</v>
      </c>
      <c r="E150" s="74" t="s">
        <v>80</v>
      </c>
      <c r="F150" s="86" t="s">
        <v>116</v>
      </c>
      <c r="G150" s="74" t="s">
        <v>117</v>
      </c>
      <c r="H150" s="87">
        <v>44286</v>
      </c>
      <c r="I150" s="98">
        <v>22</v>
      </c>
      <c r="J150" s="98">
        <v>22</v>
      </c>
      <c r="K150" s="89">
        <f t="shared" si="6"/>
        <v>1</v>
      </c>
      <c r="L150" s="89">
        <v>8530.55</v>
      </c>
      <c r="M150" s="89">
        <v>3096.85</v>
      </c>
      <c r="N150" s="89">
        <v>835.79</v>
      </c>
      <c r="O150" s="89">
        <f t="shared" si="5"/>
        <v>12463.19</v>
      </c>
    </row>
    <row r="151" spans="1:15">
      <c r="A151" s="74" t="s">
        <v>113</v>
      </c>
      <c r="B151" s="74" t="s">
        <v>118</v>
      </c>
      <c r="C151" s="74" t="s">
        <v>119</v>
      </c>
      <c r="D151" s="74" t="s">
        <v>79</v>
      </c>
      <c r="E151" s="74" t="s">
        <v>80</v>
      </c>
      <c r="F151" s="86" t="s">
        <v>120</v>
      </c>
      <c r="G151" s="74" t="s">
        <v>117</v>
      </c>
      <c r="H151" s="87">
        <v>44286</v>
      </c>
      <c r="I151" s="98">
        <v>22</v>
      </c>
      <c r="J151" s="98">
        <v>22</v>
      </c>
      <c r="K151" s="89">
        <f t="shared" ref="K151:K214" si="7">I151/J151</f>
        <v>1</v>
      </c>
      <c r="L151" s="89">
        <v>7395.27</v>
      </c>
      <c r="M151" s="89">
        <v>3238.34</v>
      </c>
      <c r="N151" s="89">
        <v>707.18</v>
      </c>
      <c r="O151" s="89">
        <f t="shared" si="5"/>
        <v>11340.79</v>
      </c>
    </row>
    <row r="152" spans="1:15">
      <c r="A152" s="74" t="s">
        <v>113</v>
      </c>
      <c r="B152" s="74" t="s">
        <v>121</v>
      </c>
      <c r="C152" s="74" t="s">
        <v>122</v>
      </c>
      <c r="D152" s="74" t="s">
        <v>79</v>
      </c>
      <c r="E152" s="74" t="s">
        <v>80</v>
      </c>
      <c r="F152" s="86" t="s">
        <v>123</v>
      </c>
      <c r="G152" s="74" t="s">
        <v>117</v>
      </c>
      <c r="H152" s="87">
        <v>44286</v>
      </c>
      <c r="I152" s="98">
        <v>22</v>
      </c>
      <c r="J152" s="98">
        <v>22</v>
      </c>
      <c r="K152" s="89">
        <f t="shared" si="7"/>
        <v>1</v>
      </c>
      <c r="L152" s="89">
        <v>6430.89</v>
      </c>
      <c r="M152" s="89">
        <v>3279.17</v>
      </c>
      <c r="N152" s="89">
        <v>641.57</v>
      </c>
      <c r="O152" s="89">
        <f t="shared" si="5"/>
        <v>10351.63</v>
      </c>
    </row>
    <row r="153" spans="1:15">
      <c r="A153" s="74" t="s">
        <v>113</v>
      </c>
      <c r="B153" s="74" t="s">
        <v>124</v>
      </c>
      <c r="C153" s="74" t="s">
        <v>125</v>
      </c>
      <c r="D153" s="74" t="s">
        <v>79</v>
      </c>
      <c r="E153" s="74" t="s">
        <v>80</v>
      </c>
      <c r="F153" s="86" t="s">
        <v>116</v>
      </c>
      <c r="G153" s="74" t="s">
        <v>117</v>
      </c>
      <c r="H153" s="87">
        <v>44286</v>
      </c>
      <c r="I153" s="98">
        <v>22</v>
      </c>
      <c r="J153" s="98">
        <v>22</v>
      </c>
      <c r="K153" s="89">
        <f t="shared" si="7"/>
        <v>1</v>
      </c>
      <c r="L153" s="89">
        <v>8361.18</v>
      </c>
      <c r="M153" s="89">
        <v>3022.05</v>
      </c>
      <c r="N153" s="89">
        <v>830.96</v>
      </c>
      <c r="O153" s="89">
        <f t="shared" si="5"/>
        <v>12214.19</v>
      </c>
    </row>
    <row r="154" spans="1:15">
      <c r="A154" s="74" t="s">
        <v>113</v>
      </c>
      <c r="B154" s="74" t="s">
        <v>126</v>
      </c>
      <c r="C154" s="74" t="s">
        <v>127</v>
      </c>
      <c r="D154" s="74" t="s">
        <v>79</v>
      </c>
      <c r="E154" s="74" t="s">
        <v>80</v>
      </c>
      <c r="F154" s="86" t="s">
        <v>120</v>
      </c>
      <c r="G154" s="74" t="s">
        <v>117</v>
      </c>
      <c r="H154" s="87">
        <v>44286</v>
      </c>
      <c r="I154" s="98">
        <v>22</v>
      </c>
      <c r="J154" s="98">
        <v>22</v>
      </c>
      <c r="K154" s="89">
        <f t="shared" si="7"/>
        <v>1</v>
      </c>
      <c r="L154" s="89">
        <v>7302.86</v>
      </c>
      <c r="M154" s="89">
        <v>3156.72</v>
      </c>
      <c r="N154" s="89">
        <v>756.22</v>
      </c>
      <c r="O154" s="89">
        <f t="shared" si="5"/>
        <v>11215.8</v>
      </c>
    </row>
    <row r="155" spans="1:15">
      <c r="A155" s="74" t="s">
        <v>113</v>
      </c>
      <c r="B155" s="74" t="s">
        <v>128</v>
      </c>
      <c r="C155" s="74" t="s">
        <v>129</v>
      </c>
      <c r="D155" s="74" t="s">
        <v>79</v>
      </c>
      <c r="E155" s="74" t="s">
        <v>80</v>
      </c>
      <c r="F155" s="86" t="s">
        <v>123</v>
      </c>
      <c r="G155" s="74" t="s">
        <v>117</v>
      </c>
      <c r="H155" s="87">
        <v>44286</v>
      </c>
      <c r="I155" s="98">
        <v>22</v>
      </c>
      <c r="J155" s="98">
        <v>22</v>
      </c>
      <c r="K155" s="89">
        <f t="shared" si="7"/>
        <v>1</v>
      </c>
      <c r="L155" s="89">
        <v>6012.54</v>
      </c>
      <c r="M155" s="89">
        <v>3170.53</v>
      </c>
      <c r="N155" s="89">
        <v>606.65</v>
      </c>
      <c r="O155" s="89">
        <f t="shared" si="5"/>
        <v>9789.72</v>
      </c>
    </row>
    <row r="156" spans="1:15">
      <c r="A156" s="74" t="s">
        <v>113</v>
      </c>
      <c r="B156" s="74" t="s">
        <v>130</v>
      </c>
      <c r="C156" s="74" t="s">
        <v>131</v>
      </c>
      <c r="D156" s="74" t="s">
        <v>79</v>
      </c>
      <c r="E156" s="74" t="s">
        <v>80</v>
      </c>
      <c r="F156" s="86" t="s">
        <v>116</v>
      </c>
      <c r="G156" s="74" t="s">
        <v>117</v>
      </c>
      <c r="H156" s="87">
        <v>44286</v>
      </c>
      <c r="I156" s="98">
        <v>22</v>
      </c>
      <c r="J156" s="98">
        <v>22</v>
      </c>
      <c r="K156" s="89">
        <f t="shared" si="7"/>
        <v>1</v>
      </c>
      <c r="L156" s="89">
        <v>8135.45</v>
      </c>
      <c r="M156" s="89">
        <v>3210.19</v>
      </c>
      <c r="N156" s="89">
        <v>800.4</v>
      </c>
      <c r="O156" s="89">
        <f t="shared" si="5"/>
        <v>12146.04</v>
      </c>
    </row>
    <row r="157" spans="1:15">
      <c r="A157" s="74" t="s">
        <v>113</v>
      </c>
      <c r="B157" s="74" t="s">
        <v>132</v>
      </c>
      <c r="C157" s="74" t="s">
        <v>133</v>
      </c>
      <c r="D157" s="74" t="s">
        <v>79</v>
      </c>
      <c r="E157" s="74" t="s">
        <v>80</v>
      </c>
      <c r="F157" s="86" t="s">
        <v>120</v>
      </c>
      <c r="G157" s="74" t="s">
        <v>117</v>
      </c>
      <c r="H157" s="87">
        <v>44286</v>
      </c>
      <c r="I157" s="98">
        <v>22</v>
      </c>
      <c r="J157" s="98">
        <v>22</v>
      </c>
      <c r="K157" s="89">
        <f t="shared" si="7"/>
        <v>1</v>
      </c>
      <c r="L157" s="89">
        <v>7122.14</v>
      </c>
      <c r="M157" s="89">
        <v>3199.88</v>
      </c>
      <c r="N157" s="89">
        <v>732.09</v>
      </c>
      <c r="O157" s="89">
        <f t="shared" si="5"/>
        <v>11054.11</v>
      </c>
    </row>
    <row r="158" spans="1:15">
      <c r="A158" s="74" t="s">
        <v>113</v>
      </c>
      <c r="B158" s="74" t="s">
        <v>134</v>
      </c>
      <c r="C158" s="74" t="s">
        <v>135</v>
      </c>
      <c r="D158" s="74" t="s">
        <v>79</v>
      </c>
      <c r="E158" s="74" t="s">
        <v>80</v>
      </c>
      <c r="F158" s="86" t="s">
        <v>123</v>
      </c>
      <c r="G158" s="74" t="s">
        <v>117</v>
      </c>
      <c r="H158" s="87">
        <v>44286</v>
      </c>
      <c r="I158" s="98">
        <v>22</v>
      </c>
      <c r="J158" s="98">
        <v>22</v>
      </c>
      <c r="K158" s="89">
        <f t="shared" si="7"/>
        <v>1</v>
      </c>
      <c r="L158" s="89">
        <v>6365.25</v>
      </c>
      <c r="M158" s="89">
        <v>3132.99</v>
      </c>
      <c r="N158" s="89">
        <v>608.05</v>
      </c>
      <c r="O158" s="89">
        <f t="shared" si="5"/>
        <v>10106.29</v>
      </c>
    </row>
    <row r="159" spans="1:15">
      <c r="A159" s="74" t="s">
        <v>113</v>
      </c>
      <c r="B159" s="74" t="s">
        <v>136</v>
      </c>
      <c r="C159" s="74" t="s">
        <v>137</v>
      </c>
      <c r="D159" s="74" t="s">
        <v>79</v>
      </c>
      <c r="E159" s="74" t="s">
        <v>80</v>
      </c>
      <c r="F159" s="86" t="s">
        <v>116</v>
      </c>
      <c r="G159" s="74" t="s">
        <v>138</v>
      </c>
      <c r="H159" s="87">
        <v>44286</v>
      </c>
      <c r="I159" s="98">
        <v>22</v>
      </c>
      <c r="J159" s="98">
        <v>22</v>
      </c>
      <c r="K159" s="89">
        <f t="shared" si="7"/>
        <v>1</v>
      </c>
      <c r="L159" s="89">
        <v>8469.44</v>
      </c>
      <c r="M159" s="89">
        <v>3060.37</v>
      </c>
      <c r="N159" s="89">
        <v>802.64</v>
      </c>
      <c r="O159" s="89">
        <f t="shared" si="5"/>
        <v>12332.45</v>
      </c>
    </row>
    <row r="160" spans="1:15">
      <c r="A160" s="74" t="s">
        <v>113</v>
      </c>
      <c r="B160" s="74" t="s">
        <v>139</v>
      </c>
      <c r="C160" s="74" t="s">
        <v>140</v>
      </c>
      <c r="D160" s="74" t="s">
        <v>79</v>
      </c>
      <c r="E160" s="74" t="s">
        <v>80</v>
      </c>
      <c r="F160" s="86" t="s">
        <v>120</v>
      </c>
      <c r="G160" s="74" t="s">
        <v>138</v>
      </c>
      <c r="H160" s="87">
        <v>44286</v>
      </c>
      <c r="I160" s="98">
        <v>22</v>
      </c>
      <c r="J160" s="98">
        <v>22</v>
      </c>
      <c r="K160" s="89">
        <f t="shared" si="7"/>
        <v>1</v>
      </c>
      <c r="L160" s="89">
        <v>7248.08</v>
      </c>
      <c r="M160" s="89">
        <v>3115.74</v>
      </c>
      <c r="N160" s="89">
        <v>746.51</v>
      </c>
      <c r="O160" s="89">
        <f t="shared" si="5"/>
        <v>11110.33</v>
      </c>
    </row>
    <row r="161" spans="1:15">
      <c r="A161" s="74" t="s">
        <v>113</v>
      </c>
      <c r="B161" s="74" t="s">
        <v>141</v>
      </c>
      <c r="C161" s="74" t="s">
        <v>142</v>
      </c>
      <c r="D161" s="74" t="s">
        <v>79</v>
      </c>
      <c r="E161" s="74" t="s">
        <v>80</v>
      </c>
      <c r="F161" s="86" t="s">
        <v>123</v>
      </c>
      <c r="G161" s="74" t="s">
        <v>138</v>
      </c>
      <c r="H161" s="87">
        <v>44286</v>
      </c>
      <c r="I161" s="98">
        <v>22</v>
      </c>
      <c r="J161" s="98">
        <v>22</v>
      </c>
      <c r="K161" s="89">
        <f t="shared" si="7"/>
        <v>1</v>
      </c>
      <c r="L161" s="89">
        <v>6108.8</v>
      </c>
      <c r="M161" s="89">
        <v>3117.93</v>
      </c>
      <c r="N161" s="89">
        <v>603.94</v>
      </c>
      <c r="O161" s="89">
        <f t="shared" si="5"/>
        <v>9830.67</v>
      </c>
    </row>
    <row r="162" spans="1:15">
      <c r="A162" s="74" t="s">
        <v>113</v>
      </c>
      <c r="B162" s="74" t="s">
        <v>143</v>
      </c>
      <c r="C162" s="74" t="s">
        <v>144</v>
      </c>
      <c r="D162" s="74" t="s">
        <v>79</v>
      </c>
      <c r="E162" s="74" t="s">
        <v>80</v>
      </c>
      <c r="F162" s="86" t="s">
        <v>145</v>
      </c>
      <c r="G162" s="74" t="s">
        <v>146</v>
      </c>
      <c r="H162" s="87">
        <v>44286</v>
      </c>
      <c r="I162" s="98">
        <v>22</v>
      </c>
      <c r="J162" s="98">
        <v>22</v>
      </c>
      <c r="K162" s="89">
        <f t="shared" si="7"/>
        <v>1</v>
      </c>
      <c r="L162" s="89">
        <v>19405.51</v>
      </c>
      <c r="M162" s="89">
        <v>3157.1</v>
      </c>
      <c r="N162" s="89">
        <v>1960.52</v>
      </c>
      <c r="O162" s="89">
        <f t="shared" si="5"/>
        <v>24523.13</v>
      </c>
    </row>
    <row r="163" spans="1:15">
      <c r="A163" s="74" t="s">
        <v>113</v>
      </c>
      <c r="B163" s="74" t="s">
        <v>147</v>
      </c>
      <c r="C163" s="74" t="s">
        <v>148</v>
      </c>
      <c r="D163" s="74" t="s">
        <v>79</v>
      </c>
      <c r="E163" s="74" t="s">
        <v>80</v>
      </c>
      <c r="F163" s="86" t="s">
        <v>149</v>
      </c>
      <c r="G163" s="74" t="s">
        <v>150</v>
      </c>
      <c r="H163" s="87">
        <v>44286</v>
      </c>
      <c r="I163" s="98">
        <v>22</v>
      </c>
      <c r="J163" s="98">
        <v>22</v>
      </c>
      <c r="K163" s="89">
        <f t="shared" si="7"/>
        <v>1</v>
      </c>
      <c r="L163" s="89">
        <v>17336.62</v>
      </c>
      <c r="M163" s="89">
        <v>3267.01</v>
      </c>
      <c r="N163" s="89">
        <v>1816.99</v>
      </c>
      <c r="O163" s="89">
        <f t="shared" si="5"/>
        <v>22420.62</v>
      </c>
    </row>
    <row r="164" spans="1:15">
      <c r="A164" s="74" t="s">
        <v>113</v>
      </c>
      <c r="B164" s="74" t="s">
        <v>151</v>
      </c>
      <c r="C164" s="74" t="s">
        <v>152</v>
      </c>
      <c r="D164" s="74" t="s">
        <v>79</v>
      </c>
      <c r="E164" s="74" t="s">
        <v>81</v>
      </c>
      <c r="F164" s="86" t="s">
        <v>123</v>
      </c>
      <c r="G164" s="74" t="s">
        <v>153</v>
      </c>
      <c r="H164" s="87">
        <v>44286</v>
      </c>
      <c r="I164" s="98">
        <v>22</v>
      </c>
      <c r="J164" s="98">
        <v>22</v>
      </c>
      <c r="K164" s="89">
        <f t="shared" si="7"/>
        <v>1</v>
      </c>
      <c r="L164" s="89">
        <v>6588.2</v>
      </c>
      <c r="M164" s="89">
        <v>3153.09</v>
      </c>
      <c r="N164" s="89">
        <v>649.34</v>
      </c>
      <c r="O164" s="89">
        <f t="shared" si="5"/>
        <v>10390.63</v>
      </c>
    </row>
    <row r="165" spans="1:15">
      <c r="A165" s="74" t="s">
        <v>113</v>
      </c>
      <c r="B165" s="74" t="s">
        <v>154</v>
      </c>
      <c r="C165" s="74" t="s">
        <v>155</v>
      </c>
      <c r="D165" s="74" t="s">
        <v>79</v>
      </c>
      <c r="E165" s="74" t="s">
        <v>81</v>
      </c>
      <c r="F165" s="86" t="s">
        <v>156</v>
      </c>
      <c r="G165" s="74" t="s">
        <v>157</v>
      </c>
      <c r="H165" s="87">
        <v>44286</v>
      </c>
      <c r="I165" s="98">
        <v>22</v>
      </c>
      <c r="J165" s="98">
        <v>22</v>
      </c>
      <c r="K165" s="89">
        <f t="shared" si="7"/>
        <v>1</v>
      </c>
      <c r="L165" s="89">
        <v>5494.17</v>
      </c>
      <c r="M165" s="89">
        <v>3080.07</v>
      </c>
      <c r="N165" s="89">
        <v>508.64</v>
      </c>
      <c r="O165" s="89">
        <f t="shared" si="5"/>
        <v>9082.88</v>
      </c>
    </row>
    <row r="166" spans="1:15">
      <c r="A166" s="74" t="s">
        <v>113</v>
      </c>
      <c r="B166" s="74" t="s">
        <v>158</v>
      </c>
      <c r="C166" s="74" t="s">
        <v>159</v>
      </c>
      <c r="D166" s="74" t="s">
        <v>79</v>
      </c>
      <c r="E166" s="74" t="s">
        <v>81</v>
      </c>
      <c r="F166" s="86" t="s">
        <v>160</v>
      </c>
      <c r="G166" s="74" t="s">
        <v>161</v>
      </c>
      <c r="H166" s="87">
        <v>44286</v>
      </c>
      <c r="I166" s="98">
        <v>22</v>
      </c>
      <c r="J166" s="98">
        <v>22</v>
      </c>
      <c r="K166" s="89">
        <f t="shared" si="7"/>
        <v>1</v>
      </c>
      <c r="L166" s="89">
        <v>4319.99</v>
      </c>
      <c r="M166" s="89">
        <v>3001.9</v>
      </c>
      <c r="N166" s="89">
        <v>427.22</v>
      </c>
      <c r="O166" s="89">
        <f t="shared" si="5"/>
        <v>7749.11</v>
      </c>
    </row>
    <row r="167" spans="1:15">
      <c r="A167" s="74" t="s">
        <v>113</v>
      </c>
      <c r="B167" s="74" t="s">
        <v>162</v>
      </c>
      <c r="C167" s="74" t="s">
        <v>163</v>
      </c>
      <c r="D167" s="74" t="s">
        <v>79</v>
      </c>
      <c r="E167" s="74" t="s">
        <v>81</v>
      </c>
      <c r="F167" s="86" t="s">
        <v>123</v>
      </c>
      <c r="G167" s="74" t="s">
        <v>153</v>
      </c>
      <c r="H167" s="87">
        <v>44286</v>
      </c>
      <c r="I167" s="98">
        <v>22</v>
      </c>
      <c r="J167" s="98">
        <v>22</v>
      </c>
      <c r="K167" s="89">
        <f t="shared" si="7"/>
        <v>1</v>
      </c>
      <c r="L167" s="89">
        <v>6278.53</v>
      </c>
      <c r="M167" s="89">
        <v>3007.41</v>
      </c>
      <c r="N167" s="89">
        <v>654.07</v>
      </c>
      <c r="O167" s="89">
        <f t="shared" si="5"/>
        <v>9940.01</v>
      </c>
    </row>
    <row r="168" spans="1:15">
      <c r="A168" s="74" t="s">
        <v>113</v>
      </c>
      <c r="B168" s="74" t="s">
        <v>164</v>
      </c>
      <c r="C168" s="74" t="s">
        <v>165</v>
      </c>
      <c r="D168" s="74" t="s">
        <v>79</v>
      </c>
      <c r="E168" s="74" t="s">
        <v>81</v>
      </c>
      <c r="F168" s="86" t="s">
        <v>156</v>
      </c>
      <c r="G168" s="74" t="s">
        <v>157</v>
      </c>
      <c r="H168" s="87">
        <v>44286</v>
      </c>
      <c r="I168" s="98">
        <v>22</v>
      </c>
      <c r="J168" s="98">
        <v>22</v>
      </c>
      <c r="K168" s="89">
        <f t="shared" si="7"/>
        <v>1</v>
      </c>
      <c r="L168" s="89">
        <v>5328.75</v>
      </c>
      <c r="M168" s="89">
        <v>3234.66</v>
      </c>
      <c r="N168" s="89">
        <v>530.16</v>
      </c>
      <c r="O168" s="89">
        <f t="shared" si="5"/>
        <v>9093.57</v>
      </c>
    </row>
    <row r="169" spans="1:15">
      <c r="A169" s="74" t="s">
        <v>113</v>
      </c>
      <c r="B169" s="74" t="s">
        <v>166</v>
      </c>
      <c r="C169" s="74" t="s">
        <v>167</v>
      </c>
      <c r="D169" s="74" t="s">
        <v>79</v>
      </c>
      <c r="E169" s="74" t="s">
        <v>81</v>
      </c>
      <c r="F169" s="86" t="s">
        <v>160</v>
      </c>
      <c r="G169" s="74" t="s">
        <v>161</v>
      </c>
      <c r="H169" s="87">
        <v>44286</v>
      </c>
      <c r="I169" s="98">
        <v>22</v>
      </c>
      <c r="J169" s="98">
        <v>22</v>
      </c>
      <c r="K169" s="89">
        <f t="shared" si="7"/>
        <v>1</v>
      </c>
      <c r="L169" s="89">
        <v>4381.58</v>
      </c>
      <c r="M169" s="89">
        <v>3128.95</v>
      </c>
      <c r="N169" s="89">
        <v>420.14</v>
      </c>
      <c r="O169" s="89">
        <f t="shared" si="5"/>
        <v>7930.67</v>
      </c>
    </row>
    <row r="170" spans="1:15">
      <c r="A170" s="74" t="s">
        <v>113</v>
      </c>
      <c r="B170" s="74" t="s">
        <v>168</v>
      </c>
      <c r="C170" s="74" t="s">
        <v>169</v>
      </c>
      <c r="D170" s="74" t="s">
        <v>79</v>
      </c>
      <c r="E170" s="74" t="s">
        <v>81</v>
      </c>
      <c r="F170" s="86" t="s">
        <v>123</v>
      </c>
      <c r="G170" s="74" t="s">
        <v>153</v>
      </c>
      <c r="H170" s="87">
        <v>44286</v>
      </c>
      <c r="I170" s="98">
        <v>22</v>
      </c>
      <c r="J170" s="98">
        <v>22</v>
      </c>
      <c r="K170" s="89">
        <f t="shared" si="7"/>
        <v>1</v>
      </c>
      <c r="L170" s="89">
        <v>6519.25</v>
      </c>
      <c r="M170" s="89">
        <v>3193.17</v>
      </c>
      <c r="N170" s="89">
        <v>656.55</v>
      </c>
      <c r="O170" s="89">
        <f t="shared" si="5"/>
        <v>10368.97</v>
      </c>
    </row>
    <row r="171" spans="1:15">
      <c r="A171" s="74" t="s">
        <v>113</v>
      </c>
      <c r="B171" s="74" t="s">
        <v>170</v>
      </c>
      <c r="C171" s="74" t="s">
        <v>171</v>
      </c>
      <c r="D171" s="74" t="s">
        <v>79</v>
      </c>
      <c r="E171" s="74" t="s">
        <v>81</v>
      </c>
      <c r="F171" s="86" t="s">
        <v>156</v>
      </c>
      <c r="G171" s="74" t="s">
        <v>157</v>
      </c>
      <c r="H171" s="87">
        <v>44286</v>
      </c>
      <c r="I171" s="98">
        <v>22</v>
      </c>
      <c r="J171" s="98">
        <v>22</v>
      </c>
      <c r="K171" s="89">
        <f t="shared" si="7"/>
        <v>1</v>
      </c>
      <c r="L171" s="89">
        <v>5395.61</v>
      </c>
      <c r="M171" s="89">
        <v>3168.91</v>
      </c>
      <c r="N171" s="89">
        <v>535.86</v>
      </c>
      <c r="O171" s="89">
        <f t="shared" si="5"/>
        <v>9100.38</v>
      </c>
    </row>
    <row r="172" spans="1:15">
      <c r="A172" s="74" t="s">
        <v>113</v>
      </c>
      <c r="B172" s="74" t="s">
        <v>172</v>
      </c>
      <c r="C172" s="74" t="s">
        <v>173</v>
      </c>
      <c r="D172" s="74" t="s">
        <v>79</v>
      </c>
      <c r="E172" s="74" t="s">
        <v>81</v>
      </c>
      <c r="F172" s="86" t="s">
        <v>160</v>
      </c>
      <c r="G172" s="74" t="s">
        <v>161</v>
      </c>
      <c r="H172" s="87">
        <v>44286</v>
      </c>
      <c r="I172" s="98">
        <v>22</v>
      </c>
      <c r="J172" s="98">
        <v>22</v>
      </c>
      <c r="K172" s="89">
        <f t="shared" si="7"/>
        <v>1</v>
      </c>
      <c r="L172" s="89">
        <v>4011.97</v>
      </c>
      <c r="M172" s="89">
        <v>3078.24</v>
      </c>
      <c r="N172" s="89">
        <v>428.49</v>
      </c>
      <c r="O172" s="89">
        <f t="shared" si="5"/>
        <v>7518.7</v>
      </c>
    </row>
    <row r="173" spans="1:15">
      <c r="A173" s="74" t="s">
        <v>113</v>
      </c>
      <c r="B173" s="74" t="s">
        <v>174</v>
      </c>
      <c r="C173" s="74" t="s">
        <v>175</v>
      </c>
      <c r="D173" s="74" t="s">
        <v>79</v>
      </c>
      <c r="E173" s="74" t="s">
        <v>81</v>
      </c>
      <c r="F173" s="86" t="s">
        <v>176</v>
      </c>
      <c r="G173" s="74" t="s">
        <v>177</v>
      </c>
      <c r="H173" s="87">
        <v>44286</v>
      </c>
      <c r="I173" s="98">
        <v>22</v>
      </c>
      <c r="J173" s="98">
        <v>22</v>
      </c>
      <c r="K173" s="89">
        <f t="shared" si="7"/>
        <v>1</v>
      </c>
      <c r="L173" s="89">
        <v>3047.03</v>
      </c>
      <c r="M173" s="89">
        <v>3179.29</v>
      </c>
      <c r="N173" s="89">
        <v>323.41</v>
      </c>
      <c r="O173" s="89">
        <f t="shared" si="5"/>
        <v>6549.73</v>
      </c>
    </row>
    <row r="174" spans="1:15">
      <c r="A174" s="74" t="s">
        <v>113</v>
      </c>
      <c r="B174" s="74" t="s">
        <v>178</v>
      </c>
      <c r="C174" s="74" t="s">
        <v>179</v>
      </c>
      <c r="D174" s="74" t="s">
        <v>79</v>
      </c>
      <c r="E174" s="74" t="s">
        <v>81</v>
      </c>
      <c r="F174" s="86" t="s">
        <v>180</v>
      </c>
      <c r="G174" s="74" t="s">
        <v>177</v>
      </c>
      <c r="H174" s="87">
        <v>44286</v>
      </c>
      <c r="I174" s="98">
        <v>22</v>
      </c>
      <c r="J174" s="98">
        <v>22</v>
      </c>
      <c r="K174" s="89">
        <f t="shared" si="7"/>
        <v>1</v>
      </c>
      <c r="L174" s="89">
        <v>2090.5</v>
      </c>
      <c r="M174" s="89">
        <v>3162.78</v>
      </c>
      <c r="N174" s="89">
        <v>210.51</v>
      </c>
      <c r="O174" s="89">
        <f t="shared" si="5"/>
        <v>5463.79</v>
      </c>
    </row>
    <row r="175" spans="1:15">
      <c r="A175" s="74" t="s">
        <v>113</v>
      </c>
      <c r="B175" s="74" t="s">
        <v>181</v>
      </c>
      <c r="C175" s="74" t="s">
        <v>182</v>
      </c>
      <c r="D175" s="74" t="s">
        <v>79</v>
      </c>
      <c r="E175" s="74" t="s">
        <v>81</v>
      </c>
      <c r="F175" s="86" t="s">
        <v>183</v>
      </c>
      <c r="G175" s="74" t="s">
        <v>177</v>
      </c>
      <c r="H175" s="87">
        <v>44286</v>
      </c>
      <c r="I175" s="98">
        <v>22</v>
      </c>
      <c r="J175" s="98">
        <v>22</v>
      </c>
      <c r="K175" s="89">
        <f t="shared" si="7"/>
        <v>1</v>
      </c>
      <c r="L175" s="89">
        <v>1005.9</v>
      </c>
      <c r="M175" s="89">
        <v>3170.64</v>
      </c>
      <c r="N175" s="89">
        <v>105.86</v>
      </c>
      <c r="O175" s="89">
        <f t="shared" si="5"/>
        <v>4282.4</v>
      </c>
    </row>
    <row r="176" spans="1:15">
      <c r="A176" s="74" t="s">
        <v>113</v>
      </c>
      <c r="B176" s="74" t="s">
        <v>184</v>
      </c>
      <c r="C176" s="74" t="s">
        <v>185</v>
      </c>
      <c r="D176" s="74" t="s">
        <v>79</v>
      </c>
      <c r="E176" s="74" t="s">
        <v>81</v>
      </c>
      <c r="F176" s="86" t="s">
        <v>176</v>
      </c>
      <c r="G176" s="74" t="s">
        <v>177</v>
      </c>
      <c r="H176" s="87">
        <v>44286</v>
      </c>
      <c r="I176" s="98">
        <v>22</v>
      </c>
      <c r="J176" s="98">
        <v>22</v>
      </c>
      <c r="K176" s="89">
        <f t="shared" si="7"/>
        <v>1</v>
      </c>
      <c r="L176" s="89">
        <v>3253.71</v>
      </c>
      <c r="M176" s="89">
        <v>3154.6</v>
      </c>
      <c r="N176" s="89">
        <v>313.31</v>
      </c>
      <c r="O176" s="89">
        <f t="shared" si="5"/>
        <v>6721.62</v>
      </c>
    </row>
    <row r="177" spans="1:15">
      <c r="A177" s="74" t="s">
        <v>113</v>
      </c>
      <c r="B177" s="74" t="s">
        <v>186</v>
      </c>
      <c r="C177" s="74" t="s">
        <v>187</v>
      </c>
      <c r="D177" s="74" t="s">
        <v>79</v>
      </c>
      <c r="E177" s="74" t="s">
        <v>81</v>
      </c>
      <c r="F177" s="86" t="s">
        <v>180</v>
      </c>
      <c r="G177" s="74" t="s">
        <v>177</v>
      </c>
      <c r="H177" s="87">
        <v>44286</v>
      </c>
      <c r="I177" s="98">
        <v>22</v>
      </c>
      <c r="J177" s="98">
        <v>22</v>
      </c>
      <c r="K177" s="89">
        <f t="shared" si="7"/>
        <v>1</v>
      </c>
      <c r="L177" s="89">
        <v>2026.11</v>
      </c>
      <c r="M177" s="89">
        <v>3129.08</v>
      </c>
      <c r="N177" s="89">
        <v>209.2</v>
      </c>
      <c r="O177" s="89">
        <f t="shared" si="5"/>
        <v>5364.39</v>
      </c>
    </row>
    <row r="178" spans="1:15">
      <c r="A178" s="74" t="s">
        <v>113</v>
      </c>
      <c r="B178" s="74" t="s">
        <v>188</v>
      </c>
      <c r="C178" s="74" t="s">
        <v>189</v>
      </c>
      <c r="D178" s="74" t="s">
        <v>79</v>
      </c>
      <c r="E178" s="74" t="s">
        <v>81</v>
      </c>
      <c r="F178" s="86" t="s">
        <v>183</v>
      </c>
      <c r="G178" s="74" t="s">
        <v>177</v>
      </c>
      <c r="H178" s="87">
        <v>44286</v>
      </c>
      <c r="I178" s="98">
        <v>22</v>
      </c>
      <c r="J178" s="98">
        <v>22</v>
      </c>
      <c r="K178" s="89">
        <f t="shared" si="7"/>
        <v>1</v>
      </c>
      <c r="L178" s="89">
        <v>1070.58</v>
      </c>
      <c r="M178" s="89">
        <v>3105.36</v>
      </c>
      <c r="N178" s="89">
        <v>102.1</v>
      </c>
      <c r="O178" s="89">
        <f t="shared" si="5"/>
        <v>4278.04</v>
      </c>
    </row>
    <row r="179" spans="1:15">
      <c r="A179" s="74" t="s">
        <v>113</v>
      </c>
      <c r="B179" s="74" t="s">
        <v>190</v>
      </c>
      <c r="C179" s="74" t="s">
        <v>191</v>
      </c>
      <c r="D179" s="74" t="s">
        <v>79</v>
      </c>
      <c r="E179" s="74" t="s">
        <v>81</v>
      </c>
      <c r="F179" s="86" t="s">
        <v>176</v>
      </c>
      <c r="G179" s="74" t="s">
        <v>177</v>
      </c>
      <c r="H179" s="87">
        <v>44286</v>
      </c>
      <c r="I179" s="98">
        <v>22</v>
      </c>
      <c r="J179" s="98">
        <v>22</v>
      </c>
      <c r="K179" s="89">
        <f t="shared" si="7"/>
        <v>1</v>
      </c>
      <c r="L179" s="89">
        <v>3181.78</v>
      </c>
      <c r="M179" s="89">
        <v>3298.98</v>
      </c>
      <c r="N179" s="89">
        <v>317.76</v>
      </c>
      <c r="O179" s="89">
        <f t="shared" si="5"/>
        <v>6798.52</v>
      </c>
    </row>
    <row r="180" spans="1:15">
      <c r="A180" s="74" t="s">
        <v>113</v>
      </c>
      <c r="B180" s="74" t="s">
        <v>192</v>
      </c>
      <c r="C180" s="74" t="s">
        <v>193</v>
      </c>
      <c r="D180" s="74" t="s">
        <v>79</v>
      </c>
      <c r="E180" s="74" t="s">
        <v>81</v>
      </c>
      <c r="F180" s="86" t="s">
        <v>180</v>
      </c>
      <c r="G180" s="74" t="s">
        <v>177</v>
      </c>
      <c r="H180" s="87">
        <v>44286</v>
      </c>
      <c r="I180" s="98">
        <v>22</v>
      </c>
      <c r="J180" s="98">
        <v>22</v>
      </c>
      <c r="K180" s="89">
        <f t="shared" si="7"/>
        <v>1</v>
      </c>
      <c r="L180" s="89">
        <v>2006.64</v>
      </c>
      <c r="M180" s="89">
        <v>3210.61</v>
      </c>
      <c r="N180" s="89">
        <v>212.35</v>
      </c>
      <c r="O180" s="89">
        <f t="shared" si="5"/>
        <v>5429.6</v>
      </c>
    </row>
    <row r="181" spans="1:15">
      <c r="A181" s="74" t="s">
        <v>113</v>
      </c>
      <c r="B181" s="74" t="s">
        <v>194</v>
      </c>
      <c r="C181" s="74" t="s">
        <v>195</v>
      </c>
      <c r="D181" s="74" t="s">
        <v>79</v>
      </c>
      <c r="E181" s="74" t="s">
        <v>81</v>
      </c>
      <c r="F181" s="86" t="s">
        <v>183</v>
      </c>
      <c r="G181" s="74" t="s">
        <v>177</v>
      </c>
      <c r="H181" s="87">
        <v>44286</v>
      </c>
      <c r="I181" s="98">
        <v>22</v>
      </c>
      <c r="J181" s="98">
        <v>22</v>
      </c>
      <c r="K181" s="89">
        <f t="shared" si="7"/>
        <v>1</v>
      </c>
      <c r="L181" s="89">
        <v>1068.25</v>
      </c>
      <c r="M181" s="89">
        <v>3030.28</v>
      </c>
      <c r="N181" s="89">
        <v>104.47</v>
      </c>
      <c r="O181" s="89">
        <f t="shared" si="5"/>
        <v>4203</v>
      </c>
    </row>
    <row r="182" spans="1:15">
      <c r="A182" s="74" t="s">
        <v>113</v>
      </c>
      <c r="B182" s="74" t="s">
        <v>196</v>
      </c>
      <c r="C182" s="74" t="s">
        <v>197</v>
      </c>
      <c r="D182" s="74" t="s">
        <v>79</v>
      </c>
      <c r="E182" s="74" t="s">
        <v>81</v>
      </c>
      <c r="F182" s="86" t="s">
        <v>176</v>
      </c>
      <c r="G182" s="74" t="s">
        <v>177</v>
      </c>
      <c r="H182" s="87">
        <v>44286</v>
      </c>
      <c r="I182" s="98">
        <v>22</v>
      </c>
      <c r="J182" s="98">
        <v>22</v>
      </c>
      <c r="K182" s="89">
        <f t="shared" si="7"/>
        <v>1</v>
      </c>
      <c r="L182" s="89">
        <v>3206</v>
      </c>
      <c r="M182" s="89">
        <v>3276.04</v>
      </c>
      <c r="N182" s="89">
        <v>308.63</v>
      </c>
      <c r="O182" s="89">
        <f t="shared" si="5"/>
        <v>6790.67</v>
      </c>
    </row>
    <row r="183" spans="1:15">
      <c r="A183" s="74" t="s">
        <v>113</v>
      </c>
      <c r="B183" s="74" t="s">
        <v>198</v>
      </c>
      <c r="C183" s="74" t="s">
        <v>199</v>
      </c>
      <c r="D183" s="74" t="s">
        <v>79</v>
      </c>
      <c r="E183" s="74" t="s">
        <v>81</v>
      </c>
      <c r="F183" s="86" t="s">
        <v>180</v>
      </c>
      <c r="G183" s="74" t="s">
        <v>177</v>
      </c>
      <c r="H183" s="87">
        <v>44286</v>
      </c>
      <c r="I183" s="98">
        <v>22</v>
      </c>
      <c r="J183" s="98">
        <v>22</v>
      </c>
      <c r="K183" s="89">
        <f t="shared" si="7"/>
        <v>1</v>
      </c>
      <c r="L183" s="89">
        <v>2004.33</v>
      </c>
      <c r="M183" s="89">
        <v>3150.63</v>
      </c>
      <c r="N183" s="89">
        <v>211.14</v>
      </c>
      <c r="O183" s="89">
        <f t="shared" si="5"/>
        <v>5366.1</v>
      </c>
    </row>
    <row r="184" spans="1:15">
      <c r="A184" s="74" t="s">
        <v>113</v>
      </c>
      <c r="B184" s="74" t="s">
        <v>200</v>
      </c>
      <c r="C184" s="74" t="s">
        <v>201</v>
      </c>
      <c r="D184" s="74" t="s">
        <v>79</v>
      </c>
      <c r="E184" s="74" t="s">
        <v>81</v>
      </c>
      <c r="F184" s="86" t="s">
        <v>183</v>
      </c>
      <c r="G184" s="74" t="s">
        <v>177</v>
      </c>
      <c r="H184" s="87">
        <v>44286</v>
      </c>
      <c r="I184" s="98">
        <v>22</v>
      </c>
      <c r="J184" s="98">
        <v>22</v>
      </c>
      <c r="K184" s="89">
        <f t="shared" si="7"/>
        <v>1</v>
      </c>
      <c r="L184" s="89">
        <v>1043.15</v>
      </c>
      <c r="M184" s="89">
        <v>3133.09</v>
      </c>
      <c r="N184" s="89">
        <v>106.6</v>
      </c>
      <c r="O184" s="89">
        <f t="shared" si="5"/>
        <v>4282.84</v>
      </c>
    </row>
    <row r="185" spans="1:15">
      <c r="A185" s="74" t="s">
        <v>113</v>
      </c>
      <c r="B185" s="74" t="s">
        <v>202</v>
      </c>
      <c r="C185" s="74" t="s">
        <v>203</v>
      </c>
      <c r="D185" s="74" t="s">
        <v>79</v>
      </c>
      <c r="E185" s="74" t="s">
        <v>81</v>
      </c>
      <c r="F185" s="86" t="s">
        <v>204</v>
      </c>
      <c r="G185" s="74" t="s">
        <v>205</v>
      </c>
      <c r="H185" s="87">
        <v>44286</v>
      </c>
      <c r="I185" s="98">
        <v>22</v>
      </c>
      <c r="J185" s="98">
        <v>22</v>
      </c>
      <c r="K185" s="89">
        <f t="shared" si="7"/>
        <v>1</v>
      </c>
      <c r="L185" s="89">
        <v>18746.84</v>
      </c>
      <c r="M185" s="89">
        <v>3271.57</v>
      </c>
      <c r="N185" s="89">
        <v>1943.25</v>
      </c>
      <c r="O185" s="89">
        <f t="shared" si="5"/>
        <v>23961.66</v>
      </c>
    </row>
    <row r="186" spans="1:15">
      <c r="A186" s="74" t="s">
        <v>113</v>
      </c>
      <c r="B186" s="74" t="s">
        <v>206</v>
      </c>
      <c r="C186" s="74" t="s">
        <v>207</v>
      </c>
      <c r="D186" s="88" t="s">
        <v>82</v>
      </c>
      <c r="E186" s="88" t="s">
        <v>84</v>
      </c>
      <c r="F186" s="86" t="s">
        <v>208</v>
      </c>
      <c r="G186" s="74" t="s">
        <v>209</v>
      </c>
      <c r="H186" s="87">
        <v>44286</v>
      </c>
      <c r="I186" s="98">
        <v>22</v>
      </c>
      <c r="J186" s="98">
        <v>22</v>
      </c>
      <c r="K186" s="89">
        <f t="shared" si="7"/>
        <v>1</v>
      </c>
      <c r="L186" s="89">
        <v>9013.4</v>
      </c>
      <c r="M186" s="89">
        <v>3216.44</v>
      </c>
      <c r="N186" s="89">
        <v>937.14</v>
      </c>
      <c r="O186" s="89">
        <f t="shared" si="5"/>
        <v>13166.98</v>
      </c>
    </row>
    <row r="187" spans="1:15">
      <c r="A187" s="74" t="s">
        <v>113</v>
      </c>
      <c r="B187" s="74" t="s">
        <v>210</v>
      </c>
      <c r="C187" s="74" t="s">
        <v>211</v>
      </c>
      <c r="D187" s="88" t="s">
        <v>82</v>
      </c>
      <c r="E187" s="88" t="s">
        <v>84</v>
      </c>
      <c r="F187" s="86" t="s">
        <v>116</v>
      </c>
      <c r="G187" s="74" t="s">
        <v>209</v>
      </c>
      <c r="H187" s="87">
        <v>44286</v>
      </c>
      <c r="I187" s="98">
        <v>22</v>
      </c>
      <c r="J187" s="98">
        <v>22</v>
      </c>
      <c r="K187" s="89">
        <f t="shared" si="7"/>
        <v>1</v>
      </c>
      <c r="L187" s="89">
        <v>8557.67</v>
      </c>
      <c r="M187" s="89">
        <v>3150</v>
      </c>
      <c r="N187" s="89">
        <v>868.51</v>
      </c>
      <c r="O187" s="89">
        <f t="shared" si="5"/>
        <v>12576.18</v>
      </c>
    </row>
    <row r="188" spans="1:15">
      <c r="A188" s="74" t="s">
        <v>113</v>
      </c>
      <c r="B188" s="74" t="s">
        <v>212</v>
      </c>
      <c r="C188" s="74" t="s">
        <v>213</v>
      </c>
      <c r="D188" s="88" t="s">
        <v>82</v>
      </c>
      <c r="E188" s="88" t="s">
        <v>84</v>
      </c>
      <c r="F188" s="86" t="s">
        <v>208</v>
      </c>
      <c r="G188" s="74" t="s">
        <v>209</v>
      </c>
      <c r="H188" s="87">
        <v>44286</v>
      </c>
      <c r="I188" s="98">
        <v>22</v>
      </c>
      <c r="J188" s="98">
        <v>22</v>
      </c>
      <c r="K188" s="89">
        <f t="shared" si="7"/>
        <v>1</v>
      </c>
      <c r="L188" s="89">
        <v>9840.19</v>
      </c>
      <c r="M188" s="89">
        <v>3291.5</v>
      </c>
      <c r="N188" s="89">
        <v>966.33</v>
      </c>
      <c r="O188" s="89">
        <f t="shared" si="5"/>
        <v>14098.02</v>
      </c>
    </row>
    <row r="189" spans="1:15">
      <c r="A189" s="74" t="s">
        <v>113</v>
      </c>
      <c r="B189" s="74" t="s">
        <v>214</v>
      </c>
      <c r="C189" s="74" t="s">
        <v>215</v>
      </c>
      <c r="D189" s="88" t="s">
        <v>82</v>
      </c>
      <c r="E189" s="88" t="s">
        <v>84</v>
      </c>
      <c r="F189" s="86" t="s">
        <v>116</v>
      </c>
      <c r="G189" s="74" t="s">
        <v>209</v>
      </c>
      <c r="H189" s="87">
        <v>44286</v>
      </c>
      <c r="I189" s="98">
        <v>22</v>
      </c>
      <c r="J189" s="98">
        <v>22</v>
      </c>
      <c r="K189" s="89">
        <f t="shared" si="7"/>
        <v>1</v>
      </c>
      <c r="L189" s="89">
        <v>8429.33</v>
      </c>
      <c r="M189" s="89">
        <v>3229.05</v>
      </c>
      <c r="N189" s="89">
        <v>817.85</v>
      </c>
      <c r="O189" s="89">
        <f t="shared" si="5"/>
        <v>12476.23</v>
      </c>
    </row>
    <row r="190" spans="1:15">
      <c r="A190" s="74" t="s">
        <v>113</v>
      </c>
      <c r="B190" s="74" t="s">
        <v>216</v>
      </c>
      <c r="C190" s="74" t="s">
        <v>217</v>
      </c>
      <c r="D190" s="88" t="s">
        <v>82</v>
      </c>
      <c r="E190" s="88" t="s">
        <v>84</v>
      </c>
      <c r="F190" s="86" t="s">
        <v>218</v>
      </c>
      <c r="G190" s="74" t="s">
        <v>219</v>
      </c>
      <c r="H190" s="87">
        <v>44286</v>
      </c>
      <c r="I190" s="98">
        <v>22</v>
      </c>
      <c r="J190" s="98">
        <v>22</v>
      </c>
      <c r="K190" s="89">
        <f t="shared" si="7"/>
        <v>1</v>
      </c>
      <c r="L190" s="89">
        <v>11157.58</v>
      </c>
      <c r="M190" s="89">
        <v>3194.52</v>
      </c>
      <c r="N190" s="89">
        <v>1191.23</v>
      </c>
      <c r="O190" s="89">
        <f t="shared" si="5"/>
        <v>15543.33</v>
      </c>
    </row>
    <row r="191" spans="1:15">
      <c r="A191" s="74" t="s">
        <v>113</v>
      </c>
      <c r="B191" s="74" t="s">
        <v>220</v>
      </c>
      <c r="C191" s="74" t="s">
        <v>221</v>
      </c>
      <c r="D191" s="88" t="s">
        <v>82</v>
      </c>
      <c r="E191" s="74" t="s">
        <v>83</v>
      </c>
      <c r="F191" s="86" t="s">
        <v>218</v>
      </c>
      <c r="G191" s="74" t="s">
        <v>222</v>
      </c>
      <c r="H191" s="87">
        <v>44286</v>
      </c>
      <c r="I191" s="98">
        <v>22</v>
      </c>
      <c r="J191" s="98">
        <v>22</v>
      </c>
      <c r="K191" s="89">
        <f t="shared" si="7"/>
        <v>1</v>
      </c>
      <c r="L191" s="89">
        <v>11773.5</v>
      </c>
      <c r="M191" s="89">
        <v>3193.06</v>
      </c>
      <c r="N191" s="89">
        <v>1107.16</v>
      </c>
      <c r="O191" s="89">
        <f t="shared" si="5"/>
        <v>16073.72</v>
      </c>
    </row>
    <row r="192" spans="1:15">
      <c r="A192" s="74" t="s">
        <v>113</v>
      </c>
      <c r="B192" s="74" t="s">
        <v>223</v>
      </c>
      <c r="C192" s="74" t="s">
        <v>224</v>
      </c>
      <c r="D192" s="88" t="s">
        <v>82</v>
      </c>
      <c r="E192" s="74" t="s">
        <v>83</v>
      </c>
      <c r="F192" s="86" t="s">
        <v>225</v>
      </c>
      <c r="G192" s="74" t="s">
        <v>209</v>
      </c>
      <c r="H192" s="87">
        <v>44286</v>
      </c>
      <c r="I192" s="98">
        <v>22</v>
      </c>
      <c r="J192" s="98">
        <v>22</v>
      </c>
      <c r="K192" s="89">
        <f t="shared" si="7"/>
        <v>1</v>
      </c>
      <c r="L192" s="89">
        <v>10354.12</v>
      </c>
      <c r="M192" s="89">
        <v>3144.75</v>
      </c>
      <c r="N192" s="89">
        <v>1088.36</v>
      </c>
      <c r="O192" s="89">
        <f t="shared" si="5"/>
        <v>14587.23</v>
      </c>
    </row>
    <row r="193" spans="1:15">
      <c r="A193" s="74" t="s">
        <v>113</v>
      </c>
      <c r="B193" s="74" t="s">
        <v>226</v>
      </c>
      <c r="C193" s="74" t="s">
        <v>227</v>
      </c>
      <c r="D193" s="88" t="s">
        <v>82</v>
      </c>
      <c r="E193" s="74" t="s">
        <v>83</v>
      </c>
      <c r="F193" s="86" t="s">
        <v>208</v>
      </c>
      <c r="G193" s="74" t="s">
        <v>209</v>
      </c>
      <c r="H193" s="87">
        <v>44286</v>
      </c>
      <c r="I193" s="98">
        <v>22</v>
      </c>
      <c r="J193" s="98">
        <v>22</v>
      </c>
      <c r="K193" s="89">
        <f t="shared" si="7"/>
        <v>1</v>
      </c>
      <c r="L193" s="89">
        <v>9866.78</v>
      </c>
      <c r="M193" s="89">
        <v>3259.64</v>
      </c>
      <c r="N193" s="89">
        <v>964.07</v>
      </c>
      <c r="O193" s="89">
        <f t="shared" si="5"/>
        <v>14090.49</v>
      </c>
    </row>
    <row r="194" spans="1:15">
      <c r="A194" s="74" t="s">
        <v>113</v>
      </c>
      <c r="B194" s="74" t="s">
        <v>228</v>
      </c>
      <c r="C194" s="74" t="s">
        <v>229</v>
      </c>
      <c r="D194" s="88" t="s">
        <v>82</v>
      </c>
      <c r="E194" s="74" t="s">
        <v>83</v>
      </c>
      <c r="F194" s="86" t="s">
        <v>116</v>
      </c>
      <c r="G194" s="74" t="s">
        <v>209</v>
      </c>
      <c r="H194" s="87">
        <v>44286</v>
      </c>
      <c r="I194" s="98">
        <v>22</v>
      </c>
      <c r="J194" s="98">
        <v>22</v>
      </c>
      <c r="K194" s="89">
        <f t="shared" si="7"/>
        <v>1</v>
      </c>
      <c r="L194" s="89">
        <v>8397.98</v>
      </c>
      <c r="M194" s="89">
        <v>3128.03</v>
      </c>
      <c r="N194" s="89">
        <v>879.43</v>
      </c>
      <c r="O194" s="89">
        <f t="shared" si="5"/>
        <v>12405.44</v>
      </c>
    </row>
    <row r="195" spans="1:15">
      <c r="A195" s="74" t="s">
        <v>113</v>
      </c>
      <c r="B195" s="74" t="s">
        <v>230</v>
      </c>
      <c r="C195" s="74" t="s">
        <v>231</v>
      </c>
      <c r="D195" s="88" t="s">
        <v>82</v>
      </c>
      <c r="E195" s="74" t="s">
        <v>83</v>
      </c>
      <c r="F195" s="86" t="s">
        <v>120</v>
      </c>
      <c r="G195" s="74" t="s">
        <v>209</v>
      </c>
      <c r="H195" s="87">
        <v>44286</v>
      </c>
      <c r="I195" s="98">
        <v>22</v>
      </c>
      <c r="J195" s="98">
        <v>22</v>
      </c>
      <c r="K195" s="89">
        <f t="shared" si="7"/>
        <v>1</v>
      </c>
      <c r="L195" s="89">
        <v>7576.35</v>
      </c>
      <c r="M195" s="89">
        <v>3114.95</v>
      </c>
      <c r="N195" s="89">
        <v>728.1</v>
      </c>
      <c r="O195" s="89">
        <f t="shared" si="5"/>
        <v>11419.4</v>
      </c>
    </row>
    <row r="196" spans="1:15">
      <c r="A196" s="74" t="s">
        <v>113</v>
      </c>
      <c r="B196" s="74" t="s">
        <v>232</v>
      </c>
      <c r="C196" s="74" t="s">
        <v>233</v>
      </c>
      <c r="D196" s="88" t="s">
        <v>82</v>
      </c>
      <c r="E196" s="74" t="s">
        <v>83</v>
      </c>
      <c r="F196" s="86" t="s">
        <v>123</v>
      </c>
      <c r="G196" s="74" t="s">
        <v>209</v>
      </c>
      <c r="H196" s="87">
        <v>44286</v>
      </c>
      <c r="I196" s="98">
        <v>22</v>
      </c>
      <c r="J196" s="98">
        <v>22</v>
      </c>
      <c r="K196" s="89">
        <f t="shared" si="7"/>
        <v>1</v>
      </c>
      <c r="L196" s="89">
        <v>6000.54</v>
      </c>
      <c r="M196" s="89">
        <v>3130.21</v>
      </c>
      <c r="N196" s="89">
        <v>610.08</v>
      </c>
      <c r="O196" s="89">
        <f t="shared" si="5"/>
        <v>9740.83</v>
      </c>
    </row>
    <row r="197" spans="1:15">
      <c r="A197" s="74" t="s">
        <v>113</v>
      </c>
      <c r="B197" s="74" t="s">
        <v>234</v>
      </c>
      <c r="C197" s="74" t="s">
        <v>235</v>
      </c>
      <c r="D197" s="88" t="s">
        <v>82</v>
      </c>
      <c r="E197" s="74" t="s">
        <v>83</v>
      </c>
      <c r="F197" s="86" t="s">
        <v>116</v>
      </c>
      <c r="G197" s="74" t="s">
        <v>209</v>
      </c>
      <c r="H197" s="87">
        <v>44286</v>
      </c>
      <c r="I197" s="98">
        <v>22</v>
      </c>
      <c r="J197" s="98">
        <v>22</v>
      </c>
      <c r="K197" s="89">
        <f t="shared" si="7"/>
        <v>1</v>
      </c>
      <c r="L197" s="89">
        <v>8221.18</v>
      </c>
      <c r="M197" s="89">
        <v>3177.73</v>
      </c>
      <c r="N197" s="89">
        <v>830.83</v>
      </c>
      <c r="O197" s="89">
        <f t="shared" ref="O197:O260" si="8">SUM(L197:N197)</f>
        <v>12229.74</v>
      </c>
    </row>
    <row r="198" spans="1:15">
      <c r="A198" s="74" t="s">
        <v>113</v>
      </c>
      <c r="B198" s="74" t="s">
        <v>236</v>
      </c>
      <c r="C198" s="74" t="s">
        <v>237</v>
      </c>
      <c r="D198" s="88" t="s">
        <v>82</v>
      </c>
      <c r="E198" s="74" t="s">
        <v>83</v>
      </c>
      <c r="F198" s="86" t="s">
        <v>120</v>
      </c>
      <c r="G198" s="74" t="s">
        <v>209</v>
      </c>
      <c r="H198" s="87">
        <v>44286</v>
      </c>
      <c r="I198" s="98">
        <v>22</v>
      </c>
      <c r="J198" s="98">
        <v>22</v>
      </c>
      <c r="K198" s="89">
        <f t="shared" si="7"/>
        <v>1</v>
      </c>
      <c r="L198" s="89">
        <v>7486.66</v>
      </c>
      <c r="M198" s="89">
        <v>3046.65</v>
      </c>
      <c r="N198" s="89">
        <v>736.57</v>
      </c>
      <c r="O198" s="89">
        <f t="shared" si="8"/>
        <v>11269.88</v>
      </c>
    </row>
    <row r="199" spans="1:15">
      <c r="A199" s="74" t="s">
        <v>113</v>
      </c>
      <c r="B199" s="74" t="s">
        <v>238</v>
      </c>
      <c r="C199" s="74" t="s">
        <v>239</v>
      </c>
      <c r="D199" s="74" t="s">
        <v>86</v>
      </c>
      <c r="E199" s="74" t="s">
        <v>87</v>
      </c>
      <c r="F199" s="86" t="s">
        <v>204</v>
      </c>
      <c r="G199" s="74" t="s">
        <v>240</v>
      </c>
      <c r="H199" s="87">
        <v>44286</v>
      </c>
      <c r="I199" s="98">
        <v>22</v>
      </c>
      <c r="J199" s="98">
        <v>22</v>
      </c>
      <c r="K199" s="89">
        <f t="shared" si="7"/>
        <v>1</v>
      </c>
      <c r="L199" s="89">
        <v>15245.78</v>
      </c>
      <c r="M199" s="89">
        <v>3287.75</v>
      </c>
      <c r="N199" s="89">
        <v>1884.82</v>
      </c>
      <c r="O199" s="89">
        <f t="shared" si="8"/>
        <v>20418.35</v>
      </c>
    </row>
    <row r="200" spans="1:15">
      <c r="A200" s="74" t="s">
        <v>113</v>
      </c>
      <c r="B200" s="74" t="s">
        <v>241</v>
      </c>
      <c r="C200" s="74" t="s">
        <v>242</v>
      </c>
      <c r="D200" s="74" t="s">
        <v>86</v>
      </c>
      <c r="E200" s="74" t="s">
        <v>87</v>
      </c>
      <c r="F200" s="86" t="s">
        <v>243</v>
      </c>
      <c r="G200" s="74" t="s">
        <v>244</v>
      </c>
      <c r="H200" s="87">
        <v>44286</v>
      </c>
      <c r="I200" s="98">
        <v>22</v>
      </c>
      <c r="J200" s="98">
        <v>22</v>
      </c>
      <c r="K200" s="89">
        <f t="shared" si="7"/>
        <v>1</v>
      </c>
      <c r="L200" s="89">
        <v>10688.32</v>
      </c>
      <c r="M200" s="89">
        <v>3271.37</v>
      </c>
      <c r="N200" s="89">
        <v>1352.91</v>
      </c>
      <c r="O200" s="89">
        <f t="shared" si="8"/>
        <v>15312.6</v>
      </c>
    </row>
    <row r="201" spans="1:15">
      <c r="A201" s="74" t="s">
        <v>113</v>
      </c>
      <c r="B201" s="74" t="s">
        <v>245</v>
      </c>
      <c r="C201" s="74" t="s">
        <v>246</v>
      </c>
      <c r="D201" s="74" t="s">
        <v>86</v>
      </c>
      <c r="E201" s="74" t="s">
        <v>87</v>
      </c>
      <c r="F201" s="86" t="s">
        <v>247</v>
      </c>
      <c r="G201" s="74" t="s">
        <v>248</v>
      </c>
      <c r="H201" s="87">
        <v>44286</v>
      </c>
      <c r="I201" s="98">
        <v>22</v>
      </c>
      <c r="J201" s="98">
        <v>22</v>
      </c>
      <c r="K201" s="89">
        <f t="shared" si="7"/>
        <v>1</v>
      </c>
      <c r="L201" s="89">
        <v>9781.84</v>
      </c>
      <c r="M201" s="89">
        <v>3177.35</v>
      </c>
      <c r="N201" s="89">
        <v>1260.27</v>
      </c>
      <c r="O201" s="89">
        <f t="shared" si="8"/>
        <v>14219.46</v>
      </c>
    </row>
    <row r="202" spans="1:15">
      <c r="A202" s="74" t="s">
        <v>113</v>
      </c>
      <c r="B202" s="74" t="s">
        <v>249</v>
      </c>
      <c r="C202" s="74" t="s">
        <v>250</v>
      </c>
      <c r="D202" s="74" t="s">
        <v>86</v>
      </c>
      <c r="E202" s="74" t="s">
        <v>87</v>
      </c>
      <c r="F202" s="86" t="s">
        <v>251</v>
      </c>
      <c r="G202" s="74" t="s">
        <v>252</v>
      </c>
      <c r="H202" s="87">
        <v>44286</v>
      </c>
      <c r="I202" s="98">
        <v>22</v>
      </c>
      <c r="J202" s="98">
        <v>22</v>
      </c>
      <c r="K202" s="89">
        <f t="shared" si="7"/>
        <v>1</v>
      </c>
      <c r="L202" s="89">
        <v>9628.33</v>
      </c>
      <c r="M202" s="89">
        <v>3051.32</v>
      </c>
      <c r="N202" s="89">
        <v>1163.96</v>
      </c>
      <c r="O202" s="89">
        <f t="shared" si="8"/>
        <v>13843.61</v>
      </c>
    </row>
    <row r="203" spans="1:15">
      <c r="A203" s="74" t="s">
        <v>113</v>
      </c>
      <c r="B203" s="74" t="s">
        <v>253</v>
      </c>
      <c r="C203" s="74" t="s">
        <v>254</v>
      </c>
      <c r="D203" s="74" t="s">
        <v>86</v>
      </c>
      <c r="E203" s="74" t="s">
        <v>87</v>
      </c>
      <c r="F203" s="86" t="s">
        <v>255</v>
      </c>
      <c r="G203" s="74" t="s">
        <v>252</v>
      </c>
      <c r="H203" s="87">
        <v>44286</v>
      </c>
      <c r="I203" s="98">
        <v>22</v>
      </c>
      <c r="J203" s="98">
        <v>22</v>
      </c>
      <c r="K203" s="89">
        <f t="shared" si="7"/>
        <v>1</v>
      </c>
      <c r="L203" s="89">
        <v>8710.14</v>
      </c>
      <c r="M203" s="89">
        <v>3050.83</v>
      </c>
      <c r="N203" s="89">
        <v>1032.45</v>
      </c>
      <c r="O203" s="89">
        <f t="shared" si="8"/>
        <v>12793.42</v>
      </c>
    </row>
    <row r="204" spans="1:15">
      <c r="A204" s="74" t="s">
        <v>113</v>
      </c>
      <c r="B204" s="74" t="s">
        <v>256</v>
      </c>
      <c r="C204" s="74" t="s">
        <v>257</v>
      </c>
      <c r="D204" s="74" t="s">
        <v>86</v>
      </c>
      <c r="E204" s="74" t="s">
        <v>87</v>
      </c>
      <c r="F204" s="86" t="s">
        <v>258</v>
      </c>
      <c r="G204" s="74" t="s">
        <v>252</v>
      </c>
      <c r="H204" s="87">
        <v>44286</v>
      </c>
      <c r="I204" s="98">
        <v>22</v>
      </c>
      <c r="J204" s="98">
        <v>22</v>
      </c>
      <c r="K204" s="89">
        <f t="shared" si="7"/>
        <v>1</v>
      </c>
      <c r="L204" s="89">
        <v>7344.75</v>
      </c>
      <c r="M204" s="89">
        <v>3206.21</v>
      </c>
      <c r="N204" s="89">
        <v>911.91</v>
      </c>
      <c r="O204" s="89">
        <f t="shared" si="8"/>
        <v>11462.87</v>
      </c>
    </row>
    <row r="205" spans="1:15">
      <c r="A205" s="74" t="s">
        <v>113</v>
      </c>
      <c r="B205" s="74" t="s">
        <v>259</v>
      </c>
      <c r="C205" s="74" t="s">
        <v>260</v>
      </c>
      <c r="D205" s="74" t="s">
        <v>86</v>
      </c>
      <c r="E205" s="74" t="s">
        <v>87</v>
      </c>
      <c r="F205" s="86" t="s">
        <v>261</v>
      </c>
      <c r="G205" s="74" t="s">
        <v>262</v>
      </c>
      <c r="H205" s="87">
        <v>44286</v>
      </c>
      <c r="I205" s="98">
        <v>22</v>
      </c>
      <c r="J205" s="98">
        <v>22</v>
      </c>
      <c r="K205" s="89">
        <f t="shared" si="7"/>
        <v>1</v>
      </c>
      <c r="L205" s="89">
        <v>6931.11</v>
      </c>
      <c r="M205" s="89">
        <v>3184.39</v>
      </c>
      <c r="N205" s="89">
        <v>857.85</v>
      </c>
      <c r="O205" s="89">
        <f t="shared" si="8"/>
        <v>10973.35</v>
      </c>
    </row>
    <row r="206" spans="1:15">
      <c r="A206" s="74" t="s">
        <v>113</v>
      </c>
      <c r="B206" s="74" t="s">
        <v>263</v>
      </c>
      <c r="C206" s="74" t="s">
        <v>264</v>
      </c>
      <c r="D206" s="74" t="s">
        <v>86</v>
      </c>
      <c r="E206" s="74" t="s">
        <v>88</v>
      </c>
      <c r="F206" s="86" t="s">
        <v>149</v>
      </c>
      <c r="G206" s="74" t="s">
        <v>265</v>
      </c>
      <c r="H206" s="87">
        <v>44286</v>
      </c>
      <c r="I206" s="98">
        <v>22</v>
      </c>
      <c r="J206" s="98">
        <v>22</v>
      </c>
      <c r="K206" s="89">
        <f t="shared" si="7"/>
        <v>1</v>
      </c>
      <c r="L206" s="89">
        <v>14065.29</v>
      </c>
      <c r="M206" s="89">
        <v>3107.94</v>
      </c>
      <c r="N206" s="89">
        <v>1836.53</v>
      </c>
      <c r="O206" s="89">
        <f t="shared" si="8"/>
        <v>19009.76</v>
      </c>
    </row>
    <row r="207" spans="1:15">
      <c r="A207" s="74" t="s">
        <v>113</v>
      </c>
      <c r="B207" s="74" t="s">
        <v>266</v>
      </c>
      <c r="C207" s="74" t="s">
        <v>267</v>
      </c>
      <c r="D207" s="74" t="s">
        <v>86</v>
      </c>
      <c r="E207" s="74" t="s">
        <v>88</v>
      </c>
      <c r="F207" s="86" t="s">
        <v>243</v>
      </c>
      <c r="G207" s="74" t="s">
        <v>268</v>
      </c>
      <c r="H207" s="87">
        <v>44286</v>
      </c>
      <c r="I207" s="98">
        <v>22</v>
      </c>
      <c r="J207" s="98">
        <v>22</v>
      </c>
      <c r="K207" s="89">
        <f t="shared" si="7"/>
        <v>1</v>
      </c>
      <c r="L207" s="89">
        <v>10725.68</v>
      </c>
      <c r="M207" s="89">
        <v>3037.81</v>
      </c>
      <c r="N207" s="89">
        <v>1346.57</v>
      </c>
      <c r="O207" s="89">
        <f t="shared" si="8"/>
        <v>15110.06</v>
      </c>
    </row>
    <row r="208" spans="1:15">
      <c r="A208" s="74" t="s">
        <v>113</v>
      </c>
      <c r="B208" s="74" t="s">
        <v>269</v>
      </c>
      <c r="C208" s="74" t="s">
        <v>270</v>
      </c>
      <c r="D208" s="74" t="s">
        <v>86</v>
      </c>
      <c r="E208" s="74" t="s">
        <v>88</v>
      </c>
      <c r="F208" s="86" t="s">
        <v>247</v>
      </c>
      <c r="G208" s="74" t="s">
        <v>268</v>
      </c>
      <c r="H208" s="87">
        <v>44286</v>
      </c>
      <c r="I208" s="98">
        <v>22</v>
      </c>
      <c r="J208" s="98">
        <v>22</v>
      </c>
      <c r="K208" s="89">
        <f t="shared" si="7"/>
        <v>1</v>
      </c>
      <c r="L208" s="89">
        <v>10204.59</v>
      </c>
      <c r="M208" s="89">
        <v>3131.96</v>
      </c>
      <c r="N208" s="89">
        <v>1229.43</v>
      </c>
      <c r="O208" s="89">
        <f t="shared" si="8"/>
        <v>14565.98</v>
      </c>
    </row>
    <row r="209" spans="1:15">
      <c r="A209" s="74" t="s">
        <v>113</v>
      </c>
      <c r="B209" s="74" t="s">
        <v>271</v>
      </c>
      <c r="C209" s="74" t="s">
        <v>272</v>
      </c>
      <c r="D209" s="74" t="s">
        <v>86</v>
      </c>
      <c r="E209" s="74" t="s">
        <v>88</v>
      </c>
      <c r="F209" s="86" t="s">
        <v>251</v>
      </c>
      <c r="G209" s="74" t="s">
        <v>268</v>
      </c>
      <c r="H209" s="87">
        <v>44286</v>
      </c>
      <c r="I209" s="98">
        <v>22</v>
      </c>
      <c r="J209" s="98">
        <v>22</v>
      </c>
      <c r="K209" s="89">
        <f t="shared" si="7"/>
        <v>1</v>
      </c>
      <c r="L209" s="89">
        <v>9240.25</v>
      </c>
      <c r="M209" s="89">
        <v>3066.91</v>
      </c>
      <c r="N209" s="89">
        <v>1186.9</v>
      </c>
      <c r="O209" s="89">
        <f t="shared" si="8"/>
        <v>13494.06</v>
      </c>
    </row>
    <row r="210" spans="1:15">
      <c r="A210" s="74" t="s">
        <v>113</v>
      </c>
      <c r="B210" s="74" t="s">
        <v>273</v>
      </c>
      <c r="C210" s="74" t="s">
        <v>274</v>
      </c>
      <c r="D210" s="74" t="s">
        <v>86</v>
      </c>
      <c r="E210" s="74" t="s">
        <v>88</v>
      </c>
      <c r="F210" s="86" t="s">
        <v>255</v>
      </c>
      <c r="G210" s="74" t="s">
        <v>268</v>
      </c>
      <c r="H210" s="87">
        <v>44286</v>
      </c>
      <c r="I210" s="98">
        <v>22</v>
      </c>
      <c r="J210" s="98">
        <v>22</v>
      </c>
      <c r="K210" s="89">
        <f t="shared" si="7"/>
        <v>1</v>
      </c>
      <c r="L210" s="89">
        <v>8172.67</v>
      </c>
      <c r="M210" s="89">
        <v>3020.9</v>
      </c>
      <c r="N210" s="89">
        <v>1053.13</v>
      </c>
      <c r="O210" s="89">
        <f t="shared" si="8"/>
        <v>12246.7</v>
      </c>
    </row>
    <row r="211" spans="1:15">
      <c r="A211" s="74" t="s">
        <v>113</v>
      </c>
      <c r="B211" s="74" t="s">
        <v>275</v>
      </c>
      <c r="C211" s="74" t="s">
        <v>276</v>
      </c>
      <c r="D211" s="74" t="s">
        <v>86</v>
      </c>
      <c r="E211" s="74" t="s">
        <v>88</v>
      </c>
      <c r="F211" s="86" t="s">
        <v>258</v>
      </c>
      <c r="G211" s="74" t="s">
        <v>268</v>
      </c>
      <c r="H211" s="87">
        <v>44286</v>
      </c>
      <c r="I211" s="98">
        <v>22</v>
      </c>
      <c r="J211" s="98">
        <v>22</v>
      </c>
      <c r="K211" s="89">
        <f t="shared" si="7"/>
        <v>1</v>
      </c>
      <c r="L211" s="89">
        <v>7855.97</v>
      </c>
      <c r="M211" s="89">
        <v>3203.37</v>
      </c>
      <c r="N211" s="89">
        <v>946.67</v>
      </c>
      <c r="O211" s="89">
        <f t="shared" si="8"/>
        <v>12006.01</v>
      </c>
    </row>
    <row r="212" spans="1:15">
      <c r="A212" s="74" t="s">
        <v>113</v>
      </c>
      <c r="B212" s="74" t="s">
        <v>277</v>
      </c>
      <c r="C212" s="74" t="s">
        <v>278</v>
      </c>
      <c r="D212" s="74" t="s">
        <v>86</v>
      </c>
      <c r="E212" s="74" t="s">
        <v>89</v>
      </c>
      <c r="F212" s="86" t="s">
        <v>279</v>
      </c>
      <c r="G212" s="74" t="s">
        <v>280</v>
      </c>
      <c r="H212" s="87">
        <v>44286</v>
      </c>
      <c r="I212" s="98">
        <v>22</v>
      </c>
      <c r="J212" s="98">
        <v>22</v>
      </c>
      <c r="K212" s="89">
        <f t="shared" si="7"/>
        <v>1</v>
      </c>
      <c r="L212" s="89">
        <v>12639.6</v>
      </c>
      <c r="M212" s="89">
        <v>3004.87</v>
      </c>
      <c r="N212" s="89">
        <v>1617.49</v>
      </c>
      <c r="O212" s="89">
        <f t="shared" si="8"/>
        <v>17261.96</v>
      </c>
    </row>
    <row r="213" spans="1:15">
      <c r="A213" s="74" t="s">
        <v>113</v>
      </c>
      <c r="B213" s="74" t="s">
        <v>281</v>
      </c>
      <c r="C213" s="74" t="s">
        <v>282</v>
      </c>
      <c r="D213" s="74" t="s">
        <v>86</v>
      </c>
      <c r="E213" s="74" t="s">
        <v>89</v>
      </c>
      <c r="F213" s="86" t="s">
        <v>225</v>
      </c>
      <c r="G213" s="74" t="s">
        <v>283</v>
      </c>
      <c r="H213" s="87">
        <v>44286</v>
      </c>
      <c r="I213" s="98">
        <v>22</v>
      </c>
      <c r="J213" s="98">
        <v>22</v>
      </c>
      <c r="K213" s="89">
        <f t="shared" si="7"/>
        <v>1</v>
      </c>
      <c r="L213" s="89">
        <v>8543.07</v>
      </c>
      <c r="M213" s="89">
        <v>3278.83</v>
      </c>
      <c r="N213" s="89">
        <v>1086.49</v>
      </c>
      <c r="O213" s="89">
        <f t="shared" si="8"/>
        <v>12908.39</v>
      </c>
    </row>
    <row r="214" spans="1:15">
      <c r="A214" s="74" t="s">
        <v>113</v>
      </c>
      <c r="B214" s="74" t="s">
        <v>284</v>
      </c>
      <c r="C214" s="74" t="s">
        <v>285</v>
      </c>
      <c r="D214" s="74" t="s">
        <v>86</v>
      </c>
      <c r="E214" s="74" t="s">
        <v>89</v>
      </c>
      <c r="F214" s="86" t="s">
        <v>208</v>
      </c>
      <c r="G214" s="74" t="s">
        <v>283</v>
      </c>
      <c r="H214" s="87">
        <v>44286</v>
      </c>
      <c r="I214" s="98">
        <v>22</v>
      </c>
      <c r="J214" s="98">
        <v>22</v>
      </c>
      <c r="K214" s="89">
        <f t="shared" si="7"/>
        <v>1</v>
      </c>
      <c r="L214" s="89">
        <v>7455.44</v>
      </c>
      <c r="M214" s="89">
        <v>3260.45</v>
      </c>
      <c r="N214" s="89">
        <v>924.02</v>
      </c>
      <c r="O214" s="89">
        <f t="shared" si="8"/>
        <v>11639.91</v>
      </c>
    </row>
    <row r="215" spans="1:15">
      <c r="A215" s="74" t="s">
        <v>113</v>
      </c>
      <c r="B215" s="74" t="s">
        <v>286</v>
      </c>
      <c r="C215" s="74" t="s">
        <v>287</v>
      </c>
      <c r="D215" s="74" t="s">
        <v>82</v>
      </c>
      <c r="E215" s="88" t="s">
        <v>85</v>
      </c>
      <c r="F215" s="86" t="s">
        <v>288</v>
      </c>
      <c r="G215" s="74" t="s">
        <v>289</v>
      </c>
      <c r="H215" s="87">
        <v>44286</v>
      </c>
      <c r="I215" s="98">
        <v>22</v>
      </c>
      <c r="J215" s="98">
        <v>22</v>
      </c>
      <c r="K215" s="89">
        <f t="shared" ref="K215:K223" si="9">I215/J215</f>
        <v>1</v>
      </c>
      <c r="L215" s="89">
        <v>13052.35</v>
      </c>
      <c r="M215" s="89">
        <v>3006.34</v>
      </c>
      <c r="N215" s="89">
        <v>1284.67</v>
      </c>
      <c r="O215" s="89">
        <f t="shared" si="8"/>
        <v>17343.36</v>
      </c>
    </row>
    <row r="216" spans="1:15">
      <c r="A216" s="74" t="s">
        <v>113</v>
      </c>
      <c r="B216" s="74" t="s">
        <v>290</v>
      </c>
      <c r="C216" s="74" t="s">
        <v>291</v>
      </c>
      <c r="D216" s="74" t="s">
        <v>82</v>
      </c>
      <c r="E216" s="88" t="s">
        <v>85</v>
      </c>
      <c r="F216" s="86" t="s">
        <v>218</v>
      </c>
      <c r="G216" s="74" t="s">
        <v>289</v>
      </c>
      <c r="H216" s="87">
        <v>44286</v>
      </c>
      <c r="I216" s="98">
        <v>22</v>
      </c>
      <c r="J216" s="98">
        <v>22</v>
      </c>
      <c r="K216" s="89">
        <f t="shared" si="9"/>
        <v>1</v>
      </c>
      <c r="L216" s="89">
        <v>11866.99</v>
      </c>
      <c r="M216" s="89">
        <v>3037.37</v>
      </c>
      <c r="N216" s="89">
        <v>1186.57</v>
      </c>
      <c r="O216" s="89">
        <f t="shared" si="8"/>
        <v>16090.93</v>
      </c>
    </row>
    <row r="217" spans="1:15">
      <c r="A217" s="74" t="s">
        <v>113</v>
      </c>
      <c r="B217" s="74" t="s">
        <v>292</v>
      </c>
      <c r="C217" s="74" t="s">
        <v>293</v>
      </c>
      <c r="D217" s="74" t="s">
        <v>82</v>
      </c>
      <c r="E217" s="88" t="s">
        <v>85</v>
      </c>
      <c r="F217" s="86" t="s">
        <v>225</v>
      </c>
      <c r="G217" s="74" t="s">
        <v>289</v>
      </c>
      <c r="H217" s="87">
        <v>44286</v>
      </c>
      <c r="I217" s="98">
        <v>22</v>
      </c>
      <c r="J217" s="98">
        <v>22</v>
      </c>
      <c r="K217" s="89">
        <f t="shared" si="9"/>
        <v>1</v>
      </c>
      <c r="L217" s="89">
        <v>10017.63</v>
      </c>
      <c r="M217" s="89">
        <v>3002.62</v>
      </c>
      <c r="N217" s="89">
        <v>1041.54</v>
      </c>
      <c r="O217" s="89">
        <f t="shared" si="8"/>
        <v>14061.79</v>
      </c>
    </row>
    <row r="218" spans="1:15">
      <c r="A218" s="74" t="s">
        <v>113</v>
      </c>
      <c r="B218" s="74" t="s">
        <v>294</v>
      </c>
      <c r="C218" s="74" t="s">
        <v>295</v>
      </c>
      <c r="D218" s="74" t="s">
        <v>82</v>
      </c>
      <c r="E218" s="88" t="s">
        <v>85</v>
      </c>
      <c r="F218" s="86" t="s">
        <v>208</v>
      </c>
      <c r="G218" s="74" t="s">
        <v>289</v>
      </c>
      <c r="H218" s="87">
        <v>44286</v>
      </c>
      <c r="I218" s="98">
        <v>22</v>
      </c>
      <c r="J218" s="98">
        <v>22</v>
      </c>
      <c r="K218" s="89">
        <f t="shared" si="9"/>
        <v>1</v>
      </c>
      <c r="L218" s="89">
        <v>9600.68</v>
      </c>
      <c r="M218" s="89">
        <v>3231.59</v>
      </c>
      <c r="N218" s="89">
        <v>948.05</v>
      </c>
      <c r="O218" s="89">
        <f t="shared" si="8"/>
        <v>13780.32</v>
      </c>
    </row>
    <row r="219" spans="1:15">
      <c r="A219" s="74" t="s">
        <v>113</v>
      </c>
      <c r="B219" s="74" t="s">
        <v>296</v>
      </c>
      <c r="C219" s="74" t="s">
        <v>297</v>
      </c>
      <c r="D219" s="74" t="s">
        <v>82</v>
      </c>
      <c r="E219" s="88" t="s">
        <v>85</v>
      </c>
      <c r="F219" s="86" t="s">
        <v>116</v>
      </c>
      <c r="G219" s="74" t="s">
        <v>289</v>
      </c>
      <c r="H219" s="87">
        <v>44286</v>
      </c>
      <c r="I219" s="98">
        <v>22</v>
      </c>
      <c r="J219" s="98">
        <v>22</v>
      </c>
      <c r="K219" s="89">
        <f t="shared" si="9"/>
        <v>1</v>
      </c>
      <c r="L219" s="89">
        <v>8478.61</v>
      </c>
      <c r="M219" s="89">
        <v>3252.92</v>
      </c>
      <c r="N219" s="89">
        <v>873.11</v>
      </c>
      <c r="O219" s="89">
        <f t="shared" si="8"/>
        <v>12604.64</v>
      </c>
    </row>
    <row r="220" spans="1:15">
      <c r="A220" s="74" t="s">
        <v>113</v>
      </c>
      <c r="B220" s="74" t="s">
        <v>298</v>
      </c>
      <c r="C220" s="74" t="s">
        <v>299</v>
      </c>
      <c r="D220" s="74" t="s">
        <v>82</v>
      </c>
      <c r="E220" s="88" t="s">
        <v>85</v>
      </c>
      <c r="F220" s="86" t="s">
        <v>279</v>
      </c>
      <c r="G220" s="74" t="s">
        <v>300</v>
      </c>
      <c r="H220" s="87">
        <v>44286</v>
      </c>
      <c r="I220" s="98">
        <v>22</v>
      </c>
      <c r="J220" s="98">
        <v>22</v>
      </c>
      <c r="K220" s="89">
        <f t="shared" si="9"/>
        <v>1</v>
      </c>
      <c r="L220" s="89">
        <v>16371.72</v>
      </c>
      <c r="M220" s="89">
        <v>3231.29</v>
      </c>
      <c r="N220" s="89">
        <v>1529.94</v>
      </c>
      <c r="O220" s="89">
        <f t="shared" si="8"/>
        <v>21132.95</v>
      </c>
    </row>
    <row r="221" spans="1:15">
      <c r="A221" s="74" t="s">
        <v>113</v>
      </c>
      <c r="B221" s="74" t="s">
        <v>301</v>
      </c>
      <c r="C221" s="74" t="s">
        <v>302</v>
      </c>
      <c r="D221" s="74" t="s">
        <v>82</v>
      </c>
      <c r="E221" s="88" t="s">
        <v>85</v>
      </c>
      <c r="F221" s="86" t="s">
        <v>279</v>
      </c>
      <c r="G221" s="74" t="s">
        <v>303</v>
      </c>
      <c r="H221" s="87">
        <v>44286</v>
      </c>
      <c r="I221" s="98">
        <v>22</v>
      </c>
      <c r="J221" s="98">
        <v>22</v>
      </c>
      <c r="K221" s="89">
        <f t="shared" si="9"/>
        <v>1</v>
      </c>
      <c r="L221" s="89">
        <v>15825.94</v>
      </c>
      <c r="M221" s="89">
        <v>3063.56</v>
      </c>
      <c r="N221" s="89">
        <v>1629.2</v>
      </c>
      <c r="O221" s="89">
        <f t="shared" si="8"/>
        <v>20518.7</v>
      </c>
    </row>
    <row r="222" spans="1:15">
      <c r="A222" s="74" t="s">
        <v>113</v>
      </c>
      <c r="B222" s="74" t="s">
        <v>304</v>
      </c>
      <c r="C222" s="74" t="s">
        <v>305</v>
      </c>
      <c r="D222" s="74" t="s">
        <v>86</v>
      </c>
      <c r="E222" s="74" t="s">
        <v>90</v>
      </c>
      <c r="F222" s="86" t="s">
        <v>306</v>
      </c>
      <c r="G222" s="74" t="s">
        <v>307</v>
      </c>
      <c r="H222" s="87">
        <v>44286</v>
      </c>
      <c r="I222" s="98">
        <v>22</v>
      </c>
      <c r="J222" s="98">
        <v>22</v>
      </c>
      <c r="K222" s="89">
        <f t="shared" si="9"/>
        <v>1</v>
      </c>
      <c r="L222" s="89">
        <v>16475.55</v>
      </c>
      <c r="M222" s="89">
        <v>3089.3</v>
      </c>
      <c r="N222" s="89">
        <v>2184.16</v>
      </c>
      <c r="O222" s="89">
        <f t="shared" si="8"/>
        <v>21749.01</v>
      </c>
    </row>
    <row r="223" spans="1:15">
      <c r="A223" s="74" t="s">
        <v>113</v>
      </c>
      <c r="B223" s="74" t="s">
        <v>114</v>
      </c>
      <c r="C223" s="74" t="s">
        <v>115</v>
      </c>
      <c r="D223" s="74" t="s">
        <v>79</v>
      </c>
      <c r="E223" s="74" t="s">
        <v>80</v>
      </c>
      <c r="F223" s="86" t="s">
        <v>116</v>
      </c>
      <c r="G223" s="74" t="s">
        <v>117</v>
      </c>
      <c r="H223" s="87">
        <v>44316</v>
      </c>
      <c r="I223" s="98">
        <v>22</v>
      </c>
      <c r="J223" s="98">
        <v>22</v>
      </c>
      <c r="K223" s="89">
        <f t="shared" si="9"/>
        <v>1</v>
      </c>
      <c r="L223" s="89">
        <v>8452.14</v>
      </c>
      <c r="M223" s="89">
        <v>3180.77</v>
      </c>
      <c r="N223" s="89">
        <v>812.32</v>
      </c>
      <c r="O223" s="89">
        <f t="shared" si="8"/>
        <v>12445.23</v>
      </c>
    </row>
    <row r="224" spans="1:15">
      <c r="A224" s="74" t="s">
        <v>113</v>
      </c>
      <c r="B224" s="74" t="s">
        <v>118</v>
      </c>
      <c r="C224" s="74" t="s">
        <v>119</v>
      </c>
      <c r="D224" s="74" t="s">
        <v>79</v>
      </c>
      <c r="E224" s="74" t="s">
        <v>80</v>
      </c>
      <c r="F224" s="86" t="s">
        <v>120</v>
      </c>
      <c r="G224" s="74" t="s">
        <v>117</v>
      </c>
      <c r="H224" s="87">
        <v>44316</v>
      </c>
      <c r="I224" s="98">
        <v>22</v>
      </c>
      <c r="J224" s="98">
        <v>22</v>
      </c>
      <c r="K224" s="89">
        <f t="shared" ref="K224:K287" si="10">I224/J224</f>
        <v>1</v>
      </c>
      <c r="L224" s="89">
        <v>7022.49</v>
      </c>
      <c r="M224" s="89">
        <v>3074.12</v>
      </c>
      <c r="N224" s="89">
        <v>706.9</v>
      </c>
      <c r="O224" s="89">
        <f t="shared" si="8"/>
        <v>10803.51</v>
      </c>
    </row>
    <row r="225" spans="1:15">
      <c r="A225" s="74" t="s">
        <v>113</v>
      </c>
      <c r="B225" s="74" t="s">
        <v>121</v>
      </c>
      <c r="C225" s="74" t="s">
        <v>122</v>
      </c>
      <c r="D225" s="74" t="s">
        <v>79</v>
      </c>
      <c r="E225" s="74" t="s">
        <v>80</v>
      </c>
      <c r="F225" s="86" t="s">
        <v>123</v>
      </c>
      <c r="G225" s="74" t="s">
        <v>117</v>
      </c>
      <c r="H225" s="87">
        <v>44316</v>
      </c>
      <c r="I225" s="98">
        <v>22</v>
      </c>
      <c r="J225" s="98">
        <v>22</v>
      </c>
      <c r="K225" s="89">
        <f t="shared" si="10"/>
        <v>1</v>
      </c>
      <c r="L225" s="89">
        <v>6076.14</v>
      </c>
      <c r="M225" s="89">
        <v>3226.69</v>
      </c>
      <c r="N225" s="89">
        <v>630.69</v>
      </c>
      <c r="O225" s="89">
        <f t="shared" si="8"/>
        <v>9933.52</v>
      </c>
    </row>
    <row r="226" spans="1:15">
      <c r="A226" s="74" t="s">
        <v>113</v>
      </c>
      <c r="B226" s="74" t="s">
        <v>124</v>
      </c>
      <c r="C226" s="74" t="s">
        <v>125</v>
      </c>
      <c r="D226" s="74" t="s">
        <v>79</v>
      </c>
      <c r="E226" s="74" t="s">
        <v>80</v>
      </c>
      <c r="F226" s="86" t="s">
        <v>116</v>
      </c>
      <c r="G226" s="74" t="s">
        <v>117</v>
      </c>
      <c r="H226" s="87">
        <v>44316</v>
      </c>
      <c r="I226" s="98">
        <v>22</v>
      </c>
      <c r="J226" s="98">
        <v>22</v>
      </c>
      <c r="K226" s="89">
        <f t="shared" si="10"/>
        <v>1</v>
      </c>
      <c r="L226" s="89">
        <v>8229.97</v>
      </c>
      <c r="M226" s="89">
        <v>3285.59</v>
      </c>
      <c r="N226" s="89">
        <v>812.64</v>
      </c>
      <c r="O226" s="89">
        <f t="shared" si="8"/>
        <v>12328.2</v>
      </c>
    </row>
    <row r="227" spans="1:15">
      <c r="A227" s="74" t="s">
        <v>113</v>
      </c>
      <c r="B227" s="74" t="s">
        <v>126</v>
      </c>
      <c r="C227" s="74" t="s">
        <v>127</v>
      </c>
      <c r="D227" s="74" t="s">
        <v>79</v>
      </c>
      <c r="E227" s="74" t="s">
        <v>80</v>
      </c>
      <c r="F227" s="86" t="s">
        <v>120</v>
      </c>
      <c r="G227" s="74" t="s">
        <v>117</v>
      </c>
      <c r="H227" s="87">
        <v>44316</v>
      </c>
      <c r="I227" s="98">
        <v>22</v>
      </c>
      <c r="J227" s="98">
        <v>22</v>
      </c>
      <c r="K227" s="89">
        <f t="shared" si="10"/>
        <v>1</v>
      </c>
      <c r="L227" s="89">
        <v>7687.83</v>
      </c>
      <c r="M227" s="89">
        <v>3044.8</v>
      </c>
      <c r="N227" s="89">
        <v>734.78</v>
      </c>
      <c r="O227" s="89">
        <f t="shared" si="8"/>
        <v>11467.41</v>
      </c>
    </row>
    <row r="228" spans="1:15">
      <c r="A228" s="74" t="s">
        <v>113</v>
      </c>
      <c r="B228" s="74" t="s">
        <v>128</v>
      </c>
      <c r="C228" s="74" t="s">
        <v>129</v>
      </c>
      <c r="D228" s="74" t="s">
        <v>79</v>
      </c>
      <c r="E228" s="74" t="s">
        <v>80</v>
      </c>
      <c r="F228" s="86" t="s">
        <v>123</v>
      </c>
      <c r="G228" s="74" t="s">
        <v>117</v>
      </c>
      <c r="H228" s="87">
        <v>44316</v>
      </c>
      <c r="I228" s="98">
        <v>22</v>
      </c>
      <c r="J228" s="98">
        <v>22</v>
      </c>
      <c r="K228" s="89">
        <f t="shared" si="10"/>
        <v>1</v>
      </c>
      <c r="L228" s="89">
        <v>6249.62</v>
      </c>
      <c r="M228" s="89">
        <v>3270.82</v>
      </c>
      <c r="N228" s="89">
        <v>653.52</v>
      </c>
      <c r="O228" s="89">
        <f t="shared" si="8"/>
        <v>10173.96</v>
      </c>
    </row>
    <row r="229" spans="1:15">
      <c r="A229" s="74" t="s">
        <v>113</v>
      </c>
      <c r="B229" s="74" t="s">
        <v>130</v>
      </c>
      <c r="C229" s="74" t="s">
        <v>131</v>
      </c>
      <c r="D229" s="74" t="s">
        <v>79</v>
      </c>
      <c r="E229" s="74" t="s">
        <v>80</v>
      </c>
      <c r="F229" s="86" t="s">
        <v>116</v>
      </c>
      <c r="G229" s="74" t="s">
        <v>117</v>
      </c>
      <c r="H229" s="87">
        <v>44316</v>
      </c>
      <c r="I229" s="98">
        <v>22</v>
      </c>
      <c r="J229" s="98">
        <v>22</v>
      </c>
      <c r="K229" s="89">
        <f t="shared" si="10"/>
        <v>1</v>
      </c>
      <c r="L229" s="89">
        <v>8653.92</v>
      </c>
      <c r="M229" s="89">
        <v>3013.77</v>
      </c>
      <c r="N229" s="89">
        <v>809.85</v>
      </c>
      <c r="O229" s="89">
        <f t="shared" si="8"/>
        <v>12477.54</v>
      </c>
    </row>
    <row r="230" spans="1:15">
      <c r="A230" s="74" t="s">
        <v>113</v>
      </c>
      <c r="B230" s="74" t="s">
        <v>132</v>
      </c>
      <c r="C230" s="74" t="s">
        <v>133</v>
      </c>
      <c r="D230" s="74" t="s">
        <v>79</v>
      </c>
      <c r="E230" s="74" t="s">
        <v>80</v>
      </c>
      <c r="F230" s="86" t="s">
        <v>120</v>
      </c>
      <c r="G230" s="74" t="s">
        <v>117</v>
      </c>
      <c r="H230" s="87">
        <v>44316</v>
      </c>
      <c r="I230" s="98">
        <v>22</v>
      </c>
      <c r="J230" s="98">
        <v>22</v>
      </c>
      <c r="K230" s="89">
        <f t="shared" si="10"/>
        <v>1</v>
      </c>
      <c r="L230" s="89">
        <v>7527.58</v>
      </c>
      <c r="M230" s="89">
        <v>3157.59</v>
      </c>
      <c r="N230" s="89">
        <v>750.93</v>
      </c>
      <c r="O230" s="89">
        <f t="shared" si="8"/>
        <v>11436.1</v>
      </c>
    </row>
    <row r="231" spans="1:15">
      <c r="A231" s="74" t="s">
        <v>113</v>
      </c>
      <c r="B231" s="74" t="s">
        <v>134</v>
      </c>
      <c r="C231" s="74" t="s">
        <v>135</v>
      </c>
      <c r="D231" s="74" t="s">
        <v>79</v>
      </c>
      <c r="E231" s="74" t="s">
        <v>80</v>
      </c>
      <c r="F231" s="86" t="s">
        <v>123</v>
      </c>
      <c r="G231" s="74" t="s">
        <v>117</v>
      </c>
      <c r="H231" s="87">
        <v>44316</v>
      </c>
      <c r="I231" s="98">
        <v>22</v>
      </c>
      <c r="J231" s="98">
        <v>22</v>
      </c>
      <c r="K231" s="89">
        <f t="shared" si="10"/>
        <v>1</v>
      </c>
      <c r="L231" s="89">
        <v>6143.47</v>
      </c>
      <c r="M231" s="89">
        <v>3137.98</v>
      </c>
      <c r="N231" s="89">
        <v>633.07</v>
      </c>
      <c r="O231" s="89">
        <f t="shared" si="8"/>
        <v>9914.52</v>
      </c>
    </row>
    <row r="232" spans="1:15">
      <c r="A232" s="74" t="s">
        <v>113</v>
      </c>
      <c r="B232" s="74" t="s">
        <v>136</v>
      </c>
      <c r="C232" s="74" t="s">
        <v>137</v>
      </c>
      <c r="D232" s="74" t="s">
        <v>79</v>
      </c>
      <c r="E232" s="74" t="s">
        <v>80</v>
      </c>
      <c r="F232" s="86" t="s">
        <v>116</v>
      </c>
      <c r="G232" s="74" t="s">
        <v>138</v>
      </c>
      <c r="H232" s="87">
        <v>44316</v>
      </c>
      <c r="I232" s="98">
        <v>22</v>
      </c>
      <c r="J232" s="98">
        <v>22</v>
      </c>
      <c r="K232" s="89">
        <f t="shared" si="10"/>
        <v>1</v>
      </c>
      <c r="L232" s="89">
        <v>8076.64</v>
      </c>
      <c r="M232" s="89">
        <v>3137.79</v>
      </c>
      <c r="N232" s="89">
        <v>813.17</v>
      </c>
      <c r="O232" s="89">
        <f t="shared" si="8"/>
        <v>12027.6</v>
      </c>
    </row>
    <row r="233" spans="1:15">
      <c r="A233" s="74" t="s">
        <v>113</v>
      </c>
      <c r="B233" s="74" t="s">
        <v>139</v>
      </c>
      <c r="C233" s="74" t="s">
        <v>140</v>
      </c>
      <c r="D233" s="74" t="s">
        <v>79</v>
      </c>
      <c r="E233" s="74" t="s">
        <v>80</v>
      </c>
      <c r="F233" s="86" t="s">
        <v>120</v>
      </c>
      <c r="G233" s="74" t="s">
        <v>138</v>
      </c>
      <c r="H233" s="87">
        <v>44316</v>
      </c>
      <c r="I233" s="98">
        <v>22</v>
      </c>
      <c r="J233" s="98">
        <v>22</v>
      </c>
      <c r="K233" s="89">
        <f t="shared" si="10"/>
        <v>1</v>
      </c>
      <c r="L233" s="89">
        <v>7058.49</v>
      </c>
      <c r="M233" s="89">
        <v>3134.86</v>
      </c>
      <c r="N233" s="89">
        <v>730.22</v>
      </c>
      <c r="O233" s="89">
        <f t="shared" si="8"/>
        <v>10923.57</v>
      </c>
    </row>
    <row r="234" spans="1:15">
      <c r="A234" s="74" t="s">
        <v>113</v>
      </c>
      <c r="B234" s="74" t="s">
        <v>141</v>
      </c>
      <c r="C234" s="74" t="s">
        <v>142</v>
      </c>
      <c r="D234" s="74" t="s">
        <v>79</v>
      </c>
      <c r="E234" s="74" t="s">
        <v>80</v>
      </c>
      <c r="F234" s="86" t="s">
        <v>123</v>
      </c>
      <c r="G234" s="74" t="s">
        <v>138</v>
      </c>
      <c r="H234" s="87">
        <v>44316</v>
      </c>
      <c r="I234" s="98">
        <v>22</v>
      </c>
      <c r="J234" s="98">
        <v>22</v>
      </c>
      <c r="K234" s="89">
        <f t="shared" si="10"/>
        <v>1</v>
      </c>
      <c r="L234" s="89">
        <v>6383.52</v>
      </c>
      <c r="M234" s="89">
        <v>3071.4</v>
      </c>
      <c r="N234" s="89">
        <v>650.18</v>
      </c>
      <c r="O234" s="89">
        <f t="shared" si="8"/>
        <v>10105.1</v>
      </c>
    </row>
    <row r="235" spans="1:15">
      <c r="A235" s="74" t="s">
        <v>113</v>
      </c>
      <c r="B235" s="74" t="s">
        <v>143</v>
      </c>
      <c r="C235" s="74" t="s">
        <v>144</v>
      </c>
      <c r="D235" s="74" t="s">
        <v>79</v>
      </c>
      <c r="E235" s="74" t="s">
        <v>80</v>
      </c>
      <c r="F235" s="86" t="s">
        <v>145</v>
      </c>
      <c r="G235" s="74" t="s">
        <v>146</v>
      </c>
      <c r="H235" s="87">
        <v>44316</v>
      </c>
      <c r="I235" s="98">
        <v>22</v>
      </c>
      <c r="J235" s="98">
        <v>22</v>
      </c>
      <c r="K235" s="89">
        <f t="shared" si="10"/>
        <v>1</v>
      </c>
      <c r="L235" s="89">
        <v>19720.48</v>
      </c>
      <c r="M235" s="89">
        <v>3294.95</v>
      </c>
      <c r="N235" s="89">
        <v>2067.08</v>
      </c>
      <c r="O235" s="89">
        <f t="shared" si="8"/>
        <v>25082.51</v>
      </c>
    </row>
    <row r="236" spans="1:15">
      <c r="A236" s="74" t="s">
        <v>113</v>
      </c>
      <c r="B236" s="74" t="s">
        <v>147</v>
      </c>
      <c r="C236" s="74" t="s">
        <v>148</v>
      </c>
      <c r="D236" s="74" t="s">
        <v>79</v>
      </c>
      <c r="E236" s="74" t="s">
        <v>80</v>
      </c>
      <c r="F236" s="86" t="s">
        <v>149</v>
      </c>
      <c r="G236" s="74" t="s">
        <v>150</v>
      </c>
      <c r="H236" s="87">
        <v>44316</v>
      </c>
      <c r="I236" s="98">
        <v>22</v>
      </c>
      <c r="J236" s="98">
        <v>22</v>
      </c>
      <c r="K236" s="89">
        <f t="shared" si="10"/>
        <v>1</v>
      </c>
      <c r="L236" s="89">
        <v>18514.23</v>
      </c>
      <c r="M236" s="89">
        <v>3063.71</v>
      </c>
      <c r="N236" s="89">
        <v>1783.53</v>
      </c>
      <c r="O236" s="89">
        <f t="shared" si="8"/>
        <v>23361.47</v>
      </c>
    </row>
    <row r="237" spans="1:15">
      <c r="A237" s="74" t="s">
        <v>113</v>
      </c>
      <c r="B237" s="74" t="s">
        <v>151</v>
      </c>
      <c r="C237" s="74" t="s">
        <v>152</v>
      </c>
      <c r="D237" s="74" t="s">
        <v>79</v>
      </c>
      <c r="E237" s="74" t="s">
        <v>81</v>
      </c>
      <c r="F237" s="86" t="s">
        <v>123</v>
      </c>
      <c r="G237" s="74" t="s">
        <v>153</v>
      </c>
      <c r="H237" s="87">
        <v>44316</v>
      </c>
      <c r="I237" s="98">
        <v>22</v>
      </c>
      <c r="J237" s="98">
        <v>22</v>
      </c>
      <c r="K237" s="89">
        <f t="shared" si="10"/>
        <v>1</v>
      </c>
      <c r="L237" s="89">
        <v>6344.76</v>
      </c>
      <c r="M237" s="89">
        <v>3129.21</v>
      </c>
      <c r="N237" s="89">
        <v>616.45</v>
      </c>
      <c r="O237" s="89">
        <f t="shared" si="8"/>
        <v>10090.42</v>
      </c>
    </row>
    <row r="238" spans="1:15">
      <c r="A238" s="74" t="s">
        <v>113</v>
      </c>
      <c r="B238" s="74" t="s">
        <v>154</v>
      </c>
      <c r="C238" s="74" t="s">
        <v>155</v>
      </c>
      <c r="D238" s="74" t="s">
        <v>79</v>
      </c>
      <c r="E238" s="74" t="s">
        <v>81</v>
      </c>
      <c r="F238" s="86" t="s">
        <v>156</v>
      </c>
      <c r="G238" s="74" t="s">
        <v>157</v>
      </c>
      <c r="H238" s="87">
        <v>44316</v>
      </c>
      <c r="I238" s="98">
        <v>22</v>
      </c>
      <c r="J238" s="98">
        <v>22</v>
      </c>
      <c r="K238" s="89">
        <f t="shared" si="10"/>
        <v>1</v>
      </c>
      <c r="L238" s="89">
        <v>5300.85</v>
      </c>
      <c r="M238" s="89">
        <v>3132.84</v>
      </c>
      <c r="N238" s="89">
        <v>527.44</v>
      </c>
      <c r="O238" s="89">
        <f t="shared" si="8"/>
        <v>8961.13</v>
      </c>
    </row>
    <row r="239" spans="1:15">
      <c r="A239" s="74" t="s">
        <v>113</v>
      </c>
      <c r="B239" s="74" t="s">
        <v>158</v>
      </c>
      <c r="C239" s="74" t="s">
        <v>159</v>
      </c>
      <c r="D239" s="74" t="s">
        <v>79</v>
      </c>
      <c r="E239" s="74" t="s">
        <v>81</v>
      </c>
      <c r="F239" s="86" t="s">
        <v>160</v>
      </c>
      <c r="G239" s="74" t="s">
        <v>161</v>
      </c>
      <c r="H239" s="87">
        <v>44316</v>
      </c>
      <c r="I239" s="98">
        <v>22</v>
      </c>
      <c r="J239" s="98">
        <v>22</v>
      </c>
      <c r="K239" s="89">
        <f t="shared" si="10"/>
        <v>1</v>
      </c>
      <c r="L239" s="89">
        <v>4125.89</v>
      </c>
      <c r="M239" s="89">
        <v>3178.08</v>
      </c>
      <c r="N239" s="89">
        <v>439.84</v>
      </c>
      <c r="O239" s="89">
        <f t="shared" si="8"/>
        <v>7743.81</v>
      </c>
    </row>
    <row r="240" spans="1:15">
      <c r="A240" s="74" t="s">
        <v>113</v>
      </c>
      <c r="B240" s="74" t="s">
        <v>162</v>
      </c>
      <c r="C240" s="74" t="s">
        <v>163</v>
      </c>
      <c r="D240" s="74" t="s">
        <v>79</v>
      </c>
      <c r="E240" s="74" t="s">
        <v>81</v>
      </c>
      <c r="F240" s="86" t="s">
        <v>123</v>
      </c>
      <c r="G240" s="74" t="s">
        <v>153</v>
      </c>
      <c r="H240" s="87">
        <v>44316</v>
      </c>
      <c r="I240" s="98">
        <v>22</v>
      </c>
      <c r="J240" s="98">
        <v>22</v>
      </c>
      <c r="K240" s="89">
        <f t="shared" si="10"/>
        <v>1</v>
      </c>
      <c r="L240" s="89">
        <v>6139.48</v>
      </c>
      <c r="M240" s="89">
        <v>3059</v>
      </c>
      <c r="N240" s="89">
        <v>603.68</v>
      </c>
      <c r="O240" s="89">
        <f t="shared" si="8"/>
        <v>9802.16</v>
      </c>
    </row>
    <row r="241" spans="1:15">
      <c r="A241" s="74" t="s">
        <v>113</v>
      </c>
      <c r="B241" s="74" t="s">
        <v>164</v>
      </c>
      <c r="C241" s="74" t="s">
        <v>165</v>
      </c>
      <c r="D241" s="74" t="s">
        <v>79</v>
      </c>
      <c r="E241" s="74" t="s">
        <v>81</v>
      </c>
      <c r="F241" s="86" t="s">
        <v>156</v>
      </c>
      <c r="G241" s="74" t="s">
        <v>157</v>
      </c>
      <c r="H241" s="87">
        <v>44316</v>
      </c>
      <c r="I241" s="98">
        <v>22</v>
      </c>
      <c r="J241" s="98">
        <v>22</v>
      </c>
      <c r="K241" s="89">
        <f t="shared" si="10"/>
        <v>1</v>
      </c>
      <c r="L241" s="89">
        <v>5001.58</v>
      </c>
      <c r="M241" s="89">
        <v>3033.32</v>
      </c>
      <c r="N241" s="89">
        <v>510.86</v>
      </c>
      <c r="O241" s="89">
        <f t="shared" si="8"/>
        <v>8545.76</v>
      </c>
    </row>
    <row r="242" spans="1:15">
      <c r="A242" s="74" t="s">
        <v>113</v>
      </c>
      <c r="B242" s="74" t="s">
        <v>166</v>
      </c>
      <c r="C242" s="74" t="s">
        <v>167</v>
      </c>
      <c r="D242" s="74" t="s">
        <v>79</v>
      </c>
      <c r="E242" s="74" t="s">
        <v>81</v>
      </c>
      <c r="F242" s="86" t="s">
        <v>160</v>
      </c>
      <c r="G242" s="74" t="s">
        <v>161</v>
      </c>
      <c r="H242" s="87">
        <v>44316</v>
      </c>
      <c r="I242" s="98">
        <v>22</v>
      </c>
      <c r="J242" s="98">
        <v>22</v>
      </c>
      <c r="K242" s="89">
        <f t="shared" si="10"/>
        <v>1</v>
      </c>
      <c r="L242" s="89">
        <v>4181.15</v>
      </c>
      <c r="M242" s="89">
        <v>3117.75</v>
      </c>
      <c r="N242" s="89">
        <v>431.97</v>
      </c>
      <c r="O242" s="89">
        <f t="shared" si="8"/>
        <v>7730.87</v>
      </c>
    </row>
    <row r="243" spans="1:15">
      <c r="A243" s="74" t="s">
        <v>113</v>
      </c>
      <c r="B243" s="74" t="s">
        <v>168</v>
      </c>
      <c r="C243" s="74" t="s">
        <v>169</v>
      </c>
      <c r="D243" s="74" t="s">
        <v>79</v>
      </c>
      <c r="E243" s="74" t="s">
        <v>81</v>
      </c>
      <c r="F243" s="86" t="s">
        <v>123</v>
      </c>
      <c r="G243" s="74" t="s">
        <v>153</v>
      </c>
      <c r="H243" s="87">
        <v>44316</v>
      </c>
      <c r="I243" s="98">
        <v>22</v>
      </c>
      <c r="J243" s="98">
        <v>22</v>
      </c>
      <c r="K243" s="89">
        <f t="shared" si="10"/>
        <v>1</v>
      </c>
      <c r="L243" s="89">
        <v>6452.04</v>
      </c>
      <c r="M243" s="89">
        <v>3055.7</v>
      </c>
      <c r="N243" s="89">
        <v>626.69</v>
      </c>
      <c r="O243" s="89">
        <f t="shared" si="8"/>
        <v>10134.43</v>
      </c>
    </row>
    <row r="244" spans="1:15">
      <c r="A244" s="74" t="s">
        <v>113</v>
      </c>
      <c r="B244" s="74" t="s">
        <v>170</v>
      </c>
      <c r="C244" s="74" t="s">
        <v>171</v>
      </c>
      <c r="D244" s="74" t="s">
        <v>79</v>
      </c>
      <c r="E244" s="74" t="s">
        <v>81</v>
      </c>
      <c r="F244" s="86" t="s">
        <v>156</v>
      </c>
      <c r="G244" s="74" t="s">
        <v>157</v>
      </c>
      <c r="H244" s="87">
        <v>44316</v>
      </c>
      <c r="I244" s="98">
        <v>22</v>
      </c>
      <c r="J244" s="98">
        <v>22</v>
      </c>
      <c r="K244" s="89">
        <f t="shared" si="10"/>
        <v>1</v>
      </c>
      <c r="L244" s="89">
        <v>5308.33</v>
      </c>
      <c r="M244" s="89">
        <v>3133.49</v>
      </c>
      <c r="N244" s="89">
        <v>510.64</v>
      </c>
      <c r="O244" s="89">
        <f t="shared" si="8"/>
        <v>8952.46</v>
      </c>
    </row>
    <row r="245" spans="1:15">
      <c r="A245" s="74" t="s">
        <v>113</v>
      </c>
      <c r="B245" s="74" t="s">
        <v>172</v>
      </c>
      <c r="C245" s="74" t="s">
        <v>173</v>
      </c>
      <c r="D245" s="74" t="s">
        <v>79</v>
      </c>
      <c r="E245" s="74" t="s">
        <v>81</v>
      </c>
      <c r="F245" s="86" t="s">
        <v>160</v>
      </c>
      <c r="G245" s="74" t="s">
        <v>161</v>
      </c>
      <c r="H245" s="87">
        <v>44316</v>
      </c>
      <c r="I245" s="98">
        <v>22</v>
      </c>
      <c r="J245" s="98">
        <v>22</v>
      </c>
      <c r="K245" s="89">
        <f t="shared" si="10"/>
        <v>1</v>
      </c>
      <c r="L245" s="89">
        <v>4340.75</v>
      </c>
      <c r="M245" s="89">
        <v>3202.99</v>
      </c>
      <c r="N245" s="89">
        <v>432.63</v>
      </c>
      <c r="O245" s="89">
        <f t="shared" si="8"/>
        <v>7976.37</v>
      </c>
    </row>
    <row r="246" spans="1:15">
      <c r="A246" s="74" t="s">
        <v>113</v>
      </c>
      <c r="B246" s="74" t="s">
        <v>174</v>
      </c>
      <c r="C246" s="74" t="s">
        <v>175</v>
      </c>
      <c r="D246" s="74" t="s">
        <v>79</v>
      </c>
      <c r="E246" s="74" t="s">
        <v>81</v>
      </c>
      <c r="F246" s="86" t="s">
        <v>176</v>
      </c>
      <c r="G246" s="74" t="s">
        <v>177</v>
      </c>
      <c r="H246" s="87">
        <v>44316</v>
      </c>
      <c r="I246" s="98">
        <v>22</v>
      </c>
      <c r="J246" s="98">
        <v>22</v>
      </c>
      <c r="K246" s="89">
        <f t="shared" si="10"/>
        <v>1</v>
      </c>
      <c r="L246" s="89">
        <v>3180.47</v>
      </c>
      <c r="M246" s="89">
        <v>3229.65</v>
      </c>
      <c r="N246" s="89">
        <v>327.34</v>
      </c>
      <c r="O246" s="89">
        <f t="shared" si="8"/>
        <v>6737.46</v>
      </c>
    </row>
    <row r="247" spans="1:15">
      <c r="A247" s="74" t="s">
        <v>113</v>
      </c>
      <c r="B247" s="74" t="s">
        <v>178</v>
      </c>
      <c r="C247" s="74" t="s">
        <v>179</v>
      </c>
      <c r="D247" s="74" t="s">
        <v>79</v>
      </c>
      <c r="E247" s="74" t="s">
        <v>81</v>
      </c>
      <c r="F247" s="86" t="s">
        <v>180</v>
      </c>
      <c r="G247" s="74" t="s">
        <v>177</v>
      </c>
      <c r="H247" s="87">
        <v>44316</v>
      </c>
      <c r="I247" s="98">
        <v>22</v>
      </c>
      <c r="J247" s="98">
        <v>22</v>
      </c>
      <c r="K247" s="89">
        <f t="shared" si="10"/>
        <v>1</v>
      </c>
      <c r="L247" s="89">
        <v>2071.86</v>
      </c>
      <c r="M247" s="89">
        <v>3000.14</v>
      </c>
      <c r="N247" s="89">
        <v>214.28</v>
      </c>
      <c r="O247" s="89">
        <f t="shared" si="8"/>
        <v>5286.28</v>
      </c>
    </row>
    <row r="248" spans="1:15">
      <c r="A248" s="74" t="s">
        <v>113</v>
      </c>
      <c r="B248" s="74" t="s">
        <v>181</v>
      </c>
      <c r="C248" s="74" t="s">
        <v>182</v>
      </c>
      <c r="D248" s="74" t="s">
        <v>79</v>
      </c>
      <c r="E248" s="74" t="s">
        <v>81</v>
      </c>
      <c r="F248" s="86" t="s">
        <v>183</v>
      </c>
      <c r="G248" s="74" t="s">
        <v>177</v>
      </c>
      <c r="H248" s="87">
        <v>44316</v>
      </c>
      <c r="I248" s="98">
        <v>22</v>
      </c>
      <c r="J248" s="98">
        <v>22</v>
      </c>
      <c r="K248" s="89">
        <f t="shared" si="10"/>
        <v>1</v>
      </c>
      <c r="L248" s="89">
        <v>1071.81</v>
      </c>
      <c r="M248" s="89">
        <v>3101.97</v>
      </c>
      <c r="N248" s="89">
        <v>104.58</v>
      </c>
      <c r="O248" s="89">
        <f t="shared" si="8"/>
        <v>4278.36</v>
      </c>
    </row>
    <row r="249" spans="1:15">
      <c r="A249" s="74" t="s">
        <v>113</v>
      </c>
      <c r="B249" s="74" t="s">
        <v>184</v>
      </c>
      <c r="C249" s="74" t="s">
        <v>185</v>
      </c>
      <c r="D249" s="74" t="s">
        <v>79</v>
      </c>
      <c r="E249" s="74" t="s">
        <v>81</v>
      </c>
      <c r="F249" s="86" t="s">
        <v>176</v>
      </c>
      <c r="G249" s="74" t="s">
        <v>177</v>
      </c>
      <c r="H249" s="87">
        <v>44316</v>
      </c>
      <c r="I249" s="98">
        <v>22</v>
      </c>
      <c r="J249" s="98">
        <v>22</v>
      </c>
      <c r="K249" s="89">
        <f t="shared" si="10"/>
        <v>1</v>
      </c>
      <c r="L249" s="89">
        <v>3246.4</v>
      </c>
      <c r="M249" s="89">
        <v>3293.88</v>
      </c>
      <c r="N249" s="89">
        <v>322.08</v>
      </c>
      <c r="O249" s="89">
        <f t="shared" si="8"/>
        <v>6862.36</v>
      </c>
    </row>
    <row r="250" spans="1:15">
      <c r="A250" s="74" t="s">
        <v>113</v>
      </c>
      <c r="B250" s="74" t="s">
        <v>186</v>
      </c>
      <c r="C250" s="74" t="s">
        <v>187</v>
      </c>
      <c r="D250" s="74" t="s">
        <v>79</v>
      </c>
      <c r="E250" s="74" t="s">
        <v>81</v>
      </c>
      <c r="F250" s="86" t="s">
        <v>180</v>
      </c>
      <c r="G250" s="74" t="s">
        <v>177</v>
      </c>
      <c r="H250" s="87">
        <v>44316</v>
      </c>
      <c r="I250" s="98">
        <v>22</v>
      </c>
      <c r="J250" s="98">
        <v>22</v>
      </c>
      <c r="K250" s="89">
        <f t="shared" si="10"/>
        <v>1</v>
      </c>
      <c r="L250" s="89">
        <v>2004.93</v>
      </c>
      <c r="M250" s="89">
        <v>3114.97</v>
      </c>
      <c r="N250" s="89">
        <v>214.94</v>
      </c>
      <c r="O250" s="89">
        <f t="shared" si="8"/>
        <v>5334.84</v>
      </c>
    </row>
    <row r="251" spans="1:15">
      <c r="A251" s="74" t="s">
        <v>113</v>
      </c>
      <c r="B251" s="74" t="s">
        <v>188</v>
      </c>
      <c r="C251" s="74" t="s">
        <v>189</v>
      </c>
      <c r="D251" s="74" t="s">
        <v>79</v>
      </c>
      <c r="E251" s="74" t="s">
        <v>81</v>
      </c>
      <c r="F251" s="86" t="s">
        <v>183</v>
      </c>
      <c r="G251" s="74" t="s">
        <v>177</v>
      </c>
      <c r="H251" s="87">
        <v>44316</v>
      </c>
      <c r="I251" s="98">
        <v>22</v>
      </c>
      <c r="J251" s="98">
        <v>22</v>
      </c>
      <c r="K251" s="89">
        <f t="shared" si="10"/>
        <v>1</v>
      </c>
      <c r="L251" s="89">
        <v>1005.5</v>
      </c>
      <c r="M251" s="89">
        <v>3153.68</v>
      </c>
      <c r="N251" s="89">
        <v>109.96</v>
      </c>
      <c r="O251" s="89">
        <f t="shared" si="8"/>
        <v>4269.14</v>
      </c>
    </row>
    <row r="252" spans="1:15">
      <c r="A252" s="74" t="s">
        <v>113</v>
      </c>
      <c r="B252" s="74" t="s">
        <v>190</v>
      </c>
      <c r="C252" s="74" t="s">
        <v>191</v>
      </c>
      <c r="D252" s="74" t="s">
        <v>79</v>
      </c>
      <c r="E252" s="74" t="s">
        <v>81</v>
      </c>
      <c r="F252" s="86" t="s">
        <v>176</v>
      </c>
      <c r="G252" s="74" t="s">
        <v>177</v>
      </c>
      <c r="H252" s="87">
        <v>44316</v>
      </c>
      <c r="I252" s="98">
        <v>22</v>
      </c>
      <c r="J252" s="98">
        <v>22</v>
      </c>
      <c r="K252" s="89">
        <f t="shared" si="10"/>
        <v>1</v>
      </c>
      <c r="L252" s="89">
        <v>3097.34</v>
      </c>
      <c r="M252" s="89">
        <v>3014.01</v>
      </c>
      <c r="N252" s="89">
        <v>305.39</v>
      </c>
      <c r="O252" s="89">
        <f t="shared" si="8"/>
        <v>6416.74</v>
      </c>
    </row>
    <row r="253" spans="1:15">
      <c r="A253" s="74" t="s">
        <v>113</v>
      </c>
      <c r="B253" s="74" t="s">
        <v>192</v>
      </c>
      <c r="C253" s="74" t="s">
        <v>193</v>
      </c>
      <c r="D253" s="74" t="s">
        <v>79</v>
      </c>
      <c r="E253" s="74" t="s">
        <v>81</v>
      </c>
      <c r="F253" s="86" t="s">
        <v>180</v>
      </c>
      <c r="G253" s="74" t="s">
        <v>177</v>
      </c>
      <c r="H253" s="87">
        <v>44316</v>
      </c>
      <c r="I253" s="98">
        <v>22</v>
      </c>
      <c r="J253" s="98">
        <v>22</v>
      </c>
      <c r="K253" s="89">
        <f t="shared" si="10"/>
        <v>1</v>
      </c>
      <c r="L253" s="89">
        <v>2109.83</v>
      </c>
      <c r="M253" s="89">
        <v>3177.21</v>
      </c>
      <c r="N253" s="89">
        <v>212.63</v>
      </c>
      <c r="O253" s="89">
        <f t="shared" si="8"/>
        <v>5499.67</v>
      </c>
    </row>
    <row r="254" spans="1:15">
      <c r="A254" s="74" t="s">
        <v>113</v>
      </c>
      <c r="B254" s="74" t="s">
        <v>194</v>
      </c>
      <c r="C254" s="74" t="s">
        <v>195</v>
      </c>
      <c r="D254" s="74" t="s">
        <v>79</v>
      </c>
      <c r="E254" s="74" t="s">
        <v>81</v>
      </c>
      <c r="F254" s="86" t="s">
        <v>183</v>
      </c>
      <c r="G254" s="74" t="s">
        <v>177</v>
      </c>
      <c r="H254" s="87">
        <v>44316</v>
      </c>
      <c r="I254" s="98">
        <v>22</v>
      </c>
      <c r="J254" s="98">
        <v>22</v>
      </c>
      <c r="K254" s="89">
        <f t="shared" si="10"/>
        <v>1</v>
      </c>
      <c r="L254" s="89">
        <v>1075.54</v>
      </c>
      <c r="M254" s="89">
        <v>3180.67</v>
      </c>
      <c r="N254" s="89">
        <v>108.93</v>
      </c>
      <c r="O254" s="89">
        <f t="shared" si="8"/>
        <v>4365.14</v>
      </c>
    </row>
    <row r="255" spans="1:15">
      <c r="A255" s="74" t="s">
        <v>113</v>
      </c>
      <c r="B255" s="74" t="s">
        <v>196</v>
      </c>
      <c r="C255" s="74" t="s">
        <v>197</v>
      </c>
      <c r="D255" s="74" t="s">
        <v>79</v>
      </c>
      <c r="E255" s="74" t="s">
        <v>81</v>
      </c>
      <c r="F255" s="86" t="s">
        <v>176</v>
      </c>
      <c r="G255" s="74" t="s">
        <v>177</v>
      </c>
      <c r="H255" s="87">
        <v>44316</v>
      </c>
      <c r="I255" s="98">
        <v>22</v>
      </c>
      <c r="J255" s="98">
        <v>22</v>
      </c>
      <c r="K255" s="89">
        <f t="shared" si="10"/>
        <v>1</v>
      </c>
      <c r="L255" s="89">
        <v>3145.89</v>
      </c>
      <c r="M255" s="89">
        <v>3137.34</v>
      </c>
      <c r="N255" s="89">
        <v>318.18</v>
      </c>
      <c r="O255" s="89">
        <f t="shared" si="8"/>
        <v>6601.41</v>
      </c>
    </row>
    <row r="256" spans="1:15">
      <c r="A256" s="74" t="s">
        <v>113</v>
      </c>
      <c r="B256" s="74" t="s">
        <v>198</v>
      </c>
      <c r="C256" s="74" t="s">
        <v>199</v>
      </c>
      <c r="D256" s="74" t="s">
        <v>79</v>
      </c>
      <c r="E256" s="74" t="s">
        <v>81</v>
      </c>
      <c r="F256" s="86" t="s">
        <v>180</v>
      </c>
      <c r="G256" s="74" t="s">
        <v>177</v>
      </c>
      <c r="H256" s="87">
        <v>44316</v>
      </c>
      <c r="I256" s="98">
        <v>22</v>
      </c>
      <c r="J256" s="98">
        <v>22</v>
      </c>
      <c r="K256" s="89">
        <f t="shared" si="10"/>
        <v>1</v>
      </c>
      <c r="L256" s="89">
        <v>2001.09</v>
      </c>
      <c r="M256" s="89">
        <v>3001.34</v>
      </c>
      <c r="N256" s="89">
        <v>200.26</v>
      </c>
      <c r="O256" s="89">
        <f t="shared" si="8"/>
        <v>5202.69</v>
      </c>
    </row>
    <row r="257" spans="1:15">
      <c r="A257" s="74" t="s">
        <v>113</v>
      </c>
      <c r="B257" s="74" t="s">
        <v>200</v>
      </c>
      <c r="C257" s="74" t="s">
        <v>201</v>
      </c>
      <c r="D257" s="74" t="s">
        <v>79</v>
      </c>
      <c r="E257" s="74" t="s">
        <v>81</v>
      </c>
      <c r="F257" s="86" t="s">
        <v>183</v>
      </c>
      <c r="G257" s="74" t="s">
        <v>177</v>
      </c>
      <c r="H257" s="87">
        <v>44316</v>
      </c>
      <c r="I257" s="98">
        <v>22</v>
      </c>
      <c r="J257" s="98">
        <v>22</v>
      </c>
      <c r="K257" s="89">
        <f t="shared" si="10"/>
        <v>1</v>
      </c>
      <c r="L257" s="89">
        <v>1021.96</v>
      </c>
      <c r="M257" s="89">
        <v>3268.12</v>
      </c>
      <c r="N257" s="89">
        <v>107.63</v>
      </c>
      <c r="O257" s="89">
        <f t="shared" si="8"/>
        <v>4397.71</v>
      </c>
    </row>
    <row r="258" spans="1:15">
      <c r="A258" s="74" t="s">
        <v>113</v>
      </c>
      <c r="B258" s="74" t="s">
        <v>202</v>
      </c>
      <c r="C258" s="74" t="s">
        <v>203</v>
      </c>
      <c r="D258" s="74" t="s">
        <v>79</v>
      </c>
      <c r="E258" s="74" t="s">
        <v>81</v>
      </c>
      <c r="F258" s="86" t="s">
        <v>204</v>
      </c>
      <c r="G258" s="74" t="s">
        <v>205</v>
      </c>
      <c r="H258" s="87">
        <v>44316</v>
      </c>
      <c r="I258" s="98">
        <v>22</v>
      </c>
      <c r="J258" s="98">
        <v>22</v>
      </c>
      <c r="K258" s="89">
        <f t="shared" si="10"/>
        <v>1</v>
      </c>
      <c r="L258" s="89">
        <v>19708.26</v>
      </c>
      <c r="M258" s="89">
        <v>3110.46</v>
      </c>
      <c r="N258" s="89">
        <v>1911.71</v>
      </c>
      <c r="O258" s="89">
        <f t="shared" si="8"/>
        <v>24730.43</v>
      </c>
    </row>
    <row r="259" spans="1:15">
      <c r="A259" s="74" t="s">
        <v>113</v>
      </c>
      <c r="B259" s="74" t="s">
        <v>206</v>
      </c>
      <c r="C259" s="74" t="s">
        <v>207</v>
      </c>
      <c r="D259" s="88" t="s">
        <v>82</v>
      </c>
      <c r="E259" s="88" t="s">
        <v>84</v>
      </c>
      <c r="F259" s="86" t="s">
        <v>208</v>
      </c>
      <c r="G259" s="74" t="s">
        <v>209</v>
      </c>
      <c r="H259" s="87">
        <v>44316</v>
      </c>
      <c r="I259" s="98">
        <v>22</v>
      </c>
      <c r="J259" s="98">
        <v>22</v>
      </c>
      <c r="K259" s="89">
        <f t="shared" si="10"/>
        <v>1</v>
      </c>
      <c r="L259" s="89">
        <v>9444.25</v>
      </c>
      <c r="M259" s="89">
        <v>3197.8</v>
      </c>
      <c r="N259" s="89">
        <v>931.02</v>
      </c>
      <c r="O259" s="89">
        <f t="shared" si="8"/>
        <v>13573.07</v>
      </c>
    </row>
    <row r="260" spans="1:15">
      <c r="A260" s="74" t="s">
        <v>113</v>
      </c>
      <c r="B260" s="74" t="s">
        <v>210</v>
      </c>
      <c r="C260" s="74" t="s">
        <v>211</v>
      </c>
      <c r="D260" s="88" t="s">
        <v>82</v>
      </c>
      <c r="E260" s="88" t="s">
        <v>84</v>
      </c>
      <c r="F260" s="86" t="s">
        <v>116</v>
      </c>
      <c r="G260" s="74" t="s">
        <v>209</v>
      </c>
      <c r="H260" s="87">
        <v>44316</v>
      </c>
      <c r="I260" s="98">
        <v>22</v>
      </c>
      <c r="J260" s="98">
        <v>22</v>
      </c>
      <c r="K260" s="89">
        <f t="shared" si="10"/>
        <v>1</v>
      </c>
      <c r="L260" s="89">
        <v>8476.06</v>
      </c>
      <c r="M260" s="89">
        <v>3280.53</v>
      </c>
      <c r="N260" s="89">
        <v>861.18</v>
      </c>
      <c r="O260" s="89">
        <f t="shared" si="8"/>
        <v>12617.77</v>
      </c>
    </row>
    <row r="261" spans="1:15">
      <c r="A261" s="74" t="s">
        <v>113</v>
      </c>
      <c r="B261" s="74" t="s">
        <v>212</v>
      </c>
      <c r="C261" s="74" t="s">
        <v>213</v>
      </c>
      <c r="D261" s="88" t="s">
        <v>82</v>
      </c>
      <c r="E261" s="88" t="s">
        <v>84</v>
      </c>
      <c r="F261" s="86" t="s">
        <v>208</v>
      </c>
      <c r="G261" s="74" t="s">
        <v>209</v>
      </c>
      <c r="H261" s="87">
        <v>44316</v>
      </c>
      <c r="I261" s="98">
        <v>22</v>
      </c>
      <c r="J261" s="98">
        <v>22</v>
      </c>
      <c r="K261" s="89">
        <f t="shared" si="10"/>
        <v>1</v>
      </c>
      <c r="L261" s="89">
        <v>9074.29</v>
      </c>
      <c r="M261" s="89">
        <v>3054.06</v>
      </c>
      <c r="N261" s="89">
        <v>912.5</v>
      </c>
      <c r="O261" s="89">
        <f t="shared" ref="O261:O324" si="11">SUM(L261:N261)</f>
        <v>13040.85</v>
      </c>
    </row>
    <row r="262" spans="1:15">
      <c r="A262" s="74" t="s">
        <v>113</v>
      </c>
      <c r="B262" s="74" t="s">
        <v>214</v>
      </c>
      <c r="C262" s="74" t="s">
        <v>215</v>
      </c>
      <c r="D262" s="88" t="s">
        <v>82</v>
      </c>
      <c r="E262" s="88" t="s">
        <v>84</v>
      </c>
      <c r="F262" s="86" t="s">
        <v>116</v>
      </c>
      <c r="G262" s="74" t="s">
        <v>209</v>
      </c>
      <c r="H262" s="87">
        <v>44316</v>
      </c>
      <c r="I262" s="98">
        <v>22</v>
      </c>
      <c r="J262" s="98">
        <v>22</v>
      </c>
      <c r="K262" s="89">
        <f t="shared" si="10"/>
        <v>1</v>
      </c>
      <c r="L262" s="89">
        <v>8165.6</v>
      </c>
      <c r="M262" s="89">
        <v>3254.99</v>
      </c>
      <c r="N262" s="89">
        <v>871.56</v>
      </c>
      <c r="O262" s="89">
        <f t="shared" si="11"/>
        <v>12292.15</v>
      </c>
    </row>
    <row r="263" spans="1:15">
      <c r="A263" s="74" t="s">
        <v>113</v>
      </c>
      <c r="B263" s="74" t="s">
        <v>216</v>
      </c>
      <c r="C263" s="74" t="s">
        <v>217</v>
      </c>
      <c r="D263" s="88" t="s">
        <v>82</v>
      </c>
      <c r="E263" s="88" t="s">
        <v>84</v>
      </c>
      <c r="F263" s="86" t="s">
        <v>218</v>
      </c>
      <c r="G263" s="74" t="s">
        <v>219</v>
      </c>
      <c r="H263" s="87">
        <v>44316</v>
      </c>
      <c r="I263" s="98">
        <v>22</v>
      </c>
      <c r="J263" s="98">
        <v>22</v>
      </c>
      <c r="K263" s="89">
        <f t="shared" si="10"/>
        <v>1</v>
      </c>
      <c r="L263" s="89">
        <v>11107.27</v>
      </c>
      <c r="M263" s="89">
        <v>3155.8</v>
      </c>
      <c r="N263" s="89">
        <v>1159.42</v>
      </c>
      <c r="O263" s="89">
        <f t="shared" si="11"/>
        <v>15422.49</v>
      </c>
    </row>
    <row r="264" spans="1:15">
      <c r="A264" s="74" t="s">
        <v>113</v>
      </c>
      <c r="B264" s="74" t="s">
        <v>220</v>
      </c>
      <c r="C264" s="74" t="s">
        <v>221</v>
      </c>
      <c r="D264" s="88" t="s">
        <v>82</v>
      </c>
      <c r="E264" s="74" t="s">
        <v>83</v>
      </c>
      <c r="F264" s="86" t="s">
        <v>218</v>
      </c>
      <c r="G264" s="74" t="s">
        <v>222</v>
      </c>
      <c r="H264" s="87">
        <v>44316</v>
      </c>
      <c r="I264" s="98">
        <v>22</v>
      </c>
      <c r="J264" s="98">
        <v>22</v>
      </c>
      <c r="K264" s="89">
        <f t="shared" si="10"/>
        <v>1</v>
      </c>
      <c r="L264" s="89">
        <v>11882.96</v>
      </c>
      <c r="M264" s="89">
        <v>3218.25</v>
      </c>
      <c r="N264" s="89">
        <v>1119.75</v>
      </c>
      <c r="O264" s="89">
        <f t="shared" si="11"/>
        <v>16220.96</v>
      </c>
    </row>
    <row r="265" spans="1:15">
      <c r="A265" s="74" t="s">
        <v>113</v>
      </c>
      <c r="B265" s="74" t="s">
        <v>223</v>
      </c>
      <c r="C265" s="74" t="s">
        <v>224</v>
      </c>
      <c r="D265" s="88" t="s">
        <v>82</v>
      </c>
      <c r="E265" s="74" t="s">
        <v>83</v>
      </c>
      <c r="F265" s="86" t="s">
        <v>225</v>
      </c>
      <c r="G265" s="74" t="s">
        <v>209</v>
      </c>
      <c r="H265" s="87">
        <v>44316</v>
      </c>
      <c r="I265" s="98">
        <v>22</v>
      </c>
      <c r="J265" s="98">
        <v>22</v>
      </c>
      <c r="K265" s="89">
        <f t="shared" si="10"/>
        <v>1</v>
      </c>
      <c r="L265" s="89">
        <v>10518.56</v>
      </c>
      <c r="M265" s="89">
        <v>3232.93</v>
      </c>
      <c r="N265" s="89">
        <v>1064.64</v>
      </c>
      <c r="O265" s="89">
        <f t="shared" si="11"/>
        <v>14816.13</v>
      </c>
    </row>
    <row r="266" spans="1:15">
      <c r="A266" s="74" t="s">
        <v>113</v>
      </c>
      <c r="B266" s="74" t="s">
        <v>226</v>
      </c>
      <c r="C266" s="74" t="s">
        <v>227</v>
      </c>
      <c r="D266" s="88" t="s">
        <v>82</v>
      </c>
      <c r="E266" s="74" t="s">
        <v>83</v>
      </c>
      <c r="F266" s="86" t="s">
        <v>208</v>
      </c>
      <c r="G266" s="74" t="s">
        <v>209</v>
      </c>
      <c r="H266" s="87">
        <v>44316</v>
      </c>
      <c r="I266" s="98">
        <v>22</v>
      </c>
      <c r="J266" s="98">
        <v>22</v>
      </c>
      <c r="K266" s="89">
        <f t="shared" si="10"/>
        <v>1</v>
      </c>
      <c r="L266" s="89">
        <v>9330.46</v>
      </c>
      <c r="M266" s="89">
        <v>3125.56</v>
      </c>
      <c r="N266" s="89">
        <v>943.49</v>
      </c>
      <c r="O266" s="89">
        <f t="shared" si="11"/>
        <v>13399.51</v>
      </c>
    </row>
    <row r="267" spans="1:15">
      <c r="A267" s="74" t="s">
        <v>113</v>
      </c>
      <c r="B267" s="74" t="s">
        <v>228</v>
      </c>
      <c r="C267" s="74" t="s">
        <v>229</v>
      </c>
      <c r="D267" s="88" t="s">
        <v>82</v>
      </c>
      <c r="E267" s="74" t="s">
        <v>83</v>
      </c>
      <c r="F267" s="86" t="s">
        <v>116</v>
      </c>
      <c r="G267" s="74" t="s">
        <v>209</v>
      </c>
      <c r="H267" s="87">
        <v>44316</v>
      </c>
      <c r="I267" s="98">
        <v>22</v>
      </c>
      <c r="J267" s="98">
        <v>22</v>
      </c>
      <c r="K267" s="89">
        <f t="shared" si="10"/>
        <v>1</v>
      </c>
      <c r="L267" s="89">
        <v>8359.19</v>
      </c>
      <c r="M267" s="89">
        <v>3021.16</v>
      </c>
      <c r="N267" s="89">
        <v>818.39</v>
      </c>
      <c r="O267" s="89">
        <f t="shared" si="11"/>
        <v>12198.74</v>
      </c>
    </row>
    <row r="268" spans="1:15">
      <c r="A268" s="74" t="s">
        <v>113</v>
      </c>
      <c r="B268" s="74" t="s">
        <v>230</v>
      </c>
      <c r="C268" s="74" t="s">
        <v>231</v>
      </c>
      <c r="D268" s="88" t="s">
        <v>82</v>
      </c>
      <c r="E268" s="74" t="s">
        <v>83</v>
      </c>
      <c r="F268" s="86" t="s">
        <v>120</v>
      </c>
      <c r="G268" s="74" t="s">
        <v>209</v>
      </c>
      <c r="H268" s="87">
        <v>44316</v>
      </c>
      <c r="I268" s="98">
        <v>22</v>
      </c>
      <c r="J268" s="98">
        <v>22</v>
      </c>
      <c r="K268" s="89">
        <f t="shared" si="10"/>
        <v>1</v>
      </c>
      <c r="L268" s="89">
        <v>7190.24</v>
      </c>
      <c r="M268" s="89">
        <v>3213.47</v>
      </c>
      <c r="N268" s="89">
        <v>752.56</v>
      </c>
      <c r="O268" s="89">
        <f t="shared" si="11"/>
        <v>11156.27</v>
      </c>
    </row>
    <row r="269" spans="1:15">
      <c r="A269" s="74" t="s">
        <v>113</v>
      </c>
      <c r="B269" s="74" t="s">
        <v>232</v>
      </c>
      <c r="C269" s="74" t="s">
        <v>233</v>
      </c>
      <c r="D269" s="88" t="s">
        <v>82</v>
      </c>
      <c r="E269" s="74" t="s">
        <v>83</v>
      </c>
      <c r="F269" s="86" t="s">
        <v>123</v>
      </c>
      <c r="G269" s="74" t="s">
        <v>209</v>
      </c>
      <c r="H269" s="87">
        <v>44316</v>
      </c>
      <c r="I269" s="98">
        <v>22</v>
      </c>
      <c r="J269" s="98">
        <v>22</v>
      </c>
      <c r="K269" s="89">
        <f t="shared" si="10"/>
        <v>1</v>
      </c>
      <c r="L269" s="89">
        <v>6357.88</v>
      </c>
      <c r="M269" s="89">
        <v>3072.47</v>
      </c>
      <c r="N269" s="89">
        <v>607.65</v>
      </c>
      <c r="O269" s="89">
        <f t="shared" si="11"/>
        <v>10038</v>
      </c>
    </row>
    <row r="270" spans="1:15">
      <c r="A270" s="74" t="s">
        <v>113</v>
      </c>
      <c r="B270" s="74" t="s">
        <v>234</v>
      </c>
      <c r="C270" s="74" t="s">
        <v>235</v>
      </c>
      <c r="D270" s="88" t="s">
        <v>82</v>
      </c>
      <c r="E270" s="74" t="s">
        <v>83</v>
      </c>
      <c r="F270" s="86" t="s">
        <v>116</v>
      </c>
      <c r="G270" s="74" t="s">
        <v>209</v>
      </c>
      <c r="H270" s="87">
        <v>44316</v>
      </c>
      <c r="I270" s="98">
        <v>22</v>
      </c>
      <c r="J270" s="98">
        <v>22</v>
      </c>
      <c r="K270" s="89">
        <f t="shared" si="10"/>
        <v>1</v>
      </c>
      <c r="L270" s="89">
        <v>8679.92</v>
      </c>
      <c r="M270" s="89">
        <v>3055.36</v>
      </c>
      <c r="N270" s="89">
        <v>801.73</v>
      </c>
      <c r="O270" s="89">
        <f t="shared" si="11"/>
        <v>12537.01</v>
      </c>
    </row>
    <row r="271" spans="1:15">
      <c r="A271" s="74" t="s">
        <v>113</v>
      </c>
      <c r="B271" s="74" t="s">
        <v>236</v>
      </c>
      <c r="C271" s="74" t="s">
        <v>237</v>
      </c>
      <c r="D271" s="88" t="s">
        <v>82</v>
      </c>
      <c r="E271" s="74" t="s">
        <v>83</v>
      </c>
      <c r="F271" s="86" t="s">
        <v>120</v>
      </c>
      <c r="G271" s="74" t="s">
        <v>209</v>
      </c>
      <c r="H271" s="87">
        <v>44316</v>
      </c>
      <c r="I271" s="98">
        <v>22</v>
      </c>
      <c r="J271" s="98">
        <v>22</v>
      </c>
      <c r="K271" s="89">
        <f t="shared" si="10"/>
        <v>1</v>
      </c>
      <c r="L271" s="89">
        <v>7022</v>
      </c>
      <c r="M271" s="89">
        <v>3003.37</v>
      </c>
      <c r="N271" s="89">
        <v>729.86</v>
      </c>
      <c r="O271" s="89">
        <f t="shared" si="11"/>
        <v>10755.23</v>
      </c>
    </row>
    <row r="272" spans="1:15">
      <c r="A272" s="74" t="s">
        <v>113</v>
      </c>
      <c r="B272" s="74" t="s">
        <v>238</v>
      </c>
      <c r="C272" s="74" t="s">
        <v>239</v>
      </c>
      <c r="D272" s="74" t="s">
        <v>86</v>
      </c>
      <c r="E272" s="74" t="s">
        <v>87</v>
      </c>
      <c r="F272" s="86" t="s">
        <v>204</v>
      </c>
      <c r="G272" s="74" t="s">
        <v>240</v>
      </c>
      <c r="H272" s="87">
        <v>44316</v>
      </c>
      <c r="I272" s="98">
        <v>22</v>
      </c>
      <c r="J272" s="98">
        <v>22</v>
      </c>
      <c r="K272" s="89">
        <f t="shared" si="10"/>
        <v>1</v>
      </c>
      <c r="L272" s="89">
        <v>14554.54</v>
      </c>
      <c r="M272" s="89">
        <v>3236.28</v>
      </c>
      <c r="N272" s="89">
        <v>1825.55</v>
      </c>
      <c r="O272" s="89">
        <f t="shared" si="11"/>
        <v>19616.37</v>
      </c>
    </row>
    <row r="273" spans="1:15">
      <c r="A273" s="74" t="s">
        <v>113</v>
      </c>
      <c r="B273" s="74" t="s">
        <v>241</v>
      </c>
      <c r="C273" s="74" t="s">
        <v>242</v>
      </c>
      <c r="D273" s="74" t="s">
        <v>86</v>
      </c>
      <c r="E273" s="74" t="s">
        <v>87</v>
      </c>
      <c r="F273" s="86" t="s">
        <v>243</v>
      </c>
      <c r="G273" s="74" t="s">
        <v>244</v>
      </c>
      <c r="H273" s="87">
        <v>44316</v>
      </c>
      <c r="I273" s="98">
        <v>22</v>
      </c>
      <c r="J273" s="98">
        <v>22</v>
      </c>
      <c r="K273" s="89">
        <f t="shared" si="10"/>
        <v>1</v>
      </c>
      <c r="L273" s="89">
        <v>10992.75</v>
      </c>
      <c r="M273" s="89">
        <v>3005.28</v>
      </c>
      <c r="N273" s="89">
        <v>1404.06</v>
      </c>
      <c r="O273" s="89">
        <f t="shared" si="11"/>
        <v>15402.09</v>
      </c>
    </row>
    <row r="274" spans="1:15">
      <c r="A274" s="74" t="s">
        <v>113</v>
      </c>
      <c r="B274" s="74" t="s">
        <v>245</v>
      </c>
      <c r="C274" s="74" t="s">
        <v>246</v>
      </c>
      <c r="D274" s="74" t="s">
        <v>86</v>
      </c>
      <c r="E274" s="74" t="s">
        <v>87</v>
      </c>
      <c r="F274" s="86" t="s">
        <v>247</v>
      </c>
      <c r="G274" s="74" t="s">
        <v>248</v>
      </c>
      <c r="H274" s="87">
        <v>44316</v>
      </c>
      <c r="I274" s="98">
        <v>22</v>
      </c>
      <c r="J274" s="98">
        <v>22</v>
      </c>
      <c r="K274" s="89">
        <f t="shared" si="10"/>
        <v>1</v>
      </c>
      <c r="L274" s="89">
        <v>10394.91</v>
      </c>
      <c r="M274" s="89">
        <v>3170.39</v>
      </c>
      <c r="N274" s="89">
        <v>1250.8</v>
      </c>
      <c r="O274" s="89">
        <f t="shared" si="11"/>
        <v>14816.1</v>
      </c>
    </row>
    <row r="275" spans="1:15">
      <c r="A275" s="74" t="s">
        <v>113</v>
      </c>
      <c r="B275" s="74" t="s">
        <v>249</v>
      </c>
      <c r="C275" s="74" t="s">
        <v>250</v>
      </c>
      <c r="D275" s="74" t="s">
        <v>86</v>
      </c>
      <c r="E275" s="74" t="s">
        <v>87</v>
      </c>
      <c r="F275" s="86" t="s">
        <v>251</v>
      </c>
      <c r="G275" s="74" t="s">
        <v>252</v>
      </c>
      <c r="H275" s="87">
        <v>44316</v>
      </c>
      <c r="I275" s="98">
        <v>22</v>
      </c>
      <c r="J275" s="98">
        <v>22</v>
      </c>
      <c r="K275" s="89">
        <f t="shared" si="10"/>
        <v>1</v>
      </c>
      <c r="L275" s="89">
        <v>9044.47</v>
      </c>
      <c r="M275" s="89">
        <v>3158.65</v>
      </c>
      <c r="N275" s="89">
        <v>1171.14</v>
      </c>
      <c r="O275" s="89">
        <f t="shared" si="11"/>
        <v>13374.26</v>
      </c>
    </row>
    <row r="276" spans="1:15">
      <c r="A276" s="74" t="s">
        <v>113</v>
      </c>
      <c r="B276" s="74" t="s">
        <v>253</v>
      </c>
      <c r="C276" s="74" t="s">
        <v>254</v>
      </c>
      <c r="D276" s="74" t="s">
        <v>86</v>
      </c>
      <c r="E276" s="74" t="s">
        <v>87</v>
      </c>
      <c r="F276" s="86" t="s">
        <v>255</v>
      </c>
      <c r="G276" s="74" t="s">
        <v>252</v>
      </c>
      <c r="H276" s="87">
        <v>44316</v>
      </c>
      <c r="I276" s="98">
        <v>22</v>
      </c>
      <c r="J276" s="98">
        <v>22</v>
      </c>
      <c r="K276" s="89">
        <f t="shared" si="10"/>
        <v>1</v>
      </c>
      <c r="L276" s="89">
        <v>8416.1</v>
      </c>
      <c r="M276" s="89">
        <v>3131.78</v>
      </c>
      <c r="N276" s="89">
        <v>1069.88</v>
      </c>
      <c r="O276" s="89">
        <f t="shared" si="11"/>
        <v>12617.76</v>
      </c>
    </row>
    <row r="277" spans="1:15">
      <c r="A277" s="74" t="s">
        <v>113</v>
      </c>
      <c r="B277" s="74" t="s">
        <v>256</v>
      </c>
      <c r="C277" s="74" t="s">
        <v>257</v>
      </c>
      <c r="D277" s="74" t="s">
        <v>86</v>
      </c>
      <c r="E277" s="74" t="s">
        <v>87</v>
      </c>
      <c r="F277" s="86" t="s">
        <v>258</v>
      </c>
      <c r="G277" s="74" t="s">
        <v>252</v>
      </c>
      <c r="H277" s="87">
        <v>44316</v>
      </c>
      <c r="I277" s="98">
        <v>22</v>
      </c>
      <c r="J277" s="98">
        <v>22</v>
      </c>
      <c r="K277" s="89">
        <f t="shared" si="10"/>
        <v>1</v>
      </c>
      <c r="L277" s="89">
        <v>7273.07</v>
      </c>
      <c r="M277" s="89">
        <v>3030.32</v>
      </c>
      <c r="N277" s="89">
        <v>921.44</v>
      </c>
      <c r="O277" s="89">
        <f t="shared" si="11"/>
        <v>11224.83</v>
      </c>
    </row>
    <row r="278" spans="1:15">
      <c r="A278" s="74" t="s">
        <v>113</v>
      </c>
      <c r="B278" s="74" t="s">
        <v>259</v>
      </c>
      <c r="C278" s="74" t="s">
        <v>260</v>
      </c>
      <c r="D278" s="74" t="s">
        <v>86</v>
      </c>
      <c r="E278" s="74" t="s">
        <v>87</v>
      </c>
      <c r="F278" s="86" t="s">
        <v>261</v>
      </c>
      <c r="G278" s="74" t="s">
        <v>262</v>
      </c>
      <c r="H278" s="87">
        <v>44316</v>
      </c>
      <c r="I278" s="98">
        <v>22</v>
      </c>
      <c r="J278" s="98">
        <v>22</v>
      </c>
      <c r="K278" s="89">
        <f t="shared" si="10"/>
        <v>1</v>
      </c>
      <c r="L278" s="89">
        <v>6507.8</v>
      </c>
      <c r="M278" s="89">
        <v>3252.1</v>
      </c>
      <c r="N278" s="89">
        <v>871.93</v>
      </c>
      <c r="O278" s="89">
        <f t="shared" si="11"/>
        <v>10631.83</v>
      </c>
    </row>
    <row r="279" spans="1:15">
      <c r="A279" s="74" t="s">
        <v>113</v>
      </c>
      <c r="B279" s="74" t="s">
        <v>263</v>
      </c>
      <c r="C279" s="74" t="s">
        <v>264</v>
      </c>
      <c r="D279" s="74" t="s">
        <v>86</v>
      </c>
      <c r="E279" s="74" t="s">
        <v>88</v>
      </c>
      <c r="F279" s="86" t="s">
        <v>149</v>
      </c>
      <c r="G279" s="74" t="s">
        <v>265</v>
      </c>
      <c r="H279" s="87">
        <v>44316</v>
      </c>
      <c r="I279" s="98">
        <v>22</v>
      </c>
      <c r="J279" s="98">
        <v>22</v>
      </c>
      <c r="K279" s="89">
        <f t="shared" si="10"/>
        <v>1</v>
      </c>
      <c r="L279" s="89">
        <v>14757.31</v>
      </c>
      <c r="M279" s="89">
        <v>3055.1</v>
      </c>
      <c r="N279" s="89">
        <v>1738.63</v>
      </c>
      <c r="O279" s="89">
        <f t="shared" si="11"/>
        <v>19551.04</v>
      </c>
    </row>
    <row r="280" spans="1:15">
      <c r="A280" s="74" t="s">
        <v>113</v>
      </c>
      <c r="B280" s="74" t="s">
        <v>266</v>
      </c>
      <c r="C280" s="74" t="s">
        <v>267</v>
      </c>
      <c r="D280" s="74" t="s">
        <v>86</v>
      </c>
      <c r="E280" s="74" t="s">
        <v>88</v>
      </c>
      <c r="F280" s="86" t="s">
        <v>243</v>
      </c>
      <c r="G280" s="74" t="s">
        <v>268</v>
      </c>
      <c r="H280" s="87">
        <v>44316</v>
      </c>
      <c r="I280" s="98">
        <v>22</v>
      </c>
      <c r="J280" s="98">
        <v>22</v>
      </c>
      <c r="K280" s="89">
        <f t="shared" si="10"/>
        <v>1</v>
      </c>
      <c r="L280" s="89">
        <v>10939.09</v>
      </c>
      <c r="M280" s="89">
        <v>3247.54</v>
      </c>
      <c r="N280" s="89">
        <v>1384.25</v>
      </c>
      <c r="O280" s="89">
        <f t="shared" si="11"/>
        <v>15570.88</v>
      </c>
    </row>
    <row r="281" spans="1:15">
      <c r="A281" s="74" t="s">
        <v>113</v>
      </c>
      <c r="B281" s="74" t="s">
        <v>269</v>
      </c>
      <c r="C281" s="74" t="s">
        <v>270</v>
      </c>
      <c r="D281" s="74" t="s">
        <v>86</v>
      </c>
      <c r="E281" s="74" t="s">
        <v>88</v>
      </c>
      <c r="F281" s="86" t="s">
        <v>247</v>
      </c>
      <c r="G281" s="74" t="s">
        <v>268</v>
      </c>
      <c r="H281" s="87">
        <v>44316</v>
      </c>
      <c r="I281" s="98">
        <v>22</v>
      </c>
      <c r="J281" s="98">
        <v>22</v>
      </c>
      <c r="K281" s="89">
        <f t="shared" si="10"/>
        <v>1</v>
      </c>
      <c r="L281" s="89">
        <v>10290.9</v>
      </c>
      <c r="M281" s="89">
        <v>3195.43</v>
      </c>
      <c r="N281" s="89">
        <v>1314.32</v>
      </c>
      <c r="O281" s="89">
        <f t="shared" si="11"/>
        <v>14800.65</v>
      </c>
    </row>
    <row r="282" spans="1:15">
      <c r="A282" s="74" t="s">
        <v>113</v>
      </c>
      <c r="B282" s="74" t="s">
        <v>271</v>
      </c>
      <c r="C282" s="74" t="s">
        <v>272</v>
      </c>
      <c r="D282" s="74" t="s">
        <v>86</v>
      </c>
      <c r="E282" s="74" t="s">
        <v>88</v>
      </c>
      <c r="F282" s="86" t="s">
        <v>251</v>
      </c>
      <c r="G282" s="74" t="s">
        <v>268</v>
      </c>
      <c r="H282" s="87">
        <v>44316</v>
      </c>
      <c r="I282" s="98">
        <v>22</v>
      </c>
      <c r="J282" s="98">
        <v>22</v>
      </c>
      <c r="K282" s="89">
        <f t="shared" si="10"/>
        <v>1</v>
      </c>
      <c r="L282" s="89">
        <v>9506.54</v>
      </c>
      <c r="M282" s="89">
        <v>3102.33</v>
      </c>
      <c r="N282" s="89">
        <v>1127.08</v>
      </c>
      <c r="O282" s="89">
        <f t="shared" si="11"/>
        <v>13735.95</v>
      </c>
    </row>
    <row r="283" spans="1:15">
      <c r="A283" s="74" t="s">
        <v>113</v>
      </c>
      <c r="B283" s="74" t="s">
        <v>273</v>
      </c>
      <c r="C283" s="74" t="s">
        <v>274</v>
      </c>
      <c r="D283" s="74" t="s">
        <v>86</v>
      </c>
      <c r="E283" s="74" t="s">
        <v>88</v>
      </c>
      <c r="F283" s="86" t="s">
        <v>255</v>
      </c>
      <c r="G283" s="74" t="s">
        <v>268</v>
      </c>
      <c r="H283" s="87">
        <v>44316</v>
      </c>
      <c r="I283" s="98">
        <v>22</v>
      </c>
      <c r="J283" s="98">
        <v>22</v>
      </c>
      <c r="K283" s="89">
        <f t="shared" si="10"/>
        <v>1</v>
      </c>
      <c r="L283" s="89">
        <v>8487.76</v>
      </c>
      <c r="M283" s="89">
        <v>3196.36</v>
      </c>
      <c r="N283" s="89">
        <v>1098.04</v>
      </c>
      <c r="O283" s="89">
        <f t="shared" si="11"/>
        <v>12782.16</v>
      </c>
    </row>
    <row r="284" spans="1:15">
      <c r="A284" s="74" t="s">
        <v>113</v>
      </c>
      <c r="B284" s="74" t="s">
        <v>275</v>
      </c>
      <c r="C284" s="74" t="s">
        <v>276</v>
      </c>
      <c r="D284" s="74" t="s">
        <v>86</v>
      </c>
      <c r="E284" s="74" t="s">
        <v>88</v>
      </c>
      <c r="F284" s="86" t="s">
        <v>258</v>
      </c>
      <c r="G284" s="74" t="s">
        <v>268</v>
      </c>
      <c r="H284" s="87">
        <v>44316</v>
      </c>
      <c r="I284" s="98">
        <v>22</v>
      </c>
      <c r="J284" s="98">
        <v>22</v>
      </c>
      <c r="K284" s="89">
        <f t="shared" si="10"/>
        <v>1</v>
      </c>
      <c r="L284" s="89">
        <v>7686.11</v>
      </c>
      <c r="M284" s="89">
        <v>3141.74</v>
      </c>
      <c r="N284" s="89">
        <v>935.56</v>
      </c>
      <c r="O284" s="89">
        <f t="shared" si="11"/>
        <v>11763.41</v>
      </c>
    </row>
    <row r="285" spans="1:15">
      <c r="A285" s="74" t="s">
        <v>113</v>
      </c>
      <c r="B285" s="74" t="s">
        <v>277</v>
      </c>
      <c r="C285" s="74" t="s">
        <v>278</v>
      </c>
      <c r="D285" s="74" t="s">
        <v>86</v>
      </c>
      <c r="E285" s="74" t="s">
        <v>89</v>
      </c>
      <c r="F285" s="86" t="s">
        <v>279</v>
      </c>
      <c r="G285" s="74" t="s">
        <v>280</v>
      </c>
      <c r="H285" s="87">
        <v>44316</v>
      </c>
      <c r="I285" s="98">
        <v>22</v>
      </c>
      <c r="J285" s="98">
        <v>22</v>
      </c>
      <c r="K285" s="89">
        <f t="shared" si="10"/>
        <v>1</v>
      </c>
      <c r="L285" s="89">
        <v>12186.6</v>
      </c>
      <c r="M285" s="89">
        <v>3131.12</v>
      </c>
      <c r="N285" s="89">
        <v>1597.02</v>
      </c>
      <c r="O285" s="89">
        <f t="shared" si="11"/>
        <v>16914.74</v>
      </c>
    </row>
    <row r="286" spans="1:15">
      <c r="A286" s="74" t="s">
        <v>113</v>
      </c>
      <c r="B286" s="74" t="s">
        <v>281</v>
      </c>
      <c r="C286" s="74" t="s">
        <v>282</v>
      </c>
      <c r="D286" s="74" t="s">
        <v>86</v>
      </c>
      <c r="E286" s="74" t="s">
        <v>89</v>
      </c>
      <c r="F286" s="86" t="s">
        <v>225</v>
      </c>
      <c r="G286" s="74" t="s">
        <v>283</v>
      </c>
      <c r="H286" s="87">
        <v>44316</v>
      </c>
      <c r="I286" s="98">
        <v>22</v>
      </c>
      <c r="J286" s="98">
        <v>22</v>
      </c>
      <c r="K286" s="89">
        <f t="shared" si="10"/>
        <v>1</v>
      </c>
      <c r="L286" s="89">
        <v>8324.87</v>
      </c>
      <c r="M286" s="89">
        <v>3095.04</v>
      </c>
      <c r="N286" s="89">
        <v>1058.42</v>
      </c>
      <c r="O286" s="89">
        <f t="shared" si="11"/>
        <v>12478.33</v>
      </c>
    </row>
    <row r="287" spans="1:15">
      <c r="A287" s="74" t="s">
        <v>113</v>
      </c>
      <c r="B287" s="74" t="s">
        <v>284</v>
      </c>
      <c r="C287" s="74" t="s">
        <v>285</v>
      </c>
      <c r="D287" s="74" t="s">
        <v>86</v>
      </c>
      <c r="E287" s="74" t="s">
        <v>89</v>
      </c>
      <c r="F287" s="86" t="s">
        <v>208</v>
      </c>
      <c r="G287" s="74" t="s">
        <v>283</v>
      </c>
      <c r="H287" s="87">
        <v>44316</v>
      </c>
      <c r="I287" s="98">
        <v>22</v>
      </c>
      <c r="J287" s="98">
        <v>22</v>
      </c>
      <c r="K287" s="89">
        <f t="shared" si="10"/>
        <v>1</v>
      </c>
      <c r="L287" s="89">
        <v>7573.51</v>
      </c>
      <c r="M287" s="89">
        <v>3239.2</v>
      </c>
      <c r="N287" s="89">
        <v>949.59</v>
      </c>
      <c r="O287" s="89">
        <f t="shared" si="11"/>
        <v>11762.3</v>
      </c>
    </row>
    <row r="288" spans="1:15">
      <c r="A288" s="74" t="s">
        <v>113</v>
      </c>
      <c r="B288" s="74" t="s">
        <v>286</v>
      </c>
      <c r="C288" s="74" t="s">
        <v>287</v>
      </c>
      <c r="D288" s="74" t="s">
        <v>82</v>
      </c>
      <c r="E288" s="88" t="s">
        <v>85</v>
      </c>
      <c r="F288" s="86" t="s">
        <v>288</v>
      </c>
      <c r="G288" s="74" t="s">
        <v>289</v>
      </c>
      <c r="H288" s="87">
        <v>44316</v>
      </c>
      <c r="I288" s="98">
        <v>22</v>
      </c>
      <c r="J288" s="98">
        <v>22</v>
      </c>
      <c r="K288" s="89">
        <f t="shared" ref="K288:K296" si="12">I288/J288</f>
        <v>1</v>
      </c>
      <c r="L288" s="89">
        <v>12633.51</v>
      </c>
      <c r="M288" s="89">
        <v>3137.6</v>
      </c>
      <c r="N288" s="89">
        <v>1306.29</v>
      </c>
      <c r="O288" s="89">
        <f t="shared" si="11"/>
        <v>17077.4</v>
      </c>
    </row>
    <row r="289" spans="1:15">
      <c r="A289" s="74" t="s">
        <v>113</v>
      </c>
      <c r="B289" s="74" t="s">
        <v>290</v>
      </c>
      <c r="C289" s="74" t="s">
        <v>291</v>
      </c>
      <c r="D289" s="74" t="s">
        <v>82</v>
      </c>
      <c r="E289" s="88" t="s">
        <v>85</v>
      </c>
      <c r="F289" s="86" t="s">
        <v>218</v>
      </c>
      <c r="G289" s="74" t="s">
        <v>289</v>
      </c>
      <c r="H289" s="87">
        <v>44316</v>
      </c>
      <c r="I289" s="98">
        <v>22</v>
      </c>
      <c r="J289" s="98">
        <v>22</v>
      </c>
      <c r="K289" s="89">
        <f t="shared" si="12"/>
        <v>1</v>
      </c>
      <c r="L289" s="89">
        <v>11776.33</v>
      </c>
      <c r="M289" s="89">
        <v>3086.92</v>
      </c>
      <c r="N289" s="89">
        <v>1104.1</v>
      </c>
      <c r="O289" s="89">
        <f t="shared" si="11"/>
        <v>15967.35</v>
      </c>
    </row>
    <row r="290" spans="1:15">
      <c r="A290" s="74" t="s">
        <v>113</v>
      </c>
      <c r="B290" s="74" t="s">
        <v>292</v>
      </c>
      <c r="C290" s="74" t="s">
        <v>293</v>
      </c>
      <c r="D290" s="74" t="s">
        <v>82</v>
      </c>
      <c r="E290" s="88" t="s">
        <v>85</v>
      </c>
      <c r="F290" s="86" t="s">
        <v>225</v>
      </c>
      <c r="G290" s="74" t="s">
        <v>289</v>
      </c>
      <c r="H290" s="87">
        <v>44316</v>
      </c>
      <c r="I290" s="98">
        <v>22</v>
      </c>
      <c r="J290" s="98">
        <v>22</v>
      </c>
      <c r="K290" s="89">
        <f t="shared" si="12"/>
        <v>1</v>
      </c>
      <c r="L290" s="89">
        <v>10826.56</v>
      </c>
      <c r="M290" s="89">
        <v>3255.96</v>
      </c>
      <c r="N290" s="89">
        <v>1055.18</v>
      </c>
      <c r="O290" s="89">
        <f t="shared" si="11"/>
        <v>15137.7</v>
      </c>
    </row>
    <row r="291" spans="1:15">
      <c r="A291" s="74" t="s">
        <v>113</v>
      </c>
      <c r="B291" s="74" t="s">
        <v>294</v>
      </c>
      <c r="C291" s="74" t="s">
        <v>295</v>
      </c>
      <c r="D291" s="74" t="s">
        <v>82</v>
      </c>
      <c r="E291" s="88" t="s">
        <v>85</v>
      </c>
      <c r="F291" s="86" t="s">
        <v>208</v>
      </c>
      <c r="G291" s="74" t="s">
        <v>289</v>
      </c>
      <c r="H291" s="87">
        <v>44316</v>
      </c>
      <c r="I291" s="98">
        <v>22</v>
      </c>
      <c r="J291" s="98">
        <v>22</v>
      </c>
      <c r="K291" s="89">
        <f t="shared" si="12"/>
        <v>1</v>
      </c>
      <c r="L291" s="89">
        <v>9697.85</v>
      </c>
      <c r="M291" s="89">
        <v>3245.48</v>
      </c>
      <c r="N291" s="89">
        <v>922.41</v>
      </c>
      <c r="O291" s="89">
        <f t="shared" si="11"/>
        <v>13865.74</v>
      </c>
    </row>
    <row r="292" spans="1:15">
      <c r="A292" s="74" t="s">
        <v>113</v>
      </c>
      <c r="B292" s="74" t="s">
        <v>296</v>
      </c>
      <c r="C292" s="74" t="s">
        <v>297</v>
      </c>
      <c r="D292" s="74" t="s">
        <v>82</v>
      </c>
      <c r="E292" s="88" t="s">
        <v>85</v>
      </c>
      <c r="F292" s="86" t="s">
        <v>116</v>
      </c>
      <c r="G292" s="74" t="s">
        <v>289</v>
      </c>
      <c r="H292" s="87">
        <v>44316</v>
      </c>
      <c r="I292" s="98">
        <v>22</v>
      </c>
      <c r="J292" s="98">
        <v>22</v>
      </c>
      <c r="K292" s="89">
        <f t="shared" si="12"/>
        <v>1</v>
      </c>
      <c r="L292" s="89">
        <v>8607.54</v>
      </c>
      <c r="M292" s="89">
        <v>3244.29</v>
      </c>
      <c r="N292" s="89">
        <v>837.71</v>
      </c>
      <c r="O292" s="89">
        <f t="shared" si="11"/>
        <v>12689.54</v>
      </c>
    </row>
    <row r="293" spans="1:15">
      <c r="A293" s="74" t="s">
        <v>113</v>
      </c>
      <c r="B293" s="74" t="s">
        <v>298</v>
      </c>
      <c r="C293" s="74" t="s">
        <v>299</v>
      </c>
      <c r="D293" s="74" t="s">
        <v>82</v>
      </c>
      <c r="E293" s="88" t="s">
        <v>85</v>
      </c>
      <c r="F293" s="86" t="s">
        <v>279</v>
      </c>
      <c r="G293" s="74" t="s">
        <v>300</v>
      </c>
      <c r="H293" s="87">
        <v>44316</v>
      </c>
      <c r="I293" s="98">
        <v>22</v>
      </c>
      <c r="J293" s="98">
        <v>22</v>
      </c>
      <c r="K293" s="89">
        <f t="shared" si="12"/>
        <v>1</v>
      </c>
      <c r="L293" s="89">
        <v>15071.91</v>
      </c>
      <c r="M293" s="89">
        <v>3148.76</v>
      </c>
      <c r="N293" s="89">
        <v>1553.06</v>
      </c>
      <c r="O293" s="89">
        <f t="shared" si="11"/>
        <v>19773.73</v>
      </c>
    </row>
    <row r="294" spans="1:15">
      <c r="A294" s="74" t="s">
        <v>113</v>
      </c>
      <c r="B294" s="74" t="s">
        <v>301</v>
      </c>
      <c r="C294" s="74" t="s">
        <v>302</v>
      </c>
      <c r="D294" s="74" t="s">
        <v>82</v>
      </c>
      <c r="E294" s="88" t="s">
        <v>85</v>
      </c>
      <c r="F294" s="86" t="s">
        <v>279</v>
      </c>
      <c r="G294" s="74" t="s">
        <v>303</v>
      </c>
      <c r="H294" s="87">
        <v>44316</v>
      </c>
      <c r="I294" s="98">
        <v>22</v>
      </c>
      <c r="J294" s="98">
        <v>22</v>
      </c>
      <c r="K294" s="89">
        <f t="shared" si="12"/>
        <v>1</v>
      </c>
      <c r="L294" s="89">
        <v>15396.35</v>
      </c>
      <c r="M294" s="89">
        <v>3204.27</v>
      </c>
      <c r="N294" s="89">
        <v>1647.62</v>
      </c>
      <c r="O294" s="89">
        <f t="shared" si="11"/>
        <v>20248.24</v>
      </c>
    </row>
    <row r="295" spans="1:15">
      <c r="A295" s="74" t="s">
        <v>113</v>
      </c>
      <c r="B295" s="74" t="s">
        <v>304</v>
      </c>
      <c r="C295" s="74" t="s">
        <v>305</v>
      </c>
      <c r="D295" s="74" t="s">
        <v>86</v>
      </c>
      <c r="E295" s="74" t="s">
        <v>90</v>
      </c>
      <c r="F295" s="86" t="s">
        <v>306</v>
      </c>
      <c r="G295" s="74" t="s">
        <v>307</v>
      </c>
      <c r="H295" s="87">
        <v>44316</v>
      </c>
      <c r="I295" s="98">
        <v>22</v>
      </c>
      <c r="J295" s="98">
        <v>22</v>
      </c>
      <c r="K295" s="89">
        <f t="shared" si="12"/>
        <v>1</v>
      </c>
      <c r="L295" s="89">
        <v>17583.41</v>
      </c>
      <c r="M295" s="89">
        <v>3112.77</v>
      </c>
      <c r="N295" s="89">
        <v>2199.02</v>
      </c>
      <c r="O295" s="89">
        <f t="shared" si="11"/>
        <v>22895.2</v>
      </c>
    </row>
    <row r="296" spans="1:15">
      <c r="A296" s="74" t="s">
        <v>113</v>
      </c>
      <c r="B296" s="74" t="s">
        <v>114</v>
      </c>
      <c r="C296" s="74" t="s">
        <v>115</v>
      </c>
      <c r="D296" s="74" t="s">
        <v>79</v>
      </c>
      <c r="E296" s="74" t="s">
        <v>80</v>
      </c>
      <c r="F296" s="86" t="s">
        <v>116</v>
      </c>
      <c r="G296" s="74" t="s">
        <v>117</v>
      </c>
      <c r="H296" s="87">
        <v>44346</v>
      </c>
      <c r="I296" s="98">
        <v>22</v>
      </c>
      <c r="J296" s="98">
        <v>22</v>
      </c>
      <c r="K296" s="89">
        <f t="shared" si="12"/>
        <v>1</v>
      </c>
      <c r="L296" s="89">
        <v>8207.72</v>
      </c>
      <c r="M296" s="89">
        <v>3096.48</v>
      </c>
      <c r="N296" s="89">
        <v>864.72</v>
      </c>
      <c r="O296" s="89">
        <f t="shared" si="11"/>
        <v>12168.92</v>
      </c>
    </row>
    <row r="297" spans="1:15">
      <c r="A297" s="74" t="s">
        <v>113</v>
      </c>
      <c r="B297" s="74" t="s">
        <v>118</v>
      </c>
      <c r="C297" s="74" t="s">
        <v>119</v>
      </c>
      <c r="D297" s="74" t="s">
        <v>79</v>
      </c>
      <c r="E297" s="74" t="s">
        <v>80</v>
      </c>
      <c r="F297" s="86" t="s">
        <v>120</v>
      </c>
      <c r="G297" s="74" t="s">
        <v>117</v>
      </c>
      <c r="H297" s="87">
        <v>44346</v>
      </c>
      <c r="I297" s="98">
        <v>22</v>
      </c>
      <c r="J297" s="98">
        <v>22</v>
      </c>
      <c r="K297" s="89">
        <f t="shared" ref="K297:K360" si="13">I297/J297</f>
        <v>1</v>
      </c>
      <c r="L297" s="89">
        <v>7577.87</v>
      </c>
      <c r="M297" s="89">
        <v>3203.34</v>
      </c>
      <c r="N297" s="89">
        <v>740.11</v>
      </c>
      <c r="O297" s="89">
        <f t="shared" si="11"/>
        <v>11521.32</v>
      </c>
    </row>
    <row r="298" spans="1:15">
      <c r="A298" s="74" t="s">
        <v>113</v>
      </c>
      <c r="B298" s="74" t="s">
        <v>121</v>
      </c>
      <c r="C298" s="74" t="s">
        <v>122</v>
      </c>
      <c r="D298" s="74" t="s">
        <v>79</v>
      </c>
      <c r="E298" s="74" t="s">
        <v>80</v>
      </c>
      <c r="F298" s="86" t="s">
        <v>123</v>
      </c>
      <c r="G298" s="74" t="s">
        <v>117</v>
      </c>
      <c r="H298" s="87">
        <v>44346</v>
      </c>
      <c r="I298" s="98">
        <v>22</v>
      </c>
      <c r="J298" s="98">
        <v>22</v>
      </c>
      <c r="K298" s="89">
        <f t="shared" si="13"/>
        <v>1</v>
      </c>
      <c r="L298" s="89">
        <v>6004.47</v>
      </c>
      <c r="M298" s="89">
        <v>3035.42</v>
      </c>
      <c r="N298" s="89">
        <v>643.88</v>
      </c>
      <c r="O298" s="89">
        <f t="shared" si="11"/>
        <v>9683.77</v>
      </c>
    </row>
    <row r="299" spans="1:15">
      <c r="A299" s="74" t="s">
        <v>113</v>
      </c>
      <c r="B299" s="74" t="s">
        <v>124</v>
      </c>
      <c r="C299" s="74" t="s">
        <v>125</v>
      </c>
      <c r="D299" s="74" t="s">
        <v>79</v>
      </c>
      <c r="E299" s="74" t="s">
        <v>80</v>
      </c>
      <c r="F299" s="86" t="s">
        <v>116</v>
      </c>
      <c r="G299" s="74" t="s">
        <v>117</v>
      </c>
      <c r="H299" s="87">
        <v>44346</v>
      </c>
      <c r="I299" s="98">
        <v>22</v>
      </c>
      <c r="J299" s="98">
        <v>22</v>
      </c>
      <c r="K299" s="89">
        <f t="shared" si="13"/>
        <v>1</v>
      </c>
      <c r="L299" s="89">
        <v>8015.37</v>
      </c>
      <c r="M299" s="89">
        <v>3066.06</v>
      </c>
      <c r="N299" s="89">
        <v>852.46</v>
      </c>
      <c r="O299" s="89">
        <f t="shared" si="11"/>
        <v>11933.89</v>
      </c>
    </row>
    <row r="300" spans="1:15">
      <c r="A300" s="74" t="s">
        <v>113</v>
      </c>
      <c r="B300" s="74" t="s">
        <v>126</v>
      </c>
      <c r="C300" s="74" t="s">
        <v>127</v>
      </c>
      <c r="D300" s="74" t="s">
        <v>79</v>
      </c>
      <c r="E300" s="74" t="s">
        <v>80</v>
      </c>
      <c r="F300" s="86" t="s">
        <v>120</v>
      </c>
      <c r="G300" s="74" t="s">
        <v>117</v>
      </c>
      <c r="H300" s="87">
        <v>44346</v>
      </c>
      <c r="I300" s="98">
        <v>22</v>
      </c>
      <c r="J300" s="98">
        <v>22</v>
      </c>
      <c r="K300" s="89">
        <f t="shared" si="13"/>
        <v>1</v>
      </c>
      <c r="L300" s="89">
        <v>7646.36</v>
      </c>
      <c r="M300" s="89">
        <v>3098.45</v>
      </c>
      <c r="N300" s="89">
        <v>746.05</v>
      </c>
      <c r="O300" s="89">
        <f t="shared" si="11"/>
        <v>11490.86</v>
      </c>
    </row>
    <row r="301" spans="1:15">
      <c r="A301" s="74" t="s">
        <v>113</v>
      </c>
      <c r="B301" s="74" t="s">
        <v>128</v>
      </c>
      <c r="C301" s="74" t="s">
        <v>129</v>
      </c>
      <c r="D301" s="74" t="s">
        <v>79</v>
      </c>
      <c r="E301" s="74" t="s">
        <v>80</v>
      </c>
      <c r="F301" s="86" t="s">
        <v>123</v>
      </c>
      <c r="G301" s="74" t="s">
        <v>117</v>
      </c>
      <c r="H301" s="87">
        <v>44346</v>
      </c>
      <c r="I301" s="98">
        <v>22</v>
      </c>
      <c r="J301" s="98">
        <v>22</v>
      </c>
      <c r="K301" s="89">
        <f t="shared" si="13"/>
        <v>1</v>
      </c>
      <c r="L301" s="89">
        <v>6501.18</v>
      </c>
      <c r="M301" s="89">
        <v>3066.7</v>
      </c>
      <c r="N301" s="89">
        <v>637.14</v>
      </c>
      <c r="O301" s="89">
        <f t="shared" si="11"/>
        <v>10205.02</v>
      </c>
    </row>
    <row r="302" spans="1:15">
      <c r="A302" s="74" t="s">
        <v>113</v>
      </c>
      <c r="B302" s="74" t="s">
        <v>130</v>
      </c>
      <c r="C302" s="74" t="s">
        <v>131</v>
      </c>
      <c r="D302" s="74" t="s">
        <v>79</v>
      </c>
      <c r="E302" s="74" t="s">
        <v>80</v>
      </c>
      <c r="F302" s="86" t="s">
        <v>116</v>
      </c>
      <c r="G302" s="74" t="s">
        <v>117</v>
      </c>
      <c r="H302" s="87">
        <v>44346</v>
      </c>
      <c r="I302" s="98">
        <v>22</v>
      </c>
      <c r="J302" s="98">
        <v>22</v>
      </c>
      <c r="K302" s="89">
        <f t="shared" si="13"/>
        <v>1</v>
      </c>
      <c r="L302" s="89">
        <v>8403.36</v>
      </c>
      <c r="M302" s="89">
        <v>3272.14</v>
      </c>
      <c r="N302" s="89">
        <v>848.68</v>
      </c>
      <c r="O302" s="89">
        <f t="shared" si="11"/>
        <v>12524.18</v>
      </c>
    </row>
    <row r="303" spans="1:15">
      <c r="A303" s="74" t="s">
        <v>113</v>
      </c>
      <c r="B303" s="74" t="s">
        <v>132</v>
      </c>
      <c r="C303" s="74" t="s">
        <v>133</v>
      </c>
      <c r="D303" s="74" t="s">
        <v>79</v>
      </c>
      <c r="E303" s="74" t="s">
        <v>80</v>
      </c>
      <c r="F303" s="86" t="s">
        <v>120</v>
      </c>
      <c r="G303" s="74" t="s">
        <v>117</v>
      </c>
      <c r="H303" s="87">
        <v>44346</v>
      </c>
      <c r="I303" s="98">
        <v>22</v>
      </c>
      <c r="J303" s="98">
        <v>22</v>
      </c>
      <c r="K303" s="89">
        <f t="shared" si="13"/>
        <v>1</v>
      </c>
      <c r="L303" s="89">
        <v>7027.12</v>
      </c>
      <c r="M303" s="89">
        <v>3297.07</v>
      </c>
      <c r="N303" s="89">
        <v>734.47</v>
      </c>
      <c r="O303" s="89">
        <f t="shared" si="11"/>
        <v>11058.66</v>
      </c>
    </row>
    <row r="304" spans="1:15">
      <c r="A304" s="74" t="s">
        <v>113</v>
      </c>
      <c r="B304" s="74" t="s">
        <v>134</v>
      </c>
      <c r="C304" s="74" t="s">
        <v>135</v>
      </c>
      <c r="D304" s="74" t="s">
        <v>79</v>
      </c>
      <c r="E304" s="74" t="s">
        <v>80</v>
      </c>
      <c r="F304" s="86" t="s">
        <v>123</v>
      </c>
      <c r="G304" s="74" t="s">
        <v>117</v>
      </c>
      <c r="H304" s="87">
        <v>44346</v>
      </c>
      <c r="I304" s="98">
        <v>22</v>
      </c>
      <c r="J304" s="98">
        <v>22</v>
      </c>
      <c r="K304" s="89">
        <f t="shared" si="13"/>
        <v>1</v>
      </c>
      <c r="L304" s="89">
        <v>6256.63</v>
      </c>
      <c r="M304" s="89">
        <v>3187.02</v>
      </c>
      <c r="N304" s="89">
        <v>648.13</v>
      </c>
      <c r="O304" s="89">
        <f t="shared" si="11"/>
        <v>10091.78</v>
      </c>
    </row>
    <row r="305" spans="1:15">
      <c r="A305" s="74" t="s">
        <v>113</v>
      </c>
      <c r="B305" s="74" t="s">
        <v>136</v>
      </c>
      <c r="C305" s="74" t="s">
        <v>137</v>
      </c>
      <c r="D305" s="74" t="s">
        <v>79</v>
      </c>
      <c r="E305" s="74" t="s">
        <v>80</v>
      </c>
      <c r="F305" s="86" t="s">
        <v>116</v>
      </c>
      <c r="G305" s="74" t="s">
        <v>138</v>
      </c>
      <c r="H305" s="87">
        <v>44346</v>
      </c>
      <c r="I305" s="98">
        <v>22</v>
      </c>
      <c r="J305" s="98">
        <v>22</v>
      </c>
      <c r="K305" s="89">
        <f t="shared" si="13"/>
        <v>1</v>
      </c>
      <c r="L305" s="89">
        <v>8310.71</v>
      </c>
      <c r="M305" s="89">
        <v>3293.61</v>
      </c>
      <c r="N305" s="89">
        <v>814.55</v>
      </c>
      <c r="O305" s="89">
        <f t="shared" si="11"/>
        <v>12418.87</v>
      </c>
    </row>
    <row r="306" spans="1:15">
      <c r="A306" s="74" t="s">
        <v>113</v>
      </c>
      <c r="B306" s="74" t="s">
        <v>139</v>
      </c>
      <c r="C306" s="74" t="s">
        <v>140</v>
      </c>
      <c r="D306" s="74" t="s">
        <v>79</v>
      </c>
      <c r="E306" s="74" t="s">
        <v>80</v>
      </c>
      <c r="F306" s="86" t="s">
        <v>120</v>
      </c>
      <c r="G306" s="74" t="s">
        <v>138</v>
      </c>
      <c r="H306" s="87">
        <v>44346</v>
      </c>
      <c r="I306" s="98">
        <v>22</v>
      </c>
      <c r="J306" s="98">
        <v>22</v>
      </c>
      <c r="K306" s="89">
        <f t="shared" si="13"/>
        <v>1</v>
      </c>
      <c r="L306" s="89">
        <v>7533.02</v>
      </c>
      <c r="M306" s="89">
        <v>3213.86</v>
      </c>
      <c r="N306" s="89">
        <v>710.09</v>
      </c>
      <c r="O306" s="89">
        <f t="shared" si="11"/>
        <v>11456.97</v>
      </c>
    </row>
    <row r="307" spans="1:15">
      <c r="A307" s="74" t="s">
        <v>113</v>
      </c>
      <c r="B307" s="74" t="s">
        <v>141</v>
      </c>
      <c r="C307" s="74" t="s">
        <v>142</v>
      </c>
      <c r="D307" s="74" t="s">
        <v>79</v>
      </c>
      <c r="E307" s="74" t="s">
        <v>80</v>
      </c>
      <c r="F307" s="86" t="s">
        <v>123</v>
      </c>
      <c r="G307" s="74" t="s">
        <v>138</v>
      </c>
      <c r="H307" s="87">
        <v>44346</v>
      </c>
      <c r="I307" s="98">
        <v>22</v>
      </c>
      <c r="J307" s="98">
        <v>22</v>
      </c>
      <c r="K307" s="89">
        <f t="shared" si="13"/>
        <v>1</v>
      </c>
      <c r="L307" s="89">
        <v>6512.96</v>
      </c>
      <c r="M307" s="89">
        <v>3296.6</v>
      </c>
      <c r="N307" s="89">
        <v>656.96</v>
      </c>
      <c r="O307" s="89">
        <f t="shared" si="11"/>
        <v>10466.52</v>
      </c>
    </row>
    <row r="308" spans="1:15">
      <c r="A308" s="74" t="s">
        <v>113</v>
      </c>
      <c r="B308" s="74" t="s">
        <v>143</v>
      </c>
      <c r="C308" s="74" t="s">
        <v>144</v>
      </c>
      <c r="D308" s="74" t="s">
        <v>79</v>
      </c>
      <c r="E308" s="74" t="s">
        <v>80</v>
      </c>
      <c r="F308" s="86" t="s">
        <v>145</v>
      </c>
      <c r="G308" s="74" t="s">
        <v>146</v>
      </c>
      <c r="H308" s="87">
        <v>44346</v>
      </c>
      <c r="I308" s="98">
        <v>22</v>
      </c>
      <c r="J308" s="98">
        <v>22</v>
      </c>
      <c r="K308" s="89">
        <f t="shared" si="13"/>
        <v>1</v>
      </c>
      <c r="L308" s="89">
        <v>19696.4</v>
      </c>
      <c r="M308" s="89">
        <v>3146.2</v>
      </c>
      <c r="N308" s="89">
        <v>1976.92</v>
      </c>
      <c r="O308" s="89">
        <f t="shared" si="11"/>
        <v>24819.52</v>
      </c>
    </row>
    <row r="309" spans="1:15">
      <c r="A309" s="74" t="s">
        <v>113</v>
      </c>
      <c r="B309" s="74" t="s">
        <v>147</v>
      </c>
      <c r="C309" s="74" t="s">
        <v>148</v>
      </c>
      <c r="D309" s="74" t="s">
        <v>79</v>
      </c>
      <c r="E309" s="74" t="s">
        <v>80</v>
      </c>
      <c r="F309" s="86" t="s">
        <v>149</v>
      </c>
      <c r="G309" s="74" t="s">
        <v>150</v>
      </c>
      <c r="H309" s="87">
        <v>44346</v>
      </c>
      <c r="I309" s="98">
        <v>22</v>
      </c>
      <c r="J309" s="98">
        <v>22</v>
      </c>
      <c r="K309" s="89">
        <f t="shared" si="13"/>
        <v>1</v>
      </c>
      <c r="L309" s="89">
        <v>17255.5</v>
      </c>
      <c r="M309" s="89">
        <v>3085.71</v>
      </c>
      <c r="N309" s="89">
        <v>1863.82</v>
      </c>
      <c r="O309" s="89">
        <f t="shared" si="11"/>
        <v>22205.03</v>
      </c>
    </row>
    <row r="310" spans="1:15">
      <c r="A310" s="74" t="s">
        <v>113</v>
      </c>
      <c r="B310" s="74" t="s">
        <v>151</v>
      </c>
      <c r="C310" s="74" t="s">
        <v>152</v>
      </c>
      <c r="D310" s="74" t="s">
        <v>79</v>
      </c>
      <c r="E310" s="74" t="s">
        <v>81</v>
      </c>
      <c r="F310" s="86" t="s">
        <v>123</v>
      </c>
      <c r="G310" s="74" t="s">
        <v>153</v>
      </c>
      <c r="H310" s="87">
        <v>44346</v>
      </c>
      <c r="I310" s="98">
        <v>22</v>
      </c>
      <c r="J310" s="98">
        <v>22</v>
      </c>
      <c r="K310" s="89">
        <f t="shared" si="13"/>
        <v>1</v>
      </c>
      <c r="L310" s="89">
        <v>6426.53</v>
      </c>
      <c r="M310" s="89">
        <v>3107.85</v>
      </c>
      <c r="N310" s="89">
        <v>637.81</v>
      </c>
      <c r="O310" s="89">
        <f t="shared" si="11"/>
        <v>10172.19</v>
      </c>
    </row>
    <row r="311" spans="1:15">
      <c r="A311" s="74" t="s">
        <v>113</v>
      </c>
      <c r="B311" s="74" t="s">
        <v>154</v>
      </c>
      <c r="C311" s="74" t="s">
        <v>155</v>
      </c>
      <c r="D311" s="74" t="s">
        <v>79</v>
      </c>
      <c r="E311" s="74" t="s">
        <v>81</v>
      </c>
      <c r="F311" s="86" t="s">
        <v>156</v>
      </c>
      <c r="G311" s="74" t="s">
        <v>157</v>
      </c>
      <c r="H311" s="87">
        <v>44346</v>
      </c>
      <c r="I311" s="98">
        <v>22</v>
      </c>
      <c r="J311" s="98">
        <v>22</v>
      </c>
      <c r="K311" s="89">
        <f t="shared" si="13"/>
        <v>1</v>
      </c>
      <c r="L311" s="89">
        <v>5020.73</v>
      </c>
      <c r="M311" s="89">
        <v>3114.74</v>
      </c>
      <c r="N311" s="89">
        <v>502.19</v>
      </c>
      <c r="O311" s="89">
        <f t="shared" si="11"/>
        <v>8637.66</v>
      </c>
    </row>
    <row r="312" spans="1:15">
      <c r="A312" s="74" t="s">
        <v>113</v>
      </c>
      <c r="B312" s="74" t="s">
        <v>158</v>
      </c>
      <c r="C312" s="74" t="s">
        <v>159</v>
      </c>
      <c r="D312" s="74" t="s">
        <v>79</v>
      </c>
      <c r="E312" s="74" t="s">
        <v>81</v>
      </c>
      <c r="F312" s="86" t="s">
        <v>160</v>
      </c>
      <c r="G312" s="74" t="s">
        <v>161</v>
      </c>
      <c r="H312" s="87">
        <v>44346</v>
      </c>
      <c r="I312" s="98">
        <v>22</v>
      </c>
      <c r="J312" s="98">
        <v>22</v>
      </c>
      <c r="K312" s="89">
        <f t="shared" si="13"/>
        <v>1</v>
      </c>
      <c r="L312" s="89">
        <v>4024.93</v>
      </c>
      <c r="M312" s="89">
        <v>3099.22</v>
      </c>
      <c r="N312" s="89">
        <v>439.42</v>
      </c>
      <c r="O312" s="89">
        <f t="shared" si="11"/>
        <v>7563.57</v>
      </c>
    </row>
    <row r="313" spans="1:15">
      <c r="A313" s="74" t="s">
        <v>113</v>
      </c>
      <c r="B313" s="74" t="s">
        <v>162</v>
      </c>
      <c r="C313" s="74" t="s">
        <v>163</v>
      </c>
      <c r="D313" s="74" t="s">
        <v>79</v>
      </c>
      <c r="E313" s="74" t="s">
        <v>81</v>
      </c>
      <c r="F313" s="86" t="s">
        <v>123</v>
      </c>
      <c r="G313" s="74" t="s">
        <v>153</v>
      </c>
      <c r="H313" s="87">
        <v>44346</v>
      </c>
      <c r="I313" s="98">
        <v>22</v>
      </c>
      <c r="J313" s="98">
        <v>22</v>
      </c>
      <c r="K313" s="89">
        <f t="shared" si="13"/>
        <v>1</v>
      </c>
      <c r="L313" s="89">
        <v>6306.23</v>
      </c>
      <c r="M313" s="89">
        <v>3177.05</v>
      </c>
      <c r="N313" s="89">
        <v>626.06</v>
      </c>
      <c r="O313" s="89">
        <f t="shared" si="11"/>
        <v>10109.34</v>
      </c>
    </row>
    <row r="314" spans="1:15">
      <c r="A314" s="74" t="s">
        <v>113</v>
      </c>
      <c r="B314" s="74" t="s">
        <v>164</v>
      </c>
      <c r="C314" s="74" t="s">
        <v>165</v>
      </c>
      <c r="D314" s="74" t="s">
        <v>79</v>
      </c>
      <c r="E314" s="74" t="s">
        <v>81</v>
      </c>
      <c r="F314" s="86" t="s">
        <v>156</v>
      </c>
      <c r="G314" s="74" t="s">
        <v>157</v>
      </c>
      <c r="H314" s="87">
        <v>44346</v>
      </c>
      <c r="I314" s="98">
        <v>22</v>
      </c>
      <c r="J314" s="98">
        <v>22</v>
      </c>
      <c r="K314" s="89">
        <f t="shared" si="13"/>
        <v>1</v>
      </c>
      <c r="L314" s="89">
        <v>5080.85</v>
      </c>
      <c r="M314" s="89">
        <v>3043.22</v>
      </c>
      <c r="N314" s="89">
        <v>527.37</v>
      </c>
      <c r="O314" s="89">
        <f t="shared" si="11"/>
        <v>8651.44</v>
      </c>
    </row>
    <row r="315" spans="1:15">
      <c r="A315" s="74" t="s">
        <v>113</v>
      </c>
      <c r="B315" s="74" t="s">
        <v>166</v>
      </c>
      <c r="C315" s="74" t="s">
        <v>167</v>
      </c>
      <c r="D315" s="74" t="s">
        <v>79</v>
      </c>
      <c r="E315" s="74" t="s">
        <v>81</v>
      </c>
      <c r="F315" s="86" t="s">
        <v>160</v>
      </c>
      <c r="G315" s="74" t="s">
        <v>161</v>
      </c>
      <c r="H315" s="87">
        <v>44346</v>
      </c>
      <c r="I315" s="98">
        <v>22</v>
      </c>
      <c r="J315" s="98">
        <v>22</v>
      </c>
      <c r="K315" s="89">
        <f t="shared" si="13"/>
        <v>1</v>
      </c>
      <c r="L315" s="89">
        <v>4016.81</v>
      </c>
      <c r="M315" s="89">
        <v>3096.19</v>
      </c>
      <c r="N315" s="89">
        <v>427.46</v>
      </c>
      <c r="O315" s="89">
        <f t="shared" si="11"/>
        <v>7540.46</v>
      </c>
    </row>
    <row r="316" spans="1:15">
      <c r="A316" s="74" t="s">
        <v>113</v>
      </c>
      <c r="B316" s="74" t="s">
        <v>168</v>
      </c>
      <c r="C316" s="74" t="s">
        <v>169</v>
      </c>
      <c r="D316" s="74" t="s">
        <v>79</v>
      </c>
      <c r="E316" s="74" t="s">
        <v>81</v>
      </c>
      <c r="F316" s="86" t="s">
        <v>123</v>
      </c>
      <c r="G316" s="74" t="s">
        <v>153</v>
      </c>
      <c r="H316" s="87">
        <v>44346</v>
      </c>
      <c r="I316" s="98">
        <v>22</v>
      </c>
      <c r="J316" s="98">
        <v>22</v>
      </c>
      <c r="K316" s="89">
        <f t="shared" si="13"/>
        <v>1</v>
      </c>
      <c r="L316" s="89">
        <v>6383.67</v>
      </c>
      <c r="M316" s="89">
        <v>3199.72</v>
      </c>
      <c r="N316" s="89">
        <v>608.04</v>
      </c>
      <c r="O316" s="89">
        <f t="shared" si="11"/>
        <v>10191.43</v>
      </c>
    </row>
    <row r="317" spans="1:15">
      <c r="A317" s="74" t="s">
        <v>113</v>
      </c>
      <c r="B317" s="74" t="s">
        <v>170</v>
      </c>
      <c r="C317" s="74" t="s">
        <v>171</v>
      </c>
      <c r="D317" s="74" t="s">
        <v>79</v>
      </c>
      <c r="E317" s="74" t="s">
        <v>81</v>
      </c>
      <c r="F317" s="86" t="s">
        <v>156</v>
      </c>
      <c r="G317" s="74" t="s">
        <v>157</v>
      </c>
      <c r="H317" s="87">
        <v>44346</v>
      </c>
      <c r="I317" s="98">
        <v>22</v>
      </c>
      <c r="J317" s="98">
        <v>22</v>
      </c>
      <c r="K317" s="89">
        <f t="shared" si="13"/>
        <v>1</v>
      </c>
      <c r="L317" s="89">
        <v>5435.62</v>
      </c>
      <c r="M317" s="89">
        <v>3239.32</v>
      </c>
      <c r="N317" s="89">
        <v>540.08</v>
      </c>
      <c r="O317" s="89">
        <f t="shared" si="11"/>
        <v>9215.02</v>
      </c>
    </row>
    <row r="318" spans="1:15">
      <c r="A318" s="74" t="s">
        <v>113</v>
      </c>
      <c r="B318" s="74" t="s">
        <v>172</v>
      </c>
      <c r="C318" s="74" t="s">
        <v>173</v>
      </c>
      <c r="D318" s="74" t="s">
        <v>79</v>
      </c>
      <c r="E318" s="74" t="s">
        <v>81</v>
      </c>
      <c r="F318" s="86" t="s">
        <v>160</v>
      </c>
      <c r="G318" s="74" t="s">
        <v>161</v>
      </c>
      <c r="H318" s="87">
        <v>44346</v>
      </c>
      <c r="I318" s="98">
        <v>22</v>
      </c>
      <c r="J318" s="98">
        <v>22</v>
      </c>
      <c r="K318" s="89">
        <f t="shared" si="13"/>
        <v>1</v>
      </c>
      <c r="L318" s="89">
        <v>4286.87</v>
      </c>
      <c r="M318" s="89">
        <v>3083.13</v>
      </c>
      <c r="N318" s="89">
        <v>422.47</v>
      </c>
      <c r="O318" s="89">
        <f t="shared" si="11"/>
        <v>7792.47</v>
      </c>
    </row>
    <row r="319" spans="1:15">
      <c r="A319" s="74" t="s">
        <v>113</v>
      </c>
      <c r="B319" s="74" t="s">
        <v>174</v>
      </c>
      <c r="C319" s="74" t="s">
        <v>175</v>
      </c>
      <c r="D319" s="74" t="s">
        <v>79</v>
      </c>
      <c r="E319" s="74" t="s">
        <v>81</v>
      </c>
      <c r="F319" s="86" t="s">
        <v>176</v>
      </c>
      <c r="G319" s="74" t="s">
        <v>177</v>
      </c>
      <c r="H319" s="87">
        <v>44346</v>
      </c>
      <c r="I319" s="98">
        <v>22</v>
      </c>
      <c r="J319" s="98">
        <v>22</v>
      </c>
      <c r="K319" s="89">
        <f t="shared" si="13"/>
        <v>1</v>
      </c>
      <c r="L319" s="89">
        <v>3043.34</v>
      </c>
      <c r="M319" s="89">
        <v>3188.21</v>
      </c>
      <c r="N319" s="89">
        <v>308.14</v>
      </c>
      <c r="O319" s="89">
        <f t="shared" si="11"/>
        <v>6539.69</v>
      </c>
    </row>
    <row r="320" spans="1:15">
      <c r="A320" s="74" t="s">
        <v>113</v>
      </c>
      <c r="B320" s="74" t="s">
        <v>178</v>
      </c>
      <c r="C320" s="74" t="s">
        <v>179</v>
      </c>
      <c r="D320" s="74" t="s">
        <v>79</v>
      </c>
      <c r="E320" s="74" t="s">
        <v>81</v>
      </c>
      <c r="F320" s="86" t="s">
        <v>180</v>
      </c>
      <c r="G320" s="74" t="s">
        <v>177</v>
      </c>
      <c r="H320" s="87">
        <v>44346</v>
      </c>
      <c r="I320" s="98">
        <v>22</v>
      </c>
      <c r="J320" s="98">
        <v>22</v>
      </c>
      <c r="K320" s="89">
        <f t="shared" si="13"/>
        <v>1</v>
      </c>
      <c r="L320" s="89">
        <v>2008.51</v>
      </c>
      <c r="M320" s="89">
        <v>3075.68</v>
      </c>
      <c r="N320" s="89">
        <v>208.31</v>
      </c>
      <c r="O320" s="89">
        <f t="shared" si="11"/>
        <v>5292.5</v>
      </c>
    </row>
    <row r="321" spans="1:15">
      <c r="A321" s="74" t="s">
        <v>113</v>
      </c>
      <c r="B321" s="74" t="s">
        <v>181</v>
      </c>
      <c r="C321" s="74" t="s">
        <v>182</v>
      </c>
      <c r="D321" s="74" t="s">
        <v>79</v>
      </c>
      <c r="E321" s="74" t="s">
        <v>81</v>
      </c>
      <c r="F321" s="86" t="s">
        <v>183</v>
      </c>
      <c r="G321" s="74" t="s">
        <v>177</v>
      </c>
      <c r="H321" s="87">
        <v>44346</v>
      </c>
      <c r="I321" s="98">
        <v>22</v>
      </c>
      <c r="J321" s="98">
        <v>22</v>
      </c>
      <c r="K321" s="89">
        <f t="shared" si="13"/>
        <v>1</v>
      </c>
      <c r="L321" s="89">
        <v>1088.4</v>
      </c>
      <c r="M321" s="89">
        <v>3031.81</v>
      </c>
      <c r="N321" s="89">
        <v>104.37</v>
      </c>
      <c r="O321" s="89">
        <f t="shared" si="11"/>
        <v>4224.58</v>
      </c>
    </row>
    <row r="322" spans="1:15">
      <c r="A322" s="74" t="s">
        <v>113</v>
      </c>
      <c r="B322" s="74" t="s">
        <v>184</v>
      </c>
      <c r="C322" s="74" t="s">
        <v>185</v>
      </c>
      <c r="D322" s="74" t="s">
        <v>79</v>
      </c>
      <c r="E322" s="74" t="s">
        <v>81</v>
      </c>
      <c r="F322" s="86" t="s">
        <v>176</v>
      </c>
      <c r="G322" s="74" t="s">
        <v>177</v>
      </c>
      <c r="H322" s="87">
        <v>44346</v>
      </c>
      <c r="I322" s="98">
        <v>22</v>
      </c>
      <c r="J322" s="98">
        <v>22</v>
      </c>
      <c r="K322" s="89">
        <f t="shared" si="13"/>
        <v>1</v>
      </c>
      <c r="L322" s="89">
        <v>3002.61</v>
      </c>
      <c r="M322" s="89">
        <v>3190.35</v>
      </c>
      <c r="N322" s="89">
        <v>313.07</v>
      </c>
      <c r="O322" s="89">
        <f t="shared" si="11"/>
        <v>6506.03</v>
      </c>
    </row>
    <row r="323" spans="1:15">
      <c r="A323" s="74" t="s">
        <v>113</v>
      </c>
      <c r="B323" s="74" t="s">
        <v>186</v>
      </c>
      <c r="C323" s="74" t="s">
        <v>187</v>
      </c>
      <c r="D323" s="74" t="s">
        <v>79</v>
      </c>
      <c r="E323" s="74" t="s">
        <v>81</v>
      </c>
      <c r="F323" s="86" t="s">
        <v>180</v>
      </c>
      <c r="G323" s="74" t="s">
        <v>177</v>
      </c>
      <c r="H323" s="87">
        <v>44346</v>
      </c>
      <c r="I323" s="98">
        <v>22</v>
      </c>
      <c r="J323" s="98">
        <v>22</v>
      </c>
      <c r="K323" s="89">
        <f t="shared" si="13"/>
        <v>1</v>
      </c>
      <c r="L323" s="89">
        <v>2083.8</v>
      </c>
      <c r="M323" s="89">
        <v>3053.4</v>
      </c>
      <c r="N323" s="89">
        <v>212.38</v>
      </c>
      <c r="O323" s="89">
        <f t="shared" si="11"/>
        <v>5349.58</v>
      </c>
    </row>
    <row r="324" spans="1:15">
      <c r="A324" s="74" t="s">
        <v>113</v>
      </c>
      <c r="B324" s="74" t="s">
        <v>188</v>
      </c>
      <c r="C324" s="74" t="s">
        <v>189</v>
      </c>
      <c r="D324" s="74" t="s">
        <v>79</v>
      </c>
      <c r="E324" s="74" t="s">
        <v>81</v>
      </c>
      <c r="F324" s="86" t="s">
        <v>183</v>
      </c>
      <c r="G324" s="74" t="s">
        <v>177</v>
      </c>
      <c r="H324" s="87">
        <v>44346</v>
      </c>
      <c r="I324" s="98">
        <v>22</v>
      </c>
      <c r="J324" s="98">
        <v>22</v>
      </c>
      <c r="K324" s="89">
        <f t="shared" si="13"/>
        <v>1</v>
      </c>
      <c r="L324" s="89">
        <v>1091.22</v>
      </c>
      <c r="M324" s="89">
        <v>3228.19</v>
      </c>
      <c r="N324" s="89">
        <v>109.82</v>
      </c>
      <c r="O324" s="89">
        <f t="shared" si="11"/>
        <v>4429.23</v>
      </c>
    </row>
    <row r="325" spans="1:15">
      <c r="A325" s="74" t="s">
        <v>113</v>
      </c>
      <c r="B325" s="74" t="s">
        <v>190</v>
      </c>
      <c r="C325" s="74" t="s">
        <v>191</v>
      </c>
      <c r="D325" s="74" t="s">
        <v>79</v>
      </c>
      <c r="E325" s="74" t="s">
        <v>81</v>
      </c>
      <c r="F325" s="86" t="s">
        <v>176</v>
      </c>
      <c r="G325" s="74" t="s">
        <v>177</v>
      </c>
      <c r="H325" s="87">
        <v>44346</v>
      </c>
      <c r="I325" s="98">
        <v>22</v>
      </c>
      <c r="J325" s="98">
        <v>22</v>
      </c>
      <c r="K325" s="89">
        <f t="shared" si="13"/>
        <v>1</v>
      </c>
      <c r="L325" s="89">
        <v>3242.95</v>
      </c>
      <c r="M325" s="89">
        <v>3076.05</v>
      </c>
      <c r="N325" s="89">
        <v>317.05</v>
      </c>
      <c r="O325" s="89">
        <f t="shared" ref="O325:O388" si="14">SUM(L325:N325)</f>
        <v>6636.05</v>
      </c>
    </row>
    <row r="326" spans="1:15">
      <c r="A326" s="74" t="s">
        <v>113</v>
      </c>
      <c r="B326" s="74" t="s">
        <v>192</v>
      </c>
      <c r="C326" s="74" t="s">
        <v>193</v>
      </c>
      <c r="D326" s="74" t="s">
        <v>79</v>
      </c>
      <c r="E326" s="74" t="s">
        <v>81</v>
      </c>
      <c r="F326" s="86" t="s">
        <v>180</v>
      </c>
      <c r="G326" s="74" t="s">
        <v>177</v>
      </c>
      <c r="H326" s="87">
        <v>44346</v>
      </c>
      <c r="I326" s="98">
        <v>22</v>
      </c>
      <c r="J326" s="98">
        <v>22</v>
      </c>
      <c r="K326" s="89">
        <f t="shared" si="13"/>
        <v>1</v>
      </c>
      <c r="L326" s="89">
        <v>2034.12</v>
      </c>
      <c r="M326" s="89">
        <v>3201.3</v>
      </c>
      <c r="N326" s="89">
        <v>214.23</v>
      </c>
      <c r="O326" s="89">
        <f t="shared" si="14"/>
        <v>5449.65</v>
      </c>
    </row>
    <row r="327" spans="1:15">
      <c r="A327" s="74" t="s">
        <v>113</v>
      </c>
      <c r="B327" s="74" t="s">
        <v>194</v>
      </c>
      <c r="C327" s="74" t="s">
        <v>195</v>
      </c>
      <c r="D327" s="74" t="s">
        <v>79</v>
      </c>
      <c r="E327" s="74" t="s">
        <v>81</v>
      </c>
      <c r="F327" s="86" t="s">
        <v>183</v>
      </c>
      <c r="G327" s="74" t="s">
        <v>177</v>
      </c>
      <c r="H327" s="87">
        <v>44346</v>
      </c>
      <c r="I327" s="98">
        <v>22</v>
      </c>
      <c r="J327" s="98">
        <v>22</v>
      </c>
      <c r="K327" s="89">
        <f t="shared" si="13"/>
        <v>1</v>
      </c>
      <c r="L327" s="89">
        <v>1072.69</v>
      </c>
      <c r="M327" s="89">
        <v>3105.59</v>
      </c>
      <c r="N327" s="89">
        <v>108.73</v>
      </c>
      <c r="O327" s="89">
        <f t="shared" si="14"/>
        <v>4287.01</v>
      </c>
    </row>
    <row r="328" spans="1:15">
      <c r="A328" s="74" t="s">
        <v>113</v>
      </c>
      <c r="B328" s="74" t="s">
        <v>196</v>
      </c>
      <c r="C328" s="74" t="s">
        <v>197</v>
      </c>
      <c r="D328" s="74" t="s">
        <v>79</v>
      </c>
      <c r="E328" s="74" t="s">
        <v>81</v>
      </c>
      <c r="F328" s="86" t="s">
        <v>176</v>
      </c>
      <c r="G328" s="74" t="s">
        <v>177</v>
      </c>
      <c r="H328" s="87">
        <v>44346</v>
      </c>
      <c r="I328" s="98">
        <v>22</v>
      </c>
      <c r="J328" s="98">
        <v>22</v>
      </c>
      <c r="K328" s="89">
        <f t="shared" si="13"/>
        <v>1</v>
      </c>
      <c r="L328" s="89">
        <v>3017.88</v>
      </c>
      <c r="M328" s="89">
        <v>3296.14</v>
      </c>
      <c r="N328" s="89">
        <v>311.46</v>
      </c>
      <c r="O328" s="89">
        <f t="shared" si="14"/>
        <v>6625.48</v>
      </c>
    </row>
    <row r="329" spans="1:15">
      <c r="A329" s="74" t="s">
        <v>113</v>
      </c>
      <c r="B329" s="74" t="s">
        <v>198</v>
      </c>
      <c r="C329" s="74" t="s">
        <v>199</v>
      </c>
      <c r="D329" s="74" t="s">
        <v>79</v>
      </c>
      <c r="E329" s="74" t="s">
        <v>81</v>
      </c>
      <c r="F329" s="86" t="s">
        <v>180</v>
      </c>
      <c r="G329" s="74" t="s">
        <v>177</v>
      </c>
      <c r="H329" s="87">
        <v>44346</v>
      </c>
      <c r="I329" s="98">
        <v>22</v>
      </c>
      <c r="J329" s="98">
        <v>22</v>
      </c>
      <c r="K329" s="89">
        <f t="shared" si="13"/>
        <v>1</v>
      </c>
      <c r="L329" s="89">
        <v>2060.95</v>
      </c>
      <c r="M329" s="89">
        <v>3216.62</v>
      </c>
      <c r="N329" s="89">
        <v>201.37</v>
      </c>
      <c r="O329" s="89">
        <f t="shared" si="14"/>
        <v>5478.94</v>
      </c>
    </row>
    <row r="330" spans="1:15">
      <c r="A330" s="74" t="s">
        <v>113</v>
      </c>
      <c r="B330" s="74" t="s">
        <v>200</v>
      </c>
      <c r="C330" s="74" t="s">
        <v>201</v>
      </c>
      <c r="D330" s="74" t="s">
        <v>79</v>
      </c>
      <c r="E330" s="74" t="s">
        <v>81</v>
      </c>
      <c r="F330" s="86" t="s">
        <v>183</v>
      </c>
      <c r="G330" s="74" t="s">
        <v>177</v>
      </c>
      <c r="H330" s="87">
        <v>44346</v>
      </c>
      <c r="I330" s="98">
        <v>22</v>
      </c>
      <c r="J330" s="98">
        <v>22</v>
      </c>
      <c r="K330" s="89">
        <f t="shared" si="13"/>
        <v>1</v>
      </c>
      <c r="L330" s="89">
        <v>1000.71</v>
      </c>
      <c r="M330" s="89">
        <v>3291.12</v>
      </c>
      <c r="N330" s="89">
        <v>100.34</v>
      </c>
      <c r="O330" s="89">
        <f t="shared" si="14"/>
        <v>4392.17</v>
      </c>
    </row>
    <row r="331" spans="1:15">
      <c r="A331" s="74" t="s">
        <v>113</v>
      </c>
      <c r="B331" s="74" t="s">
        <v>202</v>
      </c>
      <c r="C331" s="74" t="s">
        <v>203</v>
      </c>
      <c r="D331" s="74" t="s">
        <v>79</v>
      </c>
      <c r="E331" s="74" t="s">
        <v>81</v>
      </c>
      <c r="F331" s="86" t="s">
        <v>204</v>
      </c>
      <c r="G331" s="74" t="s">
        <v>205</v>
      </c>
      <c r="H331" s="87">
        <v>44346</v>
      </c>
      <c r="I331" s="98">
        <v>22</v>
      </c>
      <c r="J331" s="98">
        <v>22</v>
      </c>
      <c r="K331" s="89">
        <f t="shared" si="13"/>
        <v>1</v>
      </c>
      <c r="L331" s="89">
        <v>18647.9</v>
      </c>
      <c r="M331" s="89">
        <v>3143.55</v>
      </c>
      <c r="N331" s="89">
        <v>1899.75</v>
      </c>
      <c r="O331" s="89">
        <f t="shared" si="14"/>
        <v>23691.2</v>
      </c>
    </row>
    <row r="332" spans="1:15">
      <c r="A332" s="74" t="s">
        <v>113</v>
      </c>
      <c r="B332" s="74" t="s">
        <v>206</v>
      </c>
      <c r="C332" s="74" t="s">
        <v>207</v>
      </c>
      <c r="D332" s="88" t="s">
        <v>82</v>
      </c>
      <c r="E332" s="88" t="s">
        <v>84</v>
      </c>
      <c r="F332" s="86" t="s">
        <v>208</v>
      </c>
      <c r="G332" s="74" t="s">
        <v>209</v>
      </c>
      <c r="H332" s="87">
        <v>44346</v>
      </c>
      <c r="I332" s="98">
        <v>22</v>
      </c>
      <c r="J332" s="98">
        <v>22</v>
      </c>
      <c r="K332" s="89">
        <f t="shared" si="13"/>
        <v>1</v>
      </c>
      <c r="L332" s="89">
        <v>9684.55</v>
      </c>
      <c r="M332" s="89">
        <v>3010.34</v>
      </c>
      <c r="N332" s="89">
        <v>939.66</v>
      </c>
      <c r="O332" s="89">
        <f t="shared" si="14"/>
        <v>13634.55</v>
      </c>
    </row>
    <row r="333" spans="1:15">
      <c r="A333" s="74" t="s">
        <v>113</v>
      </c>
      <c r="B333" s="74" t="s">
        <v>210</v>
      </c>
      <c r="C333" s="74" t="s">
        <v>211</v>
      </c>
      <c r="D333" s="88" t="s">
        <v>82</v>
      </c>
      <c r="E333" s="88" t="s">
        <v>84</v>
      </c>
      <c r="F333" s="86" t="s">
        <v>116</v>
      </c>
      <c r="G333" s="74" t="s">
        <v>209</v>
      </c>
      <c r="H333" s="87">
        <v>44346</v>
      </c>
      <c r="I333" s="98">
        <v>22</v>
      </c>
      <c r="J333" s="98">
        <v>22</v>
      </c>
      <c r="K333" s="89">
        <f t="shared" si="13"/>
        <v>1</v>
      </c>
      <c r="L333" s="89">
        <v>8001.91</v>
      </c>
      <c r="M333" s="89">
        <v>3077.89</v>
      </c>
      <c r="N333" s="89">
        <v>848.11</v>
      </c>
      <c r="O333" s="89">
        <f t="shared" si="14"/>
        <v>11927.91</v>
      </c>
    </row>
    <row r="334" spans="1:15">
      <c r="A334" s="74" t="s">
        <v>113</v>
      </c>
      <c r="B334" s="74" t="s">
        <v>212</v>
      </c>
      <c r="C334" s="74" t="s">
        <v>213</v>
      </c>
      <c r="D334" s="88" t="s">
        <v>82</v>
      </c>
      <c r="E334" s="88" t="s">
        <v>84</v>
      </c>
      <c r="F334" s="86" t="s">
        <v>208</v>
      </c>
      <c r="G334" s="74" t="s">
        <v>209</v>
      </c>
      <c r="H334" s="87">
        <v>44346</v>
      </c>
      <c r="I334" s="98">
        <v>22</v>
      </c>
      <c r="J334" s="98">
        <v>22</v>
      </c>
      <c r="K334" s="89">
        <f t="shared" si="13"/>
        <v>1</v>
      </c>
      <c r="L334" s="89">
        <v>9054.94</v>
      </c>
      <c r="M334" s="89">
        <v>3018.61</v>
      </c>
      <c r="N334" s="89">
        <v>905.16</v>
      </c>
      <c r="O334" s="89">
        <f t="shared" si="14"/>
        <v>12978.71</v>
      </c>
    </row>
    <row r="335" spans="1:15">
      <c r="A335" s="74" t="s">
        <v>113</v>
      </c>
      <c r="B335" s="74" t="s">
        <v>214</v>
      </c>
      <c r="C335" s="74" t="s">
        <v>215</v>
      </c>
      <c r="D335" s="88" t="s">
        <v>82</v>
      </c>
      <c r="E335" s="88" t="s">
        <v>84</v>
      </c>
      <c r="F335" s="86" t="s">
        <v>116</v>
      </c>
      <c r="G335" s="74" t="s">
        <v>209</v>
      </c>
      <c r="H335" s="87">
        <v>44346</v>
      </c>
      <c r="I335" s="98">
        <v>22</v>
      </c>
      <c r="J335" s="98">
        <v>22</v>
      </c>
      <c r="K335" s="89">
        <f t="shared" si="13"/>
        <v>1</v>
      </c>
      <c r="L335" s="89">
        <v>8622.56</v>
      </c>
      <c r="M335" s="89">
        <v>3003.44</v>
      </c>
      <c r="N335" s="89">
        <v>853.45</v>
      </c>
      <c r="O335" s="89">
        <f t="shared" si="14"/>
        <v>12479.45</v>
      </c>
    </row>
    <row r="336" spans="1:15">
      <c r="A336" s="74" t="s">
        <v>113</v>
      </c>
      <c r="B336" s="74" t="s">
        <v>216</v>
      </c>
      <c r="C336" s="74" t="s">
        <v>217</v>
      </c>
      <c r="D336" s="88" t="s">
        <v>82</v>
      </c>
      <c r="E336" s="88" t="s">
        <v>84</v>
      </c>
      <c r="F336" s="86" t="s">
        <v>218</v>
      </c>
      <c r="G336" s="74" t="s">
        <v>219</v>
      </c>
      <c r="H336" s="87">
        <v>44346</v>
      </c>
      <c r="I336" s="98">
        <v>22</v>
      </c>
      <c r="J336" s="98">
        <v>22</v>
      </c>
      <c r="K336" s="89">
        <f t="shared" si="13"/>
        <v>1</v>
      </c>
      <c r="L336" s="89">
        <v>11442.42</v>
      </c>
      <c r="M336" s="89">
        <v>3115.91</v>
      </c>
      <c r="N336" s="89">
        <v>1169.68</v>
      </c>
      <c r="O336" s="89">
        <f t="shared" si="14"/>
        <v>15728.01</v>
      </c>
    </row>
    <row r="337" spans="1:15">
      <c r="A337" s="74" t="s">
        <v>113</v>
      </c>
      <c r="B337" s="74" t="s">
        <v>220</v>
      </c>
      <c r="C337" s="74" t="s">
        <v>221</v>
      </c>
      <c r="D337" s="88" t="s">
        <v>82</v>
      </c>
      <c r="E337" s="74" t="s">
        <v>83</v>
      </c>
      <c r="F337" s="86" t="s">
        <v>218</v>
      </c>
      <c r="G337" s="74" t="s">
        <v>222</v>
      </c>
      <c r="H337" s="87">
        <v>44346</v>
      </c>
      <c r="I337" s="98">
        <v>22</v>
      </c>
      <c r="J337" s="98">
        <v>22</v>
      </c>
      <c r="K337" s="89">
        <f t="shared" si="13"/>
        <v>1</v>
      </c>
      <c r="L337" s="89">
        <v>11862.9</v>
      </c>
      <c r="M337" s="89">
        <v>3296.66</v>
      </c>
      <c r="N337" s="89">
        <v>1186.29</v>
      </c>
      <c r="O337" s="89">
        <f t="shared" si="14"/>
        <v>16345.85</v>
      </c>
    </row>
    <row r="338" spans="1:15">
      <c r="A338" s="74" t="s">
        <v>113</v>
      </c>
      <c r="B338" s="74" t="s">
        <v>223</v>
      </c>
      <c r="C338" s="74" t="s">
        <v>224</v>
      </c>
      <c r="D338" s="88" t="s">
        <v>82</v>
      </c>
      <c r="E338" s="74" t="s">
        <v>83</v>
      </c>
      <c r="F338" s="86" t="s">
        <v>225</v>
      </c>
      <c r="G338" s="74" t="s">
        <v>209</v>
      </c>
      <c r="H338" s="87">
        <v>44346</v>
      </c>
      <c r="I338" s="98">
        <v>22</v>
      </c>
      <c r="J338" s="98">
        <v>22</v>
      </c>
      <c r="K338" s="89">
        <f t="shared" si="13"/>
        <v>1</v>
      </c>
      <c r="L338" s="89">
        <v>10262.84</v>
      </c>
      <c r="M338" s="89">
        <v>3153.8</v>
      </c>
      <c r="N338" s="89">
        <v>1047.75</v>
      </c>
      <c r="O338" s="89">
        <f t="shared" si="14"/>
        <v>14464.39</v>
      </c>
    </row>
    <row r="339" spans="1:15">
      <c r="A339" s="74" t="s">
        <v>113</v>
      </c>
      <c r="B339" s="74" t="s">
        <v>226</v>
      </c>
      <c r="C339" s="74" t="s">
        <v>227</v>
      </c>
      <c r="D339" s="88" t="s">
        <v>82</v>
      </c>
      <c r="E339" s="74" t="s">
        <v>83</v>
      </c>
      <c r="F339" s="86" t="s">
        <v>208</v>
      </c>
      <c r="G339" s="74" t="s">
        <v>209</v>
      </c>
      <c r="H339" s="87">
        <v>44346</v>
      </c>
      <c r="I339" s="98">
        <v>22</v>
      </c>
      <c r="J339" s="98">
        <v>22</v>
      </c>
      <c r="K339" s="89">
        <f t="shared" si="13"/>
        <v>1</v>
      </c>
      <c r="L339" s="89">
        <v>9136.83</v>
      </c>
      <c r="M339" s="89">
        <v>3203.38</v>
      </c>
      <c r="N339" s="89">
        <v>988.79</v>
      </c>
      <c r="O339" s="89">
        <f t="shared" si="14"/>
        <v>13329</v>
      </c>
    </row>
    <row r="340" spans="1:15">
      <c r="A340" s="74" t="s">
        <v>113</v>
      </c>
      <c r="B340" s="74" t="s">
        <v>228</v>
      </c>
      <c r="C340" s="74" t="s">
        <v>229</v>
      </c>
      <c r="D340" s="88" t="s">
        <v>82</v>
      </c>
      <c r="E340" s="74" t="s">
        <v>83</v>
      </c>
      <c r="F340" s="86" t="s">
        <v>116</v>
      </c>
      <c r="G340" s="74" t="s">
        <v>209</v>
      </c>
      <c r="H340" s="87">
        <v>44346</v>
      </c>
      <c r="I340" s="98">
        <v>22</v>
      </c>
      <c r="J340" s="98">
        <v>22</v>
      </c>
      <c r="K340" s="89">
        <f t="shared" si="13"/>
        <v>1</v>
      </c>
      <c r="L340" s="89">
        <v>8654.07</v>
      </c>
      <c r="M340" s="89">
        <v>3202.61</v>
      </c>
      <c r="N340" s="89">
        <v>873.77</v>
      </c>
      <c r="O340" s="89">
        <f t="shared" si="14"/>
        <v>12730.45</v>
      </c>
    </row>
    <row r="341" spans="1:15">
      <c r="A341" s="74" t="s">
        <v>113</v>
      </c>
      <c r="B341" s="74" t="s">
        <v>230</v>
      </c>
      <c r="C341" s="74" t="s">
        <v>231</v>
      </c>
      <c r="D341" s="88" t="s">
        <v>82</v>
      </c>
      <c r="E341" s="74" t="s">
        <v>83</v>
      </c>
      <c r="F341" s="86" t="s">
        <v>120</v>
      </c>
      <c r="G341" s="74" t="s">
        <v>209</v>
      </c>
      <c r="H341" s="87">
        <v>44346</v>
      </c>
      <c r="I341" s="98">
        <v>22</v>
      </c>
      <c r="J341" s="98">
        <v>22</v>
      </c>
      <c r="K341" s="89">
        <f t="shared" si="13"/>
        <v>1</v>
      </c>
      <c r="L341" s="89">
        <v>7518.01</v>
      </c>
      <c r="M341" s="89">
        <v>3105.15</v>
      </c>
      <c r="N341" s="89">
        <v>765.16</v>
      </c>
      <c r="O341" s="89">
        <f t="shared" si="14"/>
        <v>11388.32</v>
      </c>
    </row>
    <row r="342" spans="1:15">
      <c r="A342" s="74" t="s">
        <v>113</v>
      </c>
      <c r="B342" s="74" t="s">
        <v>232</v>
      </c>
      <c r="C342" s="74" t="s">
        <v>233</v>
      </c>
      <c r="D342" s="88" t="s">
        <v>82</v>
      </c>
      <c r="E342" s="74" t="s">
        <v>83</v>
      </c>
      <c r="F342" s="86" t="s">
        <v>123</v>
      </c>
      <c r="G342" s="74" t="s">
        <v>209</v>
      </c>
      <c r="H342" s="87">
        <v>44346</v>
      </c>
      <c r="I342" s="98">
        <v>22</v>
      </c>
      <c r="J342" s="98">
        <v>22</v>
      </c>
      <c r="K342" s="89">
        <f t="shared" si="13"/>
        <v>1</v>
      </c>
      <c r="L342" s="89">
        <v>6228.41</v>
      </c>
      <c r="M342" s="89">
        <v>3067.69</v>
      </c>
      <c r="N342" s="89">
        <v>614.04</v>
      </c>
      <c r="O342" s="89">
        <f t="shared" si="14"/>
        <v>9910.14</v>
      </c>
    </row>
    <row r="343" spans="1:15">
      <c r="A343" s="74" t="s">
        <v>113</v>
      </c>
      <c r="B343" s="74" t="s">
        <v>234</v>
      </c>
      <c r="C343" s="74" t="s">
        <v>235</v>
      </c>
      <c r="D343" s="88" t="s">
        <v>82</v>
      </c>
      <c r="E343" s="74" t="s">
        <v>83</v>
      </c>
      <c r="F343" s="86" t="s">
        <v>116</v>
      </c>
      <c r="G343" s="74" t="s">
        <v>209</v>
      </c>
      <c r="H343" s="87">
        <v>44346</v>
      </c>
      <c r="I343" s="98">
        <v>22</v>
      </c>
      <c r="J343" s="98">
        <v>22</v>
      </c>
      <c r="K343" s="89">
        <f t="shared" si="13"/>
        <v>1</v>
      </c>
      <c r="L343" s="89">
        <v>8032.91</v>
      </c>
      <c r="M343" s="89">
        <v>3178.94</v>
      </c>
      <c r="N343" s="89">
        <v>819.45</v>
      </c>
      <c r="O343" s="89">
        <f t="shared" si="14"/>
        <v>12031.3</v>
      </c>
    </row>
    <row r="344" spans="1:15">
      <c r="A344" s="74" t="s">
        <v>113</v>
      </c>
      <c r="B344" s="74" t="s">
        <v>236</v>
      </c>
      <c r="C344" s="74" t="s">
        <v>237</v>
      </c>
      <c r="D344" s="88" t="s">
        <v>82</v>
      </c>
      <c r="E344" s="74" t="s">
        <v>83</v>
      </c>
      <c r="F344" s="86" t="s">
        <v>120</v>
      </c>
      <c r="G344" s="74" t="s">
        <v>209</v>
      </c>
      <c r="H344" s="87">
        <v>44346</v>
      </c>
      <c r="I344" s="98">
        <v>22</v>
      </c>
      <c r="J344" s="98">
        <v>22</v>
      </c>
      <c r="K344" s="89">
        <f t="shared" si="13"/>
        <v>1</v>
      </c>
      <c r="L344" s="89">
        <v>7200.01</v>
      </c>
      <c r="M344" s="89">
        <v>3276.46</v>
      </c>
      <c r="N344" s="89">
        <v>730.95</v>
      </c>
      <c r="O344" s="89">
        <f t="shared" si="14"/>
        <v>11207.42</v>
      </c>
    </row>
    <row r="345" spans="1:15">
      <c r="A345" s="74" t="s">
        <v>113</v>
      </c>
      <c r="B345" s="74" t="s">
        <v>238</v>
      </c>
      <c r="C345" s="74" t="s">
        <v>239</v>
      </c>
      <c r="D345" s="74" t="s">
        <v>86</v>
      </c>
      <c r="E345" s="74" t="s">
        <v>87</v>
      </c>
      <c r="F345" s="86" t="s">
        <v>204</v>
      </c>
      <c r="G345" s="74" t="s">
        <v>240</v>
      </c>
      <c r="H345" s="87">
        <v>44346</v>
      </c>
      <c r="I345" s="98">
        <v>22</v>
      </c>
      <c r="J345" s="98">
        <v>22</v>
      </c>
      <c r="K345" s="89">
        <f t="shared" si="13"/>
        <v>1</v>
      </c>
      <c r="L345" s="89">
        <v>14449.05</v>
      </c>
      <c r="M345" s="89">
        <v>3100.15</v>
      </c>
      <c r="N345" s="89">
        <v>1855.61</v>
      </c>
      <c r="O345" s="89">
        <f t="shared" si="14"/>
        <v>19404.81</v>
      </c>
    </row>
    <row r="346" spans="1:15">
      <c r="A346" s="74" t="s">
        <v>113</v>
      </c>
      <c r="B346" s="74" t="s">
        <v>241</v>
      </c>
      <c r="C346" s="74" t="s">
        <v>242</v>
      </c>
      <c r="D346" s="74" t="s">
        <v>86</v>
      </c>
      <c r="E346" s="74" t="s">
        <v>87</v>
      </c>
      <c r="F346" s="86" t="s">
        <v>243</v>
      </c>
      <c r="G346" s="74" t="s">
        <v>244</v>
      </c>
      <c r="H346" s="87">
        <v>44346</v>
      </c>
      <c r="I346" s="98">
        <v>22</v>
      </c>
      <c r="J346" s="98">
        <v>22</v>
      </c>
      <c r="K346" s="89">
        <f t="shared" si="13"/>
        <v>1</v>
      </c>
      <c r="L346" s="89">
        <v>10659.23</v>
      </c>
      <c r="M346" s="89">
        <v>3226.21</v>
      </c>
      <c r="N346" s="89">
        <v>1315.12</v>
      </c>
      <c r="O346" s="89">
        <f t="shared" si="14"/>
        <v>15200.56</v>
      </c>
    </row>
    <row r="347" spans="1:15">
      <c r="A347" s="74" t="s">
        <v>113</v>
      </c>
      <c r="B347" s="74" t="s">
        <v>245</v>
      </c>
      <c r="C347" s="74" t="s">
        <v>246</v>
      </c>
      <c r="D347" s="74" t="s">
        <v>86</v>
      </c>
      <c r="E347" s="74" t="s">
        <v>87</v>
      </c>
      <c r="F347" s="86" t="s">
        <v>247</v>
      </c>
      <c r="G347" s="74" t="s">
        <v>248</v>
      </c>
      <c r="H347" s="87">
        <v>44346</v>
      </c>
      <c r="I347" s="98">
        <v>22</v>
      </c>
      <c r="J347" s="98">
        <v>22</v>
      </c>
      <c r="K347" s="89">
        <f t="shared" si="13"/>
        <v>1</v>
      </c>
      <c r="L347" s="89">
        <v>10394.43</v>
      </c>
      <c r="M347" s="89">
        <v>3148.71</v>
      </c>
      <c r="N347" s="89">
        <v>1275.83</v>
      </c>
      <c r="O347" s="89">
        <f t="shared" si="14"/>
        <v>14818.97</v>
      </c>
    </row>
    <row r="348" spans="1:15">
      <c r="A348" s="74" t="s">
        <v>113</v>
      </c>
      <c r="B348" s="74" t="s">
        <v>249</v>
      </c>
      <c r="C348" s="74" t="s">
        <v>250</v>
      </c>
      <c r="D348" s="74" t="s">
        <v>86</v>
      </c>
      <c r="E348" s="74" t="s">
        <v>87</v>
      </c>
      <c r="F348" s="86" t="s">
        <v>251</v>
      </c>
      <c r="G348" s="74" t="s">
        <v>252</v>
      </c>
      <c r="H348" s="87">
        <v>44346</v>
      </c>
      <c r="I348" s="98">
        <v>22</v>
      </c>
      <c r="J348" s="98">
        <v>22</v>
      </c>
      <c r="K348" s="89">
        <f t="shared" si="13"/>
        <v>1</v>
      </c>
      <c r="L348" s="89">
        <v>9367.29</v>
      </c>
      <c r="M348" s="89">
        <v>3021.92</v>
      </c>
      <c r="N348" s="89">
        <v>1119.81</v>
      </c>
      <c r="O348" s="89">
        <f t="shared" si="14"/>
        <v>13509.02</v>
      </c>
    </row>
    <row r="349" spans="1:15">
      <c r="A349" s="74" t="s">
        <v>113</v>
      </c>
      <c r="B349" s="74" t="s">
        <v>253</v>
      </c>
      <c r="C349" s="74" t="s">
        <v>254</v>
      </c>
      <c r="D349" s="74" t="s">
        <v>86</v>
      </c>
      <c r="E349" s="74" t="s">
        <v>87</v>
      </c>
      <c r="F349" s="86" t="s">
        <v>255</v>
      </c>
      <c r="G349" s="74" t="s">
        <v>252</v>
      </c>
      <c r="H349" s="87">
        <v>44346</v>
      </c>
      <c r="I349" s="98">
        <v>22</v>
      </c>
      <c r="J349" s="98">
        <v>22</v>
      </c>
      <c r="K349" s="89">
        <f t="shared" si="13"/>
        <v>1</v>
      </c>
      <c r="L349" s="89">
        <v>8765.17</v>
      </c>
      <c r="M349" s="89">
        <v>3164.78</v>
      </c>
      <c r="N349" s="89">
        <v>1061.93</v>
      </c>
      <c r="O349" s="89">
        <f t="shared" si="14"/>
        <v>12991.88</v>
      </c>
    </row>
    <row r="350" spans="1:15">
      <c r="A350" s="74" t="s">
        <v>113</v>
      </c>
      <c r="B350" s="74" t="s">
        <v>256</v>
      </c>
      <c r="C350" s="74" t="s">
        <v>257</v>
      </c>
      <c r="D350" s="74" t="s">
        <v>86</v>
      </c>
      <c r="E350" s="74" t="s">
        <v>87</v>
      </c>
      <c r="F350" s="86" t="s">
        <v>258</v>
      </c>
      <c r="G350" s="74" t="s">
        <v>252</v>
      </c>
      <c r="H350" s="87">
        <v>44346</v>
      </c>
      <c r="I350" s="98">
        <v>22</v>
      </c>
      <c r="J350" s="98">
        <v>22</v>
      </c>
      <c r="K350" s="89">
        <f t="shared" si="13"/>
        <v>1</v>
      </c>
      <c r="L350" s="89">
        <v>7349.6</v>
      </c>
      <c r="M350" s="89">
        <v>3154</v>
      </c>
      <c r="N350" s="89">
        <v>957.11</v>
      </c>
      <c r="O350" s="89">
        <f t="shared" si="14"/>
        <v>11460.71</v>
      </c>
    </row>
    <row r="351" spans="1:15">
      <c r="A351" s="74" t="s">
        <v>113</v>
      </c>
      <c r="B351" s="74" t="s">
        <v>259</v>
      </c>
      <c r="C351" s="74" t="s">
        <v>260</v>
      </c>
      <c r="D351" s="74" t="s">
        <v>86</v>
      </c>
      <c r="E351" s="74" t="s">
        <v>87</v>
      </c>
      <c r="F351" s="86" t="s">
        <v>261</v>
      </c>
      <c r="G351" s="74" t="s">
        <v>262</v>
      </c>
      <c r="H351" s="87">
        <v>44346</v>
      </c>
      <c r="I351" s="98">
        <v>22</v>
      </c>
      <c r="J351" s="98">
        <v>22</v>
      </c>
      <c r="K351" s="89">
        <f t="shared" si="13"/>
        <v>1</v>
      </c>
      <c r="L351" s="89">
        <v>6686.48</v>
      </c>
      <c r="M351" s="89">
        <v>3294.17</v>
      </c>
      <c r="N351" s="89">
        <v>860.85</v>
      </c>
      <c r="O351" s="89">
        <f t="shared" si="14"/>
        <v>10841.5</v>
      </c>
    </row>
    <row r="352" spans="1:15">
      <c r="A352" s="74" t="s">
        <v>113</v>
      </c>
      <c r="B352" s="74" t="s">
        <v>263</v>
      </c>
      <c r="C352" s="74" t="s">
        <v>264</v>
      </c>
      <c r="D352" s="74" t="s">
        <v>86</v>
      </c>
      <c r="E352" s="74" t="s">
        <v>88</v>
      </c>
      <c r="F352" s="86" t="s">
        <v>149</v>
      </c>
      <c r="G352" s="74" t="s">
        <v>265</v>
      </c>
      <c r="H352" s="87">
        <v>44346</v>
      </c>
      <c r="I352" s="98">
        <v>22</v>
      </c>
      <c r="J352" s="98">
        <v>22</v>
      </c>
      <c r="K352" s="89">
        <f t="shared" si="13"/>
        <v>1</v>
      </c>
      <c r="L352" s="89">
        <v>14392.31</v>
      </c>
      <c r="M352" s="89">
        <v>3151.9</v>
      </c>
      <c r="N352" s="89">
        <v>1814.35</v>
      </c>
      <c r="O352" s="89">
        <f t="shared" si="14"/>
        <v>19358.56</v>
      </c>
    </row>
    <row r="353" spans="1:15">
      <c r="A353" s="74" t="s">
        <v>113</v>
      </c>
      <c r="B353" s="74" t="s">
        <v>266</v>
      </c>
      <c r="C353" s="74" t="s">
        <v>267</v>
      </c>
      <c r="D353" s="74" t="s">
        <v>86</v>
      </c>
      <c r="E353" s="74" t="s">
        <v>88</v>
      </c>
      <c r="F353" s="86" t="s">
        <v>243</v>
      </c>
      <c r="G353" s="74" t="s">
        <v>268</v>
      </c>
      <c r="H353" s="87">
        <v>44346</v>
      </c>
      <c r="I353" s="98">
        <v>22</v>
      </c>
      <c r="J353" s="98">
        <v>22</v>
      </c>
      <c r="K353" s="89">
        <f t="shared" si="13"/>
        <v>1</v>
      </c>
      <c r="L353" s="89">
        <v>11012.9</v>
      </c>
      <c r="M353" s="89">
        <v>3151.25</v>
      </c>
      <c r="N353" s="89">
        <v>1376.07</v>
      </c>
      <c r="O353" s="89">
        <f t="shared" si="14"/>
        <v>15540.22</v>
      </c>
    </row>
    <row r="354" spans="1:15">
      <c r="A354" s="74" t="s">
        <v>113</v>
      </c>
      <c r="B354" s="74" t="s">
        <v>269</v>
      </c>
      <c r="C354" s="74" t="s">
        <v>270</v>
      </c>
      <c r="D354" s="74" t="s">
        <v>86</v>
      </c>
      <c r="E354" s="74" t="s">
        <v>88</v>
      </c>
      <c r="F354" s="86" t="s">
        <v>247</v>
      </c>
      <c r="G354" s="74" t="s">
        <v>268</v>
      </c>
      <c r="H354" s="87">
        <v>44346</v>
      </c>
      <c r="I354" s="98">
        <v>22</v>
      </c>
      <c r="J354" s="98">
        <v>22</v>
      </c>
      <c r="K354" s="89">
        <f t="shared" si="13"/>
        <v>1</v>
      </c>
      <c r="L354" s="89">
        <v>10165.14</v>
      </c>
      <c r="M354" s="89">
        <v>3067.9</v>
      </c>
      <c r="N354" s="89">
        <v>1244.2</v>
      </c>
      <c r="O354" s="89">
        <f t="shared" si="14"/>
        <v>14477.24</v>
      </c>
    </row>
    <row r="355" spans="1:15">
      <c r="A355" s="74" t="s">
        <v>113</v>
      </c>
      <c r="B355" s="74" t="s">
        <v>271</v>
      </c>
      <c r="C355" s="74" t="s">
        <v>272</v>
      </c>
      <c r="D355" s="74" t="s">
        <v>86</v>
      </c>
      <c r="E355" s="74" t="s">
        <v>88</v>
      </c>
      <c r="F355" s="86" t="s">
        <v>251</v>
      </c>
      <c r="G355" s="74" t="s">
        <v>268</v>
      </c>
      <c r="H355" s="87">
        <v>44346</v>
      </c>
      <c r="I355" s="98">
        <v>22</v>
      </c>
      <c r="J355" s="98">
        <v>22</v>
      </c>
      <c r="K355" s="89">
        <f t="shared" si="13"/>
        <v>1</v>
      </c>
      <c r="L355" s="89">
        <v>9028.05</v>
      </c>
      <c r="M355" s="89">
        <v>3220.38</v>
      </c>
      <c r="N355" s="89">
        <v>1103.04</v>
      </c>
      <c r="O355" s="89">
        <f t="shared" si="14"/>
        <v>13351.47</v>
      </c>
    </row>
    <row r="356" spans="1:15">
      <c r="A356" s="74" t="s">
        <v>113</v>
      </c>
      <c r="B356" s="74" t="s">
        <v>273</v>
      </c>
      <c r="C356" s="74" t="s">
        <v>274</v>
      </c>
      <c r="D356" s="74" t="s">
        <v>86</v>
      </c>
      <c r="E356" s="74" t="s">
        <v>88</v>
      </c>
      <c r="F356" s="86" t="s">
        <v>255</v>
      </c>
      <c r="G356" s="74" t="s">
        <v>268</v>
      </c>
      <c r="H356" s="87">
        <v>44346</v>
      </c>
      <c r="I356" s="98">
        <v>22</v>
      </c>
      <c r="J356" s="98">
        <v>22</v>
      </c>
      <c r="K356" s="89">
        <f t="shared" si="13"/>
        <v>1</v>
      </c>
      <c r="L356" s="89">
        <v>8741.97</v>
      </c>
      <c r="M356" s="89">
        <v>3123.92</v>
      </c>
      <c r="N356" s="89">
        <v>1082.21</v>
      </c>
      <c r="O356" s="89">
        <f t="shared" si="14"/>
        <v>12948.1</v>
      </c>
    </row>
    <row r="357" spans="1:15">
      <c r="A357" s="74" t="s">
        <v>113</v>
      </c>
      <c r="B357" s="74" t="s">
        <v>275</v>
      </c>
      <c r="C357" s="74" t="s">
        <v>276</v>
      </c>
      <c r="D357" s="74" t="s">
        <v>86</v>
      </c>
      <c r="E357" s="74" t="s">
        <v>88</v>
      </c>
      <c r="F357" s="86" t="s">
        <v>258</v>
      </c>
      <c r="G357" s="74" t="s">
        <v>268</v>
      </c>
      <c r="H357" s="87">
        <v>44346</v>
      </c>
      <c r="I357" s="98">
        <v>22</v>
      </c>
      <c r="J357" s="98">
        <v>22</v>
      </c>
      <c r="K357" s="89">
        <f t="shared" si="13"/>
        <v>1</v>
      </c>
      <c r="L357" s="89">
        <v>7647.25</v>
      </c>
      <c r="M357" s="89">
        <v>3055.39</v>
      </c>
      <c r="N357" s="89">
        <v>951.33</v>
      </c>
      <c r="O357" s="89">
        <f t="shared" si="14"/>
        <v>11653.97</v>
      </c>
    </row>
    <row r="358" spans="1:15">
      <c r="A358" s="74" t="s">
        <v>113</v>
      </c>
      <c r="B358" s="74" t="s">
        <v>277</v>
      </c>
      <c r="C358" s="74" t="s">
        <v>278</v>
      </c>
      <c r="D358" s="74" t="s">
        <v>86</v>
      </c>
      <c r="E358" s="74" t="s">
        <v>89</v>
      </c>
      <c r="F358" s="86" t="s">
        <v>279</v>
      </c>
      <c r="G358" s="74" t="s">
        <v>280</v>
      </c>
      <c r="H358" s="87">
        <v>44346</v>
      </c>
      <c r="I358" s="98">
        <v>22</v>
      </c>
      <c r="J358" s="98">
        <v>22</v>
      </c>
      <c r="K358" s="89">
        <f t="shared" si="13"/>
        <v>1</v>
      </c>
      <c r="L358" s="89">
        <v>12211.77</v>
      </c>
      <c r="M358" s="89">
        <v>3161.36</v>
      </c>
      <c r="N358" s="89">
        <v>1649.27</v>
      </c>
      <c r="O358" s="89">
        <f t="shared" si="14"/>
        <v>17022.4</v>
      </c>
    </row>
    <row r="359" spans="1:15">
      <c r="A359" s="74" t="s">
        <v>113</v>
      </c>
      <c r="B359" s="74" t="s">
        <v>281</v>
      </c>
      <c r="C359" s="74" t="s">
        <v>282</v>
      </c>
      <c r="D359" s="74" t="s">
        <v>86</v>
      </c>
      <c r="E359" s="74" t="s">
        <v>89</v>
      </c>
      <c r="F359" s="86" t="s">
        <v>225</v>
      </c>
      <c r="G359" s="74" t="s">
        <v>283</v>
      </c>
      <c r="H359" s="87">
        <v>44346</v>
      </c>
      <c r="I359" s="98">
        <v>22</v>
      </c>
      <c r="J359" s="98">
        <v>22</v>
      </c>
      <c r="K359" s="89">
        <f t="shared" si="13"/>
        <v>1</v>
      </c>
      <c r="L359" s="89">
        <v>8252.35</v>
      </c>
      <c r="M359" s="89">
        <v>3152.71</v>
      </c>
      <c r="N359" s="89">
        <v>1074.73</v>
      </c>
      <c r="O359" s="89">
        <f t="shared" si="14"/>
        <v>12479.79</v>
      </c>
    </row>
    <row r="360" spans="1:15">
      <c r="A360" s="74" t="s">
        <v>113</v>
      </c>
      <c r="B360" s="74" t="s">
        <v>284</v>
      </c>
      <c r="C360" s="74" t="s">
        <v>285</v>
      </c>
      <c r="D360" s="74" t="s">
        <v>86</v>
      </c>
      <c r="E360" s="74" t="s">
        <v>89</v>
      </c>
      <c r="F360" s="86" t="s">
        <v>208</v>
      </c>
      <c r="G360" s="74" t="s">
        <v>283</v>
      </c>
      <c r="H360" s="87">
        <v>44346</v>
      </c>
      <c r="I360" s="98">
        <v>22</v>
      </c>
      <c r="J360" s="98">
        <v>22</v>
      </c>
      <c r="K360" s="89">
        <f t="shared" si="13"/>
        <v>1</v>
      </c>
      <c r="L360" s="89">
        <v>7501.73</v>
      </c>
      <c r="M360" s="89">
        <v>3128.42</v>
      </c>
      <c r="N360" s="89">
        <v>947.13</v>
      </c>
      <c r="O360" s="89">
        <f t="shared" si="14"/>
        <v>11577.28</v>
      </c>
    </row>
    <row r="361" spans="1:15">
      <c r="A361" s="74" t="s">
        <v>113</v>
      </c>
      <c r="B361" s="74" t="s">
        <v>286</v>
      </c>
      <c r="C361" s="74" t="s">
        <v>287</v>
      </c>
      <c r="D361" s="74" t="s">
        <v>82</v>
      </c>
      <c r="E361" s="88" t="s">
        <v>85</v>
      </c>
      <c r="F361" s="86" t="s">
        <v>288</v>
      </c>
      <c r="G361" s="74" t="s">
        <v>289</v>
      </c>
      <c r="H361" s="87">
        <v>44346</v>
      </c>
      <c r="I361" s="98">
        <v>22</v>
      </c>
      <c r="J361" s="98">
        <v>22</v>
      </c>
      <c r="K361" s="89">
        <f t="shared" ref="K361:K369" si="15">I361/J361</f>
        <v>1</v>
      </c>
      <c r="L361" s="89">
        <v>12805.3</v>
      </c>
      <c r="M361" s="89">
        <v>3024.18</v>
      </c>
      <c r="N361" s="89">
        <v>1296.55</v>
      </c>
      <c r="O361" s="89">
        <f t="shared" si="14"/>
        <v>17126.03</v>
      </c>
    </row>
    <row r="362" spans="1:15">
      <c r="A362" s="74" t="s">
        <v>113</v>
      </c>
      <c r="B362" s="74" t="s">
        <v>290</v>
      </c>
      <c r="C362" s="74" t="s">
        <v>291</v>
      </c>
      <c r="D362" s="74" t="s">
        <v>82</v>
      </c>
      <c r="E362" s="88" t="s">
        <v>85</v>
      </c>
      <c r="F362" s="86" t="s">
        <v>218</v>
      </c>
      <c r="G362" s="74" t="s">
        <v>289</v>
      </c>
      <c r="H362" s="87">
        <v>44346</v>
      </c>
      <c r="I362" s="98">
        <v>22</v>
      </c>
      <c r="J362" s="98">
        <v>22</v>
      </c>
      <c r="K362" s="89">
        <f t="shared" si="15"/>
        <v>1</v>
      </c>
      <c r="L362" s="89">
        <v>11026.19</v>
      </c>
      <c r="M362" s="89">
        <v>3101.29</v>
      </c>
      <c r="N362" s="89">
        <v>1194.62</v>
      </c>
      <c r="O362" s="89">
        <f t="shared" si="14"/>
        <v>15322.1</v>
      </c>
    </row>
    <row r="363" spans="1:15">
      <c r="A363" s="74" t="s">
        <v>113</v>
      </c>
      <c r="B363" s="74" t="s">
        <v>292</v>
      </c>
      <c r="C363" s="74" t="s">
        <v>293</v>
      </c>
      <c r="D363" s="74" t="s">
        <v>82</v>
      </c>
      <c r="E363" s="88" t="s">
        <v>85</v>
      </c>
      <c r="F363" s="86" t="s">
        <v>225</v>
      </c>
      <c r="G363" s="74" t="s">
        <v>289</v>
      </c>
      <c r="H363" s="87">
        <v>44346</v>
      </c>
      <c r="I363" s="98">
        <v>22</v>
      </c>
      <c r="J363" s="98">
        <v>22</v>
      </c>
      <c r="K363" s="89">
        <f t="shared" si="15"/>
        <v>1</v>
      </c>
      <c r="L363" s="89">
        <v>10885.27</v>
      </c>
      <c r="M363" s="89">
        <v>3281.94</v>
      </c>
      <c r="N363" s="89">
        <v>1074.73</v>
      </c>
      <c r="O363" s="89">
        <f t="shared" si="14"/>
        <v>15241.94</v>
      </c>
    </row>
    <row r="364" spans="1:15">
      <c r="A364" s="74" t="s">
        <v>113</v>
      </c>
      <c r="B364" s="74" t="s">
        <v>294</v>
      </c>
      <c r="C364" s="74" t="s">
        <v>295</v>
      </c>
      <c r="D364" s="74" t="s">
        <v>82</v>
      </c>
      <c r="E364" s="88" t="s">
        <v>85</v>
      </c>
      <c r="F364" s="86" t="s">
        <v>208</v>
      </c>
      <c r="G364" s="74" t="s">
        <v>289</v>
      </c>
      <c r="H364" s="87">
        <v>44346</v>
      </c>
      <c r="I364" s="98">
        <v>22</v>
      </c>
      <c r="J364" s="98">
        <v>22</v>
      </c>
      <c r="K364" s="89">
        <f t="shared" si="15"/>
        <v>1</v>
      </c>
      <c r="L364" s="89">
        <v>9385.89</v>
      </c>
      <c r="M364" s="89">
        <v>3102.03</v>
      </c>
      <c r="N364" s="89">
        <v>977.63</v>
      </c>
      <c r="O364" s="89">
        <f t="shared" si="14"/>
        <v>13465.55</v>
      </c>
    </row>
    <row r="365" spans="1:15">
      <c r="A365" s="74" t="s">
        <v>113</v>
      </c>
      <c r="B365" s="74" t="s">
        <v>296</v>
      </c>
      <c r="C365" s="74" t="s">
        <v>297</v>
      </c>
      <c r="D365" s="74" t="s">
        <v>82</v>
      </c>
      <c r="E365" s="88" t="s">
        <v>85</v>
      </c>
      <c r="F365" s="86" t="s">
        <v>116</v>
      </c>
      <c r="G365" s="74" t="s">
        <v>289</v>
      </c>
      <c r="H365" s="87">
        <v>44346</v>
      </c>
      <c r="I365" s="98">
        <v>22</v>
      </c>
      <c r="J365" s="98">
        <v>22</v>
      </c>
      <c r="K365" s="89">
        <f t="shared" si="15"/>
        <v>1</v>
      </c>
      <c r="L365" s="89">
        <v>8505.51</v>
      </c>
      <c r="M365" s="89">
        <v>3086.49</v>
      </c>
      <c r="N365" s="89">
        <v>853.85</v>
      </c>
      <c r="O365" s="89">
        <f t="shared" si="14"/>
        <v>12445.85</v>
      </c>
    </row>
    <row r="366" spans="1:15">
      <c r="A366" s="74" t="s">
        <v>113</v>
      </c>
      <c r="B366" s="74" t="s">
        <v>298</v>
      </c>
      <c r="C366" s="74" t="s">
        <v>299</v>
      </c>
      <c r="D366" s="74" t="s">
        <v>82</v>
      </c>
      <c r="E366" s="88" t="s">
        <v>85</v>
      </c>
      <c r="F366" s="86" t="s">
        <v>279</v>
      </c>
      <c r="G366" s="74" t="s">
        <v>300</v>
      </c>
      <c r="H366" s="87">
        <v>44346</v>
      </c>
      <c r="I366" s="98">
        <v>22</v>
      </c>
      <c r="J366" s="98">
        <v>22</v>
      </c>
      <c r="K366" s="89">
        <f t="shared" si="15"/>
        <v>1</v>
      </c>
      <c r="L366" s="89">
        <v>15223.04</v>
      </c>
      <c r="M366" s="89">
        <v>3105.16</v>
      </c>
      <c r="N366" s="89">
        <v>1554.17</v>
      </c>
      <c r="O366" s="89">
        <f t="shared" si="14"/>
        <v>19882.37</v>
      </c>
    </row>
    <row r="367" spans="1:15">
      <c r="A367" s="74" t="s">
        <v>113</v>
      </c>
      <c r="B367" s="74" t="s">
        <v>301</v>
      </c>
      <c r="C367" s="74" t="s">
        <v>302</v>
      </c>
      <c r="D367" s="74" t="s">
        <v>82</v>
      </c>
      <c r="E367" s="88" t="s">
        <v>85</v>
      </c>
      <c r="F367" s="86" t="s">
        <v>279</v>
      </c>
      <c r="G367" s="74" t="s">
        <v>303</v>
      </c>
      <c r="H367" s="87">
        <v>44346</v>
      </c>
      <c r="I367" s="98">
        <v>22</v>
      </c>
      <c r="J367" s="98">
        <v>22</v>
      </c>
      <c r="K367" s="89">
        <f t="shared" si="15"/>
        <v>1</v>
      </c>
      <c r="L367" s="89">
        <v>15374.27</v>
      </c>
      <c r="M367" s="89">
        <v>3138.9</v>
      </c>
      <c r="N367" s="89">
        <v>1635.97</v>
      </c>
      <c r="O367" s="89">
        <f t="shared" si="14"/>
        <v>20149.14</v>
      </c>
    </row>
    <row r="368" spans="1:15">
      <c r="A368" s="74" t="s">
        <v>113</v>
      </c>
      <c r="B368" s="74" t="s">
        <v>304</v>
      </c>
      <c r="C368" s="74" t="s">
        <v>305</v>
      </c>
      <c r="D368" s="74" t="s">
        <v>86</v>
      </c>
      <c r="E368" s="74" t="s">
        <v>90</v>
      </c>
      <c r="F368" s="86" t="s">
        <v>306</v>
      </c>
      <c r="G368" s="74" t="s">
        <v>307</v>
      </c>
      <c r="H368" s="87">
        <v>44346</v>
      </c>
      <c r="I368" s="98">
        <v>22</v>
      </c>
      <c r="J368" s="98">
        <v>22</v>
      </c>
      <c r="K368" s="89">
        <f t="shared" si="15"/>
        <v>1</v>
      </c>
      <c r="L368" s="89">
        <v>17248.83</v>
      </c>
      <c r="M368" s="89">
        <v>3093.89</v>
      </c>
      <c r="N368" s="89">
        <v>2076.89</v>
      </c>
      <c r="O368" s="89">
        <f t="shared" si="14"/>
        <v>22419.61</v>
      </c>
    </row>
    <row r="369" spans="1:15">
      <c r="A369" s="74" t="s">
        <v>113</v>
      </c>
      <c r="B369" s="74" t="s">
        <v>114</v>
      </c>
      <c r="C369" s="74" t="s">
        <v>115</v>
      </c>
      <c r="D369" s="74" t="s">
        <v>79</v>
      </c>
      <c r="E369" s="74" t="s">
        <v>80</v>
      </c>
      <c r="F369" s="86" t="s">
        <v>116</v>
      </c>
      <c r="G369" s="74" t="s">
        <v>117</v>
      </c>
      <c r="H369" s="87">
        <v>44377</v>
      </c>
      <c r="I369" s="98">
        <v>22</v>
      </c>
      <c r="J369" s="98">
        <v>22</v>
      </c>
      <c r="K369" s="89">
        <f t="shared" si="15"/>
        <v>1</v>
      </c>
      <c r="L369" s="89">
        <v>8172.36</v>
      </c>
      <c r="M369" s="89">
        <v>3289.44</v>
      </c>
      <c r="N369" s="89">
        <v>806.5</v>
      </c>
      <c r="O369" s="89">
        <f t="shared" si="14"/>
        <v>12268.3</v>
      </c>
    </row>
    <row r="370" spans="1:15">
      <c r="A370" s="74" t="s">
        <v>113</v>
      </c>
      <c r="B370" s="74" t="s">
        <v>118</v>
      </c>
      <c r="C370" s="74" t="s">
        <v>119</v>
      </c>
      <c r="D370" s="74" t="s">
        <v>79</v>
      </c>
      <c r="E370" s="74" t="s">
        <v>80</v>
      </c>
      <c r="F370" s="86" t="s">
        <v>120</v>
      </c>
      <c r="G370" s="74" t="s">
        <v>117</v>
      </c>
      <c r="H370" s="87">
        <v>44377</v>
      </c>
      <c r="I370" s="98">
        <v>22</v>
      </c>
      <c r="J370" s="98">
        <v>22</v>
      </c>
      <c r="K370" s="89">
        <f t="shared" ref="K370:K433" si="16">I370/J370</f>
        <v>1</v>
      </c>
      <c r="L370" s="89">
        <v>7521.32</v>
      </c>
      <c r="M370" s="89">
        <v>3021.73</v>
      </c>
      <c r="N370" s="89">
        <v>741.12</v>
      </c>
      <c r="O370" s="89">
        <f t="shared" si="14"/>
        <v>11284.17</v>
      </c>
    </row>
    <row r="371" spans="1:15">
      <c r="A371" s="74" t="s">
        <v>113</v>
      </c>
      <c r="B371" s="74" t="s">
        <v>121</v>
      </c>
      <c r="C371" s="74" t="s">
        <v>122</v>
      </c>
      <c r="D371" s="74" t="s">
        <v>79</v>
      </c>
      <c r="E371" s="74" t="s">
        <v>80</v>
      </c>
      <c r="F371" s="86" t="s">
        <v>123</v>
      </c>
      <c r="G371" s="74" t="s">
        <v>117</v>
      </c>
      <c r="H371" s="87">
        <v>44377</v>
      </c>
      <c r="I371" s="98">
        <v>22</v>
      </c>
      <c r="J371" s="98">
        <v>22</v>
      </c>
      <c r="K371" s="89">
        <f t="shared" si="16"/>
        <v>1</v>
      </c>
      <c r="L371" s="89">
        <v>6104.2</v>
      </c>
      <c r="M371" s="89">
        <v>3078.22</v>
      </c>
      <c r="N371" s="89">
        <v>606.1</v>
      </c>
      <c r="O371" s="89">
        <f t="shared" si="14"/>
        <v>9788.52</v>
      </c>
    </row>
    <row r="372" spans="1:15">
      <c r="A372" s="74" t="s">
        <v>113</v>
      </c>
      <c r="B372" s="74" t="s">
        <v>124</v>
      </c>
      <c r="C372" s="74" t="s">
        <v>125</v>
      </c>
      <c r="D372" s="74" t="s">
        <v>79</v>
      </c>
      <c r="E372" s="74" t="s">
        <v>80</v>
      </c>
      <c r="F372" s="86" t="s">
        <v>116</v>
      </c>
      <c r="G372" s="74" t="s">
        <v>117</v>
      </c>
      <c r="H372" s="87">
        <v>44377</v>
      </c>
      <c r="I372" s="98">
        <v>22</v>
      </c>
      <c r="J372" s="98">
        <v>22</v>
      </c>
      <c r="K372" s="89">
        <f t="shared" si="16"/>
        <v>1</v>
      </c>
      <c r="L372" s="89">
        <v>8533.48</v>
      </c>
      <c r="M372" s="89">
        <v>3263.26</v>
      </c>
      <c r="N372" s="89">
        <v>815.94</v>
      </c>
      <c r="O372" s="89">
        <f t="shared" si="14"/>
        <v>12612.68</v>
      </c>
    </row>
    <row r="373" spans="1:15">
      <c r="A373" s="74" t="s">
        <v>113</v>
      </c>
      <c r="B373" s="74" t="s">
        <v>126</v>
      </c>
      <c r="C373" s="74" t="s">
        <v>127</v>
      </c>
      <c r="D373" s="74" t="s">
        <v>79</v>
      </c>
      <c r="E373" s="74" t="s">
        <v>80</v>
      </c>
      <c r="F373" s="86" t="s">
        <v>120</v>
      </c>
      <c r="G373" s="74" t="s">
        <v>117</v>
      </c>
      <c r="H373" s="87">
        <v>44377</v>
      </c>
      <c r="I373" s="98">
        <v>22</v>
      </c>
      <c r="J373" s="98">
        <v>22</v>
      </c>
      <c r="K373" s="89">
        <f t="shared" si="16"/>
        <v>1</v>
      </c>
      <c r="L373" s="89">
        <v>7182.32</v>
      </c>
      <c r="M373" s="89">
        <v>3150.37</v>
      </c>
      <c r="N373" s="89">
        <v>705.25</v>
      </c>
      <c r="O373" s="89">
        <f t="shared" si="14"/>
        <v>11037.94</v>
      </c>
    </row>
    <row r="374" spans="1:15">
      <c r="A374" s="74" t="s">
        <v>113</v>
      </c>
      <c r="B374" s="74" t="s">
        <v>128</v>
      </c>
      <c r="C374" s="74" t="s">
        <v>129</v>
      </c>
      <c r="D374" s="74" t="s">
        <v>79</v>
      </c>
      <c r="E374" s="74" t="s">
        <v>80</v>
      </c>
      <c r="F374" s="86" t="s">
        <v>123</v>
      </c>
      <c r="G374" s="74" t="s">
        <v>117</v>
      </c>
      <c r="H374" s="87">
        <v>44377</v>
      </c>
      <c r="I374" s="98">
        <v>22</v>
      </c>
      <c r="J374" s="98">
        <v>22</v>
      </c>
      <c r="K374" s="89">
        <f t="shared" si="16"/>
        <v>1</v>
      </c>
      <c r="L374" s="89">
        <v>6367.32</v>
      </c>
      <c r="M374" s="89">
        <v>3213.63</v>
      </c>
      <c r="N374" s="89">
        <v>649.2</v>
      </c>
      <c r="O374" s="89">
        <f t="shared" si="14"/>
        <v>10230.15</v>
      </c>
    </row>
    <row r="375" spans="1:15">
      <c r="A375" s="74" t="s">
        <v>113</v>
      </c>
      <c r="B375" s="74" t="s">
        <v>130</v>
      </c>
      <c r="C375" s="74" t="s">
        <v>131</v>
      </c>
      <c r="D375" s="74" t="s">
        <v>79</v>
      </c>
      <c r="E375" s="74" t="s">
        <v>80</v>
      </c>
      <c r="F375" s="86" t="s">
        <v>116</v>
      </c>
      <c r="G375" s="74" t="s">
        <v>117</v>
      </c>
      <c r="H375" s="87">
        <v>44377</v>
      </c>
      <c r="I375" s="98">
        <v>22</v>
      </c>
      <c r="J375" s="98">
        <v>22</v>
      </c>
      <c r="K375" s="89">
        <f t="shared" si="16"/>
        <v>1</v>
      </c>
      <c r="L375" s="89">
        <v>8088.49</v>
      </c>
      <c r="M375" s="89">
        <v>3272.91</v>
      </c>
      <c r="N375" s="89">
        <v>842.92</v>
      </c>
      <c r="O375" s="89">
        <f t="shared" si="14"/>
        <v>12204.32</v>
      </c>
    </row>
    <row r="376" spans="1:15">
      <c r="A376" s="74" t="s">
        <v>113</v>
      </c>
      <c r="B376" s="74" t="s">
        <v>132</v>
      </c>
      <c r="C376" s="74" t="s">
        <v>133</v>
      </c>
      <c r="D376" s="74" t="s">
        <v>79</v>
      </c>
      <c r="E376" s="74" t="s">
        <v>80</v>
      </c>
      <c r="F376" s="86" t="s">
        <v>120</v>
      </c>
      <c r="G376" s="74" t="s">
        <v>117</v>
      </c>
      <c r="H376" s="87">
        <v>44377</v>
      </c>
      <c r="I376" s="98">
        <v>22</v>
      </c>
      <c r="J376" s="98">
        <v>22</v>
      </c>
      <c r="K376" s="89">
        <f t="shared" si="16"/>
        <v>1</v>
      </c>
      <c r="L376" s="89">
        <v>7093.8</v>
      </c>
      <c r="M376" s="89">
        <v>3210.04</v>
      </c>
      <c r="N376" s="89">
        <v>727.2</v>
      </c>
      <c r="O376" s="89">
        <f t="shared" si="14"/>
        <v>11031.04</v>
      </c>
    </row>
    <row r="377" spans="1:15">
      <c r="A377" s="74" t="s">
        <v>113</v>
      </c>
      <c r="B377" s="74" t="s">
        <v>134</v>
      </c>
      <c r="C377" s="74" t="s">
        <v>135</v>
      </c>
      <c r="D377" s="74" t="s">
        <v>79</v>
      </c>
      <c r="E377" s="74" t="s">
        <v>80</v>
      </c>
      <c r="F377" s="86" t="s">
        <v>123</v>
      </c>
      <c r="G377" s="74" t="s">
        <v>117</v>
      </c>
      <c r="H377" s="87">
        <v>44377</v>
      </c>
      <c r="I377" s="98">
        <v>22</v>
      </c>
      <c r="J377" s="98">
        <v>22</v>
      </c>
      <c r="K377" s="89">
        <f t="shared" si="16"/>
        <v>1</v>
      </c>
      <c r="L377" s="89">
        <v>6180.34</v>
      </c>
      <c r="M377" s="89">
        <v>3241.85</v>
      </c>
      <c r="N377" s="89">
        <v>603.78</v>
      </c>
      <c r="O377" s="89">
        <f t="shared" si="14"/>
        <v>10025.97</v>
      </c>
    </row>
    <row r="378" spans="1:15">
      <c r="A378" s="74" t="s">
        <v>113</v>
      </c>
      <c r="B378" s="74" t="s">
        <v>136</v>
      </c>
      <c r="C378" s="74" t="s">
        <v>137</v>
      </c>
      <c r="D378" s="74" t="s">
        <v>79</v>
      </c>
      <c r="E378" s="74" t="s">
        <v>80</v>
      </c>
      <c r="F378" s="86" t="s">
        <v>116</v>
      </c>
      <c r="G378" s="74" t="s">
        <v>138</v>
      </c>
      <c r="H378" s="87">
        <v>44377</v>
      </c>
      <c r="I378" s="98">
        <v>22</v>
      </c>
      <c r="J378" s="98">
        <v>22</v>
      </c>
      <c r="K378" s="89">
        <f t="shared" si="16"/>
        <v>1</v>
      </c>
      <c r="L378" s="89">
        <v>8317.05</v>
      </c>
      <c r="M378" s="89">
        <v>3267.99</v>
      </c>
      <c r="N378" s="89">
        <v>815.37</v>
      </c>
      <c r="O378" s="89">
        <f t="shared" si="14"/>
        <v>12400.41</v>
      </c>
    </row>
    <row r="379" spans="1:15">
      <c r="A379" s="74" t="s">
        <v>113</v>
      </c>
      <c r="B379" s="74" t="s">
        <v>139</v>
      </c>
      <c r="C379" s="74" t="s">
        <v>140</v>
      </c>
      <c r="D379" s="74" t="s">
        <v>79</v>
      </c>
      <c r="E379" s="74" t="s">
        <v>80</v>
      </c>
      <c r="F379" s="86" t="s">
        <v>120</v>
      </c>
      <c r="G379" s="74" t="s">
        <v>138</v>
      </c>
      <c r="H379" s="87">
        <v>44377</v>
      </c>
      <c r="I379" s="98">
        <v>22</v>
      </c>
      <c r="J379" s="98">
        <v>22</v>
      </c>
      <c r="K379" s="89">
        <f t="shared" si="16"/>
        <v>1</v>
      </c>
      <c r="L379" s="89">
        <v>7104.21</v>
      </c>
      <c r="M379" s="89">
        <v>3098.94</v>
      </c>
      <c r="N379" s="89">
        <v>711.74</v>
      </c>
      <c r="O379" s="89">
        <f t="shared" si="14"/>
        <v>10914.89</v>
      </c>
    </row>
    <row r="380" spans="1:15">
      <c r="A380" s="74" t="s">
        <v>113</v>
      </c>
      <c r="B380" s="74" t="s">
        <v>141</v>
      </c>
      <c r="C380" s="74" t="s">
        <v>142</v>
      </c>
      <c r="D380" s="74" t="s">
        <v>79</v>
      </c>
      <c r="E380" s="74" t="s">
        <v>80</v>
      </c>
      <c r="F380" s="86" t="s">
        <v>123</v>
      </c>
      <c r="G380" s="74" t="s">
        <v>138</v>
      </c>
      <c r="H380" s="87">
        <v>44377</v>
      </c>
      <c r="I380" s="98">
        <v>22</v>
      </c>
      <c r="J380" s="98">
        <v>22</v>
      </c>
      <c r="K380" s="89">
        <f t="shared" si="16"/>
        <v>1</v>
      </c>
      <c r="L380" s="89">
        <v>6428.66</v>
      </c>
      <c r="M380" s="89">
        <v>3193.15</v>
      </c>
      <c r="N380" s="89">
        <v>621.2</v>
      </c>
      <c r="O380" s="89">
        <f t="shared" si="14"/>
        <v>10243.01</v>
      </c>
    </row>
    <row r="381" spans="1:15">
      <c r="A381" s="74" t="s">
        <v>113</v>
      </c>
      <c r="B381" s="74" t="s">
        <v>143</v>
      </c>
      <c r="C381" s="74" t="s">
        <v>144</v>
      </c>
      <c r="D381" s="74" t="s">
        <v>79</v>
      </c>
      <c r="E381" s="74" t="s">
        <v>80</v>
      </c>
      <c r="F381" s="86" t="s">
        <v>145</v>
      </c>
      <c r="G381" s="74" t="s">
        <v>146</v>
      </c>
      <c r="H381" s="87">
        <v>44377</v>
      </c>
      <c r="I381" s="98">
        <v>22</v>
      </c>
      <c r="J381" s="98">
        <v>22</v>
      </c>
      <c r="K381" s="89">
        <f t="shared" si="16"/>
        <v>1</v>
      </c>
      <c r="L381" s="89">
        <v>20373.73</v>
      </c>
      <c r="M381" s="89">
        <v>3081.87</v>
      </c>
      <c r="N381" s="89">
        <v>1951.25</v>
      </c>
      <c r="O381" s="89">
        <f t="shared" si="14"/>
        <v>25406.85</v>
      </c>
    </row>
    <row r="382" spans="1:15">
      <c r="A382" s="74" t="s">
        <v>113</v>
      </c>
      <c r="B382" s="74" t="s">
        <v>147</v>
      </c>
      <c r="C382" s="74" t="s">
        <v>148</v>
      </c>
      <c r="D382" s="74" t="s">
        <v>79</v>
      </c>
      <c r="E382" s="74" t="s">
        <v>80</v>
      </c>
      <c r="F382" s="86" t="s">
        <v>149</v>
      </c>
      <c r="G382" s="74" t="s">
        <v>150</v>
      </c>
      <c r="H382" s="87">
        <v>44377</v>
      </c>
      <c r="I382" s="98">
        <v>22</v>
      </c>
      <c r="J382" s="98">
        <v>22</v>
      </c>
      <c r="K382" s="89">
        <f t="shared" si="16"/>
        <v>1</v>
      </c>
      <c r="L382" s="89">
        <v>18099.7</v>
      </c>
      <c r="M382" s="89">
        <v>3288.58</v>
      </c>
      <c r="N382" s="89">
        <v>1868.69</v>
      </c>
      <c r="O382" s="89">
        <f t="shared" si="14"/>
        <v>23256.97</v>
      </c>
    </row>
    <row r="383" spans="1:15">
      <c r="A383" s="74" t="s">
        <v>113</v>
      </c>
      <c r="B383" s="74" t="s">
        <v>151</v>
      </c>
      <c r="C383" s="74" t="s">
        <v>152</v>
      </c>
      <c r="D383" s="74" t="s">
        <v>79</v>
      </c>
      <c r="E383" s="74" t="s">
        <v>81</v>
      </c>
      <c r="F383" s="86" t="s">
        <v>123</v>
      </c>
      <c r="G383" s="74" t="s">
        <v>153</v>
      </c>
      <c r="H383" s="87">
        <v>44377</v>
      </c>
      <c r="I383" s="98">
        <v>22</v>
      </c>
      <c r="J383" s="98">
        <v>22</v>
      </c>
      <c r="K383" s="89">
        <f t="shared" si="16"/>
        <v>1</v>
      </c>
      <c r="L383" s="89">
        <v>6596.24</v>
      </c>
      <c r="M383" s="89">
        <v>3298.92</v>
      </c>
      <c r="N383" s="89">
        <v>632.77</v>
      </c>
      <c r="O383" s="89">
        <f t="shared" si="14"/>
        <v>10527.93</v>
      </c>
    </row>
    <row r="384" spans="1:15">
      <c r="A384" s="74" t="s">
        <v>113</v>
      </c>
      <c r="B384" s="74" t="s">
        <v>154</v>
      </c>
      <c r="C384" s="74" t="s">
        <v>155</v>
      </c>
      <c r="D384" s="74" t="s">
        <v>79</v>
      </c>
      <c r="E384" s="74" t="s">
        <v>81</v>
      </c>
      <c r="F384" s="86" t="s">
        <v>156</v>
      </c>
      <c r="G384" s="74" t="s">
        <v>157</v>
      </c>
      <c r="H384" s="87">
        <v>44377</v>
      </c>
      <c r="I384" s="98">
        <v>22</v>
      </c>
      <c r="J384" s="98">
        <v>22</v>
      </c>
      <c r="K384" s="89">
        <f t="shared" si="16"/>
        <v>1</v>
      </c>
      <c r="L384" s="89">
        <v>5257.01</v>
      </c>
      <c r="M384" s="89">
        <v>3169.63</v>
      </c>
      <c r="N384" s="89">
        <v>534</v>
      </c>
      <c r="O384" s="89">
        <f t="shared" si="14"/>
        <v>8960.64</v>
      </c>
    </row>
    <row r="385" spans="1:15">
      <c r="A385" s="74" t="s">
        <v>113</v>
      </c>
      <c r="B385" s="74" t="s">
        <v>158</v>
      </c>
      <c r="C385" s="74" t="s">
        <v>159</v>
      </c>
      <c r="D385" s="74" t="s">
        <v>79</v>
      </c>
      <c r="E385" s="74" t="s">
        <v>81</v>
      </c>
      <c r="F385" s="86" t="s">
        <v>160</v>
      </c>
      <c r="G385" s="74" t="s">
        <v>161</v>
      </c>
      <c r="H385" s="87">
        <v>44377</v>
      </c>
      <c r="I385" s="98">
        <v>22</v>
      </c>
      <c r="J385" s="98">
        <v>22</v>
      </c>
      <c r="K385" s="89">
        <f t="shared" si="16"/>
        <v>1</v>
      </c>
      <c r="L385" s="89">
        <v>4015.43</v>
      </c>
      <c r="M385" s="89">
        <v>3246.02</v>
      </c>
      <c r="N385" s="89">
        <v>416.69</v>
      </c>
      <c r="O385" s="89">
        <f t="shared" si="14"/>
        <v>7678.14</v>
      </c>
    </row>
    <row r="386" spans="1:15">
      <c r="A386" s="74" t="s">
        <v>113</v>
      </c>
      <c r="B386" s="74" t="s">
        <v>162</v>
      </c>
      <c r="C386" s="74" t="s">
        <v>163</v>
      </c>
      <c r="D386" s="74" t="s">
        <v>79</v>
      </c>
      <c r="E386" s="74" t="s">
        <v>81</v>
      </c>
      <c r="F386" s="86" t="s">
        <v>123</v>
      </c>
      <c r="G386" s="74" t="s">
        <v>153</v>
      </c>
      <c r="H386" s="87">
        <v>44377</v>
      </c>
      <c r="I386" s="98">
        <v>22</v>
      </c>
      <c r="J386" s="98">
        <v>22</v>
      </c>
      <c r="K386" s="89">
        <f t="shared" si="16"/>
        <v>1</v>
      </c>
      <c r="L386" s="89">
        <v>6290.71</v>
      </c>
      <c r="M386" s="89">
        <v>3113.27</v>
      </c>
      <c r="N386" s="89">
        <v>608.18</v>
      </c>
      <c r="O386" s="89">
        <f t="shared" si="14"/>
        <v>10012.16</v>
      </c>
    </row>
    <row r="387" spans="1:15">
      <c r="A387" s="74" t="s">
        <v>113</v>
      </c>
      <c r="B387" s="74" t="s">
        <v>164</v>
      </c>
      <c r="C387" s="74" t="s">
        <v>165</v>
      </c>
      <c r="D387" s="74" t="s">
        <v>79</v>
      </c>
      <c r="E387" s="74" t="s">
        <v>81</v>
      </c>
      <c r="F387" s="86" t="s">
        <v>156</v>
      </c>
      <c r="G387" s="74" t="s">
        <v>157</v>
      </c>
      <c r="H387" s="87">
        <v>44377</v>
      </c>
      <c r="I387" s="98">
        <v>22</v>
      </c>
      <c r="J387" s="98">
        <v>22</v>
      </c>
      <c r="K387" s="89">
        <f t="shared" si="16"/>
        <v>1</v>
      </c>
      <c r="L387" s="89">
        <v>5432.03</v>
      </c>
      <c r="M387" s="89">
        <v>3189.04</v>
      </c>
      <c r="N387" s="89">
        <v>533.75</v>
      </c>
      <c r="O387" s="89">
        <f t="shared" si="14"/>
        <v>9154.82</v>
      </c>
    </row>
    <row r="388" spans="1:15">
      <c r="A388" s="74" t="s">
        <v>113</v>
      </c>
      <c r="B388" s="74" t="s">
        <v>166</v>
      </c>
      <c r="C388" s="74" t="s">
        <v>167</v>
      </c>
      <c r="D388" s="74" t="s">
        <v>79</v>
      </c>
      <c r="E388" s="74" t="s">
        <v>81</v>
      </c>
      <c r="F388" s="86" t="s">
        <v>160</v>
      </c>
      <c r="G388" s="74" t="s">
        <v>161</v>
      </c>
      <c r="H388" s="87">
        <v>44377</v>
      </c>
      <c r="I388" s="98">
        <v>22</v>
      </c>
      <c r="J388" s="98">
        <v>22</v>
      </c>
      <c r="K388" s="89">
        <f t="shared" si="16"/>
        <v>1</v>
      </c>
      <c r="L388" s="89">
        <v>4108.34</v>
      </c>
      <c r="M388" s="89">
        <v>3207.82</v>
      </c>
      <c r="N388" s="89">
        <v>411.16</v>
      </c>
      <c r="O388" s="89">
        <f t="shared" si="14"/>
        <v>7727.32</v>
      </c>
    </row>
    <row r="389" spans="1:15">
      <c r="A389" s="74" t="s">
        <v>113</v>
      </c>
      <c r="B389" s="74" t="s">
        <v>168</v>
      </c>
      <c r="C389" s="74" t="s">
        <v>169</v>
      </c>
      <c r="D389" s="74" t="s">
        <v>79</v>
      </c>
      <c r="E389" s="74" t="s">
        <v>81</v>
      </c>
      <c r="F389" s="86" t="s">
        <v>123</v>
      </c>
      <c r="G389" s="74" t="s">
        <v>153</v>
      </c>
      <c r="H389" s="87">
        <v>44377</v>
      </c>
      <c r="I389" s="98">
        <v>22</v>
      </c>
      <c r="J389" s="98">
        <v>22</v>
      </c>
      <c r="K389" s="89">
        <f t="shared" si="16"/>
        <v>1</v>
      </c>
      <c r="L389" s="89">
        <v>6006.91</v>
      </c>
      <c r="M389" s="89">
        <v>3033.5</v>
      </c>
      <c r="N389" s="89">
        <v>615.36</v>
      </c>
      <c r="O389" s="89">
        <f t="shared" ref="O389:O452" si="17">SUM(L389:N389)</f>
        <v>9655.77</v>
      </c>
    </row>
    <row r="390" spans="1:15">
      <c r="A390" s="74" t="s">
        <v>113</v>
      </c>
      <c r="B390" s="74" t="s">
        <v>170</v>
      </c>
      <c r="C390" s="74" t="s">
        <v>171</v>
      </c>
      <c r="D390" s="74" t="s">
        <v>79</v>
      </c>
      <c r="E390" s="74" t="s">
        <v>81</v>
      </c>
      <c r="F390" s="86" t="s">
        <v>156</v>
      </c>
      <c r="G390" s="74" t="s">
        <v>157</v>
      </c>
      <c r="H390" s="87">
        <v>44377</v>
      </c>
      <c r="I390" s="98">
        <v>22</v>
      </c>
      <c r="J390" s="98">
        <v>22</v>
      </c>
      <c r="K390" s="89">
        <f t="shared" si="16"/>
        <v>1</v>
      </c>
      <c r="L390" s="89">
        <v>5119.8</v>
      </c>
      <c r="M390" s="89">
        <v>3179.66</v>
      </c>
      <c r="N390" s="89">
        <v>548.27</v>
      </c>
      <c r="O390" s="89">
        <f t="shared" si="17"/>
        <v>8847.73</v>
      </c>
    </row>
    <row r="391" spans="1:15">
      <c r="A391" s="74" t="s">
        <v>113</v>
      </c>
      <c r="B391" s="74" t="s">
        <v>172</v>
      </c>
      <c r="C391" s="74" t="s">
        <v>173</v>
      </c>
      <c r="D391" s="74" t="s">
        <v>79</v>
      </c>
      <c r="E391" s="74" t="s">
        <v>81</v>
      </c>
      <c r="F391" s="86" t="s">
        <v>160</v>
      </c>
      <c r="G391" s="74" t="s">
        <v>161</v>
      </c>
      <c r="H391" s="87">
        <v>44377</v>
      </c>
      <c r="I391" s="98">
        <v>22</v>
      </c>
      <c r="J391" s="98">
        <v>22</v>
      </c>
      <c r="K391" s="89">
        <f t="shared" si="16"/>
        <v>1</v>
      </c>
      <c r="L391" s="89">
        <v>4058.54</v>
      </c>
      <c r="M391" s="89">
        <v>3097.25</v>
      </c>
      <c r="N391" s="89">
        <v>407.53</v>
      </c>
      <c r="O391" s="89">
        <f t="shared" si="17"/>
        <v>7563.32</v>
      </c>
    </row>
    <row r="392" spans="1:15">
      <c r="A392" s="74" t="s">
        <v>113</v>
      </c>
      <c r="B392" s="74" t="s">
        <v>174</v>
      </c>
      <c r="C392" s="74" t="s">
        <v>175</v>
      </c>
      <c r="D392" s="74" t="s">
        <v>79</v>
      </c>
      <c r="E392" s="74" t="s">
        <v>81</v>
      </c>
      <c r="F392" s="86" t="s">
        <v>176</v>
      </c>
      <c r="G392" s="74" t="s">
        <v>177</v>
      </c>
      <c r="H392" s="87">
        <v>44377</v>
      </c>
      <c r="I392" s="98">
        <v>22</v>
      </c>
      <c r="J392" s="98">
        <v>22</v>
      </c>
      <c r="K392" s="89">
        <f t="shared" si="16"/>
        <v>1</v>
      </c>
      <c r="L392" s="89">
        <v>3202.67</v>
      </c>
      <c r="M392" s="89">
        <v>3001.94</v>
      </c>
      <c r="N392" s="89">
        <v>314.45</v>
      </c>
      <c r="O392" s="89">
        <f t="shared" si="17"/>
        <v>6519.06</v>
      </c>
    </row>
    <row r="393" spans="1:15">
      <c r="A393" s="74" t="s">
        <v>113</v>
      </c>
      <c r="B393" s="74" t="s">
        <v>178</v>
      </c>
      <c r="C393" s="74" t="s">
        <v>179</v>
      </c>
      <c r="D393" s="74" t="s">
        <v>79</v>
      </c>
      <c r="E393" s="74" t="s">
        <v>81</v>
      </c>
      <c r="F393" s="86" t="s">
        <v>180</v>
      </c>
      <c r="G393" s="74" t="s">
        <v>177</v>
      </c>
      <c r="H393" s="87">
        <v>44377</v>
      </c>
      <c r="I393" s="98">
        <v>22</v>
      </c>
      <c r="J393" s="98">
        <v>22</v>
      </c>
      <c r="K393" s="89">
        <f t="shared" si="16"/>
        <v>1</v>
      </c>
      <c r="L393" s="89">
        <v>2014.62</v>
      </c>
      <c r="M393" s="89">
        <v>3288.01</v>
      </c>
      <c r="N393" s="89">
        <v>211.57</v>
      </c>
      <c r="O393" s="89">
        <f t="shared" si="17"/>
        <v>5514.2</v>
      </c>
    </row>
    <row r="394" spans="1:15">
      <c r="A394" s="74" t="s">
        <v>113</v>
      </c>
      <c r="B394" s="74" t="s">
        <v>181</v>
      </c>
      <c r="C394" s="74" t="s">
        <v>182</v>
      </c>
      <c r="D394" s="74" t="s">
        <v>79</v>
      </c>
      <c r="E394" s="74" t="s">
        <v>81</v>
      </c>
      <c r="F394" s="86" t="s">
        <v>183</v>
      </c>
      <c r="G394" s="74" t="s">
        <v>177</v>
      </c>
      <c r="H394" s="87">
        <v>44377</v>
      </c>
      <c r="I394" s="98">
        <v>22</v>
      </c>
      <c r="J394" s="98">
        <v>22</v>
      </c>
      <c r="K394" s="89">
        <f t="shared" si="16"/>
        <v>1</v>
      </c>
      <c r="L394" s="89">
        <v>1085.48</v>
      </c>
      <c r="M394" s="89">
        <v>3208.02</v>
      </c>
      <c r="N394" s="89">
        <v>104.97</v>
      </c>
      <c r="O394" s="89">
        <f t="shared" si="17"/>
        <v>4398.47</v>
      </c>
    </row>
    <row r="395" spans="1:15">
      <c r="A395" s="74" t="s">
        <v>113</v>
      </c>
      <c r="B395" s="74" t="s">
        <v>184</v>
      </c>
      <c r="C395" s="74" t="s">
        <v>185</v>
      </c>
      <c r="D395" s="74" t="s">
        <v>79</v>
      </c>
      <c r="E395" s="74" t="s">
        <v>81</v>
      </c>
      <c r="F395" s="86" t="s">
        <v>176</v>
      </c>
      <c r="G395" s="74" t="s">
        <v>177</v>
      </c>
      <c r="H395" s="87">
        <v>44377</v>
      </c>
      <c r="I395" s="98">
        <v>22</v>
      </c>
      <c r="J395" s="98">
        <v>22</v>
      </c>
      <c r="K395" s="89">
        <f t="shared" si="16"/>
        <v>1</v>
      </c>
      <c r="L395" s="89">
        <v>3257.9</v>
      </c>
      <c r="M395" s="89">
        <v>3104.13</v>
      </c>
      <c r="N395" s="89">
        <v>315.22</v>
      </c>
      <c r="O395" s="89">
        <f t="shared" si="17"/>
        <v>6677.25</v>
      </c>
    </row>
    <row r="396" spans="1:15">
      <c r="A396" s="74" t="s">
        <v>113</v>
      </c>
      <c r="B396" s="74" t="s">
        <v>186</v>
      </c>
      <c r="C396" s="74" t="s">
        <v>187</v>
      </c>
      <c r="D396" s="74" t="s">
        <v>79</v>
      </c>
      <c r="E396" s="74" t="s">
        <v>81</v>
      </c>
      <c r="F396" s="86" t="s">
        <v>180</v>
      </c>
      <c r="G396" s="74" t="s">
        <v>177</v>
      </c>
      <c r="H396" s="87">
        <v>44377</v>
      </c>
      <c r="I396" s="98">
        <v>22</v>
      </c>
      <c r="J396" s="98">
        <v>22</v>
      </c>
      <c r="K396" s="89">
        <f t="shared" si="16"/>
        <v>1</v>
      </c>
      <c r="L396" s="89">
        <v>2092.43</v>
      </c>
      <c r="M396" s="89">
        <v>3091.48</v>
      </c>
      <c r="N396" s="89">
        <v>213.79</v>
      </c>
      <c r="O396" s="89">
        <f t="shared" si="17"/>
        <v>5397.7</v>
      </c>
    </row>
    <row r="397" spans="1:15">
      <c r="A397" s="74" t="s">
        <v>113</v>
      </c>
      <c r="B397" s="74" t="s">
        <v>188</v>
      </c>
      <c r="C397" s="74" t="s">
        <v>189</v>
      </c>
      <c r="D397" s="74" t="s">
        <v>79</v>
      </c>
      <c r="E397" s="74" t="s">
        <v>81</v>
      </c>
      <c r="F397" s="86" t="s">
        <v>183</v>
      </c>
      <c r="G397" s="74" t="s">
        <v>177</v>
      </c>
      <c r="H397" s="87">
        <v>44377</v>
      </c>
      <c r="I397" s="98">
        <v>22</v>
      </c>
      <c r="J397" s="98">
        <v>22</v>
      </c>
      <c r="K397" s="89">
        <f t="shared" si="16"/>
        <v>1</v>
      </c>
      <c r="L397" s="89">
        <v>1031.8</v>
      </c>
      <c r="M397" s="89">
        <v>3264.01</v>
      </c>
      <c r="N397" s="89">
        <v>101.06</v>
      </c>
      <c r="O397" s="89">
        <f t="shared" si="17"/>
        <v>4396.87</v>
      </c>
    </row>
    <row r="398" spans="1:15">
      <c r="A398" s="74" t="s">
        <v>113</v>
      </c>
      <c r="B398" s="74" t="s">
        <v>190</v>
      </c>
      <c r="C398" s="74" t="s">
        <v>191</v>
      </c>
      <c r="D398" s="74" t="s">
        <v>79</v>
      </c>
      <c r="E398" s="74" t="s">
        <v>81</v>
      </c>
      <c r="F398" s="86" t="s">
        <v>176</v>
      </c>
      <c r="G398" s="74" t="s">
        <v>177</v>
      </c>
      <c r="H398" s="87">
        <v>44377</v>
      </c>
      <c r="I398" s="98">
        <v>22</v>
      </c>
      <c r="J398" s="98">
        <v>22</v>
      </c>
      <c r="K398" s="89">
        <f t="shared" si="16"/>
        <v>1</v>
      </c>
      <c r="L398" s="89">
        <v>3230.71</v>
      </c>
      <c r="M398" s="89">
        <v>3071.57</v>
      </c>
      <c r="N398" s="89">
        <v>314.06</v>
      </c>
      <c r="O398" s="89">
        <f t="shared" si="17"/>
        <v>6616.34</v>
      </c>
    </row>
    <row r="399" spans="1:15">
      <c r="A399" s="74" t="s">
        <v>113</v>
      </c>
      <c r="B399" s="74" t="s">
        <v>192</v>
      </c>
      <c r="C399" s="74" t="s">
        <v>193</v>
      </c>
      <c r="D399" s="74" t="s">
        <v>79</v>
      </c>
      <c r="E399" s="74" t="s">
        <v>81</v>
      </c>
      <c r="F399" s="86" t="s">
        <v>180</v>
      </c>
      <c r="G399" s="74" t="s">
        <v>177</v>
      </c>
      <c r="H399" s="87">
        <v>44377</v>
      </c>
      <c r="I399" s="98">
        <v>22</v>
      </c>
      <c r="J399" s="98">
        <v>22</v>
      </c>
      <c r="K399" s="89">
        <f t="shared" si="16"/>
        <v>1</v>
      </c>
      <c r="L399" s="89">
        <v>2122.83</v>
      </c>
      <c r="M399" s="89">
        <v>3245.68</v>
      </c>
      <c r="N399" s="89">
        <v>206.77</v>
      </c>
      <c r="O399" s="89">
        <f t="shared" si="17"/>
        <v>5575.28</v>
      </c>
    </row>
    <row r="400" spans="1:15">
      <c r="A400" s="74" t="s">
        <v>113</v>
      </c>
      <c r="B400" s="74" t="s">
        <v>194</v>
      </c>
      <c r="C400" s="74" t="s">
        <v>195</v>
      </c>
      <c r="D400" s="74" t="s">
        <v>79</v>
      </c>
      <c r="E400" s="74" t="s">
        <v>81</v>
      </c>
      <c r="F400" s="86" t="s">
        <v>183</v>
      </c>
      <c r="G400" s="74" t="s">
        <v>177</v>
      </c>
      <c r="H400" s="87">
        <v>44377</v>
      </c>
      <c r="I400" s="98">
        <v>22</v>
      </c>
      <c r="J400" s="98">
        <v>22</v>
      </c>
      <c r="K400" s="89">
        <f t="shared" si="16"/>
        <v>1</v>
      </c>
      <c r="L400" s="89">
        <v>1068.91</v>
      </c>
      <c r="M400" s="89">
        <v>3118.54</v>
      </c>
      <c r="N400" s="89">
        <v>102.14</v>
      </c>
      <c r="O400" s="89">
        <f t="shared" si="17"/>
        <v>4289.59</v>
      </c>
    </row>
    <row r="401" spans="1:15">
      <c r="A401" s="74" t="s">
        <v>113</v>
      </c>
      <c r="B401" s="74" t="s">
        <v>196</v>
      </c>
      <c r="C401" s="74" t="s">
        <v>197</v>
      </c>
      <c r="D401" s="74" t="s">
        <v>79</v>
      </c>
      <c r="E401" s="74" t="s">
        <v>81</v>
      </c>
      <c r="F401" s="86" t="s">
        <v>176</v>
      </c>
      <c r="G401" s="74" t="s">
        <v>177</v>
      </c>
      <c r="H401" s="87">
        <v>44377</v>
      </c>
      <c r="I401" s="98">
        <v>22</v>
      </c>
      <c r="J401" s="98">
        <v>22</v>
      </c>
      <c r="K401" s="89">
        <f t="shared" si="16"/>
        <v>1</v>
      </c>
      <c r="L401" s="89">
        <v>3117.33</v>
      </c>
      <c r="M401" s="89">
        <v>3030.31</v>
      </c>
      <c r="N401" s="89">
        <v>318.27</v>
      </c>
      <c r="O401" s="89">
        <f t="shared" si="17"/>
        <v>6465.91</v>
      </c>
    </row>
    <row r="402" spans="1:15">
      <c r="A402" s="74" t="s">
        <v>113</v>
      </c>
      <c r="B402" s="74" t="s">
        <v>198</v>
      </c>
      <c r="C402" s="74" t="s">
        <v>199</v>
      </c>
      <c r="D402" s="74" t="s">
        <v>79</v>
      </c>
      <c r="E402" s="74" t="s">
        <v>81</v>
      </c>
      <c r="F402" s="86" t="s">
        <v>180</v>
      </c>
      <c r="G402" s="74" t="s">
        <v>177</v>
      </c>
      <c r="H402" s="87">
        <v>44377</v>
      </c>
      <c r="I402" s="98">
        <v>22</v>
      </c>
      <c r="J402" s="98">
        <v>22</v>
      </c>
      <c r="K402" s="89">
        <f t="shared" si="16"/>
        <v>1</v>
      </c>
      <c r="L402" s="89">
        <v>2045.83</v>
      </c>
      <c r="M402" s="89">
        <v>3189.28</v>
      </c>
      <c r="N402" s="89">
        <v>217.71</v>
      </c>
      <c r="O402" s="89">
        <f t="shared" si="17"/>
        <v>5452.82</v>
      </c>
    </row>
    <row r="403" spans="1:15">
      <c r="A403" s="74" t="s">
        <v>113</v>
      </c>
      <c r="B403" s="74" t="s">
        <v>200</v>
      </c>
      <c r="C403" s="74" t="s">
        <v>201</v>
      </c>
      <c r="D403" s="74" t="s">
        <v>79</v>
      </c>
      <c r="E403" s="74" t="s">
        <v>81</v>
      </c>
      <c r="F403" s="86" t="s">
        <v>183</v>
      </c>
      <c r="G403" s="74" t="s">
        <v>177</v>
      </c>
      <c r="H403" s="87">
        <v>44377</v>
      </c>
      <c r="I403" s="98">
        <v>22</v>
      </c>
      <c r="J403" s="98">
        <v>22</v>
      </c>
      <c r="K403" s="89">
        <f t="shared" si="16"/>
        <v>1</v>
      </c>
      <c r="L403" s="89">
        <v>1006.56</v>
      </c>
      <c r="M403" s="89">
        <v>3133.16</v>
      </c>
      <c r="N403" s="89">
        <v>107.54</v>
      </c>
      <c r="O403" s="89">
        <f t="shared" si="17"/>
        <v>4247.26</v>
      </c>
    </row>
    <row r="404" spans="1:15">
      <c r="A404" s="74" t="s">
        <v>113</v>
      </c>
      <c r="B404" s="74" t="s">
        <v>202</v>
      </c>
      <c r="C404" s="74" t="s">
        <v>203</v>
      </c>
      <c r="D404" s="74" t="s">
        <v>79</v>
      </c>
      <c r="E404" s="74" t="s">
        <v>81</v>
      </c>
      <c r="F404" s="86" t="s">
        <v>204</v>
      </c>
      <c r="G404" s="74" t="s">
        <v>205</v>
      </c>
      <c r="H404" s="87">
        <v>44377</v>
      </c>
      <c r="I404" s="98">
        <v>22</v>
      </c>
      <c r="J404" s="98">
        <v>22</v>
      </c>
      <c r="K404" s="89">
        <f t="shared" si="16"/>
        <v>1</v>
      </c>
      <c r="L404" s="89">
        <v>18217.45</v>
      </c>
      <c r="M404" s="89">
        <v>3074.01</v>
      </c>
      <c r="N404" s="89">
        <v>1855.2</v>
      </c>
      <c r="O404" s="89">
        <f t="shared" si="17"/>
        <v>23146.66</v>
      </c>
    </row>
    <row r="405" spans="1:15">
      <c r="A405" s="74" t="s">
        <v>113</v>
      </c>
      <c r="B405" s="74" t="s">
        <v>206</v>
      </c>
      <c r="C405" s="74" t="s">
        <v>207</v>
      </c>
      <c r="D405" s="88" t="s">
        <v>82</v>
      </c>
      <c r="E405" s="88" t="s">
        <v>84</v>
      </c>
      <c r="F405" s="86" t="s">
        <v>208</v>
      </c>
      <c r="G405" s="74" t="s">
        <v>209</v>
      </c>
      <c r="H405" s="87">
        <v>44377</v>
      </c>
      <c r="I405" s="98">
        <v>22</v>
      </c>
      <c r="J405" s="98">
        <v>22</v>
      </c>
      <c r="K405" s="89">
        <f t="shared" si="16"/>
        <v>1</v>
      </c>
      <c r="L405" s="89">
        <v>9890.91</v>
      </c>
      <c r="M405" s="89">
        <v>3221.27</v>
      </c>
      <c r="N405" s="89">
        <v>969</v>
      </c>
      <c r="O405" s="89">
        <f t="shared" si="17"/>
        <v>14081.18</v>
      </c>
    </row>
    <row r="406" spans="1:15">
      <c r="A406" s="74" t="s">
        <v>113</v>
      </c>
      <c r="B406" s="74" t="s">
        <v>210</v>
      </c>
      <c r="C406" s="74" t="s">
        <v>211</v>
      </c>
      <c r="D406" s="88" t="s">
        <v>82</v>
      </c>
      <c r="E406" s="88" t="s">
        <v>84</v>
      </c>
      <c r="F406" s="86" t="s">
        <v>116</v>
      </c>
      <c r="G406" s="74" t="s">
        <v>209</v>
      </c>
      <c r="H406" s="87">
        <v>44377</v>
      </c>
      <c r="I406" s="98">
        <v>22</v>
      </c>
      <c r="J406" s="98">
        <v>22</v>
      </c>
      <c r="K406" s="89">
        <f t="shared" si="16"/>
        <v>1</v>
      </c>
      <c r="L406" s="89">
        <v>8277.86</v>
      </c>
      <c r="M406" s="89">
        <v>3022.71</v>
      </c>
      <c r="N406" s="89">
        <v>830.37</v>
      </c>
      <c r="O406" s="89">
        <f t="shared" si="17"/>
        <v>12130.94</v>
      </c>
    </row>
    <row r="407" spans="1:15">
      <c r="A407" s="74" t="s">
        <v>113</v>
      </c>
      <c r="B407" s="74" t="s">
        <v>212</v>
      </c>
      <c r="C407" s="74" t="s">
        <v>213</v>
      </c>
      <c r="D407" s="88" t="s">
        <v>82</v>
      </c>
      <c r="E407" s="88" t="s">
        <v>84</v>
      </c>
      <c r="F407" s="86" t="s">
        <v>208</v>
      </c>
      <c r="G407" s="74" t="s">
        <v>209</v>
      </c>
      <c r="H407" s="87">
        <v>44377</v>
      </c>
      <c r="I407" s="98">
        <v>22</v>
      </c>
      <c r="J407" s="98">
        <v>22</v>
      </c>
      <c r="K407" s="89">
        <f t="shared" si="16"/>
        <v>1</v>
      </c>
      <c r="L407" s="89">
        <v>9858.47</v>
      </c>
      <c r="M407" s="89">
        <v>3246.01</v>
      </c>
      <c r="N407" s="89">
        <v>970.57</v>
      </c>
      <c r="O407" s="89">
        <f t="shared" si="17"/>
        <v>14075.05</v>
      </c>
    </row>
    <row r="408" spans="1:15">
      <c r="A408" s="74" t="s">
        <v>113</v>
      </c>
      <c r="B408" s="74" t="s">
        <v>214</v>
      </c>
      <c r="C408" s="74" t="s">
        <v>215</v>
      </c>
      <c r="D408" s="88" t="s">
        <v>82</v>
      </c>
      <c r="E408" s="88" t="s">
        <v>84</v>
      </c>
      <c r="F408" s="86" t="s">
        <v>116</v>
      </c>
      <c r="G408" s="74" t="s">
        <v>209</v>
      </c>
      <c r="H408" s="87">
        <v>44377</v>
      </c>
      <c r="I408" s="98">
        <v>22</v>
      </c>
      <c r="J408" s="98">
        <v>22</v>
      </c>
      <c r="K408" s="89">
        <f t="shared" si="16"/>
        <v>1</v>
      </c>
      <c r="L408" s="89">
        <v>8396.97</v>
      </c>
      <c r="M408" s="89">
        <v>3005.45</v>
      </c>
      <c r="N408" s="89">
        <v>870.3</v>
      </c>
      <c r="O408" s="89">
        <f t="shared" si="17"/>
        <v>12272.72</v>
      </c>
    </row>
    <row r="409" spans="1:15">
      <c r="A409" s="74" t="s">
        <v>113</v>
      </c>
      <c r="B409" s="74" t="s">
        <v>216</v>
      </c>
      <c r="C409" s="74" t="s">
        <v>217</v>
      </c>
      <c r="D409" s="88" t="s">
        <v>82</v>
      </c>
      <c r="E409" s="88" t="s">
        <v>84</v>
      </c>
      <c r="F409" s="86" t="s">
        <v>218</v>
      </c>
      <c r="G409" s="74" t="s">
        <v>219</v>
      </c>
      <c r="H409" s="87">
        <v>44377</v>
      </c>
      <c r="I409" s="98">
        <v>22</v>
      </c>
      <c r="J409" s="98">
        <v>22</v>
      </c>
      <c r="K409" s="89">
        <f t="shared" si="16"/>
        <v>1</v>
      </c>
      <c r="L409" s="89">
        <v>11458.44</v>
      </c>
      <c r="M409" s="89">
        <v>3185.11</v>
      </c>
      <c r="N409" s="89">
        <v>1156.54</v>
      </c>
      <c r="O409" s="89">
        <f t="shared" si="17"/>
        <v>15800.09</v>
      </c>
    </row>
    <row r="410" spans="1:15">
      <c r="A410" s="74" t="s">
        <v>113</v>
      </c>
      <c r="B410" s="74" t="s">
        <v>220</v>
      </c>
      <c r="C410" s="74" t="s">
        <v>221</v>
      </c>
      <c r="D410" s="88" t="s">
        <v>82</v>
      </c>
      <c r="E410" s="74" t="s">
        <v>83</v>
      </c>
      <c r="F410" s="86" t="s">
        <v>218</v>
      </c>
      <c r="G410" s="74" t="s">
        <v>222</v>
      </c>
      <c r="H410" s="87">
        <v>44377</v>
      </c>
      <c r="I410" s="98">
        <v>22</v>
      </c>
      <c r="J410" s="98">
        <v>22</v>
      </c>
      <c r="K410" s="89">
        <f t="shared" si="16"/>
        <v>1</v>
      </c>
      <c r="L410" s="89">
        <v>11430.75</v>
      </c>
      <c r="M410" s="89">
        <v>3179.79</v>
      </c>
      <c r="N410" s="89">
        <v>1145.51</v>
      </c>
      <c r="O410" s="89">
        <f t="shared" si="17"/>
        <v>15756.05</v>
      </c>
    </row>
    <row r="411" spans="1:15">
      <c r="A411" s="74" t="s">
        <v>113</v>
      </c>
      <c r="B411" s="74" t="s">
        <v>223</v>
      </c>
      <c r="C411" s="74" t="s">
        <v>224</v>
      </c>
      <c r="D411" s="88" t="s">
        <v>82</v>
      </c>
      <c r="E411" s="74" t="s">
        <v>83</v>
      </c>
      <c r="F411" s="86" t="s">
        <v>225</v>
      </c>
      <c r="G411" s="74" t="s">
        <v>209</v>
      </c>
      <c r="H411" s="87">
        <v>44377</v>
      </c>
      <c r="I411" s="98">
        <v>22</v>
      </c>
      <c r="J411" s="98">
        <v>22</v>
      </c>
      <c r="K411" s="89">
        <f t="shared" si="16"/>
        <v>1</v>
      </c>
      <c r="L411" s="89">
        <v>10300.69</v>
      </c>
      <c r="M411" s="89">
        <v>3183.44</v>
      </c>
      <c r="N411" s="89">
        <v>1072.61</v>
      </c>
      <c r="O411" s="89">
        <f t="shared" si="17"/>
        <v>14556.74</v>
      </c>
    </row>
    <row r="412" spans="1:15">
      <c r="A412" s="74" t="s">
        <v>113</v>
      </c>
      <c r="B412" s="74" t="s">
        <v>226</v>
      </c>
      <c r="C412" s="74" t="s">
        <v>227</v>
      </c>
      <c r="D412" s="88" t="s">
        <v>82</v>
      </c>
      <c r="E412" s="74" t="s">
        <v>83</v>
      </c>
      <c r="F412" s="86" t="s">
        <v>208</v>
      </c>
      <c r="G412" s="74" t="s">
        <v>209</v>
      </c>
      <c r="H412" s="87">
        <v>44377</v>
      </c>
      <c r="I412" s="98">
        <v>22</v>
      </c>
      <c r="J412" s="98">
        <v>22</v>
      </c>
      <c r="K412" s="89">
        <f t="shared" si="16"/>
        <v>1</v>
      </c>
      <c r="L412" s="89">
        <v>9462.83</v>
      </c>
      <c r="M412" s="89">
        <v>3270.8</v>
      </c>
      <c r="N412" s="89">
        <v>915.54</v>
      </c>
      <c r="O412" s="89">
        <f t="shared" si="17"/>
        <v>13649.17</v>
      </c>
    </row>
    <row r="413" spans="1:15">
      <c r="A413" s="74" t="s">
        <v>113</v>
      </c>
      <c r="B413" s="74" t="s">
        <v>228</v>
      </c>
      <c r="C413" s="74" t="s">
        <v>229</v>
      </c>
      <c r="D413" s="88" t="s">
        <v>82</v>
      </c>
      <c r="E413" s="74" t="s">
        <v>83</v>
      </c>
      <c r="F413" s="86" t="s">
        <v>116</v>
      </c>
      <c r="G413" s="74" t="s">
        <v>209</v>
      </c>
      <c r="H413" s="87">
        <v>44377</v>
      </c>
      <c r="I413" s="98">
        <v>22</v>
      </c>
      <c r="J413" s="98">
        <v>22</v>
      </c>
      <c r="K413" s="89">
        <f t="shared" si="16"/>
        <v>1</v>
      </c>
      <c r="L413" s="89">
        <v>8016.94</v>
      </c>
      <c r="M413" s="89">
        <v>3134.64</v>
      </c>
      <c r="N413" s="89">
        <v>806.14</v>
      </c>
      <c r="O413" s="89">
        <f t="shared" si="17"/>
        <v>11957.72</v>
      </c>
    </row>
    <row r="414" spans="1:15">
      <c r="A414" s="74" t="s">
        <v>113</v>
      </c>
      <c r="B414" s="74" t="s">
        <v>230</v>
      </c>
      <c r="C414" s="74" t="s">
        <v>231</v>
      </c>
      <c r="D414" s="88" t="s">
        <v>82</v>
      </c>
      <c r="E414" s="74" t="s">
        <v>83</v>
      </c>
      <c r="F414" s="86" t="s">
        <v>120</v>
      </c>
      <c r="G414" s="74" t="s">
        <v>209</v>
      </c>
      <c r="H414" s="87">
        <v>44377</v>
      </c>
      <c r="I414" s="98">
        <v>22</v>
      </c>
      <c r="J414" s="98">
        <v>22</v>
      </c>
      <c r="K414" s="89">
        <f t="shared" si="16"/>
        <v>1</v>
      </c>
      <c r="L414" s="89">
        <v>7393.47</v>
      </c>
      <c r="M414" s="89">
        <v>3240.46</v>
      </c>
      <c r="N414" s="89">
        <v>746.69</v>
      </c>
      <c r="O414" s="89">
        <f t="shared" si="17"/>
        <v>11380.62</v>
      </c>
    </row>
    <row r="415" spans="1:15">
      <c r="A415" s="74" t="s">
        <v>113</v>
      </c>
      <c r="B415" s="74" t="s">
        <v>232</v>
      </c>
      <c r="C415" s="74" t="s">
        <v>233</v>
      </c>
      <c r="D415" s="88" t="s">
        <v>82</v>
      </c>
      <c r="E415" s="74" t="s">
        <v>83</v>
      </c>
      <c r="F415" s="86" t="s">
        <v>123</v>
      </c>
      <c r="G415" s="74" t="s">
        <v>209</v>
      </c>
      <c r="H415" s="87">
        <v>44377</v>
      </c>
      <c r="I415" s="98">
        <v>22</v>
      </c>
      <c r="J415" s="98">
        <v>22</v>
      </c>
      <c r="K415" s="89">
        <f t="shared" si="16"/>
        <v>1</v>
      </c>
      <c r="L415" s="89">
        <v>6143.72</v>
      </c>
      <c r="M415" s="89">
        <v>3201.86</v>
      </c>
      <c r="N415" s="89">
        <v>621.64</v>
      </c>
      <c r="O415" s="89">
        <f t="shared" si="17"/>
        <v>9967.22</v>
      </c>
    </row>
    <row r="416" spans="1:15">
      <c r="A416" s="74" t="s">
        <v>113</v>
      </c>
      <c r="B416" s="74" t="s">
        <v>234</v>
      </c>
      <c r="C416" s="74" t="s">
        <v>235</v>
      </c>
      <c r="D416" s="88" t="s">
        <v>82</v>
      </c>
      <c r="E416" s="74" t="s">
        <v>83</v>
      </c>
      <c r="F416" s="86" t="s">
        <v>116</v>
      </c>
      <c r="G416" s="74" t="s">
        <v>209</v>
      </c>
      <c r="H416" s="87">
        <v>44377</v>
      </c>
      <c r="I416" s="98">
        <v>22</v>
      </c>
      <c r="J416" s="98">
        <v>22</v>
      </c>
      <c r="K416" s="89">
        <f t="shared" si="16"/>
        <v>1</v>
      </c>
      <c r="L416" s="89">
        <v>8300.13</v>
      </c>
      <c r="M416" s="89">
        <v>3015.27</v>
      </c>
      <c r="N416" s="89">
        <v>849.75</v>
      </c>
      <c r="O416" s="89">
        <f t="shared" si="17"/>
        <v>12165.15</v>
      </c>
    </row>
    <row r="417" spans="1:15">
      <c r="A417" s="74" t="s">
        <v>113</v>
      </c>
      <c r="B417" s="74" t="s">
        <v>236</v>
      </c>
      <c r="C417" s="74" t="s">
        <v>237</v>
      </c>
      <c r="D417" s="88" t="s">
        <v>82</v>
      </c>
      <c r="E417" s="74" t="s">
        <v>83</v>
      </c>
      <c r="F417" s="86" t="s">
        <v>120</v>
      </c>
      <c r="G417" s="74" t="s">
        <v>209</v>
      </c>
      <c r="H417" s="87">
        <v>44377</v>
      </c>
      <c r="I417" s="98">
        <v>22</v>
      </c>
      <c r="J417" s="98">
        <v>22</v>
      </c>
      <c r="K417" s="89">
        <f t="shared" si="16"/>
        <v>1</v>
      </c>
      <c r="L417" s="89">
        <v>7399.92</v>
      </c>
      <c r="M417" s="89">
        <v>3188.69</v>
      </c>
      <c r="N417" s="89">
        <v>724.24</v>
      </c>
      <c r="O417" s="89">
        <f t="shared" si="17"/>
        <v>11312.85</v>
      </c>
    </row>
    <row r="418" spans="1:15">
      <c r="A418" s="74" t="s">
        <v>113</v>
      </c>
      <c r="B418" s="74" t="s">
        <v>238</v>
      </c>
      <c r="C418" s="74" t="s">
        <v>239</v>
      </c>
      <c r="D418" s="74" t="s">
        <v>86</v>
      </c>
      <c r="E418" s="74" t="s">
        <v>87</v>
      </c>
      <c r="F418" s="86" t="s">
        <v>204</v>
      </c>
      <c r="G418" s="74" t="s">
        <v>240</v>
      </c>
      <c r="H418" s="87">
        <v>44377</v>
      </c>
      <c r="I418" s="98">
        <v>22</v>
      </c>
      <c r="J418" s="98">
        <v>22</v>
      </c>
      <c r="K418" s="89">
        <f t="shared" si="16"/>
        <v>1</v>
      </c>
      <c r="L418" s="89">
        <v>15562.94</v>
      </c>
      <c r="M418" s="89">
        <v>3280.07</v>
      </c>
      <c r="N418" s="89">
        <v>1857.99</v>
      </c>
      <c r="O418" s="89">
        <f t="shared" si="17"/>
        <v>20701</v>
      </c>
    </row>
    <row r="419" spans="1:15">
      <c r="A419" s="74" t="s">
        <v>113</v>
      </c>
      <c r="B419" s="74" t="s">
        <v>241</v>
      </c>
      <c r="C419" s="74" t="s">
        <v>242</v>
      </c>
      <c r="D419" s="74" t="s">
        <v>86</v>
      </c>
      <c r="E419" s="74" t="s">
        <v>87</v>
      </c>
      <c r="F419" s="86" t="s">
        <v>243</v>
      </c>
      <c r="G419" s="74" t="s">
        <v>244</v>
      </c>
      <c r="H419" s="87">
        <v>44377</v>
      </c>
      <c r="I419" s="98">
        <v>22</v>
      </c>
      <c r="J419" s="98">
        <v>22</v>
      </c>
      <c r="K419" s="89">
        <f t="shared" si="16"/>
        <v>1</v>
      </c>
      <c r="L419" s="89">
        <v>10453.14</v>
      </c>
      <c r="M419" s="89">
        <v>3150.34</v>
      </c>
      <c r="N419" s="89">
        <v>1403.28</v>
      </c>
      <c r="O419" s="89">
        <f t="shared" si="17"/>
        <v>15006.76</v>
      </c>
    </row>
    <row r="420" spans="1:15">
      <c r="A420" s="74" t="s">
        <v>113</v>
      </c>
      <c r="B420" s="74" t="s">
        <v>245</v>
      </c>
      <c r="C420" s="74" t="s">
        <v>246</v>
      </c>
      <c r="D420" s="74" t="s">
        <v>86</v>
      </c>
      <c r="E420" s="74" t="s">
        <v>87</v>
      </c>
      <c r="F420" s="86" t="s">
        <v>247</v>
      </c>
      <c r="G420" s="74" t="s">
        <v>248</v>
      </c>
      <c r="H420" s="87">
        <v>44377</v>
      </c>
      <c r="I420" s="98">
        <v>22</v>
      </c>
      <c r="J420" s="98">
        <v>22</v>
      </c>
      <c r="K420" s="89">
        <f t="shared" si="16"/>
        <v>1</v>
      </c>
      <c r="L420" s="89">
        <v>9967.39</v>
      </c>
      <c r="M420" s="89">
        <v>3255.46</v>
      </c>
      <c r="N420" s="89">
        <v>1301.47</v>
      </c>
      <c r="O420" s="89">
        <f t="shared" si="17"/>
        <v>14524.32</v>
      </c>
    </row>
    <row r="421" spans="1:15">
      <c r="A421" s="74" t="s">
        <v>113</v>
      </c>
      <c r="B421" s="74" t="s">
        <v>249</v>
      </c>
      <c r="C421" s="74" t="s">
        <v>250</v>
      </c>
      <c r="D421" s="74" t="s">
        <v>86</v>
      </c>
      <c r="E421" s="74" t="s">
        <v>87</v>
      </c>
      <c r="F421" s="86" t="s">
        <v>251</v>
      </c>
      <c r="G421" s="74" t="s">
        <v>252</v>
      </c>
      <c r="H421" s="87">
        <v>44377</v>
      </c>
      <c r="I421" s="98">
        <v>22</v>
      </c>
      <c r="J421" s="98">
        <v>22</v>
      </c>
      <c r="K421" s="89">
        <f t="shared" si="16"/>
        <v>1</v>
      </c>
      <c r="L421" s="89">
        <v>9467.38</v>
      </c>
      <c r="M421" s="89">
        <v>3234.44</v>
      </c>
      <c r="N421" s="89">
        <v>1110.15</v>
      </c>
      <c r="O421" s="89">
        <f t="shared" si="17"/>
        <v>13811.97</v>
      </c>
    </row>
    <row r="422" spans="1:15">
      <c r="A422" s="74" t="s">
        <v>113</v>
      </c>
      <c r="B422" s="74" t="s">
        <v>253</v>
      </c>
      <c r="C422" s="74" t="s">
        <v>254</v>
      </c>
      <c r="D422" s="74" t="s">
        <v>86</v>
      </c>
      <c r="E422" s="74" t="s">
        <v>87</v>
      </c>
      <c r="F422" s="86" t="s">
        <v>255</v>
      </c>
      <c r="G422" s="74" t="s">
        <v>252</v>
      </c>
      <c r="H422" s="87">
        <v>44377</v>
      </c>
      <c r="I422" s="98">
        <v>22</v>
      </c>
      <c r="J422" s="98">
        <v>22</v>
      </c>
      <c r="K422" s="89">
        <f t="shared" si="16"/>
        <v>1</v>
      </c>
      <c r="L422" s="89">
        <v>8533.83</v>
      </c>
      <c r="M422" s="89">
        <v>3225.96</v>
      </c>
      <c r="N422" s="89">
        <v>1033.29</v>
      </c>
      <c r="O422" s="89">
        <f t="shared" si="17"/>
        <v>12793.08</v>
      </c>
    </row>
    <row r="423" spans="1:15">
      <c r="A423" s="74" t="s">
        <v>113</v>
      </c>
      <c r="B423" s="74" t="s">
        <v>256</v>
      </c>
      <c r="C423" s="74" t="s">
        <v>257</v>
      </c>
      <c r="D423" s="74" t="s">
        <v>86</v>
      </c>
      <c r="E423" s="74" t="s">
        <v>87</v>
      </c>
      <c r="F423" s="86" t="s">
        <v>258</v>
      </c>
      <c r="G423" s="74" t="s">
        <v>252</v>
      </c>
      <c r="H423" s="87">
        <v>44377</v>
      </c>
      <c r="I423" s="98">
        <v>22</v>
      </c>
      <c r="J423" s="98">
        <v>22</v>
      </c>
      <c r="K423" s="89">
        <f t="shared" si="16"/>
        <v>1</v>
      </c>
      <c r="L423" s="89">
        <v>7369.99</v>
      </c>
      <c r="M423" s="89">
        <v>3054.5</v>
      </c>
      <c r="N423" s="89">
        <v>924.93</v>
      </c>
      <c r="O423" s="89">
        <f t="shared" si="17"/>
        <v>11349.42</v>
      </c>
    </row>
    <row r="424" spans="1:15">
      <c r="A424" s="74" t="s">
        <v>113</v>
      </c>
      <c r="B424" s="74" t="s">
        <v>259</v>
      </c>
      <c r="C424" s="74" t="s">
        <v>260</v>
      </c>
      <c r="D424" s="74" t="s">
        <v>86</v>
      </c>
      <c r="E424" s="74" t="s">
        <v>87</v>
      </c>
      <c r="F424" s="86" t="s">
        <v>261</v>
      </c>
      <c r="G424" s="74" t="s">
        <v>262</v>
      </c>
      <c r="H424" s="87">
        <v>44377</v>
      </c>
      <c r="I424" s="98">
        <v>22</v>
      </c>
      <c r="J424" s="98">
        <v>22</v>
      </c>
      <c r="K424" s="89">
        <f t="shared" si="16"/>
        <v>1</v>
      </c>
      <c r="L424" s="89">
        <v>6636.21</v>
      </c>
      <c r="M424" s="89">
        <v>3177.78</v>
      </c>
      <c r="N424" s="89">
        <v>841.03</v>
      </c>
      <c r="O424" s="89">
        <f t="shared" si="17"/>
        <v>10655.02</v>
      </c>
    </row>
    <row r="425" spans="1:15">
      <c r="A425" s="74" t="s">
        <v>113</v>
      </c>
      <c r="B425" s="74" t="s">
        <v>263</v>
      </c>
      <c r="C425" s="74" t="s">
        <v>264</v>
      </c>
      <c r="D425" s="74" t="s">
        <v>86</v>
      </c>
      <c r="E425" s="74" t="s">
        <v>88</v>
      </c>
      <c r="F425" s="86" t="s">
        <v>149</v>
      </c>
      <c r="G425" s="74" t="s">
        <v>265</v>
      </c>
      <c r="H425" s="87">
        <v>44377</v>
      </c>
      <c r="I425" s="98">
        <v>22</v>
      </c>
      <c r="J425" s="98">
        <v>22</v>
      </c>
      <c r="K425" s="89">
        <f t="shared" si="16"/>
        <v>1</v>
      </c>
      <c r="L425" s="89">
        <v>14910.11</v>
      </c>
      <c r="M425" s="89">
        <v>3164.58</v>
      </c>
      <c r="N425" s="89">
        <v>1799.49</v>
      </c>
      <c r="O425" s="89">
        <f t="shared" si="17"/>
        <v>19874.18</v>
      </c>
    </row>
    <row r="426" spans="1:15">
      <c r="A426" s="74" t="s">
        <v>113</v>
      </c>
      <c r="B426" s="74" t="s">
        <v>266</v>
      </c>
      <c r="C426" s="74" t="s">
        <v>267</v>
      </c>
      <c r="D426" s="74" t="s">
        <v>86</v>
      </c>
      <c r="E426" s="74" t="s">
        <v>88</v>
      </c>
      <c r="F426" s="86" t="s">
        <v>243</v>
      </c>
      <c r="G426" s="74" t="s">
        <v>268</v>
      </c>
      <c r="H426" s="87">
        <v>44377</v>
      </c>
      <c r="I426" s="98">
        <v>22</v>
      </c>
      <c r="J426" s="98">
        <v>22</v>
      </c>
      <c r="K426" s="89">
        <f t="shared" si="16"/>
        <v>1</v>
      </c>
      <c r="L426" s="89">
        <v>11352.72</v>
      </c>
      <c r="M426" s="89">
        <v>3143.28</v>
      </c>
      <c r="N426" s="89">
        <v>1375.26</v>
      </c>
      <c r="O426" s="89">
        <f t="shared" si="17"/>
        <v>15871.26</v>
      </c>
    </row>
    <row r="427" spans="1:15">
      <c r="A427" s="74" t="s">
        <v>113</v>
      </c>
      <c r="B427" s="74" t="s">
        <v>269</v>
      </c>
      <c r="C427" s="74" t="s">
        <v>270</v>
      </c>
      <c r="D427" s="74" t="s">
        <v>86</v>
      </c>
      <c r="E427" s="74" t="s">
        <v>88</v>
      </c>
      <c r="F427" s="86" t="s">
        <v>247</v>
      </c>
      <c r="G427" s="74" t="s">
        <v>268</v>
      </c>
      <c r="H427" s="87">
        <v>44377</v>
      </c>
      <c r="I427" s="98">
        <v>22</v>
      </c>
      <c r="J427" s="98">
        <v>22</v>
      </c>
      <c r="K427" s="89">
        <f t="shared" si="16"/>
        <v>1</v>
      </c>
      <c r="L427" s="89">
        <v>10509.87</v>
      </c>
      <c r="M427" s="89">
        <v>3046.18</v>
      </c>
      <c r="N427" s="89">
        <v>1232.32</v>
      </c>
      <c r="O427" s="89">
        <f t="shared" si="17"/>
        <v>14788.37</v>
      </c>
    </row>
    <row r="428" spans="1:15">
      <c r="A428" s="74" t="s">
        <v>113</v>
      </c>
      <c r="B428" s="74" t="s">
        <v>271</v>
      </c>
      <c r="C428" s="74" t="s">
        <v>272</v>
      </c>
      <c r="D428" s="74" t="s">
        <v>86</v>
      </c>
      <c r="E428" s="74" t="s">
        <v>88</v>
      </c>
      <c r="F428" s="86" t="s">
        <v>251</v>
      </c>
      <c r="G428" s="74" t="s">
        <v>268</v>
      </c>
      <c r="H428" s="87">
        <v>44377</v>
      </c>
      <c r="I428" s="98">
        <v>22</v>
      </c>
      <c r="J428" s="98">
        <v>22</v>
      </c>
      <c r="K428" s="89">
        <f t="shared" si="16"/>
        <v>1</v>
      </c>
      <c r="L428" s="89">
        <v>9388.37</v>
      </c>
      <c r="M428" s="89">
        <v>3183</v>
      </c>
      <c r="N428" s="89">
        <v>1111.95</v>
      </c>
      <c r="O428" s="89">
        <f t="shared" si="17"/>
        <v>13683.32</v>
      </c>
    </row>
    <row r="429" spans="1:15">
      <c r="A429" s="74" t="s">
        <v>113</v>
      </c>
      <c r="B429" s="74" t="s">
        <v>273</v>
      </c>
      <c r="C429" s="74" t="s">
        <v>274</v>
      </c>
      <c r="D429" s="74" t="s">
        <v>86</v>
      </c>
      <c r="E429" s="74" t="s">
        <v>88</v>
      </c>
      <c r="F429" s="86" t="s">
        <v>255</v>
      </c>
      <c r="G429" s="74" t="s">
        <v>268</v>
      </c>
      <c r="H429" s="87">
        <v>44377</v>
      </c>
      <c r="I429" s="98">
        <v>22</v>
      </c>
      <c r="J429" s="98">
        <v>22</v>
      </c>
      <c r="K429" s="89">
        <f t="shared" si="16"/>
        <v>1</v>
      </c>
      <c r="L429" s="89">
        <v>8115.45</v>
      </c>
      <c r="M429" s="89">
        <v>3207.02</v>
      </c>
      <c r="N429" s="89">
        <v>1002.14</v>
      </c>
      <c r="O429" s="89">
        <f t="shared" si="17"/>
        <v>12324.61</v>
      </c>
    </row>
    <row r="430" spans="1:15">
      <c r="A430" s="74" t="s">
        <v>113</v>
      </c>
      <c r="B430" s="74" t="s">
        <v>275</v>
      </c>
      <c r="C430" s="74" t="s">
        <v>276</v>
      </c>
      <c r="D430" s="74" t="s">
        <v>86</v>
      </c>
      <c r="E430" s="74" t="s">
        <v>88</v>
      </c>
      <c r="F430" s="86" t="s">
        <v>258</v>
      </c>
      <c r="G430" s="74" t="s">
        <v>268</v>
      </c>
      <c r="H430" s="87">
        <v>44377</v>
      </c>
      <c r="I430" s="98">
        <v>22</v>
      </c>
      <c r="J430" s="98">
        <v>22</v>
      </c>
      <c r="K430" s="89">
        <f t="shared" si="16"/>
        <v>1</v>
      </c>
      <c r="L430" s="89">
        <v>7608.42</v>
      </c>
      <c r="M430" s="89">
        <v>3181.79</v>
      </c>
      <c r="N430" s="89">
        <v>927.07</v>
      </c>
      <c r="O430" s="89">
        <f t="shared" si="17"/>
        <v>11717.28</v>
      </c>
    </row>
    <row r="431" spans="1:15">
      <c r="A431" s="74" t="s">
        <v>113</v>
      </c>
      <c r="B431" s="74" t="s">
        <v>277</v>
      </c>
      <c r="C431" s="74" t="s">
        <v>278</v>
      </c>
      <c r="D431" s="74" t="s">
        <v>86</v>
      </c>
      <c r="E431" s="74" t="s">
        <v>89</v>
      </c>
      <c r="F431" s="86" t="s">
        <v>279</v>
      </c>
      <c r="G431" s="74" t="s">
        <v>280</v>
      </c>
      <c r="H431" s="87">
        <v>44377</v>
      </c>
      <c r="I431" s="98">
        <v>22</v>
      </c>
      <c r="J431" s="98">
        <v>22</v>
      </c>
      <c r="K431" s="89">
        <f t="shared" si="16"/>
        <v>1</v>
      </c>
      <c r="L431" s="89">
        <v>13102.55</v>
      </c>
      <c r="M431" s="89">
        <v>3093.41</v>
      </c>
      <c r="N431" s="89">
        <v>1536.69</v>
      </c>
      <c r="O431" s="89">
        <f t="shared" si="17"/>
        <v>17732.65</v>
      </c>
    </row>
    <row r="432" spans="1:15">
      <c r="A432" s="74" t="s">
        <v>113</v>
      </c>
      <c r="B432" s="74" t="s">
        <v>281</v>
      </c>
      <c r="C432" s="74" t="s">
        <v>282</v>
      </c>
      <c r="D432" s="74" t="s">
        <v>86</v>
      </c>
      <c r="E432" s="74" t="s">
        <v>89</v>
      </c>
      <c r="F432" s="86" t="s">
        <v>225</v>
      </c>
      <c r="G432" s="74" t="s">
        <v>283</v>
      </c>
      <c r="H432" s="87">
        <v>44377</v>
      </c>
      <c r="I432" s="98">
        <v>22</v>
      </c>
      <c r="J432" s="98">
        <v>22</v>
      </c>
      <c r="K432" s="89">
        <f t="shared" si="16"/>
        <v>1</v>
      </c>
      <c r="L432" s="89">
        <v>8120.75</v>
      </c>
      <c r="M432" s="89">
        <v>3231.46</v>
      </c>
      <c r="N432" s="89">
        <v>1081.63</v>
      </c>
      <c r="O432" s="89">
        <f t="shared" si="17"/>
        <v>12433.84</v>
      </c>
    </row>
    <row r="433" spans="1:15">
      <c r="A433" s="74" t="s">
        <v>113</v>
      </c>
      <c r="B433" s="74" t="s">
        <v>284</v>
      </c>
      <c r="C433" s="74" t="s">
        <v>285</v>
      </c>
      <c r="D433" s="74" t="s">
        <v>86</v>
      </c>
      <c r="E433" s="74" t="s">
        <v>89</v>
      </c>
      <c r="F433" s="86" t="s">
        <v>208</v>
      </c>
      <c r="G433" s="74" t="s">
        <v>283</v>
      </c>
      <c r="H433" s="87">
        <v>44377</v>
      </c>
      <c r="I433" s="98">
        <v>22</v>
      </c>
      <c r="J433" s="98">
        <v>22</v>
      </c>
      <c r="K433" s="89">
        <f t="shared" si="16"/>
        <v>1</v>
      </c>
      <c r="L433" s="89">
        <v>7639.44</v>
      </c>
      <c r="M433" s="89">
        <v>3089.34</v>
      </c>
      <c r="N433" s="89">
        <v>973.55</v>
      </c>
      <c r="O433" s="89">
        <f t="shared" si="17"/>
        <v>11702.33</v>
      </c>
    </row>
    <row r="434" spans="1:15">
      <c r="A434" s="74" t="s">
        <v>113</v>
      </c>
      <c r="B434" s="74" t="s">
        <v>286</v>
      </c>
      <c r="C434" s="74" t="s">
        <v>287</v>
      </c>
      <c r="D434" s="74" t="s">
        <v>82</v>
      </c>
      <c r="E434" s="88" t="s">
        <v>85</v>
      </c>
      <c r="F434" s="86" t="s">
        <v>288</v>
      </c>
      <c r="G434" s="74" t="s">
        <v>289</v>
      </c>
      <c r="H434" s="87">
        <v>44377</v>
      </c>
      <c r="I434" s="98">
        <v>22</v>
      </c>
      <c r="J434" s="98">
        <v>22</v>
      </c>
      <c r="K434" s="89">
        <f t="shared" ref="K434:K442" si="18">I434/J434</f>
        <v>1</v>
      </c>
      <c r="L434" s="89">
        <v>12257.3</v>
      </c>
      <c r="M434" s="89">
        <v>3062.83</v>
      </c>
      <c r="N434" s="89">
        <v>1278.99</v>
      </c>
      <c r="O434" s="89">
        <f t="shared" si="17"/>
        <v>16599.12</v>
      </c>
    </row>
    <row r="435" spans="1:15">
      <c r="A435" s="74" t="s">
        <v>113</v>
      </c>
      <c r="B435" s="74" t="s">
        <v>290</v>
      </c>
      <c r="C435" s="74" t="s">
        <v>291</v>
      </c>
      <c r="D435" s="74" t="s">
        <v>82</v>
      </c>
      <c r="E435" s="88" t="s">
        <v>85</v>
      </c>
      <c r="F435" s="86" t="s">
        <v>218</v>
      </c>
      <c r="G435" s="74" t="s">
        <v>289</v>
      </c>
      <c r="H435" s="87">
        <v>44377</v>
      </c>
      <c r="I435" s="98">
        <v>22</v>
      </c>
      <c r="J435" s="98">
        <v>22</v>
      </c>
      <c r="K435" s="89">
        <f t="shared" si="18"/>
        <v>1</v>
      </c>
      <c r="L435" s="89">
        <v>11317.64</v>
      </c>
      <c r="M435" s="89">
        <v>3065.07</v>
      </c>
      <c r="N435" s="89">
        <v>1207.56</v>
      </c>
      <c r="O435" s="89">
        <f t="shared" si="17"/>
        <v>15590.27</v>
      </c>
    </row>
    <row r="436" spans="1:15">
      <c r="A436" s="74" t="s">
        <v>113</v>
      </c>
      <c r="B436" s="74" t="s">
        <v>292</v>
      </c>
      <c r="C436" s="74" t="s">
        <v>293</v>
      </c>
      <c r="D436" s="74" t="s">
        <v>82</v>
      </c>
      <c r="E436" s="88" t="s">
        <v>85</v>
      </c>
      <c r="F436" s="86" t="s">
        <v>225</v>
      </c>
      <c r="G436" s="74" t="s">
        <v>289</v>
      </c>
      <c r="H436" s="87">
        <v>44377</v>
      </c>
      <c r="I436" s="98">
        <v>22</v>
      </c>
      <c r="J436" s="98">
        <v>22</v>
      </c>
      <c r="K436" s="89">
        <f t="shared" si="18"/>
        <v>1</v>
      </c>
      <c r="L436" s="89">
        <v>10178.6</v>
      </c>
      <c r="M436" s="89">
        <v>3257.07</v>
      </c>
      <c r="N436" s="89">
        <v>1058.18</v>
      </c>
      <c r="O436" s="89">
        <f t="shared" si="17"/>
        <v>14493.85</v>
      </c>
    </row>
    <row r="437" spans="1:15">
      <c r="A437" s="74" t="s">
        <v>113</v>
      </c>
      <c r="B437" s="74" t="s">
        <v>294</v>
      </c>
      <c r="C437" s="74" t="s">
        <v>295</v>
      </c>
      <c r="D437" s="74" t="s">
        <v>82</v>
      </c>
      <c r="E437" s="88" t="s">
        <v>85</v>
      </c>
      <c r="F437" s="86" t="s">
        <v>208</v>
      </c>
      <c r="G437" s="74" t="s">
        <v>289</v>
      </c>
      <c r="H437" s="87">
        <v>44377</v>
      </c>
      <c r="I437" s="98">
        <v>22</v>
      </c>
      <c r="J437" s="98">
        <v>22</v>
      </c>
      <c r="K437" s="89">
        <f t="shared" si="18"/>
        <v>1</v>
      </c>
      <c r="L437" s="89">
        <v>9348.57</v>
      </c>
      <c r="M437" s="89">
        <v>3201.41</v>
      </c>
      <c r="N437" s="89">
        <v>967.36</v>
      </c>
      <c r="O437" s="89">
        <f t="shared" si="17"/>
        <v>13517.34</v>
      </c>
    </row>
    <row r="438" spans="1:15">
      <c r="A438" s="74" t="s">
        <v>113</v>
      </c>
      <c r="B438" s="74" t="s">
        <v>296</v>
      </c>
      <c r="C438" s="74" t="s">
        <v>297</v>
      </c>
      <c r="D438" s="74" t="s">
        <v>82</v>
      </c>
      <c r="E438" s="88" t="s">
        <v>85</v>
      </c>
      <c r="F438" s="86" t="s">
        <v>116</v>
      </c>
      <c r="G438" s="74" t="s">
        <v>289</v>
      </c>
      <c r="H438" s="87">
        <v>44377</v>
      </c>
      <c r="I438" s="98">
        <v>22</v>
      </c>
      <c r="J438" s="98">
        <v>22</v>
      </c>
      <c r="K438" s="89">
        <f t="shared" si="18"/>
        <v>1</v>
      </c>
      <c r="L438" s="89">
        <v>8602.57</v>
      </c>
      <c r="M438" s="89">
        <v>3141.84</v>
      </c>
      <c r="N438" s="89">
        <v>805.41</v>
      </c>
      <c r="O438" s="89">
        <f t="shared" si="17"/>
        <v>12549.82</v>
      </c>
    </row>
    <row r="439" spans="1:15">
      <c r="A439" s="74" t="s">
        <v>113</v>
      </c>
      <c r="B439" s="74" t="s">
        <v>298</v>
      </c>
      <c r="C439" s="74" t="s">
        <v>299</v>
      </c>
      <c r="D439" s="74" t="s">
        <v>82</v>
      </c>
      <c r="E439" s="88" t="s">
        <v>85</v>
      </c>
      <c r="F439" s="86" t="s">
        <v>279</v>
      </c>
      <c r="G439" s="74" t="s">
        <v>300</v>
      </c>
      <c r="H439" s="87">
        <v>44377</v>
      </c>
      <c r="I439" s="98">
        <v>22</v>
      </c>
      <c r="J439" s="98">
        <v>22</v>
      </c>
      <c r="K439" s="89">
        <f t="shared" si="18"/>
        <v>1</v>
      </c>
      <c r="L439" s="89">
        <v>15695.32</v>
      </c>
      <c r="M439" s="89">
        <v>3013.29</v>
      </c>
      <c r="N439" s="89">
        <v>1550.61</v>
      </c>
      <c r="O439" s="89">
        <f t="shared" si="17"/>
        <v>20259.22</v>
      </c>
    </row>
    <row r="440" spans="1:15">
      <c r="A440" s="74" t="s">
        <v>113</v>
      </c>
      <c r="B440" s="74" t="s">
        <v>301</v>
      </c>
      <c r="C440" s="74" t="s">
        <v>302</v>
      </c>
      <c r="D440" s="74" t="s">
        <v>82</v>
      </c>
      <c r="E440" s="88" t="s">
        <v>85</v>
      </c>
      <c r="F440" s="86" t="s">
        <v>279</v>
      </c>
      <c r="G440" s="74" t="s">
        <v>303</v>
      </c>
      <c r="H440" s="87">
        <v>44377</v>
      </c>
      <c r="I440" s="98">
        <v>22</v>
      </c>
      <c r="J440" s="98">
        <v>22</v>
      </c>
      <c r="K440" s="89">
        <f t="shared" si="18"/>
        <v>1</v>
      </c>
      <c r="L440" s="89">
        <v>16202.3</v>
      </c>
      <c r="M440" s="89">
        <v>3260.56</v>
      </c>
      <c r="N440" s="89">
        <v>1506.47</v>
      </c>
      <c r="O440" s="89">
        <f t="shared" si="17"/>
        <v>20969.33</v>
      </c>
    </row>
    <row r="441" spans="1:15">
      <c r="A441" s="74" t="s">
        <v>113</v>
      </c>
      <c r="B441" s="74" t="s">
        <v>304</v>
      </c>
      <c r="C441" s="74" t="s">
        <v>305</v>
      </c>
      <c r="D441" s="74" t="s">
        <v>86</v>
      </c>
      <c r="E441" s="74" t="s">
        <v>90</v>
      </c>
      <c r="F441" s="86" t="s">
        <v>306</v>
      </c>
      <c r="G441" s="74" t="s">
        <v>307</v>
      </c>
      <c r="H441" s="87">
        <v>44377</v>
      </c>
      <c r="I441" s="98">
        <v>22</v>
      </c>
      <c r="J441" s="98">
        <v>22</v>
      </c>
      <c r="K441" s="89">
        <f t="shared" si="18"/>
        <v>1</v>
      </c>
      <c r="L441" s="89">
        <v>16561.2</v>
      </c>
      <c r="M441" s="89">
        <v>3011.34</v>
      </c>
      <c r="N441" s="89">
        <v>2131.04</v>
      </c>
      <c r="O441" s="89">
        <f t="shared" si="17"/>
        <v>21703.58</v>
      </c>
    </row>
    <row r="442" spans="1:15">
      <c r="A442" s="74" t="s">
        <v>113</v>
      </c>
      <c r="B442" s="74" t="s">
        <v>114</v>
      </c>
      <c r="C442" s="74" t="s">
        <v>115</v>
      </c>
      <c r="D442" s="74" t="s">
        <v>79</v>
      </c>
      <c r="E442" s="74" t="s">
        <v>80</v>
      </c>
      <c r="F442" s="86" t="s">
        <v>116</v>
      </c>
      <c r="G442" s="74" t="s">
        <v>117</v>
      </c>
      <c r="H442" s="87">
        <v>44408</v>
      </c>
      <c r="I442" s="98">
        <v>22</v>
      </c>
      <c r="J442" s="98">
        <v>22</v>
      </c>
      <c r="K442" s="89">
        <f t="shared" si="18"/>
        <v>1</v>
      </c>
      <c r="L442" s="89">
        <v>8070.47</v>
      </c>
      <c r="M442" s="89">
        <v>3198.7</v>
      </c>
      <c r="N442" s="89">
        <v>852.64</v>
      </c>
      <c r="O442" s="89">
        <f t="shared" si="17"/>
        <v>12121.81</v>
      </c>
    </row>
    <row r="443" spans="1:15">
      <c r="A443" s="74" t="s">
        <v>113</v>
      </c>
      <c r="B443" s="74" t="s">
        <v>118</v>
      </c>
      <c r="C443" s="74" t="s">
        <v>119</v>
      </c>
      <c r="D443" s="74" t="s">
        <v>79</v>
      </c>
      <c r="E443" s="74" t="s">
        <v>80</v>
      </c>
      <c r="F443" s="86" t="s">
        <v>120</v>
      </c>
      <c r="G443" s="74" t="s">
        <v>117</v>
      </c>
      <c r="H443" s="87">
        <v>44408</v>
      </c>
      <c r="I443" s="98">
        <v>22</v>
      </c>
      <c r="J443" s="98">
        <v>22</v>
      </c>
      <c r="K443" s="89">
        <f t="shared" ref="K443:K506" si="19">I443/J443</f>
        <v>1</v>
      </c>
      <c r="L443" s="89">
        <v>7551.77</v>
      </c>
      <c r="M443" s="89">
        <v>3004.1</v>
      </c>
      <c r="N443" s="89">
        <v>713.84</v>
      </c>
      <c r="O443" s="89">
        <f t="shared" si="17"/>
        <v>11269.71</v>
      </c>
    </row>
    <row r="444" spans="1:15">
      <c r="A444" s="74" t="s">
        <v>113</v>
      </c>
      <c r="B444" s="74" t="s">
        <v>121</v>
      </c>
      <c r="C444" s="74" t="s">
        <v>122</v>
      </c>
      <c r="D444" s="74" t="s">
        <v>79</v>
      </c>
      <c r="E444" s="74" t="s">
        <v>80</v>
      </c>
      <c r="F444" s="86" t="s">
        <v>123</v>
      </c>
      <c r="G444" s="74" t="s">
        <v>117</v>
      </c>
      <c r="H444" s="87">
        <v>44408</v>
      </c>
      <c r="I444" s="98">
        <v>22</v>
      </c>
      <c r="J444" s="98">
        <v>22</v>
      </c>
      <c r="K444" s="89">
        <f t="shared" si="19"/>
        <v>1</v>
      </c>
      <c r="L444" s="89">
        <v>6290.13</v>
      </c>
      <c r="M444" s="89">
        <v>3208.4</v>
      </c>
      <c r="N444" s="89">
        <v>639.53</v>
      </c>
      <c r="O444" s="89">
        <f t="shared" si="17"/>
        <v>10138.06</v>
      </c>
    </row>
    <row r="445" spans="1:15">
      <c r="A445" s="74" t="s">
        <v>113</v>
      </c>
      <c r="B445" s="74" t="s">
        <v>124</v>
      </c>
      <c r="C445" s="74" t="s">
        <v>125</v>
      </c>
      <c r="D445" s="74" t="s">
        <v>79</v>
      </c>
      <c r="E445" s="74" t="s">
        <v>80</v>
      </c>
      <c r="F445" s="86" t="s">
        <v>116</v>
      </c>
      <c r="G445" s="74" t="s">
        <v>117</v>
      </c>
      <c r="H445" s="87">
        <v>44408</v>
      </c>
      <c r="I445" s="98">
        <v>22</v>
      </c>
      <c r="J445" s="98">
        <v>22</v>
      </c>
      <c r="K445" s="89">
        <f t="shared" si="19"/>
        <v>1</v>
      </c>
      <c r="L445" s="89">
        <v>8065.45</v>
      </c>
      <c r="M445" s="89">
        <v>3004.31</v>
      </c>
      <c r="N445" s="89">
        <v>820.25</v>
      </c>
      <c r="O445" s="89">
        <f t="shared" si="17"/>
        <v>11890.01</v>
      </c>
    </row>
    <row r="446" spans="1:15">
      <c r="A446" s="74" t="s">
        <v>113</v>
      </c>
      <c r="B446" s="74" t="s">
        <v>126</v>
      </c>
      <c r="C446" s="74" t="s">
        <v>127</v>
      </c>
      <c r="D446" s="74" t="s">
        <v>79</v>
      </c>
      <c r="E446" s="74" t="s">
        <v>80</v>
      </c>
      <c r="F446" s="86" t="s">
        <v>120</v>
      </c>
      <c r="G446" s="74" t="s">
        <v>117</v>
      </c>
      <c r="H446" s="87">
        <v>44408</v>
      </c>
      <c r="I446" s="98">
        <v>22</v>
      </c>
      <c r="J446" s="98">
        <v>22</v>
      </c>
      <c r="K446" s="89">
        <f t="shared" si="19"/>
        <v>1</v>
      </c>
      <c r="L446" s="89">
        <v>7445.42</v>
      </c>
      <c r="M446" s="89">
        <v>3250.28</v>
      </c>
      <c r="N446" s="89">
        <v>725.59</v>
      </c>
      <c r="O446" s="89">
        <f t="shared" si="17"/>
        <v>11421.29</v>
      </c>
    </row>
    <row r="447" spans="1:15">
      <c r="A447" s="74" t="s">
        <v>113</v>
      </c>
      <c r="B447" s="74" t="s">
        <v>128</v>
      </c>
      <c r="C447" s="74" t="s">
        <v>129</v>
      </c>
      <c r="D447" s="74" t="s">
        <v>79</v>
      </c>
      <c r="E447" s="74" t="s">
        <v>80</v>
      </c>
      <c r="F447" s="86" t="s">
        <v>123</v>
      </c>
      <c r="G447" s="74" t="s">
        <v>117</v>
      </c>
      <c r="H447" s="87">
        <v>44408</v>
      </c>
      <c r="I447" s="98">
        <v>22</v>
      </c>
      <c r="J447" s="98">
        <v>22</v>
      </c>
      <c r="K447" s="89">
        <f t="shared" si="19"/>
        <v>1</v>
      </c>
      <c r="L447" s="89">
        <v>6180.59</v>
      </c>
      <c r="M447" s="89">
        <v>3108.59</v>
      </c>
      <c r="N447" s="89">
        <v>611.02</v>
      </c>
      <c r="O447" s="89">
        <f t="shared" si="17"/>
        <v>9900.2</v>
      </c>
    </row>
    <row r="448" spans="1:15">
      <c r="A448" s="74" t="s">
        <v>113</v>
      </c>
      <c r="B448" s="74" t="s">
        <v>130</v>
      </c>
      <c r="C448" s="74" t="s">
        <v>131</v>
      </c>
      <c r="D448" s="74" t="s">
        <v>79</v>
      </c>
      <c r="E448" s="74" t="s">
        <v>80</v>
      </c>
      <c r="F448" s="86" t="s">
        <v>116</v>
      </c>
      <c r="G448" s="74" t="s">
        <v>117</v>
      </c>
      <c r="H448" s="87">
        <v>44408</v>
      </c>
      <c r="I448" s="98">
        <v>22</v>
      </c>
      <c r="J448" s="98">
        <v>22</v>
      </c>
      <c r="K448" s="89">
        <f t="shared" si="19"/>
        <v>1</v>
      </c>
      <c r="L448" s="89">
        <v>8030.43</v>
      </c>
      <c r="M448" s="89">
        <v>3033</v>
      </c>
      <c r="N448" s="89">
        <v>867.37</v>
      </c>
      <c r="O448" s="89">
        <f t="shared" si="17"/>
        <v>11930.8</v>
      </c>
    </row>
    <row r="449" spans="1:15">
      <c r="A449" s="74" t="s">
        <v>113</v>
      </c>
      <c r="B449" s="74" t="s">
        <v>132</v>
      </c>
      <c r="C449" s="74" t="s">
        <v>133</v>
      </c>
      <c r="D449" s="74" t="s">
        <v>79</v>
      </c>
      <c r="E449" s="74" t="s">
        <v>80</v>
      </c>
      <c r="F449" s="86" t="s">
        <v>120</v>
      </c>
      <c r="G449" s="74" t="s">
        <v>117</v>
      </c>
      <c r="H449" s="87">
        <v>44408</v>
      </c>
      <c r="I449" s="98">
        <v>22</v>
      </c>
      <c r="J449" s="98">
        <v>22</v>
      </c>
      <c r="K449" s="89">
        <f t="shared" si="19"/>
        <v>1</v>
      </c>
      <c r="L449" s="89">
        <v>7524.27</v>
      </c>
      <c r="M449" s="89">
        <v>3298.68</v>
      </c>
      <c r="N449" s="89">
        <v>747.72</v>
      </c>
      <c r="O449" s="89">
        <f t="shared" si="17"/>
        <v>11570.67</v>
      </c>
    </row>
    <row r="450" spans="1:15">
      <c r="A450" s="74" t="s">
        <v>113</v>
      </c>
      <c r="B450" s="74" t="s">
        <v>134</v>
      </c>
      <c r="C450" s="74" t="s">
        <v>135</v>
      </c>
      <c r="D450" s="74" t="s">
        <v>79</v>
      </c>
      <c r="E450" s="74" t="s">
        <v>80</v>
      </c>
      <c r="F450" s="86" t="s">
        <v>123</v>
      </c>
      <c r="G450" s="74" t="s">
        <v>117</v>
      </c>
      <c r="H450" s="87">
        <v>44408</v>
      </c>
      <c r="I450" s="98">
        <v>22</v>
      </c>
      <c r="J450" s="98">
        <v>22</v>
      </c>
      <c r="K450" s="89">
        <f t="shared" si="19"/>
        <v>1</v>
      </c>
      <c r="L450" s="89">
        <v>6015.17</v>
      </c>
      <c r="M450" s="89">
        <v>3155.75</v>
      </c>
      <c r="N450" s="89">
        <v>632.15</v>
      </c>
      <c r="O450" s="89">
        <f t="shared" si="17"/>
        <v>9803.07</v>
      </c>
    </row>
    <row r="451" spans="1:15">
      <c r="A451" s="74" t="s">
        <v>113</v>
      </c>
      <c r="B451" s="74" t="s">
        <v>136</v>
      </c>
      <c r="C451" s="74" t="s">
        <v>137</v>
      </c>
      <c r="D451" s="74" t="s">
        <v>79</v>
      </c>
      <c r="E451" s="74" t="s">
        <v>80</v>
      </c>
      <c r="F451" s="86" t="s">
        <v>116</v>
      </c>
      <c r="G451" s="74" t="s">
        <v>138</v>
      </c>
      <c r="H451" s="87">
        <v>44408</v>
      </c>
      <c r="I451" s="98">
        <v>22</v>
      </c>
      <c r="J451" s="98">
        <v>22</v>
      </c>
      <c r="K451" s="89">
        <f t="shared" si="19"/>
        <v>1</v>
      </c>
      <c r="L451" s="89">
        <v>8003.38</v>
      </c>
      <c r="M451" s="89">
        <v>3144.72</v>
      </c>
      <c r="N451" s="89">
        <v>812.49</v>
      </c>
      <c r="O451" s="89">
        <f t="shared" si="17"/>
        <v>11960.59</v>
      </c>
    </row>
    <row r="452" spans="1:15">
      <c r="A452" s="74" t="s">
        <v>113</v>
      </c>
      <c r="B452" s="74" t="s">
        <v>139</v>
      </c>
      <c r="C452" s="74" t="s">
        <v>140</v>
      </c>
      <c r="D452" s="74" t="s">
        <v>79</v>
      </c>
      <c r="E452" s="74" t="s">
        <v>80</v>
      </c>
      <c r="F452" s="86" t="s">
        <v>120</v>
      </c>
      <c r="G452" s="74" t="s">
        <v>138</v>
      </c>
      <c r="H452" s="87">
        <v>44408</v>
      </c>
      <c r="I452" s="98">
        <v>22</v>
      </c>
      <c r="J452" s="98">
        <v>22</v>
      </c>
      <c r="K452" s="89">
        <f t="shared" si="19"/>
        <v>1</v>
      </c>
      <c r="L452" s="89">
        <v>7127.58</v>
      </c>
      <c r="M452" s="89">
        <v>3272.55</v>
      </c>
      <c r="N452" s="89">
        <v>737.94</v>
      </c>
      <c r="O452" s="89">
        <f t="shared" si="17"/>
        <v>11138.07</v>
      </c>
    </row>
    <row r="453" spans="1:15">
      <c r="A453" s="74" t="s">
        <v>113</v>
      </c>
      <c r="B453" s="74" t="s">
        <v>141</v>
      </c>
      <c r="C453" s="74" t="s">
        <v>142</v>
      </c>
      <c r="D453" s="74" t="s">
        <v>79</v>
      </c>
      <c r="E453" s="74" t="s">
        <v>80</v>
      </c>
      <c r="F453" s="86" t="s">
        <v>123</v>
      </c>
      <c r="G453" s="74" t="s">
        <v>138</v>
      </c>
      <c r="H453" s="87">
        <v>44408</v>
      </c>
      <c r="I453" s="98">
        <v>22</v>
      </c>
      <c r="J453" s="98">
        <v>22</v>
      </c>
      <c r="K453" s="89">
        <f t="shared" si="19"/>
        <v>1</v>
      </c>
      <c r="L453" s="89">
        <v>6285.31</v>
      </c>
      <c r="M453" s="89">
        <v>3023.96</v>
      </c>
      <c r="N453" s="89">
        <v>606.3</v>
      </c>
      <c r="O453" s="89">
        <f t="shared" ref="O453:O516" si="20">SUM(L453:N453)</f>
        <v>9915.57</v>
      </c>
    </row>
    <row r="454" spans="1:15">
      <c r="A454" s="74" t="s">
        <v>113</v>
      </c>
      <c r="B454" s="74" t="s">
        <v>143</v>
      </c>
      <c r="C454" s="74" t="s">
        <v>144</v>
      </c>
      <c r="D454" s="74" t="s">
        <v>79</v>
      </c>
      <c r="E454" s="74" t="s">
        <v>80</v>
      </c>
      <c r="F454" s="86" t="s">
        <v>145</v>
      </c>
      <c r="G454" s="74" t="s">
        <v>146</v>
      </c>
      <c r="H454" s="87">
        <v>44408</v>
      </c>
      <c r="I454" s="98">
        <v>22</v>
      </c>
      <c r="J454" s="98">
        <v>22</v>
      </c>
      <c r="K454" s="89">
        <f t="shared" si="19"/>
        <v>1</v>
      </c>
      <c r="L454" s="89">
        <v>19420.27</v>
      </c>
      <c r="M454" s="89">
        <v>3074.29</v>
      </c>
      <c r="N454" s="89">
        <v>2075.97</v>
      </c>
      <c r="O454" s="89">
        <f t="shared" si="20"/>
        <v>24570.53</v>
      </c>
    </row>
    <row r="455" spans="1:15">
      <c r="A455" s="74" t="s">
        <v>113</v>
      </c>
      <c r="B455" s="74" t="s">
        <v>147</v>
      </c>
      <c r="C455" s="74" t="s">
        <v>148</v>
      </c>
      <c r="D455" s="74" t="s">
        <v>79</v>
      </c>
      <c r="E455" s="74" t="s">
        <v>80</v>
      </c>
      <c r="F455" s="86" t="s">
        <v>149</v>
      </c>
      <c r="G455" s="74" t="s">
        <v>150</v>
      </c>
      <c r="H455" s="87">
        <v>44408</v>
      </c>
      <c r="I455" s="98">
        <v>22</v>
      </c>
      <c r="J455" s="98">
        <v>22</v>
      </c>
      <c r="K455" s="89">
        <f t="shared" si="19"/>
        <v>1</v>
      </c>
      <c r="L455" s="89">
        <v>18194.33</v>
      </c>
      <c r="M455" s="89">
        <v>3214.61</v>
      </c>
      <c r="N455" s="89">
        <v>1832.03</v>
      </c>
      <c r="O455" s="89">
        <f t="shared" si="20"/>
        <v>23240.97</v>
      </c>
    </row>
    <row r="456" spans="1:15">
      <c r="A456" s="74" t="s">
        <v>113</v>
      </c>
      <c r="B456" s="74" t="s">
        <v>151</v>
      </c>
      <c r="C456" s="74" t="s">
        <v>152</v>
      </c>
      <c r="D456" s="74" t="s">
        <v>79</v>
      </c>
      <c r="E456" s="74" t="s">
        <v>81</v>
      </c>
      <c r="F456" s="86" t="s">
        <v>123</v>
      </c>
      <c r="G456" s="74" t="s">
        <v>153</v>
      </c>
      <c r="H456" s="87">
        <v>44408</v>
      </c>
      <c r="I456" s="98">
        <v>22</v>
      </c>
      <c r="J456" s="98">
        <v>22</v>
      </c>
      <c r="K456" s="89">
        <f t="shared" si="19"/>
        <v>1</v>
      </c>
      <c r="L456" s="89">
        <v>6588.95</v>
      </c>
      <c r="M456" s="89">
        <v>3168.29</v>
      </c>
      <c r="N456" s="89">
        <v>651.02</v>
      </c>
      <c r="O456" s="89">
        <f t="shared" si="20"/>
        <v>10408.26</v>
      </c>
    </row>
    <row r="457" spans="1:15">
      <c r="A457" s="74" t="s">
        <v>113</v>
      </c>
      <c r="B457" s="74" t="s">
        <v>154</v>
      </c>
      <c r="C457" s="74" t="s">
        <v>155</v>
      </c>
      <c r="D457" s="74" t="s">
        <v>79</v>
      </c>
      <c r="E457" s="74" t="s">
        <v>81</v>
      </c>
      <c r="F457" s="86" t="s">
        <v>156</v>
      </c>
      <c r="G457" s="74" t="s">
        <v>157</v>
      </c>
      <c r="H457" s="87">
        <v>44408</v>
      </c>
      <c r="I457" s="98">
        <v>22</v>
      </c>
      <c r="J457" s="98">
        <v>22</v>
      </c>
      <c r="K457" s="89">
        <f t="shared" si="19"/>
        <v>1</v>
      </c>
      <c r="L457" s="89">
        <v>5084.82</v>
      </c>
      <c r="M457" s="89">
        <v>3231.1</v>
      </c>
      <c r="N457" s="89">
        <v>521.77</v>
      </c>
      <c r="O457" s="89">
        <f t="shared" si="20"/>
        <v>8837.69</v>
      </c>
    </row>
    <row r="458" spans="1:15">
      <c r="A458" s="74" t="s">
        <v>113</v>
      </c>
      <c r="B458" s="74" t="s">
        <v>158</v>
      </c>
      <c r="C458" s="74" t="s">
        <v>159</v>
      </c>
      <c r="D458" s="74" t="s">
        <v>79</v>
      </c>
      <c r="E458" s="74" t="s">
        <v>81</v>
      </c>
      <c r="F458" s="86" t="s">
        <v>160</v>
      </c>
      <c r="G458" s="74" t="s">
        <v>161</v>
      </c>
      <c r="H458" s="87">
        <v>44408</v>
      </c>
      <c r="I458" s="98">
        <v>22</v>
      </c>
      <c r="J458" s="98">
        <v>22</v>
      </c>
      <c r="K458" s="89">
        <f t="shared" si="19"/>
        <v>1</v>
      </c>
      <c r="L458" s="89">
        <v>4336.16</v>
      </c>
      <c r="M458" s="89">
        <v>3107.59</v>
      </c>
      <c r="N458" s="89">
        <v>416.86</v>
      </c>
      <c r="O458" s="89">
        <f t="shared" si="20"/>
        <v>7860.61</v>
      </c>
    </row>
    <row r="459" spans="1:15">
      <c r="A459" s="74" t="s">
        <v>113</v>
      </c>
      <c r="B459" s="74" t="s">
        <v>162</v>
      </c>
      <c r="C459" s="74" t="s">
        <v>163</v>
      </c>
      <c r="D459" s="74" t="s">
        <v>79</v>
      </c>
      <c r="E459" s="74" t="s">
        <v>81</v>
      </c>
      <c r="F459" s="86" t="s">
        <v>123</v>
      </c>
      <c r="G459" s="74" t="s">
        <v>153</v>
      </c>
      <c r="H459" s="87">
        <v>44408</v>
      </c>
      <c r="I459" s="98">
        <v>22</v>
      </c>
      <c r="J459" s="98">
        <v>22</v>
      </c>
      <c r="K459" s="89">
        <f t="shared" si="19"/>
        <v>1</v>
      </c>
      <c r="L459" s="89">
        <v>6254.45</v>
      </c>
      <c r="M459" s="89">
        <v>3233</v>
      </c>
      <c r="N459" s="89">
        <v>659.44</v>
      </c>
      <c r="O459" s="89">
        <f t="shared" si="20"/>
        <v>10146.89</v>
      </c>
    </row>
    <row r="460" spans="1:15">
      <c r="A460" s="74" t="s">
        <v>113</v>
      </c>
      <c r="B460" s="74" t="s">
        <v>164</v>
      </c>
      <c r="C460" s="74" t="s">
        <v>165</v>
      </c>
      <c r="D460" s="74" t="s">
        <v>79</v>
      </c>
      <c r="E460" s="74" t="s">
        <v>81</v>
      </c>
      <c r="F460" s="86" t="s">
        <v>156</v>
      </c>
      <c r="G460" s="74" t="s">
        <v>157</v>
      </c>
      <c r="H460" s="87">
        <v>44408</v>
      </c>
      <c r="I460" s="98">
        <v>22</v>
      </c>
      <c r="J460" s="98">
        <v>22</v>
      </c>
      <c r="K460" s="89">
        <f t="shared" si="19"/>
        <v>1</v>
      </c>
      <c r="L460" s="89">
        <v>5389.34</v>
      </c>
      <c r="M460" s="89">
        <v>3116.69</v>
      </c>
      <c r="N460" s="89">
        <v>527.52</v>
      </c>
      <c r="O460" s="89">
        <f t="shared" si="20"/>
        <v>9033.55</v>
      </c>
    </row>
    <row r="461" spans="1:15">
      <c r="A461" s="74" t="s">
        <v>113</v>
      </c>
      <c r="B461" s="74" t="s">
        <v>166</v>
      </c>
      <c r="C461" s="74" t="s">
        <v>167</v>
      </c>
      <c r="D461" s="74" t="s">
        <v>79</v>
      </c>
      <c r="E461" s="74" t="s">
        <v>81</v>
      </c>
      <c r="F461" s="86" t="s">
        <v>160</v>
      </c>
      <c r="G461" s="74" t="s">
        <v>161</v>
      </c>
      <c r="H461" s="87">
        <v>44408</v>
      </c>
      <c r="I461" s="98">
        <v>22</v>
      </c>
      <c r="J461" s="98">
        <v>22</v>
      </c>
      <c r="K461" s="89">
        <f t="shared" si="19"/>
        <v>1</v>
      </c>
      <c r="L461" s="89">
        <v>4303.35</v>
      </c>
      <c r="M461" s="89">
        <v>3290.24</v>
      </c>
      <c r="N461" s="89">
        <v>421.05</v>
      </c>
      <c r="O461" s="89">
        <f t="shared" si="20"/>
        <v>8014.64</v>
      </c>
    </row>
    <row r="462" spans="1:15">
      <c r="A462" s="74" t="s">
        <v>113</v>
      </c>
      <c r="B462" s="74" t="s">
        <v>168</v>
      </c>
      <c r="C462" s="74" t="s">
        <v>169</v>
      </c>
      <c r="D462" s="74" t="s">
        <v>79</v>
      </c>
      <c r="E462" s="74" t="s">
        <v>81</v>
      </c>
      <c r="F462" s="86" t="s">
        <v>123</v>
      </c>
      <c r="G462" s="74" t="s">
        <v>153</v>
      </c>
      <c r="H462" s="87">
        <v>44408</v>
      </c>
      <c r="I462" s="98">
        <v>22</v>
      </c>
      <c r="J462" s="98">
        <v>22</v>
      </c>
      <c r="K462" s="89">
        <f t="shared" si="19"/>
        <v>1</v>
      </c>
      <c r="L462" s="89">
        <v>6200.93</v>
      </c>
      <c r="M462" s="89">
        <v>3111.32</v>
      </c>
      <c r="N462" s="89">
        <v>636.06</v>
      </c>
      <c r="O462" s="89">
        <f t="shared" si="20"/>
        <v>9948.31</v>
      </c>
    </row>
    <row r="463" spans="1:15">
      <c r="A463" s="74" t="s">
        <v>113</v>
      </c>
      <c r="B463" s="74" t="s">
        <v>170</v>
      </c>
      <c r="C463" s="74" t="s">
        <v>171</v>
      </c>
      <c r="D463" s="74" t="s">
        <v>79</v>
      </c>
      <c r="E463" s="74" t="s">
        <v>81</v>
      </c>
      <c r="F463" s="86" t="s">
        <v>156</v>
      </c>
      <c r="G463" s="74" t="s">
        <v>157</v>
      </c>
      <c r="H463" s="87">
        <v>44408</v>
      </c>
      <c r="I463" s="98">
        <v>22</v>
      </c>
      <c r="J463" s="98">
        <v>22</v>
      </c>
      <c r="K463" s="89">
        <f t="shared" si="19"/>
        <v>1</v>
      </c>
      <c r="L463" s="89">
        <v>5184.78</v>
      </c>
      <c r="M463" s="89">
        <v>3033</v>
      </c>
      <c r="N463" s="89">
        <v>538.41</v>
      </c>
      <c r="O463" s="89">
        <f t="shared" si="20"/>
        <v>8756.19</v>
      </c>
    </row>
    <row r="464" spans="1:15">
      <c r="A464" s="74" t="s">
        <v>113</v>
      </c>
      <c r="B464" s="74" t="s">
        <v>172</v>
      </c>
      <c r="C464" s="74" t="s">
        <v>173</v>
      </c>
      <c r="D464" s="74" t="s">
        <v>79</v>
      </c>
      <c r="E464" s="74" t="s">
        <v>81</v>
      </c>
      <c r="F464" s="86" t="s">
        <v>160</v>
      </c>
      <c r="G464" s="74" t="s">
        <v>161</v>
      </c>
      <c r="H464" s="87">
        <v>44408</v>
      </c>
      <c r="I464" s="98">
        <v>22</v>
      </c>
      <c r="J464" s="98">
        <v>22</v>
      </c>
      <c r="K464" s="89">
        <f t="shared" si="19"/>
        <v>1</v>
      </c>
      <c r="L464" s="89">
        <v>4260.97</v>
      </c>
      <c r="M464" s="89">
        <v>3199</v>
      </c>
      <c r="N464" s="89">
        <v>427.19</v>
      </c>
      <c r="O464" s="89">
        <f t="shared" si="20"/>
        <v>7887.16</v>
      </c>
    </row>
    <row r="465" spans="1:15">
      <c r="A465" s="74" t="s">
        <v>113</v>
      </c>
      <c r="B465" s="74" t="s">
        <v>174</v>
      </c>
      <c r="C465" s="74" t="s">
        <v>175</v>
      </c>
      <c r="D465" s="74" t="s">
        <v>79</v>
      </c>
      <c r="E465" s="74" t="s">
        <v>81</v>
      </c>
      <c r="F465" s="86" t="s">
        <v>176</v>
      </c>
      <c r="G465" s="74" t="s">
        <v>177</v>
      </c>
      <c r="H465" s="87">
        <v>44408</v>
      </c>
      <c r="I465" s="98">
        <v>22</v>
      </c>
      <c r="J465" s="98">
        <v>22</v>
      </c>
      <c r="K465" s="89">
        <f t="shared" si="19"/>
        <v>1</v>
      </c>
      <c r="L465" s="89">
        <v>3088.86</v>
      </c>
      <c r="M465" s="89">
        <v>3033.83</v>
      </c>
      <c r="N465" s="89">
        <v>307.29</v>
      </c>
      <c r="O465" s="89">
        <f t="shared" si="20"/>
        <v>6429.98</v>
      </c>
    </row>
    <row r="466" spans="1:15">
      <c r="A466" s="74" t="s">
        <v>113</v>
      </c>
      <c r="B466" s="74" t="s">
        <v>178</v>
      </c>
      <c r="C466" s="74" t="s">
        <v>179</v>
      </c>
      <c r="D466" s="74" t="s">
        <v>79</v>
      </c>
      <c r="E466" s="74" t="s">
        <v>81</v>
      </c>
      <c r="F466" s="86" t="s">
        <v>180</v>
      </c>
      <c r="G466" s="74" t="s">
        <v>177</v>
      </c>
      <c r="H466" s="87">
        <v>44408</v>
      </c>
      <c r="I466" s="98">
        <v>22</v>
      </c>
      <c r="J466" s="98">
        <v>22</v>
      </c>
      <c r="K466" s="89">
        <f t="shared" si="19"/>
        <v>1</v>
      </c>
      <c r="L466" s="89">
        <v>2006.57</v>
      </c>
      <c r="M466" s="89">
        <v>3143.43</v>
      </c>
      <c r="N466" s="89">
        <v>213.57</v>
      </c>
      <c r="O466" s="89">
        <f t="shared" si="20"/>
        <v>5363.57</v>
      </c>
    </row>
    <row r="467" spans="1:15">
      <c r="A467" s="74" t="s">
        <v>113</v>
      </c>
      <c r="B467" s="74" t="s">
        <v>181</v>
      </c>
      <c r="C467" s="74" t="s">
        <v>182</v>
      </c>
      <c r="D467" s="74" t="s">
        <v>79</v>
      </c>
      <c r="E467" s="74" t="s">
        <v>81</v>
      </c>
      <c r="F467" s="86" t="s">
        <v>183</v>
      </c>
      <c r="G467" s="74" t="s">
        <v>177</v>
      </c>
      <c r="H467" s="87">
        <v>44408</v>
      </c>
      <c r="I467" s="98">
        <v>22</v>
      </c>
      <c r="J467" s="98">
        <v>22</v>
      </c>
      <c r="K467" s="89">
        <f t="shared" si="19"/>
        <v>1</v>
      </c>
      <c r="L467" s="89">
        <v>1020.54</v>
      </c>
      <c r="M467" s="89">
        <v>3190.21</v>
      </c>
      <c r="N467" s="89">
        <v>106.71</v>
      </c>
      <c r="O467" s="89">
        <f t="shared" si="20"/>
        <v>4317.46</v>
      </c>
    </row>
    <row r="468" spans="1:15">
      <c r="A468" s="74" t="s">
        <v>113</v>
      </c>
      <c r="B468" s="74" t="s">
        <v>184</v>
      </c>
      <c r="C468" s="74" t="s">
        <v>185</v>
      </c>
      <c r="D468" s="74" t="s">
        <v>79</v>
      </c>
      <c r="E468" s="74" t="s">
        <v>81</v>
      </c>
      <c r="F468" s="86" t="s">
        <v>176</v>
      </c>
      <c r="G468" s="74" t="s">
        <v>177</v>
      </c>
      <c r="H468" s="87">
        <v>44408</v>
      </c>
      <c r="I468" s="98">
        <v>22</v>
      </c>
      <c r="J468" s="98">
        <v>22</v>
      </c>
      <c r="K468" s="89">
        <f t="shared" si="19"/>
        <v>1</v>
      </c>
      <c r="L468" s="89">
        <v>3138.2</v>
      </c>
      <c r="M468" s="89">
        <v>3142.25</v>
      </c>
      <c r="N468" s="89">
        <v>307.38</v>
      </c>
      <c r="O468" s="89">
        <f t="shared" si="20"/>
        <v>6587.83</v>
      </c>
    </row>
    <row r="469" spans="1:15">
      <c r="A469" s="74" t="s">
        <v>113</v>
      </c>
      <c r="B469" s="74" t="s">
        <v>186</v>
      </c>
      <c r="C469" s="74" t="s">
        <v>187</v>
      </c>
      <c r="D469" s="74" t="s">
        <v>79</v>
      </c>
      <c r="E469" s="74" t="s">
        <v>81</v>
      </c>
      <c r="F469" s="86" t="s">
        <v>180</v>
      </c>
      <c r="G469" s="74" t="s">
        <v>177</v>
      </c>
      <c r="H469" s="87">
        <v>44408</v>
      </c>
      <c r="I469" s="98">
        <v>22</v>
      </c>
      <c r="J469" s="98">
        <v>22</v>
      </c>
      <c r="K469" s="89">
        <f t="shared" si="19"/>
        <v>1</v>
      </c>
      <c r="L469" s="89">
        <v>2064.35</v>
      </c>
      <c r="M469" s="89">
        <v>3290.67</v>
      </c>
      <c r="N469" s="89">
        <v>211.09</v>
      </c>
      <c r="O469" s="89">
        <f t="shared" si="20"/>
        <v>5566.11</v>
      </c>
    </row>
    <row r="470" spans="1:15">
      <c r="A470" s="74" t="s">
        <v>113</v>
      </c>
      <c r="B470" s="74" t="s">
        <v>188</v>
      </c>
      <c r="C470" s="74" t="s">
        <v>189</v>
      </c>
      <c r="D470" s="74" t="s">
        <v>79</v>
      </c>
      <c r="E470" s="74" t="s">
        <v>81</v>
      </c>
      <c r="F470" s="86" t="s">
        <v>183</v>
      </c>
      <c r="G470" s="74" t="s">
        <v>177</v>
      </c>
      <c r="H470" s="87">
        <v>44408</v>
      </c>
      <c r="I470" s="98">
        <v>22</v>
      </c>
      <c r="J470" s="98">
        <v>22</v>
      </c>
      <c r="K470" s="89">
        <f t="shared" si="19"/>
        <v>1</v>
      </c>
      <c r="L470" s="89">
        <v>1058.52</v>
      </c>
      <c r="M470" s="89">
        <v>3217.1</v>
      </c>
      <c r="N470" s="89">
        <v>106.89</v>
      </c>
      <c r="O470" s="89">
        <f t="shared" si="20"/>
        <v>4382.51</v>
      </c>
    </row>
    <row r="471" spans="1:15">
      <c r="A471" s="74" t="s">
        <v>113</v>
      </c>
      <c r="B471" s="74" t="s">
        <v>190</v>
      </c>
      <c r="C471" s="74" t="s">
        <v>191</v>
      </c>
      <c r="D471" s="74" t="s">
        <v>79</v>
      </c>
      <c r="E471" s="74" t="s">
        <v>81</v>
      </c>
      <c r="F471" s="86" t="s">
        <v>176</v>
      </c>
      <c r="G471" s="74" t="s">
        <v>177</v>
      </c>
      <c r="H471" s="87">
        <v>44408</v>
      </c>
      <c r="I471" s="98">
        <v>22</v>
      </c>
      <c r="J471" s="98">
        <v>22</v>
      </c>
      <c r="K471" s="89">
        <f t="shared" si="19"/>
        <v>1</v>
      </c>
      <c r="L471" s="89">
        <v>3139.98</v>
      </c>
      <c r="M471" s="89">
        <v>3245.45</v>
      </c>
      <c r="N471" s="89">
        <v>319.62</v>
      </c>
      <c r="O471" s="89">
        <f t="shared" si="20"/>
        <v>6705.05</v>
      </c>
    </row>
    <row r="472" spans="1:15">
      <c r="A472" s="74" t="s">
        <v>113</v>
      </c>
      <c r="B472" s="74" t="s">
        <v>192</v>
      </c>
      <c r="C472" s="74" t="s">
        <v>193</v>
      </c>
      <c r="D472" s="74" t="s">
        <v>79</v>
      </c>
      <c r="E472" s="74" t="s">
        <v>81</v>
      </c>
      <c r="F472" s="86" t="s">
        <v>180</v>
      </c>
      <c r="G472" s="74" t="s">
        <v>177</v>
      </c>
      <c r="H472" s="87">
        <v>44408</v>
      </c>
      <c r="I472" s="98">
        <v>22</v>
      </c>
      <c r="J472" s="98">
        <v>22</v>
      </c>
      <c r="K472" s="89">
        <f t="shared" si="19"/>
        <v>1</v>
      </c>
      <c r="L472" s="89">
        <v>2115.62</v>
      </c>
      <c r="M472" s="89">
        <v>3129.14</v>
      </c>
      <c r="N472" s="89">
        <v>200.43</v>
      </c>
      <c r="O472" s="89">
        <f t="shared" si="20"/>
        <v>5445.19</v>
      </c>
    </row>
    <row r="473" spans="1:15">
      <c r="A473" s="74" t="s">
        <v>113</v>
      </c>
      <c r="B473" s="74" t="s">
        <v>194</v>
      </c>
      <c r="C473" s="74" t="s">
        <v>195</v>
      </c>
      <c r="D473" s="74" t="s">
        <v>79</v>
      </c>
      <c r="E473" s="74" t="s">
        <v>81</v>
      </c>
      <c r="F473" s="86" t="s">
        <v>183</v>
      </c>
      <c r="G473" s="74" t="s">
        <v>177</v>
      </c>
      <c r="H473" s="87">
        <v>44408</v>
      </c>
      <c r="I473" s="98">
        <v>22</v>
      </c>
      <c r="J473" s="98">
        <v>22</v>
      </c>
      <c r="K473" s="89">
        <f t="shared" si="19"/>
        <v>1</v>
      </c>
      <c r="L473" s="89">
        <v>1068.61</v>
      </c>
      <c r="M473" s="89">
        <v>3249.56</v>
      </c>
      <c r="N473" s="89">
        <v>102.25</v>
      </c>
      <c r="O473" s="89">
        <f t="shared" si="20"/>
        <v>4420.42</v>
      </c>
    </row>
    <row r="474" spans="1:15">
      <c r="A474" s="74" t="s">
        <v>113</v>
      </c>
      <c r="B474" s="74" t="s">
        <v>196</v>
      </c>
      <c r="C474" s="74" t="s">
        <v>197</v>
      </c>
      <c r="D474" s="74" t="s">
        <v>79</v>
      </c>
      <c r="E474" s="74" t="s">
        <v>81</v>
      </c>
      <c r="F474" s="86" t="s">
        <v>176</v>
      </c>
      <c r="G474" s="74" t="s">
        <v>177</v>
      </c>
      <c r="H474" s="87">
        <v>44408</v>
      </c>
      <c r="I474" s="98">
        <v>22</v>
      </c>
      <c r="J474" s="98">
        <v>22</v>
      </c>
      <c r="K474" s="89">
        <f t="shared" si="19"/>
        <v>1</v>
      </c>
      <c r="L474" s="89">
        <v>3211.28</v>
      </c>
      <c r="M474" s="89">
        <v>3292.14</v>
      </c>
      <c r="N474" s="89">
        <v>311.61</v>
      </c>
      <c r="O474" s="89">
        <f t="shared" si="20"/>
        <v>6815.03</v>
      </c>
    </row>
    <row r="475" spans="1:15">
      <c r="A475" s="74" t="s">
        <v>113</v>
      </c>
      <c r="B475" s="74" t="s">
        <v>198</v>
      </c>
      <c r="C475" s="74" t="s">
        <v>199</v>
      </c>
      <c r="D475" s="74" t="s">
        <v>79</v>
      </c>
      <c r="E475" s="74" t="s">
        <v>81</v>
      </c>
      <c r="F475" s="86" t="s">
        <v>180</v>
      </c>
      <c r="G475" s="74" t="s">
        <v>177</v>
      </c>
      <c r="H475" s="87">
        <v>44408</v>
      </c>
      <c r="I475" s="98">
        <v>22</v>
      </c>
      <c r="J475" s="98">
        <v>22</v>
      </c>
      <c r="K475" s="89">
        <f t="shared" si="19"/>
        <v>1</v>
      </c>
      <c r="L475" s="89">
        <v>2017.26</v>
      </c>
      <c r="M475" s="89">
        <v>3279.74</v>
      </c>
      <c r="N475" s="89">
        <v>205.36</v>
      </c>
      <c r="O475" s="89">
        <f t="shared" si="20"/>
        <v>5502.36</v>
      </c>
    </row>
    <row r="476" spans="1:15">
      <c r="A476" s="74" t="s">
        <v>113</v>
      </c>
      <c r="B476" s="74" t="s">
        <v>200</v>
      </c>
      <c r="C476" s="74" t="s">
        <v>201</v>
      </c>
      <c r="D476" s="74" t="s">
        <v>79</v>
      </c>
      <c r="E476" s="74" t="s">
        <v>81</v>
      </c>
      <c r="F476" s="86" t="s">
        <v>183</v>
      </c>
      <c r="G476" s="74" t="s">
        <v>177</v>
      </c>
      <c r="H476" s="87">
        <v>44408</v>
      </c>
      <c r="I476" s="98">
        <v>22</v>
      </c>
      <c r="J476" s="98">
        <v>22</v>
      </c>
      <c r="K476" s="89">
        <f t="shared" si="19"/>
        <v>1</v>
      </c>
      <c r="L476" s="89">
        <v>1039.69</v>
      </c>
      <c r="M476" s="89">
        <v>3141.86</v>
      </c>
      <c r="N476" s="89">
        <v>100.18</v>
      </c>
      <c r="O476" s="89">
        <f t="shared" si="20"/>
        <v>4281.73</v>
      </c>
    </row>
    <row r="477" spans="1:15">
      <c r="A477" s="74" t="s">
        <v>113</v>
      </c>
      <c r="B477" s="74" t="s">
        <v>202</v>
      </c>
      <c r="C477" s="74" t="s">
        <v>203</v>
      </c>
      <c r="D477" s="74" t="s">
        <v>79</v>
      </c>
      <c r="E477" s="74" t="s">
        <v>81</v>
      </c>
      <c r="F477" s="86" t="s">
        <v>204</v>
      </c>
      <c r="G477" s="74" t="s">
        <v>205</v>
      </c>
      <c r="H477" s="87">
        <v>44408</v>
      </c>
      <c r="I477" s="98">
        <v>22</v>
      </c>
      <c r="J477" s="98">
        <v>22</v>
      </c>
      <c r="K477" s="89">
        <f t="shared" si="19"/>
        <v>1</v>
      </c>
      <c r="L477" s="89">
        <v>19170.25</v>
      </c>
      <c r="M477" s="89">
        <v>3164.98</v>
      </c>
      <c r="N477" s="89">
        <v>1854.4</v>
      </c>
      <c r="O477" s="89">
        <f t="shared" si="20"/>
        <v>24189.63</v>
      </c>
    </row>
    <row r="478" spans="1:15">
      <c r="A478" s="74" t="s">
        <v>113</v>
      </c>
      <c r="B478" s="74" t="s">
        <v>206</v>
      </c>
      <c r="C478" s="74" t="s">
        <v>207</v>
      </c>
      <c r="D478" s="88" t="s">
        <v>82</v>
      </c>
      <c r="E478" s="88" t="s">
        <v>84</v>
      </c>
      <c r="F478" s="86" t="s">
        <v>208</v>
      </c>
      <c r="G478" s="74" t="s">
        <v>209</v>
      </c>
      <c r="H478" s="87">
        <v>44408</v>
      </c>
      <c r="I478" s="98">
        <v>22</v>
      </c>
      <c r="J478" s="98">
        <v>22</v>
      </c>
      <c r="K478" s="89">
        <f t="shared" si="19"/>
        <v>1</v>
      </c>
      <c r="L478" s="89">
        <v>9057.68</v>
      </c>
      <c r="M478" s="89">
        <v>3281.72</v>
      </c>
      <c r="N478" s="89">
        <v>936.3</v>
      </c>
      <c r="O478" s="89">
        <f t="shared" si="20"/>
        <v>13275.7</v>
      </c>
    </row>
    <row r="479" spans="1:15">
      <c r="A479" s="74" t="s">
        <v>113</v>
      </c>
      <c r="B479" s="74" t="s">
        <v>210</v>
      </c>
      <c r="C479" s="74" t="s">
        <v>211</v>
      </c>
      <c r="D479" s="88" t="s">
        <v>82</v>
      </c>
      <c r="E479" s="88" t="s">
        <v>84</v>
      </c>
      <c r="F479" s="86" t="s">
        <v>116</v>
      </c>
      <c r="G479" s="74" t="s">
        <v>209</v>
      </c>
      <c r="H479" s="87">
        <v>44408</v>
      </c>
      <c r="I479" s="98">
        <v>22</v>
      </c>
      <c r="J479" s="98">
        <v>22</v>
      </c>
      <c r="K479" s="89">
        <f t="shared" si="19"/>
        <v>1</v>
      </c>
      <c r="L479" s="89">
        <v>8498.25</v>
      </c>
      <c r="M479" s="89">
        <v>3139</v>
      </c>
      <c r="N479" s="89">
        <v>832.03</v>
      </c>
      <c r="O479" s="89">
        <f t="shared" si="20"/>
        <v>12469.28</v>
      </c>
    </row>
    <row r="480" spans="1:15">
      <c r="A480" s="74" t="s">
        <v>113</v>
      </c>
      <c r="B480" s="74" t="s">
        <v>212</v>
      </c>
      <c r="C480" s="74" t="s">
        <v>213</v>
      </c>
      <c r="D480" s="88" t="s">
        <v>82</v>
      </c>
      <c r="E480" s="88" t="s">
        <v>84</v>
      </c>
      <c r="F480" s="86" t="s">
        <v>208</v>
      </c>
      <c r="G480" s="74" t="s">
        <v>209</v>
      </c>
      <c r="H480" s="87">
        <v>44408</v>
      </c>
      <c r="I480" s="98">
        <v>22</v>
      </c>
      <c r="J480" s="98">
        <v>22</v>
      </c>
      <c r="K480" s="89">
        <f t="shared" si="19"/>
        <v>1</v>
      </c>
      <c r="L480" s="89">
        <v>9364.31</v>
      </c>
      <c r="M480" s="89">
        <v>3025.89</v>
      </c>
      <c r="N480" s="89">
        <v>922.14</v>
      </c>
      <c r="O480" s="89">
        <f t="shared" si="20"/>
        <v>13312.34</v>
      </c>
    </row>
    <row r="481" spans="1:15">
      <c r="A481" s="74" t="s">
        <v>113</v>
      </c>
      <c r="B481" s="74" t="s">
        <v>214</v>
      </c>
      <c r="C481" s="74" t="s">
        <v>215</v>
      </c>
      <c r="D481" s="88" t="s">
        <v>82</v>
      </c>
      <c r="E481" s="88" t="s">
        <v>84</v>
      </c>
      <c r="F481" s="86" t="s">
        <v>116</v>
      </c>
      <c r="G481" s="74" t="s">
        <v>209</v>
      </c>
      <c r="H481" s="87">
        <v>44408</v>
      </c>
      <c r="I481" s="98">
        <v>22</v>
      </c>
      <c r="J481" s="98">
        <v>22</v>
      </c>
      <c r="K481" s="89">
        <f t="shared" si="19"/>
        <v>1</v>
      </c>
      <c r="L481" s="89">
        <v>8314.9</v>
      </c>
      <c r="M481" s="89">
        <v>3292.78</v>
      </c>
      <c r="N481" s="89">
        <v>820.36</v>
      </c>
      <c r="O481" s="89">
        <f t="shared" si="20"/>
        <v>12428.04</v>
      </c>
    </row>
    <row r="482" spans="1:15">
      <c r="A482" s="74" t="s">
        <v>113</v>
      </c>
      <c r="B482" s="74" t="s">
        <v>216</v>
      </c>
      <c r="C482" s="74" t="s">
        <v>217</v>
      </c>
      <c r="D482" s="88" t="s">
        <v>82</v>
      </c>
      <c r="E482" s="88" t="s">
        <v>84</v>
      </c>
      <c r="F482" s="86" t="s">
        <v>218</v>
      </c>
      <c r="G482" s="74" t="s">
        <v>219</v>
      </c>
      <c r="H482" s="87">
        <v>44408</v>
      </c>
      <c r="I482" s="98">
        <v>22</v>
      </c>
      <c r="J482" s="98">
        <v>22</v>
      </c>
      <c r="K482" s="89">
        <f t="shared" si="19"/>
        <v>1</v>
      </c>
      <c r="L482" s="89">
        <v>11000.98</v>
      </c>
      <c r="M482" s="89">
        <v>3075.97</v>
      </c>
      <c r="N482" s="89">
        <v>1144.41</v>
      </c>
      <c r="O482" s="89">
        <f t="shared" si="20"/>
        <v>15221.36</v>
      </c>
    </row>
    <row r="483" spans="1:15">
      <c r="A483" s="74" t="s">
        <v>113</v>
      </c>
      <c r="B483" s="74" t="s">
        <v>220</v>
      </c>
      <c r="C483" s="74" t="s">
        <v>221</v>
      </c>
      <c r="D483" s="88" t="s">
        <v>82</v>
      </c>
      <c r="E483" s="74" t="s">
        <v>83</v>
      </c>
      <c r="F483" s="86" t="s">
        <v>218</v>
      </c>
      <c r="G483" s="74" t="s">
        <v>222</v>
      </c>
      <c r="H483" s="87">
        <v>44408</v>
      </c>
      <c r="I483" s="98">
        <v>22</v>
      </c>
      <c r="J483" s="98">
        <v>22</v>
      </c>
      <c r="K483" s="89">
        <f t="shared" si="19"/>
        <v>1</v>
      </c>
      <c r="L483" s="89">
        <v>11767.21</v>
      </c>
      <c r="M483" s="89">
        <v>3126.09</v>
      </c>
      <c r="N483" s="89">
        <v>1200.05</v>
      </c>
      <c r="O483" s="89">
        <f t="shared" si="20"/>
        <v>16093.35</v>
      </c>
    </row>
    <row r="484" spans="1:15">
      <c r="A484" s="74" t="s">
        <v>113</v>
      </c>
      <c r="B484" s="74" t="s">
        <v>223</v>
      </c>
      <c r="C484" s="74" t="s">
        <v>224</v>
      </c>
      <c r="D484" s="88" t="s">
        <v>82</v>
      </c>
      <c r="E484" s="74" t="s">
        <v>83</v>
      </c>
      <c r="F484" s="86" t="s">
        <v>225</v>
      </c>
      <c r="G484" s="74" t="s">
        <v>209</v>
      </c>
      <c r="H484" s="87">
        <v>44408</v>
      </c>
      <c r="I484" s="98">
        <v>22</v>
      </c>
      <c r="J484" s="98">
        <v>22</v>
      </c>
      <c r="K484" s="89">
        <f t="shared" si="19"/>
        <v>1</v>
      </c>
      <c r="L484" s="89">
        <v>10328.15</v>
      </c>
      <c r="M484" s="89">
        <v>3093.64</v>
      </c>
      <c r="N484" s="89">
        <v>1075.12</v>
      </c>
      <c r="O484" s="89">
        <f t="shared" si="20"/>
        <v>14496.91</v>
      </c>
    </row>
    <row r="485" spans="1:15">
      <c r="A485" s="74" t="s">
        <v>113</v>
      </c>
      <c r="B485" s="74" t="s">
        <v>226</v>
      </c>
      <c r="C485" s="74" t="s">
        <v>227</v>
      </c>
      <c r="D485" s="88" t="s">
        <v>82</v>
      </c>
      <c r="E485" s="74" t="s">
        <v>83</v>
      </c>
      <c r="F485" s="86" t="s">
        <v>208</v>
      </c>
      <c r="G485" s="74" t="s">
        <v>209</v>
      </c>
      <c r="H485" s="87">
        <v>44408</v>
      </c>
      <c r="I485" s="98">
        <v>22</v>
      </c>
      <c r="J485" s="98">
        <v>22</v>
      </c>
      <c r="K485" s="89">
        <f t="shared" si="19"/>
        <v>1</v>
      </c>
      <c r="L485" s="89">
        <v>9523.88</v>
      </c>
      <c r="M485" s="89">
        <v>3293.35</v>
      </c>
      <c r="N485" s="89">
        <v>946.56</v>
      </c>
      <c r="O485" s="89">
        <f t="shared" si="20"/>
        <v>13763.79</v>
      </c>
    </row>
    <row r="486" spans="1:15">
      <c r="A486" s="74" t="s">
        <v>113</v>
      </c>
      <c r="B486" s="74" t="s">
        <v>228</v>
      </c>
      <c r="C486" s="74" t="s">
        <v>229</v>
      </c>
      <c r="D486" s="88" t="s">
        <v>82</v>
      </c>
      <c r="E486" s="74" t="s">
        <v>83</v>
      </c>
      <c r="F486" s="86" t="s">
        <v>116</v>
      </c>
      <c r="G486" s="74" t="s">
        <v>209</v>
      </c>
      <c r="H486" s="87">
        <v>44408</v>
      </c>
      <c r="I486" s="98">
        <v>22</v>
      </c>
      <c r="J486" s="98">
        <v>22</v>
      </c>
      <c r="K486" s="89">
        <f t="shared" si="19"/>
        <v>1</v>
      </c>
      <c r="L486" s="89">
        <v>8542.76</v>
      </c>
      <c r="M486" s="89">
        <v>3204.11</v>
      </c>
      <c r="N486" s="89">
        <v>830.82</v>
      </c>
      <c r="O486" s="89">
        <f t="shared" si="20"/>
        <v>12577.69</v>
      </c>
    </row>
    <row r="487" spans="1:15">
      <c r="A487" s="74" t="s">
        <v>113</v>
      </c>
      <c r="B487" s="74" t="s">
        <v>230</v>
      </c>
      <c r="C487" s="74" t="s">
        <v>231</v>
      </c>
      <c r="D487" s="88" t="s">
        <v>82</v>
      </c>
      <c r="E487" s="74" t="s">
        <v>83</v>
      </c>
      <c r="F487" s="86" t="s">
        <v>120</v>
      </c>
      <c r="G487" s="74" t="s">
        <v>209</v>
      </c>
      <c r="H487" s="87">
        <v>44408</v>
      </c>
      <c r="I487" s="98">
        <v>22</v>
      </c>
      <c r="J487" s="98">
        <v>22</v>
      </c>
      <c r="K487" s="89">
        <f t="shared" si="19"/>
        <v>1</v>
      </c>
      <c r="L487" s="89">
        <v>7479.7</v>
      </c>
      <c r="M487" s="89">
        <v>3298.15</v>
      </c>
      <c r="N487" s="89">
        <v>720.37</v>
      </c>
      <c r="O487" s="89">
        <f t="shared" si="20"/>
        <v>11498.22</v>
      </c>
    </row>
    <row r="488" spans="1:15">
      <c r="A488" s="74" t="s">
        <v>113</v>
      </c>
      <c r="B488" s="74" t="s">
        <v>232</v>
      </c>
      <c r="C488" s="74" t="s">
        <v>233</v>
      </c>
      <c r="D488" s="88" t="s">
        <v>82</v>
      </c>
      <c r="E488" s="74" t="s">
        <v>83</v>
      </c>
      <c r="F488" s="86" t="s">
        <v>123</v>
      </c>
      <c r="G488" s="74" t="s">
        <v>209</v>
      </c>
      <c r="H488" s="87">
        <v>44408</v>
      </c>
      <c r="I488" s="98">
        <v>22</v>
      </c>
      <c r="J488" s="98">
        <v>22</v>
      </c>
      <c r="K488" s="89">
        <f t="shared" si="19"/>
        <v>1</v>
      </c>
      <c r="L488" s="89">
        <v>6534.33</v>
      </c>
      <c r="M488" s="89">
        <v>3038.03</v>
      </c>
      <c r="N488" s="89">
        <v>642.85</v>
      </c>
      <c r="O488" s="89">
        <f t="shared" si="20"/>
        <v>10215.21</v>
      </c>
    </row>
    <row r="489" spans="1:15">
      <c r="A489" s="74" t="s">
        <v>113</v>
      </c>
      <c r="B489" s="74" t="s">
        <v>234</v>
      </c>
      <c r="C489" s="74" t="s">
        <v>235</v>
      </c>
      <c r="D489" s="88" t="s">
        <v>82</v>
      </c>
      <c r="E489" s="74" t="s">
        <v>83</v>
      </c>
      <c r="F489" s="86" t="s">
        <v>116</v>
      </c>
      <c r="G489" s="74" t="s">
        <v>209</v>
      </c>
      <c r="H489" s="87">
        <v>44408</v>
      </c>
      <c r="I489" s="98">
        <v>22</v>
      </c>
      <c r="J489" s="98">
        <v>22</v>
      </c>
      <c r="K489" s="89">
        <f t="shared" si="19"/>
        <v>1</v>
      </c>
      <c r="L489" s="89">
        <v>8573.95</v>
      </c>
      <c r="M489" s="89">
        <v>3073.31</v>
      </c>
      <c r="N489" s="89">
        <v>817.2</v>
      </c>
      <c r="O489" s="89">
        <f t="shared" si="20"/>
        <v>12464.46</v>
      </c>
    </row>
    <row r="490" spans="1:15">
      <c r="A490" s="74" t="s">
        <v>113</v>
      </c>
      <c r="B490" s="74" t="s">
        <v>236</v>
      </c>
      <c r="C490" s="74" t="s">
        <v>237</v>
      </c>
      <c r="D490" s="88" t="s">
        <v>82</v>
      </c>
      <c r="E490" s="74" t="s">
        <v>83</v>
      </c>
      <c r="F490" s="86" t="s">
        <v>120</v>
      </c>
      <c r="G490" s="74" t="s">
        <v>209</v>
      </c>
      <c r="H490" s="87">
        <v>44408</v>
      </c>
      <c r="I490" s="98">
        <v>22</v>
      </c>
      <c r="J490" s="98">
        <v>22</v>
      </c>
      <c r="K490" s="89">
        <f t="shared" si="19"/>
        <v>1</v>
      </c>
      <c r="L490" s="89">
        <v>7221.14</v>
      </c>
      <c r="M490" s="89">
        <v>3107.62</v>
      </c>
      <c r="N490" s="89">
        <v>765.16</v>
      </c>
      <c r="O490" s="89">
        <f t="shared" si="20"/>
        <v>11093.92</v>
      </c>
    </row>
    <row r="491" spans="1:15">
      <c r="A491" s="74" t="s">
        <v>113</v>
      </c>
      <c r="B491" s="74" t="s">
        <v>238</v>
      </c>
      <c r="C491" s="74" t="s">
        <v>239</v>
      </c>
      <c r="D491" s="74" t="s">
        <v>86</v>
      </c>
      <c r="E491" s="74" t="s">
        <v>87</v>
      </c>
      <c r="F491" s="86" t="s">
        <v>204</v>
      </c>
      <c r="G491" s="74" t="s">
        <v>240</v>
      </c>
      <c r="H491" s="87">
        <v>44408</v>
      </c>
      <c r="I491" s="98">
        <v>22</v>
      </c>
      <c r="J491" s="98">
        <v>22</v>
      </c>
      <c r="K491" s="89">
        <f t="shared" si="19"/>
        <v>1</v>
      </c>
      <c r="L491" s="89">
        <v>14637.12</v>
      </c>
      <c r="M491" s="89">
        <v>3107.38</v>
      </c>
      <c r="N491" s="89">
        <v>1928.31</v>
      </c>
      <c r="O491" s="89">
        <f t="shared" si="20"/>
        <v>19672.81</v>
      </c>
    </row>
    <row r="492" spans="1:15">
      <c r="A492" s="74" t="s">
        <v>113</v>
      </c>
      <c r="B492" s="74" t="s">
        <v>241</v>
      </c>
      <c r="C492" s="74" t="s">
        <v>242</v>
      </c>
      <c r="D492" s="74" t="s">
        <v>86</v>
      </c>
      <c r="E492" s="74" t="s">
        <v>87</v>
      </c>
      <c r="F492" s="86" t="s">
        <v>243</v>
      </c>
      <c r="G492" s="74" t="s">
        <v>244</v>
      </c>
      <c r="H492" s="87">
        <v>44408</v>
      </c>
      <c r="I492" s="98">
        <v>22</v>
      </c>
      <c r="J492" s="98">
        <v>22</v>
      </c>
      <c r="K492" s="89">
        <f t="shared" si="19"/>
        <v>1</v>
      </c>
      <c r="L492" s="89">
        <v>11132.32</v>
      </c>
      <c r="M492" s="89">
        <v>3210.04</v>
      </c>
      <c r="N492" s="89">
        <v>1363.4</v>
      </c>
      <c r="O492" s="89">
        <f t="shared" si="20"/>
        <v>15705.76</v>
      </c>
    </row>
    <row r="493" spans="1:15">
      <c r="A493" s="74" t="s">
        <v>113</v>
      </c>
      <c r="B493" s="74" t="s">
        <v>245</v>
      </c>
      <c r="C493" s="74" t="s">
        <v>246</v>
      </c>
      <c r="D493" s="74" t="s">
        <v>86</v>
      </c>
      <c r="E493" s="74" t="s">
        <v>87</v>
      </c>
      <c r="F493" s="86" t="s">
        <v>247</v>
      </c>
      <c r="G493" s="74" t="s">
        <v>248</v>
      </c>
      <c r="H493" s="87">
        <v>44408</v>
      </c>
      <c r="I493" s="98">
        <v>22</v>
      </c>
      <c r="J493" s="98">
        <v>22</v>
      </c>
      <c r="K493" s="89">
        <f t="shared" si="19"/>
        <v>1</v>
      </c>
      <c r="L493" s="89">
        <v>9913.34</v>
      </c>
      <c r="M493" s="89">
        <v>3109.74</v>
      </c>
      <c r="N493" s="89">
        <v>1206.5</v>
      </c>
      <c r="O493" s="89">
        <f t="shared" si="20"/>
        <v>14229.58</v>
      </c>
    </row>
    <row r="494" spans="1:15">
      <c r="A494" s="74" t="s">
        <v>113</v>
      </c>
      <c r="B494" s="74" t="s">
        <v>249</v>
      </c>
      <c r="C494" s="74" t="s">
        <v>250</v>
      </c>
      <c r="D494" s="74" t="s">
        <v>86</v>
      </c>
      <c r="E494" s="74" t="s">
        <v>87</v>
      </c>
      <c r="F494" s="86" t="s">
        <v>251</v>
      </c>
      <c r="G494" s="74" t="s">
        <v>252</v>
      </c>
      <c r="H494" s="87">
        <v>44408</v>
      </c>
      <c r="I494" s="98">
        <v>22</v>
      </c>
      <c r="J494" s="98">
        <v>22</v>
      </c>
      <c r="K494" s="89">
        <f t="shared" si="19"/>
        <v>1</v>
      </c>
      <c r="L494" s="89">
        <v>9416.87</v>
      </c>
      <c r="M494" s="89">
        <v>3089.03</v>
      </c>
      <c r="N494" s="89">
        <v>1143.38</v>
      </c>
      <c r="O494" s="89">
        <f t="shared" si="20"/>
        <v>13649.28</v>
      </c>
    </row>
    <row r="495" spans="1:15">
      <c r="A495" s="74" t="s">
        <v>113</v>
      </c>
      <c r="B495" s="74" t="s">
        <v>253</v>
      </c>
      <c r="C495" s="74" t="s">
        <v>254</v>
      </c>
      <c r="D495" s="74" t="s">
        <v>86</v>
      </c>
      <c r="E495" s="74" t="s">
        <v>87</v>
      </c>
      <c r="F495" s="86" t="s">
        <v>255</v>
      </c>
      <c r="G495" s="74" t="s">
        <v>252</v>
      </c>
      <c r="H495" s="87">
        <v>44408</v>
      </c>
      <c r="I495" s="98">
        <v>22</v>
      </c>
      <c r="J495" s="98">
        <v>22</v>
      </c>
      <c r="K495" s="89">
        <f t="shared" si="19"/>
        <v>1</v>
      </c>
      <c r="L495" s="89">
        <v>8083.81</v>
      </c>
      <c r="M495" s="89">
        <v>3231.32</v>
      </c>
      <c r="N495" s="89">
        <v>1009.9</v>
      </c>
      <c r="O495" s="89">
        <f t="shared" si="20"/>
        <v>12325.03</v>
      </c>
    </row>
    <row r="496" spans="1:15">
      <c r="A496" s="74" t="s">
        <v>113</v>
      </c>
      <c r="B496" s="74" t="s">
        <v>256</v>
      </c>
      <c r="C496" s="74" t="s">
        <v>257</v>
      </c>
      <c r="D496" s="74" t="s">
        <v>86</v>
      </c>
      <c r="E496" s="74" t="s">
        <v>87</v>
      </c>
      <c r="F496" s="86" t="s">
        <v>258</v>
      </c>
      <c r="G496" s="74" t="s">
        <v>252</v>
      </c>
      <c r="H496" s="87">
        <v>44408</v>
      </c>
      <c r="I496" s="98">
        <v>22</v>
      </c>
      <c r="J496" s="98">
        <v>22</v>
      </c>
      <c r="K496" s="89">
        <f t="shared" si="19"/>
        <v>1</v>
      </c>
      <c r="L496" s="89">
        <v>7530.28</v>
      </c>
      <c r="M496" s="89">
        <v>3198.13</v>
      </c>
      <c r="N496" s="89">
        <v>912.38</v>
      </c>
      <c r="O496" s="89">
        <f t="shared" si="20"/>
        <v>11640.79</v>
      </c>
    </row>
    <row r="497" spans="1:15">
      <c r="A497" s="74" t="s">
        <v>113</v>
      </c>
      <c r="B497" s="74" t="s">
        <v>259</v>
      </c>
      <c r="C497" s="74" t="s">
        <v>260</v>
      </c>
      <c r="D497" s="74" t="s">
        <v>86</v>
      </c>
      <c r="E497" s="74" t="s">
        <v>87</v>
      </c>
      <c r="F497" s="86" t="s">
        <v>261</v>
      </c>
      <c r="G497" s="74" t="s">
        <v>262</v>
      </c>
      <c r="H497" s="87">
        <v>44408</v>
      </c>
      <c r="I497" s="98">
        <v>22</v>
      </c>
      <c r="J497" s="98">
        <v>22</v>
      </c>
      <c r="K497" s="89">
        <f t="shared" si="19"/>
        <v>1</v>
      </c>
      <c r="L497" s="89">
        <v>6959.09</v>
      </c>
      <c r="M497" s="89">
        <v>3228.14</v>
      </c>
      <c r="N497" s="89">
        <v>814.47</v>
      </c>
      <c r="O497" s="89">
        <f t="shared" si="20"/>
        <v>11001.7</v>
      </c>
    </row>
    <row r="498" spans="1:15">
      <c r="A498" s="74" t="s">
        <v>113</v>
      </c>
      <c r="B498" s="74" t="s">
        <v>263</v>
      </c>
      <c r="C498" s="74" t="s">
        <v>264</v>
      </c>
      <c r="D498" s="74" t="s">
        <v>86</v>
      </c>
      <c r="E498" s="74" t="s">
        <v>88</v>
      </c>
      <c r="F498" s="86" t="s">
        <v>149</v>
      </c>
      <c r="G498" s="74" t="s">
        <v>265</v>
      </c>
      <c r="H498" s="87">
        <v>44408</v>
      </c>
      <c r="I498" s="98">
        <v>22</v>
      </c>
      <c r="J498" s="98">
        <v>22</v>
      </c>
      <c r="K498" s="89">
        <f t="shared" si="19"/>
        <v>1</v>
      </c>
      <c r="L498" s="89">
        <v>14589.97</v>
      </c>
      <c r="M498" s="89">
        <v>3251.26</v>
      </c>
      <c r="N498" s="89">
        <v>1761.48</v>
      </c>
      <c r="O498" s="89">
        <f t="shared" si="20"/>
        <v>19602.71</v>
      </c>
    </row>
    <row r="499" spans="1:15">
      <c r="A499" s="74" t="s">
        <v>113</v>
      </c>
      <c r="B499" s="74" t="s">
        <v>266</v>
      </c>
      <c r="C499" s="74" t="s">
        <v>267</v>
      </c>
      <c r="D499" s="74" t="s">
        <v>86</v>
      </c>
      <c r="E499" s="74" t="s">
        <v>88</v>
      </c>
      <c r="F499" s="86" t="s">
        <v>243</v>
      </c>
      <c r="G499" s="74" t="s">
        <v>268</v>
      </c>
      <c r="H499" s="87">
        <v>44408</v>
      </c>
      <c r="I499" s="98">
        <v>22</v>
      </c>
      <c r="J499" s="98">
        <v>22</v>
      </c>
      <c r="K499" s="89">
        <f t="shared" si="19"/>
        <v>1</v>
      </c>
      <c r="L499" s="89">
        <v>11396.77</v>
      </c>
      <c r="M499" s="89">
        <v>3266.08</v>
      </c>
      <c r="N499" s="89">
        <v>1383.36</v>
      </c>
      <c r="O499" s="89">
        <f t="shared" si="20"/>
        <v>16046.21</v>
      </c>
    </row>
    <row r="500" spans="1:15">
      <c r="A500" s="74" t="s">
        <v>113</v>
      </c>
      <c r="B500" s="74" t="s">
        <v>269</v>
      </c>
      <c r="C500" s="74" t="s">
        <v>270</v>
      </c>
      <c r="D500" s="74" t="s">
        <v>86</v>
      </c>
      <c r="E500" s="74" t="s">
        <v>88</v>
      </c>
      <c r="F500" s="86" t="s">
        <v>247</v>
      </c>
      <c r="G500" s="74" t="s">
        <v>268</v>
      </c>
      <c r="H500" s="87">
        <v>44408</v>
      </c>
      <c r="I500" s="98">
        <v>22</v>
      </c>
      <c r="J500" s="98">
        <v>22</v>
      </c>
      <c r="K500" s="89">
        <f t="shared" si="19"/>
        <v>1</v>
      </c>
      <c r="L500" s="89">
        <v>10101.28</v>
      </c>
      <c r="M500" s="89">
        <v>3158.45</v>
      </c>
      <c r="N500" s="89">
        <v>1204.02</v>
      </c>
      <c r="O500" s="89">
        <f t="shared" si="20"/>
        <v>14463.75</v>
      </c>
    </row>
    <row r="501" spans="1:15">
      <c r="A501" s="74" t="s">
        <v>113</v>
      </c>
      <c r="B501" s="74" t="s">
        <v>271</v>
      </c>
      <c r="C501" s="74" t="s">
        <v>272</v>
      </c>
      <c r="D501" s="74" t="s">
        <v>86</v>
      </c>
      <c r="E501" s="74" t="s">
        <v>88</v>
      </c>
      <c r="F501" s="86" t="s">
        <v>251</v>
      </c>
      <c r="G501" s="74" t="s">
        <v>268</v>
      </c>
      <c r="H501" s="87">
        <v>44408</v>
      </c>
      <c r="I501" s="98">
        <v>22</v>
      </c>
      <c r="J501" s="98">
        <v>22</v>
      </c>
      <c r="K501" s="89">
        <f t="shared" si="19"/>
        <v>1</v>
      </c>
      <c r="L501" s="89">
        <v>9382.21</v>
      </c>
      <c r="M501" s="89">
        <v>3233.08</v>
      </c>
      <c r="N501" s="89">
        <v>1195.7</v>
      </c>
      <c r="O501" s="89">
        <f t="shared" si="20"/>
        <v>13810.99</v>
      </c>
    </row>
    <row r="502" spans="1:15">
      <c r="A502" s="74" t="s">
        <v>113</v>
      </c>
      <c r="B502" s="74" t="s">
        <v>273</v>
      </c>
      <c r="C502" s="74" t="s">
        <v>274</v>
      </c>
      <c r="D502" s="74" t="s">
        <v>86</v>
      </c>
      <c r="E502" s="74" t="s">
        <v>88</v>
      </c>
      <c r="F502" s="86" t="s">
        <v>255</v>
      </c>
      <c r="G502" s="74" t="s">
        <v>268</v>
      </c>
      <c r="H502" s="87">
        <v>44408</v>
      </c>
      <c r="I502" s="98">
        <v>22</v>
      </c>
      <c r="J502" s="98">
        <v>22</v>
      </c>
      <c r="K502" s="89">
        <f t="shared" si="19"/>
        <v>1</v>
      </c>
      <c r="L502" s="89">
        <v>8018.64</v>
      </c>
      <c r="M502" s="89">
        <v>3000.11</v>
      </c>
      <c r="N502" s="89">
        <v>1042.41</v>
      </c>
      <c r="O502" s="89">
        <f t="shared" si="20"/>
        <v>12061.16</v>
      </c>
    </row>
    <row r="503" spans="1:15">
      <c r="A503" s="74" t="s">
        <v>113</v>
      </c>
      <c r="B503" s="74" t="s">
        <v>275</v>
      </c>
      <c r="C503" s="74" t="s">
        <v>276</v>
      </c>
      <c r="D503" s="74" t="s">
        <v>86</v>
      </c>
      <c r="E503" s="74" t="s">
        <v>88</v>
      </c>
      <c r="F503" s="86" t="s">
        <v>258</v>
      </c>
      <c r="G503" s="74" t="s">
        <v>268</v>
      </c>
      <c r="H503" s="87">
        <v>44408</v>
      </c>
      <c r="I503" s="98">
        <v>22</v>
      </c>
      <c r="J503" s="98">
        <v>22</v>
      </c>
      <c r="K503" s="89">
        <f t="shared" si="19"/>
        <v>1</v>
      </c>
      <c r="L503" s="89">
        <v>7740.38</v>
      </c>
      <c r="M503" s="89">
        <v>3224.2</v>
      </c>
      <c r="N503" s="89">
        <v>962.38</v>
      </c>
      <c r="O503" s="89">
        <f t="shared" si="20"/>
        <v>11926.96</v>
      </c>
    </row>
    <row r="504" spans="1:15">
      <c r="A504" s="74" t="s">
        <v>113</v>
      </c>
      <c r="B504" s="74" t="s">
        <v>277</v>
      </c>
      <c r="C504" s="74" t="s">
        <v>278</v>
      </c>
      <c r="D504" s="74" t="s">
        <v>86</v>
      </c>
      <c r="E504" s="74" t="s">
        <v>89</v>
      </c>
      <c r="F504" s="86" t="s">
        <v>279</v>
      </c>
      <c r="G504" s="74" t="s">
        <v>280</v>
      </c>
      <c r="H504" s="87">
        <v>44408</v>
      </c>
      <c r="I504" s="98">
        <v>22</v>
      </c>
      <c r="J504" s="98">
        <v>22</v>
      </c>
      <c r="K504" s="89">
        <f t="shared" si="19"/>
        <v>1</v>
      </c>
      <c r="L504" s="89">
        <v>12737.5</v>
      </c>
      <c r="M504" s="89">
        <v>3129.05</v>
      </c>
      <c r="N504" s="89">
        <v>1503.84</v>
      </c>
      <c r="O504" s="89">
        <f t="shared" si="20"/>
        <v>17370.39</v>
      </c>
    </row>
    <row r="505" spans="1:15">
      <c r="A505" s="74" t="s">
        <v>113</v>
      </c>
      <c r="B505" s="74" t="s">
        <v>281</v>
      </c>
      <c r="C505" s="74" t="s">
        <v>282</v>
      </c>
      <c r="D505" s="74" t="s">
        <v>86</v>
      </c>
      <c r="E505" s="74" t="s">
        <v>89</v>
      </c>
      <c r="F505" s="86" t="s">
        <v>225</v>
      </c>
      <c r="G505" s="74" t="s">
        <v>283</v>
      </c>
      <c r="H505" s="87">
        <v>44408</v>
      </c>
      <c r="I505" s="98">
        <v>22</v>
      </c>
      <c r="J505" s="98">
        <v>22</v>
      </c>
      <c r="K505" s="89">
        <f t="shared" si="19"/>
        <v>1</v>
      </c>
      <c r="L505" s="89">
        <v>8187.03</v>
      </c>
      <c r="M505" s="89">
        <v>3280.81</v>
      </c>
      <c r="N505" s="89">
        <v>1086.48</v>
      </c>
      <c r="O505" s="89">
        <f t="shared" si="20"/>
        <v>12554.32</v>
      </c>
    </row>
    <row r="506" spans="1:15">
      <c r="A506" s="74" t="s">
        <v>113</v>
      </c>
      <c r="B506" s="74" t="s">
        <v>284</v>
      </c>
      <c r="C506" s="74" t="s">
        <v>285</v>
      </c>
      <c r="D506" s="74" t="s">
        <v>86</v>
      </c>
      <c r="E506" s="74" t="s">
        <v>89</v>
      </c>
      <c r="F506" s="86" t="s">
        <v>208</v>
      </c>
      <c r="G506" s="74" t="s">
        <v>283</v>
      </c>
      <c r="H506" s="87">
        <v>44408</v>
      </c>
      <c r="I506" s="98">
        <v>22</v>
      </c>
      <c r="J506" s="98">
        <v>22</v>
      </c>
      <c r="K506" s="89">
        <f t="shared" si="19"/>
        <v>1</v>
      </c>
      <c r="L506" s="89">
        <v>7774.21</v>
      </c>
      <c r="M506" s="89">
        <v>3252.09</v>
      </c>
      <c r="N506" s="89">
        <v>903.19</v>
      </c>
      <c r="O506" s="89">
        <f t="shared" si="20"/>
        <v>11929.49</v>
      </c>
    </row>
    <row r="507" spans="1:15">
      <c r="A507" s="74" t="s">
        <v>113</v>
      </c>
      <c r="B507" s="74" t="s">
        <v>286</v>
      </c>
      <c r="C507" s="74" t="s">
        <v>287</v>
      </c>
      <c r="D507" s="74" t="s">
        <v>82</v>
      </c>
      <c r="E507" s="88" t="s">
        <v>85</v>
      </c>
      <c r="F507" s="86" t="s">
        <v>288</v>
      </c>
      <c r="G507" s="74" t="s">
        <v>289</v>
      </c>
      <c r="H507" s="87">
        <v>44408</v>
      </c>
      <c r="I507" s="98">
        <v>22</v>
      </c>
      <c r="J507" s="98">
        <v>22</v>
      </c>
      <c r="K507" s="89">
        <f t="shared" ref="K507:K515" si="21">I507/J507</f>
        <v>1</v>
      </c>
      <c r="L507" s="89">
        <v>12099.78</v>
      </c>
      <c r="M507" s="89">
        <v>3016</v>
      </c>
      <c r="N507" s="89">
        <v>1316.46</v>
      </c>
      <c r="O507" s="89">
        <f t="shared" si="20"/>
        <v>16432.24</v>
      </c>
    </row>
    <row r="508" spans="1:15">
      <c r="A508" s="74" t="s">
        <v>113</v>
      </c>
      <c r="B508" s="74" t="s">
        <v>290</v>
      </c>
      <c r="C508" s="74" t="s">
        <v>291</v>
      </c>
      <c r="D508" s="74" t="s">
        <v>82</v>
      </c>
      <c r="E508" s="88" t="s">
        <v>85</v>
      </c>
      <c r="F508" s="86" t="s">
        <v>218</v>
      </c>
      <c r="G508" s="74" t="s">
        <v>289</v>
      </c>
      <c r="H508" s="87">
        <v>44408</v>
      </c>
      <c r="I508" s="98">
        <v>22</v>
      </c>
      <c r="J508" s="98">
        <v>22</v>
      </c>
      <c r="K508" s="89">
        <f t="shared" si="21"/>
        <v>1</v>
      </c>
      <c r="L508" s="89">
        <v>11575.23</v>
      </c>
      <c r="M508" s="89">
        <v>3236.44</v>
      </c>
      <c r="N508" s="89">
        <v>1160.31</v>
      </c>
      <c r="O508" s="89">
        <f t="shared" si="20"/>
        <v>15971.98</v>
      </c>
    </row>
    <row r="509" spans="1:15">
      <c r="A509" s="74" t="s">
        <v>113</v>
      </c>
      <c r="B509" s="74" t="s">
        <v>292</v>
      </c>
      <c r="C509" s="74" t="s">
        <v>293</v>
      </c>
      <c r="D509" s="74" t="s">
        <v>82</v>
      </c>
      <c r="E509" s="88" t="s">
        <v>85</v>
      </c>
      <c r="F509" s="86" t="s">
        <v>225</v>
      </c>
      <c r="G509" s="74" t="s">
        <v>289</v>
      </c>
      <c r="H509" s="87">
        <v>44408</v>
      </c>
      <c r="I509" s="98">
        <v>22</v>
      </c>
      <c r="J509" s="98">
        <v>22</v>
      </c>
      <c r="K509" s="89">
        <f t="shared" si="21"/>
        <v>1</v>
      </c>
      <c r="L509" s="89">
        <v>10488.98</v>
      </c>
      <c r="M509" s="89">
        <v>3261.36</v>
      </c>
      <c r="N509" s="89">
        <v>1032.09</v>
      </c>
      <c r="O509" s="89">
        <f t="shared" si="20"/>
        <v>14782.43</v>
      </c>
    </row>
    <row r="510" spans="1:15">
      <c r="A510" s="74" t="s">
        <v>113</v>
      </c>
      <c r="B510" s="74" t="s">
        <v>294</v>
      </c>
      <c r="C510" s="74" t="s">
        <v>295</v>
      </c>
      <c r="D510" s="74" t="s">
        <v>82</v>
      </c>
      <c r="E510" s="88" t="s">
        <v>85</v>
      </c>
      <c r="F510" s="86" t="s">
        <v>208</v>
      </c>
      <c r="G510" s="74" t="s">
        <v>289</v>
      </c>
      <c r="H510" s="87">
        <v>44408</v>
      </c>
      <c r="I510" s="98">
        <v>22</v>
      </c>
      <c r="J510" s="98">
        <v>22</v>
      </c>
      <c r="K510" s="89">
        <f t="shared" si="21"/>
        <v>1</v>
      </c>
      <c r="L510" s="89">
        <v>9239.66</v>
      </c>
      <c r="M510" s="89">
        <v>3075.75</v>
      </c>
      <c r="N510" s="89">
        <v>913.26</v>
      </c>
      <c r="O510" s="89">
        <f t="shared" si="20"/>
        <v>13228.67</v>
      </c>
    </row>
    <row r="511" spans="1:15">
      <c r="A511" s="74" t="s">
        <v>113</v>
      </c>
      <c r="B511" s="74" t="s">
        <v>296</v>
      </c>
      <c r="C511" s="74" t="s">
        <v>297</v>
      </c>
      <c r="D511" s="74" t="s">
        <v>82</v>
      </c>
      <c r="E511" s="88" t="s">
        <v>85</v>
      </c>
      <c r="F511" s="86" t="s">
        <v>116</v>
      </c>
      <c r="G511" s="74" t="s">
        <v>289</v>
      </c>
      <c r="H511" s="87">
        <v>44408</v>
      </c>
      <c r="I511" s="98">
        <v>22</v>
      </c>
      <c r="J511" s="98">
        <v>22</v>
      </c>
      <c r="K511" s="89">
        <f t="shared" si="21"/>
        <v>1</v>
      </c>
      <c r="L511" s="89">
        <v>8574.21</v>
      </c>
      <c r="M511" s="89">
        <v>3288.86</v>
      </c>
      <c r="N511" s="89">
        <v>851.51</v>
      </c>
      <c r="O511" s="89">
        <f t="shared" si="20"/>
        <v>12714.58</v>
      </c>
    </row>
    <row r="512" spans="1:15">
      <c r="A512" s="74" t="s">
        <v>113</v>
      </c>
      <c r="B512" s="74" t="s">
        <v>298</v>
      </c>
      <c r="C512" s="74" t="s">
        <v>299</v>
      </c>
      <c r="D512" s="74" t="s">
        <v>82</v>
      </c>
      <c r="E512" s="88" t="s">
        <v>85</v>
      </c>
      <c r="F512" s="86" t="s">
        <v>279</v>
      </c>
      <c r="G512" s="74" t="s">
        <v>300</v>
      </c>
      <c r="H512" s="87">
        <v>44408</v>
      </c>
      <c r="I512" s="98">
        <v>22</v>
      </c>
      <c r="J512" s="98">
        <v>22</v>
      </c>
      <c r="K512" s="89">
        <f t="shared" si="21"/>
        <v>1</v>
      </c>
      <c r="L512" s="89">
        <v>15785.95</v>
      </c>
      <c r="M512" s="89">
        <v>3184.87</v>
      </c>
      <c r="N512" s="89">
        <v>1554.4</v>
      </c>
      <c r="O512" s="89">
        <f t="shared" si="20"/>
        <v>20525.22</v>
      </c>
    </row>
    <row r="513" spans="1:15">
      <c r="A513" s="74" t="s">
        <v>113</v>
      </c>
      <c r="B513" s="74" t="s">
        <v>301</v>
      </c>
      <c r="C513" s="74" t="s">
        <v>302</v>
      </c>
      <c r="D513" s="74" t="s">
        <v>82</v>
      </c>
      <c r="E513" s="88" t="s">
        <v>85</v>
      </c>
      <c r="F513" s="86" t="s">
        <v>279</v>
      </c>
      <c r="G513" s="74" t="s">
        <v>303</v>
      </c>
      <c r="H513" s="87">
        <v>44408</v>
      </c>
      <c r="I513" s="98">
        <v>22</v>
      </c>
      <c r="J513" s="98">
        <v>22</v>
      </c>
      <c r="K513" s="89">
        <f t="shared" si="21"/>
        <v>1</v>
      </c>
      <c r="L513" s="89">
        <v>15814.85</v>
      </c>
      <c r="M513" s="89">
        <v>3104.52</v>
      </c>
      <c r="N513" s="89">
        <v>1576.9</v>
      </c>
      <c r="O513" s="89">
        <f t="shared" si="20"/>
        <v>20496.27</v>
      </c>
    </row>
    <row r="514" spans="1:15">
      <c r="A514" s="74" t="s">
        <v>113</v>
      </c>
      <c r="B514" s="74" t="s">
        <v>304</v>
      </c>
      <c r="C514" s="74" t="s">
        <v>305</v>
      </c>
      <c r="D514" s="74" t="s">
        <v>86</v>
      </c>
      <c r="E514" s="74" t="s">
        <v>90</v>
      </c>
      <c r="F514" s="86" t="s">
        <v>306</v>
      </c>
      <c r="G514" s="74" t="s">
        <v>307</v>
      </c>
      <c r="H514" s="87">
        <v>44408</v>
      </c>
      <c r="I514" s="98">
        <v>22</v>
      </c>
      <c r="J514" s="98">
        <v>22</v>
      </c>
      <c r="K514" s="89">
        <f t="shared" si="21"/>
        <v>1</v>
      </c>
      <c r="L514" s="89">
        <v>17398.08</v>
      </c>
      <c r="M514" s="89">
        <v>3273.09</v>
      </c>
      <c r="N514" s="89">
        <v>2145.45</v>
      </c>
      <c r="O514" s="89">
        <f t="shared" si="20"/>
        <v>22816.62</v>
      </c>
    </row>
    <row r="515" spans="1:15">
      <c r="A515" s="74" t="s">
        <v>113</v>
      </c>
      <c r="B515" s="74" t="s">
        <v>114</v>
      </c>
      <c r="C515" s="74" t="s">
        <v>115</v>
      </c>
      <c r="D515" s="74" t="s">
        <v>79</v>
      </c>
      <c r="E515" s="74" t="s">
        <v>80</v>
      </c>
      <c r="F515" s="86" t="s">
        <v>116</v>
      </c>
      <c r="G515" s="74" t="s">
        <v>117</v>
      </c>
      <c r="H515" s="87">
        <v>44439</v>
      </c>
      <c r="I515" s="98">
        <v>22</v>
      </c>
      <c r="J515" s="98">
        <v>22</v>
      </c>
      <c r="K515" s="89">
        <f t="shared" si="21"/>
        <v>1</v>
      </c>
      <c r="L515" s="89">
        <v>8614.95</v>
      </c>
      <c r="M515" s="89">
        <v>3229.52</v>
      </c>
      <c r="N515" s="89">
        <v>815.86</v>
      </c>
      <c r="O515" s="89">
        <f t="shared" si="20"/>
        <v>12660.33</v>
      </c>
    </row>
    <row r="516" spans="1:15">
      <c r="A516" s="74" t="s">
        <v>113</v>
      </c>
      <c r="B516" s="74" t="s">
        <v>118</v>
      </c>
      <c r="C516" s="74" t="s">
        <v>119</v>
      </c>
      <c r="D516" s="74" t="s">
        <v>79</v>
      </c>
      <c r="E516" s="74" t="s">
        <v>80</v>
      </c>
      <c r="F516" s="86" t="s">
        <v>120</v>
      </c>
      <c r="G516" s="74" t="s">
        <v>117</v>
      </c>
      <c r="H516" s="87">
        <v>44439</v>
      </c>
      <c r="I516" s="98">
        <v>22</v>
      </c>
      <c r="J516" s="98">
        <v>22</v>
      </c>
      <c r="K516" s="89">
        <f t="shared" ref="K516:K579" si="22">I516/J516</f>
        <v>1</v>
      </c>
      <c r="L516" s="89">
        <v>7695.25</v>
      </c>
      <c r="M516" s="89">
        <v>3221.59</v>
      </c>
      <c r="N516" s="89">
        <v>701.03</v>
      </c>
      <c r="O516" s="89">
        <f t="shared" si="20"/>
        <v>11617.87</v>
      </c>
    </row>
    <row r="517" spans="1:15">
      <c r="A517" s="74" t="s">
        <v>113</v>
      </c>
      <c r="B517" s="74" t="s">
        <v>121</v>
      </c>
      <c r="C517" s="74" t="s">
        <v>122</v>
      </c>
      <c r="D517" s="74" t="s">
        <v>79</v>
      </c>
      <c r="E517" s="74" t="s">
        <v>80</v>
      </c>
      <c r="F517" s="86" t="s">
        <v>123</v>
      </c>
      <c r="G517" s="74" t="s">
        <v>117</v>
      </c>
      <c r="H517" s="87">
        <v>44439</v>
      </c>
      <c r="I517" s="98">
        <v>22</v>
      </c>
      <c r="J517" s="98">
        <v>22</v>
      </c>
      <c r="K517" s="89">
        <f t="shared" si="22"/>
        <v>1</v>
      </c>
      <c r="L517" s="89">
        <v>6507.15</v>
      </c>
      <c r="M517" s="89">
        <v>3262.67</v>
      </c>
      <c r="N517" s="89">
        <v>634.81</v>
      </c>
      <c r="O517" s="89">
        <f t="shared" ref="O517:O580" si="23">SUM(L517:N517)</f>
        <v>10404.63</v>
      </c>
    </row>
    <row r="518" spans="1:15">
      <c r="A518" s="74" t="s">
        <v>113</v>
      </c>
      <c r="B518" s="74" t="s">
        <v>124</v>
      </c>
      <c r="C518" s="74" t="s">
        <v>125</v>
      </c>
      <c r="D518" s="74" t="s">
        <v>79</v>
      </c>
      <c r="E518" s="74" t="s">
        <v>80</v>
      </c>
      <c r="F518" s="86" t="s">
        <v>116</v>
      </c>
      <c r="G518" s="74" t="s">
        <v>117</v>
      </c>
      <c r="H518" s="87">
        <v>44439</v>
      </c>
      <c r="I518" s="98">
        <v>22</v>
      </c>
      <c r="J518" s="98">
        <v>22</v>
      </c>
      <c r="K518" s="89">
        <f t="shared" si="22"/>
        <v>1</v>
      </c>
      <c r="L518" s="89">
        <v>8221.6</v>
      </c>
      <c r="M518" s="89">
        <v>3182.31</v>
      </c>
      <c r="N518" s="89">
        <v>828.83</v>
      </c>
      <c r="O518" s="89">
        <f t="shared" si="23"/>
        <v>12232.74</v>
      </c>
    </row>
    <row r="519" spans="1:15">
      <c r="A519" s="74" t="s">
        <v>113</v>
      </c>
      <c r="B519" s="74" t="s">
        <v>126</v>
      </c>
      <c r="C519" s="74" t="s">
        <v>127</v>
      </c>
      <c r="D519" s="74" t="s">
        <v>79</v>
      </c>
      <c r="E519" s="74" t="s">
        <v>80</v>
      </c>
      <c r="F519" s="86" t="s">
        <v>120</v>
      </c>
      <c r="G519" s="74" t="s">
        <v>117</v>
      </c>
      <c r="H519" s="87">
        <v>44439</v>
      </c>
      <c r="I519" s="98">
        <v>22</v>
      </c>
      <c r="J519" s="98">
        <v>22</v>
      </c>
      <c r="K519" s="89">
        <f t="shared" si="22"/>
        <v>1</v>
      </c>
      <c r="L519" s="89">
        <v>7483.19</v>
      </c>
      <c r="M519" s="89">
        <v>3013.43</v>
      </c>
      <c r="N519" s="89">
        <v>707.93</v>
      </c>
      <c r="O519" s="89">
        <f t="shared" si="23"/>
        <v>11204.55</v>
      </c>
    </row>
    <row r="520" spans="1:15">
      <c r="A520" s="74" t="s">
        <v>113</v>
      </c>
      <c r="B520" s="74" t="s">
        <v>128</v>
      </c>
      <c r="C520" s="74" t="s">
        <v>129</v>
      </c>
      <c r="D520" s="74" t="s">
        <v>79</v>
      </c>
      <c r="E520" s="74" t="s">
        <v>80</v>
      </c>
      <c r="F520" s="86" t="s">
        <v>123</v>
      </c>
      <c r="G520" s="74" t="s">
        <v>117</v>
      </c>
      <c r="H520" s="87">
        <v>44439</v>
      </c>
      <c r="I520" s="98">
        <v>22</v>
      </c>
      <c r="J520" s="98">
        <v>22</v>
      </c>
      <c r="K520" s="89">
        <f t="shared" si="22"/>
        <v>1</v>
      </c>
      <c r="L520" s="89">
        <v>6094.88</v>
      </c>
      <c r="M520" s="89">
        <v>3237.71</v>
      </c>
      <c r="N520" s="89">
        <v>608.97</v>
      </c>
      <c r="O520" s="89">
        <f t="shared" si="23"/>
        <v>9941.56</v>
      </c>
    </row>
    <row r="521" spans="1:15">
      <c r="A521" s="74" t="s">
        <v>113</v>
      </c>
      <c r="B521" s="74" t="s">
        <v>130</v>
      </c>
      <c r="C521" s="74" t="s">
        <v>131</v>
      </c>
      <c r="D521" s="74" t="s">
        <v>79</v>
      </c>
      <c r="E521" s="74" t="s">
        <v>80</v>
      </c>
      <c r="F521" s="86" t="s">
        <v>116</v>
      </c>
      <c r="G521" s="74" t="s">
        <v>117</v>
      </c>
      <c r="H521" s="87">
        <v>44439</v>
      </c>
      <c r="I521" s="98">
        <v>22</v>
      </c>
      <c r="J521" s="98">
        <v>22</v>
      </c>
      <c r="K521" s="89">
        <f t="shared" si="22"/>
        <v>1</v>
      </c>
      <c r="L521" s="89">
        <v>8229.43</v>
      </c>
      <c r="M521" s="89">
        <v>3054.24</v>
      </c>
      <c r="N521" s="89">
        <v>805</v>
      </c>
      <c r="O521" s="89">
        <f t="shared" si="23"/>
        <v>12088.67</v>
      </c>
    </row>
    <row r="522" spans="1:15">
      <c r="A522" s="74" t="s">
        <v>113</v>
      </c>
      <c r="B522" s="74" t="s">
        <v>132</v>
      </c>
      <c r="C522" s="74" t="s">
        <v>133</v>
      </c>
      <c r="D522" s="74" t="s">
        <v>79</v>
      </c>
      <c r="E522" s="74" t="s">
        <v>80</v>
      </c>
      <c r="F522" s="86" t="s">
        <v>120</v>
      </c>
      <c r="G522" s="74" t="s">
        <v>117</v>
      </c>
      <c r="H522" s="87">
        <v>44439</v>
      </c>
      <c r="I522" s="98">
        <v>22</v>
      </c>
      <c r="J522" s="98">
        <v>22</v>
      </c>
      <c r="K522" s="89">
        <f t="shared" si="22"/>
        <v>1</v>
      </c>
      <c r="L522" s="89">
        <v>7168.9</v>
      </c>
      <c r="M522" s="89">
        <v>3045.13</v>
      </c>
      <c r="N522" s="89">
        <v>755.7</v>
      </c>
      <c r="O522" s="89">
        <f t="shared" si="23"/>
        <v>10969.73</v>
      </c>
    </row>
    <row r="523" spans="1:15">
      <c r="A523" s="74" t="s">
        <v>113</v>
      </c>
      <c r="B523" s="74" t="s">
        <v>134</v>
      </c>
      <c r="C523" s="74" t="s">
        <v>135</v>
      </c>
      <c r="D523" s="74" t="s">
        <v>79</v>
      </c>
      <c r="E523" s="74" t="s">
        <v>80</v>
      </c>
      <c r="F523" s="86" t="s">
        <v>123</v>
      </c>
      <c r="G523" s="74" t="s">
        <v>117</v>
      </c>
      <c r="H523" s="87">
        <v>44439</v>
      </c>
      <c r="I523" s="98">
        <v>22</v>
      </c>
      <c r="J523" s="98">
        <v>22</v>
      </c>
      <c r="K523" s="89">
        <f t="shared" si="22"/>
        <v>1</v>
      </c>
      <c r="L523" s="89">
        <v>6264.36</v>
      </c>
      <c r="M523" s="89">
        <v>3245.22</v>
      </c>
      <c r="N523" s="89">
        <v>645.48</v>
      </c>
      <c r="O523" s="89">
        <f t="shared" si="23"/>
        <v>10155.06</v>
      </c>
    </row>
    <row r="524" spans="1:15">
      <c r="A524" s="74" t="s">
        <v>113</v>
      </c>
      <c r="B524" s="74" t="s">
        <v>136</v>
      </c>
      <c r="C524" s="74" t="s">
        <v>137</v>
      </c>
      <c r="D524" s="74" t="s">
        <v>79</v>
      </c>
      <c r="E524" s="74" t="s">
        <v>80</v>
      </c>
      <c r="F524" s="86" t="s">
        <v>116</v>
      </c>
      <c r="G524" s="74" t="s">
        <v>138</v>
      </c>
      <c r="H524" s="87">
        <v>44439</v>
      </c>
      <c r="I524" s="98">
        <v>22</v>
      </c>
      <c r="J524" s="98">
        <v>22</v>
      </c>
      <c r="K524" s="89">
        <f t="shared" si="22"/>
        <v>1</v>
      </c>
      <c r="L524" s="89">
        <v>8522.54</v>
      </c>
      <c r="M524" s="89">
        <v>3146.93</v>
      </c>
      <c r="N524" s="89">
        <v>858.2</v>
      </c>
      <c r="O524" s="89">
        <f t="shared" si="23"/>
        <v>12527.67</v>
      </c>
    </row>
    <row r="525" spans="1:15">
      <c r="A525" s="74" t="s">
        <v>113</v>
      </c>
      <c r="B525" s="74" t="s">
        <v>139</v>
      </c>
      <c r="C525" s="74" t="s">
        <v>140</v>
      </c>
      <c r="D525" s="74" t="s">
        <v>79</v>
      </c>
      <c r="E525" s="74" t="s">
        <v>80</v>
      </c>
      <c r="F525" s="86" t="s">
        <v>120</v>
      </c>
      <c r="G525" s="74" t="s">
        <v>138</v>
      </c>
      <c r="H525" s="87">
        <v>44439</v>
      </c>
      <c r="I525" s="98">
        <v>22</v>
      </c>
      <c r="J525" s="98">
        <v>22</v>
      </c>
      <c r="K525" s="89">
        <f t="shared" si="22"/>
        <v>1</v>
      </c>
      <c r="L525" s="89">
        <v>7417.62</v>
      </c>
      <c r="M525" s="89">
        <v>3175.99</v>
      </c>
      <c r="N525" s="89">
        <v>703.84</v>
      </c>
      <c r="O525" s="89">
        <f t="shared" si="23"/>
        <v>11297.45</v>
      </c>
    </row>
    <row r="526" spans="1:15">
      <c r="A526" s="74" t="s">
        <v>113</v>
      </c>
      <c r="B526" s="74" t="s">
        <v>141</v>
      </c>
      <c r="C526" s="74" t="s">
        <v>142</v>
      </c>
      <c r="D526" s="74" t="s">
        <v>79</v>
      </c>
      <c r="E526" s="74" t="s">
        <v>80</v>
      </c>
      <c r="F526" s="86" t="s">
        <v>123</v>
      </c>
      <c r="G526" s="74" t="s">
        <v>138</v>
      </c>
      <c r="H526" s="87">
        <v>44439</v>
      </c>
      <c r="I526" s="98">
        <v>22</v>
      </c>
      <c r="J526" s="98">
        <v>22</v>
      </c>
      <c r="K526" s="89">
        <f t="shared" si="22"/>
        <v>1</v>
      </c>
      <c r="L526" s="89">
        <v>6277.85</v>
      </c>
      <c r="M526" s="89">
        <v>3293.22</v>
      </c>
      <c r="N526" s="89">
        <v>602.15</v>
      </c>
      <c r="O526" s="89">
        <f t="shared" si="23"/>
        <v>10173.22</v>
      </c>
    </row>
    <row r="527" spans="1:15">
      <c r="A527" s="74" t="s">
        <v>113</v>
      </c>
      <c r="B527" s="74" t="s">
        <v>143</v>
      </c>
      <c r="C527" s="74" t="s">
        <v>144</v>
      </c>
      <c r="D527" s="74" t="s">
        <v>79</v>
      </c>
      <c r="E527" s="74" t="s">
        <v>80</v>
      </c>
      <c r="F527" s="86" t="s">
        <v>145</v>
      </c>
      <c r="G527" s="74" t="s">
        <v>146</v>
      </c>
      <c r="H527" s="87">
        <v>44439</v>
      </c>
      <c r="I527" s="98">
        <v>22</v>
      </c>
      <c r="J527" s="98">
        <v>22</v>
      </c>
      <c r="K527" s="89">
        <f t="shared" si="22"/>
        <v>1</v>
      </c>
      <c r="L527" s="89">
        <v>19227.34</v>
      </c>
      <c r="M527" s="89">
        <v>3106.58</v>
      </c>
      <c r="N527" s="89">
        <v>1916.41</v>
      </c>
      <c r="O527" s="89">
        <f t="shared" si="23"/>
        <v>24250.33</v>
      </c>
    </row>
    <row r="528" spans="1:15">
      <c r="A528" s="74" t="s">
        <v>113</v>
      </c>
      <c r="B528" s="74" t="s">
        <v>147</v>
      </c>
      <c r="C528" s="74" t="s">
        <v>148</v>
      </c>
      <c r="D528" s="74" t="s">
        <v>79</v>
      </c>
      <c r="E528" s="74" t="s">
        <v>80</v>
      </c>
      <c r="F528" s="86" t="s">
        <v>149</v>
      </c>
      <c r="G528" s="74" t="s">
        <v>150</v>
      </c>
      <c r="H528" s="87">
        <v>44439</v>
      </c>
      <c r="I528" s="98">
        <v>22</v>
      </c>
      <c r="J528" s="98">
        <v>22</v>
      </c>
      <c r="K528" s="89">
        <f t="shared" si="22"/>
        <v>1</v>
      </c>
      <c r="L528" s="89">
        <v>17210.52</v>
      </c>
      <c r="M528" s="89">
        <v>3082.33</v>
      </c>
      <c r="N528" s="89">
        <v>1838.75</v>
      </c>
      <c r="O528" s="89">
        <f t="shared" si="23"/>
        <v>22131.6</v>
      </c>
    </row>
    <row r="529" spans="1:15">
      <c r="A529" s="74" t="s">
        <v>113</v>
      </c>
      <c r="B529" s="74" t="s">
        <v>151</v>
      </c>
      <c r="C529" s="74" t="s">
        <v>152</v>
      </c>
      <c r="D529" s="74" t="s">
        <v>79</v>
      </c>
      <c r="E529" s="74" t="s">
        <v>81</v>
      </c>
      <c r="F529" s="86" t="s">
        <v>123</v>
      </c>
      <c r="G529" s="74" t="s">
        <v>153</v>
      </c>
      <c r="H529" s="87">
        <v>44439</v>
      </c>
      <c r="I529" s="98">
        <v>22</v>
      </c>
      <c r="J529" s="98">
        <v>22</v>
      </c>
      <c r="K529" s="89">
        <f t="shared" si="22"/>
        <v>1</v>
      </c>
      <c r="L529" s="89">
        <v>6547.97</v>
      </c>
      <c r="M529" s="89">
        <v>3185.51</v>
      </c>
      <c r="N529" s="89">
        <v>657.89</v>
      </c>
      <c r="O529" s="89">
        <f t="shared" si="23"/>
        <v>10391.37</v>
      </c>
    </row>
    <row r="530" spans="1:15">
      <c r="A530" s="74" t="s">
        <v>113</v>
      </c>
      <c r="B530" s="74" t="s">
        <v>154</v>
      </c>
      <c r="C530" s="74" t="s">
        <v>155</v>
      </c>
      <c r="D530" s="74" t="s">
        <v>79</v>
      </c>
      <c r="E530" s="74" t="s">
        <v>81</v>
      </c>
      <c r="F530" s="86" t="s">
        <v>156</v>
      </c>
      <c r="G530" s="74" t="s">
        <v>157</v>
      </c>
      <c r="H530" s="87">
        <v>44439</v>
      </c>
      <c r="I530" s="98">
        <v>22</v>
      </c>
      <c r="J530" s="98">
        <v>22</v>
      </c>
      <c r="K530" s="89">
        <f t="shared" si="22"/>
        <v>1</v>
      </c>
      <c r="L530" s="89">
        <v>5194.39</v>
      </c>
      <c r="M530" s="89">
        <v>3215.57</v>
      </c>
      <c r="N530" s="89">
        <v>522.32</v>
      </c>
      <c r="O530" s="89">
        <f t="shared" si="23"/>
        <v>8932.28</v>
      </c>
    </row>
    <row r="531" spans="1:15">
      <c r="A531" s="74" t="s">
        <v>113</v>
      </c>
      <c r="B531" s="74" t="s">
        <v>158</v>
      </c>
      <c r="C531" s="74" t="s">
        <v>159</v>
      </c>
      <c r="D531" s="74" t="s">
        <v>79</v>
      </c>
      <c r="E531" s="74" t="s">
        <v>81</v>
      </c>
      <c r="F531" s="86" t="s">
        <v>160</v>
      </c>
      <c r="G531" s="74" t="s">
        <v>161</v>
      </c>
      <c r="H531" s="87">
        <v>44439</v>
      </c>
      <c r="I531" s="98">
        <v>22</v>
      </c>
      <c r="J531" s="98">
        <v>22</v>
      </c>
      <c r="K531" s="89">
        <f t="shared" si="22"/>
        <v>1</v>
      </c>
      <c r="L531" s="89">
        <v>4283.49</v>
      </c>
      <c r="M531" s="89">
        <v>3174.71</v>
      </c>
      <c r="N531" s="89">
        <v>424.86</v>
      </c>
      <c r="O531" s="89">
        <f t="shared" si="23"/>
        <v>7883.06</v>
      </c>
    </row>
    <row r="532" spans="1:15">
      <c r="A532" s="74" t="s">
        <v>113</v>
      </c>
      <c r="B532" s="74" t="s">
        <v>162</v>
      </c>
      <c r="C532" s="74" t="s">
        <v>163</v>
      </c>
      <c r="D532" s="74" t="s">
        <v>79</v>
      </c>
      <c r="E532" s="74" t="s">
        <v>81</v>
      </c>
      <c r="F532" s="86" t="s">
        <v>123</v>
      </c>
      <c r="G532" s="74" t="s">
        <v>153</v>
      </c>
      <c r="H532" s="87">
        <v>44439</v>
      </c>
      <c r="I532" s="98">
        <v>22</v>
      </c>
      <c r="J532" s="98">
        <v>22</v>
      </c>
      <c r="K532" s="89">
        <f t="shared" si="22"/>
        <v>1</v>
      </c>
      <c r="L532" s="89">
        <v>6399.5</v>
      </c>
      <c r="M532" s="89">
        <v>3254.55</v>
      </c>
      <c r="N532" s="89">
        <v>636.5</v>
      </c>
      <c r="O532" s="89">
        <f t="shared" si="23"/>
        <v>10290.55</v>
      </c>
    </row>
    <row r="533" spans="1:15">
      <c r="A533" s="74" t="s">
        <v>113</v>
      </c>
      <c r="B533" s="74" t="s">
        <v>164</v>
      </c>
      <c r="C533" s="74" t="s">
        <v>165</v>
      </c>
      <c r="D533" s="74" t="s">
        <v>79</v>
      </c>
      <c r="E533" s="74" t="s">
        <v>81</v>
      </c>
      <c r="F533" s="86" t="s">
        <v>156</v>
      </c>
      <c r="G533" s="74" t="s">
        <v>157</v>
      </c>
      <c r="H533" s="87">
        <v>44439</v>
      </c>
      <c r="I533" s="98">
        <v>22</v>
      </c>
      <c r="J533" s="98">
        <v>22</v>
      </c>
      <c r="K533" s="89">
        <f t="shared" si="22"/>
        <v>1</v>
      </c>
      <c r="L533" s="89">
        <v>5494.9</v>
      </c>
      <c r="M533" s="89">
        <v>3282.89</v>
      </c>
      <c r="N533" s="89">
        <v>529.3</v>
      </c>
      <c r="O533" s="89">
        <f t="shared" si="23"/>
        <v>9307.09</v>
      </c>
    </row>
    <row r="534" spans="1:15">
      <c r="A534" s="74" t="s">
        <v>113</v>
      </c>
      <c r="B534" s="74" t="s">
        <v>166</v>
      </c>
      <c r="C534" s="74" t="s">
        <v>167</v>
      </c>
      <c r="D534" s="74" t="s">
        <v>79</v>
      </c>
      <c r="E534" s="74" t="s">
        <v>81</v>
      </c>
      <c r="F534" s="86" t="s">
        <v>160</v>
      </c>
      <c r="G534" s="74" t="s">
        <v>161</v>
      </c>
      <c r="H534" s="87">
        <v>44439</v>
      </c>
      <c r="I534" s="98">
        <v>22</v>
      </c>
      <c r="J534" s="98">
        <v>22</v>
      </c>
      <c r="K534" s="89">
        <f t="shared" si="22"/>
        <v>1</v>
      </c>
      <c r="L534" s="89">
        <v>4246.64</v>
      </c>
      <c r="M534" s="89">
        <v>3211.12</v>
      </c>
      <c r="N534" s="89">
        <v>410.69</v>
      </c>
      <c r="O534" s="89">
        <f t="shared" si="23"/>
        <v>7868.45</v>
      </c>
    </row>
    <row r="535" spans="1:15">
      <c r="A535" s="74" t="s">
        <v>113</v>
      </c>
      <c r="B535" s="74" t="s">
        <v>168</v>
      </c>
      <c r="C535" s="74" t="s">
        <v>169</v>
      </c>
      <c r="D535" s="74" t="s">
        <v>79</v>
      </c>
      <c r="E535" s="74" t="s">
        <v>81</v>
      </c>
      <c r="F535" s="86" t="s">
        <v>123</v>
      </c>
      <c r="G535" s="74" t="s">
        <v>153</v>
      </c>
      <c r="H535" s="87">
        <v>44439</v>
      </c>
      <c r="I535" s="98">
        <v>22</v>
      </c>
      <c r="J535" s="98">
        <v>22</v>
      </c>
      <c r="K535" s="89">
        <f t="shared" si="22"/>
        <v>1</v>
      </c>
      <c r="L535" s="89">
        <v>6415.6</v>
      </c>
      <c r="M535" s="89">
        <v>3143.97</v>
      </c>
      <c r="N535" s="89">
        <v>638.31</v>
      </c>
      <c r="O535" s="89">
        <f t="shared" si="23"/>
        <v>10197.88</v>
      </c>
    </row>
    <row r="536" spans="1:15">
      <c r="A536" s="74" t="s">
        <v>113</v>
      </c>
      <c r="B536" s="74" t="s">
        <v>170</v>
      </c>
      <c r="C536" s="74" t="s">
        <v>171</v>
      </c>
      <c r="D536" s="74" t="s">
        <v>79</v>
      </c>
      <c r="E536" s="74" t="s">
        <v>81</v>
      </c>
      <c r="F536" s="86" t="s">
        <v>156</v>
      </c>
      <c r="G536" s="74" t="s">
        <v>157</v>
      </c>
      <c r="H536" s="87">
        <v>44439</v>
      </c>
      <c r="I536" s="98">
        <v>22</v>
      </c>
      <c r="J536" s="98">
        <v>22</v>
      </c>
      <c r="K536" s="89">
        <f t="shared" si="22"/>
        <v>1</v>
      </c>
      <c r="L536" s="89">
        <v>5486.3</v>
      </c>
      <c r="M536" s="89">
        <v>3221.22</v>
      </c>
      <c r="N536" s="89">
        <v>541.29</v>
      </c>
      <c r="O536" s="89">
        <f t="shared" si="23"/>
        <v>9248.81</v>
      </c>
    </row>
    <row r="537" spans="1:15">
      <c r="A537" s="74" t="s">
        <v>113</v>
      </c>
      <c r="B537" s="74" t="s">
        <v>172</v>
      </c>
      <c r="C537" s="74" t="s">
        <v>173</v>
      </c>
      <c r="D537" s="74" t="s">
        <v>79</v>
      </c>
      <c r="E537" s="74" t="s">
        <v>81</v>
      </c>
      <c r="F537" s="86" t="s">
        <v>160</v>
      </c>
      <c r="G537" s="74" t="s">
        <v>161</v>
      </c>
      <c r="H537" s="87">
        <v>44439</v>
      </c>
      <c r="I537" s="98">
        <v>22</v>
      </c>
      <c r="J537" s="98">
        <v>22</v>
      </c>
      <c r="K537" s="89">
        <f t="shared" si="22"/>
        <v>1</v>
      </c>
      <c r="L537" s="89">
        <v>4116.46</v>
      </c>
      <c r="M537" s="89">
        <v>3168.43</v>
      </c>
      <c r="N537" s="89">
        <v>407.47</v>
      </c>
      <c r="O537" s="89">
        <f t="shared" si="23"/>
        <v>7692.36</v>
      </c>
    </row>
    <row r="538" spans="1:15">
      <c r="A538" s="74" t="s">
        <v>113</v>
      </c>
      <c r="B538" s="74" t="s">
        <v>174</v>
      </c>
      <c r="C538" s="74" t="s">
        <v>175</v>
      </c>
      <c r="D538" s="74" t="s">
        <v>79</v>
      </c>
      <c r="E538" s="74" t="s">
        <v>81</v>
      </c>
      <c r="F538" s="86" t="s">
        <v>176</v>
      </c>
      <c r="G538" s="74" t="s">
        <v>177</v>
      </c>
      <c r="H538" s="87">
        <v>44439</v>
      </c>
      <c r="I538" s="98">
        <v>22</v>
      </c>
      <c r="J538" s="98">
        <v>22</v>
      </c>
      <c r="K538" s="89">
        <f t="shared" si="22"/>
        <v>1</v>
      </c>
      <c r="L538" s="89">
        <v>3298.04</v>
      </c>
      <c r="M538" s="89">
        <v>3219.67</v>
      </c>
      <c r="N538" s="89">
        <v>303.4</v>
      </c>
      <c r="O538" s="89">
        <f t="shared" si="23"/>
        <v>6821.11</v>
      </c>
    </row>
    <row r="539" spans="1:15">
      <c r="A539" s="74" t="s">
        <v>113</v>
      </c>
      <c r="B539" s="74" t="s">
        <v>178</v>
      </c>
      <c r="C539" s="74" t="s">
        <v>179</v>
      </c>
      <c r="D539" s="74" t="s">
        <v>79</v>
      </c>
      <c r="E539" s="74" t="s">
        <v>81</v>
      </c>
      <c r="F539" s="86" t="s">
        <v>180</v>
      </c>
      <c r="G539" s="74" t="s">
        <v>177</v>
      </c>
      <c r="H539" s="87">
        <v>44439</v>
      </c>
      <c r="I539" s="98">
        <v>22</v>
      </c>
      <c r="J539" s="98">
        <v>22</v>
      </c>
      <c r="K539" s="89">
        <f t="shared" si="22"/>
        <v>1</v>
      </c>
      <c r="L539" s="89">
        <v>2004.82</v>
      </c>
      <c r="M539" s="89">
        <v>3195.17</v>
      </c>
      <c r="N539" s="89">
        <v>200.62</v>
      </c>
      <c r="O539" s="89">
        <f t="shared" si="23"/>
        <v>5400.61</v>
      </c>
    </row>
    <row r="540" spans="1:15">
      <c r="A540" s="74" t="s">
        <v>113</v>
      </c>
      <c r="B540" s="74" t="s">
        <v>181</v>
      </c>
      <c r="C540" s="74" t="s">
        <v>182</v>
      </c>
      <c r="D540" s="74" t="s">
        <v>79</v>
      </c>
      <c r="E540" s="74" t="s">
        <v>81</v>
      </c>
      <c r="F540" s="86" t="s">
        <v>183</v>
      </c>
      <c r="G540" s="74" t="s">
        <v>177</v>
      </c>
      <c r="H540" s="87">
        <v>44439</v>
      </c>
      <c r="I540" s="98">
        <v>22</v>
      </c>
      <c r="J540" s="98">
        <v>22</v>
      </c>
      <c r="K540" s="89">
        <f t="shared" si="22"/>
        <v>1</v>
      </c>
      <c r="L540" s="89">
        <v>1088.01</v>
      </c>
      <c r="M540" s="89">
        <v>3002.7</v>
      </c>
      <c r="N540" s="89">
        <v>109.48</v>
      </c>
      <c r="O540" s="89">
        <f t="shared" si="23"/>
        <v>4200.19</v>
      </c>
    </row>
    <row r="541" spans="1:15">
      <c r="A541" s="74" t="s">
        <v>113</v>
      </c>
      <c r="B541" s="74" t="s">
        <v>184</v>
      </c>
      <c r="C541" s="74" t="s">
        <v>185</v>
      </c>
      <c r="D541" s="74" t="s">
        <v>79</v>
      </c>
      <c r="E541" s="74" t="s">
        <v>81</v>
      </c>
      <c r="F541" s="86" t="s">
        <v>176</v>
      </c>
      <c r="G541" s="74" t="s">
        <v>177</v>
      </c>
      <c r="H541" s="87">
        <v>44439</v>
      </c>
      <c r="I541" s="98">
        <v>22</v>
      </c>
      <c r="J541" s="98">
        <v>22</v>
      </c>
      <c r="K541" s="89">
        <f t="shared" si="22"/>
        <v>1</v>
      </c>
      <c r="L541" s="89">
        <v>3017.95</v>
      </c>
      <c r="M541" s="89">
        <v>3241.31</v>
      </c>
      <c r="N541" s="89">
        <v>305.62</v>
      </c>
      <c r="O541" s="89">
        <f t="shared" si="23"/>
        <v>6564.88</v>
      </c>
    </row>
    <row r="542" spans="1:15">
      <c r="A542" s="74" t="s">
        <v>113</v>
      </c>
      <c r="B542" s="74" t="s">
        <v>186</v>
      </c>
      <c r="C542" s="74" t="s">
        <v>187</v>
      </c>
      <c r="D542" s="74" t="s">
        <v>79</v>
      </c>
      <c r="E542" s="74" t="s">
        <v>81</v>
      </c>
      <c r="F542" s="86" t="s">
        <v>180</v>
      </c>
      <c r="G542" s="74" t="s">
        <v>177</v>
      </c>
      <c r="H542" s="87">
        <v>44439</v>
      </c>
      <c r="I542" s="98">
        <v>22</v>
      </c>
      <c r="J542" s="98">
        <v>22</v>
      </c>
      <c r="K542" s="89">
        <f t="shared" si="22"/>
        <v>1</v>
      </c>
      <c r="L542" s="89">
        <v>2144.82</v>
      </c>
      <c r="M542" s="89">
        <v>3243.73</v>
      </c>
      <c r="N542" s="89">
        <v>217.13</v>
      </c>
      <c r="O542" s="89">
        <f t="shared" si="23"/>
        <v>5605.68</v>
      </c>
    </row>
    <row r="543" spans="1:15">
      <c r="A543" s="74" t="s">
        <v>113</v>
      </c>
      <c r="B543" s="74" t="s">
        <v>188</v>
      </c>
      <c r="C543" s="74" t="s">
        <v>189</v>
      </c>
      <c r="D543" s="74" t="s">
        <v>79</v>
      </c>
      <c r="E543" s="74" t="s">
        <v>81</v>
      </c>
      <c r="F543" s="86" t="s">
        <v>183</v>
      </c>
      <c r="G543" s="74" t="s">
        <v>177</v>
      </c>
      <c r="H543" s="87">
        <v>44439</v>
      </c>
      <c r="I543" s="98">
        <v>22</v>
      </c>
      <c r="J543" s="98">
        <v>22</v>
      </c>
      <c r="K543" s="89">
        <f t="shared" si="22"/>
        <v>1</v>
      </c>
      <c r="L543" s="89">
        <v>1029.32</v>
      </c>
      <c r="M543" s="89">
        <v>3070.83</v>
      </c>
      <c r="N543" s="89">
        <v>107.96</v>
      </c>
      <c r="O543" s="89">
        <f t="shared" si="23"/>
        <v>4208.11</v>
      </c>
    </row>
    <row r="544" spans="1:15">
      <c r="A544" s="74" t="s">
        <v>113</v>
      </c>
      <c r="B544" s="74" t="s">
        <v>190</v>
      </c>
      <c r="C544" s="74" t="s">
        <v>191</v>
      </c>
      <c r="D544" s="74" t="s">
        <v>79</v>
      </c>
      <c r="E544" s="74" t="s">
        <v>81</v>
      </c>
      <c r="F544" s="86" t="s">
        <v>176</v>
      </c>
      <c r="G544" s="74" t="s">
        <v>177</v>
      </c>
      <c r="H544" s="87">
        <v>44439</v>
      </c>
      <c r="I544" s="98">
        <v>22</v>
      </c>
      <c r="J544" s="98">
        <v>22</v>
      </c>
      <c r="K544" s="89">
        <f t="shared" si="22"/>
        <v>1</v>
      </c>
      <c r="L544" s="89">
        <v>3143.74</v>
      </c>
      <c r="M544" s="89">
        <v>3245.74</v>
      </c>
      <c r="N544" s="89">
        <v>326.1</v>
      </c>
      <c r="O544" s="89">
        <f t="shared" si="23"/>
        <v>6715.58</v>
      </c>
    </row>
    <row r="545" spans="1:15">
      <c r="A545" s="74" t="s">
        <v>113</v>
      </c>
      <c r="B545" s="74" t="s">
        <v>192</v>
      </c>
      <c r="C545" s="74" t="s">
        <v>193</v>
      </c>
      <c r="D545" s="74" t="s">
        <v>79</v>
      </c>
      <c r="E545" s="74" t="s">
        <v>81</v>
      </c>
      <c r="F545" s="86" t="s">
        <v>180</v>
      </c>
      <c r="G545" s="74" t="s">
        <v>177</v>
      </c>
      <c r="H545" s="87">
        <v>44439</v>
      </c>
      <c r="I545" s="98">
        <v>22</v>
      </c>
      <c r="J545" s="98">
        <v>22</v>
      </c>
      <c r="K545" s="89">
        <f t="shared" si="22"/>
        <v>1</v>
      </c>
      <c r="L545" s="89">
        <v>2108.09</v>
      </c>
      <c r="M545" s="89">
        <v>3281.24</v>
      </c>
      <c r="N545" s="89">
        <v>213.2</v>
      </c>
      <c r="O545" s="89">
        <f t="shared" si="23"/>
        <v>5602.53</v>
      </c>
    </row>
    <row r="546" spans="1:15">
      <c r="A546" s="74" t="s">
        <v>113</v>
      </c>
      <c r="B546" s="74" t="s">
        <v>194</v>
      </c>
      <c r="C546" s="74" t="s">
        <v>195</v>
      </c>
      <c r="D546" s="74" t="s">
        <v>79</v>
      </c>
      <c r="E546" s="74" t="s">
        <v>81</v>
      </c>
      <c r="F546" s="86" t="s">
        <v>183</v>
      </c>
      <c r="G546" s="74" t="s">
        <v>177</v>
      </c>
      <c r="H546" s="87">
        <v>44439</v>
      </c>
      <c r="I546" s="98">
        <v>22</v>
      </c>
      <c r="J546" s="98">
        <v>22</v>
      </c>
      <c r="K546" s="89">
        <f t="shared" si="22"/>
        <v>1</v>
      </c>
      <c r="L546" s="89">
        <v>1066.18</v>
      </c>
      <c r="M546" s="89">
        <v>3090.07</v>
      </c>
      <c r="N546" s="89">
        <v>107.93</v>
      </c>
      <c r="O546" s="89">
        <f t="shared" si="23"/>
        <v>4264.18</v>
      </c>
    </row>
    <row r="547" spans="1:15">
      <c r="A547" s="74" t="s">
        <v>113</v>
      </c>
      <c r="B547" s="74" t="s">
        <v>196</v>
      </c>
      <c r="C547" s="74" t="s">
        <v>197</v>
      </c>
      <c r="D547" s="74" t="s">
        <v>79</v>
      </c>
      <c r="E547" s="74" t="s">
        <v>81</v>
      </c>
      <c r="F547" s="86" t="s">
        <v>176</v>
      </c>
      <c r="G547" s="74" t="s">
        <v>177</v>
      </c>
      <c r="H547" s="87">
        <v>44439</v>
      </c>
      <c r="I547" s="98">
        <v>22</v>
      </c>
      <c r="J547" s="98">
        <v>22</v>
      </c>
      <c r="K547" s="89">
        <f t="shared" si="22"/>
        <v>1</v>
      </c>
      <c r="L547" s="89">
        <v>3158.67</v>
      </c>
      <c r="M547" s="89">
        <v>3023.89</v>
      </c>
      <c r="N547" s="89">
        <v>315.02</v>
      </c>
      <c r="O547" s="89">
        <f t="shared" si="23"/>
        <v>6497.58</v>
      </c>
    </row>
    <row r="548" spans="1:15">
      <c r="A548" s="74" t="s">
        <v>113</v>
      </c>
      <c r="B548" s="74" t="s">
        <v>198</v>
      </c>
      <c r="C548" s="74" t="s">
        <v>199</v>
      </c>
      <c r="D548" s="74" t="s">
        <v>79</v>
      </c>
      <c r="E548" s="74" t="s">
        <v>81</v>
      </c>
      <c r="F548" s="86" t="s">
        <v>180</v>
      </c>
      <c r="G548" s="74" t="s">
        <v>177</v>
      </c>
      <c r="H548" s="87">
        <v>44439</v>
      </c>
      <c r="I548" s="98">
        <v>22</v>
      </c>
      <c r="J548" s="98">
        <v>22</v>
      </c>
      <c r="K548" s="89">
        <f t="shared" si="22"/>
        <v>1</v>
      </c>
      <c r="L548" s="89">
        <v>2084.14</v>
      </c>
      <c r="M548" s="89">
        <v>3278.99</v>
      </c>
      <c r="N548" s="89">
        <v>203.09</v>
      </c>
      <c r="O548" s="89">
        <f t="shared" si="23"/>
        <v>5566.22</v>
      </c>
    </row>
    <row r="549" spans="1:15">
      <c r="A549" s="74" t="s">
        <v>113</v>
      </c>
      <c r="B549" s="74" t="s">
        <v>200</v>
      </c>
      <c r="C549" s="74" t="s">
        <v>201</v>
      </c>
      <c r="D549" s="74" t="s">
        <v>79</v>
      </c>
      <c r="E549" s="74" t="s">
        <v>81</v>
      </c>
      <c r="F549" s="86" t="s">
        <v>183</v>
      </c>
      <c r="G549" s="74" t="s">
        <v>177</v>
      </c>
      <c r="H549" s="87">
        <v>44439</v>
      </c>
      <c r="I549" s="98">
        <v>22</v>
      </c>
      <c r="J549" s="98">
        <v>22</v>
      </c>
      <c r="K549" s="89">
        <f t="shared" si="22"/>
        <v>1</v>
      </c>
      <c r="L549" s="89">
        <v>1009.35</v>
      </c>
      <c r="M549" s="89">
        <v>3109.63</v>
      </c>
      <c r="N549" s="89">
        <v>105.07</v>
      </c>
      <c r="O549" s="89">
        <f t="shared" si="23"/>
        <v>4224.05</v>
      </c>
    </row>
    <row r="550" spans="1:15">
      <c r="A550" s="74" t="s">
        <v>113</v>
      </c>
      <c r="B550" s="74" t="s">
        <v>202</v>
      </c>
      <c r="C550" s="74" t="s">
        <v>203</v>
      </c>
      <c r="D550" s="74" t="s">
        <v>79</v>
      </c>
      <c r="E550" s="74" t="s">
        <v>81</v>
      </c>
      <c r="F550" s="86" t="s">
        <v>204</v>
      </c>
      <c r="G550" s="74" t="s">
        <v>205</v>
      </c>
      <c r="H550" s="87">
        <v>44439</v>
      </c>
      <c r="I550" s="98">
        <v>22</v>
      </c>
      <c r="J550" s="98">
        <v>22</v>
      </c>
      <c r="K550" s="89">
        <f t="shared" si="22"/>
        <v>1</v>
      </c>
      <c r="L550" s="89">
        <v>18840.76</v>
      </c>
      <c r="M550" s="89">
        <v>3193.76</v>
      </c>
      <c r="N550" s="89">
        <v>1868.53</v>
      </c>
      <c r="O550" s="89">
        <f t="shared" si="23"/>
        <v>23903.05</v>
      </c>
    </row>
    <row r="551" spans="1:15">
      <c r="A551" s="74" t="s">
        <v>113</v>
      </c>
      <c r="B551" s="74" t="s">
        <v>206</v>
      </c>
      <c r="C551" s="74" t="s">
        <v>207</v>
      </c>
      <c r="D551" s="88" t="s">
        <v>82</v>
      </c>
      <c r="E551" s="88" t="s">
        <v>84</v>
      </c>
      <c r="F551" s="86" t="s">
        <v>208</v>
      </c>
      <c r="G551" s="74" t="s">
        <v>209</v>
      </c>
      <c r="H551" s="87">
        <v>44439</v>
      </c>
      <c r="I551" s="98">
        <v>22</v>
      </c>
      <c r="J551" s="98">
        <v>22</v>
      </c>
      <c r="K551" s="89">
        <f t="shared" si="22"/>
        <v>1</v>
      </c>
      <c r="L551" s="89">
        <v>9087.2</v>
      </c>
      <c r="M551" s="89">
        <v>3234.37</v>
      </c>
      <c r="N551" s="89">
        <v>939.61</v>
      </c>
      <c r="O551" s="89">
        <f t="shared" si="23"/>
        <v>13261.18</v>
      </c>
    </row>
    <row r="552" spans="1:15">
      <c r="A552" s="74" t="s">
        <v>113</v>
      </c>
      <c r="B552" s="74" t="s">
        <v>210</v>
      </c>
      <c r="C552" s="74" t="s">
        <v>211</v>
      </c>
      <c r="D552" s="88" t="s">
        <v>82</v>
      </c>
      <c r="E552" s="88" t="s">
        <v>84</v>
      </c>
      <c r="F552" s="86" t="s">
        <v>116</v>
      </c>
      <c r="G552" s="74" t="s">
        <v>209</v>
      </c>
      <c r="H552" s="87">
        <v>44439</v>
      </c>
      <c r="I552" s="98">
        <v>22</v>
      </c>
      <c r="J552" s="98">
        <v>22</v>
      </c>
      <c r="K552" s="89">
        <f t="shared" si="22"/>
        <v>1</v>
      </c>
      <c r="L552" s="89">
        <v>8247.36</v>
      </c>
      <c r="M552" s="89">
        <v>3209.85</v>
      </c>
      <c r="N552" s="89">
        <v>877.58</v>
      </c>
      <c r="O552" s="89">
        <f t="shared" si="23"/>
        <v>12334.79</v>
      </c>
    </row>
    <row r="553" spans="1:15">
      <c r="A553" s="74" t="s">
        <v>113</v>
      </c>
      <c r="B553" s="74" t="s">
        <v>212</v>
      </c>
      <c r="C553" s="74" t="s">
        <v>213</v>
      </c>
      <c r="D553" s="88" t="s">
        <v>82</v>
      </c>
      <c r="E553" s="88" t="s">
        <v>84</v>
      </c>
      <c r="F553" s="86" t="s">
        <v>208</v>
      </c>
      <c r="G553" s="74" t="s">
        <v>209</v>
      </c>
      <c r="H553" s="87">
        <v>44439</v>
      </c>
      <c r="I553" s="98">
        <v>22</v>
      </c>
      <c r="J553" s="98">
        <v>22</v>
      </c>
      <c r="K553" s="89">
        <f t="shared" si="22"/>
        <v>1</v>
      </c>
      <c r="L553" s="89">
        <v>9197.93</v>
      </c>
      <c r="M553" s="89">
        <v>3196.18</v>
      </c>
      <c r="N553" s="89">
        <v>963.5</v>
      </c>
      <c r="O553" s="89">
        <f t="shared" si="23"/>
        <v>13357.61</v>
      </c>
    </row>
    <row r="554" spans="1:15">
      <c r="A554" s="74" t="s">
        <v>113</v>
      </c>
      <c r="B554" s="74" t="s">
        <v>214</v>
      </c>
      <c r="C554" s="74" t="s">
        <v>215</v>
      </c>
      <c r="D554" s="88" t="s">
        <v>82</v>
      </c>
      <c r="E554" s="88" t="s">
        <v>84</v>
      </c>
      <c r="F554" s="86" t="s">
        <v>116</v>
      </c>
      <c r="G554" s="74" t="s">
        <v>209</v>
      </c>
      <c r="H554" s="87">
        <v>44439</v>
      </c>
      <c r="I554" s="98">
        <v>22</v>
      </c>
      <c r="J554" s="98">
        <v>22</v>
      </c>
      <c r="K554" s="89">
        <f t="shared" si="22"/>
        <v>1</v>
      </c>
      <c r="L554" s="89">
        <v>8131.79</v>
      </c>
      <c r="M554" s="89">
        <v>3284.68</v>
      </c>
      <c r="N554" s="89">
        <v>861.87</v>
      </c>
      <c r="O554" s="89">
        <f t="shared" si="23"/>
        <v>12278.34</v>
      </c>
    </row>
    <row r="555" spans="1:15">
      <c r="A555" s="74" t="s">
        <v>113</v>
      </c>
      <c r="B555" s="74" t="s">
        <v>216</v>
      </c>
      <c r="C555" s="74" t="s">
        <v>217</v>
      </c>
      <c r="D555" s="88" t="s">
        <v>82</v>
      </c>
      <c r="E555" s="88" t="s">
        <v>84</v>
      </c>
      <c r="F555" s="86" t="s">
        <v>218</v>
      </c>
      <c r="G555" s="74" t="s">
        <v>219</v>
      </c>
      <c r="H555" s="87">
        <v>44439</v>
      </c>
      <c r="I555" s="98">
        <v>22</v>
      </c>
      <c r="J555" s="98">
        <v>22</v>
      </c>
      <c r="K555" s="89">
        <f t="shared" si="22"/>
        <v>1</v>
      </c>
      <c r="L555" s="89">
        <v>11504.82</v>
      </c>
      <c r="M555" s="89">
        <v>3102.14</v>
      </c>
      <c r="N555" s="89">
        <v>1107.93</v>
      </c>
      <c r="O555" s="89">
        <f t="shared" si="23"/>
        <v>15714.89</v>
      </c>
    </row>
    <row r="556" spans="1:15">
      <c r="A556" s="74" t="s">
        <v>113</v>
      </c>
      <c r="B556" s="74" t="s">
        <v>220</v>
      </c>
      <c r="C556" s="74" t="s">
        <v>221</v>
      </c>
      <c r="D556" s="88" t="s">
        <v>82</v>
      </c>
      <c r="E556" s="74" t="s">
        <v>83</v>
      </c>
      <c r="F556" s="86" t="s">
        <v>218</v>
      </c>
      <c r="G556" s="74" t="s">
        <v>222</v>
      </c>
      <c r="H556" s="87">
        <v>44439</v>
      </c>
      <c r="I556" s="98">
        <v>22</v>
      </c>
      <c r="J556" s="98">
        <v>22</v>
      </c>
      <c r="K556" s="89">
        <f t="shared" si="22"/>
        <v>1</v>
      </c>
      <c r="L556" s="89">
        <v>11431.65</v>
      </c>
      <c r="M556" s="89">
        <v>3165.55</v>
      </c>
      <c r="N556" s="89">
        <v>1101.66</v>
      </c>
      <c r="O556" s="89">
        <f t="shared" si="23"/>
        <v>15698.86</v>
      </c>
    </row>
    <row r="557" spans="1:15">
      <c r="A557" s="74" t="s">
        <v>113</v>
      </c>
      <c r="B557" s="74" t="s">
        <v>223</v>
      </c>
      <c r="C557" s="74" t="s">
        <v>224</v>
      </c>
      <c r="D557" s="88" t="s">
        <v>82</v>
      </c>
      <c r="E557" s="74" t="s">
        <v>83</v>
      </c>
      <c r="F557" s="86" t="s">
        <v>225</v>
      </c>
      <c r="G557" s="74" t="s">
        <v>209</v>
      </c>
      <c r="H557" s="87">
        <v>44439</v>
      </c>
      <c r="I557" s="98">
        <v>22</v>
      </c>
      <c r="J557" s="98">
        <v>22</v>
      </c>
      <c r="K557" s="89">
        <f t="shared" si="22"/>
        <v>1</v>
      </c>
      <c r="L557" s="89">
        <v>10025.17</v>
      </c>
      <c r="M557" s="89">
        <v>3108.66</v>
      </c>
      <c r="N557" s="89">
        <v>1046.84</v>
      </c>
      <c r="O557" s="89">
        <f t="shared" si="23"/>
        <v>14180.67</v>
      </c>
    </row>
    <row r="558" spans="1:15">
      <c r="A558" s="74" t="s">
        <v>113</v>
      </c>
      <c r="B558" s="74" t="s">
        <v>226</v>
      </c>
      <c r="C558" s="74" t="s">
        <v>227</v>
      </c>
      <c r="D558" s="88" t="s">
        <v>82</v>
      </c>
      <c r="E558" s="74" t="s">
        <v>83</v>
      </c>
      <c r="F558" s="86" t="s">
        <v>208</v>
      </c>
      <c r="G558" s="74" t="s">
        <v>209</v>
      </c>
      <c r="H558" s="87">
        <v>44439</v>
      </c>
      <c r="I558" s="98">
        <v>22</v>
      </c>
      <c r="J558" s="98">
        <v>22</v>
      </c>
      <c r="K558" s="89">
        <f t="shared" si="22"/>
        <v>1</v>
      </c>
      <c r="L558" s="89">
        <v>9690.17</v>
      </c>
      <c r="M558" s="89">
        <v>3232.64</v>
      </c>
      <c r="N558" s="89">
        <v>961.95</v>
      </c>
      <c r="O558" s="89">
        <f t="shared" si="23"/>
        <v>13884.76</v>
      </c>
    </row>
    <row r="559" spans="1:15">
      <c r="A559" s="74" t="s">
        <v>113</v>
      </c>
      <c r="B559" s="74" t="s">
        <v>228</v>
      </c>
      <c r="C559" s="74" t="s">
        <v>229</v>
      </c>
      <c r="D559" s="88" t="s">
        <v>82</v>
      </c>
      <c r="E559" s="74" t="s">
        <v>83</v>
      </c>
      <c r="F559" s="86" t="s">
        <v>116</v>
      </c>
      <c r="G559" s="74" t="s">
        <v>209</v>
      </c>
      <c r="H559" s="87">
        <v>44439</v>
      </c>
      <c r="I559" s="98">
        <v>22</v>
      </c>
      <c r="J559" s="98">
        <v>22</v>
      </c>
      <c r="K559" s="89">
        <f t="shared" si="22"/>
        <v>1</v>
      </c>
      <c r="L559" s="89">
        <v>8721.98</v>
      </c>
      <c r="M559" s="89">
        <v>3031.34</v>
      </c>
      <c r="N559" s="89">
        <v>838.54</v>
      </c>
      <c r="O559" s="89">
        <f t="shared" si="23"/>
        <v>12591.86</v>
      </c>
    </row>
    <row r="560" spans="1:15">
      <c r="A560" s="74" t="s">
        <v>113</v>
      </c>
      <c r="B560" s="74" t="s">
        <v>230</v>
      </c>
      <c r="C560" s="74" t="s">
        <v>231</v>
      </c>
      <c r="D560" s="88" t="s">
        <v>82</v>
      </c>
      <c r="E560" s="74" t="s">
        <v>83</v>
      </c>
      <c r="F560" s="86" t="s">
        <v>120</v>
      </c>
      <c r="G560" s="74" t="s">
        <v>209</v>
      </c>
      <c r="H560" s="87">
        <v>44439</v>
      </c>
      <c r="I560" s="98">
        <v>22</v>
      </c>
      <c r="J560" s="98">
        <v>22</v>
      </c>
      <c r="K560" s="89">
        <f t="shared" si="22"/>
        <v>1</v>
      </c>
      <c r="L560" s="89">
        <v>7696.36</v>
      </c>
      <c r="M560" s="89">
        <v>3120.86</v>
      </c>
      <c r="N560" s="89">
        <v>754.57</v>
      </c>
      <c r="O560" s="89">
        <f t="shared" si="23"/>
        <v>11571.79</v>
      </c>
    </row>
    <row r="561" spans="1:15">
      <c r="A561" s="74" t="s">
        <v>113</v>
      </c>
      <c r="B561" s="74" t="s">
        <v>232</v>
      </c>
      <c r="C561" s="74" t="s">
        <v>233</v>
      </c>
      <c r="D561" s="88" t="s">
        <v>82</v>
      </c>
      <c r="E561" s="74" t="s">
        <v>83</v>
      </c>
      <c r="F561" s="86" t="s">
        <v>123</v>
      </c>
      <c r="G561" s="74" t="s">
        <v>209</v>
      </c>
      <c r="H561" s="87">
        <v>44439</v>
      </c>
      <c r="I561" s="98">
        <v>22</v>
      </c>
      <c r="J561" s="98">
        <v>22</v>
      </c>
      <c r="K561" s="89">
        <f t="shared" si="22"/>
        <v>1</v>
      </c>
      <c r="L561" s="89">
        <v>6253.6</v>
      </c>
      <c r="M561" s="89">
        <v>3163.75</v>
      </c>
      <c r="N561" s="89">
        <v>628.17</v>
      </c>
      <c r="O561" s="89">
        <f t="shared" si="23"/>
        <v>10045.52</v>
      </c>
    </row>
    <row r="562" spans="1:15">
      <c r="A562" s="74" t="s">
        <v>113</v>
      </c>
      <c r="B562" s="74" t="s">
        <v>234</v>
      </c>
      <c r="C562" s="74" t="s">
        <v>235</v>
      </c>
      <c r="D562" s="88" t="s">
        <v>82</v>
      </c>
      <c r="E562" s="74" t="s">
        <v>83</v>
      </c>
      <c r="F562" s="86" t="s">
        <v>116</v>
      </c>
      <c r="G562" s="74" t="s">
        <v>209</v>
      </c>
      <c r="H562" s="87">
        <v>44439</v>
      </c>
      <c r="I562" s="98">
        <v>22</v>
      </c>
      <c r="J562" s="98">
        <v>22</v>
      </c>
      <c r="K562" s="89">
        <f t="shared" si="22"/>
        <v>1</v>
      </c>
      <c r="L562" s="89">
        <v>8673.71</v>
      </c>
      <c r="M562" s="89">
        <v>3148.27</v>
      </c>
      <c r="N562" s="89">
        <v>851.3</v>
      </c>
      <c r="O562" s="89">
        <f t="shared" si="23"/>
        <v>12673.28</v>
      </c>
    </row>
    <row r="563" spans="1:15">
      <c r="A563" s="74" t="s">
        <v>113</v>
      </c>
      <c r="B563" s="74" t="s">
        <v>236</v>
      </c>
      <c r="C563" s="74" t="s">
        <v>237</v>
      </c>
      <c r="D563" s="88" t="s">
        <v>82</v>
      </c>
      <c r="E563" s="74" t="s">
        <v>83</v>
      </c>
      <c r="F563" s="86" t="s">
        <v>120</v>
      </c>
      <c r="G563" s="74" t="s">
        <v>209</v>
      </c>
      <c r="H563" s="87">
        <v>44439</v>
      </c>
      <c r="I563" s="98">
        <v>22</v>
      </c>
      <c r="J563" s="98">
        <v>22</v>
      </c>
      <c r="K563" s="89">
        <f t="shared" si="22"/>
        <v>1</v>
      </c>
      <c r="L563" s="89">
        <v>7436.48</v>
      </c>
      <c r="M563" s="89">
        <v>3172.39</v>
      </c>
      <c r="N563" s="89">
        <v>737.92</v>
      </c>
      <c r="O563" s="89">
        <f t="shared" si="23"/>
        <v>11346.79</v>
      </c>
    </row>
    <row r="564" spans="1:15">
      <c r="A564" s="74" t="s">
        <v>113</v>
      </c>
      <c r="B564" s="74" t="s">
        <v>238</v>
      </c>
      <c r="C564" s="74" t="s">
        <v>239</v>
      </c>
      <c r="D564" s="74" t="s">
        <v>86</v>
      </c>
      <c r="E564" s="74" t="s">
        <v>87</v>
      </c>
      <c r="F564" s="86" t="s">
        <v>204</v>
      </c>
      <c r="G564" s="74" t="s">
        <v>240</v>
      </c>
      <c r="H564" s="87">
        <v>44439</v>
      </c>
      <c r="I564" s="98">
        <v>22</v>
      </c>
      <c r="J564" s="98">
        <v>22</v>
      </c>
      <c r="K564" s="89">
        <f t="shared" si="22"/>
        <v>1</v>
      </c>
      <c r="L564" s="89">
        <v>15507.12</v>
      </c>
      <c r="M564" s="89">
        <v>3215.61</v>
      </c>
      <c r="N564" s="89">
        <v>1807.54</v>
      </c>
      <c r="O564" s="89">
        <f t="shared" si="23"/>
        <v>20530.27</v>
      </c>
    </row>
    <row r="565" spans="1:15">
      <c r="A565" s="74" t="s">
        <v>113</v>
      </c>
      <c r="B565" s="74" t="s">
        <v>241</v>
      </c>
      <c r="C565" s="74" t="s">
        <v>242</v>
      </c>
      <c r="D565" s="74" t="s">
        <v>86</v>
      </c>
      <c r="E565" s="74" t="s">
        <v>87</v>
      </c>
      <c r="F565" s="86" t="s">
        <v>243</v>
      </c>
      <c r="G565" s="74" t="s">
        <v>244</v>
      </c>
      <c r="H565" s="87">
        <v>44439</v>
      </c>
      <c r="I565" s="98">
        <v>22</v>
      </c>
      <c r="J565" s="98">
        <v>22</v>
      </c>
      <c r="K565" s="89">
        <f t="shared" si="22"/>
        <v>1</v>
      </c>
      <c r="L565" s="89">
        <v>10930.23</v>
      </c>
      <c r="M565" s="89">
        <v>3026.22</v>
      </c>
      <c r="N565" s="89">
        <v>1319.68</v>
      </c>
      <c r="O565" s="89">
        <f t="shared" si="23"/>
        <v>15276.13</v>
      </c>
    </row>
    <row r="566" spans="1:15">
      <c r="A566" s="74" t="s">
        <v>113</v>
      </c>
      <c r="B566" s="74" t="s">
        <v>245</v>
      </c>
      <c r="C566" s="74" t="s">
        <v>246</v>
      </c>
      <c r="D566" s="74" t="s">
        <v>86</v>
      </c>
      <c r="E566" s="74" t="s">
        <v>87</v>
      </c>
      <c r="F566" s="86" t="s">
        <v>247</v>
      </c>
      <c r="G566" s="74" t="s">
        <v>248</v>
      </c>
      <c r="H566" s="87">
        <v>44439</v>
      </c>
      <c r="I566" s="98">
        <v>22</v>
      </c>
      <c r="J566" s="98">
        <v>22</v>
      </c>
      <c r="K566" s="89">
        <f t="shared" si="22"/>
        <v>1</v>
      </c>
      <c r="L566" s="89">
        <v>10270.77</v>
      </c>
      <c r="M566" s="89">
        <v>3009.23</v>
      </c>
      <c r="N566" s="89">
        <v>1246.77</v>
      </c>
      <c r="O566" s="89">
        <f t="shared" si="23"/>
        <v>14526.77</v>
      </c>
    </row>
    <row r="567" spans="1:15">
      <c r="A567" s="74" t="s">
        <v>113</v>
      </c>
      <c r="B567" s="74" t="s">
        <v>249</v>
      </c>
      <c r="C567" s="74" t="s">
        <v>250</v>
      </c>
      <c r="D567" s="74" t="s">
        <v>86</v>
      </c>
      <c r="E567" s="74" t="s">
        <v>87</v>
      </c>
      <c r="F567" s="86" t="s">
        <v>251</v>
      </c>
      <c r="G567" s="74" t="s">
        <v>252</v>
      </c>
      <c r="H567" s="87">
        <v>44439</v>
      </c>
      <c r="I567" s="98">
        <v>22</v>
      </c>
      <c r="J567" s="98">
        <v>22</v>
      </c>
      <c r="K567" s="89">
        <f t="shared" si="22"/>
        <v>1</v>
      </c>
      <c r="L567" s="89">
        <v>9049.09</v>
      </c>
      <c r="M567" s="89">
        <v>3158.03</v>
      </c>
      <c r="N567" s="89">
        <v>1151.36</v>
      </c>
      <c r="O567" s="89">
        <f t="shared" si="23"/>
        <v>13358.48</v>
      </c>
    </row>
    <row r="568" spans="1:15">
      <c r="A568" s="74" t="s">
        <v>113</v>
      </c>
      <c r="B568" s="74" t="s">
        <v>253</v>
      </c>
      <c r="C568" s="74" t="s">
        <v>254</v>
      </c>
      <c r="D568" s="74" t="s">
        <v>86</v>
      </c>
      <c r="E568" s="74" t="s">
        <v>87</v>
      </c>
      <c r="F568" s="86" t="s">
        <v>255</v>
      </c>
      <c r="G568" s="74" t="s">
        <v>252</v>
      </c>
      <c r="H568" s="87">
        <v>44439</v>
      </c>
      <c r="I568" s="98">
        <v>22</v>
      </c>
      <c r="J568" s="98">
        <v>22</v>
      </c>
      <c r="K568" s="89">
        <f t="shared" si="22"/>
        <v>1</v>
      </c>
      <c r="L568" s="89">
        <v>8124.16</v>
      </c>
      <c r="M568" s="89">
        <v>3110.02</v>
      </c>
      <c r="N568" s="89">
        <v>1033.04</v>
      </c>
      <c r="O568" s="89">
        <f t="shared" si="23"/>
        <v>12267.22</v>
      </c>
    </row>
    <row r="569" spans="1:15">
      <c r="A569" s="74" t="s">
        <v>113</v>
      </c>
      <c r="B569" s="74" t="s">
        <v>256</v>
      </c>
      <c r="C569" s="74" t="s">
        <v>257</v>
      </c>
      <c r="D569" s="74" t="s">
        <v>86</v>
      </c>
      <c r="E569" s="74" t="s">
        <v>87</v>
      </c>
      <c r="F569" s="86" t="s">
        <v>258</v>
      </c>
      <c r="G569" s="74" t="s">
        <v>252</v>
      </c>
      <c r="H569" s="87">
        <v>44439</v>
      </c>
      <c r="I569" s="98">
        <v>22</v>
      </c>
      <c r="J569" s="98">
        <v>22</v>
      </c>
      <c r="K569" s="89">
        <f t="shared" si="22"/>
        <v>1</v>
      </c>
      <c r="L569" s="89">
        <v>7899.64</v>
      </c>
      <c r="M569" s="89">
        <v>3102.53</v>
      </c>
      <c r="N569" s="89">
        <v>958.83</v>
      </c>
      <c r="O569" s="89">
        <f t="shared" si="23"/>
        <v>11961</v>
      </c>
    </row>
    <row r="570" spans="1:15">
      <c r="A570" s="74" t="s">
        <v>113</v>
      </c>
      <c r="B570" s="74" t="s">
        <v>259</v>
      </c>
      <c r="C570" s="74" t="s">
        <v>260</v>
      </c>
      <c r="D570" s="74" t="s">
        <v>86</v>
      </c>
      <c r="E570" s="74" t="s">
        <v>87</v>
      </c>
      <c r="F570" s="86" t="s">
        <v>261</v>
      </c>
      <c r="G570" s="74" t="s">
        <v>262</v>
      </c>
      <c r="H570" s="87">
        <v>44439</v>
      </c>
      <c r="I570" s="98">
        <v>22</v>
      </c>
      <c r="J570" s="98">
        <v>22</v>
      </c>
      <c r="K570" s="89">
        <f t="shared" si="22"/>
        <v>1</v>
      </c>
      <c r="L570" s="89">
        <v>6612</v>
      </c>
      <c r="M570" s="89">
        <v>3010.63</v>
      </c>
      <c r="N570" s="89">
        <v>873.32</v>
      </c>
      <c r="O570" s="89">
        <f t="shared" si="23"/>
        <v>10495.95</v>
      </c>
    </row>
    <row r="571" spans="1:15">
      <c r="A571" s="74" t="s">
        <v>113</v>
      </c>
      <c r="B571" s="74" t="s">
        <v>263</v>
      </c>
      <c r="C571" s="74" t="s">
        <v>264</v>
      </c>
      <c r="D571" s="74" t="s">
        <v>86</v>
      </c>
      <c r="E571" s="74" t="s">
        <v>88</v>
      </c>
      <c r="F571" s="86" t="s">
        <v>149</v>
      </c>
      <c r="G571" s="74" t="s">
        <v>265</v>
      </c>
      <c r="H571" s="87">
        <v>44439</v>
      </c>
      <c r="I571" s="98">
        <v>22</v>
      </c>
      <c r="J571" s="98">
        <v>22</v>
      </c>
      <c r="K571" s="89">
        <f t="shared" si="22"/>
        <v>1</v>
      </c>
      <c r="L571" s="89">
        <v>14248.7</v>
      </c>
      <c r="M571" s="89">
        <v>3138.88</v>
      </c>
      <c r="N571" s="89">
        <v>1788.78</v>
      </c>
      <c r="O571" s="89">
        <f t="shared" si="23"/>
        <v>19176.36</v>
      </c>
    </row>
    <row r="572" spans="1:15">
      <c r="A572" s="74" t="s">
        <v>113</v>
      </c>
      <c r="B572" s="74" t="s">
        <v>266</v>
      </c>
      <c r="C572" s="74" t="s">
        <v>267</v>
      </c>
      <c r="D572" s="74" t="s">
        <v>86</v>
      </c>
      <c r="E572" s="74" t="s">
        <v>88</v>
      </c>
      <c r="F572" s="86" t="s">
        <v>243</v>
      </c>
      <c r="G572" s="74" t="s">
        <v>268</v>
      </c>
      <c r="H572" s="87">
        <v>44439</v>
      </c>
      <c r="I572" s="98">
        <v>22</v>
      </c>
      <c r="J572" s="98">
        <v>22</v>
      </c>
      <c r="K572" s="89">
        <f t="shared" si="22"/>
        <v>1</v>
      </c>
      <c r="L572" s="89">
        <v>11097.68</v>
      </c>
      <c r="M572" s="89">
        <v>3184.89</v>
      </c>
      <c r="N572" s="89">
        <v>1403.68</v>
      </c>
      <c r="O572" s="89">
        <f t="shared" si="23"/>
        <v>15686.25</v>
      </c>
    </row>
    <row r="573" spans="1:15">
      <c r="A573" s="74" t="s">
        <v>113</v>
      </c>
      <c r="B573" s="74" t="s">
        <v>269</v>
      </c>
      <c r="C573" s="74" t="s">
        <v>270</v>
      </c>
      <c r="D573" s="74" t="s">
        <v>86</v>
      </c>
      <c r="E573" s="74" t="s">
        <v>88</v>
      </c>
      <c r="F573" s="86" t="s">
        <v>247</v>
      </c>
      <c r="G573" s="74" t="s">
        <v>268</v>
      </c>
      <c r="H573" s="87">
        <v>44439</v>
      </c>
      <c r="I573" s="98">
        <v>22</v>
      </c>
      <c r="J573" s="98">
        <v>22</v>
      </c>
      <c r="K573" s="89">
        <f t="shared" si="22"/>
        <v>1</v>
      </c>
      <c r="L573" s="89">
        <v>9773.89</v>
      </c>
      <c r="M573" s="89">
        <v>3116.69</v>
      </c>
      <c r="N573" s="89">
        <v>1314.53</v>
      </c>
      <c r="O573" s="89">
        <f t="shared" si="23"/>
        <v>14205.11</v>
      </c>
    </row>
    <row r="574" spans="1:15">
      <c r="A574" s="74" t="s">
        <v>113</v>
      </c>
      <c r="B574" s="74" t="s">
        <v>271</v>
      </c>
      <c r="C574" s="74" t="s">
        <v>272</v>
      </c>
      <c r="D574" s="74" t="s">
        <v>86</v>
      </c>
      <c r="E574" s="74" t="s">
        <v>88</v>
      </c>
      <c r="F574" s="86" t="s">
        <v>251</v>
      </c>
      <c r="G574" s="74" t="s">
        <v>268</v>
      </c>
      <c r="H574" s="87">
        <v>44439</v>
      </c>
      <c r="I574" s="98">
        <v>22</v>
      </c>
      <c r="J574" s="98">
        <v>22</v>
      </c>
      <c r="K574" s="89">
        <f t="shared" si="22"/>
        <v>1</v>
      </c>
      <c r="L574" s="89">
        <v>9382.95</v>
      </c>
      <c r="M574" s="89">
        <v>3024.31</v>
      </c>
      <c r="N574" s="89">
        <v>1195.68</v>
      </c>
      <c r="O574" s="89">
        <f t="shared" si="23"/>
        <v>13602.94</v>
      </c>
    </row>
    <row r="575" spans="1:15">
      <c r="A575" s="74" t="s">
        <v>113</v>
      </c>
      <c r="B575" s="74" t="s">
        <v>273</v>
      </c>
      <c r="C575" s="74" t="s">
        <v>274</v>
      </c>
      <c r="D575" s="74" t="s">
        <v>86</v>
      </c>
      <c r="E575" s="74" t="s">
        <v>88</v>
      </c>
      <c r="F575" s="86" t="s">
        <v>255</v>
      </c>
      <c r="G575" s="74" t="s">
        <v>268</v>
      </c>
      <c r="H575" s="87">
        <v>44439</v>
      </c>
      <c r="I575" s="98">
        <v>22</v>
      </c>
      <c r="J575" s="98">
        <v>22</v>
      </c>
      <c r="K575" s="89">
        <f t="shared" si="22"/>
        <v>1</v>
      </c>
      <c r="L575" s="89">
        <v>8260.22</v>
      </c>
      <c r="M575" s="89">
        <v>3054.92</v>
      </c>
      <c r="N575" s="89">
        <v>1014.2</v>
      </c>
      <c r="O575" s="89">
        <f t="shared" si="23"/>
        <v>12329.34</v>
      </c>
    </row>
    <row r="576" spans="1:15">
      <c r="A576" s="74" t="s">
        <v>113</v>
      </c>
      <c r="B576" s="74" t="s">
        <v>275</v>
      </c>
      <c r="C576" s="74" t="s">
        <v>276</v>
      </c>
      <c r="D576" s="74" t="s">
        <v>86</v>
      </c>
      <c r="E576" s="74" t="s">
        <v>88</v>
      </c>
      <c r="F576" s="86" t="s">
        <v>258</v>
      </c>
      <c r="G576" s="74" t="s">
        <v>268</v>
      </c>
      <c r="H576" s="87">
        <v>44439</v>
      </c>
      <c r="I576" s="98">
        <v>22</v>
      </c>
      <c r="J576" s="98">
        <v>22</v>
      </c>
      <c r="K576" s="89">
        <f t="shared" si="22"/>
        <v>1</v>
      </c>
      <c r="L576" s="89">
        <v>7539.12</v>
      </c>
      <c r="M576" s="89">
        <v>3229.1</v>
      </c>
      <c r="N576" s="89">
        <v>988.66</v>
      </c>
      <c r="O576" s="89">
        <f t="shared" si="23"/>
        <v>11756.88</v>
      </c>
    </row>
    <row r="577" spans="1:15">
      <c r="A577" s="74" t="s">
        <v>113</v>
      </c>
      <c r="B577" s="74" t="s">
        <v>277</v>
      </c>
      <c r="C577" s="74" t="s">
        <v>278</v>
      </c>
      <c r="D577" s="74" t="s">
        <v>86</v>
      </c>
      <c r="E577" s="74" t="s">
        <v>89</v>
      </c>
      <c r="F577" s="86" t="s">
        <v>279</v>
      </c>
      <c r="G577" s="74" t="s">
        <v>280</v>
      </c>
      <c r="H577" s="87">
        <v>44439</v>
      </c>
      <c r="I577" s="98">
        <v>22</v>
      </c>
      <c r="J577" s="98">
        <v>22</v>
      </c>
      <c r="K577" s="89">
        <f t="shared" si="22"/>
        <v>1</v>
      </c>
      <c r="L577" s="89">
        <v>12487.91</v>
      </c>
      <c r="M577" s="89">
        <v>3247.4</v>
      </c>
      <c r="N577" s="89">
        <v>1613.05</v>
      </c>
      <c r="O577" s="89">
        <f t="shared" si="23"/>
        <v>17348.36</v>
      </c>
    </row>
    <row r="578" spans="1:15">
      <c r="A578" s="74" t="s">
        <v>113</v>
      </c>
      <c r="B578" s="74" t="s">
        <v>281</v>
      </c>
      <c r="C578" s="74" t="s">
        <v>282</v>
      </c>
      <c r="D578" s="74" t="s">
        <v>86</v>
      </c>
      <c r="E578" s="74" t="s">
        <v>89</v>
      </c>
      <c r="F578" s="86" t="s">
        <v>225</v>
      </c>
      <c r="G578" s="74" t="s">
        <v>283</v>
      </c>
      <c r="H578" s="87">
        <v>44439</v>
      </c>
      <c r="I578" s="98">
        <v>22</v>
      </c>
      <c r="J578" s="98">
        <v>22</v>
      </c>
      <c r="K578" s="89">
        <f t="shared" si="22"/>
        <v>1</v>
      </c>
      <c r="L578" s="89">
        <v>8094.15</v>
      </c>
      <c r="M578" s="89">
        <v>3059.47</v>
      </c>
      <c r="N578" s="89">
        <v>1081.03</v>
      </c>
      <c r="O578" s="89">
        <f t="shared" si="23"/>
        <v>12234.65</v>
      </c>
    </row>
    <row r="579" spans="1:15">
      <c r="A579" s="74" t="s">
        <v>113</v>
      </c>
      <c r="B579" s="74" t="s">
        <v>284</v>
      </c>
      <c r="C579" s="74" t="s">
        <v>285</v>
      </c>
      <c r="D579" s="74" t="s">
        <v>86</v>
      </c>
      <c r="E579" s="74" t="s">
        <v>89</v>
      </c>
      <c r="F579" s="86" t="s">
        <v>208</v>
      </c>
      <c r="G579" s="74" t="s">
        <v>283</v>
      </c>
      <c r="H579" s="87">
        <v>44439</v>
      </c>
      <c r="I579" s="98">
        <v>22</v>
      </c>
      <c r="J579" s="98">
        <v>22</v>
      </c>
      <c r="K579" s="89">
        <f t="shared" si="22"/>
        <v>1</v>
      </c>
      <c r="L579" s="89">
        <v>7526.61</v>
      </c>
      <c r="M579" s="89">
        <v>3111.02</v>
      </c>
      <c r="N579" s="89">
        <v>975.87</v>
      </c>
      <c r="O579" s="89">
        <f t="shared" si="23"/>
        <v>11613.5</v>
      </c>
    </row>
    <row r="580" spans="1:15">
      <c r="A580" s="74" t="s">
        <v>113</v>
      </c>
      <c r="B580" s="74" t="s">
        <v>286</v>
      </c>
      <c r="C580" s="74" t="s">
        <v>287</v>
      </c>
      <c r="D580" s="74" t="s">
        <v>82</v>
      </c>
      <c r="E580" s="88" t="s">
        <v>85</v>
      </c>
      <c r="F580" s="86" t="s">
        <v>288</v>
      </c>
      <c r="G580" s="74" t="s">
        <v>289</v>
      </c>
      <c r="H580" s="87">
        <v>44439</v>
      </c>
      <c r="I580" s="98">
        <v>22</v>
      </c>
      <c r="J580" s="98">
        <v>22</v>
      </c>
      <c r="K580" s="89">
        <f t="shared" ref="K580:K588" si="24">I580/J580</f>
        <v>1</v>
      </c>
      <c r="L580" s="89">
        <v>12155.18</v>
      </c>
      <c r="M580" s="89">
        <v>3028.85</v>
      </c>
      <c r="N580" s="89">
        <v>1316.71</v>
      </c>
      <c r="O580" s="89">
        <f t="shared" si="23"/>
        <v>16500.74</v>
      </c>
    </row>
    <row r="581" spans="1:15">
      <c r="A581" s="74" t="s">
        <v>113</v>
      </c>
      <c r="B581" s="74" t="s">
        <v>290</v>
      </c>
      <c r="C581" s="74" t="s">
        <v>291</v>
      </c>
      <c r="D581" s="74" t="s">
        <v>82</v>
      </c>
      <c r="E581" s="88" t="s">
        <v>85</v>
      </c>
      <c r="F581" s="86" t="s">
        <v>218</v>
      </c>
      <c r="G581" s="74" t="s">
        <v>289</v>
      </c>
      <c r="H581" s="87">
        <v>44439</v>
      </c>
      <c r="I581" s="98">
        <v>22</v>
      </c>
      <c r="J581" s="98">
        <v>22</v>
      </c>
      <c r="K581" s="89">
        <f t="shared" si="24"/>
        <v>1</v>
      </c>
      <c r="L581" s="89">
        <v>11797.17</v>
      </c>
      <c r="M581" s="89">
        <v>3231.7</v>
      </c>
      <c r="N581" s="89">
        <v>1198.31</v>
      </c>
      <c r="O581" s="89">
        <f t="shared" ref="O581:O644" si="25">SUM(L581:N581)</f>
        <v>16227.18</v>
      </c>
    </row>
    <row r="582" spans="1:15">
      <c r="A582" s="74" t="s">
        <v>113</v>
      </c>
      <c r="B582" s="74" t="s">
        <v>292</v>
      </c>
      <c r="C582" s="74" t="s">
        <v>293</v>
      </c>
      <c r="D582" s="74" t="s">
        <v>82</v>
      </c>
      <c r="E582" s="88" t="s">
        <v>85</v>
      </c>
      <c r="F582" s="86" t="s">
        <v>225</v>
      </c>
      <c r="G582" s="74" t="s">
        <v>289</v>
      </c>
      <c r="H582" s="87">
        <v>44439</v>
      </c>
      <c r="I582" s="98">
        <v>22</v>
      </c>
      <c r="J582" s="98">
        <v>22</v>
      </c>
      <c r="K582" s="89">
        <f t="shared" si="24"/>
        <v>1</v>
      </c>
      <c r="L582" s="89">
        <v>10866.4</v>
      </c>
      <c r="M582" s="89">
        <v>3107.29</v>
      </c>
      <c r="N582" s="89">
        <v>1033.66</v>
      </c>
      <c r="O582" s="89">
        <f t="shared" si="25"/>
        <v>15007.35</v>
      </c>
    </row>
    <row r="583" spans="1:15">
      <c r="A583" s="74" t="s">
        <v>113</v>
      </c>
      <c r="B583" s="74" t="s">
        <v>294</v>
      </c>
      <c r="C583" s="74" t="s">
        <v>295</v>
      </c>
      <c r="D583" s="74" t="s">
        <v>82</v>
      </c>
      <c r="E583" s="88" t="s">
        <v>85</v>
      </c>
      <c r="F583" s="86" t="s">
        <v>208</v>
      </c>
      <c r="G583" s="74" t="s">
        <v>289</v>
      </c>
      <c r="H583" s="87">
        <v>44439</v>
      </c>
      <c r="I583" s="98">
        <v>22</v>
      </c>
      <c r="J583" s="98">
        <v>22</v>
      </c>
      <c r="K583" s="89">
        <f t="shared" si="24"/>
        <v>1</v>
      </c>
      <c r="L583" s="89">
        <v>9458.92</v>
      </c>
      <c r="M583" s="89">
        <v>3299.01</v>
      </c>
      <c r="N583" s="89">
        <v>961.55</v>
      </c>
      <c r="O583" s="89">
        <f t="shared" si="25"/>
        <v>13719.48</v>
      </c>
    </row>
    <row r="584" spans="1:15">
      <c r="A584" s="74" t="s">
        <v>113</v>
      </c>
      <c r="B584" s="74" t="s">
        <v>296</v>
      </c>
      <c r="C584" s="74" t="s">
        <v>297</v>
      </c>
      <c r="D584" s="74" t="s">
        <v>82</v>
      </c>
      <c r="E584" s="88" t="s">
        <v>85</v>
      </c>
      <c r="F584" s="86" t="s">
        <v>116</v>
      </c>
      <c r="G584" s="74" t="s">
        <v>289</v>
      </c>
      <c r="H584" s="87">
        <v>44439</v>
      </c>
      <c r="I584" s="98">
        <v>22</v>
      </c>
      <c r="J584" s="98">
        <v>22</v>
      </c>
      <c r="K584" s="89">
        <f t="shared" si="24"/>
        <v>1</v>
      </c>
      <c r="L584" s="89">
        <v>8114.33</v>
      </c>
      <c r="M584" s="89">
        <v>3293.14</v>
      </c>
      <c r="N584" s="89">
        <v>879.73</v>
      </c>
      <c r="O584" s="89">
        <f t="shared" si="25"/>
        <v>12287.2</v>
      </c>
    </row>
    <row r="585" spans="1:15">
      <c r="A585" s="74" t="s">
        <v>113</v>
      </c>
      <c r="B585" s="74" t="s">
        <v>298</v>
      </c>
      <c r="C585" s="74" t="s">
        <v>299</v>
      </c>
      <c r="D585" s="74" t="s">
        <v>82</v>
      </c>
      <c r="E585" s="88" t="s">
        <v>85</v>
      </c>
      <c r="F585" s="86" t="s">
        <v>279</v>
      </c>
      <c r="G585" s="74" t="s">
        <v>300</v>
      </c>
      <c r="H585" s="87">
        <v>44439</v>
      </c>
      <c r="I585" s="98">
        <v>22</v>
      </c>
      <c r="J585" s="98">
        <v>22</v>
      </c>
      <c r="K585" s="89">
        <f t="shared" si="24"/>
        <v>1</v>
      </c>
      <c r="L585" s="89">
        <v>15971.18</v>
      </c>
      <c r="M585" s="89">
        <v>3284.25</v>
      </c>
      <c r="N585" s="89">
        <v>1604.99</v>
      </c>
      <c r="O585" s="89">
        <f t="shared" si="25"/>
        <v>20860.42</v>
      </c>
    </row>
    <row r="586" spans="1:15">
      <c r="A586" s="74" t="s">
        <v>113</v>
      </c>
      <c r="B586" s="74" t="s">
        <v>301</v>
      </c>
      <c r="C586" s="74" t="s">
        <v>302</v>
      </c>
      <c r="D586" s="74" t="s">
        <v>82</v>
      </c>
      <c r="E586" s="88" t="s">
        <v>85</v>
      </c>
      <c r="F586" s="86" t="s">
        <v>279</v>
      </c>
      <c r="G586" s="74" t="s">
        <v>303</v>
      </c>
      <c r="H586" s="87">
        <v>44439</v>
      </c>
      <c r="I586" s="98">
        <v>22</v>
      </c>
      <c r="J586" s="98">
        <v>22</v>
      </c>
      <c r="K586" s="89">
        <f t="shared" si="24"/>
        <v>1</v>
      </c>
      <c r="L586" s="89">
        <v>16166.09</v>
      </c>
      <c r="M586" s="89">
        <v>3148.09</v>
      </c>
      <c r="N586" s="89">
        <v>1581.93</v>
      </c>
      <c r="O586" s="89">
        <f t="shared" si="25"/>
        <v>20896.11</v>
      </c>
    </row>
    <row r="587" spans="1:15">
      <c r="A587" s="74" t="s">
        <v>113</v>
      </c>
      <c r="B587" s="74" t="s">
        <v>304</v>
      </c>
      <c r="C587" s="74" t="s">
        <v>305</v>
      </c>
      <c r="D587" s="74" t="s">
        <v>86</v>
      </c>
      <c r="E587" s="74" t="s">
        <v>90</v>
      </c>
      <c r="F587" s="86" t="s">
        <v>306</v>
      </c>
      <c r="G587" s="74" t="s">
        <v>307</v>
      </c>
      <c r="H587" s="87">
        <v>44439</v>
      </c>
      <c r="I587" s="98">
        <v>22</v>
      </c>
      <c r="J587" s="98">
        <v>22</v>
      </c>
      <c r="K587" s="89">
        <f t="shared" si="24"/>
        <v>1</v>
      </c>
      <c r="L587" s="89">
        <v>17292.68</v>
      </c>
      <c r="M587" s="89">
        <v>3215.51</v>
      </c>
      <c r="N587" s="89">
        <v>2141.34</v>
      </c>
      <c r="O587" s="89">
        <f t="shared" si="25"/>
        <v>22649.53</v>
      </c>
    </row>
    <row r="588" spans="1:15">
      <c r="A588" s="74" t="s">
        <v>113</v>
      </c>
      <c r="B588" s="74" t="s">
        <v>114</v>
      </c>
      <c r="C588" s="74" t="s">
        <v>115</v>
      </c>
      <c r="D588" s="74" t="s">
        <v>79</v>
      </c>
      <c r="E588" s="74" t="s">
        <v>80</v>
      </c>
      <c r="F588" s="86" t="s">
        <v>116</v>
      </c>
      <c r="G588" s="74" t="s">
        <v>117</v>
      </c>
      <c r="H588" s="87">
        <v>44469</v>
      </c>
      <c r="I588" s="98">
        <v>22</v>
      </c>
      <c r="J588" s="98">
        <v>22</v>
      </c>
      <c r="K588" s="89">
        <f t="shared" si="24"/>
        <v>1</v>
      </c>
      <c r="L588" s="89">
        <v>8098.68</v>
      </c>
      <c r="M588" s="89">
        <v>3168.56</v>
      </c>
      <c r="N588" s="89">
        <v>857.02</v>
      </c>
      <c r="O588" s="89">
        <f t="shared" si="25"/>
        <v>12124.26</v>
      </c>
    </row>
    <row r="589" spans="1:15">
      <c r="A589" s="74" t="s">
        <v>113</v>
      </c>
      <c r="B589" s="74" t="s">
        <v>118</v>
      </c>
      <c r="C589" s="74" t="s">
        <v>119</v>
      </c>
      <c r="D589" s="74" t="s">
        <v>79</v>
      </c>
      <c r="E589" s="74" t="s">
        <v>80</v>
      </c>
      <c r="F589" s="86" t="s">
        <v>120</v>
      </c>
      <c r="G589" s="74" t="s">
        <v>117</v>
      </c>
      <c r="H589" s="87">
        <v>44469</v>
      </c>
      <c r="I589" s="98">
        <v>22</v>
      </c>
      <c r="J589" s="98">
        <v>22</v>
      </c>
      <c r="K589" s="89">
        <f t="shared" ref="K589:K652" si="26">I589/J589</f>
        <v>1</v>
      </c>
      <c r="L589" s="89">
        <v>7644.36</v>
      </c>
      <c r="M589" s="89">
        <v>3009.94</v>
      </c>
      <c r="N589" s="89">
        <v>732.87</v>
      </c>
      <c r="O589" s="89">
        <f t="shared" si="25"/>
        <v>11387.17</v>
      </c>
    </row>
    <row r="590" spans="1:15">
      <c r="A590" s="74" t="s">
        <v>113</v>
      </c>
      <c r="B590" s="74" t="s">
        <v>121</v>
      </c>
      <c r="C590" s="74" t="s">
        <v>122</v>
      </c>
      <c r="D590" s="74" t="s">
        <v>79</v>
      </c>
      <c r="E590" s="74" t="s">
        <v>80</v>
      </c>
      <c r="F590" s="86" t="s">
        <v>123</v>
      </c>
      <c r="G590" s="74" t="s">
        <v>117</v>
      </c>
      <c r="H590" s="87">
        <v>44469</v>
      </c>
      <c r="I590" s="98">
        <v>22</v>
      </c>
      <c r="J590" s="98">
        <v>22</v>
      </c>
      <c r="K590" s="89">
        <f t="shared" si="26"/>
        <v>1</v>
      </c>
      <c r="L590" s="89">
        <v>6260.17</v>
      </c>
      <c r="M590" s="89">
        <v>3155.2</v>
      </c>
      <c r="N590" s="89">
        <v>601.68</v>
      </c>
      <c r="O590" s="89">
        <f t="shared" si="25"/>
        <v>10017.05</v>
      </c>
    </row>
    <row r="591" spans="1:15">
      <c r="A591" s="74" t="s">
        <v>113</v>
      </c>
      <c r="B591" s="74" t="s">
        <v>124</v>
      </c>
      <c r="C591" s="74" t="s">
        <v>125</v>
      </c>
      <c r="D591" s="74" t="s">
        <v>79</v>
      </c>
      <c r="E591" s="74" t="s">
        <v>80</v>
      </c>
      <c r="F591" s="86" t="s">
        <v>116</v>
      </c>
      <c r="G591" s="74" t="s">
        <v>117</v>
      </c>
      <c r="H591" s="87">
        <v>44469</v>
      </c>
      <c r="I591" s="98">
        <v>22</v>
      </c>
      <c r="J591" s="98">
        <v>22</v>
      </c>
      <c r="K591" s="89">
        <f t="shared" si="26"/>
        <v>1</v>
      </c>
      <c r="L591" s="89">
        <v>8334.19</v>
      </c>
      <c r="M591" s="89">
        <v>3290.46</v>
      </c>
      <c r="N591" s="89">
        <v>819.69</v>
      </c>
      <c r="O591" s="89">
        <f t="shared" si="25"/>
        <v>12444.34</v>
      </c>
    </row>
    <row r="592" spans="1:15">
      <c r="A592" s="74" t="s">
        <v>113</v>
      </c>
      <c r="B592" s="74" t="s">
        <v>126</v>
      </c>
      <c r="C592" s="74" t="s">
        <v>127</v>
      </c>
      <c r="D592" s="74" t="s">
        <v>79</v>
      </c>
      <c r="E592" s="74" t="s">
        <v>80</v>
      </c>
      <c r="F592" s="86" t="s">
        <v>120</v>
      </c>
      <c r="G592" s="74" t="s">
        <v>117</v>
      </c>
      <c r="H592" s="87">
        <v>44469</v>
      </c>
      <c r="I592" s="98">
        <v>22</v>
      </c>
      <c r="J592" s="98">
        <v>22</v>
      </c>
      <c r="K592" s="89">
        <f t="shared" si="26"/>
        <v>1</v>
      </c>
      <c r="L592" s="89">
        <v>7297.66</v>
      </c>
      <c r="M592" s="89">
        <v>3168.67</v>
      </c>
      <c r="N592" s="89">
        <v>717.05</v>
      </c>
      <c r="O592" s="89">
        <f t="shared" si="25"/>
        <v>11183.38</v>
      </c>
    </row>
    <row r="593" spans="1:15">
      <c r="A593" s="74" t="s">
        <v>113</v>
      </c>
      <c r="B593" s="74" t="s">
        <v>128</v>
      </c>
      <c r="C593" s="74" t="s">
        <v>129</v>
      </c>
      <c r="D593" s="74" t="s">
        <v>79</v>
      </c>
      <c r="E593" s="74" t="s">
        <v>80</v>
      </c>
      <c r="F593" s="86" t="s">
        <v>123</v>
      </c>
      <c r="G593" s="74" t="s">
        <v>117</v>
      </c>
      <c r="H593" s="87">
        <v>44469</v>
      </c>
      <c r="I593" s="98">
        <v>22</v>
      </c>
      <c r="J593" s="98">
        <v>22</v>
      </c>
      <c r="K593" s="89">
        <f t="shared" si="26"/>
        <v>1</v>
      </c>
      <c r="L593" s="89">
        <v>6060.97</v>
      </c>
      <c r="M593" s="89">
        <v>3010.1</v>
      </c>
      <c r="N593" s="89">
        <v>634.68</v>
      </c>
      <c r="O593" s="89">
        <f t="shared" si="25"/>
        <v>9705.75</v>
      </c>
    </row>
    <row r="594" spans="1:15">
      <c r="A594" s="74" t="s">
        <v>113</v>
      </c>
      <c r="B594" s="74" t="s">
        <v>130</v>
      </c>
      <c r="C594" s="74" t="s">
        <v>131</v>
      </c>
      <c r="D594" s="74" t="s">
        <v>79</v>
      </c>
      <c r="E594" s="74" t="s">
        <v>80</v>
      </c>
      <c r="F594" s="86" t="s">
        <v>116</v>
      </c>
      <c r="G594" s="74" t="s">
        <v>117</v>
      </c>
      <c r="H594" s="87">
        <v>44469</v>
      </c>
      <c r="I594" s="98">
        <v>22</v>
      </c>
      <c r="J594" s="98">
        <v>22</v>
      </c>
      <c r="K594" s="89">
        <f t="shared" si="26"/>
        <v>1</v>
      </c>
      <c r="L594" s="89">
        <v>8518.03</v>
      </c>
      <c r="M594" s="89">
        <v>3140.31</v>
      </c>
      <c r="N594" s="89">
        <v>827.04</v>
      </c>
      <c r="O594" s="89">
        <f t="shared" si="25"/>
        <v>12485.38</v>
      </c>
    </row>
    <row r="595" spans="1:15">
      <c r="A595" s="74" t="s">
        <v>113</v>
      </c>
      <c r="B595" s="74" t="s">
        <v>132</v>
      </c>
      <c r="C595" s="74" t="s">
        <v>133</v>
      </c>
      <c r="D595" s="74" t="s">
        <v>79</v>
      </c>
      <c r="E595" s="74" t="s">
        <v>80</v>
      </c>
      <c r="F595" s="86" t="s">
        <v>120</v>
      </c>
      <c r="G595" s="74" t="s">
        <v>117</v>
      </c>
      <c r="H595" s="87">
        <v>44469</v>
      </c>
      <c r="I595" s="98">
        <v>22</v>
      </c>
      <c r="J595" s="98">
        <v>22</v>
      </c>
      <c r="K595" s="89">
        <f t="shared" si="26"/>
        <v>1</v>
      </c>
      <c r="L595" s="89">
        <v>7331.79</v>
      </c>
      <c r="M595" s="89">
        <v>3297.06</v>
      </c>
      <c r="N595" s="89">
        <v>749.9</v>
      </c>
      <c r="O595" s="89">
        <f t="shared" si="25"/>
        <v>11378.75</v>
      </c>
    </row>
    <row r="596" spans="1:15">
      <c r="A596" s="74" t="s">
        <v>113</v>
      </c>
      <c r="B596" s="74" t="s">
        <v>134</v>
      </c>
      <c r="C596" s="74" t="s">
        <v>135</v>
      </c>
      <c r="D596" s="74" t="s">
        <v>79</v>
      </c>
      <c r="E596" s="74" t="s">
        <v>80</v>
      </c>
      <c r="F596" s="86" t="s">
        <v>123</v>
      </c>
      <c r="G596" s="74" t="s">
        <v>117</v>
      </c>
      <c r="H596" s="87">
        <v>44469</v>
      </c>
      <c r="I596" s="98">
        <v>22</v>
      </c>
      <c r="J596" s="98">
        <v>22</v>
      </c>
      <c r="K596" s="89">
        <f t="shared" si="26"/>
        <v>1</v>
      </c>
      <c r="L596" s="89">
        <v>6379.09</v>
      </c>
      <c r="M596" s="89">
        <v>3245.96</v>
      </c>
      <c r="N596" s="89">
        <v>639.42</v>
      </c>
      <c r="O596" s="89">
        <f t="shared" si="25"/>
        <v>10264.47</v>
      </c>
    </row>
    <row r="597" spans="1:15">
      <c r="A597" s="74" t="s">
        <v>113</v>
      </c>
      <c r="B597" s="74" t="s">
        <v>136</v>
      </c>
      <c r="C597" s="74" t="s">
        <v>137</v>
      </c>
      <c r="D597" s="74" t="s">
        <v>79</v>
      </c>
      <c r="E597" s="74" t="s">
        <v>80</v>
      </c>
      <c r="F597" s="86" t="s">
        <v>116</v>
      </c>
      <c r="G597" s="74" t="s">
        <v>138</v>
      </c>
      <c r="H597" s="87">
        <v>44469</v>
      </c>
      <c r="I597" s="98">
        <v>22</v>
      </c>
      <c r="J597" s="98">
        <v>22</v>
      </c>
      <c r="K597" s="89">
        <f t="shared" si="26"/>
        <v>1</v>
      </c>
      <c r="L597" s="89">
        <v>8184.73</v>
      </c>
      <c r="M597" s="89">
        <v>3099.31</v>
      </c>
      <c r="N597" s="89">
        <v>801.54</v>
      </c>
      <c r="O597" s="89">
        <f t="shared" si="25"/>
        <v>12085.58</v>
      </c>
    </row>
    <row r="598" spans="1:15">
      <c r="A598" s="74" t="s">
        <v>113</v>
      </c>
      <c r="B598" s="74" t="s">
        <v>139</v>
      </c>
      <c r="C598" s="74" t="s">
        <v>140</v>
      </c>
      <c r="D598" s="74" t="s">
        <v>79</v>
      </c>
      <c r="E598" s="74" t="s">
        <v>80</v>
      </c>
      <c r="F598" s="86" t="s">
        <v>120</v>
      </c>
      <c r="G598" s="74" t="s">
        <v>138</v>
      </c>
      <c r="H598" s="87">
        <v>44469</v>
      </c>
      <c r="I598" s="98">
        <v>22</v>
      </c>
      <c r="J598" s="98">
        <v>22</v>
      </c>
      <c r="K598" s="89">
        <f t="shared" si="26"/>
        <v>1</v>
      </c>
      <c r="L598" s="89">
        <v>7661.23</v>
      </c>
      <c r="M598" s="89">
        <v>3090.04</v>
      </c>
      <c r="N598" s="89">
        <v>761.32</v>
      </c>
      <c r="O598" s="89">
        <f t="shared" si="25"/>
        <v>11512.59</v>
      </c>
    </row>
    <row r="599" spans="1:15">
      <c r="A599" s="74" t="s">
        <v>113</v>
      </c>
      <c r="B599" s="74" t="s">
        <v>141</v>
      </c>
      <c r="C599" s="74" t="s">
        <v>142</v>
      </c>
      <c r="D599" s="74" t="s">
        <v>79</v>
      </c>
      <c r="E599" s="74" t="s">
        <v>80</v>
      </c>
      <c r="F599" s="86" t="s">
        <v>123</v>
      </c>
      <c r="G599" s="74" t="s">
        <v>138</v>
      </c>
      <c r="H599" s="87">
        <v>44469</v>
      </c>
      <c r="I599" s="98">
        <v>22</v>
      </c>
      <c r="J599" s="98">
        <v>22</v>
      </c>
      <c r="K599" s="89">
        <f t="shared" si="26"/>
        <v>1</v>
      </c>
      <c r="L599" s="89">
        <v>6474.41</v>
      </c>
      <c r="M599" s="89">
        <v>3134.89</v>
      </c>
      <c r="N599" s="89">
        <v>603.68</v>
      </c>
      <c r="O599" s="89">
        <f t="shared" si="25"/>
        <v>10212.98</v>
      </c>
    </row>
    <row r="600" spans="1:15">
      <c r="A600" s="74" t="s">
        <v>113</v>
      </c>
      <c r="B600" s="74" t="s">
        <v>143</v>
      </c>
      <c r="C600" s="74" t="s">
        <v>144</v>
      </c>
      <c r="D600" s="74" t="s">
        <v>79</v>
      </c>
      <c r="E600" s="74" t="s">
        <v>80</v>
      </c>
      <c r="F600" s="86" t="s">
        <v>145</v>
      </c>
      <c r="G600" s="74" t="s">
        <v>146</v>
      </c>
      <c r="H600" s="87">
        <v>44469</v>
      </c>
      <c r="I600" s="98">
        <v>22</v>
      </c>
      <c r="J600" s="98">
        <v>22</v>
      </c>
      <c r="K600" s="89">
        <f t="shared" si="26"/>
        <v>1</v>
      </c>
      <c r="L600" s="89">
        <v>20797.83</v>
      </c>
      <c r="M600" s="89">
        <v>3089.23</v>
      </c>
      <c r="N600" s="89">
        <v>1985.76</v>
      </c>
      <c r="O600" s="89">
        <f t="shared" si="25"/>
        <v>25872.82</v>
      </c>
    </row>
    <row r="601" spans="1:15">
      <c r="A601" s="74" t="s">
        <v>113</v>
      </c>
      <c r="B601" s="74" t="s">
        <v>147</v>
      </c>
      <c r="C601" s="74" t="s">
        <v>148</v>
      </c>
      <c r="D601" s="74" t="s">
        <v>79</v>
      </c>
      <c r="E601" s="74" t="s">
        <v>80</v>
      </c>
      <c r="F601" s="86" t="s">
        <v>149</v>
      </c>
      <c r="G601" s="74" t="s">
        <v>150</v>
      </c>
      <c r="H601" s="87">
        <v>44469</v>
      </c>
      <c r="I601" s="98">
        <v>22</v>
      </c>
      <c r="J601" s="98">
        <v>22</v>
      </c>
      <c r="K601" s="89">
        <f t="shared" si="26"/>
        <v>1</v>
      </c>
      <c r="L601" s="89">
        <v>18397.05</v>
      </c>
      <c r="M601" s="89">
        <v>3221.65</v>
      </c>
      <c r="N601" s="89">
        <v>1867.46</v>
      </c>
      <c r="O601" s="89">
        <f t="shared" si="25"/>
        <v>23486.16</v>
      </c>
    </row>
    <row r="602" spans="1:15">
      <c r="A602" s="74" t="s">
        <v>113</v>
      </c>
      <c r="B602" s="74" t="s">
        <v>151</v>
      </c>
      <c r="C602" s="74" t="s">
        <v>152</v>
      </c>
      <c r="D602" s="74" t="s">
        <v>79</v>
      </c>
      <c r="E602" s="74" t="s">
        <v>81</v>
      </c>
      <c r="F602" s="86" t="s">
        <v>123</v>
      </c>
      <c r="G602" s="74" t="s">
        <v>153</v>
      </c>
      <c r="H602" s="87">
        <v>44469</v>
      </c>
      <c r="I602" s="98">
        <v>22</v>
      </c>
      <c r="J602" s="98">
        <v>22</v>
      </c>
      <c r="K602" s="89">
        <f t="shared" si="26"/>
        <v>1</v>
      </c>
      <c r="L602" s="89">
        <v>6261.24</v>
      </c>
      <c r="M602" s="89">
        <v>3221.76</v>
      </c>
      <c r="N602" s="89">
        <v>602.32</v>
      </c>
      <c r="O602" s="89">
        <f t="shared" si="25"/>
        <v>10085.32</v>
      </c>
    </row>
    <row r="603" spans="1:15">
      <c r="A603" s="74" t="s">
        <v>113</v>
      </c>
      <c r="B603" s="74" t="s">
        <v>154</v>
      </c>
      <c r="C603" s="74" t="s">
        <v>155</v>
      </c>
      <c r="D603" s="74" t="s">
        <v>79</v>
      </c>
      <c r="E603" s="74" t="s">
        <v>81</v>
      </c>
      <c r="F603" s="86" t="s">
        <v>156</v>
      </c>
      <c r="G603" s="74" t="s">
        <v>157</v>
      </c>
      <c r="H603" s="87">
        <v>44469</v>
      </c>
      <c r="I603" s="98">
        <v>22</v>
      </c>
      <c r="J603" s="98">
        <v>22</v>
      </c>
      <c r="K603" s="89">
        <f t="shared" si="26"/>
        <v>1</v>
      </c>
      <c r="L603" s="89">
        <v>5107.96</v>
      </c>
      <c r="M603" s="89">
        <v>3113.24</v>
      </c>
      <c r="N603" s="89">
        <v>536.03</v>
      </c>
      <c r="O603" s="89">
        <f t="shared" si="25"/>
        <v>8757.23</v>
      </c>
    </row>
    <row r="604" spans="1:15">
      <c r="A604" s="74" t="s">
        <v>113</v>
      </c>
      <c r="B604" s="74" t="s">
        <v>158</v>
      </c>
      <c r="C604" s="74" t="s">
        <v>159</v>
      </c>
      <c r="D604" s="74" t="s">
        <v>79</v>
      </c>
      <c r="E604" s="74" t="s">
        <v>81</v>
      </c>
      <c r="F604" s="86" t="s">
        <v>160</v>
      </c>
      <c r="G604" s="74" t="s">
        <v>161</v>
      </c>
      <c r="H604" s="87">
        <v>44469</v>
      </c>
      <c r="I604" s="98">
        <v>22</v>
      </c>
      <c r="J604" s="98">
        <v>22</v>
      </c>
      <c r="K604" s="89">
        <f t="shared" si="26"/>
        <v>1</v>
      </c>
      <c r="L604" s="89">
        <v>4330.97</v>
      </c>
      <c r="M604" s="89">
        <v>3218.17</v>
      </c>
      <c r="N604" s="89">
        <v>416.67</v>
      </c>
      <c r="O604" s="89">
        <f t="shared" si="25"/>
        <v>7965.81</v>
      </c>
    </row>
    <row r="605" spans="1:15">
      <c r="A605" s="74" t="s">
        <v>113</v>
      </c>
      <c r="B605" s="74" t="s">
        <v>162</v>
      </c>
      <c r="C605" s="74" t="s">
        <v>163</v>
      </c>
      <c r="D605" s="74" t="s">
        <v>79</v>
      </c>
      <c r="E605" s="74" t="s">
        <v>81</v>
      </c>
      <c r="F605" s="86" t="s">
        <v>123</v>
      </c>
      <c r="G605" s="74" t="s">
        <v>153</v>
      </c>
      <c r="H605" s="87">
        <v>44469</v>
      </c>
      <c r="I605" s="98">
        <v>22</v>
      </c>
      <c r="J605" s="98">
        <v>22</v>
      </c>
      <c r="K605" s="89">
        <f t="shared" si="26"/>
        <v>1</v>
      </c>
      <c r="L605" s="89">
        <v>6048.83</v>
      </c>
      <c r="M605" s="89">
        <v>3282.38</v>
      </c>
      <c r="N605" s="89">
        <v>644.64</v>
      </c>
      <c r="O605" s="89">
        <f t="shared" si="25"/>
        <v>9975.85</v>
      </c>
    </row>
    <row r="606" spans="1:15">
      <c r="A606" s="74" t="s">
        <v>113</v>
      </c>
      <c r="B606" s="74" t="s">
        <v>164</v>
      </c>
      <c r="C606" s="74" t="s">
        <v>165</v>
      </c>
      <c r="D606" s="74" t="s">
        <v>79</v>
      </c>
      <c r="E606" s="74" t="s">
        <v>81</v>
      </c>
      <c r="F606" s="86" t="s">
        <v>156</v>
      </c>
      <c r="G606" s="74" t="s">
        <v>157</v>
      </c>
      <c r="H606" s="87">
        <v>44469</v>
      </c>
      <c r="I606" s="98">
        <v>22</v>
      </c>
      <c r="J606" s="98">
        <v>22</v>
      </c>
      <c r="K606" s="89">
        <f t="shared" si="26"/>
        <v>1</v>
      </c>
      <c r="L606" s="89">
        <v>5416.02</v>
      </c>
      <c r="M606" s="89">
        <v>3087.05</v>
      </c>
      <c r="N606" s="89">
        <v>537.94</v>
      </c>
      <c r="O606" s="89">
        <f t="shared" si="25"/>
        <v>9041.01</v>
      </c>
    </row>
    <row r="607" spans="1:15">
      <c r="A607" s="74" t="s">
        <v>113</v>
      </c>
      <c r="B607" s="74" t="s">
        <v>166</v>
      </c>
      <c r="C607" s="74" t="s">
        <v>167</v>
      </c>
      <c r="D607" s="74" t="s">
        <v>79</v>
      </c>
      <c r="E607" s="74" t="s">
        <v>81</v>
      </c>
      <c r="F607" s="86" t="s">
        <v>160</v>
      </c>
      <c r="G607" s="74" t="s">
        <v>161</v>
      </c>
      <c r="H607" s="87">
        <v>44469</v>
      </c>
      <c r="I607" s="98">
        <v>22</v>
      </c>
      <c r="J607" s="98">
        <v>22</v>
      </c>
      <c r="K607" s="89">
        <f t="shared" si="26"/>
        <v>1</v>
      </c>
      <c r="L607" s="89">
        <v>4376.48</v>
      </c>
      <c r="M607" s="89">
        <v>3212.07</v>
      </c>
      <c r="N607" s="89">
        <v>415.35</v>
      </c>
      <c r="O607" s="89">
        <f t="shared" si="25"/>
        <v>8003.9</v>
      </c>
    </row>
    <row r="608" spans="1:15">
      <c r="A608" s="74" t="s">
        <v>113</v>
      </c>
      <c r="B608" s="74" t="s">
        <v>168</v>
      </c>
      <c r="C608" s="74" t="s">
        <v>169</v>
      </c>
      <c r="D608" s="74" t="s">
        <v>79</v>
      </c>
      <c r="E608" s="74" t="s">
        <v>81</v>
      </c>
      <c r="F608" s="86" t="s">
        <v>123</v>
      </c>
      <c r="G608" s="74" t="s">
        <v>153</v>
      </c>
      <c r="H608" s="87">
        <v>44469</v>
      </c>
      <c r="I608" s="98">
        <v>22</v>
      </c>
      <c r="J608" s="98">
        <v>22</v>
      </c>
      <c r="K608" s="89">
        <f t="shared" si="26"/>
        <v>1</v>
      </c>
      <c r="L608" s="89">
        <v>6213.64</v>
      </c>
      <c r="M608" s="89">
        <v>3177.18</v>
      </c>
      <c r="N608" s="89">
        <v>608.86</v>
      </c>
      <c r="O608" s="89">
        <f t="shared" si="25"/>
        <v>9999.68</v>
      </c>
    </row>
    <row r="609" spans="1:15">
      <c r="A609" s="74" t="s">
        <v>113</v>
      </c>
      <c r="B609" s="74" t="s">
        <v>170</v>
      </c>
      <c r="C609" s="74" t="s">
        <v>171</v>
      </c>
      <c r="D609" s="74" t="s">
        <v>79</v>
      </c>
      <c r="E609" s="74" t="s">
        <v>81</v>
      </c>
      <c r="F609" s="86" t="s">
        <v>156</v>
      </c>
      <c r="G609" s="74" t="s">
        <v>157</v>
      </c>
      <c r="H609" s="87">
        <v>44469</v>
      </c>
      <c r="I609" s="98">
        <v>22</v>
      </c>
      <c r="J609" s="98">
        <v>22</v>
      </c>
      <c r="K609" s="89">
        <f t="shared" si="26"/>
        <v>1</v>
      </c>
      <c r="L609" s="89">
        <v>5161.63</v>
      </c>
      <c r="M609" s="89">
        <v>3028.8</v>
      </c>
      <c r="N609" s="89">
        <v>513.48</v>
      </c>
      <c r="O609" s="89">
        <f t="shared" si="25"/>
        <v>8703.91</v>
      </c>
    </row>
    <row r="610" spans="1:15">
      <c r="A610" s="74" t="s">
        <v>113</v>
      </c>
      <c r="B610" s="74" t="s">
        <v>172</v>
      </c>
      <c r="C610" s="74" t="s">
        <v>173</v>
      </c>
      <c r="D610" s="74" t="s">
        <v>79</v>
      </c>
      <c r="E610" s="74" t="s">
        <v>81</v>
      </c>
      <c r="F610" s="86" t="s">
        <v>160</v>
      </c>
      <c r="G610" s="74" t="s">
        <v>161</v>
      </c>
      <c r="H610" s="87">
        <v>44469</v>
      </c>
      <c r="I610" s="98">
        <v>22</v>
      </c>
      <c r="J610" s="98">
        <v>22</v>
      </c>
      <c r="K610" s="89">
        <f t="shared" si="26"/>
        <v>1</v>
      </c>
      <c r="L610" s="89">
        <v>4293.58</v>
      </c>
      <c r="M610" s="89">
        <v>3066.4</v>
      </c>
      <c r="N610" s="89">
        <v>411.07</v>
      </c>
      <c r="O610" s="89">
        <f t="shared" si="25"/>
        <v>7771.05</v>
      </c>
    </row>
    <row r="611" spans="1:15">
      <c r="A611" s="74" t="s">
        <v>113</v>
      </c>
      <c r="B611" s="74" t="s">
        <v>174</v>
      </c>
      <c r="C611" s="74" t="s">
        <v>175</v>
      </c>
      <c r="D611" s="74" t="s">
        <v>79</v>
      </c>
      <c r="E611" s="74" t="s">
        <v>81</v>
      </c>
      <c r="F611" s="86" t="s">
        <v>176</v>
      </c>
      <c r="G611" s="74" t="s">
        <v>177</v>
      </c>
      <c r="H611" s="87">
        <v>44469</v>
      </c>
      <c r="I611" s="98">
        <v>22</v>
      </c>
      <c r="J611" s="98">
        <v>22</v>
      </c>
      <c r="K611" s="89">
        <f t="shared" si="26"/>
        <v>1</v>
      </c>
      <c r="L611" s="89">
        <v>3053.53</v>
      </c>
      <c r="M611" s="89">
        <v>3130.45</v>
      </c>
      <c r="N611" s="89">
        <v>317.7</v>
      </c>
      <c r="O611" s="89">
        <f t="shared" si="25"/>
        <v>6501.68</v>
      </c>
    </row>
    <row r="612" spans="1:15">
      <c r="A612" s="74" t="s">
        <v>113</v>
      </c>
      <c r="B612" s="74" t="s">
        <v>178</v>
      </c>
      <c r="C612" s="74" t="s">
        <v>179</v>
      </c>
      <c r="D612" s="74" t="s">
        <v>79</v>
      </c>
      <c r="E612" s="74" t="s">
        <v>81</v>
      </c>
      <c r="F612" s="86" t="s">
        <v>180</v>
      </c>
      <c r="G612" s="74" t="s">
        <v>177</v>
      </c>
      <c r="H612" s="87">
        <v>44469</v>
      </c>
      <c r="I612" s="98">
        <v>22</v>
      </c>
      <c r="J612" s="98">
        <v>22</v>
      </c>
      <c r="K612" s="89">
        <f t="shared" si="26"/>
        <v>1</v>
      </c>
      <c r="L612" s="89">
        <v>2036.12</v>
      </c>
      <c r="M612" s="89">
        <v>3162.13</v>
      </c>
      <c r="N612" s="89">
        <v>217.12</v>
      </c>
      <c r="O612" s="89">
        <f t="shared" si="25"/>
        <v>5415.37</v>
      </c>
    </row>
    <row r="613" spans="1:15">
      <c r="A613" s="74" t="s">
        <v>113</v>
      </c>
      <c r="B613" s="74" t="s">
        <v>181</v>
      </c>
      <c r="C613" s="74" t="s">
        <v>182</v>
      </c>
      <c r="D613" s="74" t="s">
        <v>79</v>
      </c>
      <c r="E613" s="74" t="s">
        <v>81</v>
      </c>
      <c r="F613" s="86" t="s">
        <v>183</v>
      </c>
      <c r="G613" s="74" t="s">
        <v>177</v>
      </c>
      <c r="H613" s="87">
        <v>44469</v>
      </c>
      <c r="I613" s="98">
        <v>22</v>
      </c>
      <c r="J613" s="98">
        <v>22</v>
      </c>
      <c r="K613" s="89">
        <f t="shared" si="26"/>
        <v>1</v>
      </c>
      <c r="L613" s="89">
        <v>1058.74</v>
      </c>
      <c r="M613" s="89">
        <v>3170.44</v>
      </c>
      <c r="N613" s="89">
        <v>107.28</v>
      </c>
      <c r="O613" s="89">
        <f t="shared" si="25"/>
        <v>4336.46</v>
      </c>
    </row>
    <row r="614" spans="1:15">
      <c r="A614" s="74" t="s">
        <v>113</v>
      </c>
      <c r="B614" s="74" t="s">
        <v>184</v>
      </c>
      <c r="C614" s="74" t="s">
        <v>185</v>
      </c>
      <c r="D614" s="74" t="s">
        <v>79</v>
      </c>
      <c r="E614" s="74" t="s">
        <v>81</v>
      </c>
      <c r="F614" s="86" t="s">
        <v>176</v>
      </c>
      <c r="G614" s="74" t="s">
        <v>177</v>
      </c>
      <c r="H614" s="87">
        <v>44469</v>
      </c>
      <c r="I614" s="98">
        <v>22</v>
      </c>
      <c r="J614" s="98">
        <v>22</v>
      </c>
      <c r="K614" s="89">
        <f t="shared" si="26"/>
        <v>1</v>
      </c>
      <c r="L614" s="89">
        <v>3100.81</v>
      </c>
      <c r="M614" s="89">
        <v>3044.38</v>
      </c>
      <c r="N614" s="89">
        <v>320.22</v>
      </c>
      <c r="O614" s="89">
        <f t="shared" si="25"/>
        <v>6465.41</v>
      </c>
    </row>
    <row r="615" spans="1:15">
      <c r="A615" s="74" t="s">
        <v>113</v>
      </c>
      <c r="B615" s="74" t="s">
        <v>186</v>
      </c>
      <c r="C615" s="74" t="s">
        <v>187</v>
      </c>
      <c r="D615" s="74" t="s">
        <v>79</v>
      </c>
      <c r="E615" s="74" t="s">
        <v>81</v>
      </c>
      <c r="F615" s="86" t="s">
        <v>180</v>
      </c>
      <c r="G615" s="74" t="s">
        <v>177</v>
      </c>
      <c r="H615" s="87">
        <v>44469</v>
      </c>
      <c r="I615" s="98">
        <v>22</v>
      </c>
      <c r="J615" s="98">
        <v>22</v>
      </c>
      <c r="K615" s="89">
        <f t="shared" si="26"/>
        <v>1</v>
      </c>
      <c r="L615" s="89">
        <v>2180.57</v>
      </c>
      <c r="M615" s="89">
        <v>3115.65</v>
      </c>
      <c r="N615" s="89">
        <v>218.62</v>
      </c>
      <c r="O615" s="89">
        <f t="shared" si="25"/>
        <v>5514.84</v>
      </c>
    </row>
    <row r="616" spans="1:15">
      <c r="A616" s="74" t="s">
        <v>113</v>
      </c>
      <c r="B616" s="74" t="s">
        <v>188</v>
      </c>
      <c r="C616" s="74" t="s">
        <v>189</v>
      </c>
      <c r="D616" s="74" t="s">
        <v>79</v>
      </c>
      <c r="E616" s="74" t="s">
        <v>81</v>
      </c>
      <c r="F616" s="86" t="s">
        <v>183</v>
      </c>
      <c r="G616" s="74" t="s">
        <v>177</v>
      </c>
      <c r="H616" s="87">
        <v>44469</v>
      </c>
      <c r="I616" s="98">
        <v>22</v>
      </c>
      <c r="J616" s="98">
        <v>22</v>
      </c>
      <c r="K616" s="89">
        <f t="shared" si="26"/>
        <v>1</v>
      </c>
      <c r="L616" s="89">
        <v>1027.6</v>
      </c>
      <c r="M616" s="89">
        <v>3294.33</v>
      </c>
      <c r="N616" s="89">
        <v>100.53</v>
      </c>
      <c r="O616" s="89">
        <f t="shared" si="25"/>
        <v>4422.46</v>
      </c>
    </row>
    <row r="617" spans="1:15">
      <c r="A617" s="74" t="s">
        <v>113</v>
      </c>
      <c r="B617" s="74" t="s">
        <v>190</v>
      </c>
      <c r="C617" s="74" t="s">
        <v>191</v>
      </c>
      <c r="D617" s="74" t="s">
        <v>79</v>
      </c>
      <c r="E617" s="74" t="s">
        <v>81</v>
      </c>
      <c r="F617" s="86" t="s">
        <v>176</v>
      </c>
      <c r="G617" s="74" t="s">
        <v>177</v>
      </c>
      <c r="H617" s="87">
        <v>44469</v>
      </c>
      <c r="I617" s="98">
        <v>22</v>
      </c>
      <c r="J617" s="98">
        <v>22</v>
      </c>
      <c r="K617" s="89">
        <f t="shared" si="26"/>
        <v>1</v>
      </c>
      <c r="L617" s="89">
        <v>3250.86</v>
      </c>
      <c r="M617" s="89">
        <v>3287.91</v>
      </c>
      <c r="N617" s="89">
        <v>328.01</v>
      </c>
      <c r="O617" s="89">
        <f t="shared" si="25"/>
        <v>6866.78</v>
      </c>
    </row>
    <row r="618" spans="1:15">
      <c r="A618" s="74" t="s">
        <v>113</v>
      </c>
      <c r="B618" s="74" t="s">
        <v>192</v>
      </c>
      <c r="C618" s="74" t="s">
        <v>193</v>
      </c>
      <c r="D618" s="74" t="s">
        <v>79</v>
      </c>
      <c r="E618" s="74" t="s">
        <v>81</v>
      </c>
      <c r="F618" s="86" t="s">
        <v>180</v>
      </c>
      <c r="G618" s="74" t="s">
        <v>177</v>
      </c>
      <c r="H618" s="87">
        <v>44469</v>
      </c>
      <c r="I618" s="98">
        <v>22</v>
      </c>
      <c r="J618" s="98">
        <v>22</v>
      </c>
      <c r="K618" s="89">
        <f t="shared" si="26"/>
        <v>1</v>
      </c>
      <c r="L618" s="89">
        <v>2195.65</v>
      </c>
      <c r="M618" s="89">
        <v>3226.57</v>
      </c>
      <c r="N618" s="89">
        <v>201.4</v>
      </c>
      <c r="O618" s="89">
        <f t="shared" si="25"/>
        <v>5623.62</v>
      </c>
    </row>
    <row r="619" spans="1:15">
      <c r="A619" s="74" t="s">
        <v>113</v>
      </c>
      <c r="B619" s="74" t="s">
        <v>194</v>
      </c>
      <c r="C619" s="74" t="s">
        <v>195</v>
      </c>
      <c r="D619" s="74" t="s">
        <v>79</v>
      </c>
      <c r="E619" s="74" t="s">
        <v>81</v>
      </c>
      <c r="F619" s="86" t="s">
        <v>183</v>
      </c>
      <c r="G619" s="74" t="s">
        <v>177</v>
      </c>
      <c r="H619" s="87">
        <v>44469</v>
      </c>
      <c r="I619" s="98">
        <v>22</v>
      </c>
      <c r="J619" s="98">
        <v>22</v>
      </c>
      <c r="K619" s="89">
        <f t="shared" si="26"/>
        <v>1</v>
      </c>
      <c r="L619" s="89">
        <v>1002.52</v>
      </c>
      <c r="M619" s="89">
        <v>3005.59</v>
      </c>
      <c r="N619" s="89">
        <v>106.07</v>
      </c>
      <c r="O619" s="89">
        <f t="shared" si="25"/>
        <v>4114.18</v>
      </c>
    </row>
    <row r="620" spans="1:15">
      <c r="A620" s="74" t="s">
        <v>113</v>
      </c>
      <c r="B620" s="74" t="s">
        <v>196</v>
      </c>
      <c r="C620" s="74" t="s">
        <v>197</v>
      </c>
      <c r="D620" s="74" t="s">
        <v>79</v>
      </c>
      <c r="E620" s="74" t="s">
        <v>81</v>
      </c>
      <c r="F620" s="86" t="s">
        <v>176</v>
      </c>
      <c r="G620" s="74" t="s">
        <v>177</v>
      </c>
      <c r="H620" s="87">
        <v>44469</v>
      </c>
      <c r="I620" s="98">
        <v>22</v>
      </c>
      <c r="J620" s="98">
        <v>22</v>
      </c>
      <c r="K620" s="89">
        <f t="shared" si="26"/>
        <v>1</v>
      </c>
      <c r="L620" s="89">
        <v>3255.11</v>
      </c>
      <c r="M620" s="89">
        <v>3298.12</v>
      </c>
      <c r="N620" s="89">
        <v>327.75</v>
      </c>
      <c r="O620" s="89">
        <f t="shared" si="25"/>
        <v>6880.98</v>
      </c>
    </row>
    <row r="621" spans="1:15">
      <c r="A621" s="74" t="s">
        <v>113</v>
      </c>
      <c r="B621" s="74" t="s">
        <v>198</v>
      </c>
      <c r="C621" s="74" t="s">
        <v>199</v>
      </c>
      <c r="D621" s="74" t="s">
        <v>79</v>
      </c>
      <c r="E621" s="74" t="s">
        <v>81</v>
      </c>
      <c r="F621" s="86" t="s">
        <v>180</v>
      </c>
      <c r="G621" s="74" t="s">
        <v>177</v>
      </c>
      <c r="H621" s="87">
        <v>44469</v>
      </c>
      <c r="I621" s="98">
        <v>22</v>
      </c>
      <c r="J621" s="98">
        <v>22</v>
      </c>
      <c r="K621" s="89">
        <f t="shared" si="26"/>
        <v>1</v>
      </c>
      <c r="L621" s="89">
        <v>2050.93</v>
      </c>
      <c r="M621" s="89">
        <v>3113.26</v>
      </c>
      <c r="N621" s="89">
        <v>204.76</v>
      </c>
      <c r="O621" s="89">
        <f t="shared" si="25"/>
        <v>5368.95</v>
      </c>
    </row>
    <row r="622" spans="1:15">
      <c r="A622" s="74" t="s">
        <v>113</v>
      </c>
      <c r="B622" s="74" t="s">
        <v>200</v>
      </c>
      <c r="C622" s="74" t="s">
        <v>201</v>
      </c>
      <c r="D622" s="74" t="s">
        <v>79</v>
      </c>
      <c r="E622" s="74" t="s">
        <v>81</v>
      </c>
      <c r="F622" s="86" t="s">
        <v>183</v>
      </c>
      <c r="G622" s="74" t="s">
        <v>177</v>
      </c>
      <c r="H622" s="87">
        <v>44469</v>
      </c>
      <c r="I622" s="98">
        <v>22</v>
      </c>
      <c r="J622" s="98">
        <v>22</v>
      </c>
      <c r="K622" s="89">
        <f t="shared" si="26"/>
        <v>1</v>
      </c>
      <c r="L622" s="89">
        <v>1099.64</v>
      </c>
      <c r="M622" s="89">
        <v>3203.84</v>
      </c>
      <c r="N622" s="89">
        <v>106.25</v>
      </c>
      <c r="O622" s="89">
        <f t="shared" si="25"/>
        <v>4409.73</v>
      </c>
    </row>
    <row r="623" spans="1:15">
      <c r="A623" s="74" t="s">
        <v>113</v>
      </c>
      <c r="B623" s="74" t="s">
        <v>202</v>
      </c>
      <c r="C623" s="74" t="s">
        <v>203</v>
      </c>
      <c r="D623" s="74" t="s">
        <v>79</v>
      </c>
      <c r="E623" s="74" t="s">
        <v>81</v>
      </c>
      <c r="F623" s="86" t="s">
        <v>204</v>
      </c>
      <c r="G623" s="74" t="s">
        <v>205</v>
      </c>
      <c r="H623" s="87">
        <v>44469</v>
      </c>
      <c r="I623" s="98">
        <v>22</v>
      </c>
      <c r="J623" s="98">
        <v>22</v>
      </c>
      <c r="K623" s="89">
        <f t="shared" si="26"/>
        <v>1</v>
      </c>
      <c r="L623" s="89">
        <v>19427.22</v>
      </c>
      <c r="M623" s="89">
        <v>3070.69</v>
      </c>
      <c r="N623" s="89">
        <v>1863.76</v>
      </c>
      <c r="O623" s="89">
        <f t="shared" si="25"/>
        <v>24361.67</v>
      </c>
    </row>
    <row r="624" spans="1:15">
      <c r="A624" s="74" t="s">
        <v>113</v>
      </c>
      <c r="B624" s="74" t="s">
        <v>206</v>
      </c>
      <c r="C624" s="74" t="s">
        <v>207</v>
      </c>
      <c r="D624" s="88" t="s">
        <v>82</v>
      </c>
      <c r="E624" s="88" t="s">
        <v>84</v>
      </c>
      <c r="F624" s="86" t="s">
        <v>208</v>
      </c>
      <c r="G624" s="74" t="s">
        <v>209</v>
      </c>
      <c r="H624" s="87">
        <v>44469</v>
      </c>
      <c r="I624" s="98">
        <v>22</v>
      </c>
      <c r="J624" s="98">
        <v>22</v>
      </c>
      <c r="K624" s="89">
        <f t="shared" si="26"/>
        <v>1</v>
      </c>
      <c r="L624" s="89">
        <v>9875.44</v>
      </c>
      <c r="M624" s="89">
        <v>3196.71</v>
      </c>
      <c r="N624" s="89">
        <v>967.62</v>
      </c>
      <c r="O624" s="89">
        <f t="shared" si="25"/>
        <v>14039.77</v>
      </c>
    </row>
    <row r="625" spans="1:15">
      <c r="A625" s="74" t="s">
        <v>113</v>
      </c>
      <c r="B625" s="74" t="s">
        <v>210</v>
      </c>
      <c r="C625" s="74" t="s">
        <v>211</v>
      </c>
      <c r="D625" s="88" t="s">
        <v>82</v>
      </c>
      <c r="E625" s="88" t="s">
        <v>84</v>
      </c>
      <c r="F625" s="86" t="s">
        <v>116</v>
      </c>
      <c r="G625" s="74" t="s">
        <v>209</v>
      </c>
      <c r="H625" s="87">
        <v>44469</v>
      </c>
      <c r="I625" s="98">
        <v>22</v>
      </c>
      <c r="J625" s="98">
        <v>22</v>
      </c>
      <c r="K625" s="89">
        <f t="shared" si="26"/>
        <v>1</v>
      </c>
      <c r="L625" s="89">
        <v>8654.62</v>
      </c>
      <c r="M625" s="89">
        <v>3055.81</v>
      </c>
      <c r="N625" s="89">
        <v>802.58</v>
      </c>
      <c r="O625" s="89">
        <f t="shared" si="25"/>
        <v>12513.01</v>
      </c>
    </row>
    <row r="626" spans="1:15">
      <c r="A626" s="74" t="s">
        <v>113</v>
      </c>
      <c r="B626" s="74" t="s">
        <v>212</v>
      </c>
      <c r="C626" s="74" t="s">
        <v>213</v>
      </c>
      <c r="D626" s="88" t="s">
        <v>82</v>
      </c>
      <c r="E626" s="88" t="s">
        <v>84</v>
      </c>
      <c r="F626" s="86" t="s">
        <v>208</v>
      </c>
      <c r="G626" s="74" t="s">
        <v>209</v>
      </c>
      <c r="H626" s="87">
        <v>44469</v>
      </c>
      <c r="I626" s="98">
        <v>22</v>
      </c>
      <c r="J626" s="98">
        <v>22</v>
      </c>
      <c r="K626" s="89">
        <f t="shared" si="26"/>
        <v>1</v>
      </c>
      <c r="L626" s="89">
        <v>9028.62</v>
      </c>
      <c r="M626" s="89">
        <v>3056.74</v>
      </c>
      <c r="N626" s="89">
        <v>944.92</v>
      </c>
      <c r="O626" s="89">
        <f t="shared" si="25"/>
        <v>13030.28</v>
      </c>
    </row>
    <row r="627" spans="1:15">
      <c r="A627" s="74" t="s">
        <v>113</v>
      </c>
      <c r="B627" s="74" t="s">
        <v>214</v>
      </c>
      <c r="C627" s="74" t="s">
        <v>215</v>
      </c>
      <c r="D627" s="88" t="s">
        <v>82</v>
      </c>
      <c r="E627" s="88" t="s">
        <v>84</v>
      </c>
      <c r="F627" s="86" t="s">
        <v>116</v>
      </c>
      <c r="G627" s="74" t="s">
        <v>209</v>
      </c>
      <c r="H627" s="87">
        <v>44469</v>
      </c>
      <c r="I627" s="98">
        <v>22</v>
      </c>
      <c r="J627" s="98">
        <v>22</v>
      </c>
      <c r="K627" s="89">
        <f t="shared" si="26"/>
        <v>1</v>
      </c>
      <c r="L627" s="89">
        <v>8416.18</v>
      </c>
      <c r="M627" s="89">
        <v>3287.72</v>
      </c>
      <c r="N627" s="89">
        <v>837.63</v>
      </c>
      <c r="O627" s="89">
        <f t="shared" si="25"/>
        <v>12541.53</v>
      </c>
    </row>
    <row r="628" spans="1:15">
      <c r="A628" s="74" t="s">
        <v>113</v>
      </c>
      <c r="B628" s="74" t="s">
        <v>216</v>
      </c>
      <c r="C628" s="74" t="s">
        <v>217</v>
      </c>
      <c r="D628" s="88" t="s">
        <v>82</v>
      </c>
      <c r="E628" s="88" t="s">
        <v>84</v>
      </c>
      <c r="F628" s="86" t="s">
        <v>218</v>
      </c>
      <c r="G628" s="74" t="s">
        <v>219</v>
      </c>
      <c r="H628" s="87">
        <v>44469</v>
      </c>
      <c r="I628" s="98">
        <v>22</v>
      </c>
      <c r="J628" s="98">
        <v>22</v>
      </c>
      <c r="K628" s="89">
        <f t="shared" si="26"/>
        <v>1</v>
      </c>
      <c r="L628" s="89">
        <v>11292.57</v>
      </c>
      <c r="M628" s="89">
        <v>3013.63</v>
      </c>
      <c r="N628" s="89">
        <v>1111.95</v>
      </c>
      <c r="O628" s="89">
        <f t="shared" si="25"/>
        <v>15418.15</v>
      </c>
    </row>
    <row r="629" spans="1:15">
      <c r="A629" s="74" t="s">
        <v>113</v>
      </c>
      <c r="B629" s="74" t="s">
        <v>220</v>
      </c>
      <c r="C629" s="74" t="s">
        <v>221</v>
      </c>
      <c r="D629" s="88" t="s">
        <v>82</v>
      </c>
      <c r="E629" s="74" t="s">
        <v>83</v>
      </c>
      <c r="F629" s="86" t="s">
        <v>218</v>
      </c>
      <c r="G629" s="74" t="s">
        <v>222</v>
      </c>
      <c r="H629" s="87">
        <v>44469</v>
      </c>
      <c r="I629" s="98">
        <v>22</v>
      </c>
      <c r="J629" s="98">
        <v>22</v>
      </c>
      <c r="K629" s="89">
        <f t="shared" si="26"/>
        <v>1</v>
      </c>
      <c r="L629" s="89">
        <v>11072.05</v>
      </c>
      <c r="M629" s="89">
        <v>3204.34</v>
      </c>
      <c r="N629" s="89">
        <v>1153</v>
      </c>
      <c r="O629" s="89">
        <f t="shared" si="25"/>
        <v>15429.39</v>
      </c>
    </row>
    <row r="630" spans="1:15">
      <c r="A630" s="74" t="s">
        <v>113</v>
      </c>
      <c r="B630" s="74" t="s">
        <v>223</v>
      </c>
      <c r="C630" s="74" t="s">
        <v>224</v>
      </c>
      <c r="D630" s="88" t="s">
        <v>82</v>
      </c>
      <c r="E630" s="74" t="s">
        <v>83</v>
      </c>
      <c r="F630" s="86" t="s">
        <v>225</v>
      </c>
      <c r="G630" s="74" t="s">
        <v>209</v>
      </c>
      <c r="H630" s="87">
        <v>44469</v>
      </c>
      <c r="I630" s="98">
        <v>22</v>
      </c>
      <c r="J630" s="98">
        <v>22</v>
      </c>
      <c r="K630" s="89">
        <f t="shared" si="26"/>
        <v>1</v>
      </c>
      <c r="L630" s="89">
        <v>10495.17</v>
      </c>
      <c r="M630" s="89">
        <v>3173.68</v>
      </c>
      <c r="N630" s="89">
        <v>1058.73</v>
      </c>
      <c r="O630" s="89">
        <f t="shared" si="25"/>
        <v>14727.58</v>
      </c>
    </row>
    <row r="631" spans="1:15">
      <c r="A631" s="74" t="s">
        <v>113</v>
      </c>
      <c r="B631" s="74" t="s">
        <v>226</v>
      </c>
      <c r="C631" s="74" t="s">
        <v>227</v>
      </c>
      <c r="D631" s="88" t="s">
        <v>82</v>
      </c>
      <c r="E631" s="74" t="s">
        <v>83</v>
      </c>
      <c r="F631" s="86" t="s">
        <v>208</v>
      </c>
      <c r="G631" s="74" t="s">
        <v>209</v>
      </c>
      <c r="H631" s="87">
        <v>44469</v>
      </c>
      <c r="I631" s="98">
        <v>22</v>
      </c>
      <c r="J631" s="98">
        <v>22</v>
      </c>
      <c r="K631" s="89">
        <f t="shared" si="26"/>
        <v>1</v>
      </c>
      <c r="L631" s="89">
        <v>9690.13</v>
      </c>
      <c r="M631" s="89">
        <v>3082.69</v>
      </c>
      <c r="N631" s="89">
        <v>974.98</v>
      </c>
      <c r="O631" s="89">
        <f t="shared" si="25"/>
        <v>13747.8</v>
      </c>
    </row>
    <row r="632" spans="1:15">
      <c r="A632" s="74" t="s">
        <v>113</v>
      </c>
      <c r="B632" s="74" t="s">
        <v>228</v>
      </c>
      <c r="C632" s="74" t="s">
        <v>229</v>
      </c>
      <c r="D632" s="88" t="s">
        <v>82</v>
      </c>
      <c r="E632" s="74" t="s">
        <v>83</v>
      </c>
      <c r="F632" s="86" t="s">
        <v>116</v>
      </c>
      <c r="G632" s="74" t="s">
        <v>209</v>
      </c>
      <c r="H632" s="87">
        <v>44469</v>
      </c>
      <c r="I632" s="98">
        <v>22</v>
      </c>
      <c r="J632" s="98">
        <v>22</v>
      </c>
      <c r="K632" s="89">
        <f t="shared" si="26"/>
        <v>1</v>
      </c>
      <c r="L632" s="89">
        <v>8624.88</v>
      </c>
      <c r="M632" s="89">
        <v>3015.51</v>
      </c>
      <c r="N632" s="89">
        <v>843.42</v>
      </c>
      <c r="O632" s="89">
        <f t="shared" si="25"/>
        <v>12483.81</v>
      </c>
    </row>
    <row r="633" spans="1:15">
      <c r="A633" s="74" t="s">
        <v>113</v>
      </c>
      <c r="B633" s="74" t="s">
        <v>230</v>
      </c>
      <c r="C633" s="74" t="s">
        <v>231</v>
      </c>
      <c r="D633" s="88" t="s">
        <v>82</v>
      </c>
      <c r="E633" s="74" t="s">
        <v>83</v>
      </c>
      <c r="F633" s="86" t="s">
        <v>120</v>
      </c>
      <c r="G633" s="74" t="s">
        <v>209</v>
      </c>
      <c r="H633" s="87">
        <v>44469</v>
      </c>
      <c r="I633" s="98">
        <v>22</v>
      </c>
      <c r="J633" s="98">
        <v>22</v>
      </c>
      <c r="K633" s="89">
        <f t="shared" si="26"/>
        <v>1</v>
      </c>
      <c r="L633" s="89">
        <v>7105.96</v>
      </c>
      <c r="M633" s="89">
        <v>3211.44</v>
      </c>
      <c r="N633" s="89">
        <v>732.81</v>
      </c>
      <c r="O633" s="89">
        <f t="shared" si="25"/>
        <v>11050.21</v>
      </c>
    </row>
    <row r="634" spans="1:15">
      <c r="A634" s="74" t="s">
        <v>113</v>
      </c>
      <c r="B634" s="74" t="s">
        <v>232</v>
      </c>
      <c r="C634" s="74" t="s">
        <v>233</v>
      </c>
      <c r="D634" s="88" t="s">
        <v>82</v>
      </c>
      <c r="E634" s="74" t="s">
        <v>83</v>
      </c>
      <c r="F634" s="86" t="s">
        <v>123</v>
      </c>
      <c r="G634" s="74" t="s">
        <v>209</v>
      </c>
      <c r="H634" s="87">
        <v>44469</v>
      </c>
      <c r="I634" s="98">
        <v>22</v>
      </c>
      <c r="J634" s="98">
        <v>22</v>
      </c>
      <c r="K634" s="89">
        <f t="shared" si="26"/>
        <v>1</v>
      </c>
      <c r="L634" s="89">
        <v>6497.26</v>
      </c>
      <c r="M634" s="89">
        <v>3290.58</v>
      </c>
      <c r="N634" s="89">
        <v>621.3</v>
      </c>
      <c r="O634" s="89">
        <f t="shared" si="25"/>
        <v>10409.14</v>
      </c>
    </row>
    <row r="635" spans="1:15">
      <c r="A635" s="74" t="s">
        <v>113</v>
      </c>
      <c r="B635" s="74" t="s">
        <v>234</v>
      </c>
      <c r="C635" s="74" t="s">
        <v>235</v>
      </c>
      <c r="D635" s="88" t="s">
        <v>82</v>
      </c>
      <c r="E635" s="74" t="s">
        <v>83</v>
      </c>
      <c r="F635" s="86" t="s">
        <v>116</v>
      </c>
      <c r="G635" s="74" t="s">
        <v>209</v>
      </c>
      <c r="H635" s="87">
        <v>44469</v>
      </c>
      <c r="I635" s="98">
        <v>22</v>
      </c>
      <c r="J635" s="98">
        <v>22</v>
      </c>
      <c r="K635" s="89">
        <f t="shared" si="26"/>
        <v>1</v>
      </c>
      <c r="L635" s="89">
        <v>8608.27</v>
      </c>
      <c r="M635" s="89">
        <v>3184.28</v>
      </c>
      <c r="N635" s="89">
        <v>858.24</v>
      </c>
      <c r="O635" s="89">
        <f t="shared" si="25"/>
        <v>12650.79</v>
      </c>
    </row>
    <row r="636" spans="1:15">
      <c r="A636" s="74" t="s">
        <v>113</v>
      </c>
      <c r="B636" s="74" t="s">
        <v>236</v>
      </c>
      <c r="C636" s="74" t="s">
        <v>237</v>
      </c>
      <c r="D636" s="88" t="s">
        <v>82</v>
      </c>
      <c r="E636" s="74" t="s">
        <v>83</v>
      </c>
      <c r="F636" s="86" t="s">
        <v>120</v>
      </c>
      <c r="G636" s="74" t="s">
        <v>209</v>
      </c>
      <c r="H636" s="87">
        <v>44469</v>
      </c>
      <c r="I636" s="98">
        <v>22</v>
      </c>
      <c r="J636" s="98">
        <v>22</v>
      </c>
      <c r="K636" s="89">
        <f t="shared" si="26"/>
        <v>1</v>
      </c>
      <c r="L636" s="89">
        <v>7573.72</v>
      </c>
      <c r="M636" s="89">
        <v>3205.15</v>
      </c>
      <c r="N636" s="89">
        <v>729.49</v>
      </c>
      <c r="O636" s="89">
        <f t="shared" si="25"/>
        <v>11508.36</v>
      </c>
    </row>
    <row r="637" spans="1:15">
      <c r="A637" s="74" t="s">
        <v>113</v>
      </c>
      <c r="B637" s="74" t="s">
        <v>238</v>
      </c>
      <c r="C637" s="74" t="s">
        <v>239</v>
      </c>
      <c r="D637" s="74" t="s">
        <v>86</v>
      </c>
      <c r="E637" s="74" t="s">
        <v>87</v>
      </c>
      <c r="F637" s="86" t="s">
        <v>204</v>
      </c>
      <c r="G637" s="74" t="s">
        <v>240</v>
      </c>
      <c r="H637" s="87">
        <v>44469</v>
      </c>
      <c r="I637" s="98">
        <v>22</v>
      </c>
      <c r="J637" s="98">
        <v>22</v>
      </c>
      <c r="K637" s="89">
        <f t="shared" si="26"/>
        <v>1</v>
      </c>
      <c r="L637" s="89">
        <v>14410.6</v>
      </c>
      <c r="M637" s="89">
        <v>3279.63</v>
      </c>
      <c r="N637" s="89">
        <v>1881.35</v>
      </c>
      <c r="O637" s="89">
        <f t="shared" si="25"/>
        <v>19571.58</v>
      </c>
    </row>
    <row r="638" spans="1:15">
      <c r="A638" s="74" t="s">
        <v>113</v>
      </c>
      <c r="B638" s="74" t="s">
        <v>241</v>
      </c>
      <c r="C638" s="74" t="s">
        <v>242</v>
      </c>
      <c r="D638" s="74" t="s">
        <v>86</v>
      </c>
      <c r="E638" s="74" t="s">
        <v>87</v>
      </c>
      <c r="F638" s="86" t="s">
        <v>243</v>
      </c>
      <c r="G638" s="74" t="s">
        <v>244</v>
      </c>
      <c r="H638" s="87">
        <v>44469</v>
      </c>
      <c r="I638" s="98">
        <v>22</v>
      </c>
      <c r="J638" s="98">
        <v>22</v>
      </c>
      <c r="K638" s="89">
        <f t="shared" si="26"/>
        <v>1</v>
      </c>
      <c r="L638" s="89">
        <v>10807.33</v>
      </c>
      <c r="M638" s="89">
        <v>3172.22</v>
      </c>
      <c r="N638" s="89">
        <v>1314.41</v>
      </c>
      <c r="O638" s="89">
        <f t="shared" si="25"/>
        <v>15293.96</v>
      </c>
    </row>
    <row r="639" spans="1:15">
      <c r="A639" s="74" t="s">
        <v>113</v>
      </c>
      <c r="B639" s="74" t="s">
        <v>245</v>
      </c>
      <c r="C639" s="74" t="s">
        <v>246</v>
      </c>
      <c r="D639" s="74" t="s">
        <v>86</v>
      </c>
      <c r="E639" s="74" t="s">
        <v>87</v>
      </c>
      <c r="F639" s="86" t="s">
        <v>247</v>
      </c>
      <c r="G639" s="74" t="s">
        <v>248</v>
      </c>
      <c r="H639" s="87">
        <v>44469</v>
      </c>
      <c r="I639" s="98">
        <v>22</v>
      </c>
      <c r="J639" s="98">
        <v>22</v>
      </c>
      <c r="K639" s="89">
        <f t="shared" si="26"/>
        <v>1</v>
      </c>
      <c r="L639" s="89">
        <v>10453.24</v>
      </c>
      <c r="M639" s="89">
        <v>3072.51</v>
      </c>
      <c r="N639" s="89">
        <v>1204.59</v>
      </c>
      <c r="O639" s="89">
        <f t="shared" si="25"/>
        <v>14730.34</v>
      </c>
    </row>
    <row r="640" spans="1:15">
      <c r="A640" s="74" t="s">
        <v>113</v>
      </c>
      <c r="B640" s="74" t="s">
        <v>249</v>
      </c>
      <c r="C640" s="74" t="s">
        <v>250</v>
      </c>
      <c r="D640" s="74" t="s">
        <v>86</v>
      </c>
      <c r="E640" s="74" t="s">
        <v>87</v>
      </c>
      <c r="F640" s="86" t="s">
        <v>251</v>
      </c>
      <c r="G640" s="74" t="s">
        <v>252</v>
      </c>
      <c r="H640" s="87">
        <v>44469</v>
      </c>
      <c r="I640" s="98">
        <v>22</v>
      </c>
      <c r="J640" s="98">
        <v>22</v>
      </c>
      <c r="K640" s="89">
        <f t="shared" si="26"/>
        <v>1</v>
      </c>
      <c r="L640" s="89">
        <v>9486.95</v>
      </c>
      <c r="M640" s="89">
        <v>3062.63</v>
      </c>
      <c r="N640" s="89">
        <v>1144.85</v>
      </c>
      <c r="O640" s="89">
        <f t="shared" si="25"/>
        <v>13694.43</v>
      </c>
    </row>
    <row r="641" spans="1:15">
      <c r="A641" s="74" t="s">
        <v>113</v>
      </c>
      <c r="B641" s="74" t="s">
        <v>253</v>
      </c>
      <c r="C641" s="74" t="s">
        <v>254</v>
      </c>
      <c r="D641" s="74" t="s">
        <v>86</v>
      </c>
      <c r="E641" s="74" t="s">
        <v>87</v>
      </c>
      <c r="F641" s="86" t="s">
        <v>255</v>
      </c>
      <c r="G641" s="74" t="s">
        <v>252</v>
      </c>
      <c r="H641" s="87">
        <v>44469</v>
      </c>
      <c r="I641" s="98">
        <v>22</v>
      </c>
      <c r="J641" s="98">
        <v>22</v>
      </c>
      <c r="K641" s="89">
        <f t="shared" si="26"/>
        <v>1</v>
      </c>
      <c r="L641" s="89">
        <v>8084.33</v>
      </c>
      <c r="M641" s="89">
        <v>3162.7</v>
      </c>
      <c r="N641" s="89">
        <v>1041.18</v>
      </c>
      <c r="O641" s="89">
        <f t="shared" si="25"/>
        <v>12288.21</v>
      </c>
    </row>
    <row r="642" spans="1:15">
      <c r="A642" s="74" t="s">
        <v>113</v>
      </c>
      <c r="B642" s="74" t="s">
        <v>256</v>
      </c>
      <c r="C642" s="74" t="s">
        <v>257</v>
      </c>
      <c r="D642" s="74" t="s">
        <v>86</v>
      </c>
      <c r="E642" s="74" t="s">
        <v>87</v>
      </c>
      <c r="F642" s="86" t="s">
        <v>258</v>
      </c>
      <c r="G642" s="74" t="s">
        <v>252</v>
      </c>
      <c r="H642" s="87">
        <v>44469</v>
      </c>
      <c r="I642" s="98">
        <v>22</v>
      </c>
      <c r="J642" s="98">
        <v>22</v>
      </c>
      <c r="K642" s="89">
        <f t="shared" si="26"/>
        <v>1</v>
      </c>
      <c r="L642" s="89">
        <v>7684.36</v>
      </c>
      <c r="M642" s="89">
        <v>3208.35</v>
      </c>
      <c r="N642" s="89">
        <v>969.42</v>
      </c>
      <c r="O642" s="89">
        <f t="shared" si="25"/>
        <v>11862.13</v>
      </c>
    </row>
    <row r="643" spans="1:15">
      <c r="A643" s="74" t="s">
        <v>113</v>
      </c>
      <c r="B643" s="74" t="s">
        <v>259</v>
      </c>
      <c r="C643" s="74" t="s">
        <v>260</v>
      </c>
      <c r="D643" s="74" t="s">
        <v>86</v>
      </c>
      <c r="E643" s="74" t="s">
        <v>87</v>
      </c>
      <c r="F643" s="86" t="s">
        <v>261</v>
      </c>
      <c r="G643" s="74" t="s">
        <v>262</v>
      </c>
      <c r="H643" s="87">
        <v>44469</v>
      </c>
      <c r="I643" s="98">
        <v>22</v>
      </c>
      <c r="J643" s="98">
        <v>22</v>
      </c>
      <c r="K643" s="89">
        <f t="shared" si="26"/>
        <v>1</v>
      </c>
      <c r="L643" s="89">
        <v>6549.15</v>
      </c>
      <c r="M643" s="89">
        <v>3085.15</v>
      </c>
      <c r="N643" s="89">
        <v>809.38</v>
      </c>
      <c r="O643" s="89">
        <f t="shared" si="25"/>
        <v>10443.68</v>
      </c>
    </row>
    <row r="644" spans="1:15">
      <c r="A644" s="74" t="s">
        <v>113</v>
      </c>
      <c r="B644" s="74" t="s">
        <v>263</v>
      </c>
      <c r="C644" s="74" t="s">
        <v>264</v>
      </c>
      <c r="D644" s="74" t="s">
        <v>86</v>
      </c>
      <c r="E644" s="74" t="s">
        <v>88</v>
      </c>
      <c r="F644" s="86" t="s">
        <v>149</v>
      </c>
      <c r="G644" s="74" t="s">
        <v>265</v>
      </c>
      <c r="H644" s="87">
        <v>44469</v>
      </c>
      <c r="I644" s="98">
        <v>22</v>
      </c>
      <c r="J644" s="98">
        <v>22</v>
      </c>
      <c r="K644" s="89">
        <f t="shared" si="26"/>
        <v>1</v>
      </c>
      <c r="L644" s="89">
        <v>14447.72</v>
      </c>
      <c r="M644" s="89">
        <v>3060.51</v>
      </c>
      <c r="N644" s="89">
        <v>1712.38</v>
      </c>
      <c r="O644" s="89">
        <f t="shared" si="25"/>
        <v>19220.61</v>
      </c>
    </row>
    <row r="645" spans="1:15">
      <c r="A645" s="74" t="s">
        <v>113</v>
      </c>
      <c r="B645" s="74" t="s">
        <v>266</v>
      </c>
      <c r="C645" s="74" t="s">
        <v>267</v>
      </c>
      <c r="D645" s="74" t="s">
        <v>86</v>
      </c>
      <c r="E645" s="74" t="s">
        <v>88</v>
      </c>
      <c r="F645" s="86" t="s">
        <v>243</v>
      </c>
      <c r="G645" s="74" t="s">
        <v>268</v>
      </c>
      <c r="H645" s="87">
        <v>44469</v>
      </c>
      <c r="I645" s="98">
        <v>22</v>
      </c>
      <c r="J645" s="98">
        <v>22</v>
      </c>
      <c r="K645" s="89">
        <f t="shared" si="26"/>
        <v>1</v>
      </c>
      <c r="L645" s="89">
        <v>10408.22</v>
      </c>
      <c r="M645" s="89">
        <v>3077.44</v>
      </c>
      <c r="N645" s="89">
        <v>1300.28</v>
      </c>
      <c r="O645" s="89">
        <f t="shared" ref="O645:O708" si="27">SUM(L645:N645)</f>
        <v>14785.94</v>
      </c>
    </row>
    <row r="646" spans="1:15">
      <c r="A646" s="74" t="s">
        <v>113</v>
      </c>
      <c r="B646" s="74" t="s">
        <v>269</v>
      </c>
      <c r="C646" s="74" t="s">
        <v>270</v>
      </c>
      <c r="D646" s="74" t="s">
        <v>86</v>
      </c>
      <c r="E646" s="74" t="s">
        <v>88</v>
      </c>
      <c r="F646" s="86" t="s">
        <v>247</v>
      </c>
      <c r="G646" s="74" t="s">
        <v>268</v>
      </c>
      <c r="H646" s="87">
        <v>44469</v>
      </c>
      <c r="I646" s="98">
        <v>22</v>
      </c>
      <c r="J646" s="98">
        <v>22</v>
      </c>
      <c r="K646" s="89">
        <f t="shared" si="26"/>
        <v>1</v>
      </c>
      <c r="L646" s="89">
        <v>10103.23</v>
      </c>
      <c r="M646" s="89">
        <v>3232.12</v>
      </c>
      <c r="N646" s="89">
        <v>1236.96</v>
      </c>
      <c r="O646" s="89">
        <f t="shared" si="27"/>
        <v>14572.31</v>
      </c>
    </row>
    <row r="647" spans="1:15">
      <c r="A647" s="74" t="s">
        <v>113</v>
      </c>
      <c r="B647" s="74" t="s">
        <v>271</v>
      </c>
      <c r="C647" s="74" t="s">
        <v>272</v>
      </c>
      <c r="D647" s="74" t="s">
        <v>86</v>
      </c>
      <c r="E647" s="74" t="s">
        <v>88</v>
      </c>
      <c r="F647" s="86" t="s">
        <v>251</v>
      </c>
      <c r="G647" s="74" t="s">
        <v>268</v>
      </c>
      <c r="H647" s="87">
        <v>44469</v>
      </c>
      <c r="I647" s="98">
        <v>22</v>
      </c>
      <c r="J647" s="98">
        <v>22</v>
      </c>
      <c r="K647" s="89">
        <f t="shared" si="26"/>
        <v>1</v>
      </c>
      <c r="L647" s="89">
        <v>9008.78</v>
      </c>
      <c r="M647" s="89">
        <v>3107.41</v>
      </c>
      <c r="N647" s="89">
        <v>1168.65</v>
      </c>
      <c r="O647" s="89">
        <f t="shared" si="27"/>
        <v>13284.84</v>
      </c>
    </row>
    <row r="648" spans="1:15">
      <c r="A648" s="74" t="s">
        <v>113</v>
      </c>
      <c r="B648" s="74" t="s">
        <v>273</v>
      </c>
      <c r="C648" s="74" t="s">
        <v>274</v>
      </c>
      <c r="D648" s="74" t="s">
        <v>86</v>
      </c>
      <c r="E648" s="74" t="s">
        <v>88</v>
      </c>
      <c r="F648" s="86" t="s">
        <v>255</v>
      </c>
      <c r="G648" s="74" t="s">
        <v>268</v>
      </c>
      <c r="H648" s="87">
        <v>44469</v>
      </c>
      <c r="I648" s="98">
        <v>22</v>
      </c>
      <c r="J648" s="98">
        <v>22</v>
      </c>
      <c r="K648" s="89">
        <f t="shared" si="26"/>
        <v>1</v>
      </c>
      <c r="L648" s="89">
        <v>8612.69</v>
      </c>
      <c r="M648" s="89">
        <v>3043.06</v>
      </c>
      <c r="N648" s="89">
        <v>1043.6</v>
      </c>
      <c r="O648" s="89">
        <f t="shared" si="27"/>
        <v>12699.35</v>
      </c>
    </row>
    <row r="649" spans="1:15">
      <c r="A649" s="74" t="s">
        <v>113</v>
      </c>
      <c r="B649" s="74" t="s">
        <v>275</v>
      </c>
      <c r="C649" s="74" t="s">
        <v>276</v>
      </c>
      <c r="D649" s="74" t="s">
        <v>86</v>
      </c>
      <c r="E649" s="74" t="s">
        <v>88</v>
      </c>
      <c r="F649" s="86" t="s">
        <v>258</v>
      </c>
      <c r="G649" s="74" t="s">
        <v>268</v>
      </c>
      <c r="H649" s="87">
        <v>44469</v>
      </c>
      <c r="I649" s="98">
        <v>22</v>
      </c>
      <c r="J649" s="98">
        <v>22</v>
      </c>
      <c r="K649" s="89">
        <f t="shared" si="26"/>
        <v>1</v>
      </c>
      <c r="L649" s="89">
        <v>7435.58</v>
      </c>
      <c r="M649" s="89">
        <v>3015.77</v>
      </c>
      <c r="N649" s="89">
        <v>932.55</v>
      </c>
      <c r="O649" s="89">
        <f t="shared" si="27"/>
        <v>11383.9</v>
      </c>
    </row>
    <row r="650" spans="1:15">
      <c r="A650" s="74" t="s">
        <v>113</v>
      </c>
      <c r="B650" s="74" t="s">
        <v>277</v>
      </c>
      <c r="C650" s="74" t="s">
        <v>278</v>
      </c>
      <c r="D650" s="74" t="s">
        <v>86</v>
      </c>
      <c r="E650" s="74" t="s">
        <v>89</v>
      </c>
      <c r="F650" s="86" t="s">
        <v>279</v>
      </c>
      <c r="G650" s="74" t="s">
        <v>280</v>
      </c>
      <c r="H650" s="87">
        <v>44469</v>
      </c>
      <c r="I650" s="98">
        <v>22</v>
      </c>
      <c r="J650" s="98">
        <v>22</v>
      </c>
      <c r="K650" s="89">
        <f t="shared" si="26"/>
        <v>1</v>
      </c>
      <c r="L650" s="89">
        <v>12236.11</v>
      </c>
      <c r="M650" s="89">
        <v>3114.48</v>
      </c>
      <c r="N650" s="89">
        <v>1569.81</v>
      </c>
      <c r="O650" s="89">
        <f t="shared" si="27"/>
        <v>16920.4</v>
      </c>
    </row>
    <row r="651" spans="1:15">
      <c r="A651" s="74" t="s">
        <v>113</v>
      </c>
      <c r="B651" s="74" t="s">
        <v>281</v>
      </c>
      <c r="C651" s="74" t="s">
        <v>282</v>
      </c>
      <c r="D651" s="74" t="s">
        <v>86</v>
      </c>
      <c r="E651" s="74" t="s">
        <v>89</v>
      </c>
      <c r="F651" s="86" t="s">
        <v>225</v>
      </c>
      <c r="G651" s="74" t="s">
        <v>283</v>
      </c>
      <c r="H651" s="87">
        <v>44469</v>
      </c>
      <c r="I651" s="98">
        <v>22</v>
      </c>
      <c r="J651" s="98">
        <v>22</v>
      </c>
      <c r="K651" s="89">
        <f t="shared" si="26"/>
        <v>1</v>
      </c>
      <c r="L651" s="89">
        <v>8745.73</v>
      </c>
      <c r="M651" s="89">
        <v>3047.95</v>
      </c>
      <c r="N651" s="89">
        <v>1072.36</v>
      </c>
      <c r="O651" s="89">
        <f t="shared" si="27"/>
        <v>12866.04</v>
      </c>
    </row>
    <row r="652" spans="1:15">
      <c r="A652" s="74" t="s">
        <v>113</v>
      </c>
      <c r="B652" s="74" t="s">
        <v>284</v>
      </c>
      <c r="C652" s="74" t="s">
        <v>285</v>
      </c>
      <c r="D652" s="74" t="s">
        <v>86</v>
      </c>
      <c r="E652" s="74" t="s">
        <v>89</v>
      </c>
      <c r="F652" s="86" t="s">
        <v>208</v>
      </c>
      <c r="G652" s="74" t="s">
        <v>283</v>
      </c>
      <c r="H652" s="87">
        <v>44469</v>
      </c>
      <c r="I652" s="98">
        <v>22</v>
      </c>
      <c r="J652" s="98">
        <v>22</v>
      </c>
      <c r="K652" s="89">
        <f t="shared" si="26"/>
        <v>1</v>
      </c>
      <c r="L652" s="89">
        <v>7458.71</v>
      </c>
      <c r="M652" s="89">
        <v>3279.64</v>
      </c>
      <c r="N652" s="89">
        <v>939.56</v>
      </c>
      <c r="O652" s="89">
        <f t="shared" si="27"/>
        <v>11677.91</v>
      </c>
    </row>
    <row r="653" spans="1:15">
      <c r="A653" s="74" t="s">
        <v>113</v>
      </c>
      <c r="B653" s="74" t="s">
        <v>286</v>
      </c>
      <c r="C653" s="74" t="s">
        <v>287</v>
      </c>
      <c r="D653" s="74" t="s">
        <v>82</v>
      </c>
      <c r="E653" s="88" t="s">
        <v>85</v>
      </c>
      <c r="F653" s="86" t="s">
        <v>288</v>
      </c>
      <c r="G653" s="74" t="s">
        <v>289</v>
      </c>
      <c r="H653" s="87">
        <v>44469</v>
      </c>
      <c r="I653" s="98">
        <v>22</v>
      </c>
      <c r="J653" s="98">
        <v>22</v>
      </c>
      <c r="K653" s="89">
        <f t="shared" ref="K653:K661" si="28">I653/J653</f>
        <v>1</v>
      </c>
      <c r="L653" s="89">
        <v>12916.15</v>
      </c>
      <c r="M653" s="89">
        <v>3101.03</v>
      </c>
      <c r="N653" s="89">
        <v>1240.83</v>
      </c>
      <c r="O653" s="89">
        <f t="shared" si="27"/>
        <v>17258.01</v>
      </c>
    </row>
    <row r="654" spans="1:15">
      <c r="A654" s="74" t="s">
        <v>113</v>
      </c>
      <c r="B654" s="74" t="s">
        <v>290</v>
      </c>
      <c r="C654" s="74" t="s">
        <v>291</v>
      </c>
      <c r="D654" s="74" t="s">
        <v>82</v>
      </c>
      <c r="E654" s="88" t="s">
        <v>85</v>
      </c>
      <c r="F654" s="86" t="s">
        <v>218</v>
      </c>
      <c r="G654" s="74" t="s">
        <v>289</v>
      </c>
      <c r="H654" s="87">
        <v>44469</v>
      </c>
      <c r="I654" s="98">
        <v>22</v>
      </c>
      <c r="J654" s="98">
        <v>22</v>
      </c>
      <c r="K654" s="89">
        <f t="shared" si="28"/>
        <v>1</v>
      </c>
      <c r="L654" s="89">
        <v>11566.86</v>
      </c>
      <c r="M654" s="89">
        <v>3102.82</v>
      </c>
      <c r="N654" s="89">
        <v>1137.08</v>
      </c>
      <c r="O654" s="89">
        <f t="shared" si="27"/>
        <v>15806.76</v>
      </c>
    </row>
    <row r="655" spans="1:15">
      <c r="A655" s="74" t="s">
        <v>113</v>
      </c>
      <c r="B655" s="74" t="s">
        <v>292</v>
      </c>
      <c r="C655" s="74" t="s">
        <v>293</v>
      </c>
      <c r="D655" s="74" t="s">
        <v>82</v>
      </c>
      <c r="E655" s="88" t="s">
        <v>85</v>
      </c>
      <c r="F655" s="86" t="s">
        <v>225</v>
      </c>
      <c r="G655" s="74" t="s">
        <v>289</v>
      </c>
      <c r="H655" s="87">
        <v>44469</v>
      </c>
      <c r="I655" s="98">
        <v>22</v>
      </c>
      <c r="J655" s="98">
        <v>22</v>
      </c>
      <c r="K655" s="89">
        <f t="shared" si="28"/>
        <v>1</v>
      </c>
      <c r="L655" s="89">
        <v>10357.42</v>
      </c>
      <c r="M655" s="89">
        <v>3091.31</v>
      </c>
      <c r="N655" s="89">
        <v>1030.21</v>
      </c>
      <c r="O655" s="89">
        <f t="shared" si="27"/>
        <v>14478.94</v>
      </c>
    </row>
    <row r="656" spans="1:15">
      <c r="A656" s="74" t="s">
        <v>113</v>
      </c>
      <c r="B656" s="74" t="s">
        <v>294</v>
      </c>
      <c r="C656" s="74" t="s">
        <v>295</v>
      </c>
      <c r="D656" s="74" t="s">
        <v>82</v>
      </c>
      <c r="E656" s="88" t="s">
        <v>85</v>
      </c>
      <c r="F656" s="86" t="s">
        <v>208</v>
      </c>
      <c r="G656" s="74" t="s">
        <v>289</v>
      </c>
      <c r="H656" s="87">
        <v>44469</v>
      </c>
      <c r="I656" s="98">
        <v>22</v>
      </c>
      <c r="J656" s="98">
        <v>22</v>
      </c>
      <c r="K656" s="89">
        <f t="shared" si="28"/>
        <v>1</v>
      </c>
      <c r="L656" s="89">
        <v>9215.23</v>
      </c>
      <c r="M656" s="89">
        <v>3226.05</v>
      </c>
      <c r="N656" s="89">
        <v>977.2</v>
      </c>
      <c r="O656" s="89">
        <f t="shared" si="27"/>
        <v>13418.48</v>
      </c>
    </row>
    <row r="657" spans="1:15">
      <c r="A657" s="74" t="s">
        <v>113</v>
      </c>
      <c r="B657" s="74" t="s">
        <v>296</v>
      </c>
      <c r="C657" s="74" t="s">
        <v>297</v>
      </c>
      <c r="D657" s="74" t="s">
        <v>82</v>
      </c>
      <c r="E657" s="88" t="s">
        <v>85</v>
      </c>
      <c r="F657" s="86" t="s">
        <v>116</v>
      </c>
      <c r="G657" s="74" t="s">
        <v>289</v>
      </c>
      <c r="H657" s="87">
        <v>44469</v>
      </c>
      <c r="I657" s="98">
        <v>22</v>
      </c>
      <c r="J657" s="98">
        <v>22</v>
      </c>
      <c r="K657" s="89">
        <f t="shared" si="28"/>
        <v>1</v>
      </c>
      <c r="L657" s="89">
        <v>8149.21</v>
      </c>
      <c r="M657" s="89">
        <v>3290.72</v>
      </c>
      <c r="N657" s="89">
        <v>821.18</v>
      </c>
      <c r="O657" s="89">
        <f t="shared" si="27"/>
        <v>12261.11</v>
      </c>
    </row>
    <row r="658" spans="1:15">
      <c r="A658" s="74" t="s">
        <v>113</v>
      </c>
      <c r="B658" s="74" t="s">
        <v>298</v>
      </c>
      <c r="C658" s="74" t="s">
        <v>299</v>
      </c>
      <c r="D658" s="74" t="s">
        <v>82</v>
      </c>
      <c r="E658" s="88" t="s">
        <v>85</v>
      </c>
      <c r="F658" s="86" t="s">
        <v>279</v>
      </c>
      <c r="G658" s="74" t="s">
        <v>300</v>
      </c>
      <c r="H658" s="87">
        <v>44469</v>
      </c>
      <c r="I658" s="98">
        <v>22</v>
      </c>
      <c r="J658" s="98">
        <v>22</v>
      </c>
      <c r="K658" s="89">
        <f t="shared" si="28"/>
        <v>1</v>
      </c>
      <c r="L658" s="89">
        <v>15508.28</v>
      </c>
      <c r="M658" s="89">
        <v>3101.68</v>
      </c>
      <c r="N658" s="89">
        <v>1542.36</v>
      </c>
      <c r="O658" s="89">
        <f t="shared" si="27"/>
        <v>20152.32</v>
      </c>
    </row>
    <row r="659" spans="1:15">
      <c r="A659" s="74" t="s">
        <v>113</v>
      </c>
      <c r="B659" s="74" t="s">
        <v>301</v>
      </c>
      <c r="C659" s="74" t="s">
        <v>302</v>
      </c>
      <c r="D659" s="74" t="s">
        <v>82</v>
      </c>
      <c r="E659" s="88" t="s">
        <v>85</v>
      </c>
      <c r="F659" s="86" t="s">
        <v>279</v>
      </c>
      <c r="G659" s="74" t="s">
        <v>303</v>
      </c>
      <c r="H659" s="87">
        <v>44469</v>
      </c>
      <c r="I659" s="98">
        <v>22</v>
      </c>
      <c r="J659" s="98">
        <v>22</v>
      </c>
      <c r="K659" s="89">
        <f t="shared" si="28"/>
        <v>1</v>
      </c>
      <c r="L659" s="89">
        <v>16484.81</v>
      </c>
      <c r="M659" s="89">
        <v>3097.4</v>
      </c>
      <c r="N659" s="89">
        <v>1592.16</v>
      </c>
      <c r="O659" s="89">
        <f t="shared" si="27"/>
        <v>21174.37</v>
      </c>
    </row>
    <row r="660" spans="1:15">
      <c r="A660" s="74" t="s">
        <v>113</v>
      </c>
      <c r="B660" s="74" t="s">
        <v>304</v>
      </c>
      <c r="C660" s="74" t="s">
        <v>305</v>
      </c>
      <c r="D660" s="74" t="s">
        <v>86</v>
      </c>
      <c r="E660" s="74" t="s">
        <v>90</v>
      </c>
      <c r="F660" s="86" t="s">
        <v>306</v>
      </c>
      <c r="G660" s="74" t="s">
        <v>307</v>
      </c>
      <c r="H660" s="87">
        <v>44469</v>
      </c>
      <c r="I660" s="98">
        <v>22</v>
      </c>
      <c r="J660" s="98">
        <v>22</v>
      </c>
      <c r="K660" s="89">
        <f t="shared" si="28"/>
        <v>1</v>
      </c>
      <c r="L660" s="89">
        <v>16442.97</v>
      </c>
      <c r="M660" s="89">
        <v>3170.36</v>
      </c>
      <c r="N660" s="89">
        <v>2054.01</v>
      </c>
      <c r="O660" s="89">
        <f t="shared" si="27"/>
        <v>21667.34</v>
      </c>
    </row>
    <row r="661" spans="1:15">
      <c r="A661" s="74" t="s">
        <v>113</v>
      </c>
      <c r="B661" s="74" t="s">
        <v>114</v>
      </c>
      <c r="C661" s="74" t="s">
        <v>115</v>
      </c>
      <c r="D661" s="74" t="s">
        <v>79</v>
      </c>
      <c r="E661" s="74" t="s">
        <v>80</v>
      </c>
      <c r="F661" s="86" t="s">
        <v>116</v>
      </c>
      <c r="G661" s="74" t="s">
        <v>117</v>
      </c>
      <c r="H661" s="87">
        <v>43861</v>
      </c>
      <c r="I661" s="98">
        <v>23</v>
      </c>
      <c r="J661" s="98">
        <v>23</v>
      </c>
      <c r="K661" s="89">
        <f t="shared" si="28"/>
        <v>1</v>
      </c>
      <c r="L661" s="89">
        <v>8234.57</v>
      </c>
      <c r="M661" s="89">
        <v>3251.52</v>
      </c>
      <c r="N661" s="89">
        <v>868.86</v>
      </c>
      <c r="O661" s="89">
        <f t="shared" si="27"/>
        <v>12354.95</v>
      </c>
    </row>
    <row r="662" spans="1:15">
      <c r="A662" s="74" t="s">
        <v>113</v>
      </c>
      <c r="B662" s="74" t="s">
        <v>118</v>
      </c>
      <c r="C662" s="74" t="s">
        <v>119</v>
      </c>
      <c r="D662" s="74" t="s">
        <v>79</v>
      </c>
      <c r="E662" s="74" t="s">
        <v>80</v>
      </c>
      <c r="F662" s="86" t="s">
        <v>120</v>
      </c>
      <c r="G662" s="74" t="s">
        <v>117</v>
      </c>
      <c r="H662" s="87">
        <v>43861</v>
      </c>
      <c r="I662" s="98">
        <v>23</v>
      </c>
      <c r="J662" s="98">
        <v>23</v>
      </c>
      <c r="K662" s="89">
        <f t="shared" ref="K662:K725" si="29">I662/J662</f>
        <v>1</v>
      </c>
      <c r="L662" s="89">
        <v>7151.39</v>
      </c>
      <c r="M662" s="89">
        <v>3155.95</v>
      </c>
      <c r="N662" s="89">
        <v>705.85</v>
      </c>
      <c r="O662" s="89">
        <f t="shared" si="27"/>
        <v>11013.19</v>
      </c>
    </row>
    <row r="663" spans="1:15">
      <c r="A663" s="74" t="s">
        <v>113</v>
      </c>
      <c r="B663" s="74" t="s">
        <v>121</v>
      </c>
      <c r="C663" s="74" t="s">
        <v>122</v>
      </c>
      <c r="D663" s="74" t="s">
        <v>79</v>
      </c>
      <c r="E663" s="74" t="s">
        <v>80</v>
      </c>
      <c r="F663" s="86" t="s">
        <v>123</v>
      </c>
      <c r="G663" s="74" t="s">
        <v>117</v>
      </c>
      <c r="H663" s="87">
        <v>43861</v>
      </c>
      <c r="I663" s="98">
        <v>23</v>
      </c>
      <c r="J663" s="98">
        <v>23</v>
      </c>
      <c r="K663" s="89">
        <f t="shared" si="29"/>
        <v>1</v>
      </c>
      <c r="L663" s="89">
        <v>6233.38</v>
      </c>
      <c r="M663" s="89">
        <v>3052.33</v>
      </c>
      <c r="N663" s="89">
        <v>643.1</v>
      </c>
      <c r="O663" s="89">
        <f t="shared" si="27"/>
        <v>9928.81</v>
      </c>
    </row>
    <row r="664" spans="1:15">
      <c r="A664" s="74" t="s">
        <v>113</v>
      </c>
      <c r="B664" s="74" t="s">
        <v>124</v>
      </c>
      <c r="C664" s="74" t="s">
        <v>125</v>
      </c>
      <c r="D664" s="74" t="s">
        <v>79</v>
      </c>
      <c r="E664" s="74" t="s">
        <v>80</v>
      </c>
      <c r="F664" s="86" t="s">
        <v>116</v>
      </c>
      <c r="G664" s="74" t="s">
        <v>117</v>
      </c>
      <c r="H664" s="87">
        <v>43861</v>
      </c>
      <c r="I664" s="98">
        <v>23</v>
      </c>
      <c r="J664" s="98">
        <v>23</v>
      </c>
      <c r="K664" s="89">
        <f t="shared" si="29"/>
        <v>1</v>
      </c>
      <c r="L664" s="89">
        <v>8227.78</v>
      </c>
      <c r="M664" s="89">
        <v>3056.73</v>
      </c>
      <c r="N664" s="89">
        <v>840.75</v>
      </c>
      <c r="O664" s="89">
        <f t="shared" si="27"/>
        <v>12125.26</v>
      </c>
    </row>
    <row r="665" spans="1:15">
      <c r="A665" s="74" t="s">
        <v>113</v>
      </c>
      <c r="B665" s="74" t="s">
        <v>126</v>
      </c>
      <c r="C665" s="74" t="s">
        <v>127</v>
      </c>
      <c r="D665" s="74" t="s">
        <v>79</v>
      </c>
      <c r="E665" s="74" t="s">
        <v>80</v>
      </c>
      <c r="F665" s="86" t="s">
        <v>120</v>
      </c>
      <c r="G665" s="74" t="s">
        <v>117</v>
      </c>
      <c r="H665" s="87">
        <v>43861</v>
      </c>
      <c r="I665" s="98">
        <v>23</v>
      </c>
      <c r="J665" s="98">
        <v>23</v>
      </c>
      <c r="K665" s="89">
        <f t="shared" si="29"/>
        <v>1</v>
      </c>
      <c r="L665" s="89">
        <v>7401.98</v>
      </c>
      <c r="M665" s="89">
        <v>3089.48</v>
      </c>
      <c r="N665" s="89">
        <v>750.95</v>
      </c>
      <c r="O665" s="89">
        <f t="shared" si="27"/>
        <v>11242.41</v>
      </c>
    </row>
    <row r="666" spans="1:15">
      <c r="A666" s="74" t="s">
        <v>113</v>
      </c>
      <c r="B666" s="74" t="s">
        <v>128</v>
      </c>
      <c r="C666" s="74" t="s">
        <v>129</v>
      </c>
      <c r="D666" s="74" t="s">
        <v>79</v>
      </c>
      <c r="E666" s="74" t="s">
        <v>80</v>
      </c>
      <c r="F666" s="86" t="s">
        <v>123</v>
      </c>
      <c r="G666" s="74" t="s">
        <v>117</v>
      </c>
      <c r="H666" s="87">
        <v>43861</v>
      </c>
      <c r="I666" s="98">
        <v>23</v>
      </c>
      <c r="J666" s="98">
        <v>23</v>
      </c>
      <c r="K666" s="89">
        <f t="shared" si="29"/>
        <v>1</v>
      </c>
      <c r="L666" s="89">
        <v>6204.53</v>
      </c>
      <c r="M666" s="89">
        <v>3071.56</v>
      </c>
      <c r="N666" s="89">
        <v>650.88</v>
      </c>
      <c r="O666" s="89">
        <f t="shared" si="27"/>
        <v>9926.97</v>
      </c>
    </row>
    <row r="667" spans="1:15">
      <c r="A667" s="74" t="s">
        <v>113</v>
      </c>
      <c r="B667" s="74" t="s">
        <v>130</v>
      </c>
      <c r="C667" s="74" t="s">
        <v>131</v>
      </c>
      <c r="D667" s="74" t="s">
        <v>79</v>
      </c>
      <c r="E667" s="74" t="s">
        <v>80</v>
      </c>
      <c r="F667" s="86" t="s">
        <v>116</v>
      </c>
      <c r="G667" s="74" t="s">
        <v>117</v>
      </c>
      <c r="H667" s="87">
        <v>43861</v>
      </c>
      <c r="I667" s="98">
        <v>23</v>
      </c>
      <c r="J667" s="98">
        <v>23</v>
      </c>
      <c r="K667" s="89">
        <f t="shared" si="29"/>
        <v>1</v>
      </c>
      <c r="L667" s="89">
        <v>8623.54</v>
      </c>
      <c r="M667" s="89">
        <v>3143.48</v>
      </c>
      <c r="N667" s="89">
        <v>832.65</v>
      </c>
      <c r="O667" s="89">
        <f t="shared" si="27"/>
        <v>12599.67</v>
      </c>
    </row>
    <row r="668" spans="1:15">
      <c r="A668" s="74" t="s">
        <v>113</v>
      </c>
      <c r="B668" s="74" t="s">
        <v>132</v>
      </c>
      <c r="C668" s="74" t="s">
        <v>133</v>
      </c>
      <c r="D668" s="74" t="s">
        <v>79</v>
      </c>
      <c r="E668" s="74" t="s">
        <v>80</v>
      </c>
      <c r="F668" s="86" t="s">
        <v>120</v>
      </c>
      <c r="G668" s="74" t="s">
        <v>117</v>
      </c>
      <c r="H668" s="87">
        <v>43861</v>
      </c>
      <c r="I668" s="98">
        <v>23</v>
      </c>
      <c r="J668" s="98">
        <v>23</v>
      </c>
      <c r="K668" s="89">
        <f t="shared" si="29"/>
        <v>1</v>
      </c>
      <c r="L668" s="89">
        <v>7613.23</v>
      </c>
      <c r="M668" s="89">
        <v>3163.87</v>
      </c>
      <c r="N668" s="89">
        <v>755.98</v>
      </c>
      <c r="O668" s="89">
        <f t="shared" si="27"/>
        <v>11533.08</v>
      </c>
    </row>
    <row r="669" spans="1:15">
      <c r="A669" s="74" t="s">
        <v>113</v>
      </c>
      <c r="B669" s="74" t="s">
        <v>134</v>
      </c>
      <c r="C669" s="74" t="s">
        <v>135</v>
      </c>
      <c r="D669" s="74" t="s">
        <v>79</v>
      </c>
      <c r="E669" s="74" t="s">
        <v>80</v>
      </c>
      <c r="F669" s="86" t="s">
        <v>123</v>
      </c>
      <c r="G669" s="74" t="s">
        <v>117</v>
      </c>
      <c r="H669" s="87">
        <v>43861</v>
      </c>
      <c r="I669" s="98">
        <v>23</v>
      </c>
      <c r="J669" s="98">
        <v>23</v>
      </c>
      <c r="K669" s="89">
        <f t="shared" si="29"/>
        <v>1</v>
      </c>
      <c r="L669" s="89">
        <v>6597.29</v>
      </c>
      <c r="M669" s="89">
        <v>3053.7</v>
      </c>
      <c r="N669" s="89">
        <v>605.92</v>
      </c>
      <c r="O669" s="89">
        <f t="shared" si="27"/>
        <v>10256.91</v>
      </c>
    </row>
    <row r="670" spans="1:15">
      <c r="A670" s="74" t="s">
        <v>113</v>
      </c>
      <c r="B670" s="74" t="s">
        <v>136</v>
      </c>
      <c r="C670" s="74" t="s">
        <v>137</v>
      </c>
      <c r="D670" s="74" t="s">
        <v>79</v>
      </c>
      <c r="E670" s="74" t="s">
        <v>80</v>
      </c>
      <c r="F670" s="86" t="s">
        <v>116</v>
      </c>
      <c r="G670" s="74" t="s">
        <v>138</v>
      </c>
      <c r="H670" s="87">
        <v>43861</v>
      </c>
      <c r="I670" s="98">
        <v>23</v>
      </c>
      <c r="J670" s="98">
        <v>23</v>
      </c>
      <c r="K670" s="89">
        <f t="shared" si="29"/>
        <v>1</v>
      </c>
      <c r="L670" s="89">
        <v>8040.83</v>
      </c>
      <c r="M670" s="89">
        <v>3149.01</v>
      </c>
      <c r="N670" s="89">
        <v>853.62</v>
      </c>
      <c r="O670" s="89">
        <f t="shared" si="27"/>
        <v>12043.46</v>
      </c>
    </row>
    <row r="671" spans="1:15">
      <c r="A671" s="74" t="s">
        <v>113</v>
      </c>
      <c r="B671" s="74" t="s">
        <v>139</v>
      </c>
      <c r="C671" s="74" t="s">
        <v>140</v>
      </c>
      <c r="D671" s="74" t="s">
        <v>79</v>
      </c>
      <c r="E671" s="74" t="s">
        <v>80</v>
      </c>
      <c r="F671" s="86" t="s">
        <v>120</v>
      </c>
      <c r="G671" s="74" t="s">
        <v>138</v>
      </c>
      <c r="H671" s="87">
        <v>43861</v>
      </c>
      <c r="I671" s="98">
        <v>23</v>
      </c>
      <c r="J671" s="98">
        <v>23</v>
      </c>
      <c r="K671" s="89">
        <f t="shared" si="29"/>
        <v>1</v>
      </c>
      <c r="L671" s="89">
        <v>7698.18</v>
      </c>
      <c r="M671" s="89">
        <v>3213.48</v>
      </c>
      <c r="N671" s="89">
        <v>709.2</v>
      </c>
      <c r="O671" s="89">
        <f t="shared" si="27"/>
        <v>11620.86</v>
      </c>
    </row>
    <row r="672" spans="1:15">
      <c r="A672" s="74" t="s">
        <v>113</v>
      </c>
      <c r="B672" s="74" t="s">
        <v>141</v>
      </c>
      <c r="C672" s="74" t="s">
        <v>142</v>
      </c>
      <c r="D672" s="74" t="s">
        <v>79</v>
      </c>
      <c r="E672" s="74" t="s">
        <v>80</v>
      </c>
      <c r="F672" s="86" t="s">
        <v>123</v>
      </c>
      <c r="G672" s="74" t="s">
        <v>138</v>
      </c>
      <c r="H672" s="87">
        <v>43861</v>
      </c>
      <c r="I672" s="98">
        <v>23</v>
      </c>
      <c r="J672" s="98">
        <v>23</v>
      </c>
      <c r="K672" s="89">
        <f t="shared" si="29"/>
        <v>1</v>
      </c>
      <c r="L672" s="89">
        <v>6569.47</v>
      </c>
      <c r="M672" s="89">
        <v>3134.02</v>
      </c>
      <c r="N672" s="89">
        <v>659.12</v>
      </c>
      <c r="O672" s="89">
        <f t="shared" si="27"/>
        <v>10362.61</v>
      </c>
    </row>
    <row r="673" spans="1:15">
      <c r="A673" s="74" t="s">
        <v>113</v>
      </c>
      <c r="B673" s="74" t="s">
        <v>143</v>
      </c>
      <c r="C673" s="74" t="s">
        <v>144</v>
      </c>
      <c r="D673" s="74" t="s">
        <v>79</v>
      </c>
      <c r="E673" s="74" t="s">
        <v>80</v>
      </c>
      <c r="F673" s="86" t="s">
        <v>145</v>
      </c>
      <c r="G673" s="74" t="s">
        <v>146</v>
      </c>
      <c r="H673" s="87">
        <v>43861</v>
      </c>
      <c r="I673" s="98">
        <v>23</v>
      </c>
      <c r="J673" s="98">
        <v>23</v>
      </c>
      <c r="K673" s="89">
        <f t="shared" si="29"/>
        <v>1</v>
      </c>
      <c r="L673" s="89">
        <v>19006.93</v>
      </c>
      <c r="M673" s="89">
        <v>3247.25</v>
      </c>
      <c r="N673" s="89">
        <v>2059.29</v>
      </c>
      <c r="O673" s="89">
        <f t="shared" si="27"/>
        <v>24313.47</v>
      </c>
    </row>
    <row r="674" spans="1:15">
      <c r="A674" s="74" t="s">
        <v>113</v>
      </c>
      <c r="B674" s="74" t="s">
        <v>147</v>
      </c>
      <c r="C674" s="74" t="s">
        <v>148</v>
      </c>
      <c r="D674" s="74" t="s">
        <v>79</v>
      </c>
      <c r="E674" s="74" t="s">
        <v>80</v>
      </c>
      <c r="F674" s="86" t="s">
        <v>149</v>
      </c>
      <c r="G674" s="74" t="s">
        <v>150</v>
      </c>
      <c r="H674" s="87">
        <v>43861</v>
      </c>
      <c r="I674" s="98">
        <v>23</v>
      </c>
      <c r="J674" s="98">
        <v>23</v>
      </c>
      <c r="K674" s="89">
        <f t="shared" si="29"/>
        <v>1</v>
      </c>
      <c r="L674" s="89">
        <v>17536.19</v>
      </c>
      <c r="M674" s="89">
        <v>3214.27</v>
      </c>
      <c r="N674" s="89">
        <v>1806.85</v>
      </c>
      <c r="O674" s="89">
        <f t="shared" si="27"/>
        <v>22557.31</v>
      </c>
    </row>
    <row r="675" spans="1:15">
      <c r="A675" s="74" t="s">
        <v>113</v>
      </c>
      <c r="B675" s="74" t="s">
        <v>151</v>
      </c>
      <c r="C675" s="74" t="s">
        <v>152</v>
      </c>
      <c r="D675" s="74" t="s">
        <v>79</v>
      </c>
      <c r="E675" s="74" t="s">
        <v>81</v>
      </c>
      <c r="F675" s="86" t="s">
        <v>123</v>
      </c>
      <c r="G675" s="74" t="s">
        <v>153</v>
      </c>
      <c r="H675" s="87">
        <v>43861</v>
      </c>
      <c r="I675" s="98">
        <v>23</v>
      </c>
      <c r="J675" s="98">
        <v>23</v>
      </c>
      <c r="K675" s="89">
        <f t="shared" si="29"/>
        <v>1</v>
      </c>
      <c r="L675" s="89">
        <v>6204.31</v>
      </c>
      <c r="M675" s="89">
        <v>3083.91</v>
      </c>
      <c r="N675" s="89">
        <v>643.88</v>
      </c>
      <c r="O675" s="89">
        <f t="shared" si="27"/>
        <v>9932.1</v>
      </c>
    </row>
    <row r="676" spans="1:15">
      <c r="A676" s="74" t="s">
        <v>113</v>
      </c>
      <c r="B676" s="74" t="s">
        <v>154</v>
      </c>
      <c r="C676" s="74" t="s">
        <v>155</v>
      </c>
      <c r="D676" s="74" t="s">
        <v>79</v>
      </c>
      <c r="E676" s="74" t="s">
        <v>81</v>
      </c>
      <c r="F676" s="86" t="s">
        <v>156</v>
      </c>
      <c r="G676" s="74" t="s">
        <v>157</v>
      </c>
      <c r="H676" s="87">
        <v>43861</v>
      </c>
      <c r="I676" s="98">
        <v>23</v>
      </c>
      <c r="J676" s="98">
        <v>23</v>
      </c>
      <c r="K676" s="89">
        <f t="shared" si="29"/>
        <v>1</v>
      </c>
      <c r="L676" s="89">
        <v>5169.15</v>
      </c>
      <c r="M676" s="89">
        <v>3274.62</v>
      </c>
      <c r="N676" s="89">
        <v>500.88</v>
      </c>
      <c r="O676" s="89">
        <f t="shared" si="27"/>
        <v>8944.65</v>
      </c>
    </row>
    <row r="677" spans="1:15">
      <c r="A677" s="74" t="s">
        <v>113</v>
      </c>
      <c r="B677" s="74" t="s">
        <v>158</v>
      </c>
      <c r="C677" s="74" t="s">
        <v>159</v>
      </c>
      <c r="D677" s="74" t="s">
        <v>79</v>
      </c>
      <c r="E677" s="74" t="s">
        <v>81</v>
      </c>
      <c r="F677" s="86" t="s">
        <v>160</v>
      </c>
      <c r="G677" s="74" t="s">
        <v>161</v>
      </c>
      <c r="H677" s="87">
        <v>43861</v>
      </c>
      <c r="I677" s="98">
        <v>23</v>
      </c>
      <c r="J677" s="98">
        <v>23</v>
      </c>
      <c r="K677" s="89">
        <f t="shared" si="29"/>
        <v>1</v>
      </c>
      <c r="L677" s="89">
        <v>4277.1</v>
      </c>
      <c r="M677" s="89">
        <v>3293.51</v>
      </c>
      <c r="N677" s="89">
        <v>429.03</v>
      </c>
      <c r="O677" s="89">
        <f t="shared" si="27"/>
        <v>7999.64</v>
      </c>
    </row>
    <row r="678" spans="1:15">
      <c r="A678" s="74" t="s">
        <v>113</v>
      </c>
      <c r="B678" s="74" t="s">
        <v>162</v>
      </c>
      <c r="C678" s="74" t="s">
        <v>163</v>
      </c>
      <c r="D678" s="74" t="s">
        <v>79</v>
      </c>
      <c r="E678" s="74" t="s">
        <v>81</v>
      </c>
      <c r="F678" s="86" t="s">
        <v>123</v>
      </c>
      <c r="G678" s="74" t="s">
        <v>153</v>
      </c>
      <c r="H678" s="87">
        <v>43861</v>
      </c>
      <c r="I678" s="98">
        <v>23</v>
      </c>
      <c r="J678" s="98">
        <v>23</v>
      </c>
      <c r="K678" s="89">
        <f t="shared" si="29"/>
        <v>1</v>
      </c>
      <c r="L678" s="89">
        <v>6594.62</v>
      </c>
      <c r="M678" s="89">
        <v>3124.91</v>
      </c>
      <c r="N678" s="89">
        <v>621.12</v>
      </c>
      <c r="O678" s="89">
        <f t="shared" si="27"/>
        <v>10340.65</v>
      </c>
    </row>
    <row r="679" spans="1:15">
      <c r="A679" s="74" t="s">
        <v>113</v>
      </c>
      <c r="B679" s="74" t="s">
        <v>164</v>
      </c>
      <c r="C679" s="74" t="s">
        <v>165</v>
      </c>
      <c r="D679" s="74" t="s">
        <v>79</v>
      </c>
      <c r="E679" s="74" t="s">
        <v>81</v>
      </c>
      <c r="F679" s="86" t="s">
        <v>156</v>
      </c>
      <c r="G679" s="74" t="s">
        <v>157</v>
      </c>
      <c r="H679" s="87">
        <v>43861</v>
      </c>
      <c r="I679" s="98">
        <v>23</v>
      </c>
      <c r="J679" s="98">
        <v>23</v>
      </c>
      <c r="K679" s="89">
        <f t="shared" si="29"/>
        <v>1</v>
      </c>
      <c r="L679" s="89">
        <v>5205.03</v>
      </c>
      <c r="M679" s="89">
        <v>3191.13</v>
      </c>
      <c r="N679" s="89">
        <v>502.95</v>
      </c>
      <c r="O679" s="89">
        <f t="shared" si="27"/>
        <v>8899.11</v>
      </c>
    </row>
    <row r="680" spans="1:15">
      <c r="A680" s="74" t="s">
        <v>113</v>
      </c>
      <c r="B680" s="74" t="s">
        <v>166</v>
      </c>
      <c r="C680" s="74" t="s">
        <v>167</v>
      </c>
      <c r="D680" s="74" t="s">
        <v>79</v>
      </c>
      <c r="E680" s="74" t="s">
        <v>81</v>
      </c>
      <c r="F680" s="86" t="s">
        <v>160</v>
      </c>
      <c r="G680" s="74" t="s">
        <v>161</v>
      </c>
      <c r="H680" s="87">
        <v>43861</v>
      </c>
      <c r="I680" s="98">
        <v>23</v>
      </c>
      <c r="J680" s="98">
        <v>23</v>
      </c>
      <c r="K680" s="89">
        <f t="shared" si="29"/>
        <v>1</v>
      </c>
      <c r="L680" s="89">
        <v>4358.68</v>
      </c>
      <c r="M680" s="89">
        <v>3200.8</v>
      </c>
      <c r="N680" s="89">
        <v>430.37</v>
      </c>
      <c r="O680" s="89">
        <f t="shared" si="27"/>
        <v>7989.85</v>
      </c>
    </row>
    <row r="681" spans="1:15">
      <c r="A681" s="74" t="s">
        <v>113</v>
      </c>
      <c r="B681" s="74" t="s">
        <v>168</v>
      </c>
      <c r="C681" s="74" t="s">
        <v>169</v>
      </c>
      <c r="D681" s="74" t="s">
        <v>79</v>
      </c>
      <c r="E681" s="74" t="s">
        <v>81</v>
      </c>
      <c r="F681" s="86" t="s">
        <v>123</v>
      </c>
      <c r="G681" s="74" t="s">
        <v>153</v>
      </c>
      <c r="H681" s="87">
        <v>43861</v>
      </c>
      <c r="I681" s="98">
        <v>23</v>
      </c>
      <c r="J681" s="98">
        <v>23</v>
      </c>
      <c r="K681" s="89">
        <f t="shared" si="29"/>
        <v>1</v>
      </c>
      <c r="L681" s="89">
        <v>6386.6</v>
      </c>
      <c r="M681" s="89">
        <v>3065.22</v>
      </c>
      <c r="N681" s="89">
        <v>646.06</v>
      </c>
      <c r="O681" s="89">
        <f t="shared" si="27"/>
        <v>10097.88</v>
      </c>
    </row>
    <row r="682" spans="1:15">
      <c r="A682" s="74" t="s">
        <v>113</v>
      </c>
      <c r="B682" s="74" t="s">
        <v>170</v>
      </c>
      <c r="C682" s="74" t="s">
        <v>171</v>
      </c>
      <c r="D682" s="74" t="s">
        <v>79</v>
      </c>
      <c r="E682" s="74" t="s">
        <v>81</v>
      </c>
      <c r="F682" s="86" t="s">
        <v>156</v>
      </c>
      <c r="G682" s="74" t="s">
        <v>157</v>
      </c>
      <c r="H682" s="87">
        <v>43861</v>
      </c>
      <c r="I682" s="98">
        <v>23</v>
      </c>
      <c r="J682" s="98">
        <v>23</v>
      </c>
      <c r="K682" s="89">
        <f t="shared" si="29"/>
        <v>1</v>
      </c>
      <c r="L682" s="89">
        <v>5317.79</v>
      </c>
      <c r="M682" s="89">
        <v>3176.61</v>
      </c>
      <c r="N682" s="89">
        <v>512.12</v>
      </c>
      <c r="O682" s="89">
        <f t="shared" si="27"/>
        <v>9006.52</v>
      </c>
    </row>
    <row r="683" spans="1:15">
      <c r="A683" s="74" t="s">
        <v>113</v>
      </c>
      <c r="B683" s="74" t="s">
        <v>172</v>
      </c>
      <c r="C683" s="74" t="s">
        <v>173</v>
      </c>
      <c r="D683" s="74" t="s">
        <v>79</v>
      </c>
      <c r="E683" s="74" t="s">
        <v>81</v>
      </c>
      <c r="F683" s="86" t="s">
        <v>160</v>
      </c>
      <c r="G683" s="74" t="s">
        <v>161</v>
      </c>
      <c r="H683" s="87">
        <v>43861</v>
      </c>
      <c r="I683" s="98">
        <v>23</v>
      </c>
      <c r="J683" s="98">
        <v>23</v>
      </c>
      <c r="K683" s="89">
        <f t="shared" si="29"/>
        <v>1</v>
      </c>
      <c r="L683" s="89">
        <v>4245.47</v>
      </c>
      <c r="M683" s="89">
        <v>3242.96</v>
      </c>
      <c r="N683" s="89">
        <v>410.47</v>
      </c>
      <c r="O683" s="89">
        <f t="shared" si="27"/>
        <v>7898.9</v>
      </c>
    </row>
    <row r="684" spans="1:15">
      <c r="A684" s="74" t="s">
        <v>113</v>
      </c>
      <c r="B684" s="74" t="s">
        <v>174</v>
      </c>
      <c r="C684" s="74" t="s">
        <v>175</v>
      </c>
      <c r="D684" s="74" t="s">
        <v>79</v>
      </c>
      <c r="E684" s="74" t="s">
        <v>81</v>
      </c>
      <c r="F684" s="86" t="s">
        <v>176</v>
      </c>
      <c r="G684" s="74" t="s">
        <v>177</v>
      </c>
      <c r="H684" s="87">
        <v>43861</v>
      </c>
      <c r="I684" s="98">
        <v>23</v>
      </c>
      <c r="J684" s="98">
        <v>23</v>
      </c>
      <c r="K684" s="89">
        <f t="shared" si="29"/>
        <v>1</v>
      </c>
      <c r="L684" s="89">
        <v>3207.73</v>
      </c>
      <c r="M684" s="89">
        <v>3056.11</v>
      </c>
      <c r="N684" s="89">
        <v>308.43</v>
      </c>
      <c r="O684" s="89">
        <f t="shared" si="27"/>
        <v>6572.27</v>
      </c>
    </row>
    <row r="685" spans="1:15">
      <c r="A685" s="74" t="s">
        <v>113</v>
      </c>
      <c r="B685" s="74" t="s">
        <v>178</v>
      </c>
      <c r="C685" s="74" t="s">
        <v>179</v>
      </c>
      <c r="D685" s="74" t="s">
        <v>79</v>
      </c>
      <c r="E685" s="74" t="s">
        <v>81</v>
      </c>
      <c r="F685" s="86" t="s">
        <v>180</v>
      </c>
      <c r="G685" s="74" t="s">
        <v>177</v>
      </c>
      <c r="H685" s="87">
        <v>43861</v>
      </c>
      <c r="I685" s="98">
        <v>23</v>
      </c>
      <c r="J685" s="98">
        <v>23</v>
      </c>
      <c r="K685" s="89">
        <f t="shared" si="29"/>
        <v>1</v>
      </c>
      <c r="L685" s="89">
        <v>2181.44</v>
      </c>
      <c r="M685" s="89">
        <v>3032.17</v>
      </c>
      <c r="N685" s="89">
        <v>219.04</v>
      </c>
      <c r="O685" s="89">
        <f t="shared" si="27"/>
        <v>5432.65</v>
      </c>
    </row>
    <row r="686" spans="1:15">
      <c r="A686" s="74" t="s">
        <v>113</v>
      </c>
      <c r="B686" s="74" t="s">
        <v>181</v>
      </c>
      <c r="C686" s="74" t="s">
        <v>182</v>
      </c>
      <c r="D686" s="74" t="s">
        <v>79</v>
      </c>
      <c r="E686" s="74" t="s">
        <v>81</v>
      </c>
      <c r="F686" s="86" t="s">
        <v>183</v>
      </c>
      <c r="G686" s="74" t="s">
        <v>177</v>
      </c>
      <c r="H686" s="87">
        <v>43861</v>
      </c>
      <c r="I686" s="98">
        <v>23</v>
      </c>
      <c r="J686" s="98">
        <v>23</v>
      </c>
      <c r="K686" s="89">
        <f t="shared" si="29"/>
        <v>1</v>
      </c>
      <c r="L686" s="89">
        <v>1024.18</v>
      </c>
      <c r="M686" s="89">
        <v>3032.35</v>
      </c>
      <c r="N686" s="89">
        <v>102.09</v>
      </c>
      <c r="O686" s="89">
        <f t="shared" si="27"/>
        <v>4158.62</v>
      </c>
    </row>
    <row r="687" spans="1:15">
      <c r="A687" s="74" t="s">
        <v>113</v>
      </c>
      <c r="B687" s="74" t="s">
        <v>184</v>
      </c>
      <c r="C687" s="74" t="s">
        <v>185</v>
      </c>
      <c r="D687" s="74" t="s">
        <v>79</v>
      </c>
      <c r="E687" s="74" t="s">
        <v>81</v>
      </c>
      <c r="F687" s="86" t="s">
        <v>176</v>
      </c>
      <c r="G687" s="74" t="s">
        <v>177</v>
      </c>
      <c r="H687" s="87">
        <v>43861</v>
      </c>
      <c r="I687" s="98">
        <v>23</v>
      </c>
      <c r="J687" s="98">
        <v>23</v>
      </c>
      <c r="K687" s="89">
        <f t="shared" si="29"/>
        <v>1</v>
      </c>
      <c r="L687" s="89">
        <v>3138.56</v>
      </c>
      <c r="M687" s="89">
        <v>3267.89</v>
      </c>
      <c r="N687" s="89">
        <v>325.95</v>
      </c>
      <c r="O687" s="89">
        <f t="shared" si="27"/>
        <v>6732.4</v>
      </c>
    </row>
    <row r="688" spans="1:15">
      <c r="A688" s="74" t="s">
        <v>113</v>
      </c>
      <c r="B688" s="74" t="s">
        <v>186</v>
      </c>
      <c r="C688" s="74" t="s">
        <v>187</v>
      </c>
      <c r="D688" s="74" t="s">
        <v>79</v>
      </c>
      <c r="E688" s="74" t="s">
        <v>81</v>
      </c>
      <c r="F688" s="86" t="s">
        <v>180</v>
      </c>
      <c r="G688" s="74" t="s">
        <v>177</v>
      </c>
      <c r="H688" s="87">
        <v>43861</v>
      </c>
      <c r="I688" s="98">
        <v>23</v>
      </c>
      <c r="J688" s="98">
        <v>23</v>
      </c>
      <c r="K688" s="89">
        <f t="shared" si="29"/>
        <v>1</v>
      </c>
      <c r="L688" s="89">
        <v>2051.46</v>
      </c>
      <c r="M688" s="89">
        <v>3020.65</v>
      </c>
      <c r="N688" s="89">
        <v>211.14</v>
      </c>
      <c r="O688" s="89">
        <f t="shared" si="27"/>
        <v>5283.25</v>
      </c>
    </row>
    <row r="689" spans="1:15">
      <c r="A689" s="74" t="s">
        <v>113</v>
      </c>
      <c r="B689" s="74" t="s">
        <v>188</v>
      </c>
      <c r="C689" s="74" t="s">
        <v>189</v>
      </c>
      <c r="D689" s="74" t="s">
        <v>79</v>
      </c>
      <c r="E689" s="74" t="s">
        <v>81</v>
      </c>
      <c r="F689" s="86" t="s">
        <v>183</v>
      </c>
      <c r="G689" s="74" t="s">
        <v>177</v>
      </c>
      <c r="H689" s="87">
        <v>43861</v>
      </c>
      <c r="I689" s="98">
        <v>23</v>
      </c>
      <c r="J689" s="98">
        <v>23</v>
      </c>
      <c r="K689" s="89">
        <f t="shared" si="29"/>
        <v>1</v>
      </c>
      <c r="L689" s="89">
        <v>1071.85</v>
      </c>
      <c r="M689" s="89">
        <v>3096.47</v>
      </c>
      <c r="N689" s="89">
        <v>105.12</v>
      </c>
      <c r="O689" s="89">
        <f t="shared" si="27"/>
        <v>4273.44</v>
      </c>
    </row>
    <row r="690" spans="1:15">
      <c r="A690" s="74" t="s">
        <v>113</v>
      </c>
      <c r="B690" s="74" t="s">
        <v>190</v>
      </c>
      <c r="C690" s="74" t="s">
        <v>191</v>
      </c>
      <c r="D690" s="74" t="s">
        <v>79</v>
      </c>
      <c r="E690" s="74" t="s">
        <v>81</v>
      </c>
      <c r="F690" s="86" t="s">
        <v>176</v>
      </c>
      <c r="G690" s="74" t="s">
        <v>177</v>
      </c>
      <c r="H690" s="87">
        <v>43861</v>
      </c>
      <c r="I690" s="98">
        <v>23</v>
      </c>
      <c r="J690" s="98">
        <v>23</v>
      </c>
      <c r="K690" s="89">
        <f t="shared" si="29"/>
        <v>1</v>
      </c>
      <c r="L690" s="89">
        <v>3108.35</v>
      </c>
      <c r="M690" s="89">
        <v>3051.04</v>
      </c>
      <c r="N690" s="89">
        <v>315.3</v>
      </c>
      <c r="O690" s="89">
        <f t="shared" si="27"/>
        <v>6474.69</v>
      </c>
    </row>
    <row r="691" spans="1:15">
      <c r="A691" s="74" t="s">
        <v>113</v>
      </c>
      <c r="B691" s="74" t="s">
        <v>192</v>
      </c>
      <c r="C691" s="74" t="s">
        <v>193</v>
      </c>
      <c r="D691" s="74" t="s">
        <v>79</v>
      </c>
      <c r="E691" s="74" t="s">
        <v>81</v>
      </c>
      <c r="F691" s="86" t="s">
        <v>180</v>
      </c>
      <c r="G691" s="74" t="s">
        <v>177</v>
      </c>
      <c r="H691" s="87">
        <v>43861</v>
      </c>
      <c r="I691" s="98">
        <v>23</v>
      </c>
      <c r="J691" s="98">
        <v>23</v>
      </c>
      <c r="K691" s="89">
        <f t="shared" si="29"/>
        <v>1</v>
      </c>
      <c r="L691" s="89">
        <v>2097.58</v>
      </c>
      <c r="M691" s="89">
        <v>3182.82</v>
      </c>
      <c r="N691" s="89">
        <v>219.09</v>
      </c>
      <c r="O691" s="89">
        <f t="shared" si="27"/>
        <v>5499.49</v>
      </c>
    </row>
    <row r="692" spans="1:15">
      <c r="A692" s="74" t="s">
        <v>113</v>
      </c>
      <c r="B692" s="74" t="s">
        <v>194</v>
      </c>
      <c r="C692" s="74" t="s">
        <v>195</v>
      </c>
      <c r="D692" s="74" t="s">
        <v>79</v>
      </c>
      <c r="E692" s="74" t="s">
        <v>81</v>
      </c>
      <c r="F692" s="86" t="s">
        <v>183</v>
      </c>
      <c r="G692" s="74" t="s">
        <v>177</v>
      </c>
      <c r="H692" s="87">
        <v>43861</v>
      </c>
      <c r="I692" s="98">
        <v>23</v>
      </c>
      <c r="J692" s="98">
        <v>23</v>
      </c>
      <c r="K692" s="89">
        <f t="shared" si="29"/>
        <v>1</v>
      </c>
      <c r="L692" s="89">
        <v>1012.74</v>
      </c>
      <c r="M692" s="89">
        <v>3136.53</v>
      </c>
      <c r="N692" s="89">
        <v>102.42</v>
      </c>
      <c r="O692" s="89">
        <f t="shared" si="27"/>
        <v>4251.69</v>
      </c>
    </row>
    <row r="693" spans="1:15">
      <c r="A693" s="74" t="s">
        <v>113</v>
      </c>
      <c r="B693" s="74" t="s">
        <v>196</v>
      </c>
      <c r="C693" s="74" t="s">
        <v>197</v>
      </c>
      <c r="D693" s="74" t="s">
        <v>79</v>
      </c>
      <c r="E693" s="74" t="s">
        <v>81</v>
      </c>
      <c r="F693" s="86" t="s">
        <v>176</v>
      </c>
      <c r="G693" s="74" t="s">
        <v>177</v>
      </c>
      <c r="H693" s="87">
        <v>43861</v>
      </c>
      <c r="I693" s="98">
        <v>23</v>
      </c>
      <c r="J693" s="98">
        <v>23</v>
      </c>
      <c r="K693" s="89">
        <f t="shared" si="29"/>
        <v>1</v>
      </c>
      <c r="L693" s="89">
        <v>3112.26</v>
      </c>
      <c r="M693" s="89">
        <v>3102.68</v>
      </c>
      <c r="N693" s="89">
        <v>324.89</v>
      </c>
      <c r="O693" s="89">
        <f t="shared" si="27"/>
        <v>6539.83</v>
      </c>
    </row>
    <row r="694" spans="1:15">
      <c r="A694" s="74" t="s">
        <v>113</v>
      </c>
      <c r="B694" s="74" t="s">
        <v>198</v>
      </c>
      <c r="C694" s="74" t="s">
        <v>199</v>
      </c>
      <c r="D694" s="74" t="s">
        <v>79</v>
      </c>
      <c r="E694" s="74" t="s">
        <v>81</v>
      </c>
      <c r="F694" s="86" t="s">
        <v>180</v>
      </c>
      <c r="G694" s="74" t="s">
        <v>177</v>
      </c>
      <c r="H694" s="87">
        <v>43861</v>
      </c>
      <c r="I694" s="98">
        <v>23</v>
      </c>
      <c r="J694" s="98">
        <v>23</v>
      </c>
      <c r="K694" s="89">
        <f t="shared" si="29"/>
        <v>1</v>
      </c>
      <c r="L694" s="89">
        <v>2113.67</v>
      </c>
      <c r="M694" s="89">
        <v>3059.35</v>
      </c>
      <c r="N694" s="89">
        <v>208.05</v>
      </c>
      <c r="O694" s="89">
        <f t="shared" si="27"/>
        <v>5381.07</v>
      </c>
    </row>
    <row r="695" spans="1:15">
      <c r="A695" s="74" t="s">
        <v>113</v>
      </c>
      <c r="B695" s="74" t="s">
        <v>200</v>
      </c>
      <c r="C695" s="74" t="s">
        <v>201</v>
      </c>
      <c r="D695" s="74" t="s">
        <v>79</v>
      </c>
      <c r="E695" s="74" t="s">
        <v>81</v>
      </c>
      <c r="F695" s="86" t="s">
        <v>183</v>
      </c>
      <c r="G695" s="74" t="s">
        <v>177</v>
      </c>
      <c r="H695" s="87">
        <v>43861</v>
      </c>
      <c r="I695" s="98">
        <v>23</v>
      </c>
      <c r="J695" s="98">
        <v>23</v>
      </c>
      <c r="K695" s="89">
        <f t="shared" si="29"/>
        <v>1</v>
      </c>
      <c r="L695" s="89">
        <v>1010.39</v>
      </c>
      <c r="M695" s="89">
        <v>3200.1</v>
      </c>
      <c r="N695" s="89">
        <v>102.54</v>
      </c>
      <c r="O695" s="89">
        <f t="shared" si="27"/>
        <v>4313.03</v>
      </c>
    </row>
    <row r="696" spans="1:15">
      <c r="A696" s="74" t="s">
        <v>113</v>
      </c>
      <c r="B696" s="74" t="s">
        <v>202</v>
      </c>
      <c r="C696" s="74" t="s">
        <v>203</v>
      </c>
      <c r="D696" s="74" t="s">
        <v>79</v>
      </c>
      <c r="E696" s="74" t="s">
        <v>81</v>
      </c>
      <c r="F696" s="86" t="s">
        <v>204</v>
      </c>
      <c r="G696" s="74" t="s">
        <v>205</v>
      </c>
      <c r="H696" s="87">
        <v>43861</v>
      </c>
      <c r="I696" s="98">
        <v>23</v>
      </c>
      <c r="J696" s="98">
        <v>23</v>
      </c>
      <c r="K696" s="89">
        <f t="shared" si="29"/>
        <v>1</v>
      </c>
      <c r="L696" s="89">
        <v>19134.47</v>
      </c>
      <c r="M696" s="89">
        <v>3249.76</v>
      </c>
      <c r="N696" s="89">
        <v>1933.01</v>
      </c>
      <c r="O696" s="89">
        <f t="shared" si="27"/>
        <v>24317.24</v>
      </c>
    </row>
    <row r="697" spans="1:15">
      <c r="A697" s="74" t="s">
        <v>113</v>
      </c>
      <c r="B697" s="74" t="s">
        <v>206</v>
      </c>
      <c r="C697" s="74" t="s">
        <v>207</v>
      </c>
      <c r="D697" s="88" t="s">
        <v>82</v>
      </c>
      <c r="E697" s="88" t="s">
        <v>84</v>
      </c>
      <c r="F697" s="86" t="s">
        <v>208</v>
      </c>
      <c r="G697" s="74" t="s">
        <v>209</v>
      </c>
      <c r="H697" s="87">
        <v>43861</v>
      </c>
      <c r="I697" s="98">
        <v>23</v>
      </c>
      <c r="J697" s="98">
        <v>23</v>
      </c>
      <c r="K697" s="89">
        <f t="shared" si="29"/>
        <v>1</v>
      </c>
      <c r="L697" s="89">
        <v>9228.87</v>
      </c>
      <c r="M697" s="89">
        <v>3133.13</v>
      </c>
      <c r="N697" s="89">
        <v>916.59</v>
      </c>
      <c r="O697" s="89">
        <f t="shared" si="27"/>
        <v>13278.59</v>
      </c>
    </row>
    <row r="698" spans="1:15">
      <c r="A698" s="74" t="s">
        <v>113</v>
      </c>
      <c r="B698" s="74" t="s">
        <v>210</v>
      </c>
      <c r="C698" s="74" t="s">
        <v>211</v>
      </c>
      <c r="D698" s="88" t="s">
        <v>82</v>
      </c>
      <c r="E698" s="88" t="s">
        <v>84</v>
      </c>
      <c r="F698" s="86" t="s">
        <v>116</v>
      </c>
      <c r="G698" s="74" t="s">
        <v>209</v>
      </c>
      <c r="H698" s="87">
        <v>43861</v>
      </c>
      <c r="I698" s="98">
        <v>23</v>
      </c>
      <c r="J698" s="98">
        <v>23</v>
      </c>
      <c r="K698" s="89">
        <f t="shared" si="29"/>
        <v>1</v>
      </c>
      <c r="L698" s="89">
        <v>8618.08</v>
      </c>
      <c r="M698" s="89">
        <v>3282.34</v>
      </c>
      <c r="N698" s="89">
        <v>828.42</v>
      </c>
      <c r="O698" s="89">
        <f t="shared" si="27"/>
        <v>12728.84</v>
      </c>
    </row>
    <row r="699" spans="1:15">
      <c r="A699" s="74" t="s">
        <v>113</v>
      </c>
      <c r="B699" s="74" t="s">
        <v>212</v>
      </c>
      <c r="C699" s="74" t="s">
        <v>213</v>
      </c>
      <c r="D699" s="88" t="s">
        <v>82</v>
      </c>
      <c r="E699" s="88" t="s">
        <v>84</v>
      </c>
      <c r="F699" s="86" t="s">
        <v>208</v>
      </c>
      <c r="G699" s="74" t="s">
        <v>209</v>
      </c>
      <c r="H699" s="87">
        <v>43861</v>
      </c>
      <c r="I699" s="98">
        <v>23</v>
      </c>
      <c r="J699" s="98">
        <v>23</v>
      </c>
      <c r="K699" s="89">
        <f t="shared" si="29"/>
        <v>1</v>
      </c>
      <c r="L699" s="89">
        <v>9719.96</v>
      </c>
      <c r="M699" s="89">
        <v>3083.86</v>
      </c>
      <c r="N699" s="89">
        <v>950.19</v>
      </c>
      <c r="O699" s="89">
        <f t="shared" si="27"/>
        <v>13754.01</v>
      </c>
    </row>
    <row r="700" spans="1:15">
      <c r="A700" s="74" t="s">
        <v>113</v>
      </c>
      <c r="B700" s="74" t="s">
        <v>214</v>
      </c>
      <c r="C700" s="74" t="s">
        <v>215</v>
      </c>
      <c r="D700" s="88" t="s">
        <v>82</v>
      </c>
      <c r="E700" s="88" t="s">
        <v>84</v>
      </c>
      <c r="F700" s="86" t="s">
        <v>116</v>
      </c>
      <c r="G700" s="74" t="s">
        <v>209</v>
      </c>
      <c r="H700" s="87">
        <v>43861</v>
      </c>
      <c r="I700" s="98">
        <v>23</v>
      </c>
      <c r="J700" s="98">
        <v>23</v>
      </c>
      <c r="K700" s="89">
        <f t="shared" si="29"/>
        <v>1</v>
      </c>
      <c r="L700" s="89">
        <v>8234.91</v>
      </c>
      <c r="M700" s="89">
        <v>3048.81</v>
      </c>
      <c r="N700" s="89">
        <v>844.64</v>
      </c>
      <c r="O700" s="89">
        <f t="shared" si="27"/>
        <v>12128.36</v>
      </c>
    </row>
    <row r="701" spans="1:15">
      <c r="A701" s="74" t="s">
        <v>113</v>
      </c>
      <c r="B701" s="74" t="s">
        <v>216</v>
      </c>
      <c r="C701" s="74" t="s">
        <v>217</v>
      </c>
      <c r="D701" s="88" t="s">
        <v>82</v>
      </c>
      <c r="E701" s="88" t="s">
        <v>84</v>
      </c>
      <c r="F701" s="86" t="s">
        <v>218</v>
      </c>
      <c r="G701" s="74" t="s">
        <v>219</v>
      </c>
      <c r="H701" s="87">
        <v>43861</v>
      </c>
      <c r="I701" s="98">
        <v>23</v>
      </c>
      <c r="J701" s="98">
        <v>23</v>
      </c>
      <c r="K701" s="89">
        <f t="shared" si="29"/>
        <v>1</v>
      </c>
      <c r="L701" s="89">
        <v>11251.99</v>
      </c>
      <c r="M701" s="89">
        <v>3189.48</v>
      </c>
      <c r="N701" s="89">
        <v>1171</v>
      </c>
      <c r="O701" s="89">
        <f t="shared" si="27"/>
        <v>15612.47</v>
      </c>
    </row>
    <row r="702" spans="1:15">
      <c r="A702" s="74" t="s">
        <v>113</v>
      </c>
      <c r="B702" s="74" t="s">
        <v>220</v>
      </c>
      <c r="C702" s="74" t="s">
        <v>221</v>
      </c>
      <c r="D702" s="88" t="s">
        <v>82</v>
      </c>
      <c r="E702" s="74" t="s">
        <v>83</v>
      </c>
      <c r="F702" s="86" t="s">
        <v>218</v>
      </c>
      <c r="G702" s="74" t="s">
        <v>222</v>
      </c>
      <c r="H702" s="87">
        <v>43861</v>
      </c>
      <c r="I702" s="98">
        <v>23</v>
      </c>
      <c r="J702" s="98">
        <v>23</v>
      </c>
      <c r="K702" s="89">
        <f t="shared" si="29"/>
        <v>1</v>
      </c>
      <c r="L702" s="89">
        <v>11199.15</v>
      </c>
      <c r="M702" s="89">
        <v>3170.1</v>
      </c>
      <c r="N702" s="89">
        <v>1112.55</v>
      </c>
      <c r="O702" s="89">
        <f t="shared" si="27"/>
        <v>15481.8</v>
      </c>
    </row>
    <row r="703" spans="1:15">
      <c r="A703" s="74" t="s">
        <v>113</v>
      </c>
      <c r="B703" s="74" t="s">
        <v>223</v>
      </c>
      <c r="C703" s="74" t="s">
        <v>224</v>
      </c>
      <c r="D703" s="88" t="s">
        <v>82</v>
      </c>
      <c r="E703" s="74" t="s">
        <v>83</v>
      </c>
      <c r="F703" s="86" t="s">
        <v>225</v>
      </c>
      <c r="G703" s="74" t="s">
        <v>209</v>
      </c>
      <c r="H703" s="87">
        <v>43861</v>
      </c>
      <c r="I703" s="98">
        <v>23</v>
      </c>
      <c r="J703" s="98">
        <v>23</v>
      </c>
      <c r="K703" s="89">
        <f t="shared" si="29"/>
        <v>1</v>
      </c>
      <c r="L703" s="89">
        <v>10464.64</v>
      </c>
      <c r="M703" s="89">
        <v>3220.52</v>
      </c>
      <c r="N703" s="89">
        <v>1089.35</v>
      </c>
      <c r="O703" s="89">
        <f t="shared" si="27"/>
        <v>14774.51</v>
      </c>
    </row>
    <row r="704" spans="1:15">
      <c r="A704" s="74" t="s">
        <v>113</v>
      </c>
      <c r="B704" s="74" t="s">
        <v>226</v>
      </c>
      <c r="C704" s="74" t="s">
        <v>227</v>
      </c>
      <c r="D704" s="88" t="s">
        <v>82</v>
      </c>
      <c r="E704" s="74" t="s">
        <v>83</v>
      </c>
      <c r="F704" s="86" t="s">
        <v>208</v>
      </c>
      <c r="G704" s="74" t="s">
        <v>209</v>
      </c>
      <c r="H704" s="87">
        <v>43861</v>
      </c>
      <c r="I704" s="98">
        <v>23</v>
      </c>
      <c r="J704" s="98">
        <v>23</v>
      </c>
      <c r="K704" s="89">
        <f t="shared" si="29"/>
        <v>1</v>
      </c>
      <c r="L704" s="89">
        <v>9217.21</v>
      </c>
      <c r="M704" s="89">
        <v>3258.71</v>
      </c>
      <c r="N704" s="89">
        <v>982.06</v>
      </c>
      <c r="O704" s="89">
        <f t="shared" si="27"/>
        <v>13457.98</v>
      </c>
    </row>
    <row r="705" spans="1:15">
      <c r="A705" s="74" t="s">
        <v>113</v>
      </c>
      <c r="B705" s="74" t="s">
        <v>228</v>
      </c>
      <c r="C705" s="74" t="s">
        <v>229</v>
      </c>
      <c r="D705" s="88" t="s">
        <v>82</v>
      </c>
      <c r="E705" s="74" t="s">
        <v>83</v>
      </c>
      <c r="F705" s="86" t="s">
        <v>116</v>
      </c>
      <c r="G705" s="74" t="s">
        <v>209</v>
      </c>
      <c r="H705" s="87">
        <v>43861</v>
      </c>
      <c r="I705" s="98">
        <v>23</v>
      </c>
      <c r="J705" s="98">
        <v>23</v>
      </c>
      <c r="K705" s="89">
        <f t="shared" si="29"/>
        <v>1</v>
      </c>
      <c r="L705" s="89">
        <v>8740.14</v>
      </c>
      <c r="M705" s="89">
        <v>3001.79</v>
      </c>
      <c r="N705" s="89">
        <v>871.92</v>
      </c>
      <c r="O705" s="89">
        <f t="shared" si="27"/>
        <v>12613.85</v>
      </c>
    </row>
    <row r="706" spans="1:15">
      <c r="A706" s="74" t="s">
        <v>113</v>
      </c>
      <c r="B706" s="74" t="s">
        <v>230</v>
      </c>
      <c r="C706" s="74" t="s">
        <v>231</v>
      </c>
      <c r="D706" s="88" t="s">
        <v>82</v>
      </c>
      <c r="E706" s="74" t="s">
        <v>83</v>
      </c>
      <c r="F706" s="86" t="s">
        <v>120</v>
      </c>
      <c r="G706" s="74" t="s">
        <v>209</v>
      </c>
      <c r="H706" s="87">
        <v>43861</v>
      </c>
      <c r="I706" s="98">
        <v>23</v>
      </c>
      <c r="J706" s="98">
        <v>23</v>
      </c>
      <c r="K706" s="89">
        <f t="shared" si="29"/>
        <v>1</v>
      </c>
      <c r="L706" s="89">
        <v>7272.98</v>
      </c>
      <c r="M706" s="89">
        <v>3179.65</v>
      </c>
      <c r="N706" s="89">
        <v>769.25</v>
      </c>
      <c r="O706" s="89">
        <f t="shared" si="27"/>
        <v>11221.88</v>
      </c>
    </row>
    <row r="707" spans="1:15">
      <c r="A707" s="74" t="s">
        <v>113</v>
      </c>
      <c r="B707" s="74" t="s">
        <v>232</v>
      </c>
      <c r="C707" s="74" t="s">
        <v>233</v>
      </c>
      <c r="D707" s="88" t="s">
        <v>82</v>
      </c>
      <c r="E707" s="74" t="s">
        <v>83</v>
      </c>
      <c r="F707" s="86" t="s">
        <v>123</v>
      </c>
      <c r="G707" s="74" t="s">
        <v>209</v>
      </c>
      <c r="H707" s="87">
        <v>43861</v>
      </c>
      <c r="I707" s="98">
        <v>23</v>
      </c>
      <c r="J707" s="98">
        <v>23</v>
      </c>
      <c r="K707" s="89">
        <f t="shared" si="29"/>
        <v>1</v>
      </c>
      <c r="L707" s="89">
        <v>6380.85</v>
      </c>
      <c r="M707" s="89">
        <v>3005.59</v>
      </c>
      <c r="N707" s="89">
        <v>640.79</v>
      </c>
      <c r="O707" s="89">
        <f t="shared" si="27"/>
        <v>10027.23</v>
      </c>
    </row>
    <row r="708" spans="1:15">
      <c r="A708" s="74" t="s">
        <v>113</v>
      </c>
      <c r="B708" s="74" t="s">
        <v>234</v>
      </c>
      <c r="C708" s="74" t="s">
        <v>235</v>
      </c>
      <c r="D708" s="88" t="s">
        <v>82</v>
      </c>
      <c r="E708" s="74" t="s">
        <v>83</v>
      </c>
      <c r="F708" s="86" t="s">
        <v>116</v>
      </c>
      <c r="G708" s="74" t="s">
        <v>209</v>
      </c>
      <c r="H708" s="87">
        <v>43861</v>
      </c>
      <c r="I708" s="98">
        <v>23</v>
      </c>
      <c r="J708" s="98">
        <v>23</v>
      </c>
      <c r="K708" s="89">
        <f t="shared" si="29"/>
        <v>1</v>
      </c>
      <c r="L708" s="89">
        <v>8508.21</v>
      </c>
      <c r="M708" s="89">
        <v>3086.9</v>
      </c>
      <c r="N708" s="89">
        <v>846.95</v>
      </c>
      <c r="O708" s="89">
        <f t="shared" si="27"/>
        <v>12442.06</v>
      </c>
    </row>
    <row r="709" spans="1:15">
      <c r="A709" s="74" t="s">
        <v>113</v>
      </c>
      <c r="B709" s="74" t="s">
        <v>236</v>
      </c>
      <c r="C709" s="74" t="s">
        <v>237</v>
      </c>
      <c r="D709" s="88" t="s">
        <v>82</v>
      </c>
      <c r="E709" s="74" t="s">
        <v>83</v>
      </c>
      <c r="F709" s="86" t="s">
        <v>120</v>
      </c>
      <c r="G709" s="74" t="s">
        <v>209</v>
      </c>
      <c r="H709" s="87">
        <v>43861</v>
      </c>
      <c r="I709" s="98">
        <v>23</v>
      </c>
      <c r="J709" s="98">
        <v>23</v>
      </c>
      <c r="K709" s="89">
        <f t="shared" si="29"/>
        <v>1</v>
      </c>
      <c r="L709" s="89">
        <v>7382.98</v>
      </c>
      <c r="M709" s="89">
        <v>3149.6</v>
      </c>
      <c r="N709" s="89">
        <v>700.01</v>
      </c>
      <c r="O709" s="89">
        <f t="shared" ref="O709:O772" si="30">SUM(L709:N709)</f>
        <v>11232.59</v>
      </c>
    </row>
    <row r="710" spans="1:15">
      <c r="A710" s="74" t="s">
        <v>113</v>
      </c>
      <c r="B710" s="74" t="s">
        <v>238</v>
      </c>
      <c r="C710" s="74" t="s">
        <v>239</v>
      </c>
      <c r="D710" s="74" t="s">
        <v>86</v>
      </c>
      <c r="E710" s="74" t="s">
        <v>87</v>
      </c>
      <c r="F710" s="86" t="s">
        <v>204</v>
      </c>
      <c r="G710" s="74" t="s">
        <v>240</v>
      </c>
      <c r="H710" s="87">
        <v>43861</v>
      </c>
      <c r="I710" s="98">
        <v>23</v>
      </c>
      <c r="J710" s="98">
        <v>23</v>
      </c>
      <c r="K710" s="89">
        <f t="shared" si="29"/>
        <v>1</v>
      </c>
      <c r="L710" s="89">
        <v>14704.38</v>
      </c>
      <c r="M710" s="89">
        <v>3179.86</v>
      </c>
      <c r="N710" s="89">
        <v>1964.09</v>
      </c>
      <c r="O710" s="89">
        <f t="shared" si="30"/>
        <v>19848.33</v>
      </c>
    </row>
    <row r="711" spans="1:15">
      <c r="A711" s="74" t="s">
        <v>113</v>
      </c>
      <c r="B711" s="74" t="s">
        <v>241</v>
      </c>
      <c r="C711" s="74" t="s">
        <v>242</v>
      </c>
      <c r="D711" s="74" t="s">
        <v>86</v>
      </c>
      <c r="E711" s="74" t="s">
        <v>87</v>
      </c>
      <c r="F711" s="86" t="s">
        <v>243</v>
      </c>
      <c r="G711" s="74" t="s">
        <v>244</v>
      </c>
      <c r="H711" s="87">
        <v>43861</v>
      </c>
      <c r="I711" s="98">
        <v>23</v>
      </c>
      <c r="J711" s="98">
        <v>23</v>
      </c>
      <c r="K711" s="89">
        <f t="shared" si="29"/>
        <v>1</v>
      </c>
      <c r="L711" s="89">
        <v>11341.65</v>
      </c>
      <c r="M711" s="89">
        <v>3269.13</v>
      </c>
      <c r="N711" s="89">
        <v>1420.21</v>
      </c>
      <c r="O711" s="89">
        <f t="shared" si="30"/>
        <v>16030.99</v>
      </c>
    </row>
    <row r="712" spans="1:15">
      <c r="A712" s="74" t="s">
        <v>113</v>
      </c>
      <c r="B712" s="74" t="s">
        <v>245</v>
      </c>
      <c r="C712" s="74" t="s">
        <v>246</v>
      </c>
      <c r="D712" s="74" t="s">
        <v>86</v>
      </c>
      <c r="E712" s="74" t="s">
        <v>87</v>
      </c>
      <c r="F712" s="86" t="s">
        <v>247</v>
      </c>
      <c r="G712" s="74" t="s">
        <v>248</v>
      </c>
      <c r="H712" s="87">
        <v>43861</v>
      </c>
      <c r="I712" s="98">
        <v>23</v>
      </c>
      <c r="J712" s="98">
        <v>23</v>
      </c>
      <c r="K712" s="89">
        <f t="shared" si="29"/>
        <v>1</v>
      </c>
      <c r="L712" s="89">
        <v>10360.03</v>
      </c>
      <c r="M712" s="89">
        <v>3174.55</v>
      </c>
      <c r="N712" s="89">
        <v>1295.55</v>
      </c>
      <c r="O712" s="89">
        <f t="shared" si="30"/>
        <v>14830.13</v>
      </c>
    </row>
    <row r="713" spans="1:15">
      <c r="A713" s="74" t="s">
        <v>113</v>
      </c>
      <c r="B713" s="74" t="s">
        <v>249</v>
      </c>
      <c r="C713" s="74" t="s">
        <v>250</v>
      </c>
      <c r="D713" s="74" t="s">
        <v>86</v>
      </c>
      <c r="E713" s="74" t="s">
        <v>87</v>
      </c>
      <c r="F713" s="86" t="s">
        <v>251</v>
      </c>
      <c r="G713" s="74" t="s">
        <v>252</v>
      </c>
      <c r="H713" s="87">
        <v>43861</v>
      </c>
      <c r="I713" s="98">
        <v>23</v>
      </c>
      <c r="J713" s="98">
        <v>23</v>
      </c>
      <c r="K713" s="89">
        <f t="shared" si="29"/>
        <v>1</v>
      </c>
      <c r="L713" s="89">
        <v>9369.96</v>
      </c>
      <c r="M713" s="89">
        <v>3026.21</v>
      </c>
      <c r="N713" s="89">
        <v>1123.49</v>
      </c>
      <c r="O713" s="89">
        <f t="shared" si="30"/>
        <v>13519.66</v>
      </c>
    </row>
    <row r="714" spans="1:15">
      <c r="A714" s="74" t="s">
        <v>113</v>
      </c>
      <c r="B714" s="74" t="s">
        <v>253</v>
      </c>
      <c r="C714" s="74" t="s">
        <v>254</v>
      </c>
      <c r="D714" s="74" t="s">
        <v>86</v>
      </c>
      <c r="E714" s="74" t="s">
        <v>87</v>
      </c>
      <c r="F714" s="86" t="s">
        <v>255</v>
      </c>
      <c r="G714" s="74" t="s">
        <v>252</v>
      </c>
      <c r="H714" s="87">
        <v>43861</v>
      </c>
      <c r="I714" s="98">
        <v>23</v>
      </c>
      <c r="J714" s="98">
        <v>23</v>
      </c>
      <c r="K714" s="89">
        <f t="shared" si="29"/>
        <v>1</v>
      </c>
      <c r="L714" s="89">
        <v>8012.99</v>
      </c>
      <c r="M714" s="89">
        <v>3281.11</v>
      </c>
      <c r="N714" s="89">
        <v>1009.85</v>
      </c>
      <c r="O714" s="89">
        <f t="shared" si="30"/>
        <v>12303.95</v>
      </c>
    </row>
    <row r="715" spans="1:15">
      <c r="A715" s="74" t="s">
        <v>113</v>
      </c>
      <c r="B715" s="74" t="s">
        <v>256</v>
      </c>
      <c r="C715" s="74" t="s">
        <v>257</v>
      </c>
      <c r="D715" s="74" t="s">
        <v>86</v>
      </c>
      <c r="E715" s="74" t="s">
        <v>87</v>
      </c>
      <c r="F715" s="86" t="s">
        <v>258</v>
      </c>
      <c r="G715" s="74" t="s">
        <v>252</v>
      </c>
      <c r="H715" s="87">
        <v>43861</v>
      </c>
      <c r="I715" s="98">
        <v>23</v>
      </c>
      <c r="J715" s="98">
        <v>23</v>
      </c>
      <c r="K715" s="89">
        <f t="shared" si="29"/>
        <v>1</v>
      </c>
      <c r="L715" s="89">
        <v>7512.24</v>
      </c>
      <c r="M715" s="89">
        <v>3247.05</v>
      </c>
      <c r="N715" s="89">
        <v>900.55</v>
      </c>
      <c r="O715" s="89">
        <f t="shared" si="30"/>
        <v>11659.84</v>
      </c>
    </row>
    <row r="716" spans="1:15">
      <c r="A716" s="74" t="s">
        <v>113</v>
      </c>
      <c r="B716" s="74" t="s">
        <v>259</v>
      </c>
      <c r="C716" s="74" t="s">
        <v>260</v>
      </c>
      <c r="D716" s="74" t="s">
        <v>86</v>
      </c>
      <c r="E716" s="74" t="s">
        <v>87</v>
      </c>
      <c r="F716" s="86" t="s">
        <v>261</v>
      </c>
      <c r="G716" s="74" t="s">
        <v>262</v>
      </c>
      <c r="H716" s="87">
        <v>43861</v>
      </c>
      <c r="I716" s="98">
        <v>23</v>
      </c>
      <c r="J716" s="98">
        <v>23</v>
      </c>
      <c r="K716" s="89">
        <f t="shared" si="29"/>
        <v>1</v>
      </c>
      <c r="L716" s="89">
        <v>6997.5</v>
      </c>
      <c r="M716" s="89">
        <v>3098.95</v>
      </c>
      <c r="N716" s="89">
        <v>807.93</v>
      </c>
      <c r="O716" s="89">
        <f t="shared" si="30"/>
        <v>10904.38</v>
      </c>
    </row>
    <row r="717" spans="1:15">
      <c r="A717" s="74" t="s">
        <v>113</v>
      </c>
      <c r="B717" s="74" t="s">
        <v>263</v>
      </c>
      <c r="C717" s="74" t="s">
        <v>264</v>
      </c>
      <c r="D717" s="74" t="s">
        <v>86</v>
      </c>
      <c r="E717" s="74" t="s">
        <v>88</v>
      </c>
      <c r="F717" s="86" t="s">
        <v>149</v>
      </c>
      <c r="G717" s="74" t="s">
        <v>265</v>
      </c>
      <c r="H717" s="87">
        <v>43861</v>
      </c>
      <c r="I717" s="98">
        <v>23</v>
      </c>
      <c r="J717" s="98">
        <v>23</v>
      </c>
      <c r="K717" s="89">
        <f t="shared" si="29"/>
        <v>1</v>
      </c>
      <c r="L717" s="89">
        <v>14346.27</v>
      </c>
      <c r="M717" s="89">
        <v>3014.35</v>
      </c>
      <c r="N717" s="89">
        <v>1793.19</v>
      </c>
      <c r="O717" s="89">
        <f t="shared" si="30"/>
        <v>19153.81</v>
      </c>
    </row>
    <row r="718" spans="1:15">
      <c r="A718" s="74" t="s">
        <v>113</v>
      </c>
      <c r="B718" s="74" t="s">
        <v>266</v>
      </c>
      <c r="C718" s="74" t="s">
        <v>267</v>
      </c>
      <c r="D718" s="74" t="s">
        <v>86</v>
      </c>
      <c r="E718" s="74" t="s">
        <v>88</v>
      </c>
      <c r="F718" s="86" t="s">
        <v>243</v>
      </c>
      <c r="G718" s="74" t="s">
        <v>268</v>
      </c>
      <c r="H718" s="87">
        <v>43861</v>
      </c>
      <c r="I718" s="98">
        <v>23</v>
      </c>
      <c r="J718" s="98">
        <v>23</v>
      </c>
      <c r="K718" s="89">
        <f t="shared" si="29"/>
        <v>1</v>
      </c>
      <c r="L718" s="89">
        <v>10754.01</v>
      </c>
      <c r="M718" s="89">
        <v>3134.98</v>
      </c>
      <c r="N718" s="89">
        <v>1376.99</v>
      </c>
      <c r="O718" s="89">
        <f t="shared" si="30"/>
        <v>15265.98</v>
      </c>
    </row>
    <row r="719" spans="1:15">
      <c r="A719" s="74" t="s">
        <v>113</v>
      </c>
      <c r="B719" s="74" t="s">
        <v>269</v>
      </c>
      <c r="C719" s="74" t="s">
        <v>270</v>
      </c>
      <c r="D719" s="74" t="s">
        <v>86</v>
      </c>
      <c r="E719" s="74" t="s">
        <v>88</v>
      </c>
      <c r="F719" s="86" t="s">
        <v>247</v>
      </c>
      <c r="G719" s="74" t="s">
        <v>268</v>
      </c>
      <c r="H719" s="87">
        <v>43861</v>
      </c>
      <c r="I719" s="98">
        <v>23</v>
      </c>
      <c r="J719" s="98">
        <v>23</v>
      </c>
      <c r="K719" s="89">
        <f t="shared" si="29"/>
        <v>1</v>
      </c>
      <c r="L719" s="89">
        <v>10221.21</v>
      </c>
      <c r="M719" s="89">
        <v>3268.25</v>
      </c>
      <c r="N719" s="89">
        <v>1290.62</v>
      </c>
      <c r="O719" s="89">
        <f t="shared" si="30"/>
        <v>14780.08</v>
      </c>
    </row>
    <row r="720" spans="1:15">
      <c r="A720" s="74" t="s">
        <v>113</v>
      </c>
      <c r="B720" s="74" t="s">
        <v>271</v>
      </c>
      <c r="C720" s="74" t="s">
        <v>272</v>
      </c>
      <c r="D720" s="74" t="s">
        <v>86</v>
      </c>
      <c r="E720" s="74" t="s">
        <v>88</v>
      </c>
      <c r="F720" s="86" t="s">
        <v>251</v>
      </c>
      <c r="G720" s="74" t="s">
        <v>268</v>
      </c>
      <c r="H720" s="87">
        <v>43861</v>
      </c>
      <c r="I720" s="98">
        <v>23</v>
      </c>
      <c r="J720" s="98">
        <v>23</v>
      </c>
      <c r="K720" s="89">
        <f t="shared" si="29"/>
        <v>1</v>
      </c>
      <c r="L720" s="89">
        <v>8943.35</v>
      </c>
      <c r="M720" s="89">
        <v>3185.21</v>
      </c>
      <c r="N720" s="89">
        <v>1131.39</v>
      </c>
      <c r="O720" s="89">
        <f t="shared" si="30"/>
        <v>13259.95</v>
      </c>
    </row>
    <row r="721" spans="1:15">
      <c r="A721" s="74" t="s">
        <v>113</v>
      </c>
      <c r="B721" s="74" t="s">
        <v>273</v>
      </c>
      <c r="C721" s="74" t="s">
        <v>274</v>
      </c>
      <c r="D721" s="74" t="s">
        <v>86</v>
      </c>
      <c r="E721" s="74" t="s">
        <v>88</v>
      </c>
      <c r="F721" s="86" t="s">
        <v>255</v>
      </c>
      <c r="G721" s="74" t="s">
        <v>268</v>
      </c>
      <c r="H721" s="87">
        <v>43861</v>
      </c>
      <c r="I721" s="98">
        <v>23</v>
      </c>
      <c r="J721" s="98">
        <v>23</v>
      </c>
      <c r="K721" s="89">
        <f t="shared" si="29"/>
        <v>1</v>
      </c>
      <c r="L721" s="89">
        <v>8656.2</v>
      </c>
      <c r="M721" s="89">
        <v>3276.95</v>
      </c>
      <c r="N721" s="89">
        <v>1047.35</v>
      </c>
      <c r="O721" s="89">
        <f t="shared" si="30"/>
        <v>12980.5</v>
      </c>
    </row>
    <row r="722" spans="1:15">
      <c r="A722" s="74" t="s">
        <v>113</v>
      </c>
      <c r="B722" s="74" t="s">
        <v>275</v>
      </c>
      <c r="C722" s="74" t="s">
        <v>276</v>
      </c>
      <c r="D722" s="74" t="s">
        <v>86</v>
      </c>
      <c r="E722" s="74" t="s">
        <v>88</v>
      </c>
      <c r="F722" s="86" t="s">
        <v>258</v>
      </c>
      <c r="G722" s="74" t="s">
        <v>268</v>
      </c>
      <c r="H722" s="87">
        <v>43861</v>
      </c>
      <c r="I722" s="98">
        <v>23</v>
      </c>
      <c r="J722" s="98">
        <v>23</v>
      </c>
      <c r="K722" s="89">
        <f t="shared" si="29"/>
        <v>1</v>
      </c>
      <c r="L722" s="89">
        <v>7241.91</v>
      </c>
      <c r="M722" s="89">
        <v>3114.59</v>
      </c>
      <c r="N722" s="89">
        <v>965.03</v>
      </c>
      <c r="O722" s="89">
        <f t="shared" si="30"/>
        <v>11321.53</v>
      </c>
    </row>
    <row r="723" spans="1:15">
      <c r="A723" s="74" t="s">
        <v>113</v>
      </c>
      <c r="B723" s="74" t="s">
        <v>277</v>
      </c>
      <c r="C723" s="74" t="s">
        <v>278</v>
      </c>
      <c r="D723" s="74" t="s">
        <v>86</v>
      </c>
      <c r="E723" s="74" t="s">
        <v>89</v>
      </c>
      <c r="F723" s="86" t="s">
        <v>279</v>
      </c>
      <c r="G723" s="74" t="s">
        <v>280</v>
      </c>
      <c r="H723" s="87">
        <v>43861</v>
      </c>
      <c r="I723" s="98">
        <v>23</v>
      </c>
      <c r="J723" s="98">
        <v>23</v>
      </c>
      <c r="K723" s="89">
        <f t="shared" si="29"/>
        <v>1</v>
      </c>
      <c r="L723" s="89">
        <v>12857.8</v>
      </c>
      <c r="M723" s="89">
        <v>3149.42</v>
      </c>
      <c r="N723" s="89">
        <v>1592.34</v>
      </c>
      <c r="O723" s="89">
        <f t="shared" si="30"/>
        <v>17599.56</v>
      </c>
    </row>
    <row r="724" spans="1:15">
      <c r="A724" s="74" t="s">
        <v>113</v>
      </c>
      <c r="B724" s="74" t="s">
        <v>281</v>
      </c>
      <c r="C724" s="74" t="s">
        <v>282</v>
      </c>
      <c r="D724" s="74" t="s">
        <v>86</v>
      </c>
      <c r="E724" s="74" t="s">
        <v>89</v>
      </c>
      <c r="F724" s="86" t="s">
        <v>225</v>
      </c>
      <c r="G724" s="74" t="s">
        <v>283</v>
      </c>
      <c r="H724" s="87">
        <v>43861</v>
      </c>
      <c r="I724" s="98">
        <v>23</v>
      </c>
      <c r="J724" s="98">
        <v>23</v>
      </c>
      <c r="K724" s="89">
        <f t="shared" si="29"/>
        <v>1</v>
      </c>
      <c r="L724" s="89">
        <v>8767.21</v>
      </c>
      <c r="M724" s="89">
        <v>3005.11</v>
      </c>
      <c r="N724" s="89">
        <v>1035.32</v>
      </c>
      <c r="O724" s="89">
        <f t="shared" si="30"/>
        <v>12807.64</v>
      </c>
    </row>
    <row r="725" spans="1:15">
      <c r="A725" s="74" t="s">
        <v>113</v>
      </c>
      <c r="B725" s="74" t="s">
        <v>284</v>
      </c>
      <c r="C725" s="74" t="s">
        <v>285</v>
      </c>
      <c r="D725" s="74" t="s">
        <v>86</v>
      </c>
      <c r="E725" s="74" t="s">
        <v>89</v>
      </c>
      <c r="F725" s="86" t="s">
        <v>208</v>
      </c>
      <c r="G725" s="74" t="s">
        <v>283</v>
      </c>
      <c r="H725" s="87">
        <v>43861</v>
      </c>
      <c r="I725" s="98">
        <v>23</v>
      </c>
      <c r="J725" s="98">
        <v>23</v>
      </c>
      <c r="K725" s="89">
        <f t="shared" si="29"/>
        <v>1</v>
      </c>
      <c r="L725" s="89">
        <v>7849.3</v>
      </c>
      <c r="M725" s="89">
        <v>3035.83</v>
      </c>
      <c r="N725" s="89">
        <v>952.72</v>
      </c>
      <c r="O725" s="89">
        <f t="shared" si="30"/>
        <v>11837.85</v>
      </c>
    </row>
    <row r="726" spans="1:15">
      <c r="A726" s="74" t="s">
        <v>113</v>
      </c>
      <c r="B726" s="74" t="s">
        <v>286</v>
      </c>
      <c r="C726" s="74" t="s">
        <v>287</v>
      </c>
      <c r="D726" s="74" t="s">
        <v>82</v>
      </c>
      <c r="E726" s="88" t="s">
        <v>85</v>
      </c>
      <c r="F726" s="86" t="s">
        <v>288</v>
      </c>
      <c r="G726" s="74" t="s">
        <v>289</v>
      </c>
      <c r="H726" s="87">
        <v>43861</v>
      </c>
      <c r="I726" s="98">
        <v>23</v>
      </c>
      <c r="J726" s="98">
        <v>23</v>
      </c>
      <c r="K726" s="89">
        <f t="shared" ref="K726:K734" si="31">I726/J726</f>
        <v>1</v>
      </c>
      <c r="L726" s="89">
        <v>13073.19</v>
      </c>
      <c r="M726" s="89">
        <v>3274.43</v>
      </c>
      <c r="N726" s="89">
        <v>1206.27</v>
      </c>
      <c r="O726" s="89">
        <f t="shared" si="30"/>
        <v>17553.89</v>
      </c>
    </row>
    <row r="727" spans="1:15">
      <c r="A727" s="74" t="s">
        <v>113</v>
      </c>
      <c r="B727" s="74" t="s">
        <v>290</v>
      </c>
      <c r="C727" s="74" t="s">
        <v>291</v>
      </c>
      <c r="D727" s="74" t="s">
        <v>82</v>
      </c>
      <c r="E727" s="88" t="s">
        <v>85</v>
      </c>
      <c r="F727" s="86" t="s">
        <v>218</v>
      </c>
      <c r="G727" s="74" t="s">
        <v>289</v>
      </c>
      <c r="H727" s="87">
        <v>43861</v>
      </c>
      <c r="I727" s="98">
        <v>23</v>
      </c>
      <c r="J727" s="98">
        <v>23</v>
      </c>
      <c r="K727" s="89">
        <f t="shared" si="31"/>
        <v>1</v>
      </c>
      <c r="L727" s="89">
        <v>11442.3</v>
      </c>
      <c r="M727" s="89">
        <v>3000.56</v>
      </c>
      <c r="N727" s="89">
        <v>1144.36</v>
      </c>
      <c r="O727" s="89">
        <f t="shared" si="30"/>
        <v>15587.22</v>
      </c>
    </row>
    <row r="728" spans="1:15">
      <c r="A728" s="74" t="s">
        <v>113</v>
      </c>
      <c r="B728" s="74" t="s">
        <v>292</v>
      </c>
      <c r="C728" s="74" t="s">
        <v>293</v>
      </c>
      <c r="D728" s="74" t="s">
        <v>82</v>
      </c>
      <c r="E728" s="88" t="s">
        <v>85</v>
      </c>
      <c r="F728" s="86" t="s">
        <v>225</v>
      </c>
      <c r="G728" s="74" t="s">
        <v>289</v>
      </c>
      <c r="H728" s="87">
        <v>43861</v>
      </c>
      <c r="I728" s="98">
        <v>23</v>
      </c>
      <c r="J728" s="98">
        <v>23</v>
      </c>
      <c r="K728" s="89">
        <f t="shared" si="31"/>
        <v>1</v>
      </c>
      <c r="L728" s="89">
        <v>10920.62</v>
      </c>
      <c r="M728" s="89">
        <v>3047.6</v>
      </c>
      <c r="N728" s="89">
        <v>1009.49</v>
      </c>
      <c r="O728" s="89">
        <f t="shared" si="30"/>
        <v>14977.71</v>
      </c>
    </row>
    <row r="729" spans="1:15">
      <c r="A729" s="74" t="s">
        <v>113</v>
      </c>
      <c r="B729" s="74" t="s">
        <v>294</v>
      </c>
      <c r="C729" s="74" t="s">
        <v>295</v>
      </c>
      <c r="D729" s="74" t="s">
        <v>82</v>
      </c>
      <c r="E729" s="88" t="s">
        <v>85</v>
      </c>
      <c r="F729" s="86" t="s">
        <v>208</v>
      </c>
      <c r="G729" s="74" t="s">
        <v>289</v>
      </c>
      <c r="H729" s="87">
        <v>43861</v>
      </c>
      <c r="I729" s="98">
        <v>23</v>
      </c>
      <c r="J729" s="98">
        <v>23</v>
      </c>
      <c r="K729" s="89">
        <f t="shared" si="31"/>
        <v>1</v>
      </c>
      <c r="L729" s="89">
        <v>9211.57</v>
      </c>
      <c r="M729" s="89">
        <v>3273.19</v>
      </c>
      <c r="N729" s="89">
        <v>933.95</v>
      </c>
      <c r="O729" s="89">
        <f t="shared" si="30"/>
        <v>13418.71</v>
      </c>
    </row>
    <row r="730" spans="1:15">
      <c r="A730" s="74" t="s">
        <v>113</v>
      </c>
      <c r="B730" s="74" t="s">
        <v>296</v>
      </c>
      <c r="C730" s="74" t="s">
        <v>297</v>
      </c>
      <c r="D730" s="74" t="s">
        <v>82</v>
      </c>
      <c r="E730" s="88" t="s">
        <v>85</v>
      </c>
      <c r="F730" s="86" t="s">
        <v>116</v>
      </c>
      <c r="G730" s="74" t="s">
        <v>289</v>
      </c>
      <c r="H730" s="87">
        <v>43861</v>
      </c>
      <c r="I730" s="98">
        <v>23</v>
      </c>
      <c r="J730" s="98">
        <v>23</v>
      </c>
      <c r="K730" s="89">
        <f t="shared" si="31"/>
        <v>1</v>
      </c>
      <c r="L730" s="89">
        <v>8685.83</v>
      </c>
      <c r="M730" s="89">
        <v>3277.67</v>
      </c>
      <c r="N730" s="89">
        <v>808.6</v>
      </c>
      <c r="O730" s="89">
        <f t="shared" si="30"/>
        <v>12772.1</v>
      </c>
    </row>
    <row r="731" spans="1:15">
      <c r="A731" s="74" t="s">
        <v>113</v>
      </c>
      <c r="B731" s="74" t="s">
        <v>298</v>
      </c>
      <c r="C731" s="74" t="s">
        <v>299</v>
      </c>
      <c r="D731" s="74" t="s">
        <v>82</v>
      </c>
      <c r="E731" s="88" t="s">
        <v>85</v>
      </c>
      <c r="F731" s="86" t="s">
        <v>279</v>
      </c>
      <c r="G731" s="74" t="s">
        <v>300</v>
      </c>
      <c r="H731" s="87">
        <v>43861</v>
      </c>
      <c r="I731" s="98">
        <v>23</v>
      </c>
      <c r="J731" s="98">
        <v>23</v>
      </c>
      <c r="K731" s="89">
        <f t="shared" si="31"/>
        <v>1</v>
      </c>
      <c r="L731" s="89">
        <v>15523.77</v>
      </c>
      <c r="M731" s="89">
        <v>3022.8</v>
      </c>
      <c r="N731" s="89">
        <v>1607.78</v>
      </c>
      <c r="O731" s="89">
        <f t="shared" si="30"/>
        <v>20154.35</v>
      </c>
    </row>
    <row r="732" spans="1:15">
      <c r="A732" s="74" t="s">
        <v>113</v>
      </c>
      <c r="B732" s="74" t="s">
        <v>301</v>
      </c>
      <c r="C732" s="74" t="s">
        <v>302</v>
      </c>
      <c r="D732" s="74" t="s">
        <v>82</v>
      </c>
      <c r="E732" s="88" t="s">
        <v>85</v>
      </c>
      <c r="F732" s="86" t="s">
        <v>279</v>
      </c>
      <c r="G732" s="74" t="s">
        <v>303</v>
      </c>
      <c r="H732" s="87">
        <v>43861</v>
      </c>
      <c r="I732" s="98">
        <v>23</v>
      </c>
      <c r="J732" s="98">
        <v>23</v>
      </c>
      <c r="K732" s="89">
        <f t="shared" si="31"/>
        <v>1</v>
      </c>
      <c r="L732" s="89">
        <v>15479.16</v>
      </c>
      <c r="M732" s="89">
        <v>3021.49</v>
      </c>
      <c r="N732" s="89">
        <v>1531.56</v>
      </c>
      <c r="O732" s="89">
        <f t="shared" si="30"/>
        <v>20032.21</v>
      </c>
    </row>
    <row r="733" spans="1:15">
      <c r="A733" s="74" t="s">
        <v>113</v>
      </c>
      <c r="B733" s="74" t="s">
        <v>304</v>
      </c>
      <c r="C733" s="74" t="s">
        <v>305</v>
      </c>
      <c r="D733" s="74" t="s">
        <v>86</v>
      </c>
      <c r="E733" s="74" t="s">
        <v>90</v>
      </c>
      <c r="F733" s="86" t="s">
        <v>306</v>
      </c>
      <c r="G733" s="74" t="s">
        <v>307</v>
      </c>
      <c r="H733" s="87">
        <v>43861</v>
      </c>
      <c r="I733" s="98">
        <v>23</v>
      </c>
      <c r="J733" s="98">
        <v>23</v>
      </c>
      <c r="K733" s="89">
        <f t="shared" si="31"/>
        <v>1</v>
      </c>
      <c r="L733" s="89">
        <v>16949.74</v>
      </c>
      <c r="M733" s="89">
        <v>3197.87</v>
      </c>
      <c r="N733" s="89">
        <v>2096.48</v>
      </c>
      <c r="O733" s="89">
        <f t="shared" si="30"/>
        <v>22244.09</v>
      </c>
    </row>
    <row r="734" spans="1:15">
      <c r="A734" s="74" t="s">
        <v>113</v>
      </c>
      <c r="B734" s="74" t="s">
        <v>114</v>
      </c>
      <c r="C734" s="74" t="s">
        <v>115</v>
      </c>
      <c r="D734" s="74" t="s">
        <v>79</v>
      </c>
      <c r="E734" s="74" t="s">
        <v>80</v>
      </c>
      <c r="F734" s="86" t="s">
        <v>116</v>
      </c>
      <c r="G734" s="74" t="s">
        <v>117</v>
      </c>
      <c r="H734" s="87">
        <v>43889</v>
      </c>
      <c r="I734" s="98">
        <v>15</v>
      </c>
      <c r="J734" s="98">
        <v>15</v>
      </c>
      <c r="K734" s="89">
        <f t="shared" si="31"/>
        <v>1</v>
      </c>
      <c r="L734" s="89">
        <v>8113.24</v>
      </c>
      <c r="M734" s="89">
        <v>3199.04</v>
      </c>
      <c r="N734" s="89">
        <v>825.84</v>
      </c>
      <c r="O734" s="89">
        <f t="shared" si="30"/>
        <v>12138.12</v>
      </c>
    </row>
    <row r="735" spans="1:15">
      <c r="A735" s="74" t="s">
        <v>113</v>
      </c>
      <c r="B735" s="74" t="s">
        <v>118</v>
      </c>
      <c r="C735" s="74" t="s">
        <v>119</v>
      </c>
      <c r="D735" s="74" t="s">
        <v>79</v>
      </c>
      <c r="E735" s="74" t="s">
        <v>80</v>
      </c>
      <c r="F735" s="86" t="s">
        <v>120</v>
      </c>
      <c r="G735" s="74" t="s">
        <v>117</v>
      </c>
      <c r="H735" s="87">
        <v>43889</v>
      </c>
      <c r="I735" s="98">
        <v>15</v>
      </c>
      <c r="J735" s="98">
        <v>15</v>
      </c>
      <c r="K735" s="89">
        <f t="shared" ref="K735:K798" si="32">I735/J735</f>
        <v>1</v>
      </c>
      <c r="L735" s="89">
        <v>7270.44</v>
      </c>
      <c r="M735" s="89">
        <v>3137.56</v>
      </c>
      <c r="N735" s="89">
        <v>736.03</v>
      </c>
      <c r="O735" s="89">
        <f t="shared" si="30"/>
        <v>11144.03</v>
      </c>
    </row>
    <row r="736" spans="1:15">
      <c r="A736" s="74" t="s">
        <v>113</v>
      </c>
      <c r="B736" s="74" t="s">
        <v>121</v>
      </c>
      <c r="C736" s="74" t="s">
        <v>122</v>
      </c>
      <c r="D736" s="74" t="s">
        <v>79</v>
      </c>
      <c r="E736" s="74" t="s">
        <v>80</v>
      </c>
      <c r="F736" s="86" t="s">
        <v>123</v>
      </c>
      <c r="G736" s="74" t="s">
        <v>117</v>
      </c>
      <c r="H736" s="87">
        <v>43889</v>
      </c>
      <c r="I736" s="98">
        <v>15</v>
      </c>
      <c r="J736" s="98">
        <v>15</v>
      </c>
      <c r="K736" s="89">
        <f t="shared" si="32"/>
        <v>1</v>
      </c>
      <c r="L736" s="89">
        <v>6014.98</v>
      </c>
      <c r="M736" s="89">
        <v>3106.48</v>
      </c>
      <c r="N736" s="89">
        <v>643.34</v>
      </c>
      <c r="O736" s="89">
        <f t="shared" si="30"/>
        <v>9764.8</v>
      </c>
    </row>
    <row r="737" spans="1:15">
      <c r="A737" s="74" t="s">
        <v>113</v>
      </c>
      <c r="B737" s="74" t="s">
        <v>124</v>
      </c>
      <c r="C737" s="74" t="s">
        <v>125</v>
      </c>
      <c r="D737" s="74" t="s">
        <v>79</v>
      </c>
      <c r="E737" s="74" t="s">
        <v>80</v>
      </c>
      <c r="F737" s="86" t="s">
        <v>116</v>
      </c>
      <c r="G737" s="74" t="s">
        <v>117</v>
      </c>
      <c r="H737" s="87">
        <v>43889</v>
      </c>
      <c r="I737" s="98">
        <v>15</v>
      </c>
      <c r="J737" s="98">
        <v>15</v>
      </c>
      <c r="K737" s="89">
        <f t="shared" si="32"/>
        <v>1</v>
      </c>
      <c r="L737" s="89">
        <v>8346.53</v>
      </c>
      <c r="M737" s="89">
        <v>3180.2</v>
      </c>
      <c r="N737" s="89">
        <v>869.67</v>
      </c>
      <c r="O737" s="89">
        <f t="shared" si="30"/>
        <v>12396.4</v>
      </c>
    </row>
    <row r="738" spans="1:15">
      <c r="A738" s="74" t="s">
        <v>113</v>
      </c>
      <c r="B738" s="74" t="s">
        <v>126</v>
      </c>
      <c r="C738" s="74" t="s">
        <v>127</v>
      </c>
      <c r="D738" s="74" t="s">
        <v>79</v>
      </c>
      <c r="E738" s="74" t="s">
        <v>80</v>
      </c>
      <c r="F738" s="86" t="s">
        <v>120</v>
      </c>
      <c r="G738" s="74" t="s">
        <v>117</v>
      </c>
      <c r="H738" s="87">
        <v>43889</v>
      </c>
      <c r="I738" s="98">
        <v>15</v>
      </c>
      <c r="J738" s="98">
        <v>15</v>
      </c>
      <c r="K738" s="89">
        <f t="shared" si="32"/>
        <v>1</v>
      </c>
      <c r="L738" s="89">
        <v>7589.13</v>
      </c>
      <c r="M738" s="89">
        <v>3287.47</v>
      </c>
      <c r="N738" s="89">
        <v>714.92</v>
      </c>
      <c r="O738" s="89">
        <f t="shared" si="30"/>
        <v>11591.52</v>
      </c>
    </row>
    <row r="739" spans="1:15">
      <c r="A739" s="74" t="s">
        <v>113</v>
      </c>
      <c r="B739" s="74" t="s">
        <v>128</v>
      </c>
      <c r="C739" s="74" t="s">
        <v>129</v>
      </c>
      <c r="D739" s="74" t="s">
        <v>79</v>
      </c>
      <c r="E739" s="74" t="s">
        <v>80</v>
      </c>
      <c r="F739" s="86" t="s">
        <v>123</v>
      </c>
      <c r="G739" s="74" t="s">
        <v>117</v>
      </c>
      <c r="H739" s="87">
        <v>43889</v>
      </c>
      <c r="I739" s="98">
        <v>15</v>
      </c>
      <c r="J739" s="98">
        <v>15</v>
      </c>
      <c r="K739" s="89">
        <f t="shared" si="32"/>
        <v>1</v>
      </c>
      <c r="L739" s="89">
        <v>6272.62</v>
      </c>
      <c r="M739" s="89">
        <v>3096.89</v>
      </c>
      <c r="N739" s="89">
        <v>655.6</v>
      </c>
      <c r="O739" s="89">
        <f t="shared" si="30"/>
        <v>10025.11</v>
      </c>
    </row>
    <row r="740" spans="1:15">
      <c r="A740" s="74" t="s">
        <v>113</v>
      </c>
      <c r="B740" s="74" t="s">
        <v>130</v>
      </c>
      <c r="C740" s="74" t="s">
        <v>131</v>
      </c>
      <c r="D740" s="74" t="s">
        <v>79</v>
      </c>
      <c r="E740" s="74" t="s">
        <v>80</v>
      </c>
      <c r="F740" s="86" t="s">
        <v>116</v>
      </c>
      <c r="G740" s="74" t="s">
        <v>117</v>
      </c>
      <c r="H740" s="87">
        <v>43889</v>
      </c>
      <c r="I740" s="98">
        <v>15</v>
      </c>
      <c r="J740" s="98">
        <v>15</v>
      </c>
      <c r="K740" s="89">
        <f t="shared" si="32"/>
        <v>1</v>
      </c>
      <c r="L740" s="89">
        <v>8284.5</v>
      </c>
      <c r="M740" s="89">
        <v>3081.32</v>
      </c>
      <c r="N740" s="89">
        <v>861.43</v>
      </c>
      <c r="O740" s="89">
        <f t="shared" si="30"/>
        <v>12227.25</v>
      </c>
    </row>
    <row r="741" spans="1:15">
      <c r="A741" s="74" t="s">
        <v>113</v>
      </c>
      <c r="B741" s="74" t="s">
        <v>132</v>
      </c>
      <c r="C741" s="74" t="s">
        <v>133</v>
      </c>
      <c r="D741" s="74" t="s">
        <v>79</v>
      </c>
      <c r="E741" s="74" t="s">
        <v>80</v>
      </c>
      <c r="F741" s="86" t="s">
        <v>120</v>
      </c>
      <c r="G741" s="74" t="s">
        <v>117</v>
      </c>
      <c r="H741" s="87">
        <v>43889</v>
      </c>
      <c r="I741" s="98">
        <v>15</v>
      </c>
      <c r="J741" s="98">
        <v>15</v>
      </c>
      <c r="K741" s="89">
        <f t="shared" si="32"/>
        <v>1</v>
      </c>
      <c r="L741" s="89">
        <v>7472.58</v>
      </c>
      <c r="M741" s="89">
        <v>3107.47</v>
      </c>
      <c r="N741" s="89">
        <v>748.12</v>
      </c>
      <c r="O741" s="89">
        <f t="shared" si="30"/>
        <v>11328.17</v>
      </c>
    </row>
    <row r="742" spans="1:15">
      <c r="A742" s="74" t="s">
        <v>113</v>
      </c>
      <c r="B742" s="74" t="s">
        <v>134</v>
      </c>
      <c r="C742" s="74" t="s">
        <v>135</v>
      </c>
      <c r="D742" s="74" t="s">
        <v>79</v>
      </c>
      <c r="E742" s="74" t="s">
        <v>80</v>
      </c>
      <c r="F742" s="86" t="s">
        <v>123</v>
      </c>
      <c r="G742" s="74" t="s">
        <v>117</v>
      </c>
      <c r="H742" s="87">
        <v>43889</v>
      </c>
      <c r="I742" s="98">
        <v>15</v>
      </c>
      <c r="J742" s="98">
        <v>15</v>
      </c>
      <c r="K742" s="89">
        <f t="shared" si="32"/>
        <v>1</v>
      </c>
      <c r="L742" s="89">
        <v>6243.56</v>
      </c>
      <c r="M742" s="89">
        <v>3101.19</v>
      </c>
      <c r="N742" s="89">
        <v>606.93</v>
      </c>
      <c r="O742" s="89">
        <f t="shared" si="30"/>
        <v>9951.68</v>
      </c>
    </row>
    <row r="743" spans="1:15">
      <c r="A743" s="74" t="s">
        <v>113</v>
      </c>
      <c r="B743" s="74" t="s">
        <v>136</v>
      </c>
      <c r="C743" s="74" t="s">
        <v>137</v>
      </c>
      <c r="D743" s="74" t="s">
        <v>79</v>
      </c>
      <c r="E743" s="74" t="s">
        <v>80</v>
      </c>
      <c r="F743" s="86" t="s">
        <v>116</v>
      </c>
      <c r="G743" s="74" t="s">
        <v>138</v>
      </c>
      <c r="H743" s="87">
        <v>43889</v>
      </c>
      <c r="I743" s="98">
        <v>15</v>
      </c>
      <c r="J743" s="98">
        <v>15</v>
      </c>
      <c r="K743" s="89">
        <f t="shared" si="32"/>
        <v>1</v>
      </c>
      <c r="L743" s="89">
        <v>8380.97</v>
      </c>
      <c r="M743" s="89">
        <v>3253.2</v>
      </c>
      <c r="N743" s="89">
        <v>862.47</v>
      </c>
      <c r="O743" s="89">
        <f t="shared" si="30"/>
        <v>12496.64</v>
      </c>
    </row>
    <row r="744" spans="1:15">
      <c r="A744" s="74" t="s">
        <v>113</v>
      </c>
      <c r="B744" s="74" t="s">
        <v>139</v>
      </c>
      <c r="C744" s="74" t="s">
        <v>140</v>
      </c>
      <c r="D744" s="74" t="s">
        <v>79</v>
      </c>
      <c r="E744" s="74" t="s">
        <v>80</v>
      </c>
      <c r="F744" s="86" t="s">
        <v>120</v>
      </c>
      <c r="G744" s="74" t="s">
        <v>138</v>
      </c>
      <c r="H744" s="87">
        <v>43889</v>
      </c>
      <c r="I744" s="98">
        <v>15</v>
      </c>
      <c r="J744" s="98">
        <v>15</v>
      </c>
      <c r="K744" s="89">
        <f t="shared" si="32"/>
        <v>1</v>
      </c>
      <c r="L744" s="89">
        <v>7594.96</v>
      </c>
      <c r="M744" s="89">
        <v>3044.83</v>
      </c>
      <c r="N744" s="89">
        <v>766.13</v>
      </c>
      <c r="O744" s="89">
        <f t="shared" si="30"/>
        <v>11405.92</v>
      </c>
    </row>
    <row r="745" spans="1:15">
      <c r="A745" s="74" t="s">
        <v>113</v>
      </c>
      <c r="B745" s="74" t="s">
        <v>141</v>
      </c>
      <c r="C745" s="74" t="s">
        <v>142</v>
      </c>
      <c r="D745" s="74" t="s">
        <v>79</v>
      </c>
      <c r="E745" s="74" t="s">
        <v>80</v>
      </c>
      <c r="F745" s="86" t="s">
        <v>123</v>
      </c>
      <c r="G745" s="74" t="s">
        <v>138</v>
      </c>
      <c r="H745" s="87">
        <v>43889</v>
      </c>
      <c r="I745" s="98">
        <v>15</v>
      </c>
      <c r="J745" s="98">
        <v>15</v>
      </c>
      <c r="K745" s="89">
        <f t="shared" si="32"/>
        <v>1</v>
      </c>
      <c r="L745" s="89">
        <v>6272.75</v>
      </c>
      <c r="M745" s="89">
        <v>3263.83</v>
      </c>
      <c r="N745" s="89">
        <v>658.75</v>
      </c>
      <c r="O745" s="89">
        <f t="shared" si="30"/>
        <v>10195.33</v>
      </c>
    </row>
    <row r="746" spans="1:15">
      <c r="A746" s="74" t="s">
        <v>113</v>
      </c>
      <c r="B746" s="74" t="s">
        <v>143</v>
      </c>
      <c r="C746" s="74" t="s">
        <v>144</v>
      </c>
      <c r="D746" s="74" t="s">
        <v>79</v>
      </c>
      <c r="E746" s="74" t="s">
        <v>80</v>
      </c>
      <c r="F746" s="86" t="s">
        <v>145</v>
      </c>
      <c r="G746" s="74" t="s">
        <v>146</v>
      </c>
      <c r="H746" s="87">
        <v>43889</v>
      </c>
      <c r="I746" s="98">
        <v>15</v>
      </c>
      <c r="J746" s="98">
        <v>15</v>
      </c>
      <c r="K746" s="89">
        <f t="shared" si="32"/>
        <v>1</v>
      </c>
      <c r="L746" s="89">
        <v>19312.66</v>
      </c>
      <c r="M746" s="89">
        <v>3257.09</v>
      </c>
      <c r="N746" s="89">
        <v>1966.49</v>
      </c>
      <c r="O746" s="89">
        <f t="shared" si="30"/>
        <v>24536.24</v>
      </c>
    </row>
    <row r="747" spans="1:15">
      <c r="A747" s="74" t="s">
        <v>113</v>
      </c>
      <c r="B747" s="74" t="s">
        <v>147</v>
      </c>
      <c r="C747" s="74" t="s">
        <v>148</v>
      </c>
      <c r="D747" s="74" t="s">
        <v>79</v>
      </c>
      <c r="E747" s="74" t="s">
        <v>80</v>
      </c>
      <c r="F747" s="86" t="s">
        <v>149</v>
      </c>
      <c r="G747" s="74" t="s">
        <v>150</v>
      </c>
      <c r="H747" s="87">
        <v>43889</v>
      </c>
      <c r="I747" s="98">
        <v>15</v>
      </c>
      <c r="J747" s="98">
        <v>15</v>
      </c>
      <c r="K747" s="89">
        <f t="shared" si="32"/>
        <v>1</v>
      </c>
      <c r="L747" s="89">
        <v>17884.47</v>
      </c>
      <c r="M747" s="89">
        <v>3290.97</v>
      </c>
      <c r="N747" s="89">
        <v>1811.26</v>
      </c>
      <c r="O747" s="89">
        <f t="shared" si="30"/>
        <v>22986.7</v>
      </c>
    </row>
    <row r="748" spans="1:15">
      <c r="A748" s="74" t="s">
        <v>113</v>
      </c>
      <c r="B748" s="74" t="s">
        <v>151</v>
      </c>
      <c r="C748" s="74" t="s">
        <v>152</v>
      </c>
      <c r="D748" s="74" t="s">
        <v>79</v>
      </c>
      <c r="E748" s="74" t="s">
        <v>81</v>
      </c>
      <c r="F748" s="86" t="s">
        <v>123</v>
      </c>
      <c r="G748" s="74" t="s">
        <v>153</v>
      </c>
      <c r="H748" s="87">
        <v>43889</v>
      </c>
      <c r="I748" s="98">
        <v>15</v>
      </c>
      <c r="J748" s="98">
        <v>15</v>
      </c>
      <c r="K748" s="89">
        <f t="shared" si="32"/>
        <v>1</v>
      </c>
      <c r="L748" s="89">
        <v>6545.34</v>
      </c>
      <c r="M748" s="89">
        <v>3101.46</v>
      </c>
      <c r="N748" s="89">
        <v>649.06</v>
      </c>
      <c r="O748" s="89">
        <f t="shared" si="30"/>
        <v>10295.86</v>
      </c>
    </row>
    <row r="749" spans="1:15">
      <c r="A749" s="74" t="s">
        <v>113</v>
      </c>
      <c r="B749" s="74" t="s">
        <v>154</v>
      </c>
      <c r="C749" s="74" t="s">
        <v>155</v>
      </c>
      <c r="D749" s="74" t="s">
        <v>79</v>
      </c>
      <c r="E749" s="74" t="s">
        <v>81</v>
      </c>
      <c r="F749" s="86" t="s">
        <v>156</v>
      </c>
      <c r="G749" s="74" t="s">
        <v>157</v>
      </c>
      <c r="H749" s="87">
        <v>43889</v>
      </c>
      <c r="I749" s="98">
        <v>15</v>
      </c>
      <c r="J749" s="98">
        <v>15</v>
      </c>
      <c r="K749" s="89">
        <f t="shared" si="32"/>
        <v>1</v>
      </c>
      <c r="L749" s="89">
        <v>5420.47</v>
      </c>
      <c r="M749" s="89">
        <v>3226.41</v>
      </c>
      <c r="N749" s="89">
        <v>531.33</v>
      </c>
      <c r="O749" s="89">
        <f t="shared" si="30"/>
        <v>9178.21</v>
      </c>
    </row>
    <row r="750" spans="1:15">
      <c r="A750" s="74" t="s">
        <v>113</v>
      </c>
      <c r="B750" s="74" t="s">
        <v>158</v>
      </c>
      <c r="C750" s="74" t="s">
        <v>159</v>
      </c>
      <c r="D750" s="74" t="s">
        <v>79</v>
      </c>
      <c r="E750" s="74" t="s">
        <v>81</v>
      </c>
      <c r="F750" s="86" t="s">
        <v>160</v>
      </c>
      <c r="G750" s="74" t="s">
        <v>161</v>
      </c>
      <c r="H750" s="87">
        <v>43889</v>
      </c>
      <c r="I750" s="98">
        <v>15</v>
      </c>
      <c r="J750" s="98">
        <v>15</v>
      </c>
      <c r="K750" s="89">
        <f t="shared" si="32"/>
        <v>1</v>
      </c>
      <c r="L750" s="89">
        <v>4189.53</v>
      </c>
      <c r="M750" s="89">
        <v>3253.49</v>
      </c>
      <c r="N750" s="89">
        <v>415.49</v>
      </c>
      <c r="O750" s="89">
        <f t="shared" si="30"/>
        <v>7858.51</v>
      </c>
    </row>
    <row r="751" spans="1:15">
      <c r="A751" s="74" t="s">
        <v>113</v>
      </c>
      <c r="B751" s="74" t="s">
        <v>162</v>
      </c>
      <c r="C751" s="74" t="s">
        <v>163</v>
      </c>
      <c r="D751" s="74" t="s">
        <v>79</v>
      </c>
      <c r="E751" s="74" t="s">
        <v>81</v>
      </c>
      <c r="F751" s="86" t="s">
        <v>123</v>
      </c>
      <c r="G751" s="74" t="s">
        <v>153</v>
      </c>
      <c r="H751" s="87">
        <v>43889</v>
      </c>
      <c r="I751" s="98">
        <v>15</v>
      </c>
      <c r="J751" s="98">
        <v>15</v>
      </c>
      <c r="K751" s="89">
        <f t="shared" si="32"/>
        <v>1</v>
      </c>
      <c r="L751" s="89">
        <v>6277.22</v>
      </c>
      <c r="M751" s="89">
        <v>3192.18</v>
      </c>
      <c r="N751" s="89">
        <v>611.63</v>
      </c>
      <c r="O751" s="89">
        <f t="shared" si="30"/>
        <v>10081.03</v>
      </c>
    </row>
    <row r="752" spans="1:15">
      <c r="A752" s="74" t="s">
        <v>113</v>
      </c>
      <c r="B752" s="74" t="s">
        <v>164</v>
      </c>
      <c r="C752" s="74" t="s">
        <v>165</v>
      </c>
      <c r="D752" s="74" t="s">
        <v>79</v>
      </c>
      <c r="E752" s="74" t="s">
        <v>81</v>
      </c>
      <c r="F752" s="86" t="s">
        <v>156</v>
      </c>
      <c r="G752" s="74" t="s">
        <v>157</v>
      </c>
      <c r="H752" s="87">
        <v>43889</v>
      </c>
      <c r="I752" s="98">
        <v>15</v>
      </c>
      <c r="J752" s="98">
        <v>15</v>
      </c>
      <c r="K752" s="89">
        <f t="shared" si="32"/>
        <v>1</v>
      </c>
      <c r="L752" s="89">
        <v>5237.71</v>
      </c>
      <c r="M752" s="89">
        <v>3199.03</v>
      </c>
      <c r="N752" s="89">
        <v>504.99</v>
      </c>
      <c r="O752" s="89">
        <f t="shared" si="30"/>
        <v>8941.73</v>
      </c>
    </row>
    <row r="753" spans="1:15">
      <c r="A753" s="74" t="s">
        <v>113</v>
      </c>
      <c r="B753" s="74" t="s">
        <v>166</v>
      </c>
      <c r="C753" s="74" t="s">
        <v>167</v>
      </c>
      <c r="D753" s="74" t="s">
        <v>79</v>
      </c>
      <c r="E753" s="74" t="s">
        <v>81</v>
      </c>
      <c r="F753" s="86" t="s">
        <v>160</v>
      </c>
      <c r="G753" s="74" t="s">
        <v>161</v>
      </c>
      <c r="H753" s="87">
        <v>43889</v>
      </c>
      <c r="I753" s="98">
        <v>15</v>
      </c>
      <c r="J753" s="98">
        <v>15</v>
      </c>
      <c r="K753" s="89">
        <f t="shared" si="32"/>
        <v>1</v>
      </c>
      <c r="L753" s="89">
        <v>4355.87</v>
      </c>
      <c r="M753" s="89">
        <v>3209.14</v>
      </c>
      <c r="N753" s="89">
        <v>417.97</v>
      </c>
      <c r="O753" s="89">
        <f t="shared" si="30"/>
        <v>7982.98</v>
      </c>
    </row>
    <row r="754" spans="1:15">
      <c r="A754" s="74" t="s">
        <v>113</v>
      </c>
      <c r="B754" s="74" t="s">
        <v>168</v>
      </c>
      <c r="C754" s="74" t="s">
        <v>169</v>
      </c>
      <c r="D754" s="74" t="s">
        <v>79</v>
      </c>
      <c r="E754" s="74" t="s">
        <v>81</v>
      </c>
      <c r="F754" s="86" t="s">
        <v>123</v>
      </c>
      <c r="G754" s="74" t="s">
        <v>153</v>
      </c>
      <c r="H754" s="87">
        <v>43889</v>
      </c>
      <c r="I754" s="98">
        <v>15</v>
      </c>
      <c r="J754" s="98">
        <v>15</v>
      </c>
      <c r="K754" s="89">
        <f t="shared" si="32"/>
        <v>1</v>
      </c>
      <c r="L754" s="89">
        <v>6544.62</v>
      </c>
      <c r="M754" s="89">
        <v>3260.04</v>
      </c>
      <c r="N754" s="89">
        <v>600.29</v>
      </c>
      <c r="O754" s="89">
        <f t="shared" si="30"/>
        <v>10404.95</v>
      </c>
    </row>
    <row r="755" spans="1:15">
      <c r="A755" s="74" t="s">
        <v>113</v>
      </c>
      <c r="B755" s="74" t="s">
        <v>170</v>
      </c>
      <c r="C755" s="74" t="s">
        <v>171</v>
      </c>
      <c r="D755" s="74" t="s">
        <v>79</v>
      </c>
      <c r="E755" s="74" t="s">
        <v>81</v>
      </c>
      <c r="F755" s="86" t="s">
        <v>156</v>
      </c>
      <c r="G755" s="74" t="s">
        <v>157</v>
      </c>
      <c r="H755" s="87">
        <v>43889</v>
      </c>
      <c r="I755" s="98">
        <v>15</v>
      </c>
      <c r="J755" s="98">
        <v>15</v>
      </c>
      <c r="K755" s="89">
        <f t="shared" si="32"/>
        <v>1</v>
      </c>
      <c r="L755" s="89">
        <v>5262.07</v>
      </c>
      <c r="M755" s="89">
        <v>3213.98</v>
      </c>
      <c r="N755" s="89">
        <v>518.02</v>
      </c>
      <c r="O755" s="89">
        <f t="shared" si="30"/>
        <v>8994.07</v>
      </c>
    </row>
    <row r="756" spans="1:15">
      <c r="A756" s="74" t="s">
        <v>113</v>
      </c>
      <c r="B756" s="74" t="s">
        <v>172</v>
      </c>
      <c r="C756" s="74" t="s">
        <v>173</v>
      </c>
      <c r="D756" s="74" t="s">
        <v>79</v>
      </c>
      <c r="E756" s="74" t="s">
        <v>81</v>
      </c>
      <c r="F756" s="86" t="s">
        <v>160</v>
      </c>
      <c r="G756" s="74" t="s">
        <v>161</v>
      </c>
      <c r="H756" s="87">
        <v>43889</v>
      </c>
      <c r="I756" s="98">
        <v>15</v>
      </c>
      <c r="J756" s="98">
        <v>15</v>
      </c>
      <c r="K756" s="89">
        <f t="shared" si="32"/>
        <v>1</v>
      </c>
      <c r="L756" s="89">
        <v>4183.99</v>
      </c>
      <c r="M756" s="89">
        <v>3045.41</v>
      </c>
      <c r="N756" s="89">
        <v>430.6</v>
      </c>
      <c r="O756" s="89">
        <f t="shared" si="30"/>
        <v>7660</v>
      </c>
    </row>
    <row r="757" spans="1:15">
      <c r="A757" s="74" t="s">
        <v>113</v>
      </c>
      <c r="B757" s="74" t="s">
        <v>174</v>
      </c>
      <c r="C757" s="74" t="s">
        <v>175</v>
      </c>
      <c r="D757" s="74" t="s">
        <v>79</v>
      </c>
      <c r="E757" s="74" t="s">
        <v>81</v>
      </c>
      <c r="F757" s="86" t="s">
        <v>176</v>
      </c>
      <c r="G757" s="74" t="s">
        <v>177</v>
      </c>
      <c r="H757" s="87">
        <v>43889</v>
      </c>
      <c r="I757" s="98">
        <v>15</v>
      </c>
      <c r="J757" s="98">
        <v>15</v>
      </c>
      <c r="K757" s="89">
        <f t="shared" si="32"/>
        <v>1</v>
      </c>
      <c r="L757" s="89">
        <v>3075.68</v>
      </c>
      <c r="M757" s="89">
        <v>3201.36</v>
      </c>
      <c r="N757" s="89">
        <v>312.93</v>
      </c>
      <c r="O757" s="89">
        <f t="shared" si="30"/>
        <v>6589.97</v>
      </c>
    </row>
    <row r="758" spans="1:15">
      <c r="A758" s="74" t="s">
        <v>113</v>
      </c>
      <c r="B758" s="74" t="s">
        <v>178</v>
      </c>
      <c r="C758" s="74" t="s">
        <v>179</v>
      </c>
      <c r="D758" s="74" t="s">
        <v>79</v>
      </c>
      <c r="E758" s="74" t="s">
        <v>81</v>
      </c>
      <c r="F758" s="86" t="s">
        <v>180</v>
      </c>
      <c r="G758" s="74" t="s">
        <v>177</v>
      </c>
      <c r="H758" s="87">
        <v>43889</v>
      </c>
      <c r="I758" s="98">
        <v>15</v>
      </c>
      <c r="J758" s="98">
        <v>15</v>
      </c>
      <c r="K758" s="89">
        <f t="shared" si="32"/>
        <v>1</v>
      </c>
      <c r="L758" s="89">
        <v>2062.68</v>
      </c>
      <c r="M758" s="89">
        <v>3263.47</v>
      </c>
      <c r="N758" s="89">
        <v>206.02</v>
      </c>
      <c r="O758" s="89">
        <f t="shared" si="30"/>
        <v>5532.17</v>
      </c>
    </row>
    <row r="759" spans="1:15">
      <c r="A759" s="74" t="s">
        <v>113</v>
      </c>
      <c r="B759" s="74" t="s">
        <v>181</v>
      </c>
      <c r="C759" s="74" t="s">
        <v>182</v>
      </c>
      <c r="D759" s="74" t="s">
        <v>79</v>
      </c>
      <c r="E759" s="74" t="s">
        <v>81</v>
      </c>
      <c r="F759" s="86" t="s">
        <v>183</v>
      </c>
      <c r="G759" s="74" t="s">
        <v>177</v>
      </c>
      <c r="H759" s="87">
        <v>43889</v>
      </c>
      <c r="I759" s="98">
        <v>15</v>
      </c>
      <c r="J759" s="98">
        <v>15</v>
      </c>
      <c r="K759" s="89">
        <f t="shared" si="32"/>
        <v>1</v>
      </c>
      <c r="L759" s="89">
        <v>1073.89</v>
      </c>
      <c r="M759" s="89">
        <v>3143.37</v>
      </c>
      <c r="N759" s="89">
        <v>102.84</v>
      </c>
      <c r="O759" s="89">
        <f t="shared" si="30"/>
        <v>4320.1</v>
      </c>
    </row>
    <row r="760" spans="1:15">
      <c r="A760" s="74" t="s">
        <v>113</v>
      </c>
      <c r="B760" s="74" t="s">
        <v>184</v>
      </c>
      <c r="C760" s="74" t="s">
        <v>185</v>
      </c>
      <c r="D760" s="74" t="s">
        <v>79</v>
      </c>
      <c r="E760" s="74" t="s">
        <v>81</v>
      </c>
      <c r="F760" s="86" t="s">
        <v>176</v>
      </c>
      <c r="G760" s="74" t="s">
        <v>177</v>
      </c>
      <c r="H760" s="87">
        <v>43889</v>
      </c>
      <c r="I760" s="98">
        <v>15</v>
      </c>
      <c r="J760" s="98">
        <v>15</v>
      </c>
      <c r="K760" s="89">
        <f t="shared" si="32"/>
        <v>1</v>
      </c>
      <c r="L760" s="89">
        <v>3180.72</v>
      </c>
      <c r="M760" s="89">
        <v>3268.72</v>
      </c>
      <c r="N760" s="89">
        <v>327.19</v>
      </c>
      <c r="O760" s="89">
        <f t="shared" si="30"/>
        <v>6776.63</v>
      </c>
    </row>
    <row r="761" spans="1:15">
      <c r="A761" s="74" t="s">
        <v>113</v>
      </c>
      <c r="B761" s="74" t="s">
        <v>186</v>
      </c>
      <c r="C761" s="74" t="s">
        <v>187</v>
      </c>
      <c r="D761" s="74" t="s">
        <v>79</v>
      </c>
      <c r="E761" s="74" t="s">
        <v>81</v>
      </c>
      <c r="F761" s="86" t="s">
        <v>180</v>
      </c>
      <c r="G761" s="74" t="s">
        <v>177</v>
      </c>
      <c r="H761" s="87">
        <v>43889</v>
      </c>
      <c r="I761" s="98">
        <v>15</v>
      </c>
      <c r="J761" s="98">
        <v>15</v>
      </c>
      <c r="K761" s="89">
        <f t="shared" si="32"/>
        <v>1</v>
      </c>
      <c r="L761" s="89">
        <v>2148.89</v>
      </c>
      <c r="M761" s="89">
        <v>3091.73</v>
      </c>
      <c r="N761" s="89">
        <v>201.19</v>
      </c>
      <c r="O761" s="89">
        <f t="shared" si="30"/>
        <v>5441.81</v>
      </c>
    </row>
    <row r="762" spans="1:15">
      <c r="A762" s="74" t="s">
        <v>113</v>
      </c>
      <c r="B762" s="74" t="s">
        <v>188</v>
      </c>
      <c r="C762" s="74" t="s">
        <v>189</v>
      </c>
      <c r="D762" s="74" t="s">
        <v>79</v>
      </c>
      <c r="E762" s="74" t="s">
        <v>81</v>
      </c>
      <c r="F762" s="86" t="s">
        <v>183</v>
      </c>
      <c r="G762" s="74" t="s">
        <v>177</v>
      </c>
      <c r="H762" s="87">
        <v>43889</v>
      </c>
      <c r="I762" s="98">
        <v>15</v>
      </c>
      <c r="J762" s="98">
        <v>15</v>
      </c>
      <c r="K762" s="89">
        <f t="shared" si="32"/>
        <v>1</v>
      </c>
      <c r="L762" s="89">
        <v>1050.62</v>
      </c>
      <c r="M762" s="89">
        <v>3180.37</v>
      </c>
      <c r="N762" s="89">
        <v>103.82</v>
      </c>
      <c r="O762" s="89">
        <f t="shared" si="30"/>
        <v>4334.81</v>
      </c>
    </row>
    <row r="763" spans="1:15">
      <c r="A763" s="74" t="s">
        <v>113</v>
      </c>
      <c r="B763" s="74" t="s">
        <v>190</v>
      </c>
      <c r="C763" s="74" t="s">
        <v>191</v>
      </c>
      <c r="D763" s="74" t="s">
        <v>79</v>
      </c>
      <c r="E763" s="74" t="s">
        <v>81</v>
      </c>
      <c r="F763" s="86" t="s">
        <v>176</v>
      </c>
      <c r="G763" s="74" t="s">
        <v>177</v>
      </c>
      <c r="H763" s="87">
        <v>43889</v>
      </c>
      <c r="I763" s="98">
        <v>15</v>
      </c>
      <c r="J763" s="98">
        <v>15</v>
      </c>
      <c r="K763" s="89">
        <f t="shared" si="32"/>
        <v>1</v>
      </c>
      <c r="L763" s="89">
        <v>3051.58</v>
      </c>
      <c r="M763" s="89">
        <v>3015.17</v>
      </c>
      <c r="N763" s="89">
        <v>305.08</v>
      </c>
      <c r="O763" s="89">
        <f t="shared" si="30"/>
        <v>6371.83</v>
      </c>
    </row>
    <row r="764" spans="1:15">
      <c r="A764" s="74" t="s">
        <v>113</v>
      </c>
      <c r="B764" s="74" t="s">
        <v>192</v>
      </c>
      <c r="C764" s="74" t="s">
        <v>193</v>
      </c>
      <c r="D764" s="74" t="s">
        <v>79</v>
      </c>
      <c r="E764" s="74" t="s">
        <v>81</v>
      </c>
      <c r="F764" s="86" t="s">
        <v>180</v>
      </c>
      <c r="G764" s="74" t="s">
        <v>177</v>
      </c>
      <c r="H764" s="87">
        <v>43889</v>
      </c>
      <c r="I764" s="98">
        <v>15</v>
      </c>
      <c r="J764" s="98">
        <v>15</v>
      </c>
      <c r="K764" s="89">
        <f t="shared" si="32"/>
        <v>1</v>
      </c>
      <c r="L764" s="89">
        <v>2006.08</v>
      </c>
      <c r="M764" s="89">
        <v>3213.85</v>
      </c>
      <c r="N764" s="89">
        <v>206.66</v>
      </c>
      <c r="O764" s="89">
        <f t="shared" si="30"/>
        <v>5426.59</v>
      </c>
    </row>
    <row r="765" spans="1:15">
      <c r="A765" s="74" t="s">
        <v>113</v>
      </c>
      <c r="B765" s="74" t="s">
        <v>194</v>
      </c>
      <c r="C765" s="74" t="s">
        <v>195</v>
      </c>
      <c r="D765" s="74" t="s">
        <v>79</v>
      </c>
      <c r="E765" s="74" t="s">
        <v>81</v>
      </c>
      <c r="F765" s="86" t="s">
        <v>183</v>
      </c>
      <c r="G765" s="74" t="s">
        <v>177</v>
      </c>
      <c r="H765" s="87">
        <v>43889</v>
      </c>
      <c r="I765" s="98">
        <v>15</v>
      </c>
      <c r="J765" s="98">
        <v>15</v>
      </c>
      <c r="K765" s="89">
        <f t="shared" si="32"/>
        <v>1</v>
      </c>
      <c r="L765" s="89">
        <v>1076.39</v>
      </c>
      <c r="M765" s="89">
        <v>3259.56</v>
      </c>
      <c r="N765" s="89">
        <v>101.58</v>
      </c>
      <c r="O765" s="89">
        <f t="shared" si="30"/>
        <v>4437.53</v>
      </c>
    </row>
    <row r="766" spans="1:15">
      <c r="A766" s="74" t="s">
        <v>113</v>
      </c>
      <c r="B766" s="74" t="s">
        <v>196</v>
      </c>
      <c r="C766" s="74" t="s">
        <v>197</v>
      </c>
      <c r="D766" s="74" t="s">
        <v>79</v>
      </c>
      <c r="E766" s="74" t="s">
        <v>81</v>
      </c>
      <c r="F766" s="86" t="s">
        <v>176</v>
      </c>
      <c r="G766" s="74" t="s">
        <v>177</v>
      </c>
      <c r="H766" s="87">
        <v>43889</v>
      </c>
      <c r="I766" s="98">
        <v>15</v>
      </c>
      <c r="J766" s="98">
        <v>15</v>
      </c>
      <c r="K766" s="89">
        <f t="shared" si="32"/>
        <v>1</v>
      </c>
      <c r="L766" s="89">
        <v>3075.58</v>
      </c>
      <c r="M766" s="89">
        <v>3165.29</v>
      </c>
      <c r="N766" s="89">
        <v>323.46</v>
      </c>
      <c r="O766" s="89">
        <f t="shared" si="30"/>
        <v>6564.33</v>
      </c>
    </row>
    <row r="767" spans="1:15">
      <c r="A767" s="74" t="s">
        <v>113</v>
      </c>
      <c r="B767" s="74" t="s">
        <v>198</v>
      </c>
      <c r="C767" s="74" t="s">
        <v>199</v>
      </c>
      <c r="D767" s="74" t="s">
        <v>79</v>
      </c>
      <c r="E767" s="74" t="s">
        <v>81</v>
      </c>
      <c r="F767" s="86" t="s">
        <v>180</v>
      </c>
      <c r="G767" s="74" t="s">
        <v>177</v>
      </c>
      <c r="H767" s="87">
        <v>43889</v>
      </c>
      <c r="I767" s="98">
        <v>15</v>
      </c>
      <c r="J767" s="98">
        <v>15</v>
      </c>
      <c r="K767" s="89">
        <f t="shared" si="32"/>
        <v>1</v>
      </c>
      <c r="L767" s="89">
        <v>2096.71</v>
      </c>
      <c r="M767" s="89">
        <v>3039.77</v>
      </c>
      <c r="N767" s="89">
        <v>211.68</v>
      </c>
      <c r="O767" s="89">
        <f t="shared" si="30"/>
        <v>5348.16</v>
      </c>
    </row>
    <row r="768" spans="1:15">
      <c r="A768" s="74" t="s">
        <v>113</v>
      </c>
      <c r="B768" s="74" t="s">
        <v>200</v>
      </c>
      <c r="C768" s="74" t="s">
        <v>201</v>
      </c>
      <c r="D768" s="74" t="s">
        <v>79</v>
      </c>
      <c r="E768" s="74" t="s">
        <v>81</v>
      </c>
      <c r="F768" s="86" t="s">
        <v>183</v>
      </c>
      <c r="G768" s="74" t="s">
        <v>177</v>
      </c>
      <c r="H768" s="87">
        <v>43889</v>
      </c>
      <c r="I768" s="98">
        <v>15</v>
      </c>
      <c r="J768" s="98">
        <v>15</v>
      </c>
      <c r="K768" s="89">
        <f t="shared" si="32"/>
        <v>1</v>
      </c>
      <c r="L768" s="89">
        <v>1099.14</v>
      </c>
      <c r="M768" s="89">
        <v>3195.71</v>
      </c>
      <c r="N768" s="89">
        <v>101.2</v>
      </c>
      <c r="O768" s="89">
        <f t="shared" si="30"/>
        <v>4396.05</v>
      </c>
    </row>
    <row r="769" spans="1:15">
      <c r="A769" s="74" t="s">
        <v>113</v>
      </c>
      <c r="B769" s="74" t="s">
        <v>202</v>
      </c>
      <c r="C769" s="74" t="s">
        <v>203</v>
      </c>
      <c r="D769" s="74" t="s">
        <v>79</v>
      </c>
      <c r="E769" s="74" t="s">
        <v>81</v>
      </c>
      <c r="F769" s="86" t="s">
        <v>204</v>
      </c>
      <c r="G769" s="74" t="s">
        <v>205</v>
      </c>
      <c r="H769" s="87">
        <v>43889</v>
      </c>
      <c r="I769" s="98">
        <v>15</v>
      </c>
      <c r="J769" s="98">
        <v>15</v>
      </c>
      <c r="K769" s="89">
        <f t="shared" si="32"/>
        <v>1</v>
      </c>
      <c r="L769" s="89">
        <v>19271.43</v>
      </c>
      <c r="M769" s="89">
        <v>3196.57</v>
      </c>
      <c r="N769" s="89">
        <v>1934.66</v>
      </c>
      <c r="O769" s="89">
        <f t="shared" si="30"/>
        <v>24402.66</v>
      </c>
    </row>
    <row r="770" spans="1:15">
      <c r="A770" s="74" t="s">
        <v>113</v>
      </c>
      <c r="B770" s="74" t="s">
        <v>206</v>
      </c>
      <c r="C770" s="74" t="s">
        <v>207</v>
      </c>
      <c r="D770" s="88" t="s">
        <v>82</v>
      </c>
      <c r="E770" s="88" t="s">
        <v>84</v>
      </c>
      <c r="F770" s="86" t="s">
        <v>208</v>
      </c>
      <c r="G770" s="74" t="s">
        <v>209</v>
      </c>
      <c r="H770" s="87">
        <v>43889</v>
      </c>
      <c r="I770" s="98">
        <v>15</v>
      </c>
      <c r="J770" s="98">
        <v>15</v>
      </c>
      <c r="K770" s="89">
        <f t="shared" si="32"/>
        <v>1</v>
      </c>
      <c r="L770" s="89">
        <v>9514.84</v>
      </c>
      <c r="M770" s="89">
        <v>3128.44</v>
      </c>
      <c r="N770" s="89">
        <v>978.97</v>
      </c>
      <c r="O770" s="89">
        <f t="shared" si="30"/>
        <v>13622.25</v>
      </c>
    </row>
    <row r="771" spans="1:15">
      <c r="A771" s="74" t="s">
        <v>113</v>
      </c>
      <c r="B771" s="74" t="s">
        <v>210</v>
      </c>
      <c r="C771" s="74" t="s">
        <v>211</v>
      </c>
      <c r="D771" s="88" t="s">
        <v>82</v>
      </c>
      <c r="E771" s="88" t="s">
        <v>84</v>
      </c>
      <c r="F771" s="86" t="s">
        <v>116</v>
      </c>
      <c r="G771" s="74" t="s">
        <v>209</v>
      </c>
      <c r="H771" s="87">
        <v>43889</v>
      </c>
      <c r="I771" s="98">
        <v>15</v>
      </c>
      <c r="J771" s="98">
        <v>15</v>
      </c>
      <c r="K771" s="89">
        <f t="shared" si="32"/>
        <v>1</v>
      </c>
      <c r="L771" s="89">
        <v>8217.41</v>
      </c>
      <c r="M771" s="89">
        <v>3112.17</v>
      </c>
      <c r="N771" s="89">
        <v>850.56</v>
      </c>
      <c r="O771" s="89">
        <f t="shared" si="30"/>
        <v>12180.14</v>
      </c>
    </row>
    <row r="772" spans="1:15">
      <c r="A772" s="74" t="s">
        <v>113</v>
      </c>
      <c r="B772" s="74" t="s">
        <v>212</v>
      </c>
      <c r="C772" s="74" t="s">
        <v>213</v>
      </c>
      <c r="D772" s="88" t="s">
        <v>82</v>
      </c>
      <c r="E772" s="88" t="s">
        <v>84</v>
      </c>
      <c r="F772" s="86" t="s">
        <v>208</v>
      </c>
      <c r="G772" s="74" t="s">
        <v>209</v>
      </c>
      <c r="H772" s="87">
        <v>43889</v>
      </c>
      <c r="I772" s="98">
        <v>15</v>
      </c>
      <c r="J772" s="98">
        <v>15</v>
      </c>
      <c r="K772" s="89">
        <f t="shared" si="32"/>
        <v>1</v>
      </c>
      <c r="L772" s="89">
        <v>9513.45</v>
      </c>
      <c r="M772" s="89">
        <v>3138.75</v>
      </c>
      <c r="N772" s="89">
        <v>923.01</v>
      </c>
      <c r="O772" s="89">
        <f t="shared" si="30"/>
        <v>13575.21</v>
      </c>
    </row>
    <row r="773" spans="1:15">
      <c r="A773" s="74" t="s">
        <v>113</v>
      </c>
      <c r="B773" s="74" t="s">
        <v>214</v>
      </c>
      <c r="C773" s="74" t="s">
        <v>215</v>
      </c>
      <c r="D773" s="88" t="s">
        <v>82</v>
      </c>
      <c r="E773" s="88" t="s">
        <v>84</v>
      </c>
      <c r="F773" s="86" t="s">
        <v>116</v>
      </c>
      <c r="G773" s="74" t="s">
        <v>209</v>
      </c>
      <c r="H773" s="87">
        <v>43889</v>
      </c>
      <c r="I773" s="98">
        <v>15</v>
      </c>
      <c r="J773" s="98">
        <v>15</v>
      </c>
      <c r="K773" s="89">
        <f t="shared" si="32"/>
        <v>1</v>
      </c>
      <c r="L773" s="89">
        <v>8058.37</v>
      </c>
      <c r="M773" s="89">
        <v>3194.91</v>
      </c>
      <c r="N773" s="89">
        <v>804.33</v>
      </c>
      <c r="O773" s="89">
        <f t="shared" ref="O773:O836" si="33">SUM(L773:N773)</f>
        <v>12057.61</v>
      </c>
    </row>
    <row r="774" spans="1:15">
      <c r="A774" s="74" t="s">
        <v>113</v>
      </c>
      <c r="B774" s="74" t="s">
        <v>216</v>
      </c>
      <c r="C774" s="74" t="s">
        <v>217</v>
      </c>
      <c r="D774" s="88" t="s">
        <v>82</v>
      </c>
      <c r="E774" s="88" t="s">
        <v>84</v>
      </c>
      <c r="F774" s="86" t="s">
        <v>218</v>
      </c>
      <c r="G774" s="74" t="s">
        <v>219</v>
      </c>
      <c r="H774" s="87">
        <v>43889</v>
      </c>
      <c r="I774" s="98">
        <v>15</v>
      </c>
      <c r="J774" s="98">
        <v>15</v>
      </c>
      <c r="K774" s="89">
        <f t="shared" si="32"/>
        <v>1</v>
      </c>
      <c r="L774" s="89">
        <v>12058.89</v>
      </c>
      <c r="M774" s="89">
        <v>3272.34</v>
      </c>
      <c r="N774" s="89">
        <v>1160.88</v>
      </c>
      <c r="O774" s="89">
        <f t="shared" si="33"/>
        <v>16492.11</v>
      </c>
    </row>
    <row r="775" spans="1:15">
      <c r="A775" s="74" t="s">
        <v>113</v>
      </c>
      <c r="B775" s="74" t="s">
        <v>220</v>
      </c>
      <c r="C775" s="74" t="s">
        <v>221</v>
      </c>
      <c r="D775" s="88" t="s">
        <v>82</v>
      </c>
      <c r="E775" s="74" t="s">
        <v>83</v>
      </c>
      <c r="F775" s="86" t="s">
        <v>218</v>
      </c>
      <c r="G775" s="74" t="s">
        <v>222</v>
      </c>
      <c r="H775" s="87">
        <v>43889</v>
      </c>
      <c r="I775" s="98">
        <v>15</v>
      </c>
      <c r="J775" s="98">
        <v>15</v>
      </c>
      <c r="K775" s="89">
        <f t="shared" si="32"/>
        <v>1</v>
      </c>
      <c r="L775" s="89">
        <v>11902.79</v>
      </c>
      <c r="M775" s="89">
        <v>3147.29</v>
      </c>
      <c r="N775" s="89">
        <v>1126.48</v>
      </c>
      <c r="O775" s="89">
        <f t="shared" si="33"/>
        <v>16176.56</v>
      </c>
    </row>
    <row r="776" spans="1:15">
      <c r="A776" s="74" t="s">
        <v>113</v>
      </c>
      <c r="B776" s="74" t="s">
        <v>223</v>
      </c>
      <c r="C776" s="74" t="s">
        <v>224</v>
      </c>
      <c r="D776" s="88" t="s">
        <v>82</v>
      </c>
      <c r="E776" s="74" t="s">
        <v>83</v>
      </c>
      <c r="F776" s="86" t="s">
        <v>225</v>
      </c>
      <c r="G776" s="74" t="s">
        <v>209</v>
      </c>
      <c r="H776" s="87">
        <v>43889</v>
      </c>
      <c r="I776" s="98">
        <v>15</v>
      </c>
      <c r="J776" s="98">
        <v>15</v>
      </c>
      <c r="K776" s="89">
        <f t="shared" si="32"/>
        <v>1</v>
      </c>
      <c r="L776" s="89">
        <v>10569.25</v>
      </c>
      <c r="M776" s="89">
        <v>3027.21</v>
      </c>
      <c r="N776" s="89">
        <v>1073.44</v>
      </c>
      <c r="O776" s="89">
        <f t="shared" si="33"/>
        <v>14669.9</v>
      </c>
    </row>
    <row r="777" spans="1:15">
      <c r="A777" s="74" t="s">
        <v>113</v>
      </c>
      <c r="B777" s="74" t="s">
        <v>226</v>
      </c>
      <c r="C777" s="74" t="s">
        <v>227</v>
      </c>
      <c r="D777" s="88" t="s">
        <v>82</v>
      </c>
      <c r="E777" s="74" t="s">
        <v>83</v>
      </c>
      <c r="F777" s="86" t="s">
        <v>208</v>
      </c>
      <c r="G777" s="74" t="s">
        <v>209</v>
      </c>
      <c r="H777" s="87">
        <v>43889</v>
      </c>
      <c r="I777" s="98">
        <v>15</v>
      </c>
      <c r="J777" s="98">
        <v>15</v>
      </c>
      <c r="K777" s="89">
        <f t="shared" si="32"/>
        <v>1</v>
      </c>
      <c r="L777" s="89">
        <v>9714.85</v>
      </c>
      <c r="M777" s="89">
        <v>3071.09</v>
      </c>
      <c r="N777" s="89">
        <v>978.06</v>
      </c>
      <c r="O777" s="89">
        <f t="shared" si="33"/>
        <v>13764</v>
      </c>
    </row>
    <row r="778" spans="1:15">
      <c r="A778" s="74" t="s">
        <v>113</v>
      </c>
      <c r="B778" s="74" t="s">
        <v>228</v>
      </c>
      <c r="C778" s="74" t="s">
        <v>229</v>
      </c>
      <c r="D778" s="88" t="s">
        <v>82</v>
      </c>
      <c r="E778" s="74" t="s">
        <v>83</v>
      </c>
      <c r="F778" s="86" t="s">
        <v>116</v>
      </c>
      <c r="G778" s="74" t="s">
        <v>209</v>
      </c>
      <c r="H778" s="87">
        <v>43889</v>
      </c>
      <c r="I778" s="98">
        <v>15</v>
      </c>
      <c r="J778" s="98">
        <v>15</v>
      </c>
      <c r="K778" s="89">
        <f t="shared" si="32"/>
        <v>1</v>
      </c>
      <c r="L778" s="89">
        <v>8236.66</v>
      </c>
      <c r="M778" s="89">
        <v>3259.68</v>
      </c>
      <c r="N778" s="89">
        <v>839.1</v>
      </c>
      <c r="O778" s="89">
        <f t="shared" si="33"/>
        <v>12335.44</v>
      </c>
    </row>
    <row r="779" spans="1:15">
      <c r="A779" s="74" t="s">
        <v>113</v>
      </c>
      <c r="B779" s="74" t="s">
        <v>230</v>
      </c>
      <c r="C779" s="74" t="s">
        <v>231</v>
      </c>
      <c r="D779" s="88" t="s">
        <v>82</v>
      </c>
      <c r="E779" s="74" t="s">
        <v>83</v>
      </c>
      <c r="F779" s="86" t="s">
        <v>120</v>
      </c>
      <c r="G779" s="74" t="s">
        <v>209</v>
      </c>
      <c r="H779" s="87">
        <v>43889</v>
      </c>
      <c r="I779" s="98">
        <v>15</v>
      </c>
      <c r="J779" s="98">
        <v>15</v>
      </c>
      <c r="K779" s="89">
        <f t="shared" si="32"/>
        <v>1</v>
      </c>
      <c r="L779" s="89">
        <v>7004.27</v>
      </c>
      <c r="M779" s="89">
        <v>3128.93</v>
      </c>
      <c r="N779" s="89">
        <v>729.7</v>
      </c>
      <c r="O779" s="89">
        <f t="shared" si="33"/>
        <v>10862.9</v>
      </c>
    </row>
    <row r="780" spans="1:15">
      <c r="A780" s="74" t="s">
        <v>113</v>
      </c>
      <c r="B780" s="74" t="s">
        <v>232</v>
      </c>
      <c r="C780" s="74" t="s">
        <v>233</v>
      </c>
      <c r="D780" s="88" t="s">
        <v>82</v>
      </c>
      <c r="E780" s="74" t="s">
        <v>83</v>
      </c>
      <c r="F780" s="86" t="s">
        <v>123</v>
      </c>
      <c r="G780" s="74" t="s">
        <v>209</v>
      </c>
      <c r="H780" s="87">
        <v>43889</v>
      </c>
      <c r="I780" s="98">
        <v>15</v>
      </c>
      <c r="J780" s="98">
        <v>15</v>
      </c>
      <c r="K780" s="89">
        <f t="shared" si="32"/>
        <v>1</v>
      </c>
      <c r="L780" s="89">
        <v>6135.28</v>
      </c>
      <c r="M780" s="89">
        <v>3264.3</v>
      </c>
      <c r="N780" s="89">
        <v>647.85</v>
      </c>
      <c r="O780" s="89">
        <f t="shared" si="33"/>
        <v>10047.43</v>
      </c>
    </row>
    <row r="781" spans="1:15">
      <c r="A781" s="74" t="s">
        <v>113</v>
      </c>
      <c r="B781" s="74" t="s">
        <v>234</v>
      </c>
      <c r="C781" s="74" t="s">
        <v>235</v>
      </c>
      <c r="D781" s="88" t="s">
        <v>82</v>
      </c>
      <c r="E781" s="74" t="s">
        <v>83</v>
      </c>
      <c r="F781" s="86" t="s">
        <v>116</v>
      </c>
      <c r="G781" s="74" t="s">
        <v>209</v>
      </c>
      <c r="H781" s="87">
        <v>43889</v>
      </c>
      <c r="I781" s="98">
        <v>15</v>
      </c>
      <c r="J781" s="98">
        <v>15</v>
      </c>
      <c r="K781" s="89">
        <f t="shared" si="32"/>
        <v>1</v>
      </c>
      <c r="L781" s="89">
        <v>8055.31</v>
      </c>
      <c r="M781" s="89">
        <v>3272.71</v>
      </c>
      <c r="N781" s="89">
        <v>866.69</v>
      </c>
      <c r="O781" s="89">
        <f t="shared" si="33"/>
        <v>12194.71</v>
      </c>
    </row>
    <row r="782" spans="1:15">
      <c r="A782" s="74" t="s">
        <v>113</v>
      </c>
      <c r="B782" s="74" t="s">
        <v>236</v>
      </c>
      <c r="C782" s="74" t="s">
        <v>237</v>
      </c>
      <c r="D782" s="88" t="s">
        <v>82</v>
      </c>
      <c r="E782" s="74" t="s">
        <v>83</v>
      </c>
      <c r="F782" s="86" t="s">
        <v>120</v>
      </c>
      <c r="G782" s="74" t="s">
        <v>209</v>
      </c>
      <c r="H782" s="87">
        <v>43889</v>
      </c>
      <c r="I782" s="98">
        <v>15</v>
      </c>
      <c r="J782" s="98">
        <v>15</v>
      </c>
      <c r="K782" s="89">
        <f t="shared" si="32"/>
        <v>1</v>
      </c>
      <c r="L782" s="89">
        <v>7580.13</v>
      </c>
      <c r="M782" s="89">
        <v>3226.54</v>
      </c>
      <c r="N782" s="89">
        <v>748.88</v>
      </c>
      <c r="O782" s="89">
        <f t="shared" si="33"/>
        <v>11555.55</v>
      </c>
    </row>
    <row r="783" spans="1:15">
      <c r="A783" s="74" t="s">
        <v>113</v>
      </c>
      <c r="B783" s="74" t="s">
        <v>238</v>
      </c>
      <c r="C783" s="74" t="s">
        <v>239</v>
      </c>
      <c r="D783" s="74" t="s">
        <v>86</v>
      </c>
      <c r="E783" s="74" t="s">
        <v>87</v>
      </c>
      <c r="F783" s="86" t="s">
        <v>204</v>
      </c>
      <c r="G783" s="74" t="s">
        <v>240</v>
      </c>
      <c r="H783" s="87">
        <v>43889</v>
      </c>
      <c r="I783" s="98">
        <v>15</v>
      </c>
      <c r="J783" s="98">
        <v>15</v>
      </c>
      <c r="K783" s="89">
        <f t="shared" si="32"/>
        <v>1</v>
      </c>
      <c r="L783" s="89">
        <v>14859.61</v>
      </c>
      <c r="M783" s="89">
        <v>3097.16</v>
      </c>
      <c r="N783" s="89">
        <v>1913.26</v>
      </c>
      <c r="O783" s="89">
        <f t="shared" si="33"/>
        <v>19870.03</v>
      </c>
    </row>
    <row r="784" spans="1:15">
      <c r="A784" s="74" t="s">
        <v>113</v>
      </c>
      <c r="B784" s="74" t="s">
        <v>241</v>
      </c>
      <c r="C784" s="74" t="s">
        <v>242</v>
      </c>
      <c r="D784" s="74" t="s">
        <v>86</v>
      </c>
      <c r="E784" s="74" t="s">
        <v>87</v>
      </c>
      <c r="F784" s="86" t="s">
        <v>243</v>
      </c>
      <c r="G784" s="74" t="s">
        <v>244</v>
      </c>
      <c r="H784" s="87">
        <v>43889</v>
      </c>
      <c r="I784" s="98">
        <v>15</v>
      </c>
      <c r="J784" s="98">
        <v>15</v>
      </c>
      <c r="K784" s="89">
        <f t="shared" si="32"/>
        <v>1</v>
      </c>
      <c r="L784" s="89">
        <v>11363.37</v>
      </c>
      <c r="M784" s="89">
        <v>3046.51</v>
      </c>
      <c r="N784" s="89">
        <v>1311.81</v>
      </c>
      <c r="O784" s="89">
        <f t="shared" si="33"/>
        <v>15721.69</v>
      </c>
    </row>
    <row r="785" spans="1:15">
      <c r="A785" s="74" t="s">
        <v>113</v>
      </c>
      <c r="B785" s="74" t="s">
        <v>245</v>
      </c>
      <c r="C785" s="74" t="s">
        <v>246</v>
      </c>
      <c r="D785" s="74" t="s">
        <v>86</v>
      </c>
      <c r="E785" s="74" t="s">
        <v>87</v>
      </c>
      <c r="F785" s="86" t="s">
        <v>247</v>
      </c>
      <c r="G785" s="74" t="s">
        <v>248</v>
      </c>
      <c r="H785" s="87">
        <v>43889</v>
      </c>
      <c r="I785" s="98">
        <v>15</v>
      </c>
      <c r="J785" s="98">
        <v>15</v>
      </c>
      <c r="K785" s="89">
        <f t="shared" si="32"/>
        <v>1</v>
      </c>
      <c r="L785" s="89">
        <v>9662.23</v>
      </c>
      <c r="M785" s="89">
        <v>3099.3</v>
      </c>
      <c r="N785" s="89">
        <v>1289.15</v>
      </c>
      <c r="O785" s="89">
        <f t="shared" si="33"/>
        <v>14050.68</v>
      </c>
    </row>
    <row r="786" spans="1:15">
      <c r="A786" s="74" t="s">
        <v>113</v>
      </c>
      <c r="B786" s="74" t="s">
        <v>249</v>
      </c>
      <c r="C786" s="74" t="s">
        <v>250</v>
      </c>
      <c r="D786" s="74" t="s">
        <v>86</v>
      </c>
      <c r="E786" s="74" t="s">
        <v>87</v>
      </c>
      <c r="F786" s="86" t="s">
        <v>251</v>
      </c>
      <c r="G786" s="74" t="s">
        <v>252</v>
      </c>
      <c r="H786" s="87">
        <v>43889</v>
      </c>
      <c r="I786" s="98">
        <v>15</v>
      </c>
      <c r="J786" s="98">
        <v>15</v>
      </c>
      <c r="K786" s="89">
        <f t="shared" si="32"/>
        <v>1</v>
      </c>
      <c r="L786" s="89">
        <v>9354.53</v>
      </c>
      <c r="M786" s="89">
        <v>3028.92</v>
      </c>
      <c r="N786" s="89">
        <v>1200.89</v>
      </c>
      <c r="O786" s="89">
        <f t="shared" si="33"/>
        <v>13584.34</v>
      </c>
    </row>
    <row r="787" spans="1:15">
      <c r="A787" s="74" t="s">
        <v>113</v>
      </c>
      <c r="B787" s="74" t="s">
        <v>253</v>
      </c>
      <c r="C787" s="74" t="s">
        <v>254</v>
      </c>
      <c r="D787" s="74" t="s">
        <v>86</v>
      </c>
      <c r="E787" s="74" t="s">
        <v>87</v>
      </c>
      <c r="F787" s="86" t="s">
        <v>255</v>
      </c>
      <c r="G787" s="74" t="s">
        <v>252</v>
      </c>
      <c r="H787" s="87">
        <v>43889</v>
      </c>
      <c r="I787" s="98">
        <v>15</v>
      </c>
      <c r="J787" s="98">
        <v>15</v>
      </c>
      <c r="K787" s="89">
        <f t="shared" si="32"/>
        <v>1</v>
      </c>
      <c r="L787" s="89">
        <v>8084.6</v>
      </c>
      <c r="M787" s="89">
        <v>3059.52</v>
      </c>
      <c r="N787" s="89">
        <v>1035.66</v>
      </c>
      <c r="O787" s="89">
        <f t="shared" si="33"/>
        <v>12179.78</v>
      </c>
    </row>
    <row r="788" spans="1:15">
      <c r="A788" s="74" t="s">
        <v>113</v>
      </c>
      <c r="B788" s="74" t="s">
        <v>256</v>
      </c>
      <c r="C788" s="74" t="s">
        <v>257</v>
      </c>
      <c r="D788" s="74" t="s">
        <v>86</v>
      </c>
      <c r="E788" s="74" t="s">
        <v>87</v>
      </c>
      <c r="F788" s="86" t="s">
        <v>258</v>
      </c>
      <c r="G788" s="74" t="s">
        <v>252</v>
      </c>
      <c r="H788" s="87">
        <v>43889</v>
      </c>
      <c r="I788" s="98">
        <v>15</v>
      </c>
      <c r="J788" s="98">
        <v>15</v>
      </c>
      <c r="K788" s="89">
        <f t="shared" si="32"/>
        <v>1</v>
      </c>
      <c r="L788" s="89">
        <v>7876.54</v>
      </c>
      <c r="M788" s="89">
        <v>3246.47</v>
      </c>
      <c r="N788" s="89">
        <v>965.3</v>
      </c>
      <c r="O788" s="89">
        <f t="shared" si="33"/>
        <v>12088.31</v>
      </c>
    </row>
    <row r="789" spans="1:15">
      <c r="A789" s="74" t="s">
        <v>113</v>
      </c>
      <c r="B789" s="74" t="s">
        <v>259</v>
      </c>
      <c r="C789" s="74" t="s">
        <v>260</v>
      </c>
      <c r="D789" s="74" t="s">
        <v>86</v>
      </c>
      <c r="E789" s="74" t="s">
        <v>87</v>
      </c>
      <c r="F789" s="86" t="s">
        <v>261</v>
      </c>
      <c r="G789" s="74" t="s">
        <v>262</v>
      </c>
      <c r="H789" s="87">
        <v>43889</v>
      </c>
      <c r="I789" s="98">
        <v>15</v>
      </c>
      <c r="J789" s="98">
        <v>15</v>
      </c>
      <c r="K789" s="89">
        <f t="shared" si="32"/>
        <v>1</v>
      </c>
      <c r="L789" s="89">
        <v>6800.01</v>
      </c>
      <c r="M789" s="89">
        <v>3062.43</v>
      </c>
      <c r="N789" s="89">
        <v>846.42</v>
      </c>
      <c r="O789" s="89">
        <f t="shared" si="33"/>
        <v>10708.86</v>
      </c>
    </row>
    <row r="790" spans="1:15">
      <c r="A790" s="74" t="s">
        <v>113</v>
      </c>
      <c r="B790" s="74" t="s">
        <v>263</v>
      </c>
      <c r="C790" s="74" t="s">
        <v>264</v>
      </c>
      <c r="D790" s="74" t="s">
        <v>86</v>
      </c>
      <c r="E790" s="74" t="s">
        <v>88</v>
      </c>
      <c r="F790" s="86" t="s">
        <v>149</v>
      </c>
      <c r="G790" s="74" t="s">
        <v>265</v>
      </c>
      <c r="H790" s="87">
        <v>43889</v>
      </c>
      <c r="I790" s="98">
        <v>15</v>
      </c>
      <c r="J790" s="98">
        <v>15</v>
      </c>
      <c r="K790" s="89">
        <f t="shared" si="32"/>
        <v>1</v>
      </c>
      <c r="L790" s="89">
        <v>13616.77</v>
      </c>
      <c r="M790" s="89">
        <v>3269.24</v>
      </c>
      <c r="N790" s="89">
        <v>1809.74</v>
      </c>
      <c r="O790" s="89">
        <f t="shared" si="33"/>
        <v>18695.75</v>
      </c>
    </row>
    <row r="791" spans="1:15">
      <c r="A791" s="74" t="s">
        <v>113</v>
      </c>
      <c r="B791" s="74" t="s">
        <v>266</v>
      </c>
      <c r="C791" s="74" t="s">
        <v>267</v>
      </c>
      <c r="D791" s="74" t="s">
        <v>86</v>
      </c>
      <c r="E791" s="74" t="s">
        <v>88</v>
      </c>
      <c r="F791" s="86" t="s">
        <v>243</v>
      </c>
      <c r="G791" s="74" t="s">
        <v>268</v>
      </c>
      <c r="H791" s="87">
        <v>43889</v>
      </c>
      <c r="I791" s="98">
        <v>15</v>
      </c>
      <c r="J791" s="98">
        <v>15</v>
      </c>
      <c r="K791" s="89">
        <f t="shared" si="32"/>
        <v>1</v>
      </c>
      <c r="L791" s="89">
        <v>10674.53</v>
      </c>
      <c r="M791" s="89">
        <v>3000.57</v>
      </c>
      <c r="N791" s="89">
        <v>1379.79</v>
      </c>
      <c r="O791" s="89">
        <f t="shared" si="33"/>
        <v>15054.89</v>
      </c>
    </row>
    <row r="792" spans="1:15">
      <c r="A792" s="74" t="s">
        <v>113</v>
      </c>
      <c r="B792" s="74" t="s">
        <v>269</v>
      </c>
      <c r="C792" s="74" t="s">
        <v>270</v>
      </c>
      <c r="D792" s="74" t="s">
        <v>86</v>
      </c>
      <c r="E792" s="74" t="s">
        <v>88</v>
      </c>
      <c r="F792" s="86" t="s">
        <v>247</v>
      </c>
      <c r="G792" s="74" t="s">
        <v>268</v>
      </c>
      <c r="H792" s="87">
        <v>43889</v>
      </c>
      <c r="I792" s="98">
        <v>15</v>
      </c>
      <c r="J792" s="98">
        <v>15</v>
      </c>
      <c r="K792" s="89">
        <f t="shared" si="32"/>
        <v>1</v>
      </c>
      <c r="L792" s="89">
        <v>9683.19</v>
      </c>
      <c r="M792" s="89">
        <v>3031.35</v>
      </c>
      <c r="N792" s="89">
        <v>1290.74</v>
      </c>
      <c r="O792" s="89">
        <f t="shared" si="33"/>
        <v>14005.28</v>
      </c>
    </row>
    <row r="793" spans="1:15">
      <c r="A793" s="74" t="s">
        <v>113</v>
      </c>
      <c r="B793" s="74" t="s">
        <v>271</v>
      </c>
      <c r="C793" s="74" t="s">
        <v>272</v>
      </c>
      <c r="D793" s="74" t="s">
        <v>86</v>
      </c>
      <c r="E793" s="74" t="s">
        <v>88</v>
      </c>
      <c r="F793" s="86" t="s">
        <v>251</v>
      </c>
      <c r="G793" s="74" t="s">
        <v>268</v>
      </c>
      <c r="H793" s="87">
        <v>43889</v>
      </c>
      <c r="I793" s="98">
        <v>15</v>
      </c>
      <c r="J793" s="98">
        <v>15</v>
      </c>
      <c r="K793" s="89">
        <f t="shared" si="32"/>
        <v>1</v>
      </c>
      <c r="L793" s="89">
        <v>9157.11</v>
      </c>
      <c r="M793" s="89">
        <v>3050.87</v>
      </c>
      <c r="N793" s="89">
        <v>1143.91</v>
      </c>
      <c r="O793" s="89">
        <f t="shared" si="33"/>
        <v>13351.89</v>
      </c>
    </row>
    <row r="794" spans="1:15">
      <c r="A794" s="74" t="s">
        <v>113</v>
      </c>
      <c r="B794" s="74" t="s">
        <v>273</v>
      </c>
      <c r="C794" s="74" t="s">
        <v>274</v>
      </c>
      <c r="D794" s="74" t="s">
        <v>86</v>
      </c>
      <c r="E794" s="74" t="s">
        <v>88</v>
      </c>
      <c r="F794" s="86" t="s">
        <v>255</v>
      </c>
      <c r="G794" s="74" t="s">
        <v>268</v>
      </c>
      <c r="H794" s="87">
        <v>43889</v>
      </c>
      <c r="I794" s="98">
        <v>15</v>
      </c>
      <c r="J794" s="98">
        <v>15</v>
      </c>
      <c r="K794" s="89">
        <f t="shared" si="32"/>
        <v>1</v>
      </c>
      <c r="L794" s="89">
        <v>8437.36</v>
      </c>
      <c r="M794" s="89">
        <v>3069.82</v>
      </c>
      <c r="N794" s="89">
        <v>1068.54</v>
      </c>
      <c r="O794" s="89">
        <f t="shared" si="33"/>
        <v>12575.72</v>
      </c>
    </row>
    <row r="795" spans="1:15">
      <c r="A795" s="74" t="s">
        <v>113</v>
      </c>
      <c r="B795" s="74" t="s">
        <v>275</v>
      </c>
      <c r="C795" s="74" t="s">
        <v>276</v>
      </c>
      <c r="D795" s="74" t="s">
        <v>86</v>
      </c>
      <c r="E795" s="74" t="s">
        <v>88</v>
      </c>
      <c r="F795" s="86" t="s">
        <v>258</v>
      </c>
      <c r="G795" s="74" t="s">
        <v>268</v>
      </c>
      <c r="H795" s="87">
        <v>43889</v>
      </c>
      <c r="I795" s="98">
        <v>15</v>
      </c>
      <c r="J795" s="98">
        <v>15</v>
      </c>
      <c r="K795" s="89">
        <f t="shared" si="32"/>
        <v>1</v>
      </c>
      <c r="L795" s="89">
        <v>7569.56</v>
      </c>
      <c r="M795" s="89">
        <v>3286.63</v>
      </c>
      <c r="N795" s="89">
        <v>954.31</v>
      </c>
      <c r="O795" s="89">
        <f t="shared" si="33"/>
        <v>11810.5</v>
      </c>
    </row>
    <row r="796" spans="1:15">
      <c r="A796" s="74" t="s">
        <v>113</v>
      </c>
      <c r="B796" s="74" t="s">
        <v>277</v>
      </c>
      <c r="C796" s="74" t="s">
        <v>278</v>
      </c>
      <c r="D796" s="74" t="s">
        <v>86</v>
      </c>
      <c r="E796" s="74" t="s">
        <v>89</v>
      </c>
      <c r="F796" s="86" t="s">
        <v>279</v>
      </c>
      <c r="G796" s="74" t="s">
        <v>280</v>
      </c>
      <c r="H796" s="87">
        <v>43889</v>
      </c>
      <c r="I796" s="98">
        <v>15</v>
      </c>
      <c r="J796" s="98">
        <v>15</v>
      </c>
      <c r="K796" s="89">
        <f t="shared" si="32"/>
        <v>1</v>
      </c>
      <c r="L796" s="89">
        <v>13133.99</v>
      </c>
      <c r="M796" s="89">
        <v>3248.79</v>
      </c>
      <c r="N796" s="89">
        <v>1543.12</v>
      </c>
      <c r="O796" s="89">
        <f t="shared" si="33"/>
        <v>17925.9</v>
      </c>
    </row>
    <row r="797" spans="1:15">
      <c r="A797" s="74" t="s">
        <v>113</v>
      </c>
      <c r="B797" s="74" t="s">
        <v>281</v>
      </c>
      <c r="C797" s="74" t="s">
        <v>282</v>
      </c>
      <c r="D797" s="74" t="s">
        <v>86</v>
      </c>
      <c r="E797" s="74" t="s">
        <v>89</v>
      </c>
      <c r="F797" s="86" t="s">
        <v>225</v>
      </c>
      <c r="G797" s="74" t="s">
        <v>283</v>
      </c>
      <c r="H797" s="87">
        <v>43889</v>
      </c>
      <c r="I797" s="98">
        <v>15</v>
      </c>
      <c r="J797" s="98">
        <v>15</v>
      </c>
      <c r="K797" s="89">
        <f t="shared" si="32"/>
        <v>1</v>
      </c>
      <c r="L797" s="89">
        <v>8044.66</v>
      </c>
      <c r="M797" s="89">
        <v>3144.94</v>
      </c>
      <c r="N797" s="89">
        <v>1096.59</v>
      </c>
      <c r="O797" s="89">
        <f t="shared" si="33"/>
        <v>12286.19</v>
      </c>
    </row>
    <row r="798" spans="1:15">
      <c r="A798" s="74" t="s">
        <v>113</v>
      </c>
      <c r="B798" s="74" t="s">
        <v>284</v>
      </c>
      <c r="C798" s="74" t="s">
        <v>285</v>
      </c>
      <c r="D798" s="74" t="s">
        <v>86</v>
      </c>
      <c r="E798" s="74" t="s">
        <v>89</v>
      </c>
      <c r="F798" s="86" t="s">
        <v>208</v>
      </c>
      <c r="G798" s="74" t="s">
        <v>283</v>
      </c>
      <c r="H798" s="87">
        <v>43889</v>
      </c>
      <c r="I798" s="98">
        <v>15</v>
      </c>
      <c r="J798" s="98">
        <v>15</v>
      </c>
      <c r="K798" s="89">
        <f t="shared" si="32"/>
        <v>1</v>
      </c>
      <c r="L798" s="89">
        <v>7605.59</v>
      </c>
      <c r="M798" s="89">
        <v>3233.79</v>
      </c>
      <c r="N798" s="89">
        <v>938.55</v>
      </c>
      <c r="O798" s="89">
        <f t="shared" si="33"/>
        <v>11777.93</v>
      </c>
    </row>
    <row r="799" spans="1:15">
      <c r="A799" s="74" t="s">
        <v>113</v>
      </c>
      <c r="B799" s="74" t="s">
        <v>286</v>
      </c>
      <c r="C799" s="74" t="s">
        <v>287</v>
      </c>
      <c r="D799" s="74" t="s">
        <v>82</v>
      </c>
      <c r="E799" s="88" t="s">
        <v>85</v>
      </c>
      <c r="F799" s="86" t="s">
        <v>288</v>
      </c>
      <c r="G799" s="74" t="s">
        <v>289</v>
      </c>
      <c r="H799" s="87">
        <v>43889</v>
      </c>
      <c r="I799" s="98">
        <v>15</v>
      </c>
      <c r="J799" s="98">
        <v>15</v>
      </c>
      <c r="K799" s="89">
        <f t="shared" ref="K799:K807" si="34">I799/J799</f>
        <v>1</v>
      </c>
      <c r="L799" s="89">
        <v>13070.23</v>
      </c>
      <c r="M799" s="89">
        <v>3291.23</v>
      </c>
      <c r="N799" s="89">
        <v>1251.71</v>
      </c>
      <c r="O799" s="89">
        <f t="shared" si="33"/>
        <v>17613.17</v>
      </c>
    </row>
    <row r="800" spans="1:15">
      <c r="A800" s="74" t="s">
        <v>113</v>
      </c>
      <c r="B800" s="74" t="s">
        <v>290</v>
      </c>
      <c r="C800" s="74" t="s">
        <v>291</v>
      </c>
      <c r="D800" s="74" t="s">
        <v>82</v>
      </c>
      <c r="E800" s="88" t="s">
        <v>85</v>
      </c>
      <c r="F800" s="86" t="s">
        <v>218</v>
      </c>
      <c r="G800" s="74" t="s">
        <v>289</v>
      </c>
      <c r="H800" s="87">
        <v>43889</v>
      </c>
      <c r="I800" s="98">
        <v>15</v>
      </c>
      <c r="J800" s="98">
        <v>15</v>
      </c>
      <c r="K800" s="89">
        <f t="shared" si="34"/>
        <v>1</v>
      </c>
      <c r="L800" s="89">
        <v>11720.19</v>
      </c>
      <c r="M800" s="89">
        <v>3130.54</v>
      </c>
      <c r="N800" s="89">
        <v>1140.95</v>
      </c>
      <c r="O800" s="89">
        <f t="shared" si="33"/>
        <v>15991.68</v>
      </c>
    </row>
    <row r="801" spans="1:15">
      <c r="A801" s="74" t="s">
        <v>113</v>
      </c>
      <c r="B801" s="74" t="s">
        <v>292</v>
      </c>
      <c r="C801" s="74" t="s">
        <v>293</v>
      </c>
      <c r="D801" s="74" t="s">
        <v>82</v>
      </c>
      <c r="E801" s="88" t="s">
        <v>85</v>
      </c>
      <c r="F801" s="86" t="s">
        <v>225</v>
      </c>
      <c r="G801" s="74" t="s">
        <v>289</v>
      </c>
      <c r="H801" s="87">
        <v>43889</v>
      </c>
      <c r="I801" s="98">
        <v>15</v>
      </c>
      <c r="J801" s="98">
        <v>15</v>
      </c>
      <c r="K801" s="89">
        <f t="shared" si="34"/>
        <v>1</v>
      </c>
      <c r="L801" s="89">
        <v>10714.82</v>
      </c>
      <c r="M801" s="89">
        <v>3241.03</v>
      </c>
      <c r="N801" s="89">
        <v>1078.15</v>
      </c>
      <c r="O801" s="89">
        <f t="shared" si="33"/>
        <v>15034</v>
      </c>
    </row>
    <row r="802" spans="1:15">
      <c r="A802" s="74" t="s">
        <v>113</v>
      </c>
      <c r="B802" s="74" t="s">
        <v>294</v>
      </c>
      <c r="C802" s="74" t="s">
        <v>295</v>
      </c>
      <c r="D802" s="74" t="s">
        <v>82</v>
      </c>
      <c r="E802" s="88" t="s">
        <v>85</v>
      </c>
      <c r="F802" s="86" t="s">
        <v>208</v>
      </c>
      <c r="G802" s="74" t="s">
        <v>289</v>
      </c>
      <c r="H802" s="87">
        <v>43889</v>
      </c>
      <c r="I802" s="98">
        <v>15</v>
      </c>
      <c r="J802" s="98">
        <v>15</v>
      </c>
      <c r="K802" s="89">
        <f t="shared" si="34"/>
        <v>1</v>
      </c>
      <c r="L802" s="89">
        <v>9169.38</v>
      </c>
      <c r="M802" s="89">
        <v>3003.52</v>
      </c>
      <c r="N802" s="89">
        <v>935.82</v>
      </c>
      <c r="O802" s="89">
        <f t="shared" si="33"/>
        <v>13108.72</v>
      </c>
    </row>
    <row r="803" spans="1:15">
      <c r="A803" s="74" t="s">
        <v>113</v>
      </c>
      <c r="B803" s="74" t="s">
        <v>296</v>
      </c>
      <c r="C803" s="74" t="s">
        <v>297</v>
      </c>
      <c r="D803" s="74" t="s">
        <v>82</v>
      </c>
      <c r="E803" s="88" t="s">
        <v>85</v>
      </c>
      <c r="F803" s="86" t="s">
        <v>116</v>
      </c>
      <c r="G803" s="74" t="s">
        <v>289</v>
      </c>
      <c r="H803" s="87">
        <v>43889</v>
      </c>
      <c r="I803" s="98">
        <v>15</v>
      </c>
      <c r="J803" s="98">
        <v>15</v>
      </c>
      <c r="K803" s="89">
        <f t="shared" si="34"/>
        <v>1</v>
      </c>
      <c r="L803" s="89">
        <v>8769.23</v>
      </c>
      <c r="M803" s="89">
        <v>3209.3</v>
      </c>
      <c r="N803" s="89">
        <v>805.85</v>
      </c>
      <c r="O803" s="89">
        <f t="shared" si="33"/>
        <v>12784.38</v>
      </c>
    </row>
    <row r="804" spans="1:15">
      <c r="A804" s="74" t="s">
        <v>113</v>
      </c>
      <c r="B804" s="74" t="s">
        <v>298</v>
      </c>
      <c r="C804" s="74" t="s">
        <v>299</v>
      </c>
      <c r="D804" s="74" t="s">
        <v>82</v>
      </c>
      <c r="E804" s="88" t="s">
        <v>85</v>
      </c>
      <c r="F804" s="86" t="s">
        <v>279</v>
      </c>
      <c r="G804" s="74" t="s">
        <v>300</v>
      </c>
      <c r="H804" s="87">
        <v>43889</v>
      </c>
      <c r="I804" s="98">
        <v>15</v>
      </c>
      <c r="J804" s="98">
        <v>15</v>
      </c>
      <c r="K804" s="89">
        <f t="shared" si="34"/>
        <v>1</v>
      </c>
      <c r="L804" s="89">
        <v>15008.97</v>
      </c>
      <c r="M804" s="89">
        <v>3205.44</v>
      </c>
      <c r="N804" s="89">
        <v>1513.77</v>
      </c>
      <c r="O804" s="89">
        <f t="shared" si="33"/>
        <v>19728.18</v>
      </c>
    </row>
    <row r="805" spans="1:15">
      <c r="A805" s="74" t="s">
        <v>113</v>
      </c>
      <c r="B805" s="74" t="s">
        <v>301</v>
      </c>
      <c r="C805" s="74" t="s">
        <v>302</v>
      </c>
      <c r="D805" s="74" t="s">
        <v>82</v>
      </c>
      <c r="E805" s="88" t="s">
        <v>85</v>
      </c>
      <c r="F805" s="86" t="s">
        <v>279</v>
      </c>
      <c r="G805" s="74" t="s">
        <v>303</v>
      </c>
      <c r="H805" s="87">
        <v>43889</v>
      </c>
      <c r="I805" s="98">
        <v>15</v>
      </c>
      <c r="J805" s="98">
        <v>15</v>
      </c>
      <c r="K805" s="89">
        <f t="shared" si="34"/>
        <v>1</v>
      </c>
      <c r="L805" s="89">
        <v>16220.1</v>
      </c>
      <c r="M805" s="89">
        <v>3128.06</v>
      </c>
      <c r="N805" s="89">
        <v>1550.64</v>
      </c>
      <c r="O805" s="89">
        <f t="shared" si="33"/>
        <v>20898.8</v>
      </c>
    </row>
    <row r="806" spans="1:15">
      <c r="A806" s="74" t="s">
        <v>113</v>
      </c>
      <c r="B806" s="74" t="s">
        <v>304</v>
      </c>
      <c r="C806" s="74" t="s">
        <v>305</v>
      </c>
      <c r="D806" s="74" t="s">
        <v>86</v>
      </c>
      <c r="E806" s="74" t="s">
        <v>90</v>
      </c>
      <c r="F806" s="86" t="s">
        <v>306</v>
      </c>
      <c r="G806" s="74" t="s">
        <v>307</v>
      </c>
      <c r="H806" s="87">
        <v>43889</v>
      </c>
      <c r="I806" s="98">
        <v>15</v>
      </c>
      <c r="J806" s="98">
        <v>15</v>
      </c>
      <c r="K806" s="89">
        <f t="shared" si="34"/>
        <v>1</v>
      </c>
      <c r="L806" s="89">
        <v>16559.74</v>
      </c>
      <c r="M806" s="89">
        <v>3106.16</v>
      </c>
      <c r="N806" s="89">
        <v>2102.45</v>
      </c>
      <c r="O806" s="89">
        <f t="shared" si="33"/>
        <v>21768.35</v>
      </c>
    </row>
    <row r="807" spans="1:15">
      <c r="A807" s="74" t="s">
        <v>113</v>
      </c>
      <c r="B807" s="74" t="s">
        <v>114</v>
      </c>
      <c r="C807" s="74" t="s">
        <v>115</v>
      </c>
      <c r="D807" s="74" t="s">
        <v>79</v>
      </c>
      <c r="E807" s="74" t="s">
        <v>80</v>
      </c>
      <c r="F807" s="86" t="s">
        <v>116</v>
      </c>
      <c r="G807" s="74" t="s">
        <v>117</v>
      </c>
      <c r="H807" s="87">
        <v>43921</v>
      </c>
      <c r="I807" s="98">
        <v>22</v>
      </c>
      <c r="J807" s="98">
        <v>22</v>
      </c>
      <c r="K807" s="89">
        <f t="shared" si="34"/>
        <v>1</v>
      </c>
      <c r="L807" s="89">
        <v>8334.72</v>
      </c>
      <c r="M807" s="89">
        <v>3264.33</v>
      </c>
      <c r="N807" s="89">
        <v>855.21</v>
      </c>
      <c r="O807" s="89">
        <f t="shared" si="33"/>
        <v>12454.26</v>
      </c>
    </row>
    <row r="808" spans="1:15">
      <c r="A808" s="74" t="s">
        <v>113</v>
      </c>
      <c r="B808" s="74" t="s">
        <v>118</v>
      </c>
      <c r="C808" s="74" t="s">
        <v>119</v>
      </c>
      <c r="D808" s="74" t="s">
        <v>79</v>
      </c>
      <c r="E808" s="74" t="s">
        <v>80</v>
      </c>
      <c r="F808" s="86" t="s">
        <v>120</v>
      </c>
      <c r="G808" s="74" t="s">
        <v>117</v>
      </c>
      <c r="H808" s="87">
        <v>43921</v>
      </c>
      <c r="I808" s="98">
        <v>22</v>
      </c>
      <c r="J808" s="98">
        <v>22</v>
      </c>
      <c r="K808" s="89">
        <f t="shared" ref="K808:K871" si="35">I808/J808</f>
        <v>1</v>
      </c>
      <c r="L808" s="89">
        <v>7350.83</v>
      </c>
      <c r="M808" s="89">
        <v>3069.57</v>
      </c>
      <c r="N808" s="89">
        <v>709.26</v>
      </c>
      <c r="O808" s="89">
        <f t="shared" si="33"/>
        <v>11129.66</v>
      </c>
    </row>
    <row r="809" spans="1:15">
      <c r="A809" s="74" t="s">
        <v>113</v>
      </c>
      <c r="B809" s="74" t="s">
        <v>121</v>
      </c>
      <c r="C809" s="74" t="s">
        <v>122</v>
      </c>
      <c r="D809" s="74" t="s">
        <v>79</v>
      </c>
      <c r="E809" s="74" t="s">
        <v>80</v>
      </c>
      <c r="F809" s="86" t="s">
        <v>123</v>
      </c>
      <c r="G809" s="74" t="s">
        <v>117</v>
      </c>
      <c r="H809" s="87">
        <v>43921</v>
      </c>
      <c r="I809" s="98">
        <v>22</v>
      </c>
      <c r="J809" s="98">
        <v>22</v>
      </c>
      <c r="K809" s="89">
        <f t="shared" si="35"/>
        <v>1</v>
      </c>
      <c r="L809" s="89">
        <v>6227.16</v>
      </c>
      <c r="M809" s="89">
        <v>3191.83</v>
      </c>
      <c r="N809" s="89">
        <v>621.22</v>
      </c>
      <c r="O809" s="89">
        <f t="shared" si="33"/>
        <v>10040.21</v>
      </c>
    </row>
    <row r="810" spans="1:15">
      <c r="A810" s="74" t="s">
        <v>113</v>
      </c>
      <c r="B810" s="74" t="s">
        <v>124</v>
      </c>
      <c r="C810" s="74" t="s">
        <v>125</v>
      </c>
      <c r="D810" s="74" t="s">
        <v>79</v>
      </c>
      <c r="E810" s="74" t="s">
        <v>80</v>
      </c>
      <c r="F810" s="86" t="s">
        <v>116</v>
      </c>
      <c r="G810" s="74" t="s">
        <v>117</v>
      </c>
      <c r="H810" s="87">
        <v>43921</v>
      </c>
      <c r="I810" s="98">
        <v>22</v>
      </c>
      <c r="J810" s="98">
        <v>22</v>
      </c>
      <c r="K810" s="89">
        <f t="shared" si="35"/>
        <v>1</v>
      </c>
      <c r="L810" s="89">
        <v>8082.47</v>
      </c>
      <c r="M810" s="89">
        <v>3287.49</v>
      </c>
      <c r="N810" s="89">
        <v>831.5</v>
      </c>
      <c r="O810" s="89">
        <f t="shared" si="33"/>
        <v>12201.46</v>
      </c>
    </row>
    <row r="811" spans="1:15">
      <c r="A811" s="74" t="s">
        <v>113</v>
      </c>
      <c r="B811" s="74" t="s">
        <v>126</v>
      </c>
      <c r="C811" s="74" t="s">
        <v>127</v>
      </c>
      <c r="D811" s="74" t="s">
        <v>79</v>
      </c>
      <c r="E811" s="74" t="s">
        <v>80</v>
      </c>
      <c r="F811" s="86" t="s">
        <v>120</v>
      </c>
      <c r="G811" s="74" t="s">
        <v>117</v>
      </c>
      <c r="H811" s="87">
        <v>43921</v>
      </c>
      <c r="I811" s="98">
        <v>22</v>
      </c>
      <c r="J811" s="98">
        <v>22</v>
      </c>
      <c r="K811" s="89">
        <f t="shared" si="35"/>
        <v>1</v>
      </c>
      <c r="L811" s="89">
        <v>7119.89</v>
      </c>
      <c r="M811" s="89">
        <v>3203.02</v>
      </c>
      <c r="N811" s="89">
        <v>709.64</v>
      </c>
      <c r="O811" s="89">
        <f t="shared" si="33"/>
        <v>11032.55</v>
      </c>
    </row>
    <row r="812" spans="1:15">
      <c r="A812" s="74" t="s">
        <v>113</v>
      </c>
      <c r="B812" s="74" t="s">
        <v>128</v>
      </c>
      <c r="C812" s="74" t="s">
        <v>129</v>
      </c>
      <c r="D812" s="74" t="s">
        <v>79</v>
      </c>
      <c r="E812" s="74" t="s">
        <v>80</v>
      </c>
      <c r="F812" s="86" t="s">
        <v>123</v>
      </c>
      <c r="G812" s="74" t="s">
        <v>117</v>
      </c>
      <c r="H812" s="87">
        <v>43921</v>
      </c>
      <c r="I812" s="98">
        <v>22</v>
      </c>
      <c r="J812" s="98">
        <v>22</v>
      </c>
      <c r="K812" s="89">
        <f t="shared" si="35"/>
        <v>1</v>
      </c>
      <c r="L812" s="89">
        <v>6516.94</v>
      </c>
      <c r="M812" s="89">
        <v>3016.76</v>
      </c>
      <c r="N812" s="89">
        <v>617.31</v>
      </c>
      <c r="O812" s="89">
        <f t="shared" si="33"/>
        <v>10151.01</v>
      </c>
    </row>
    <row r="813" spans="1:15">
      <c r="A813" s="74" t="s">
        <v>113</v>
      </c>
      <c r="B813" s="74" t="s">
        <v>130</v>
      </c>
      <c r="C813" s="74" t="s">
        <v>131</v>
      </c>
      <c r="D813" s="74" t="s">
        <v>79</v>
      </c>
      <c r="E813" s="74" t="s">
        <v>80</v>
      </c>
      <c r="F813" s="86" t="s">
        <v>116</v>
      </c>
      <c r="G813" s="74" t="s">
        <v>117</v>
      </c>
      <c r="H813" s="87">
        <v>43921</v>
      </c>
      <c r="I813" s="98">
        <v>22</v>
      </c>
      <c r="J813" s="98">
        <v>22</v>
      </c>
      <c r="K813" s="89">
        <f t="shared" si="35"/>
        <v>1</v>
      </c>
      <c r="L813" s="89">
        <v>8289.26</v>
      </c>
      <c r="M813" s="89">
        <v>3196.91</v>
      </c>
      <c r="N813" s="89">
        <v>822.66</v>
      </c>
      <c r="O813" s="89">
        <f t="shared" si="33"/>
        <v>12308.83</v>
      </c>
    </row>
    <row r="814" spans="1:15">
      <c r="A814" s="74" t="s">
        <v>113</v>
      </c>
      <c r="B814" s="74" t="s">
        <v>132</v>
      </c>
      <c r="C814" s="74" t="s">
        <v>133</v>
      </c>
      <c r="D814" s="74" t="s">
        <v>79</v>
      </c>
      <c r="E814" s="74" t="s">
        <v>80</v>
      </c>
      <c r="F814" s="86" t="s">
        <v>120</v>
      </c>
      <c r="G814" s="74" t="s">
        <v>117</v>
      </c>
      <c r="H814" s="87">
        <v>43921</v>
      </c>
      <c r="I814" s="98">
        <v>22</v>
      </c>
      <c r="J814" s="98">
        <v>22</v>
      </c>
      <c r="K814" s="89">
        <f t="shared" si="35"/>
        <v>1</v>
      </c>
      <c r="L814" s="89">
        <v>7358.95</v>
      </c>
      <c r="M814" s="89">
        <v>3294.84</v>
      </c>
      <c r="N814" s="89">
        <v>740.04</v>
      </c>
      <c r="O814" s="89">
        <f t="shared" si="33"/>
        <v>11393.83</v>
      </c>
    </row>
    <row r="815" spans="1:15">
      <c r="A815" s="74" t="s">
        <v>113</v>
      </c>
      <c r="B815" s="74" t="s">
        <v>134</v>
      </c>
      <c r="C815" s="74" t="s">
        <v>135</v>
      </c>
      <c r="D815" s="74" t="s">
        <v>79</v>
      </c>
      <c r="E815" s="74" t="s">
        <v>80</v>
      </c>
      <c r="F815" s="86" t="s">
        <v>123</v>
      </c>
      <c r="G815" s="74" t="s">
        <v>117</v>
      </c>
      <c r="H815" s="87">
        <v>43921</v>
      </c>
      <c r="I815" s="98">
        <v>22</v>
      </c>
      <c r="J815" s="98">
        <v>22</v>
      </c>
      <c r="K815" s="89">
        <f t="shared" si="35"/>
        <v>1</v>
      </c>
      <c r="L815" s="89">
        <v>6066.55</v>
      </c>
      <c r="M815" s="89">
        <v>3013.11</v>
      </c>
      <c r="N815" s="89">
        <v>638.61</v>
      </c>
      <c r="O815" s="89">
        <f t="shared" si="33"/>
        <v>9718.27</v>
      </c>
    </row>
    <row r="816" spans="1:15">
      <c r="A816" s="74" t="s">
        <v>113</v>
      </c>
      <c r="B816" s="74" t="s">
        <v>136</v>
      </c>
      <c r="C816" s="74" t="s">
        <v>137</v>
      </c>
      <c r="D816" s="74" t="s">
        <v>79</v>
      </c>
      <c r="E816" s="74" t="s">
        <v>80</v>
      </c>
      <c r="F816" s="86" t="s">
        <v>116</v>
      </c>
      <c r="G816" s="74" t="s">
        <v>138</v>
      </c>
      <c r="H816" s="87">
        <v>43921</v>
      </c>
      <c r="I816" s="98">
        <v>22</v>
      </c>
      <c r="J816" s="98">
        <v>22</v>
      </c>
      <c r="K816" s="89">
        <f t="shared" si="35"/>
        <v>1</v>
      </c>
      <c r="L816" s="89">
        <v>8316.15</v>
      </c>
      <c r="M816" s="89">
        <v>3078.74</v>
      </c>
      <c r="N816" s="89">
        <v>828.46</v>
      </c>
      <c r="O816" s="89">
        <f t="shared" si="33"/>
        <v>12223.35</v>
      </c>
    </row>
    <row r="817" spans="1:15">
      <c r="A817" s="74" t="s">
        <v>113</v>
      </c>
      <c r="B817" s="74" t="s">
        <v>139</v>
      </c>
      <c r="C817" s="74" t="s">
        <v>140</v>
      </c>
      <c r="D817" s="74" t="s">
        <v>79</v>
      </c>
      <c r="E817" s="74" t="s">
        <v>80</v>
      </c>
      <c r="F817" s="86" t="s">
        <v>120</v>
      </c>
      <c r="G817" s="74" t="s">
        <v>138</v>
      </c>
      <c r="H817" s="87">
        <v>43921</v>
      </c>
      <c r="I817" s="98">
        <v>22</v>
      </c>
      <c r="J817" s="98">
        <v>22</v>
      </c>
      <c r="K817" s="89">
        <f t="shared" si="35"/>
        <v>1</v>
      </c>
      <c r="L817" s="89">
        <v>7533.1</v>
      </c>
      <c r="M817" s="89">
        <v>3134.4</v>
      </c>
      <c r="N817" s="89">
        <v>719.34</v>
      </c>
      <c r="O817" s="89">
        <f t="shared" si="33"/>
        <v>11386.84</v>
      </c>
    </row>
    <row r="818" spans="1:15">
      <c r="A818" s="74" t="s">
        <v>113</v>
      </c>
      <c r="B818" s="74" t="s">
        <v>141</v>
      </c>
      <c r="C818" s="74" t="s">
        <v>142</v>
      </c>
      <c r="D818" s="74" t="s">
        <v>79</v>
      </c>
      <c r="E818" s="74" t="s">
        <v>80</v>
      </c>
      <c r="F818" s="86" t="s">
        <v>123</v>
      </c>
      <c r="G818" s="74" t="s">
        <v>138</v>
      </c>
      <c r="H818" s="87">
        <v>43921</v>
      </c>
      <c r="I818" s="98">
        <v>22</v>
      </c>
      <c r="J818" s="98">
        <v>22</v>
      </c>
      <c r="K818" s="89">
        <f t="shared" si="35"/>
        <v>1</v>
      </c>
      <c r="L818" s="89">
        <v>6543.25</v>
      </c>
      <c r="M818" s="89">
        <v>3129.56</v>
      </c>
      <c r="N818" s="89">
        <v>609.55</v>
      </c>
      <c r="O818" s="89">
        <f t="shared" si="33"/>
        <v>10282.36</v>
      </c>
    </row>
    <row r="819" spans="1:15">
      <c r="A819" s="74" t="s">
        <v>113</v>
      </c>
      <c r="B819" s="74" t="s">
        <v>143</v>
      </c>
      <c r="C819" s="74" t="s">
        <v>144</v>
      </c>
      <c r="D819" s="74" t="s">
        <v>79</v>
      </c>
      <c r="E819" s="74" t="s">
        <v>80</v>
      </c>
      <c r="F819" s="86" t="s">
        <v>145</v>
      </c>
      <c r="G819" s="74" t="s">
        <v>146</v>
      </c>
      <c r="H819" s="87">
        <v>43921</v>
      </c>
      <c r="I819" s="98">
        <v>22</v>
      </c>
      <c r="J819" s="98">
        <v>22</v>
      </c>
      <c r="K819" s="89">
        <f t="shared" si="35"/>
        <v>1</v>
      </c>
      <c r="L819" s="89">
        <v>20507.51</v>
      </c>
      <c r="M819" s="89">
        <v>3178.92</v>
      </c>
      <c r="N819" s="89">
        <v>2077.15</v>
      </c>
      <c r="O819" s="89">
        <f t="shared" si="33"/>
        <v>25763.58</v>
      </c>
    </row>
    <row r="820" spans="1:15">
      <c r="A820" s="74" t="s">
        <v>113</v>
      </c>
      <c r="B820" s="74" t="s">
        <v>147</v>
      </c>
      <c r="C820" s="74" t="s">
        <v>148</v>
      </c>
      <c r="D820" s="74" t="s">
        <v>79</v>
      </c>
      <c r="E820" s="74" t="s">
        <v>80</v>
      </c>
      <c r="F820" s="86" t="s">
        <v>149</v>
      </c>
      <c r="G820" s="74" t="s">
        <v>150</v>
      </c>
      <c r="H820" s="87">
        <v>43921</v>
      </c>
      <c r="I820" s="98">
        <v>22</v>
      </c>
      <c r="J820" s="98">
        <v>22</v>
      </c>
      <c r="K820" s="89">
        <f t="shared" si="35"/>
        <v>1</v>
      </c>
      <c r="L820" s="89">
        <v>18536.36</v>
      </c>
      <c r="M820" s="89">
        <v>3001.63</v>
      </c>
      <c r="N820" s="89">
        <v>1808.64</v>
      </c>
      <c r="O820" s="89">
        <f t="shared" si="33"/>
        <v>23346.63</v>
      </c>
    </row>
    <row r="821" spans="1:15">
      <c r="A821" s="74" t="s">
        <v>113</v>
      </c>
      <c r="B821" s="74" t="s">
        <v>151</v>
      </c>
      <c r="C821" s="74" t="s">
        <v>152</v>
      </c>
      <c r="D821" s="74" t="s">
        <v>79</v>
      </c>
      <c r="E821" s="74" t="s">
        <v>81</v>
      </c>
      <c r="F821" s="86" t="s">
        <v>123</v>
      </c>
      <c r="G821" s="74" t="s">
        <v>153</v>
      </c>
      <c r="H821" s="87">
        <v>43921</v>
      </c>
      <c r="I821" s="98">
        <v>22</v>
      </c>
      <c r="J821" s="98">
        <v>22</v>
      </c>
      <c r="K821" s="89">
        <f t="shared" si="35"/>
        <v>1</v>
      </c>
      <c r="L821" s="89">
        <v>6314.14</v>
      </c>
      <c r="M821" s="89">
        <v>3051.24</v>
      </c>
      <c r="N821" s="89">
        <v>631.81</v>
      </c>
      <c r="O821" s="89">
        <f t="shared" si="33"/>
        <v>9997.19</v>
      </c>
    </row>
    <row r="822" spans="1:15">
      <c r="A822" s="74" t="s">
        <v>113</v>
      </c>
      <c r="B822" s="74" t="s">
        <v>154</v>
      </c>
      <c r="C822" s="74" t="s">
        <v>155</v>
      </c>
      <c r="D822" s="74" t="s">
        <v>79</v>
      </c>
      <c r="E822" s="74" t="s">
        <v>81</v>
      </c>
      <c r="F822" s="86" t="s">
        <v>156</v>
      </c>
      <c r="G822" s="74" t="s">
        <v>157</v>
      </c>
      <c r="H822" s="87">
        <v>43921</v>
      </c>
      <c r="I822" s="98">
        <v>22</v>
      </c>
      <c r="J822" s="98">
        <v>22</v>
      </c>
      <c r="K822" s="89">
        <f t="shared" si="35"/>
        <v>1</v>
      </c>
      <c r="L822" s="89">
        <v>5278.49</v>
      </c>
      <c r="M822" s="89">
        <v>3263.21</v>
      </c>
      <c r="N822" s="89">
        <v>517.1</v>
      </c>
      <c r="O822" s="89">
        <f t="shared" si="33"/>
        <v>9058.8</v>
      </c>
    </row>
    <row r="823" spans="1:15">
      <c r="A823" s="74" t="s">
        <v>113</v>
      </c>
      <c r="B823" s="74" t="s">
        <v>158</v>
      </c>
      <c r="C823" s="74" t="s">
        <v>159</v>
      </c>
      <c r="D823" s="74" t="s">
        <v>79</v>
      </c>
      <c r="E823" s="74" t="s">
        <v>81</v>
      </c>
      <c r="F823" s="86" t="s">
        <v>160</v>
      </c>
      <c r="G823" s="74" t="s">
        <v>161</v>
      </c>
      <c r="H823" s="87">
        <v>43921</v>
      </c>
      <c r="I823" s="98">
        <v>22</v>
      </c>
      <c r="J823" s="98">
        <v>22</v>
      </c>
      <c r="K823" s="89">
        <f t="shared" si="35"/>
        <v>1</v>
      </c>
      <c r="L823" s="89">
        <v>4184.66</v>
      </c>
      <c r="M823" s="89">
        <v>3208.57</v>
      </c>
      <c r="N823" s="89">
        <v>405.14</v>
      </c>
      <c r="O823" s="89">
        <f t="shared" si="33"/>
        <v>7798.37</v>
      </c>
    </row>
    <row r="824" spans="1:15">
      <c r="A824" s="74" t="s">
        <v>113</v>
      </c>
      <c r="B824" s="74" t="s">
        <v>162</v>
      </c>
      <c r="C824" s="74" t="s">
        <v>163</v>
      </c>
      <c r="D824" s="74" t="s">
        <v>79</v>
      </c>
      <c r="E824" s="74" t="s">
        <v>81</v>
      </c>
      <c r="F824" s="86" t="s">
        <v>123</v>
      </c>
      <c r="G824" s="74" t="s">
        <v>153</v>
      </c>
      <c r="H824" s="87">
        <v>43921</v>
      </c>
      <c r="I824" s="98">
        <v>22</v>
      </c>
      <c r="J824" s="98">
        <v>22</v>
      </c>
      <c r="K824" s="89">
        <f t="shared" si="35"/>
        <v>1</v>
      </c>
      <c r="L824" s="89">
        <v>6409.56</v>
      </c>
      <c r="M824" s="89">
        <v>3146.51</v>
      </c>
      <c r="N824" s="89">
        <v>649.27</v>
      </c>
      <c r="O824" s="89">
        <f t="shared" si="33"/>
        <v>10205.34</v>
      </c>
    </row>
    <row r="825" spans="1:15">
      <c r="A825" s="74" t="s">
        <v>113</v>
      </c>
      <c r="B825" s="74" t="s">
        <v>164</v>
      </c>
      <c r="C825" s="74" t="s">
        <v>165</v>
      </c>
      <c r="D825" s="74" t="s">
        <v>79</v>
      </c>
      <c r="E825" s="74" t="s">
        <v>81</v>
      </c>
      <c r="F825" s="86" t="s">
        <v>156</v>
      </c>
      <c r="G825" s="74" t="s">
        <v>157</v>
      </c>
      <c r="H825" s="87">
        <v>43921</v>
      </c>
      <c r="I825" s="98">
        <v>22</v>
      </c>
      <c r="J825" s="98">
        <v>22</v>
      </c>
      <c r="K825" s="89">
        <f t="shared" si="35"/>
        <v>1</v>
      </c>
      <c r="L825" s="89">
        <v>5024.94</v>
      </c>
      <c r="M825" s="89">
        <v>3040.88</v>
      </c>
      <c r="N825" s="89">
        <v>509.25</v>
      </c>
      <c r="O825" s="89">
        <f t="shared" si="33"/>
        <v>8575.07</v>
      </c>
    </row>
    <row r="826" spans="1:15">
      <c r="A826" s="74" t="s">
        <v>113</v>
      </c>
      <c r="B826" s="74" t="s">
        <v>166</v>
      </c>
      <c r="C826" s="74" t="s">
        <v>167</v>
      </c>
      <c r="D826" s="74" t="s">
        <v>79</v>
      </c>
      <c r="E826" s="74" t="s">
        <v>81</v>
      </c>
      <c r="F826" s="86" t="s">
        <v>160</v>
      </c>
      <c r="G826" s="74" t="s">
        <v>161</v>
      </c>
      <c r="H826" s="87">
        <v>43921</v>
      </c>
      <c r="I826" s="98">
        <v>22</v>
      </c>
      <c r="J826" s="98">
        <v>22</v>
      </c>
      <c r="K826" s="89">
        <f t="shared" si="35"/>
        <v>1</v>
      </c>
      <c r="L826" s="89">
        <v>4029.19</v>
      </c>
      <c r="M826" s="89">
        <v>3288.82</v>
      </c>
      <c r="N826" s="89">
        <v>429.25</v>
      </c>
      <c r="O826" s="89">
        <f t="shared" si="33"/>
        <v>7747.26</v>
      </c>
    </row>
    <row r="827" spans="1:15">
      <c r="A827" s="74" t="s">
        <v>113</v>
      </c>
      <c r="B827" s="74" t="s">
        <v>168</v>
      </c>
      <c r="C827" s="74" t="s">
        <v>169</v>
      </c>
      <c r="D827" s="74" t="s">
        <v>79</v>
      </c>
      <c r="E827" s="74" t="s">
        <v>81</v>
      </c>
      <c r="F827" s="86" t="s">
        <v>123</v>
      </c>
      <c r="G827" s="74" t="s">
        <v>153</v>
      </c>
      <c r="H827" s="87">
        <v>43921</v>
      </c>
      <c r="I827" s="98">
        <v>22</v>
      </c>
      <c r="J827" s="98">
        <v>22</v>
      </c>
      <c r="K827" s="89">
        <f t="shared" si="35"/>
        <v>1</v>
      </c>
      <c r="L827" s="89">
        <v>6590.71</v>
      </c>
      <c r="M827" s="89">
        <v>3112.56</v>
      </c>
      <c r="N827" s="89">
        <v>651.97</v>
      </c>
      <c r="O827" s="89">
        <f t="shared" si="33"/>
        <v>10355.24</v>
      </c>
    </row>
    <row r="828" spans="1:15">
      <c r="A828" s="74" t="s">
        <v>113</v>
      </c>
      <c r="B828" s="74" t="s">
        <v>170</v>
      </c>
      <c r="C828" s="74" t="s">
        <v>171</v>
      </c>
      <c r="D828" s="74" t="s">
        <v>79</v>
      </c>
      <c r="E828" s="74" t="s">
        <v>81</v>
      </c>
      <c r="F828" s="86" t="s">
        <v>156</v>
      </c>
      <c r="G828" s="74" t="s">
        <v>157</v>
      </c>
      <c r="H828" s="87">
        <v>43921</v>
      </c>
      <c r="I828" s="98">
        <v>22</v>
      </c>
      <c r="J828" s="98">
        <v>22</v>
      </c>
      <c r="K828" s="89">
        <f t="shared" si="35"/>
        <v>1</v>
      </c>
      <c r="L828" s="89">
        <v>5402.6</v>
      </c>
      <c r="M828" s="89">
        <v>3044.7</v>
      </c>
      <c r="N828" s="89">
        <v>520.82</v>
      </c>
      <c r="O828" s="89">
        <f t="shared" si="33"/>
        <v>8968.12</v>
      </c>
    </row>
    <row r="829" spans="1:15">
      <c r="A829" s="74" t="s">
        <v>113</v>
      </c>
      <c r="B829" s="74" t="s">
        <v>172</v>
      </c>
      <c r="C829" s="74" t="s">
        <v>173</v>
      </c>
      <c r="D829" s="74" t="s">
        <v>79</v>
      </c>
      <c r="E829" s="74" t="s">
        <v>81</v>
      </c>
      <c r="F829" s="86" t="s">
        <v>160</v>
      </c>
      <c r="G829" s="74" t="s">
        <v>161</v>
      </c>
      <c r="H829" s="87">
        <v>43921</v>
      </c>
      <c r="I829" s="98">
        <v>22</v>
      </c>
      <c r="J829" s="98">
        <v>22</v>
      </c>
      <c r="K829" s="89">
        <f t="shared" si="35"/>
        <v>1</v>
      </c>
      <c r="L829" s="89">
        <v>4106.74</v>
      </c>
      <c r="M829" s="89">
        <v>3257.05</v>
      </c>
      <c r="N829" s="89">
        <v>418.42</v>
      </c>
      <c r="O829" s="89">
        <f t="shared" si="33"/>
        <v>7782.21</v>
      </c>
    </row>
    <row r="830" spans="1:15">
      <c r="A830" s="74" t="s">
        <v>113</v>
      </c>
      <c r="B830" s="74" t="s">
        <v>174</v>
      </c>
      <c r="C830" s="74" t="s">
        <v>175</v>
      </c>
      <c r="D830" s="74" t="s">
        <v>79</v>
      </c>
      <c r="E830" s="74" t="s">
        <v>81</v>
      </c>
      <c r="F830" s="86" t="s">
        <v>176</v>
      </c>
      <c r="G830" s="74" t="s">
        <v>177</v>
      </c>
      <c r="H830" s="87">
        <v>43921</v>
      </c>
      <c r="I830" s="98">
        <v>22</v>
      </c>
      <c r="J830" s="98">
        <v>22</v>
      </c>
      <c r="K830" s="89">
        <f t="shared" si="35"/>
        <v>1</v>
      </c>
      <c r="L830" s="89">
        <v>3079.31</v>
      </c>
      <c r="M830" s="89">
        <v>3053.59</v>
      </c>
      <c r="N830" s="89">
        <v>315.9</v>
      </c>
      <c r="O830" s="89">
        <f t="shared" si="33"/>
        <v>6448.8</v>
      </c>
    </row>
    <row r="831" spans="1:15">
      <c r="A831" s="74" t="s">
        <v>113</v>
      </c>
      <c r="B831" s="74" t="s">
        <v>178</v>
      </c>
      <c r="C831" s="74" t="s">
        <v>179</v>
      </c>
      <c r="D831" s="74" t="s">
        <v>79</v>
      </c>
      <c r="E831" s="74" t="s">
        <v>81</v>
      </c>
      <c r="F831" s="86" t="s">
        <v>180</v>
      </c>
      <c r="G831" s="74" t="s">
        <v>177</v>
      </c>
      <c r="H831" s="87">
        <v>43921</v>
      </c>
      <c r="I831" s="98">
        <v>22</v>
      </c>
      <c r="J831" s="98">
        <v>22</v>
      </c>
      <c r="K831" s="89">
        <f t="shared" si="35"/>
        <v>1</v>
      </c>
      <c r="L831" s="89">
        <v>2114.25</v>
      </c>
      <c r="M831" s="89">
        <v>3248.5</v>
      </c>
      <c r="N831" s="89">
        <v>205.32</v>
      </c>
      <c r="O831" s="89">
        <f t="shared" si="33"/>
        <v>5568.07</v>
      </c>
    </row>
    <row r="832" spans="1:15">
      <c r="A832" s="74" t="s">
        <v>113</v>
      </c>
      <c r="B832" s="74" t="s">
        <v>181</v>
      </c>
      <c r="C832" s="74" t="s">
        <v>182</v>
      </c>
      <c r="D832" s="74" t="s">
        <v>79</v>
      </c>
      <c r="E832" s="74" t="s">
        <v>81</v>
      </c>
      <c r="F832" s="86" t="s">
        <v>183</v>
      </c>
      <c r="G832" s="74" t="s">
        <v>177</v>
      </c>
      <c r="H832" s="87">
        <v>43921</v>
      </c>
      <c r="I832" s="98">
        <v>22</v>
      </c>
      <c r="J832" s="98">
        <v>22</v>
      </c>
      <c r="K832" s="89">
        <f t="shared" si="35"/>
        <v>1</v>
      </c>
      <c r="L832" s="89">
        <v>1012.05</v>
      </c>
      <c r="M832" s="89">
        <v>3265.53</v>
      </c>
      <c r="N832" s="89">
        <v>109.97</v>
      </c>
      <c r="O832" s="89">
        <f t="shared" si="33"/>
        <v>4387.55</v>
      </c>
    </row>
    <row r="833" spans="1:15">
      <c r="A833" s="74" t="s">
        <v>113</v>
      </c>
      <c r="B833" s="74" t="s">
        <v>184</v>
      </c>
      <c r="C833" s="74" t="s">
        <v>185</v>
      </c>
      <c r="D833" s="74" t="s">
        <v>79</v>
      </c>
      <c r="E833" s="74" t="s">
        <v>81</v>
      </c>
      <c r="F833" s="86" t="s">
        <v>176</v>
      </c>
      <c r="G833" s="74" t="s">
        <v>177</v>
      </c>
      <c r="H833" s="87">
        <v>43921</v>
      </c>
      <c r="I833" s="98">
        <v>22</v>
      </c>
      <c r="J833" s="98">
        <v>22</v>
      </c>
      <c r="K833" s="89">
        <f t="shared" si="35"/>
        <v>1</v>
      </c>
      <c r="L833" s="89">
        <v>3122.15</v>
      </c>
      <c r="M833" s="89">
        <v>3282.87</v>
      </c>
      <c r="N833" s="89">
        <v>329.47</v>
      </c>
      <c r="O833" s="89">
        <f t="shared" si="33"/>
        <v>6734.49</v>
      </c>
    </row>
    <row r="834" spans="1:15">
      <c r="A834" s="74" t="s">
        <v>113</v>
      </c>
      <c r="B834" s="74" t="s">
        <v>186</v>
      </c>
      <c r="C834" s="74" t="s">
        <v>187</v>
      </c>
      <c r="D834" s="74" t="s">
        <v>79</v>
      </c>
      <c r="E834" s="74" t="s">
        <v>81</v>
      </c>
      <c r="F834" s="86" t="s">
        <v>180</v>
      </c>
      <c r="G834" s="74" t="s">
        <v>177</v>
      </c>
      <c r="H834" s="87">
        <v>43921</v>
      </c>
      <c r="I834" s="98">
        <v>22</v>
      </c>
      <c r="J834" s="98">
        <v>22</v>
      </c>
      <c r="K834" s="89">
        <f t="shared" si="35"/>
        <v>1</v>
      </c>
      <c r="L834" s="89">
        <v>2094.8</v>
      </c>
      <c r="M834" s="89">
        <v>3106.68</v>
      </c>
      <c r="N834" s="89">
        <v>204.02</v>
      </c>
      <c r="O834" s="89">
        <f t="shared" si="33"/>
        <v>5405.5</v>
      </c>
    </row>
    <row r="835" spans="1:15">
      <c r="A835" s="74" t="s">
        <v>113</v>
      </c>
      <c r="B835" s="74" t="s">
        <v>188</v>
      </c>
      <c r="C835" s="74" t="s">
        <v>189</v>
      </c>
      <c r="D835" s="74" t="s">
        <v>79</v>
      </c>
      <c r="E835" s="74" t="s">
        <v>81</v>
      </c>
      <c r="F835" s="86" t="s">
        <v>183</v>
      </c>
      <c r="G835" s="74" t="s">
        <v>177</v>
      </c>
      <c r="H835" s="87">
        <v>43921</v>
      </c>
      <c r="I835" s="98">
        <v>22</v>
      </c>
      <c r="J835" s="98">
        <v>22</v>
      </c>
      <c r="K835" s="89">
        <f t="shared" si="35"/>
        <v>1</v>
      </c>
      <c r="L835" s="89">
        <v>1033.15</v>
      </c>
      <c r="M835" s="89">
        <v>3206.08</v>
      </c>
      <c r="N835" s="89">
        <v>107.73</v>
      </c>
      <c r="O835" s="89">
        <f t="shared" si="33"/>
        <v>4346.96</v>
      </c>
    </row>
    <row r="836" spans="1:15">
      <c r="A836" s="74" t="s">
        <v>113</v>
      </c>
      <c r="B836" s="74" t="s">
        <v>190</v>
      </c>
      <c r="C836" s="74" t="s">
        <v>191</v>
      </c>
      <c r="D836" s="74" t="s">
        <v>79</v>
      </c>
      <c r="E836" s="74" t="s">
        <v>81</v>
      </c>
      <c r="F836" s="86" t="s">
        <v>176</v>
      </c>
      <c r="G836" s="74" t="s">
        <v>177</v>
      </c>
      <c r="H836" s="87">
        <v>43921</v>
      </c>
      <c r="I836" s="98">
        <v>22</v>
      </c>
      <c r="J836" s="98">
        <v>22</v>
      </c>
      <c r="K836" s="89">
        <f t="shared" si="35"/>
        <v>1</v>
      </c>
      <c r="L836" s="89">
        <v>3025.82</v>
      </c>
      <c r="M836" s="89">
        <v>3046.16</v>
      </c>
      <c r="N836" s="89">
        <v>306.68</v>
      </c>
      <c r="O836" s="89">
        <f t="shared" si="33"/>
        <v>6378.66</v>
      </c>
    </row>
    <row r="837" spans="1:15">
      <c r="A837" s="74" t="s">
        <v>113</v>
      </c>
      <c r="B837" s="74" t="s">
        <v>192</v>
      </c>
      <c r="C837" s="74" t="s">
        <v>193</v>
      </c>
      <c r="D837" s="74" t="s">
        <v>79</v>
      </c>
      <c r="E837" s="74" t="s">
        <v>81</v>
      </c>
      <c r="F837" s="86" t="s">
        <v>180</v>
      </c>
      <c r="G837" s="74" t="s">
        <v>177</v>
      </c>
      <c r="H837" s="87">
        <v>43921</v>
      </c>
      <c r="I837" s="98">
        <v>22</v>
      </c>
      <c r="J837" s="98">
        <v>22</v>
      </c>
      <c r="K837" s="89">
        <f t="shared" si="35"/>
        <v>1</v>
      </c>
      <c r="L837" s="89">
        <v>2148.68</v>
      </c>
      <c r="M837" s="89">
        <v>3022.83</v>
      </c>
      <c r="N837" s="89">
        <v>208.62</v>
      </c>
      <c r="O837" s="89">
        <f t="shared" ref="O837:O900" si="36">SUM(L837:N837)</f>
        <v>5380.13</v>
      </c>
    </row>
    <row r="838" spans="1:15">
      <c r="A838" s="74" t="s">
        <v>113</v>
      </c>
      <c r="B838" s="74" t="s">
        <v>194</v>
      </c>
      <c r="C838" s="74" t="s">
        <v>195</v>
      </c>
      <c r="D838" s="74" t="s">
        <v>79</v>
      </c>
      <c r="E838" s="74" t="s">
        <v>81</v>
      </c>
      <c r="F838" s="86" t="s">
        <v>183</v>
      </c>
      <c r="G838" s="74" t="s">
        <v>177</v>
      </c>
      <c r="H838" s="87">
        <v>43921</v>
      </c>
      <c r="I838" s="98">
        <v>22</v>
      </c>
      <c r="J838" s="98">
        <v>22</v>
      </c>
      <c r="K838" s="89">
        <f t="shared" si="35"/>
        <v>1</v>
      </c>
      <c r="L838" s="89">
        <v>1026.83</v>
      </c>
      <c r="M838" s="89">
        <v>3013.92</v>
      </c>
      <c r="N838" s="89">
        <v>103.4</v>
      </c>
      <c r="O838" s="89">
        <f t="shared" si="36"/>
        <v>4144.15</v>
      </c>
    </row>
    <row r="839" spans="1:15">
      <c r="A839" s="74" t="s">
        <v>113</v>
      </c>
      <c r="B839" s="74" t="s">
        <v>196</v>
      </c>
      <c r="C839" s="74" t="s">
        <v>197</v>
      </c>
      <c r="D839" s="74" t="s">
        <v>79</v>
      </c>
      <c r="E839" s="74" t="s">
        <v>81</v>
      </c>
      <c r="F839" s="86" t="s">
        <v>176</v>
      </c>
      <c r="G839" s="74" t="s">
        <v>177</v>
      </c>
      <c r="H839" s="87">
        <v>43921</v>
      </c>
      <c r="I839" s="98">
        <v>22</v>
      </c>
      <c r="J839" s="98">
        <v>22</v>
      </c>
      <c r="K839" s="89">
        <f t="shared" si="35"/>
        <v>1</v>
      </c>
      <c r="L839" s="89">
        <v>3268.75</v>
      </c>
      <c r="M839" s="89">
        <v>3149.11</v>
      </c>
      <c r="N839" s="89">
        <v>303.93</v>
      </c>
      <c r="O839" s="89">
        <f t="shared" si="36"/>
        <v>6721.79</v>
      </c>
    </row>
    <row r="840" spans="1:15">
      <c r="A840" s="74" t="s">
        <v>113</v>
      </c>
      <c r="B840" s="74" t="s">
        <v>198</v>
      </c>
      <c r="C840" s="74" t="s">
        <v>199</v>
      </c>
      <c r="D840" s="74" t="s">
        <v>79</v>
      </c>
      <c r="E840" s="74" t="s">
        <v>81</v>
      </c>
      <c r="F840" s="86" t="s">
        <v>180</v>
      </c>
      <c r="G840" s="74" t="s">
        <v>177</v>
      </c>
      <c r="H840" s="87">
        <v>43921</v>
      </c>
      <c r="I840" s="98">
        <v>22</v>
      </c>
      <c r="J840" s="98">
        <v>22</v>
      </c>
      <c r="K840" s="89">
        <f t="shared" si="35"/>
        <v>1</v>
      </c>
      <c r="L840" s="89">
        <v>2138.29</v>
      </c>
      <c r="M840" s="89">
        <v>3253.02</v>
      </c>
      <c r="N840" s="89">
        <v>205.9</v>
      </c>
      <c r="O840" s="89">
        <f t="shared" si="36"/>
        <v>5597.21</v>
      </c>
    </row>
    <row r="841" spans="1:15">
      <c r="A841" s="74" t="s">
        <v>113</v>
      </c>
      <c r="B841" s="74" t="s">
        <v>200</v>
      </c>
      <c r="C841" s="74" t="s">
        <v>201</v>
      </c>
      <c r="D841" s="74" t="s">
        <v>79</v>
      </c>
      <c r="E841" s="74" t="s">
        <v>81</v>
      </c>
      <c r="F841" s="86" t="s">
        <v>183</v>
      </c>
      <c r="G841" s="74" t="s">
        <v>177</v>
      </c>
      <c r="H841" s="87">
        <v>43921</v>
      </c>
      <c r="I841" s="98">
        <v>22</v>
      </c>
      <c r="J841" s="98">
        <v>22</v>
      </c>
      <c r="K841" s="89">
        <f t="shared" si="35"/>
        <v>1</v>
      </c>
      <c r="L841" s="89">
        <v>1081.9</v>
      </c>
      <c r="M841" s="89">
        <v>3140.5</v>
      </c>
      <c r="N841" s="89">
        <v>105.85</v>
      </c>
      <c r="O841" s="89">
        <f t="shared" si="36"/>
        <v>4328.25</v>
      </c>
    </row>
    <row r="842" spans="1:15">
      <c r="A842" s="74" t="s">
        <v>113</v>
      </c>
      <c r="B842" s="74" t="s">
        <v>202</v>
      </c>
      <c r="C842" s="74" t="s">
        <v>203</v>
      </c>
      <c r="D842" s="74" t="s">
        <v>79</v>
      </c>
      <c r="E842" s="74" t="s">
        <v>81</v>
      </c>
      <c r="F842" s="86" t="s">
        <v>204</v>
      </c>
      <c r="G842" s="74" t="s">
        <v>205</v>
      </c>
      <c r="H842" s="87">
        <v>43921</v>
      </c>
      <c r="I842" s="98">
        <v>22</v>
      </c>
      <c r="J842" s="98">
        <v>22</v>
      </c>
      <c r="K842" s="89">
        <f t="shared" si="35"/>
        <v>1</v>
      </c>
      <c r="L842" s="89">
        <v>19647.17</v>
      </c>
      <c r="M842" s="89">
        <v>3005.91</v>
      </c>
      <c r="N842" s="89">
        <v>1901.72</v>
      </c>
      <c r="O842" s="89">
        <f t="shared" si="36"/>
        <v>24554.8</v>
      </c>
    </row>
    <row r="843" spans="1:15">
      <c r="A843" s="74" t="s">
        <v>113</v>
      </c>
      <c r="B843" s="74" t="s">
        <v>206</v>
      </c>
      <c r="C843" s="74" t="s">
        <v>207</v>
      </c>
      <c r="D843" s="88" t="s">
        <v>82</v>
      </c>
      <c r="E843" s="88" t="s">
        <v>84</v>
      </c>
      <c r="F843" s="86" t="s">
        <v>208</v>
      </c>
      <c r="G843" s="74" t="s">
        <v>209</v>
      </c>
      <c r="H843" s="87">
        <v>43921</v>
      </c>
      <c r="I843" s="98">
        <v>22</v>
      </c>
      <c r="J843" s="98">
        <v>22</v>
      </c>
      <c r="K843" s="89">
        <f t="shared" si="35"/>
        <v>1</v>
      </c>
      <c r="L843" s="89">
        <v>9709.65</v>
      </c>
      <c r="M843" s="89">
        <v>3291.41</v>
      </c>
      <c r="N843" s="89">
        <v>956.28</v>
      </c>
      <c r="O843" s="89">
        <f t="shared" si="36"/>
        <v>13957.34</v>
      </c>
    </row>
    <row r="844" spans="1:15">
      <c r="A844" s="74" t="s">
        <v>113</v>
      </c>
      <c r="B844" s="74" t="s">
        <v>210</v>
      </c>
      <c r="C844" s="74" t="s">
        <v>211</v>
      </c>
      <c r="D844" s="88" t="s">
        <v>82</v>
      </c>
      <c r="E844" s="88" t="s">
        <v>84</v>
      </c>
      <c r="F844" s="86" t="s">
        <v>116</v>
      </c>
      <c r="G844" s="74" t="s">
        <v>209</v>
      </c>
      <c r="H844" s="87">
        <v>43921</v>
      </c>
      <c r="I844" s="98">
        <v>22</v>
      </c>
      <c r="J844" s="98">
        <v>22</v>
      </c>
      <c r="K844" s="89">
        <f t="shared" si="35"/>
        <v>1</v>
      </c>
      <c r="L844" s="89">
        <v>8431.24</v>
      </c>
      <c r="M844" s="89">
        <v>3146.22</v>
      </c>
      <c r="N844" s="89">
        <v>822.96</v>
      </c>
      <c r="O844" s="89">
        <f t="shared" si="36"/>
        <v>12400.42</v>
      </c>
    </row>
    <row r="845" spans="1:15">
      <c r="A845" s="74" t="s">
        <v>113</v>
      </c>
      <c r="B845" s="74" t="s">
        <v>212</v>
      </c>
      <c r="C845" s="74" t="s">
        <v>213</v>
      </c>
      <c r="D845" s="88" t="s">
        <v>82</v>
      </c>
      <c r="E845" s="88" t="s">
        <v>84</v>
      </c>
      <c r="F845" s="86" t="s">
        <v>208</v>
      </c>
      <c r="G845" s="74" t="s">
        <v>209</v>
      </c>
      <c r="H845" s="87">
        <v>43921</v>
      </c>
      <c r="I845" s="98">
        <v>22</v>
      </c>
      <c r="J845" s="98">
        <v>22</v>
      </c>
      <c r="K845" s="89">
        <f t="shared" si="35"/>
        <v>1</v>
      </c>
      <c r="L845" s="89">
        <v>9394.49</v>
      </c>
      <c r="M845" s="89">
        <v>3133.89</v>
      </c>
      <c r="N845" s="89">
        <v>988.73</v>
      </c>
      <c r="O845" s="89">
        <f t="shared" si="36"/>
        <v>13517.11</v>
      </c>
    </row>
    <row r="846" spans="1:15">
      <c r="A846" s="74" t="s">
        <v>113</v>
      </c>
      <c r="B846" s="74" t="s">
        <v>214</v>
      </c>
      <c r="C846" s="74" t="s">
        <v>215</v>
      </c>
      <c r="D846" s="88" t="s">
        <v>82</v>
      </c>
      <c r="E846" s="88" t="s">
        <v>84</v>
      </c>
      <c r="F846" s="86" t="s">
        <v>116</v>
      </c>
      <c r="G846" s="74" t="s">
        <v>209</v>
      </c>
      <c r="H846" s="87">
        <v>43921</v>
      </c>
      <c r="I846" s="98">
        <v>22</v>
      </c>
      <c r="J846" s="98">
        <v>22</v>
      </c>
      <c r="K846" s="89">
        <f t="shared" si="35"/>
        <v>1</v>
      </c>
      <c r="L846" s="89">
        <v>8342.56</v>
      </c>
      <c r="M846" s="89">
        <v>3080.56</v>
      </c>
      <c r="N846" s="89">
        <v>869.42</v>
      </c>
      <c r="O846" s="89">
        <f t="shared" si="36"/>
        <v>12292.54</v>
      </c>
    </row>
    <row r="847" spans="1:15">
      <c r="A847" s="74" t="s">
        <v>113</v>
      </c>
      <c r="B847" s="74" t="s">
        <v>216</v>
      </c>
      <c r="C847" s="74" t="s">
        <v>217</v>
      </c>
      <c r="D847" s="88" t="s">
        <v>82</v>
      </c>
      <c r="E847" s="88" t="s">
        <v>84</v>
      </c>
      <c r="F847" s="86" t="s">
        <v>218</v>
      </c>
      <c r="G847" s="74" t="s">
        <v>219</v>
      </c>
      <c r="H847" s="87">
        <v>43921</v>
      </c>
      <c r="I847" s="98">
        <v>22</v>
      </c>
      <c r="J847" s="98">
        <v>22</v>
      </c>
      <c r="K847" s="89">
        <f t="shared" si="35"/>
        <v>1</v>
      </c>
      <c r="L847" s="89">
        <v>11485.34</v>
      </c>
      <c r="M847" s="89">
        <v>3204.07</v>
      </c>
      <c r="N847" s="89">
        <v>1181.78</v>
      </c>
      <c r="O847" s="89">
        <f t="shared" si="36"/>
        <v>15871.19</v>
      </c>
    </row>
    <row r="848" spans="1:15">
      <c r="A848" s="74" t="s">
        <v>113</v>
      </c>
      <c r="B848" s="74" t="s">
        <v>220</v>
      </c>
      <c r="C848" s="74" t="s">
        <v>221</v>
      </c>
      <c r="D848" s="88" t="s">
        <v>82</v>
      </c>
      <c r="E848" s="74" t="s">
        <v>83</v>
      </c>
      <c r="F848" s="86" t="s">
        <v>218</v>
      </c>
      <c r="G848" s="74" t="s">
        <v>222</v>
      </c>
      <c r="H848" s="87">
        <v>43921</v>
      </c>
      <c r="I848" s="98">
        <v>22</v>
      </c>
      <c r="J848" s="98">
        <v>22</v>
      </c>
      <c r="K848" s="89">
        <f t="shared" si="35"/>
        <v>1</v>
      </c>
      <c r="L848" s="89">
        <v>11236.74</v>
      </c>
      <c r="M848" s="89">
        <v>3184.82</v>
      </c>
      <c r="N848" s="89">
        <v>1129.93</v>
      </c>
      <c r="O848" s="89">
        <f t="shared" si="36"/>
        <v>15551.49</v>
      </c>
    </row>
    <row r="849" spans="1:15">
      <c r="A849" s="74" t="s">
        <v>113</v>
      </c>
      <c r="B849" s="74" t="s">
        <v>223</v>
      </c>
      <c r="C849" s="74" t="s">
        <v>224</v>
      </c>
      <c r="D849" s="88" t="s">
        <v>82</v>
      </c>
      <c r="E849" s="74" t="s">
        <v>83</v>
      </c>
      <c r="F849" s="86" t="s">
        <v>225</v>
      </c>
      <c r="G849" s="74" t="s">
        <v>209</v>
      </c>
      <c r="H849" s="87">
        <v>43921</v>
      </c>
      <c r="I849" s="98">
        <v>22</v>
      </c>
      <c r="J849" s="98">
        <v>22</v>
      </c>
      <c r="K849" s="89">
        <f t="shared" si="35"/>
        <v>1</v>
      </c>
      <c r="L849" s="89">
        <v>10372.33</v>
      </c>
      <c r="M849" s="89">
        <v>3252.71</v>
      </c>
      <c r="N849" s="89">
        <v>1010.75</v>
      </c>
      <c r="O849" s="89">
        <f t="shared" si="36"/>
        <v>14635.79</v>
      </c>
    </row>
    <row r="850" spans="1:15">
      <c r="A850" s="74" t="s">
        <v>113</v>
      </c>
      <c r="B850" s="74" t="s">
        <v>226</v>
      </c>
      <c r="C850" s="74" t="s">
        <v>227</v>
      </c>
      <c r="D850" s="88" t="s">
        <v>82</v>
      </c>
      <c r="E850" s="74" t="s">
        <v>83</v>
      </c>
      <c r="F850" s="86" t="s">
        <v>208</v>
      </c>
      <c r="G850" s="74" t="s">
        <v>209</v>
      </c>
      <c r="H850" s="87">
        <v>43921</v>
      </c>
      <c r="I850" s="98">
        <v>22</v>
      </c>
      <c r="J850" s="98">
        <v>22</v>
      </c>
      <c r="K850" s="89">
        <f t="shared" si="35"/>
        <v>1</v>
      </c>
      <c r="L850" s="89">
        <v>9022.93</v>
      </c>
      <c r="M850" s="89">
        <v>3171.37</v>
      </c>
      <c r="N850" s="89">
        <v>976.06</v>
      </c>
      <c r="O850" s="89">
        <f t="shared" si="36"/>
        <v>13170.36</v>
      </c>
    </row>
    <row r="851" spans="1:15">
      <c r="A851" s="74" t="s">
        <v>113</v>
      </c>
      <c r="B851" s="74" t="s">
        <v>228</v>
      </c>
      <c r="C851" s="74" t="s">
        <v>229</v>
      </c>
      <c r="D851" s="88" t="s">
        <v>82</v>
      </c>
      <c r="E851" s="74" t="s">
        <v>83</v>
      </c>
      <c r="F851" s="86" t="s">
        <v>116</v>
      </c>
      <c r="G851" s="74" t="s">
        <v>209</v>
      </c>
      <c r="H851" s="87">
        <v>43921</v>
      </c>
      <c r="I851" s="98">
        <v>22</v>
      </c>
      <c r="J851" s="98">
        <v>22</v>
      </c>
      <c r="K851" s="89">
        <f t="shared" si="35"/>
        <v>1</v>
      </c>
      <c r="L851" s="89">
        <v>8067.97</v>
      </c>
      <c r="M851" s="89">
        <v>3038.7</v>
      </c>
      <c r="N851" s="89">
        <v>862.56</v>
      </c>
      <c r="O851" s="89">
        <f t="shared" si="36"/>
        <v>11969.23</v>
      </c>
    </row>
    <row r="852" spans="1:15">
      <c r="A852" s="74" t="s">
        <v>113</v>
      </c>
      <c r="B852" s="74" t="s">
        <v>230</v>
      </c>
      <c r="C852" s="74" t="s">
        <v>231</v>
      </c>
      <c r="D852" s="88" t="s">
        <v>82</v>
      </c>
      <c r="E852" s="74" t="s">
        <v>83</v>
      </c>
      <c r="F852" s="86" t="s">
        <v>120</v>
      </c>
      <c r="G852" s="74" t="s">
        <v>209</v>
      </c>
      <c r="H852" s="87">
        <v>43921</v>
      </c>
      <c r="I852" s="98">
        <v>22</v>
      </c>
      <c r="J852" s="98">
        <v>22</v>
      </c>
      <c r="K852" s="89">
        <f t="shared" si="35"/>
        <v>1</v>
      </c>
      <c r="L852" s="89">
        <v>7109.16</v>
      </c>
      <c r="M852" s="89">
        <v>3161.89</v>
      </c>
      <c r="N852" s="89">
        <v>729.58</v>
      </c>
      <c r="O852" s="89">
        <f t="shared" si="36"/>
        <v>11000.63</v>
      </c>
    </row>
    <row r="853" spans="1:15">
      <c r="A853" s="74" t="s">
        <v>113</v>
      </c>
      <c r="B853" s="74" t="s">
        <v>232</v>
      </c>
      <c r="C853" s="74" t="s">
        <v>233</v>
      </c>
      <c r="D853" s="88" t="s">
        <v>82</v>
      </c>
      <c r="E853" s="74" t="s">
        <v>83</v>
      </c>
      <c r="F853" s="86" t="s">
        <v>123</v>
      </c>
      <c r="G853" s="74" t="s">
        <v>209</v>
      </c>
      <c r="H853" s="87">
        <v>43921</v>
      </c>
      <c r="I853" s="98">
        <v>22</v>
      </c>
      <c r="J853" s="98">
        <v>22</v>
      </c>
      <c r="K853" s="89">
        <f t="shared" si="35"/>
        <v>1</v>
      </c>
      <c r="L853" s="89">
        <v>6408.54</v>
      </c>
      <c r="M853" s="89">
        <v>3187.15</v>
      </c>
      <c r="N853" s="89">
        <v>650.89</v>
      </c>
      <c r="O853" s="89">
        <f t="shared" si="36"/>
        <v>10246.58</v>
      </c>
    </row>
    <row r="854" spans="1:15">
      <c r="A854" s="74" t="s">
        <v>113</v>
      </c>
      <c r="B854" s="74" t="s">
        <v>234</v>
      </c>
      <c r="C854" s="74" t="s">
        <v>235</v>
      </c>
      <c r="D854" s="88" t="s">
        <v>82</v>
      </c>
      <c r="E854" s="74" t="s">
        <v>83</v>
      </c>
      <c r="F854" s="86" t="s">
        <v>116</v>
      </c>
      <c r="G854" s="74" t="s">
        <v>209</v>
      </c>
      <c r="H854" s="87">
        <v>43921</v>
      </c>
      <c r="I854" s="98">
        <v>22</v>
      </c>
      <c r="J854" s="98">
        <v>22</v>
      </c>
      <c r="K854" s="89">
        <f t="shared" si="35"/>
        <v>1</v>
      </c>
      <c r="L854" s="89">
        <v>8551.59</v>
      </c>
      <c r="M854" s="89">
        <v>3179.47</v>
      </c>
      <c r="N854" s="89">
        <v>841.52</v>
      </c>
      <c r="O854" s="89">
        <f t="shared" si="36"/>
        <v>12572.58</v>
      </c>
    </row>
    <row r="855" spans="1:15">
      <c r="A855" s="74" t="s">
        <v>113</v>
      </c>
      <c r="B855" s="74" t="s">
        <v>236</v>
      </c>
      <c r="C855" s="74" t="s">
        <v>237</v>
      </c>
      <c r="D855" s="88" t="s">
        <v>82</v>
      </c>
      <c r="E855" s="74" t="s">
        <v>83</v>
      </c>
      <c r="F855" s="86" t="s">
        <v>120</v>
      </c>
      <c r="G855" s="74" t="s">
        <v>209</v>
      </c>
      <c r="H855" s="87">
        <v>43921</v>
      </c>
      <c r="I855" s="98">
        <v>22</v>
      </c>
      <c r="J855" s="98">
        <v>22</v>
      </c>
      <c r="K855" s="89">
        <f t="shared" si="35"/>
        <v>1</v>
      </c>
      <c r="L855" s="89">
        <v>7388.82</v>
      </c>
      <c r="M855" s="89">
        <v>3286.44</v>
      </c>
      <c r="N855" s="89">
        <v>763.53</v>
      </c>
      <c r="O855" s="89">
        <f t="shared" si="36"/>
        <v>11438.79</v>
      </c>
    </row>
    <row r="856" spans="1:15">
      <c r="A856" s="74" t="s">
        <v>113</v>
      </c>
      <c r="B856" s="74" t="s">
        <v>238</v>
      </c>
      <c r="C856" s="74" t="s">
        <v>239</v>
      </c>
      <c r="D856" s="74" t="s">
        <v>86</v>
      </c>
      <c r="E856" s="74" t="s">
        <v>87</v>
      </c>
      <c r="F856" s="86" t="s">
        <v>204</v>
      </c>
      <c r="G856" s="74" t="s">
        <v>240</v>
      </c>
      <c r="H856" s="87">
        <v>43921</v>
      </c>
      <c r="I856" s="98">
        <v>22</v>
      </c>
      <c r="J856" s="98">
        <v>22</v>
      </c>
      <c r="K856" s="89">
        <f t="shared" si="35"/>
        <v>1</v>
      </c>
      <c r="L856" s="89">
        <v>14717.97</v>
      </c>
      <c r="M856" s="89">
        <v>3275.99</v>
      </c>
      <c r="N856" s="89">
        <v>1936.99</v>
      </c>
      <c r="O856" s="89">
        <f t="shared" si="36"/>
        <v>19930.95</v>
      </c>
    </row>
    <row r="857" spans="1:15">
      <c r="A857" s="74" t="s">
        <v>113</v>
      </c>
      <c r="B857" s="74" t="s">
        <v>241</v>
      </c>
      <c r="C857" s="74" t="s">
        <v>242</v>
      </c>
      <c r="D857" s="74" t="s">
        <v>86</v>
      </c>
      <c r="E857" s="74" t="s">
        <v>87</v>
      </c>
      <c r="F857" s="86" t="s">
        <v>243</v>
      </c>
      <c r="G857" s="74" t="s">
        <v>244</v>
      </c>
      <c r="H857" s="87">
        <v>43921</v>
      </c>
      <c r="I857" s="98">
        <v>22</v>
      </c>
      <c r="J857" s="98">
        <v>22</v>
      </c>
      <c r="K857" s="89">
        <f t="shared" si="35"/>
        <v>1</v>
      </c>
      <c r="L857" s="89">
        <v>11138.85</v>
      </c>
      <c r="M857" s="89">
        <v>3153.2</v>
      </c>
      <c r="N857" s="89">
        <v>1309.18</v>
      </c>
      <c r="O857" s="89">
        <f t="shared" si="36"/>
        <v>15601.23</v>
      </c>
    </row>
    <row r="858" spans="1:15">
      <c r="A858" s="74" t="s">
        <v>113</v>
      </c>
      <c r="B858" s="74" t="s">
        <v>245</v>
      </c>
      <c r="C858" s="74" t="s">
        <v>246</v>
      </c>
      <c r="D858" s="74" t="s">
        <v>86</v>
      </c>
      <c r="E858" s="74" t="s">
        <v>87</v>
      </c>
      <c r="F858" s="86" t="s">
        <v>247</v>
      </c>
      <c r="G858" s="74" t="s">
        <v>248</v>
      </c>
      <c r="H858" s="87">
        <v>43921</v>
      </c>
      <c r="I858" s="98">
        <v>22</v>
      </c>
      <c r="J858" s="98">
        <v>22</v>
      </c>
      <c r="K858" s="89">
        <f t="shared" si="35"/>
        <v>1</v>
      </c>
      <c r="L858" s="89">
        <v>9937.67</v>
      </c>
      <c r="M858" s="89">
        <v>3253.24</v>
      </c>
      <c r="N858" s="89">
        <v>1227.8</v>
      </c>
      <c r="O858" s="89">
        <f t="shared" si="36"/>
        <v>14418.71</v>
      </c>
    </row>
    <row r="859" spans="1:15">
      <c r="A859" s="74" t="s">
        <v>113</v>
      </c>
      <c r="B859" s="74" t="s">
        <v>249</v>
      </c>
      <c r="C859" s="74" t="s">
        <v>250</v>
      </c>
      <c r="D859" s="74" t="s">
        <v>86</v>
      </c>
      <c r="E859" s="74" t="s">
        <v>87</v>
      </c>
      <c r="F859" s="86" t="s">
        <v>251</v>
      </c>
      <c r="G859" s="74" t="s">
        <v>252</v>
      </c>
      <c r="H859" s="87">
        <v>43921</v>
      </c>
      <c r="I859" s="98">
        <v>22</v>
      </c>
      <c r="J859" s="98">
        <v>22</v>
      </c>
      <c r="K859" s="89">
        <f t="shared" si="35"/>
        <v>1</v>
      </c>
      <c r="L859" s="89">
        <v>8814.64</v>
      </c>
      <c r="M859" s="89">
        <v>3229.12</v>
      </c>
      <c r="N859" s="89">
        <v>1118.9</v>
      </c>
      <c r="O859" s="89">
        <f t="shared" si="36"/>
        <v>13162.66</v>
      </c>
    </row>
    <row r="860" spans="1:15">
      <c r="A860" s="74" t="s">
        <v>113</v>
      </c>
      <c r="B860" s="74" t="s">
        <v>253</v>
      </c>
      <c r="C860" s="74" t="s">
        <v>254</v>
      </c>
      <c r="D860" s="74" t="s">
        <v>86</v>
      </c>
      <c r="E860" s="74" t="s">
        <v>87</v>
      </c>
      <c r="F860" s="86" t="s">
        <v>255</v>
      </c>
      <c r="G860" s="74" t="s">
        <v>252</v>
      </c>
      <c r="H860" s="87">
        <v>43921</v>
      </c>
      <c r="I860" s="98">
        <v>22</v>
      </c>
      <c r="J860" s="98">
        <v>22</v>
      </c>
      <c r="K860" s="89">
        <f t="shared" si="35"/>
        <v>1</v>
      </c>
      <c r="L860" s="89">
        <v>8425.61</v>
      </c>
      <c r="M860" s="89">
        <v>3170.94</v>
      </c>
      <c r="N860" s="89">
        <v>1061.83</v>
      </c>
      <c r="O860" s="89">
        <f t="shared" si="36"/>
        <v>12658.38</v>
      </c>
    </row>
    <row r="861" spans="1:15">
      <c r="A861" s="74" t="s">
        <v>113</v>
      </c>
      <c r="B861" s="74" t="s">
        <v>256</v>
      </c>
      <c r="C861" s="74" t="s">
        <v>257</v>
      </c>
      <c r="D861" s="74" t="s">
        <v>86</v>
      </c>
      <c r="E861" s="74" t="s">
        <v>87</v>
      </c>
      <c r="F861" s="86" t="s">
        <v>258</v>
      </c>
      <c r="G861" s="74" t="s">
        <v>252</v>
      </c>
      <c r="H861" s="87">
        <v>43921</v>
      </c>
      <c r="I861" s="98">
        <v>22</v>
      </c>
      <c r="J861" s="98">
        <v>22</v>
      </c>
      <c r="K861" s="89">
        <f t="shared" si="35"/>
        <v>1</v>
      </c>
      <c r="L861" s="89">
        <v>7471.78</v>
      </c>
      <c r="M861" s="89">
        <v>3262.15</v>
      </c>
      <c r="N861" s="89">
        <v>955.85</v>
      </c>
      <c r="O861" s="89">
        <f t="shared" si="36"/>
        <v>11689.78</v>
      </c>
    </row>
    <row r="862" spans="1:15">
      <c r="A862" s="74" t="s">
        <v>113</v>
      </c>
      <c r="B862" s="74" t="s">
        <v>259</v>
      </c>
      <c r="C862" s="74" t="s">
        <v>260</v>
      </c>
      <c r="D862" s="74" t="s">
        <v>86</v>
      </c>
      <c r="E862" s="74" t="s">
        <v>87</v>
      </c>
      <c r="F862" s="86" t="s">
        <v>261</v>
      </c>
      <c r="G862" s="74" t="s">
        <v>262</v>
      </c>
      <c r="H862" s="87">
        <v>43921</v>
      </c>
      <c r="I862" s="98">
        <v>22</v>
      </c>
      <c r="J862" s="98">
        <v>22</v>
      </c>
      <c r="K862" s="89">
        <f t="shared" si="35"/>
        <v>1</v>
      </c>
      <c r="L862" s="89">
        <v>6419.5</v>
      </c>
      <c r="M862" s="89">
        <v>3066.83</v>
      </c>
      <c r="N862" s="89">
        <v>862.58</v>
      </c>
      <c r="O862" s="89">
        <f t="shared" si="36"/>
        <v>10348.91</v>
      </c>
    </row>
    <row r="863" spans="1:15">
      <c r="A863" s="74" t="s">
        <v>113</v>
      </c>
      <c r="B863" s="74" t="s">
        <v>263</v>
      </c>
      <c r="C863" s="74" t="s">
        <v>264</v>
      </c>
      <c r="D863" s="74" t="s">
        <v>86</v>
      </c>
      <c r="E863" s="74" t="s">
        <v>88</v>
      </c>
      <c r="F863" s="86" t="s">
        <v>149</v>
      </c>
      <c r="G863" s="74" t="s">
        <v>265</v>
      </c>
      <c r="H863" s="87">
        <v>43921</v>
      </c>
      <c r="I863" s="98">
        <v>22</v>
      </c>
      <c r="J863" s="98">
        <v>22</v>
      </c>
      <c r="K863" s="89">
        <f t="shared" si="35"/>
        <v>1</v>
      </c>
      <c r="L863" s="89">
        <v>13804.63</v>
      </c>
      <c r="M863" s="89">
        <v>3265.89</v>
      </c>
      <c r="N863" s="89">
        <v>1724.77</v>
      </c>
      <c r="O863" s="89">
        <f t="shared" si="36"/>
        <v>18795.29</v>
      </c>
    </row>
    <row r="864" spans="1:15">
      <c r="A864" s="74" t="s">
        <v>113</v>
      </c>
      <c r="B864" s="74" t="s">
        <v>266</v>
      </c>
      <c r="C864" s="74" t="s">
        <v>267</v>
      </c>
      <c r="D864" s="74" t="s">
        <v>86</v>
      </c>
      <c r="E864" s="74" t="s">
        <v>88</v>
      </c>
      <c r="F864" s="86" t="s">
        <v>243</v>
      </c>
      <c r="G864" s="74" t="s">
        <v>268</v>
      </c>
      <c r="H864" s="87">
        <v>43921</v>
      </c>
      <c r="I864" s="98">
        <v>22</v>
      </c>
      <c r="J864" s="98">
        <v>22</v>
      </c>
      <c r="K864" s="89">
        <f t="shared" si="35"/>
        <v>1</v>
      </c>
      <c r="L864" s="89">
        <v>10982.55</v>
      </c>
      <c r="M864" s="89">
        <v>3032.49</v>
      </c>
      <c r="N864" s="89">
        <v>1334.4</v>
      </c>
      <c r="O864" s="89">
        <f t="shared" si="36"/>
        <v>15349.44</v>
      </c>
    </row>
    <row r="865" spans="1:15">
      <c r="A865" s="74" t="s">
        <v>113</v>
      </c>
      <c r="B865" s="74" t="s">
        <v>269</v>
      </c>
      <c r="C865" s="74" t="s">
        <v>270</v>
      </c>
      <c r="D865" s="74" t="s">
        <v>86</v>
      </c>
      <c r="E865" s="74" t="s">
        <v>88</v>
      </c>
      <c r="F865" s="86" t="s">
        <v>247</v>
      </c>
      <c r="G865" s="74" t="s">
        <v>268</v>
      </c>
      <c r="H865" s="87">
        <v>43921</v>
      </c>
      <c r="I865" s="98">
        <v>22</v>
      </c>
      <c r="J865" s="98">
        <v>22</v>
      </c>
      <c r="K865" s="89">
        <f t="shared" si="35"/>
        <v>1</v>
      </c>
      <c r="L865" s="89">
        <v>10111.42</v>
      </c>
      <c r="M865" s="89">
        <v>3002.69</v>
      </c>
      <c r="N865" s="89">
        <v>1271.57</v>
      </c>
      <c r="O865" s="89">
        <f t="shared" si="36"/>
        <v>14385.68</v>
      </c>
    </row>
    <row r="866" spans="1:15">
      <c r="A866" s="74" t="s">
        <v>113</v>
      </c>
      <c r="B866" s="74" t="s">
        <v>271</v>
      </c>
      <c r="C866" s="74" t="s">
        <v>272</v>
      </c>
      <c r="D866" s="74" t="s">
        <v>86</v>
      </c>
      <c r="E866" s="74" t="s">
        <v>88</v>
      </c>
      <c r="F866" s="86" t="s">
        <v>251</v>
      </c>
      <c r="G866" s="74" t="s">
        <v>268</v>
      </c>
      <c r="H866" s="87">
        <v>43921</v>
      </c>
      <c r="I866" s="98">
        <v>22</v>
      </c>
      <c r="J866" s="98">
        <v>22</v>
      </c>
      <c r="K866" s="89">
        <f t="shared" si="35"/>
        <v>1</v>
      </c>
      <c r="L866" s="89">
        <v>9300.46</v>
      </c>
      <c r="M866" s="89">
        <v>3210.1</v>
      </c>
      <c r="N866" s="89">
        <v>1158.65</v>
      </c>
      <c r="O866" s="89">
        <f t="shared" si="36"/>
        <v>13669.21</v>
      </c>
    </row>
    <row r="867" spans="1:15">
      <c r="A867" s="74" t="s">
        <v>113</v>
      </c>
      <c r="B867" s="74" t="s">
        <v>273</v>
      </c>
      <c r="C867" s="74" t="s">
        <v>274</v>
      </c>
      <c r="D867" s="74" t="s">
        <v>86</v>
      </c>
      <c r="E867" s="74" t="s">
        <v>88</v>
      </c>
      <c r="F867" s="86" t="s">
        <v>255</v>
      </c>
      <c r="G867" s="74" t="s">
        <v>268</v>
      </c>
      <c r="H867" s="87">
        <v>43921</v>
      </c>
      <c r="I867" s="98">
        <v>22</v>
      </c>
      <c r="J867" s="98">
        <v>22</v>
      </c>
      <c r="K867" s="89">
        <f t="shared" si="35"/>
        <v>1</v>
      </c>
      <c r="L867" s="89">
        <v>8653.39</v>
      </c>
      <c r="M867" s="89">
        <v>3087.1</v>
      </c>
      <c r="N867" s="89">
        <v>1017.19</v>
      </c>
      <c r="O867" s="89">
        <f t="shared" si="36"/>
        <v>12757.68</v>
      </c>
    </row>
    <row r="868" spans="1:15">
      <c r="A868" s="74" t="s">
        <v>113</v>
      </c>
      <c r="B868" s="74" t="s">
        <v>275</v>
      </c>
      <c r="C868" s="74" t="s">
        <v>276</v>
      </c>
      <c r="D868" s="74" t="s">
        <v>86</v>
      </c>
      <c r="E868" s="74" t="s">
        <v>88</v>
      </c>
      <c r="F868" s="86" t="s">
        <v>258</v>
      </c>
      <c r="G868" s="74" t="s">
        <v>268</v>
      </c>
      <c r="H868" s="87">
        <v>43921</v>
      </c>
      <c r="I868" s="98">
        <v>22</v>
      </c>
      <c r="J868" s="98">
        <v>22</v>
      </c>
      <c r="K868" s="89">
        <f t="shared" si="35"/>
        <v>1</v>
      </c>
      <c r="L868" s="89">
        <v>7339.93</v>
      </c>
      <c r="M868" s="89">
        <v>3146.34</v>
      </c>
      <c r="N868" s="89">
        <v>953.87</v>
      </c>
      <c r="O868" s="89">
        <f t="shared" si="36"/>
        <v>11440.14</v>
      </c>
    </row>
    <row r="869" spans="1:15">
      <c r="A869" s="74" t="s">
        <v>113</v>
      </c>
      <c r="B869" s="74" t="s">
        <v>277</v>
      </c>
      <c r="C869" s="74" t="s">
        <v>278</v>
      </c>
      <c r="D869" s="74" t="s">
        <v>86</v>
      </c>
      <c r="E869" s="74" t="s">
        <v>89</v>
      </c>
      <c r="F869" s="86" t="s">
        <v>279</v>
      </c>
      <c r="G869" s="74" t="s">
        <v>280</v>
      </c>
      <c r="H869" s="87">
        <v>43921</v>
      </c>
      <c r="I869" s="98">
        <v>22</v>
      </c>
      <c r="J869" s="98">
        <v>22</v>
      </c>
      <c r="K869" s="89">
        <f t="shared" si="35"/>
        <v>1</v>
      </c>
      <c r="L869" s="89">
        <v>12594.32</v>
      </c>
      <c r="M869" s="89">
        <v>3187.7</v>
      </c>
      <c r="N869" s="89">
        <v>1560.61</v>
      </c>
      <c r="O869" s="89">
        <f t="shared" si="36"/>
        <v>17342.63</v>
      </c>
    </row>
    <row r="870" spans="1:15">
      <c r="A870" s="74" t="s">
        <v>113</v>
      </c>
      <c r="B870" s="74" t="s">
        <v>281</v>
      </c>
      <c r="C870" s="74" t="s">
        <v>282</v>
      </c>
      <c r="D870" s="74" t="s">
        <v>86</v>
      </c>
      <c r="E870" s="74" t="s">
        <v>89</v>
      </c>
      <c r="F870" s="86" t="s">
        <v>225</v>
      </c>
      <c r="G870" s="74" t="s">
        <v>283</v>
      </c>
      <c r="H870" s="87">
        <v>43921</v>
      </c>
      <c r="I870" s="98">
        <v>22</v>
      </c>
      <c r="J870" s="98">
        <v>22</v>
      </c>
      <c r="K870" s="89">
        <f t="shared" si="35"/>
        <v>1</v>
      </c>
      <c r="L870" s="89">
        <v>8362.25</v>
      </c>
      <c r="M870" s="89">
        <v>3193.01</v>
      </c>
      <c r="N870" s="89">
        <v>1012.26</v>
      </c>
      <c r="O870" s="89">
        <f t="shared" si="36"/>
        <v>12567.52</v>
      </c>
    </row>
    <row r="871" spans="1:15">
      <c r="A871" s="74" t="s">
        <v>113</v>
      </c>
      <c r="B871" s="74" t="s">
        <v>284</v>
      </c>
      <c r="C871" s="74" t="s">
        <v>285</v>
      </c>
      <c r="D871" s="74" t="s">
        <v>86</v>
      </c>
      <c r="E871" s="74" t="s">
        <v>89</v>
      </c>
      <c r="F871" s="86" t="s">
        <v>208</v>
      </c>
      <c r="G871" s="74" t="s">
        <v>283</v>
      </c>
      <c r="H871" s="87">
        <v>43921</v>
      </c>
      <c r="I871" s="98">
        <v>22</v>
      </c>
      <c r="J871" s="98">
        <v>22</v>
      </c>
      <c r="K871" s="89">
        <f t="shared" si="35"/>
        <v>1</v>
      </c>
      <c r="L871" s="89">
        <v>7309.06</v>
      </c>
      <c r="M871" s="89">
        <v>3208.35</v>
      </c>
      <c r="N871" s="89">
        <v>982.56</v>
      </c>
      <c r="O871" s="89">
        <f t="shared" si="36"/>
        <v>11499.97</v>
      </c>
    </row>
    <row r="872" spans="1:15">
      <c r="A872" s="74" t="s">
        <v>113</v>
      </c>
      <c r="B872" s="74" t="s">
        <v>286</v>
      </c>
      <c r="C872" s="74" t="s">
        <v>287</v>
      </c>
      <c r="D872" s="74" t="s">
        <v>82</v>
      </c>
      <c r="E872" s="88" t="s">
        <v>85</v>
      </c>
      <c r="F872" s="86" t="s">
        <v>288</v>
      </c>
      <c r="G872" s="74" t="s">
        <v>289</v>
      </c>
      <c r="H872" s="87">
        <v>43921</v>
      </c>
      <c r="I872" s="98">
        <v>22</v>
      </c>
      <c r="J872" s="98">
        <v>22</v>
      </c>
      <c r="K872" s="89">
        <f t="shared" ref="K872:K880" si="37">I872/J872</f>
        <v>1</v>
      </c>
      <c r="L872" s="89">
        <v>12564.66</v>
      </c>
      <c r="M872" s="89">
        <v>3289.8</v>
      </c>
      <c r="N872" s="89">
        <v>1239.94</v>
      </c>
      <c r="O872" s="89">
        <f t="shared" si="36"/>
        <v>17094.4</v>
      </c>
    </row>
    <row r="873" spans="1:15">
      <c r="A873" s="74" t="s">
        <v>113</v>
      </c>
      <c r="B873" s="74" t="s">
        <v>290</v>
      </c>
      <c r="C873" s="74" t="s">
        <v>291</v>
      </c>
      <c r="D873" s="74" t="s">
        <v>82</v>
      </c>
      <c r="E873" s="88" t="s">
        <v>85</v>
      </c>
      <c r="F873" s="86" t="s">
        <v>218</v>
      </c>
      <c r="G873" s="74" t="s">
        <v>289</v>
      </c>
      <c r="H873" s="87">
        <v>43921</v>
      </c>
      <c r="I873" s="98">
        <v>22</v>
      </c>
      <c r="J873" s="98">
        <v>22</v>
      </c>
      <c r="K873" s="89">
        <f t="shared" si="37"/>
        <v>1</v>
      </c>
      <c r="L873" s="89">
        <v>11336.66</v>
      </c>
      <c r="M873" s="89">
        <v>3047.99</v>
      </c>
      <c r="N873" s="89">
        <v>1155.44</v>
      </c>
      <c r="O873" s="89">
        <f t="shared" si="36"/>
        <v>15540.09</v>
      </c>
    </row>
    <row r="874" spans="1:15">
      <c r="A874" s="74" t="s">
        <v>113</v>
      </c>
      <c r="B874" s="74" t="s">
        <v>292</v>
      </c>
      <c r="C874" s="74" t="s">
        <v>293</v>
      </c>
      <c r="D874" s="74" t="s">
        <v>82</v>
      </c>
      <c r="E874" s="88" t="s">
        <v>85</v>
      </c>
      <c r="F874" s="86" t="s">
        <v>225</v>
      </c>
      <c r="G874" s="74" t="s">
        <v>289</v>
      </c>
      <c r="H874" s="87">
        <v>43921</v>
      </c>
      <c r="I874" s="98">
        <v>22</v>
      </c>
      <c r="J874" s="98">
        <v>22</v>
      </c>
      <c r="K874" s="89">
        <f t="shared" si="37"/>
        <v>1</v>
      </c>
      <c r="L874" s="89">
        <v>10913.83</v>
      </c>
      <c r="M874" s="89">
        <v>3197.86</v>
      </c>
      <c r="N874" s="89">
        <v>1077.06</v>
      </c>
      <c r="O874" s="89">
        <f t="shared" si="36"/>
        <v>15188.75</v>
      </c>
    </row>
    <row r="875" spans="1:15">
      <c r="A875" s="74" t="s">
        <v>113</v>
      </c>
      <c r="B875" s="74" t="s">
        <v>294</v>
      </c>
      <c r="C875" s="74" t="s">
        <v>295</v>
      </c>
      <c r="D875" s="74" t="s">
        <v>82</v>
      </c>
      <c r="E875" s="88" t="s">
        <v>85</v>
      </c>
      <c r="F875" s="86" t="s">
        <v>208</v>
      </c>
      <c r="G875" s="74" t="s">
        <v>289</v>
      </c>
      <c r="H875" s="87">
        <v>43921</v>
      </c>
      <c r="I875" s="98">
        <v>22</v>
      </c>
      <c r="J875" s="98">
        <v>22</v>
      </c>
      <c r="K875" s="89">
        <f t="shared" si="37"/>
        <v>1</v>
      </c>
      <c r="L875" s="89">
        <v>9681.3</v>
      </c>
      <c r="M875" s="89">
        <v>3278.63</v>
      </c>
      <c r="N875" s="89">
        <v>977.2</v>
      </c>
      <c r="O875" s="89">
        <f t="shared" si="36"/>
        <v>13937.13</v>
      </c>
    </row>
    <row r="876" spans="1:15">
      <c r="A876" s="74" t="s">
        <v>113</v>
      </c>
      <c r="B876" s="74" t="s">
        <v>296</v>
      </c>
      <c r="C876" s="74" t="s">
        <v>297</v>
      </c>
      <c r="D876" s="74" t="s">
        <v>82</v>
      </c>
      <c r="E876" s="88" t="s">
        <v>85</v>
      </c>
      <c r="F876" s="86" t="s">
        <v>116</v>
      </c>
      <c r="G876" s="74" t="s">
        <v>289</v>
      </c>
      <c r="H876" s="87">
        <v>43921</v>
      </c>
      <c r="I876" s="98">
        <v>22</v>
      </c>
      <c r="J876" s="98">
        <v>22</v>
      </c>
      <c r="K876" s="89">
        <f t="shared" si="37"/>
        <v>1</v>
      </c>
      <c r="L876" s="89">
        <v>8714.74</v>
      </c>
      <c r="M876" s="89">
        <v>3253.74</v>
      </c>
      <c r="N876" s="89">
        <v>834.82</v>
      </c>
      <c r="O876" s="89">
        <f t="shared" si="36"/>
        <v>12803.3</v>
      </c>
    </row>
    <row r="877" spans="1:15">
      <c r="A877" s="74" t="s">
        <v>113</v>
      </c>
      <c r="B877" s="74" t="s">
        <v>298</v>
      </c>
      <c r="C877" s="74" t="s">
        <v>299</v>
      </c>
      <c r="D877" s="74" t="s">
        <v>82</v>
      </c>
      <c r="E877" s="88" t="s">
        <v>85</v>
      </c>
      <c r="F877" s="86" t="s">
        <v>279</v>
      </c>
      <c r="G877" s="74" t="s">
        <v>300</v>
      </c>
      <c r="H877" s="87">
        <v>43921</v>
      </c>
      <c r="I877" s="98">
        <v>22</v>
      </c>
      <c r="J877" s="98">
        <v>22</v>
      </c>
      <c r="K877" s="89">
        <f t="shared" si="37"/>
        <v>1</v>
      </c>
      <c r="L877" s="89">
        <v>15435.62</v>
      </c>
      <c r="M877" s="89">
        <v>3128.72</v>
      </c>
      <c r="N877" s="89">
        <v>1553.24</v>
      </c>
      <c r="O877" s="89">
        <f t="shared" si="36"/>
        <v>20117.58</v>
      </c>
    </row>
    <row r="878" spans="1:15">
      <c r="A878" s="74" t="s">
        <v>113</v>
      </c>
      <c r="B878" s="74" t="s">
        <v>301</v>
      </c>
      <c r="C878" s="74" t="s">
        <v>302</v>
      </c>
      <c r="D878" s="74" t="s">
        <v>82</v>
      </c>
      <c r="E878" s="88" t="s">
        <v>85</v>
      </c>
      <c r="F878" s="86" t="s">
        <v>279</v>
      </c>
      <c r="G878" s="74" t="s">
        <v>303</v>
      </c>
      <c r="H878" s="87">
        <v>43921</v>
      </c>
      <c r="I878" s="98">
        <v>22</v>
      </c>
      <c r="J878" s="98">
        <v>22</v>
      </c>
      <c r="K878" s="89">
        <f t="shared" si="37"/>
        <v>1</v>
      </c>
      <c r="L878" s="89">
        <v>15496.51</v>
      </c>
      <c r="M878" s="89">
        <v>3128.26</v>
      </c>
      <c r="N878" s="89">
        <v>1632.98</v>
      </c>
      <c r="O878" s="89">
        <f t="shared" si="36"/>
        <v>20257.75</v>
      </c>
    </row>
    <row r="879" spans="1:15">
      <c r="A879" s="74" t="s">
        <v>113</v>
      </c>
      <c r="B879" s="74" t="s">
        <v>304</v>
      </c>
      <c r="C879" s="74" t="s">
        <v>305</v>
      </c>
      <c r="D879" s="74" t="s">
        <v>86</v>
      </c>
      <c r="E879" s="74" t="s">
        <v>90</v>
      </c>
      <c r="F879" s="86" t="s">
        <v>306</v>
      </c>
      <c r="G879" s="74" t="s">
        <v>307</v>
      </c>
      <c r="H879" s="87">
        <v>43921</v>
      </c>
      <c r="I879" s="98">
        <v>22</v>
      </c>
      <c r="J879" s="98">
        <v>22</v>
      </c>
      <c r="K879" s="89">
        <f t="shared" si="37"/>
        <v>1</v>
      </c>
      <c r="L879" s="89">
        <v>17327.66</v>
      </c>
      <c r="M879" s="89">
        <v>3139.04</v>
      </c>
      <c r="N879" s="89">
        <v>2041.08</v>
      </c>
      <c r="O879" s="89">
        <f t="shared" si="36"/>
        <v>22507.78</v>
      </c>
    </row>
    <row r="880" spans="1:15">
      <c r="A880" s="74" t="s">
        <v>113</v>
      </c>
      <c r="B880" s="74" t="s">
        <v>114</v>
      </c>
      <c r="C880" s="74" t="s">
        <v>115</v>
      </c>
      <c r="D880" s="74" t="s">
        <v>79</v>
      </c>
      <c r="E880" s="74" t="s">
        <v>80</v>
      </c>
      <c r="F880" s="86" t="s">
        <v>116</v>
      </c>
      <c r="G880" s="74" t="s">
        <v>117</v>
      </c>
      <c r="H880" s="87">
        <v>43951</v>
      </c>
      <c r="I880" s="98">
        <v>22</v>
      </c>
      <c r="J880" s="98">
        <v>22</v>
      </c>
      <c r="K880" s="89">
        <f t="shared" si="37"/>
        <v>1</v>
      </c>
      <c r="L880" s="89">
        <v>8581.32</v>
      </c>
      <c r="M880" s="89">
        <v>3164.54</v>
      </c>
      <c r="N880" s="89">
        <v>825.42</v>
      </c>
      <c r="O880" s="89">
        <f t="shared" si="36"/>
        <v>12571.28</v>
      </c>
    </row>
    <row r="881" spans="1:15">
      <c r="A881" s="74" t="s">
        <v>113</v>
      </c>
      <c r="B881" s="74" t="s">
        <v>118</v>
      </c>
      <c r="C881" s="74" t="s">
        <v>119</v>
      </c>
      <c r="D881" s="74" t="s">
        <v>79</v>
      </c>
      <c r="E881" s="74" t="s">
        <v>80</v>
      </c>
      <c r="F881" s="86" t="s">
        <v>120</v>
      </c>
      <c r="G881" s="74" t="s">
        <v>117</v>
      </c>
      <c r="H881" s="87">
        <v>43951</v>
      </c>
      <c r="I881" s="98">
        <v>22</v>
      </c>
      <c r="J881" s="98">
        <v>22</v>
      </c>
      <c r="K881" s="89">
        <f t="shared" ref="K881:K944" si="38">I881/J881</f>
        <v>1</v>
      </c>
      <c r="L881" s="89">
        <v>7695.55</v>
      </c>
      <c r="M881" s="89">
        <v>3108.32</v>
      </c>
      <c r="N881" s="89">
        <v>749</v>
      </c>
      <c r="O881" s="89">
        <f t="shared" si="36"/>
        <v>11552.87</v>
      </c>
    </row>
    <row r="882" spans="1:15">
      <c r="A882" s="74" t="s">
        <v>113</v>
      </c>
      <c r="B882" s="74" t="s">
        <v>121</v>
      </c>
      <c r="C882" s="74" t="s">
        <v>122</v>
      </c>
      <c r="D882" s="74" t="s">
        <v>79</v>
      </c>
      <c r="E882" s="74" t="s">
        <v>80</v>
      </c>
      <c r="F882" s="86" t="s">
        <v>123</v>
      </c>
      <c r="G882" s="74" t="s">
        <v>117</v>
      </c>
      <c r="H882" s="87">
        <v>43951</v>
      </c>
      <c r="I882" s="98">
        <v>22</v>
      </c>
      <c r="J882" s="98">
        <v>22</v>
      </c>
      <c r="K882" s="89">
        <f t="shared" si="38"/>
        <v>1</v>
      </c>
      <c r="L882" s="89">
        <v>6216.85</v>
      </c>
      <c r="M882" s="89">
        <v>3195.25</v>
      </c>
      <c r="N882" s="89">
        <v>630.93</v>
      </c>
      <c r="O882" s="89">
        <f t="shared" si="36"/>
        <v>10043.03</v>
      </c>
    </row>
    <row r="883" spans="1:15">
      <c r="A883" s="74" t="s">
        <v>113</v>
      </c>
      <c r="B883" s="74" t="s">
        <v>124</v>
      </c>
      <c r="C883" s="74" t="s">
        <v>125</v>
      </c>
      <c r="D883" s="74" t="s">
        <v>79</v>
      </c>
      <c r="E883" s="74" t="s">
        <v>80</v>
      </c>
      <c r="F883" s="86" t="s">
        <v>116</v>
      </c>
      <c r="G883" s="74" t="s">
        <v>117</v>
      </c>
      <c r="H883" s="87">
        <v>43951</v>
      </c>
      <c r="I883" s="98">
        <v>22</v>
      </c>
      <c r="J883" s="98">
        <v>22</v>
      </c>
      <c r="K883" s="89">
        <f t="shared" si="38"/>
        <v>1</v>
      </c>
      <c r="L883" s="89">
        <v>8342.79</v>
      </c>
      <c r="M883" s="89">
        <v>3108.11</v>
      </c>
      <c r="N883" s="89">
        <v>849.97</v>
      </c>
      <c r="O883" s="89">
        <f t="shared" si="36"/>
        <v>12300.87</v>
      </c>
    </row>
    <row r="884" spans="1:15">
      <c r="A884" s="74" t="s">
        <v>113</v>
      </c>
      <c r="B884" s="74" t="s">
        <v>126</v>
      </c>
      <c r="C884" s="74" t="s">
        <v>127</v>
      </c>
      <c r="D884" s="74" t="s">
        <v>79</v>
      </c>
      <c r="E884" s="74" t="s">
        <v>80</v>
      </c>
      <c r="F884" s="86" t="s">
        <v>120</v>
      </c>
      <c r="G884" s="74" t="s">
        <v>117</v>
      </c>
      <c r="H884" s="87">
        <v>43951</v>
      </c>
      <c r="I884" s="98">
        <v>22</v>
      </c>
      <c r="J884" s="98">
        <v>22</v>
      </c>
      <c r="K884" s="89">
        <f t="shared" si="38"/>
        <v>1</v>
      </c>
      <c r="L884" s="89">
        <v>7085.78</v>
      </c>
      <c r="M884" s="89">
        <v>3065.41</v>
      </c>
      <c r="N884" s="89">
        <v>708.29</v>
      </c>
      <c r="O884" s="89">
        <f t="shared" si="36"/>
        <v>10859.48</v>
      </c>
    </row>
    <row r="885" spans="1:15">
      <c r="A885" s="74" t="s">
        <v>113</v>
      </c>
      <c r="B885" s="74" t="s">
        <v>128</v>
      </c>
      <c r="C885" s="74" t="s">
        <v>129</v>
      </c>
      <c r="D885" s="74" t="s">
        <v>79</v>
      </c>
      <c r="E885" s="74" t="s">
        <v>80</v>
      </c>
      <c r="F885" s="86" t="s">
        <v>123</v>
      </c>
      <c r="G885" s="74" t="s">
        <v>117</v>
      </c>
      <c r="H885" s="87">
        <v>43951</v>
      </c>
      <c r="I885" s="98">
        <v>22</v>
      </c>
      <c r="J885" s="98">
        <v>22</v>
      </c>
      <c r="K885" s="89">
        <f t="shared" si="38"/>
        <v>1</v>
      </c>
      <c r="L885" s="89">
        <v>6556.68</v>
      </c>
      <c r="M885" s="89">
        <v>3165</v>
      </c>
      <c r="N885" s="89">
        <v>650.54</v>
      </c>
      <c r="O885" s="89">
        <f t="shared" si="36"/>
        <v>10372.22</v>
      </c>
    </row>
    <row r="886" spans="1:15">
      <c r="A886" s="74" t="s">
        <v>113</v>
      </c>
      <c r="B886" s="74" t="s">
        <v>130</v>
      </c>
      <c r="C886" s="74" t="s">
        <v>131</v>
      </c>
      <c r="D886" s="74" t="s">
        <v>79</v>
      </c>
      <c r="E886" s="74" t="s">
        <v>80</v>
      </c>
      <c r="F886" s="86" t="s">
        <v>116</v>
      </c>
      <c r="G886" s="74" t="s">
        <v>117</v>
      </c>
      <c r="H886" s="87">
        <v>43951</v>
      </c>
      <c r="I886" s="98">
        <v>22</v>
      </c>
      <c r="J886" s="98">
        <v>22</v>
      </c>
      <c r="K886" s="89">
        <f t="shared" si="38"/>
        <v>1</v>
      </c>
      <c r="L886" s="89">
        <v>8479.45</v>
      </c>
      <c r="M886" s="89">
        <v>3021.44</v>
      </c>
      <c r="N886" s="89">
        <v>842.69</v>
      </c>
      <c r="O886" s="89">
        <f t="shared" si="36"/>
        <v>12343.58</v>
      </c>
    </row>
    <row r="887" spans="1:15">
      <c r="A887" s="74" t="s">
        <v>113</v>
      </c>
      <c r="B887" s="74" t="s">
        <v>132</v>
      </c>
      <c r="C887" s="74" t="s">
        <v>133</v>
      </c>
      <c r="D887" s="74" t="s">
        <v>79</v>
      </c>
      <c r="E887" s="74" t="s">
        <v>80</v>
      </c>
      <c r="F887" s="86" t="s">
        <v>120</v>
      </c>
      <c r="G887" s="74" t="s">
        <v>117</v>
      </c>
      <c r="H887" s="87">
        <v>43951</v>
      </c>
      <c r="I887" s="98">
        <v>22</v>
      </c>
      <c r="J887" s="98">
        <v>22</v>
      </c>
      <c r="K887" s="89">
        <f t="shared" si="38"/>
        <v>1</v>
      </c>
      <c r="L887" s="89">
        <v>7117.8</v>
      </c>
      <c r="M887" s="89">
        <v>3072.27</v>
      </c>
      <c r="N887" s="89">
        <v>753.32</v>
      </c>
      <c r="O887" s="89">
        <f t="shared" si="36"/>
        <v>10943.39</v>
      </c>
    </row>
    <row r="888" spans="1:15">
      <c r="A888" s="74" t="s">
        <v>113</v>
      </c>
      <c r="B888" s="74" t="s">
        <v>134</v>
      </c>
      <c r="C888" s="74" t="s">
        <v>135</v>
      </c>
      <c r="D888" s="74" t="s">
        <v>79</v>
      </c>
      <c r="E888" s="74" t="s">
        <v>80</v>
      </c>
      <c r="F888" s="86" t="s">
        <v>123</v>
      </c>
      <c r="G888" s="74" t="s">
        <v>117</v>
      </c>
      <c r="H888" s="87">
        <v>43951</v>
      </c>
      <c r="I888" s="98">
        <v>22</v>
      </c>
      <c r="J888" s="98">
        <v>22</v>
      </c>
      <c r="K888" s="89">
        <f t="shared" si="38"/>
        <v>1</v>
      </c>
      <c r="L888" s="89">
        <v>6100.89</v>
      </c>
      <c r="M888" s="89">
        <v>3033.18</v>
      </c>
      <c r="N888" s="89">
        <v>654.74</v>
      </c>
      <c r="O888" s="89">
        <f t="shared" si="36"/>
        <v>9788.81</v>
      </c>
    </row>
    <row r="889" spans="1:15">
      <c r="A889" s="74" t="s">
        <v>113</v>
      </c>
      <c r="B889" s="74" t="s">
        <v>136</v>
      </c>
      <c r="C889" s="74" t="s">
        <v>137</v>
      </c>
      <c r="D889" s="74" t="s">
        <v>79</v>
      </c>
      <c r="E889" s="74" t="s">
        <v>80</v>
      </c>
      <c r="F889" s="86" t="s">
        <v>116</v>
      </c>
      <c r="G889" s="74" t="s">
        <v>138</v>
      </c>
      <c r="H889" s="87">
        <v>43951</v>
      </c>
      <c r="I889" s="98">
        <v>22</v>
      </c>
      <c r="J889" s="98">
        <v>22</v>
      </c>
      <c r="K889" s="89">
        <f t="shared" si="38"/>
        <v>1</v>
      </c>
      <c r="L889" s="89">
        <v>8009.59</v>
      </c>
      <c r="M889" s="89">
        <v>3040.55</v>
      </c>
      <c r="N889" s="89">
        <v>849.22</v>
      </c>
      <c r="O889" s="89">
        <f t="shared" si="36"/>
        <v>11899.36</v>
      </c>
    </row>
    <row r="890" spans="1:15">
      <c r="A890" s="74" t="s">
        <v>113</v>
      </c>
      <c r="B890" s="74" t="s">
        <v>139</v>
      </c>
      <c r="C890" s="74" t="s">
        <v>140</v>
      </c>
      <c r="D890" s="74" t="s">
        <v>79</v>
      </c>
      <c r="E890" s="74" t="s">
        <v>80</v>
      </c>
      <c r="F890" s="86" t="s">
        <v>120</v>
      </c>
      <c r="G890" s="74" t="s">
        <v>138</v>
      </c>
      <c r="H890" s="87">
        <v>43951</v>
      </c>
      <c r="I890" s="98">
        <v>22</v>
      </c>
      <c r="J890" s="98">
        <v>22</v>
      </c>
      <c r="K890" s="89">
        <f t="shared" si="38"/>
        <v>1</v>
      </c>
      <c r="L890" s="89">
        <v>7293.12</v>
      </c>
      <c r="M890" s="89">
        <v>3047.78</v>
      </c>
      <c r="N890" s="89">
        <v>732.04</v>
      </c>
      <c r="O890" s="89">
        <f t="shared" si="36"/>
        <v>11072.94</v>
      </c>
    </row>
    <row r="891" spans="1:15">
      <c r="A891" s="74" t="s">
        <v>113</v>
      </c>
      <c r="B891" s="74" t="s">
        <v>141</v>
      </c>
      <c r="C891" s="74" t="s">
        <v>142</v>
      </c>
      <c r="D891" s="74" t="s">
        <v>79</v>
      </c>
      <c r="E891" s="74" t="s">
        <v>80</v>
      </c>
      <c r="F891" s="86" t="s">
        <v>123</v>
      </c>
      <c r="G891" s="74" t="s">
        <v>138</v>
      </c>
      <c r="H891" s="87">
        <v>43951</v>
      </c>
      <c r="I891" s="98">
        <v>22</v>
      </c>
      <c r="J891" s="98">
        <v>22</v>
      </c>
      <c r="K891" s="89">
        <f t="shared" si="38"/>
        <v>1</v>
      </c>
      <c r="L891" s="89">
        <v>6165.99</v>
      </c>
      <c r="M891" s="89">
        <v>3169.54</v>
      </c>
      <c r="N891" s="89">
        <v>645.24</v>
      </c>
      <c r="O891" s="89">
        <f t="shared" si="36"/>
        <v>9980.77</v>
      </c>
    </row>
    <row r="892" spans="1:15">
      <c r="A892" s="74" t="s">
        <v>113</v>
      </c>
      <c r="B892" s="74" t="s">
        <v>143</v>
      </c>
      <c r="C892" s="74" t="s">
        <v>144</v>
      </c>
      <c r="D892" s="74" t="s">
        <v>79</v>
      </c>
      <c r="E892" s="74" t="s">
        <v>80</v>
      </c>
      <c r="F892" s="86" t="s">
        <v>145</v>
      </c>
      <c r="G892" s="74" t="s">
        <v>146</v>
      </c>
      <c r="H892" s="87">
        <v>43951</v>
      </c>
      <c r="I892" s="98">
        <v>22</v>
      </c>
      <c r="J892" s="98">
        <v>22</v>
      </c>
      <c r="K892" s="89">
        <f t="shared" si="38"/>
        <v>1</v>
      </c>
      <c r="L892" s="89">
        <v>19253.73</v>
      </c>
      <c r="M892" s="89">
        <v>3196.54</v>
      </c>
      <c r="N892" s="89">
        <v>1915.08</v>
      </c>
      <c r="O892" s="89">
        <f t="shared" si="36"/>
        <v>24365.35</v>
      </c>
    </row>
    <row r="893" spans="1:15">
      <c r="A893" s="74" t="s">
        <v>113</v>
      </c>
      <c r="B893" s="74" t="s">
        <v>147</v>
      </c>
      <c r="C893" s="74" t="s">
        <v>148</v>
      </c>
      <c r="D893" s="74" t="s">
        <v>79</v>
      </c>
      <c r="E893" s="74" t="s">
        <v>80</v>
      </c>
      <c r="F893" s="86" t="s">
        <v>149</v>
      </c>
      <c r="G893" s="74" t="s">
        <v>150</v>
      </c>
      <c r="H893" s="87">
        <v>43951</v>
      </c>
      <c r="I893" s="98">
        <v>22</v>
      </c>
      <c r="J893" s="98">
        <v>22</v>
      </c>
      <c r="K893" s="89">
        <f t="shared" si="38"/>
        <v>1</v>
      </c>
      <c r="L893" s="89">
        <v>18315.01</v>
      </c>
      <c r="M893" s="89">
        <v>3117.97</v>
      </c>
      <c r="N893" s="89">
        <v>1720.73</v>
      </c>
      <c r="O893" s="89">
        <f t="shared" si="36"/>
        <v>23153.71</v>
      </c>
    </row>
    <row r="894" spans="1:15">
      <c r="A894" s="74" t="s">
        <v>113</v>
      </c>
      <c r="B894" s="74" t="s">
        <v>151</v>
      </c>
      <c r="C894" s="74" t="s">
        <v>152</v>
      </c>
      <c r="D894" s="74" t="s">
        <v>79</v>
      </c>
      <c r="E894" s="74" t="s">
        <v>81</v>
      </c>
      <c r="F894" s="86" t="s">
        <v>123</v>
      </c>
      <c r="G894" s="74" t="s">
        <v>153</v>
      </c>
      <c r="H894" s="87">
        <v>43951</v>
      </c>
      <c r="I894" s="98">
        <v>22</v>
      </c>
      <c r="J894" s="98">
        <v>22</v>
      </c>
      <c r="K894" s="89">
        <f t="shared" si="38"/>
        <v>1</v>
      </c>
      <c r="L894" s="89">
        <v>6481.55</v>
      </c>
      <c r="M894" s="89">
        <v>3149.78</v>
      </c>
      <c r="N894" s="89">
        <v>656.91</v>
      </c>
      <c r="O894" s="89">
        <f t="shared" si="36"/>
        <v>10288.24</v>
      </c>
    </row>
    <row r="895" spans="1:15">
      <c r="A895" s="74" t="s">
        <v>113</v>
      </c>
      <c r="B895" s="74" t="s">
        <v>154</v>
      </c>
      <c r="C895" s="74" t="s">
        <v>155</v>
      </c>
      <c r="D895" s="74" t="s">
        <v>79</v>
      </c>
      <c r="E895" s="74" t="s">
        <v>81</v>
      </c>
      <c r="F895" s="86" t="s">
        <v>156</v>
      </c>
      <c r="G895" s="74" t="s">
        <v>157</v>
      </c>
      <c r="H895" s="87">
        <v>43951</v>
      </c>
      <c r="I895" s="98">
        <v>22</v>
      </c>
      <c r="J895" s="98">
        <v>22</v>
      </c>
      <c r="K895" s="89">
        <f t="shared" si="38"/>
        <v>1</v>
      </c>
      <c r="L895" s="89">
        <v>5303.95</v>
      </c>
      <c r="M895" s="89">
        <v>3122.99</v>
      </c>
      <c r="N895" s="89">
        <v>503.55</v>
      </c>
      <c r="O895" s="89">
        <f t="shared" si="36"/>
        <v>8930.49</v>
      </c>
    </row>
    <row r="896" spans="1:15">
      <c r="A896" s="74" t="s">
        <v>113</v>
      </c>
      <c r="B896" s="74" t="s">
        <v>158</v>
      </c>
      <c r="C896" s="74" t="s">
        <v>159</v>
      </c>
      <c r="D896" s="74" t="s">
        <v>79</v>
      </c>
      <c r="E896" s="74" t="s">
        <v>81</v>
      </c>
      <c r="F896" s="86" t="s">
        <v>160</v>
      </c>
      <c r="G896" s="74" t="s">
        <v>161</v>
      </c>
      <c r="H896" s="87">
        <v>43951</v>
      </c>
      <c r="I896" s="98">
        <v>22</v>
      </c>
      <c r="J896" s="98">
        <v>22</v>
      </c>
      <c r="K896" s="89">
        <f t="shared" si="38"/>
        <v>1</v>
      </c>
      <c r="L896" s="89">
        <v>4347.89</v>
      </c>
      <c r="M896" s="89">
        <v>3081.05</v>
      </c>
      <c r="N896" s="89">
        <v>435.13</v>
      </c>
      <c r="O896" s="89">
        <f t="shared" si="36"/>
        <v>7864.07</v>
      </c>
    </row>
    <row r="897" spans="1:15">
      <c r="A897" s="74" t="s">
        <v>113</v>
      </c>
      <c r="B897" s="74" t="s">
        <v>162</v>
      </c>
      <c r="C897" s="74" t="s">
        <v>163</v>
      </c>
      <c r="D897" s="74" t="s">
        <v>79</v>
      </c>
      <c r="E897" s="74" t="s">
        <v>81</v>
      </c>
      <c r="F897" s="86" t="s">
        <v>123</v>
      </c>
      <c r="G897" s="74" t="s">
        <v>153</v>
      </c>
      <c r="H897" s="87">
        <v>43951</v>
      </c>
      <c r="I897" s="98">
        <v>22</v>
      </c>
      <c r="J897" s="98">
        <v>22</v>
      </c>
      <c r="K897" s="89">
        <f t="shared" si="38"/>
        <v>1</v>
      </c>
      <c r="L897" s="89">
        <v>6368.71</v>
      </c>
      <c r="M897" s="89">
        <v>3252.43</v>
      </c>
      <c r="N897" s="89">
        <v>603</v>
      </c>
      <c r="O897" s="89">
        <f t="shared" si="36"/>
        <v>10224.14</v>
      </c>
    </row>
    <row r="898" spans="1:15">
      <c r="A898" s="74" t="s">
        <v>113</v>
      </c>
      <c r="B898" s="74" t="s">
        <v>164</v>
      </c>
      <c r="C898" s="74" t="s">
        <v>165</v>
      </c>
      <c r="D898" s="74" t="s">
        <v>79</v>
      </c>
      <c r="E898" s="74" t="s">
        <v>81</v>
      </c>
      <c r="F898" s="86" t="s">
        <v>156</v>
      </c>
      <c r="G898" s="74" t="s">
        <v>157</v>
      </c>
      <c r="H898" s="87">
        <v>43951</v>
      </c>
      <c r="I898" s="98">
        <v>22</v>
      </c>
      <c r="J898" s="98">
        <v>22</v>
      </c>
      <c r="K898" s="89">
        <f t="shared" si="38"/>
        <v>1</v>
      </c>
      <c r="L898" s="89">
        <v>5273.56</v>
      </c>
      <c r="M898" s="89">
        <v>3023.69</v>
      </c>
      <c r="N898" s="89">
        <v>518.53</v>
      </c>
      <c r="O898" s="89">
        <f t="shared" si="36"/>
        <v>8815.78</v>
      </c>
    </row>
    <row r="899" spans="1:15">
      <c r="A899" s="74" t="s">
        <v>113</v>
      </c>
      <c r="B899" s="74" t="s">
        <v>166</v>
      </c>
      <c r="C899" s="74" t="s">
        <v>167</v>
      </c>
      <c r="D899" s="74" t="s">
        <v>79</v>
      </c>
      <c r="E899" s="74" t="s">
        <v>81</v>
      </c>
      <c r="F899" s="86" t="s">
        <v>160</v>
      </c>
      <c r="G899" s="74" t="s">
        <v>161</v>
      </c>
      <c r="H899" s="87">
        <v>43951</v>
      </c>
      <c r="I899" s="98">
        <v>22</v>
      </c>
      <c r="J899" s="98">
        <v>22</v>
      </c>
      <c r="K899" s="89">
        <f t="shared" si="38"/>
        <v>1</v>
      </c>
      <c r="L899" s="89">
        <v>4313.47</v>
      </c>
      <c r="M899" s="89">
        <v>3161.78</v>
      </c>
      <c r="N899" s="89">
        <v>400.77</v>
      </c>
      <c r="O899" s="89">
        <f t="shared" si="36"/>
        <v>7876.02</v>
      </c>
    </row>
    <row r="900" spans="1:15">
      <c r="A900" s="74" t="s">
        <v>113</v>
      </c>
      <c r="B900" s="74" t="s">
        <v>168</v>
      </c>
      <c r="C900" s="74" t="s">
        <v>169</v>
      </c>
      <c r="D900" s="74" t="s">
        <v>79</v>
      </c>
      <c r="E900" s="74" t="s">
        <v>81</v>
      </c>
      <c r="F900" s="86" t="s">
        <v>123</v>
      </c>
      <c r="G900" s="74" t="s">
        <v>153</v>
      </c>
      <c r="H900" s="87">
        <v>43951</v>
      </c>
      <c r="I900" s="98">
        <v>22</v>
      </c>
      <c r="J900" s="98">
        <v>22</v>
      </c>
      <c r="K900" s="89">
        <f t="shared" si="38"/>
        <v>1</v>
      </c>
      <c r="L900" s="89">
        <v>6186.3</v>
      </c>
      <c r="M900" s="89">
        <v>3028.3</v>
      </c>
      <c r="N900" s="89">
        <v>637.64</v>
      </c>
      <c r="O900" s="89">
        <f t="shared" si="36"/>
        <v>9852.24</v>
      </c>
    </row>
    <row r="901" spans="1:15">
      <c r="A901" s="74" t="s">
        <v>113</v>
      </c>
      <c r="B901" s="74" t="s">
        <v>170</v>
      </c>
      <c r="C901" s="74" t="s">
        <v>171</v>
      </c>
      <c r="D901" s="74" t="s">
        <v>79</v>
      </c>
      <c r="E901" s="74" t="s">
        <v>81</v>
      </c>
      <c r="F901" s="86" t="s">
        <v>156</v>
      </c>
      <c r="G901" s="74" t="s">
        <v>157</v>
      </c>
      <c r="H901" s="87">
        <v>43951</v>
      </c>
      <c r="I901" s="98">
        <v>22</v>
      </c>
      <c r="J901" s="98">
        <v>22</v>
      </c>
      <c r="K901" s="89">
        <f t="shared" si="38"/>
        <v>1</v>
      </c>
      <c r="L901" s="89">
        <v>5423.49</v>
      </c>
      <c r="M901" s="89">
        <v>3126.71</v>
      </c>
      <c r="N901" s="89">
        <v>500.5</v>
      </c>
      <c r="O901" s="89">
        <f t="shared" ref="O901:O964" si="39">SUM(L901:N901)</f>
        <v>9050.7</v>
      </c>
    </row>
    <row r="902" spans="1:15">
      <c r="A902" s="74" t="s">
        <v>113</v>
      </c>
      <c r="B902" s="74" t="s">
        <v>172</v>
      </c>
      <c r="C902" s="74" t="s">
        <v>173</v>
      </c>
      <c r="D902" s="74" t="s">
        <v>79</v>
      </c>
      <c r="E902" s="74" t="s">
        <v>81</v>
      </c>
      <c r="F902" s="86" t="s">
        <v>160</v>
      </c>
      <c r="G902" s="74" t="s">
        <v>161</v>
      </c>
      <c r="H902" s="87">
        <v>43951</v>
      </c>
      <c r="I902" s="98">
        <v>22</v>
      </c>
      <c r="J902" s="98">
        <v>22</v>
      </c>
      <c r="K902" s="89">
        <f t="shared" si="38"/>
        <v>1</v>
      </c>
      <c r="L902" s="89">
        <v>4040.35</v>
      </c>
      <c r="M902" s="89">
        <v>3179.22</v>
      </c>
      <c r="N902" s="89">
        <v>415.91</v>
      </c>
      <c r="O902" s="89">
        <f t="shared" si="39"/>
        <v>7635.48</v>
      </c>
    </row>
    <row r="903" spans="1:15">
      <c r="A903" s="74" t="s">
        <v>113</v>
      </c>
      <c r="B903" s="74" t="s">
        <v>174</v>
      </c>
      <c r="C903" s="74" t="s">
        <v>175</v>
      </c>
      <c r="D903" s="74" t="s">
        <v>79</v>
      </c>
      <c r="E903" s="74" t="s">
        <v>81</v>
      </c>
      <c r="F903" s="86" t="s">
        <v>176</v>
      </c>
      <c r="G903" s="74" t="s">
        <v>177</v>
      </c>
      <c r="H903" s="87">
        <v>43951</v>
      </c>
      <c r="I903" s="98">
        <v>22</v>
      </c>
      <c r="J903" s="98">
        <v>22</v>
      </c>
      <c r="K903" s="89">
        <f t="shared" si="38"/>
        <v>1</v>
      </c>
      <c r="L903" s="89">
        <v>3018.31</v>
      </c>
      <c r="M903" s="89">
        <v>3288.97</v>
      </c>
      <c r="N903" s="89">
        <v>304.13</v>
      </c>
      <c r="O903" s="89">
        <f t="shared" si="39"/>
        <v>6611.41</v>
      </c>
    </row>
    <row r="904" spans="1:15">
      <c r="A904" s="74" t="s">
        <v>113</v>
      </c>
      <c r="B904" s="74" t="s">
        <v>178</v>
      </c>
      <c r="C904" s="74" t="s">
        <v>179</v>
      </c>
      <c r="D904" s="74" t="s">
        <v>79</v>
      </c>
      <c r="E904" s="74" t="s">
        <v>81</v>
      </c>
      <c r="F904" s="86" t="s">
        <v>180</v>
      </c>
      <c r="G904" s="74" t="s">
        <v>177</v>
      </c>
      <c r="H904" s="87">
        <v>43951</v>
      </c>
      <c r="I904" s="98">
        <v>22</v>
      </c>
      <c r="J904" s="98">
        <v>22</v>
      </c>
      <c r="K904" s="89">
        <f t="shared" si="38"/>
        <v>1</v>
      </c>
      <c r="L904" s="89">
        <v>2143.22</v>
      </c>
      <c r="M904" s="89">
        <v>3185.48</v>
      </c>
      <c r="N904" s="89">
        <v>213.34</v>
      </c>
      <c r="O904" s="89">
        <f t="shared" si="39"/>
        <v>5542.04</v>
      </c>
    </row>
    <row r="905" spans="1:15">
      <c r="A905" s="74" t="s">
        <v>113</v>
      </c>
      <c r="B905" s="74" t="s">
        <v>181</v>
      </c>
      <c r="C905" s="74" t="s">
        <v>182</v>
      </c>
      <c r="D905" s="74" t="s">
        <v>79</v>
      </c>
      <c r="E905" s="74" t="s">
        <v>81</v>
      </c>
      <c r="F905" s="86" t="s">
        <v>183</v>
      </c>
      <c r="G905" s="74" t="s">
        <v>177</v>
      </c>
      <c r="H905" s="87">
        <v>43951</v>
      </c>
      <c r="I905" s="98">
        <v>22</v>
      </c>
      <c r="J905" s="98">
        <v>22</v>
      </c>
      <c r="K905" s="89">
        <f t="shared" si="38"/>
        <v>1</v>
      </c>
      <c r="L905" s="89">
        <v>1031.89</v>
      </c>
      <c r="M905" s="89">
        <v>3262.34</v>
      </c>
      <c r="N905" s="89">
        <v>105.86</v>
      </c>
      <c r="O905" s="89">
        <f t="shared" si="39"/>
        <v>4400.09</v>
      </c>
    </row>
    <row r="906" spans="1:15">
      <c r="A906" s="74" t="s">
        <v>113</v>
      </c>
      <c r="B906" s="74" t="s">
        <v>184</v>
      </c>
      <c r="C906" s="74" t="s">
        <v>185</v>
      </c>
      <c r="D906" s="74" t="s">
        <v>79</v>
      </c>
      <c r="E906" s="74" t="s">
        <v>81</v>
      </c>
      <c r="F906" s="86" t="s">
        <v>176</v>
      </c>
      <c r="G906" s="74" t="s">
        <v>177</v>
      </c>
      <c r="H906" s="87">
        <v>43951</v>
      </c>
      <c r="I906" s="98">
        <v>22</v>
      </c>
      <c r="J906" s="98">
        <v>22</v>
      </c>
      <c r="K906" s="89">
        <f t="shared" si="38"/>
        <v>1</v>
      </c>
      <c r="L906" s="89">
        <v>3197.89</v>
      </c>
      <c r="M906" s="89">
        <v>3023.68</v>
      </c>
      <c r="N906" s="89">
        <v>306.08</v>
      </c>
      <c r="O906" s="89">
        <f t="shared" si="39"/>
        <v>6527.65</v>
      </c>
    </row>
    <row r="907" spans="1:15">
      <c r="A907" s="74" t="s">
        <v>113</v>
      </c>
      <c r="B907" s="74" t="s">
        <v>186</v>
      </c>
      <c r="C907" s="74" t="s">
        <v>187</v>
      </c>
      <c r="D907" s="74" t="s">
        <v>79</v>
      </c>
      <c r="E907" s="74" t="s">
        <v>81</v>
      </c>
      <c r="F907" s="86" t="s">
        <v>180</v>
      </c>
      <c r="G907" s="74" t="s">
        <v>177</v>
      </c>
      <c r="H907" s="87">
        <v>43951</v>
      </c>
      <c r="I907" s="98">
        <v>22</v>
      </c>
      <c r="J907" s="98">
        <v>22</v>
      </c>
      <c r="K907" s="89">
        <f t="shared" si="38"/>
        <v>1</v>
      </c>
      <c r="L907" s="89">
        <v>2105</v>
      </c>
      <c r="M907" s="89">
        <v>3114.48</v>
      </c>
      <c r="N907" s="89">
        <v>217.41</v>
      </c>
      <c r="O907" s="89">
        <f t="shared" si="39"/>
        <v>5436.89</v>
      </c>
    </row>
    <row r="908" spans="1:15">
      <c r="A908" s="74" t="s">
        <v>113</v>
      </c>
      <c r="B908" s="74" t="s">
        <v>188</v>
      </c>
      <c r="C908" s="74" t="s">
        <v>189</v>
      </c>
      <c r="D908" s="74" t="s">
        <v>79</v>
      </c>
      <c r="E908" s="74" t="s">
        <v>81</v>
      </c>
      <c r="F908" s="86" t="s">
        <v>183</v>
      </c>
      <c r="G908" s="74" t="s">
        <v>177</v>
      </c>
      <c r="H908" s="87">
        <v>43951</v>
      </c>
      <c r="I908" s="98">
        <v>22</v>
      </c>
      <c r="J908" s="98">
        <v>22</v>
      </c>
      <c r="K908" s="89">
        <f t="shared" si="38"/>
        <v>1</v>
      </c>
      <c r="L908" s="89">
        <v>1061.32</v>
      </c>
      <c r="M908" s="89">
        <v>3074.98</v>
      </c>
      <c r="N908" s="89">
        <v>109.01</v>
      </c>
      <c r="O908" s="89">
        <f t="shared" si="39"/>
        <v>4245.31</v>
      </c>
    </row>
    <row r="909" spans="1:15">
      <c r="A909" s="74" t="s">
        <v>113</v>
      </c>
      <c r="B909" s="74" t="s">
        <v>190</v>
      </c>
      <c r="C909" s="74" t="s">
        <v>191</v>
      </c>
      <c r="D909" s="74" t="s">
        <v>79</v>
      </c>
      <c r="E909" s="74" t="s">
        <v>81</v>
      </c>
      <c r="F909" s="86" t="s">
        <v>176</v>
      </c>
      <c r="G909" s="74" t="s">
        <v>177</v>
      </c>
      <c r="H909" s="87">
        <v>43951</v>
      </c>
      <c r="I909" s="98">
        <v>22</v>
      </c>
      <c r="J909" s="98">
        <v>22</v>
      </c>
      <c r="K909" s="89">
        <f t="shared" si="38"/>
        <v>1</v>
      </c>
      <c r="L909" s="89">
        <v>3288.42</v>
      </c>
      <c r="M909" s="89">
        <v>3202.82</v>
      </c>
      <c r="N909" s="89">
        <v>323.15</v>
      </c>
      <c r="O909" s="89">
        <f t="shared" si="39"/>
        <v>6814.39</v>
      </c>
    </row>
    <row r="910" spans="1:15">
      <c r="A910" s="74" t="s">
        <v>113</v>
      </c>
      <c r="B910" s="74" t="s">
        <v>192</v>
      </c>
      <c r="C910" s="74" t="s">
        <v>193</v>
      </c>
      <c r="D910" s="74" t="s">
        <v>79</v>
      </c>
      <c r="E910" s="74" t="s">
        <v>81</v>
      </c>
      <c r="F910" s="86" t="s">
        <v>180</v>
      </c>
      <c r="G910" s="74" t="s">
        <v>177</v>
      </c>
      <c r="H910" s="87">
        <v>43951</v>
      </c>
      <c r="I910" s="98">
        <v>22</v>
      </c>
      <c r="J910" s="98">
        <v>22</v>
      </c>
      <c r="K910" s="89">
        <f t="shared" si="38"/>
        <v>1</v>
      </c>
      <c r="L910" s="89">
        <v>2121.52</v>
      </c>
      <c r="M910" s="89">
        <v>3287.1</v>
      </c>
      <c r="N910" s="89">
        <v>205.58</v>
      </c>
      <c r="O910" s="89">
        <f t="shared" si="39"/>
        <v>5614.2</v>
      </c>
    </row>
    <row r="911" spans="1:15">
      <c r="A911" s="74" t="s">
        <v>113</v>
      </c>
      <c r="B911" s="74" t="s">
        <v>194</v>
      </c>
      <c r="C911" s="74" t="s">
        <v>195</v>
      </c>
      <c r="D911" s="74" t="s">
        <v>79</v>
      </c>
      <c r="E911" s="74" t="s">
        <v>81</v>
      </c>
      <c r="F911" s="86" t="s">
        <v>183</v>
      </c>
      <c r="G911" s="74" t="s">
        <v>177</v>
      </c>
      <c r="H911" s="87">
        <v>43951</v>
      </c>
      <c r="I911" s="98">
        <v>22</v>
      </c>
      <c r="J911" s="98">
        <v>22</v>
      </c>
      <c r="K911" s="89">
        <f t="shared" si="38"/>
        <v>1</v>
      </c>
      <c r="L911" s="89">
        <v>1060.9</v>
      </c>
      <c r="M911" s="89">
        <v>3067.86</v>
      </c>
      <c r="N911" s="89">
        <v>105.74</v>
      </c>
      <c r="O911" s="89">
        <f t="shared" si="39"/>
        <v>4234.5</v>
      </c>
    </row>
    <row r="912" spans="1:15">
      <c r="A912" s="74" t="s">
        <v>113</v>
      </c>
      <c r="B912" s="74" t="s">
        <v>196</v>
      </c>
      <c r="C912" s="74" t="s">
        <v>197</v>
      </c>
      <c r="D912" s="74" t="s">
        <v>79</v>
      </c>
      <c r="E912" s="74" t="s">
        <v>81</v>
      </c>
      <c r="F912" s="86" t="s">
        <v>176</v>
      </c>
      <c r="G912" s="74" t="s">
        <v>177</v>
      </c>
      <c r="H912" s="87">
        <v>43951</v>
      </c>
      <c r="I912" s="98">
        <v>22</v>
      </c>
      <c r="J912" s="98">
        <v>22</v>
      </c>
      <c r="K912" s="89">
        <f t="shared" si="38"/>
        <v>1</v>
      </c>
      <c r="L912" s="89">
        <v>3103.32</v>
      </c>
      <c r="M912" s="89">
        <v>3262.76</v>
      </c>
      <c r="N912" s="89">
        <v>303.41</v>
      </c>
      <c r="O912" s="89">
        <f t="shared" si="39"/>
        <v>6669.49</v>
      </c>
    </row>
    <row r="913" spans="1:15">
      <c r="A913" s="74" t="s">
        <v>113</v>
      </c>
      <c r="B913" s="74" t="s">
        <v>198</v>
      </c>
      <c r="C913" s="74" t="s">
        <v>199</v>
      </c>
      <c r="D913" s="74" t="s">
        <v>79</v>
      </c>
      <c r="E913" s="74" t="s">
        <v>81</v>
      </c>
      <c r="F913" s="86" t="s">
        <v>180</v>
      </c>
      <c r="G913" s="74" t="s">
        <v>177</v>
      </c>
      <c r="H913" s="87">
        <v>43951</v>
      </c>
      <c r="I913" s="98">
        <v>22</v>
      </c>
      <c r="J913" s="98">
        <v>22</v>
      </c>
      <c r="K913" s="89">
        <f t="shared" si="38"/>
        <v>1</v>
      </c>
      <c r="L913" s="89">
        <v>2056.89</v>
      </c>
      <c r="M913" s="89">
        <v>3000.74</v>
      </c>
      <c r="N913" s="89">
        <v>207.68</v>
      </c>
      <c r="O913" s="89">
        <f t="shared" si="39"/>
        <v>5265.31</v>
      </c>
    </row>
    <row r="914" spans="1:15">
      <c r="A914" s="74" t="s">
        <v>113</v>
      </c>
      <c r="B914" s="74" t="s">
        <v>200</v>
      </c>
      <c r="C914" s="74" t="s">
        <v>201</v>
      </c>
      <c r="D914" s="74" t="s">
        <v>79</v>
      </c>
      <c r="E914" s="74" t="s">
        <v>81</v>
      </c>
      <c r="F914" s="86" t="s">
        <v>183</v>
      </c>
      <c r="G914" s="74" t="s">
        <v>177</v>
      </c>
      <c r="H914" s="87">
        <v>43951</v>
      </c>
      <c r="I914" s="98">
        <v>22</v>
      </c>
      <c r="J914" s="98">
        <v>22</v>
      </c>
      <c r="K914" s="89">
        <f t="shared" si="38"/>
        <v>1</v>
      </c>
      <c r="L914" s="89">
        <v>1008.72</v>
      </c>
      <c r="M914" s="89">
        <v>3029.77</v>
      </c>
      <c r="N914" s="89">
        <v>105.53</v>
      </c>
      <c r="O914" s="89">
        <f t="shared" si="39"/>
        <v>4144.02</v>
      </c>
    </row>
    <row r="915" spans="1:15">
      <c r="A915" s="74" t="s">
        <v>113</v>
      </c>
      <c r="B915" s="74" t="s">
        <v>202</v>
      </c>
      <c r="C915" s="74" t="s">
        <v>203</v>
      </c>
      <c r="D915" s="74" t="s">
        <v>79</v>
      </c>
      <c r="E915" s="74" t="s">
        <v>81</v>
      </c>
      <c r="F915" s="86" t="s">
        <v>204</v>
      </c>
      <c r="G915" s="74" t="s">
        <v>205</v>
      </c>
      <c r="H915" s="87">
        <v>43951</v>
      </c>
      <c r="I915" s="98">
        <v>22</v>
      </c>
      <c r="J915" s="98">
        <v>22</v>
      </c>
      <c r="K915" s="89">
        <f t="shared" si="38"/>
        <v>1</v>
      </c>
      <c r="L915" s="89">
        <v>18538.07</v>
      </c>
      <c r="M915" s="89">
        <v>3260.74</v>
      </c>
      <c r="N915" s="89">
        <v>1905.81</v>
      </c>
      <c r="O915" s="89">
        <f t="shared" si="39"/>
        <v>23704.62</v>
      </c>
    </row>
    <row r="916" spans="1:15">
      <c r="A916" s="74" t="s">
        <v>113</v>
      </c>
      <c r="B916" s="74" t="s">
        <v>206</v>
      </c>
      <c r="C916" s="74" t="s">
        <v>207</v>
      </c>
      <c r="D916" s="88" t="s">
        <v>82</v>
      </c>
      <c r="E916" s="88" t="s">
        <v>84</v>
      </c>
      <c r="F916" s="86" t="s">
        <v>208</v>
      </c>
      <c r="G916" s="74" t="s">
        <v>209</v>
      </c>
      <c r="H916" s="87">
        <v>43951</v>
      </c>
      <c r="I916" s="98">
        <v>22</v>
      </c>
      <c r="J916" s="98">
        <v>22</v>
      </c>
      <c r="K916" s="89">
        <f t="shared" si="38"/>
        <v>1</v>
      </c>
      <c r="L916" s="89">
        <v>9392.01</v>
      </c>
      <c r="M916" s="89">
        <v>3002.36</v>
      </c>
      <c r="N916" s="89">
        <v>907.32</v>
      </c>
      <c r="O916" s="89">
        <f t="shared" si="39"/>
        <v>13301.69</v>
      </c>
    </row>
    <row r="917" spans="1:15">
      <c r="A917" s="74" t="s">
        <v>113</v>
      </c>
      <c r="B917" s="74" t="s">
        <v>210</v>
      </c>
      <c r="C917" s="74" t="s">
        <v>211</v>
      </c>
      <c r="D917" s="88" t="s">
        <v>82</v>
      </c>
      <c r="E917" s="88" t="s">
        <v>84</v>
      </c>
      <c r="F917" s="86" t="s">
        <v>116</v>
      </c>
      <c r="G917" s="74" t="s">
        <v>209</v>
      </c>
      <c r="H917" s="87">
        <v>43951</v>
      </c>
      <c r="I917" s="98">
        <v>22</v>
      </c>
      <c r="J917" s="98">
        <v>22</v>
      </c>
      <c r="K917" s="89">
        <f t="shared" si="38"/>
        <v>1</v>
      </c>
      <c r="L917" s="89">
        <v>8542.03</v>
      </c>
      <c r="M917" s="89">
        <v>3046.88</v>
      </c>
      <c r="N917" s="89">
        <v>802.78</v>
      </c>
      <c r="O917" s="89">
        <f t="shared" si="39"/>
        <v>12391.69</v>
      </c>
    </row>
    <row r="918" spans="1:15">
      <c r="A918" s="74" t="s">
        <v>113</v>
      </c>
      <c r="B918" s="74" t="s">
        <v>212</v>
      </c>
      <c r="C918" s="74" t="s">
        <v>213</v>
      </c>
      <c r="D918" s="88" t="s">
        <v>82</v>
      </c>
      <c r="E918" s="88" t="s">
        <v>84</v>
      </c>
      <c r="F918" s="86" t="s">
        <v>208</v>
      </c>
      <c r="G918" s="74" t="s">
        <v>209</v>
      </c>
      <c r="H918" s="87">
        <v>43951</v>
      </c>
      <c r="I918" s="98">
        <v>22</v>
      </c>
      <c r="J918" s="98">
        <v>22</v>
      </c>
      <c r="K918" s="89">
        <f t="shared" si="38"/>
        <v>1</v>
      </c>
      <c r="L918" s="89">
        <v>9204.72</v>
      </c>
      <c r="M918" s="89">
        <v>3290.47</v>
      </c>
      <c r="N918" s="89">
        <v>936.8</v>
      </c>
      <c r="O918" s="89">
        <f t="shared" si="39"/>
        <v>13431.99</v>
      </c>
    </row>
    <row r="919" spans="1:15">
      <c r="A919" s="74" t="s">
        <v>113</v>
      </c>
      <c r="B919" s="74" t="s">
        <v>214</v>
      </c>
      <c r="C919" s="74" t="s">
        <v>215</v>
      </c>
      <c r="D919" s="88" t="s">
        <v>82</v>
      </c>
      <c r="E919" s="88" t="s">
        <v>84</v>
      </c>
      <c r="F919" s="86" t="s">
        <v>116</v>
      </c>
      <c r="G919" s="74" t="s">
        <v>209</v>
      </c>
      <c r="H919" s="87">
        <v>43951</v>
      </c>
      <c r="I919" s="98">
        <v>22</v>
      </c>
      <c r="J919" s="98">
        <v>22</v>
      </c>
      <c r="K919" s="89">
        <f t="shared" si="38"/>
        <v>1</v>
      </c>
      <c r="L919" s="89">
        <v>8023.69</v>
      </c>
      <c r="M919" s="89">
        <v>3103.88</v>
      </c>
      <c r="N919" s="89">
        <v>864.75</v>
      </c>
      <c r="O919" s="89">
        <f t="shared" si="39"/>
        <v>11992.32</v>
      </c>
    </row>
    <row r="920" spans="1:15">
      <c r="A920" s="74" t="s">
        <v>113</v>
      </c>
      <c r="B920" s="74" t="s">
        <v>216</v>
      </c>
      <c r="C920" s="74" t="s">
        <v>217</v>
      </c>
      <c r="D920" s="88" t="s">
        <v>82</v>
      </c>
      <c r="E920" s="88" t="s">
        <v>84</v>
      </c>
      <c r="F920" s="86" t="s">
        <v>218</v>
      </c>
      <c r="G920" s="74" t="s">
        <v>219</v>
      </c>
      <c r="H920" s="87">
        <v>43951</v>
      </c>
      <c r="I920" s="98">
        <v>22</v>
      </c>
      <c r="J920" s="98">
        <v>22</v>
      </c>
      <c r="K920" s="89">
        <f t="shared" si="38"/>
        <v>1</v>
      </c>
      <c r="L920" s="89">
        <v>11510.89</v>
      </c>
      <c r="M920" s="89">
        <v>3093.41</v>
      </c>
      <c r="N920" s="89">
        <v>1100.55</v>
      </c>
      <c r="O920" s="89">
        <f t="shared" si="39"/>
        <v>15704.85</v>
      </c>
    </row>
    <row r="921" spans="1:15">
      <c r="A921" s="74" t="s">
        <v>113</v>
      </c>
      <c r="B921" s="74" t="s">
        <v>220</v>
      </c>
      <c r="C921" s="74" t="s">
        <v>221</v>
      </c>
      <c r="D921" s="88" t="s">
        <v>82</v>
      </c>
      <c r="E921" s="74" t="s">
        <v>83</v>
      </c>
      <c r="F921" s="86" t="s">
        <v>218</v>
      </c>
      <c r="G921" s="74" t="s">
        <v>222</v>
      </c>
      <c r="H921" s="87">
        <v>43951</v>
      </c>
      <c r="I921" s="98">
        <v>22</v>
      </c>
      <c r="J921" s="98">
        <v>22</v>
      </c>
      <c r="K921" s="89">
        <f t="shared" si="38"/>
        <v>1</v>
      </c>
      <c r="L921" s="89">
        <v>11171.55</v>
      </c>
      <c r="M921" s="89">
        <v>3217.97</v>
      </c>
      <c r="N921" s="89">
        <v>1121.83</v>
      </c>
      <c r="O921" s="89">
        <f t="shared" si="39"/>
        <v>15511.35</v>
      </c>
    </row>
    <row r="922" spans="1:15">
      <c r="A922" s="74" t="s">
        <v>113</v>
      </c>
      <c r="B922" s="74" t="s">
        <v>223</v>
      </c>
      <c r="C922" s="74" t="s">
        <v>224</v>
      </c>
      <c r="D922" s="88" t="s">
        <v>82</v>
      </c>
      <c r="E922" s="74" t="s">
        <v>83</v>
      </c>
      <c r="F922" s="86" t="s">
        <v>225</v>
      </c>
      <c r="G922" s="74" t="s">
        <v>209</v>
      </c>
      <c r="H922" s="87">
        <v>43951</v>
      </c>
      <c r="I922" s="98">
        <v>22</v>
      </c>
      <c r="J922" s="98">
        <v>22</v>
      </c>
      <c r="K922" s="89">
        <f t="shared" si="38"/>
        <v>1</v>
      </c>
      <c r="L922" s="89">
        <v>10693.92</v>
      </c>
      <c r="M922" s="89">
        <v>3209.74</v>
      </c>
      <c r="N922" s="89">
        <v>1077.03</v>
      </c>
      <c r="O922" s="89">
        <f t="shared" si="39"/>
        <v>14980.69</v>
      </c>
    </row>
    <row r="923" spans="1:15">
      <c r="A923" s="74" t="s">
        <v>113</v>
      </c>
      <c r="B923" s="74" t="s">
        <v>226</v>
      </c>
      <c r="C923" s="74" t="s">
        <v>227</v>
      </c>
      <c r="D923" s="88" t="s">
        <v>82</v>
      </c>
      <c r="E923" s="74" t="s">
        <v>83</v>
      </c>
      <c r="F923" s="86" t="s">
        <v>208</v>
      </c>
      <c r="G923" s="74" t="s">
        <v>209</v>
      </c>
      <c r="H923" s="87">
        <v>43951</v>
      </c>
      <c r="I923" s="98">
        <v>22</v>
      </c>
      <c r="J923" s="98">
        <v>22</v>
      </c>
      <c r="K923" s="89">
        <f t="shared" si="38"/>
        <v>1</v>
      </c>
      <c r="L923" s="89">
        <v>9454.8</v>
      </c>
      <c r="M923" s="89">
        <v>3052.57</v>
      </c>
      <c r="N923" s="89">
        <v>935.43</v>
      </c>
      <c r="O923" s="89">
        <f t="shared" si="39"/>
        <v>13442.8</v>
      </c>
    </row>
    <row r="924" spans="1:15">
      <c r="A924" s="74" t="s">
        <v>113</v>
      </c>
      <c r="B924" s="74" t="s">
        <v>228</v>
      </c>
      <c r="C924" s="74" t="s">
        <v>229</v>
      </c>
      <c r="D924" s="88" t="s">
        <v>82</v>
      </c>
      <c r="E924" s="74" t="s">
        <v>83</v>
      </c>
      <c r="F924" s="86" t="s">
        <v>116</v>
      </c>
      <c r="G924" s="74" t="s">
        <v>209</v>
      </c>
      <c r="H924" s="87">
        <v>43951</v>
      </c>
      <c r="I924" s="98">
        <v>22</v>
      </c>
      <c r="J924" s="98">
        <v>22</v>
      </c>
      <c r="K924" s="89">
        <f t="shared" si="38"/>
        <v>1</v>
      </c>
      <c r="L924" s="89">
        <v>8669.47</v>
      </c>
      <c r="M924" s="89">
        <v>3224.25</v>
      </c>
      <c r="N924" s="89">
        <v>851</v>
      </c>
      <c r="O924" s="89">
        <f t="shared" si="39"/>
        <v>12744.72</v>
      </c>
    </row>
    <row r="925" spans="1:15">
      <c r="A925" s="74" t="s">
        <v>113</v>
      </c>
      <c r="B925" s="74" t="s">
        <v>230</v>
      </c>
      <c r="C925" s="74" t="s">
        <v>231</v>
      </c>
      <c r="D925" s="88" t="s">
        <v>82</v>
      </c>
      <c r="E925" s="74" t="s">
        <v>83</v>
      </c>
      <c r="F925" s="86" t="s">
        <v>120</v>
      </c>
      <c r="G925" s="74" t="s">
        <v>209</v>
      </c>
      <c r="H925" s="87">
        <v>43951</v>
      </c>
      <c r="I925" s="98">
        <v>22</v>
      </c>
      <c r="J925" s="98">
        <v>22</v>
      </c>
      <c r="K925" s="89">
        <f t="shared" si="38"/>
        <v>1</v>
      </c>
      <c r="L925" s="89">
        <v>7307.42</v>
      </c>
      <c r="M925" s="89">
        <v>3221.19</v>
      </c>
      <c r="N925" s="89">
        <v>703.65</v>
      </c>
      <c r="O925" s="89">
        <f t="shared" si="39"/>
        <v>11232.26</v>
      </c>
    </row>
    <row r="926" spans="1:15">
      <c r="A926" s="74" t="s">
        <v>113</v>
      </c>
      <c r="B926" s="74" t="s">
        <v>232</v>
      </c>
      <c r="C926" s="74" t="s">
        <v>233</v>
      </c>
      <c r="D926" s="88" t="s">
        <v>82</v>
      </c>
      <c r="E926" s="74" t="s">
        <v>83</v>
      </c>
      <c r="F926" s="86" t="s">
        <v>123</v>
      </c>
      <c r="G926" s="74" t="s">
        <v>209</v>
      </c>
      <c r="H926" s="87">
        <v>43951</v>
      </c>
      <c r="I926" s="98">
        <v>22</v>
      </c>
      <c r="J926" s="98">
        <v>22</v>
      </c>
      <c r="K926" s="89">
        <f t="shared" si="38"/>
        <v>1</v>
      </c>
      <c r="L926" s="89">
        <v>6087.13</v>
      </c>
      <c r="M926" s="89">
        <v>3274.72</v>
      </c>
      <c r="N926" s="89">
        <v>626.33</v>
      </c>
      <c r="O926" s="89">
        <f t="shared" si="39"/>
        <v>9988.18</v>
      </c>
    </row>
    <row r="927" spans="1:15">
      <c r="A927" s="74" t="s">
        <v>113</v>
      </c>
      <c r="B927" s="74" t="s">
        <v>234</v>
      </c>
      <c r="C927" s="74" t="s">
        <v>235</v>
      </c>
      <c r="D927" s="88" t="s">
        <v>82</v>
      </c>
      <c r="E927" s="74" t="s">
        <v>83</v>
      </c>
      <c r="F927" s="86" t="s">
        <v>116</v>
      </c>
      <c r="G927" s="74" t="s">
        <v>209</v>
      </c>
      <c r="H927" s="87">
        <v>43951</v>
      </c>
      <c r="I927" s="98">
        <v>22</v>
      </c>
      <c r="J927" s="98">
        <v>22</v>
      </c>
      <c r="K927" s="89">
        <f t="shared" si="38"/>
        <v>1</v>
      </c>
      <c r="L927" s="89">
        <v>8255.2</v>
      </c>
      <c r="M927" s="89">
        <v>3102.19</v>
      </c>
      <c r="N927" s="89">
        <v>827.93</v>
      </c>
      <c r="O927" s="89">
        <f t="shared" si="39"/>
        <v>12185.32</v>
      </c>
    </row>
    <row r="928" spans="1:15">
      <c r="A928" s="74" t="s">
        <v>113</v>
      </c>
      <c r="B928" s="74" t="s">
        <v>236</v>
      </c>
      <c r="C928" s="74" t="s">
        <v>237</v>
      </c>
      <c r="D928" s="88" t="s">
        <v>82</v>
      </c>
      <c r="E928" s="74" t="s">
        <v>83</v>
      </c>
      <c r="F928" s="86" t="s">
        <v>120</v>
      </c>
      <c r="G928" s="74" t="s">
        <v>209</v>
      </c>
      <c r="H928" s="87">
        <v>43951</v>
      </c>
      <c r="I928" s="98">
        <v>22</v>
      </c>
      <c r="J928" s="98">
        <v>22</v>
      </c>
      <c r="K928" s="89">
        <f t="shared" si="38"/>
        <v>1</v>
      </c>
      <c r="L928" s="89">
        <v>7127.81</v>
      </c>
      <c r="M928" s="89">
        <v>3268.09</v>
      </c>
      <c r="N928" s="89">
        <v>756.46</v>
      </c>
      <c r="O928" s="89">
        <f t="shared" si="39"/>
        <v>11152.36</v>
      </c>
    </row>
    <row r="929" spans="1:15">
      <c r="A929" s="74" t="s">
        <v>113</v>
      </c>
      <c r="B929" s="74" t="s">
        <v>238</v>
      </c>
      <c r="C929" s="74" t="s">
        <v>239</v>
      </c>
      <c r="D929" s="74" t="s">
        <v>86</v>
      </c>
      <c r="E929" s="74" t="s">
        <v>87</v>
      </c>
      <c r="F929" s="86" t="s">
        <v>204</v>
      </c>
      <c r="G929" s="74" t="s">
        <v>240</v>
      </c>
      <c r="H929" s="87">
        <v>43951</v>
      </c>
      <c r="I929" s="98">
        <v>22</v>
      </c>
      <c r="J929" s="98">
        <v>22</v>
      </c>
      <c r="K929" s="89">
        <f t="shared" si="38"/>
        <v>1</v>
      </c>
      <c r="L929" s="89">
        <v>15657.92</v>
      </c>
      <c r="M929" s="89">
        <v>3191.53</v>
      </c>
      <c r="N929" s="89">
        <v>1934.77</v>
      </c>
      <c r="O929" s="89">
        <f t="shared" si="39"/>
        <v>20784.22</v>
      </c>
    </row>
    <row r="930" spans="1:15">
      <c r="A930" s="74" t="s">
        <v>113</v>
      </c>
      <c r="B930" s="74" t="s">
        <v>241</v>
      </c>
      <c r="C930" s="74" t="s">
        <v>242</v>
      </c>
      <c r="D930" s="74" t="s">
        <v>86</v>
      </c>
      <c r="E930" s="74" t="s">
        <v>87</v>
      </c>
      <c r="F930" s="86" t="s">
        <v>243</v>
      </c>
      <c r="G930" s="74" t="s">
        <v>244</v>
      </c>
      <c r="H930" s="87">
        <v>43951</v>
      </c>
      <c r="I930" s="98">
        <v>22</v>
      </c>
      <c r="J930" s="98">
        <v>22</v>
      </c>
      <c r="K930" s="89">
        <f t="shared" si="38"/>
        <v>1</v>
      </c>
      <c r="L930" s="89">
        <v>10763.25</v>
      </c>
      <c r="M930" s="89">
        <v>3004.09</v>
      </c>
      <c r="N930" s="89">
        <v>1378.82</v>
      </c>
      <c r="O930" s="89">
        <f t="shared" si="39"/>
        <v>15146.16</v>
      </c>
    </row>
    <row r="931" spans="1:15">
      <c r="A931" s="74" t="s">
        <v>113</v>
      </c>
      <c r="B931" s="74" t="s">
        <v>245</v>
      </c>
      <c r="C931" s="74" t="s">
        <v>246</v>
      </c>
      <c r="D931" s="74" t="s">
        <v>86</v>
      </c>
      <c r="E931" s="74" t="s">
        <v>87</v>
      </c>
      <c r="F931" s="86" t="s">
        <v>247</v>
      </c>
      <c r="G931" s="74" t="s">
        <v>248</v>
      </c>
      <c r="H931" s="87">
        <v>43951</v>
      </c>
      <c r="I931" s="98">
        <v>22</v>
      </c>
      <c r="J931" s="98">
        <v>22</v>
      </c>
      <c r="K931" s="89">
        <f t="shared" si="38"/>
        <v>1</v>
      </c>
      <c r="L931" s="89">
        <v>9781.07</v>
      </c>
      <c r="M931" s="89">
        <v>3061.57</v>
      </c>
      <c r="N931" s="89">
        <v>1238.07</v>
      </c>
      <c r="O931" s="89">
        <f t="shared" si="39"/>
        <v>14080.71</v>
      </c>
    </row>
    <row r="932" spans="1:15">
      <c r="A932" s="74" t="s">
        <v>113</v>
      </c>
      <c r="B932" s="74" t="s">
        <v>249</v>
      </c>
      <c r="C932" s="74" t="s">
        <v>250</v>
      </c>
      <c r="D932" s="74" t="s">
        <v>86</v>
      </c>
      <c r="E932" s="74" t="s">
        <v>87</v>
      </c>
      <c r="F932" s="86" t="s">
        <v>251</v>
      </c>
      <c r="G932" s="74" t="s">
        <v>252</v>
      </c>
      <c r="H932" s="87">
        <v>43951</v>
      </c>
      <c r="I932" s="98">
        <v>22</v>
      </c>
      <c r="J932" s="98">
        <v>22</v>
      </c>
      <c r="K932" s="89">
        <f t="shared" si="38"/>
        <v>1</v>
      </c>
      <c r="L932" s="89">
        <v>9339.6</v>
      </c>
      <c r="M932" s="89">
        <v>3089.48</v>
      </c>
      <c r="N932" s="89">
        <v>1153.05</v>
      </c>
      <c r="O932" s="89">
        <f t="shared" si="39"/>
        <v>13582.13</v>
      </c>
    </row>
    <row r="933" spans="1:15">
      <c r="A933" s="74" t="s">
        <v>113</v>
      </c>
      <c r="B933" s="74" t="s">
        <v>253</v>
      </c>
      <c r="C933" s="74" t="s">
        <v>254</v>
      </c>
      <c r="D933" s="74" t="s">
        <v>86</v>
      </c>
      <c r="E933" s="74" t="s">
        <v>87</v>
      </c>
      <c r="F933" s="86" t="s">
        <v>255</v>
      </c>
      <c r="G933" s="74" t="s">
        <v>252</v>
      </c>
      <c r="H933" s="87">
        <v>43951</v>
      </c>
      <c r="I933" s="98">
        <v>22</v>
      </c>
      <c r="J933" s="98">
        <v>22</v>
      </c>
      <c r="K933" s="89">
        <f t="shared" si="38"/>
        <v>1</v>
      </c>
      <c r="L933" s="89">
        <v>8108.68</v>
      </c>
      <c r="M933" s="89">
        <v>3096.13</v>
      </c>
      <c r="N933" s="89">
        <v>1068.63</v>
      </c>
      <c r="O933" s="89">
        <f t="shared" si="39"/>
        <v>12273.44</v>
      </c>
    </row>
    <row r="934" spans="1:15">
      <c r="A934" s="74" t="s">
        <v>113</v>
      </c>
      <c r="B934" s="74" t="s">
        <v>256</v>
      </c>
      <c r="C934" s="74" t="s">
        <v>257</v>
      </c>
      <c r="D934" s="74" t="s">
        <v>86</v>
      </c>
      <c r="E934" s="74" t="s">
        <v>87</v>
      </c>
      <c r="F934" s="86" t="s">
        <v>258</v>
      </c>
      <c r="G934" s="74" t="s">
        <v>252</v>
      </c>
      <c r="H934" s="87">
        <v>43951</v>
      </c>
      <c r="I934" s="98">
        <v>22</v>
      </c>
      <c r="J934" s="98">
        <v>22</v>
      </c>
      <c r="K934" s="89">
        <f t="shared" si="38"/>
        <v>1</v>
      </c>
      <c r="L934" s="89">
        <v>7211.82</v>
      </c>
      <c r="M934" s="89">
        <v>3268.34</v>
      </c>
      <c r="N934" s="89">
        <v>905.14</v>
      </c>
      <c r="O934" s="89">
        <f t="shared" si="39"/>
        <v>11385.3</v>
      </c>
    </row>
    <row r="935" spans="1:15">
      <c r="A935" s="74" t="s">
        <v>113</v>
      </c>
      <c r="B935" s="74" t="s">
        <v>259</v>
      </c>
      <c r="C935" s="74" t="s">
        <v>260</v>
      </c>
      <c r="D935" s="74" t="s">
        <v>86</v>
      </c>
      <c r="E935" s="74" t="s">
        <v>87</v>
      </c>
      <c r="F935" s="86" t="s">
        <v>261</v>
      </c>
      <c r="G935" s="74" t="s">
        <v>262</v>
      </c>
      <c r="H935" s="87">
        <v>43951</v>
      </c>
      <c r="I935" s="98">
        <v>22</v>
      </c>
      <c r="J935" s="98">
        <v>22</v>
      </c>
      <c r="K935" s="89">
        <f t="shared" si="38"/>
        <v>1</v>
      </c>
      <c r="L935" s="89">
        <v>6718.44</v>
      </c>
      <c r="M935" s="89">
        <v>3206.09</v>
      </c>
      <c r="N935" s="89">
        <v>811.78</v>
      </c>
      <c r="O935" s="89">
        <f t="shared" si="39"/>
        <v>10736.31</v>
      </c>
    </row>
    <row r="936" spans="1:15">
      <c r="A936" s="74" t="s">
        <v>113</v>
      </c>
      <c r="B936" s="74" t="s">
        <v>263</v>
      </c>
      <c r="C936" s="74" t="s">
        <v>264</v>
      </c>
      <c r="D936" s="74" t="s">
        <v>86</v>
      </c>
      <c r="E936" s="74" t="s">
        <v>88</v>
      </c>
      <c r="F936" s="86" t="s">
        <v>149</v>
      </c>
      <c r="G936" s="74" t="s">
        <v>265</v>
      </c>
      <c r="H936" s="87">
        <v>43951</v>
      </c>
      <c r="I936" s="98">
        <v>22</v>
      </c>
      <c r="J936" s="98">
        <v>22</v>
      </c>
      <c r="K936" s="89">
        <f t="shared" si="38"/>
        <v>1</v>
      </c>
      <c r="L936" s="89">
        <v>13848.07</v>
      </c>
      <c r="M936" s="89">
        <v>3090.43</v>
      </c>
      <c r="N936" s="89">
        <v>1834.8</v>
      </c>
      <c r="O936" s="89">
        <f t="shared" si="39"/>
        <v>18773.3</v>
      </c>
    </row>
    <row r="937" spans="1:15">
      <c r="A937" s="74" t="s">
        <v>113</v>
      </c>
      <c r="B937" s="74" t="s">
        <v>266</v>
      </c>
      <c r="C937" s="74" t="s">
        <v>267</v>
      </c>
      <c r="D937" s="74" t="s">
        <v>86</v>
      </c>
      <c r="E937" s="74" t="s">
        <v>88</v>
      </c>
      <c r="F937" s="86" t="s">
        <v>243</v>
      </c>
      <c r="G937" s="74" t="s">
        <v>268</v>
      </c>
      <c r="H937" s="87">
        <v>43951</v>
      </c>
      <c r="I937" s="98">
        <v>22</v>
      </c>
      <c r="J937" s="98">
        <v>22</v>
      </c>
      <c r="K937" s="89">
        <f t="shared" si="38"/>
        <v>1</v>
      </c>
      <c r="L937" s="89">
        <v>11212.11</v>
      </c>
      <c r="M937" s="89">
        <v>3028.45</v>
      </c>
      <c r="N937" s="89">
        <v>1389.86</v>
      </c>
      <c r="O937" s="89">
        <f t="shared" si="39"/>
        <v>15630.42</v>
      </c>
    </row>
    <row r="938" spans="1:15">
      <c r="A938" s="74" t="s">
        <v>113</v>
      </c>
      <c r="B938" s="74" t="s">
        <v>269</v>
      </c>
      <c r="C938" s="74" t="s">
        <v>270</v>
      </c>
      <c r="D938" s="74" t="s">
        <v>86</v>
      </c>
      <c r="E938" s="74" t="s">
        <v>88</v>
      </c>
      <c r="F938" s="86" t="s">
        <v>247</v>
      </c>
      <c r="G938" s="74" t="s">
        <v>268</v>
      </c>
      <c r="H938" s="87">
        <v>43951</v>
      </c>
      <c r="I938" s="98">
        <v>22</v>
      </c>
      <c r="J938" s="98">
        <v>22</v>
      </c>
      <c r="K938" s="89">
        <f t="shared" si="38"/>
        <v>1</v>
      </c>
      <c r="L938" s="89">
        <v>10366.41</v>
      </c>
      <c r="M938" s="89">
        <v>3285.33</v>
      </c>
      <c r="N938" s="89">
        <v>1300.27</v>
      </c>
      <c r="O938" s="89">
        <f t="shared" si="39"/>
        <v>14952.01</v>
      </c>
    </row>
    <row r="939" spans="1:15">
      <c r="A939" s="74" t="s">
        <v>113</v>
      </c>
      <c r="B939" s="74" t="s">
        <v>271</v>
      </c>
      <c r="C939" s="74" t="s">
        <v>272</v>
      </c>
      <c r="D939" s="74" t="s">
        <v>86</v>
      </c>
      <c r="E939" s="74" t="s">
        <v>88</v>
      </c>
      <c r="F939" s="86" t="s">
        <v>251</v>
      </c>
      <c r="G939" s="74" t="s">
        <v>268</v>
      </c>
      <c r="H939" s="87">
        <v>43951</v>
      </c>
      <c r="I939" s="98">
        <v>22</v>
      </c>
      <c r="J939" s="98">
        <v>22</v>
      </c>
      <c r="K939" s="89">
        <f t="shared" si="38"/>
        <v>1</v>
      </c>
      <c r="L939" s="89">
        <v>9665.21</v>
      </c>
      <c r="M939" s="89">
        <v>3237.84</v>
      </c>
      <c r="N939" s="89">
        <v>1116.95</v>
      </c>
      <c r="O939" s="89">
        <f t="shared" si="39"/>
        <v>14020</v>
      </c>
    </row>
    <row r="940" spans="1:15">
      <c r="A940" s="74" t="s">
        <v>113</v>
      </c>
      <c r="B940" s="74" t="s">
        <v>273</v>
      </c>
      <c r="C940" s="74" t="s">
        <v>274</v>
      </c>
      <c r="D940" s="74" t="s">
        <v>86</v>
      </c>
      <c r="E940" s="74" t="s">
        <v>88</v>
      </c>
      <c r="F940" s="86" t="s">
        <v>255</v>
      </c>
      <c r="G940" s="74" t="s">
        <v>268</v>
      </c>
      <c r="H940" s="87">
        <v>43951</v>
      </c>
      <c r="I940" s="98">
        <v>22</v>
      </c>
      <c r="J940" s="98">
        <v>22</v>
      </c>
      <c r="K940" s="89">
        <f t="shared" si="38"/>
        <v>1</v>
      </c>
      <c r="L940" s="89">
        <v>8511.83</v>
      </c>
      <c r="M940" s="89">
        <v>3058.08</v>
      </c>
      <c r="N940" s="89">
        <v>1002.05</v>
      </c>
      <c r="O940" s="89">
        <f t="shared" si="39"/>
        <v>12571.96</v>
      </c>
    </row>
    <row r="941" spans="1:15">
      <c r="A941" s="74" t="s">
        <v>113</v>
      </c>
      <c r="B941" s="74" t="s">
        <v>275</v>
      </c>
      <c r="C941" s="74" t="s">
        <v>276</v>
      </c>
      <c r="D941" s="74" t="s">
        <v>86</v>
      </c>
      <c r="E941" s="74" t="s">
        <v>88</v>
      </c>
      <c r="F941" s="86" t="s">
        <v>258</v>
      </c>
      <c r="G941" s="74" t="s">
        <v>268</v>
      </c>
      <c r="H941" s="87">
        <v>43951</v>
      </c>
      <c r="I941" s="98">
        <v>22</v>
      </c>
      <c r="J941" s="98">
        <v>22</v>
      </c>
      <c r="K941" s="89">
        <f t="shared" si="38"/>
        <v>1</v>
      </c>
      <c r="L941" s="89">
        <v>7343.16</v>
      </c>
      <c r="M941" s="89">
        <v>3035.03</v>
      </c>
      <c r="N941" s="89">
        <v>938.6</v>
      </c>
      <c r="O941" s="89">
        <f t="shared" si="39"/>
        <v>11316.79</v>
      </c>
    </row>
    <row r="942" spans="1:15">
      <c r="A942" s="74" t="s">
        <v>113</v>
      </c>
      <c r="B942" s="74" t="s">
        <v>277</v>
      </c>
      <c r="C942" s="74" t="s">
        <v>278</v>
      </c>
      <c r="D942" s="74" t="s">
        <v>86</v>
      </c>
      <c r="E942" s="74" t="s">
        <v>89</v>
      </c>
      <c r="F942" s="86" t="s">
        <v>279</v>
      </c>
      <c r="G942" s="74" t="s">
        <v>280</v>
      </c>
      <c r="H942" s="87">
        <v>43951</v>
      </c>
      <c r="I942" s="98">
        <v>22</v>
      </c>
      <c r="J942" s="98">
        <v>22</v>
      </c>
      <c r="K942" s="89">
        <f t="shared" si="38"/>
        <v>1</v>
      </c>
      <c r="L942" s="89">
        <v>12830.36</v>
      </c>
      <c r="M942" s="89">
        <v>3277.74</v>
      </c>
      <c r="N942" s="89">
        <v>1537.45</v>
      </c>
      <c r="O942" s="89">
        <f t="shared" si="39"/>
        <v>17645.55</v>
      </c>
    </row>
    <row r="943" spans="1:15">
      <c r="A943" s="74" t="s">
        <v>113</v>
      </c>
      <c r="B943" s="74" t="s">
        <v>281</v>
      </c>
      <c r="C943" s="74" t="s">
        <v>282</v>
      </c>
      <c r="D943" s="74" t="s">
        <v>86</v>
      </c>
      <c r="E943" s="74" t="s">
        <v>89</v>
      </c>
      <c r="F943" s="86" t="s">
        <v>225</v>
      </c>
      <c r="G943" s="74" t="s">
        <v>283</v>
      </c>
      <c r="H943" s="87">
        <v>43951</v>
      </c>
      <c r="I943" s="98">
        <v>22</v>
      </c>
      <c r="J943" s="98">
        <v>22</v>
      </c>
      <c r="K943" s="89">
        <f t="shared" si="38"/>
        <v>1</v>
      </c>
      <c r="L943" s="89">
        <v>8419.7</v>
      </c>
      <c r="M943" s="89">
        <v>3172.63</v>
      </c>
      <c r="N943" s="89">
        <v>1010.98</v>
      </c>
      <c r="O943" s="89">
        <f t="shared" si="39"/>
        <v>12603.31</v>
      </c>
    </row>
    <row r="944" spans="1:15">
      <c r="A944" s="74" t="s">
        <v>113</v>
      </c>
      <c r="B944" s="74" t="s">
        <v>284</v>
      </c>
      <c r="C944" s="74" t="s">
        <v>285</v>
      </c>
      <c r="D944" s="74" t="s">
        <v>86</v>
      </c>
      <c r="E944" s="74" t="s">
        <v>89</v>
      </c>
      <c r="F944" s="86" t="s">
        <v>208</v>
      </c>
      <c r="G944" s="74" t="s">
        <v>283</v>
      </c>
      <c r="H944" s="87">
        <v>43951</v>
      </c>
      <c r="I944" s="98">
        <v>22</v>
      </c>
      <c r="J944" s="98">
        <v>22</v>
      </c>
      <c r="K944" s="89">
        <f t="shared" si="38"/>
        <v>1</v>
      </c>
      <c r="L944" s="89">
        <v>7542.82</v>
      </c>
      <c r="M944" s="89">
        <v>3069.47</v>
      </c>
      <c r="N944" s="89">
        <v>978.39</v>
      </c>
      <c r="O944" s="89">
        <f t="shared" si="39"/>
        <v>11590.68</v>
      </c>
    </row>
    <row r="945" spans="1:15">
      <c r="A945" s="74" t="s">
        <v>113</v>
      </c>
      <c r="B945" s="74" t="s">
        <v>286</v>
      </c>
      <c r="C945" s="74" t="s">
        <v>287</v>
      </c>
      <c r="D945" s="74" t="s">
        <v>82</v>
      </c>
      <c r="E945" s="88" t="s">
        <v>85</v>
      </c>
      <c r="F945" s="86" t="s">
        <v>288</v>
      </c>
      <c r="G945" s="74" t="s">
        <v>289</v>
      </c>
      <c r="H945" s="87">
        <v>43951</v>
      </c>
      <c r="I945" s="98">
        <v>22</v>
      </c>
      <c r="J945" s="98">
        <v>22</v>
      </c>
      <c r="K945" s="89">
        <f t="shared" ref="K945:K953" si="40">I945/J945</f>
        <v>1</v>
      </c>
      <c r="L945" s="89">
        <v>12460.25</v>
      </c>
      <c r="M945" s="89">
        <v>3157.57</v>
      </c>
      <c r="N945" s="89">
        <v>1316.44</v>
      </c>
      <c r="O945" s="89">
        <f t="shared" si="39"/>
        <v>16934.26</v>
      </c>
    </row>
    <row r="946" spans="1:15">
      <c r="A946" s="74" t="s">
        <v>113</v>
      </c>
      <c r="B946" s="74" t="s">
        <v>290</v>
      </c>
      <c r="C946" s="74" t="s">
        <v>291</v>
      </c>
      <c r="D946" s="74" t="s">
        <v>82</v>
      </c>
      <c r="E946" s="88" t="s">
        <v>85</v>
      </c>
      <c r="F946" s="86" t="s">
        <v>218</v>
      </c>
      <c r="G946" s="74" t="s">
        <v>289</v>
      </c>
      <c r="H946" s="87">
        <v>43951</v>
      </c>
      <c r="I946" s="98">
        <v>22</v>
      </c>
      <c r="J946" s="98">
        <v>22</v>
      </c>
      <c r="K946" s="89">
        <f t="shared" si="40"/>
        <v>1</v>
      </c>
      <c r="L946" s="89">
        <v>11071.75</v>
      </c>
      <c r="M946" s="89">
        <v>3272.51</v>
      </c>
      <c r="N946" s="89">
        <v>1161.01</v>
      </c>
      <c r="O946" s="89">
        <f t="shared" si="39"/>
        <v>15505.27</v>
      </c>
    </row>
    <row r="947" spans="1:15">
      <c r="A947" s="74" t="s">
        <v>113</v>
      </c>
      <c r="B947" s="74" t="s">
        <v>292</v>
      </c>
      <c r="C947" s="74" t="s">
        <v>293</v>
      </c>
      <c r="D947" s="74" t="s">
        <v>82</v>
      </c>
      <c r="E947" s="88" t="s">
        <v>85</v>
      </c>
      <c r="F947" s="86" t="s">
        <v>225</v>
      </c>
      <c r="G947" s="74" t="s">
        <v>289</v>
      </c>
      <c r="H947" s="87">
        <v>43951</v>
      </c>
      <c r="I947" s="98">
        <v>22</v>
      </c>
      <c r="J947" s="98">
        <v>22</v>
      </c>
      <c r="K947" s="89">
        <f t="shared" si="40"/>
        <v>1</v>
      </c>
      <c r="L947" s="89">
        <v>10405.26</v>
      </c>
      <c r="M947" s="89">
        <v>3021.05</v>
      </c>
      <c r="N947" s="89">
        <v>1028.72</v>
      </c>
      <c r="O947" s="89">
        <f t="shared" si="39"/>
        <v>14455.03</v>
      </c>
    </row>
    <row r="948" spans="1:15">
      <c r="A948" s="74" t="s">
        <v>113</v>
      </c>
      <c r="B948" s="74" t="s">
        <v>294</v>
      </c>
      <c r="C948" s="74" t="s">
        <v>295</v>
      </c>
      <c r="D948" s="74" t="s">
        <v>82</v>
      </c>
      <c r="E948" s="88" t="s">
        <v>85</v>
      </c>
      <c r="F948" s="86" t="s">
        <v>208</v>
      </c>
      <c r="G948" s="74" t="s">
        <v>289</v>
      </c>
      <c r="H948" s="87">
        <v>43951</v>
      </c>
      <c r="I948" s="98">
        <v>22</v>
      </c>
      <c r="J948" s="98">
        <v>22</v>
      </c>
      <c r="K948" s="89">
        <f t="shared" si="40"/>
        <v>1</v>
      </c>
      <c r="L948" s="89">
        <v>9471.54</v>
      </c>
      <c r="M948" s="89">
        <v>3157.86</v>
      </c>
      <c r="N948" s="89">
        <v>936.7</v>
      </c>
      <c r="O948" s="89">
        <f t="shared" si="39"/>
        <v>13566.1</v>
      </c>
    </row>
    <row r="949" spans="1:15">
      <c r="A949" s="74" t="s">
        <v>113</v>
      </c>
      <c r="B949" s="74" t="s">
        <v>296</v>
      </c>
      <c r="C949" s="74" t="s">
        <v>297</v>
      </c>
      <c r="D949" s="74" t="s">
        <v>82</v>
      </c>
      <c r="E949" s="88" t="s">
        <v>85</v>
      </c>
      <c r="F949" s="86" t="s">
        <v>116</v>
      </c>
      <c r="G949" s="74" t="s">
        <v>289</v>
      </c>
      <c r="H949" s="87">
        <v>43951</v>
      </c>
      <c r="I949" s="98">
        <v>22</v>
      </c>
      <c r="J949" s="98">
        <v>22</v>
      </c>
      <c r="K949" s="89">
        <f t="shared" si="40"/>
        <v>1</v>
      </c>
      <c r="L949" s="89">
        <v>8773.64</v>
      </c>
      <c r="M949" s="89">
        <v>3163.65</v>
      </c>
      <c r="N949" s="89">
        <v>804.91</v>
      </c>
      <c r="O949" s="89">
        <f t="shared" si="39"/>
        <v>12742.2</v>
      </c>
    </row>
    <row r="950" spans="1:15">
      <c r="A950" s="74" t="s">
        <v>113</v>
      </c>
      <c r="B950" s="74" t="s">
        <v>298</v>
      </c>
      <c r="C950" s="74" t="s">
        <v>299</v>
      </c>
      <c r="D950" s="74" t="s">
        <v>82</v>
      </c>
      <c r="E950" s="88" t="s">
        <v>85</v>
      </c>
      <c r="F950" s="86" t="s">
        <v>279</v>
      </c>
      <c r="G950" s="74" t="s">
        <v>300</v>
      </c>
      <c r="H950" s="87">
        <v>43951</v>
      </c>
      <c r="I950" s="98">
        <v>22</v>
      </c>
      <c r="J950" s="98">
        <v>22</v>
      </c>
      <c r="K950" s="89">
        <f t="shared" si="40"/>
        <v>1</v>
      </c>
      <c r="L950" s="89">
        <v>16264.6</v>
      </c>
      <c r="M950" s="89">
        <v>3145.53</v>
      </c>
      <c r="N950" s="89">
        <v>1550.26</v>
      </c>
      <c r="O950" s="89">
        <f t="shared" si="39"/>
        <v>20960.39</v>
      </c>
    </row>
    <row r="951" spans="1:15">
      <c r="A951" s="74" t="s">
        <v>113</v>
      </c>
      <c r="B951" s="74" t="s">
        <v>301</v>
      </c>
      <c r="C951" s="74" t="s">
        <v>302</v>
      </c>
      <c r="D951" s="74" t="s">
        <v>82</v>
      </c>
      <c r="E951" s="88" t="s">
        <v>85</v>
      </c>
      <c r="F951" s="86" t="s">
        <v>279</v>
      </c>
      <c r="G951" s="74" t="s">
        <v>303</v>
      </c>
      <c r="H951" s="87">
        <v>43951</v>
      </c>
      <c r="I951" s="98">
        <v>22</v>
      </c>
      <c r="J951" s="98">
        <v>22</v>
      </c>
      <c r="K951" s="89">
        <f t="shared" si="40"/>
        <v>1</v>
      </c>
      <c r="L951" s="89">
        <v>15943.71</v>
      </c>
      <c r="M951" s="89">
        <v>3129.9</v>
      </c>
      <c r="N951" s="89">
        <v>1546.36</v>
      </c>
      <c r="O951" s="89">
        <f t="shared" si="39"/>
        <v>20619.97</v>
      </c>
    </row>
    <row r="952" spans="1:15">
      <c r="A952" s="74" t="s">
        <v>113</v>
      </c>
      <c r="B952" s="74" t="s">
        <v>304</v>
      </c>
      <c r="C952" s="74" t="s">
        <v>305</v>
      </c>
      <c r="D952" s="74" t="s">
        <v>86</v>
      </c>
      <c r="E952" s="74" t="s">
        <v>90</v>
      </c>
      <c r="F952" s="86" t="s">
        <v>306</v>
      </c>
      <c r="G952" s="74" t="s">
        <v>307</v>
      </c>
      <c r="H952" s="87">
        <v>43951</v>
      </c>
      <c r="I952" s="98">
        <v>22</v>
      </c>
      <c r="J952" s="98">
        <v>22</v>
      </c>
      <c r="K952" s="89">
        <f t="shared" si="40"/>
        <v>1</v>
      </c>
      <c r="L952" s="89">
        <v>17454.61</v>
      </c>
      <c r="M952" s="89">
        <v>3181.34</v>
      </c>
      <c r="N952" s="89">
        <v>2043.96</v>
      </c>
      <c r="O952" s="89">
        <f t="shared" si="39"/>
        <v>22679.91</v>
      </c>
    </row>
    <row r="953" spans="1:15">
      <c r="A953" s="74" t="s">
        <v>113</v>
      </c>
      <c r="B953" s="74" t="s">
        <v>114</v>
      </c>
      <c r="C953" s="74" t="s">
        <v>115</v>
      </c>
      <c r="D953" s="74" t="s">
        <v>79</v>
      </c>
      <c r="E953" s="74" t="s">
        <v>80</v>
      </c>
      <c r="F953" s="86" t="s">
        <v>116</v>
      </c>
      <c r="G953" s="74" t="s">
        <v>117</v>
      </c>
      <c r="H953" s="87">
        <v>43981</v>
      </c>
      <c r="I953" s="98">
        <v>22</v>
      </c>
      <c r="J953" s="98">
        <v>22</v>
      </c>
      <c r="K953" s="89">
        <f t="shared" si="40"/>
        <v>1</v>
      </c>
      <c r="L953" s="89">
        <v>8262.45</v>
      </c>
      <c r="M953" s="89">
        <v>3132.76</v>
      </c>
      <c r="N953" s="89">
        <v>818.3</v>
      </c>
      <c r="O953" s="89">
        <f t="shared" si="39"/>
        <v>12213.51</v>
      </c>
    </row>
    <row r="954" spans="1:15">
      <c r="A954" s="74" t="s">
        <v>113</v>
      </c>
      <c r="B954" s="74" t="s">
        <v>118</v>
      </c>
      <c r="C954" s="74" t="s">
        <v>119</v>
      </c>
      <c r="D954" s="74" t="s">
        <v>79</v>
      </c>
      <c r="E954" s="74" t="s">
        <v>80</v>
      </c>
      <c r="F954" s="86" t="s">
        <v>120</v>
      </c>
      <c r="G954" s="74" t="s">
        <v>117</v>
      </c>
      <c r="H954" s="87">
        <v>43981</v>
      </c>
      <c r="I954" s="98">
        <v>22</v>
      </c>
      <c r="J954" s="98">
        <v>22</v>
      </c>
      <c r="K954" s="89">
        <f t="shared" ref="K954:K1017" si="41">I954/J954</f>
        <v>1</v>
      </c>
      <c r="L954" s="89">
        <v>7314.77</v>
      </c>
      <c r="M954" s="89">
        <v>3080.52</v>
      </c>
      <c r="N954" s="89">
        <v>760.49</v>
      </c>
      <c r="O954" s="89">
        <f t="shared" si="39"/>
        <v>11155.78</v>
      </c>
    </row>
    <row r="955" spans="1:15">
      <c r="A955" s="74" t="s">
        <v>113</v>
      </c>
      <c r="B955" s="74" t="s">
        <v>121</v>
      </c>
      <c r="C955" s="74" t="s">
        <v>122</v>
      </c>
      <c r="D955" s="74" t="s">
        <v>79</v>
      </c>
      <c r="E955" s="74" t="s">
        <v>80</v>
      </c>
      <c r="F955" s="86" t="s">
        <v>123</v>
      </c>
      <c r="G955" s="74" t="s">
        <v>117</v>
      </c>
      <c r="H955" s="87">
        <v>43981</v>
      </c>
      <c r="I955" s="98">
        <v>22</v>
      </c>
      <c r="J955" s="98">
        <v>22</v>
      </c>
      <c r="K955" s="89">
        <f t="shared" si="41"/>
        <v>1</v>
      </c>
      <c r="L955" s="89">
        <v>6404.78</v>
      </c>
      <c r="M955" s="89">
        <v>3219.16</v>
      </c>
      <c r="N955" s="89">
        <v>625.28</v>
      </c>
      <c r="O955" s="89">
        <f t="shared" si="39"/>
        <v>10249.22</v>
      </c>
    </row>
    <row r="956" spans="1:15">
      <c r="A956" s="74" t="s">
        <v>113</v>
      </c>
      <c r="B956" s="74" t="s">
        <v>124</v>
      </c>
      <c r="C956" s="74" t="s">
        <v>125</v>
      </c>
      <c r="D956" s="74" t="s">
        <v>79</v>
      </c>
      <c r="E956" s="74" t="s">
        <v>80</v>
      </c>
      <c r="F956" s="86" t="s">
        <v>116</v>
      </c>
      <c r="G956" s="74" t="s">
        <v>117</v>
      </c>
      <c r="H956" s="87">
        <v>43981</v>
      </c>
      <c r="I956" s="98">
        <v>22</v>
      </c>
      <c r="J956" s="98">
        <v>22</v>
      </c>
      <c r="K956" s="89">
        <f t="shared" si="41"/>
        <v>1</v>
      </c>
      <c r="L956" s="89">
        <v>8783.12</v>
      </c>
      <c r="M956" s="89">
        <v>3224.74</v>
      </c>
      <c r="N956" s="89">
        <v>813.45</v>
      </c>
      <c r="O956" s="89">
        <f t="shared" si="39"/>
        <v>12821.31</v>
      </c>
    </row>
    <row r="957" spans="1:15">
      <c r="A957" s="74" t="s">
        <v>113</v>
      </c>
      <c r="B957" s="74" t="s">
        <v>126</v>
      </c>
      <c r="C957" s="74" t="s">
        <v>127</v>
      </c>
      <c r="D957" s="74" t="s">
        <v>79</v>
      </c>
      <c r="E957" s="74" t="s">
        <v>80</v>
      </c>
      <c r="F957" s="86" t="s">
        <v>120</v>
      </c>
      <c r="G957" s="74" t="s">
        <v>117</v>
      </c>
      <c r="H957" s="87">
        <v>43981</v>
      </c>
      <c r="I957" s="98">
        <v>22</v>
      </c>
      <c r="J957" s="98">
        <v>22</v>
      </c>
      <c r="K957" s="89">
        <f t="shared" si="41"/>
        <v>1</v>
      </c>
      <c r="L957" s="89">
        <v>7422.46</v>
      </c>
      <c r="M957" s="89">
        <v>3093.53</v>
      </c>
      <c r="N957" s="89">
        <v>705.25</v>
      </c>
      <c r="O957" s="89">
        <f t="shared" si="39"/>
        <v>11221.24</v>
      </c>
    </row>
    <row r="958" spans="1:15">
      <c r="A958" s="74" t="s">
        <v>113</v>
      </c>
      <c r="B958" s="74" t="s">
        <v>128</v>
      </c>
      <c r="C958" s="74" t="s">
        <v>129</v>
      </c>
      <c r="D958" s="74" t="s">
        <v>79</v>
      </c>
      <c r="E958" s="74" t="s">
        <v>80</v>
      </c>
      <c r="F958" s="86" t="s">
        <v>123</v>
      </c>
      <c r="G958" s="74" t="s">
        <v>117</v>
      </c>
      <c r="H958" s="87">
        <v>43981</v>
      </c>
      <c r="I958" s="98">
        <v>22</v>
      </c>
      <c r="J958" s="98">
        <v>22</v>
      </c>
      <c r="K958" s="89">
        <f t="shared" si="41"/>
        <v>1</v>
      </c>
      <c r="L958" s="89">
        <v>6328.07</v>
      </c>
      <c r="M958" s="89">
        <v>3058.91</v>
      </c>
      <c r="N958" s="89">
        <v>620.96</v>
      </c>
      <c r="O958" s="89">
        <f t="shared" si="39"/>
        <v>10007.94</v>
      </c>
    </row>
    <row r="959" spans="1:15">
      <c r="A959" s="74" t="s">
        <v>113</v>
      </c>
      <c r="B959" s="74" t="s">
        <v>130</v>
      </c>
      <c r="C959" s="74" t="s">
        <v>131</v>
      </c>
      <c r="D959" s="74" t="s">
        <v>79</v>
      </c>
      <c r="E959" s="74" t="s">
        <v>80</v>
      </c>
      <c r="F959" s="86" t="s">
        <v>116</v>
      </c>
      <c r="G959" s="74" t="s">
        <v>117</v>
      </c>
      <c r="H959" s="87">
        <v>43981</v>
      </c>
      <c r="I959" s="98">
        <v>22</v>
      </c>
      <c r="J959" s="98">
        <v>22</v>
      </c>
      <c r="K959" s="89">
        <f t="shared" si="41"/>
        <v>1</v>
      </c>
      <c r="L959" s="89">
        <v>8644.5</v>
      </c>
      <c r="M959" s="89">
        <v>3128.25</v>
      </c>
      <c r="N959" s="89">
        <v>804.51</v>
      </c>
      <c r="O959" s="89">
        <f t="shared" si="39"/>
        <v>12577.26</v>
      </c>
    </row>
    <row r="960" spans="1:15">
      <c r="A960" s="74" t="s">
        <v>113</v>
      </c>
      <c r="B960" s="74" t="s">
        <v>132</v>
      </c>
      <c r="C960" s="74" t="s">
        <v>133</v>
      </c>
      <c r="D960" s="74" t="s">
        <v>79</v>
      </c>
      <c r="E960" s="74" t="s">
        <v>80</v>
      </c>
      <c r="F960" s="86" t="s">
        <v>120</v>
      </c>
      <c r="G960" s="74" t="s">
        <v>117</v>
      </c>
      <c r="H960" s="87">
        <v>43981</v>
      </c>
      <c r="I960" s="98">
        <v>22</v>
      </c>
      <c r="J960" s="98">
        <v>22</v>
      </c>
      <c r="K960" s="89">
        <f t="shared" si="41"/>
        <v>1</v>
      </c>
      <c r="L960" s="89">
        <v>7527.23</v>
      </c>
      <c r="M960" s="89">
        <v>3161.39</v>
      </c>
      <c r="N960" s="89">
        <v>715.65</v>
      </c>
      <c r="O960" s="89">
        <f t="shared" si="39"/>
        <v>11404.27</v>
      </c>
    </row>
    <row r="961" spans="1:15">
      <c r="A961" s="74" t="s">
        <v>113</v>
      </c>
      <c r="B961" s="74" t="s">
        <v>134</v>
      </c>
      <c r="C961" s="74" t="s">
        <v>135</v>
      </c>
      <c r="D961" s="74" t="s">
        <v>79</v>
      </c>
      <c r="E961" s="74" t="s">
        <v>80</v>
      </c>
      <c r="F961" s="86" t="s">
        <v>123</v>
      </c>
      <c r="G961" s="74" t="s">
        <v>117</v>
      </c>
      <c r="H961" s="87">
        <v>43981</v>
      </c>
      <c r="I961" s="98">
        <v>22</v>
      </c>
      <c r="J961" s="98">
        <v>22</v>
      </c>
      <c r="K961" s="89">
        <f t="shared" si="41"/>
        <v>1</v>
      </c>
      <c r="L961" s="89">
        <v>6447.09</v>
      </c>
      <c r="M961" s="89">
        <v>3130.52</v>
      </c>
      <c r="N961" s="89">
        <v>611.33</v>
      </c>
      <c r="O961" s="89">
        <f t="shared" si="39"/>
        <v>10188.94</v>
      </c>
    </row>
    <row r="962" spans="1:15">
      <c r="A962" s="74" t="s">
        <v>113</v>
      </c>
      <c r="B962" s="74" t="s">
        <v>136</v>
      </c>
      <c r="C962" s="74" t="s">
        <v>137</v>
      </c>
      <c r="D962" s="74" t="s">
        <v>79</v>
      </c>
      <c r="E962" s="74" t="s">
        <v>80</v>
      </c>
      <c r="F962" s="86" t="s">
        <v>116</v>
      </c>
      <c r="G962" s="74" t="s">
        <v>138</v>
      </c>
      <c r="H962" s="87">
        <v>43981</v>
      </c>
      <c r="I962" s="98">
        <v>22</v>
      </c>
      <c r="J962" s="98">
        <v>22</v>
      </c>
      <c r="K962" s="89">
        <f t="shared" si="41"/>
        <v>1</v>
      </c>
      <c r="L962" s="89">
        <v>8727.63</v>
      </c>
      <c r="M962" s="89">
        <v>3101.15</v>
      </c>
      <c r="N962" s="89">
        <v>844.52</v>
      </c>
      <c r="O962" s="89">
        <f t="shared" si="39"/>
        <v>12673.3</v>
      </c>
    </row>
    <row r="963" spans="1:15">
      <c r="A963" s="74" t="s">
        <v>113</v>
      </c>
      <c r="B963" s="74" t="s">
        <v>139</v>
      </c>
      <c r="C963" s="74" t="s">
        <v>140</v>
      </c>
      <c r="D963" s="74" t="s">
        <v>79</v>
      </c>
      <c r="E963" s="74" t="s">
        <v>80</v>
      </c>
      <c r="F963" s="86" t="s">
        <v>120</v>
      </c>
      <c r="G963" s="74" t="s">
        <v>138</v>
      </c>
      <c r="H963" s="87">
        <v>43981</v>
      </c>
      <c r="I963" s="98">
        <v>22</v>
      </c>
      <c r="J963" s="98">
        <v>22</v>
      </c>
      <c r="K963" s="89">
        <f t="shared" si="41"/>
        <v>1</v>
      </c>
      <c r="L963" s="89">
        <v>7039.12</v>
      </c>
      <c r="M963" s="89">
        <v>3269.63</v>
      </c>
      <c r="N963" s="89">
        <v>753.03</v>
      </c>
      <c r="O963" s="89">
        <f t="shared" si="39"/>
        <v>11061.78</v>
      </c>
    </row>
    <row r="964" spans="1:15">
      <c r="A964" s="74" t="s">
        <v>113</v>
      </c>
      <c r="B964" s="74" t="s">
        <v>141</v>
      </c>
      <c r="C964" s="74" t="s">
        <v>142</v>
      </c>
      <c r="D964" s="74" t="s">
        <v>79</v>
      </c>
      <c r="E964" s="74" t="s">
        <v>80</v>
      </c>
      <c r="F964" s="86" t="s">
        <v>123</v>
      </c>
      <c r="G964" s="74" t="s">
        <v>138</v>
      </c>
      <c r="H964" s="87">
        <v>43981</v>
      </c>
      <c r="I964" s="98">
        <v>22</v>
      </c>
      <c r="J964" s="98">
        <v>22</v>
      </c>
      <c r="K964" s="89">
        <f t="shared" si="41"/>
        <v>1</v>
      </c>
      <c r="L964" s="89">
        <v>6045.24</v>
      </c>
      <c r="M964" s="89">
        <v>3000.53</v>
      </c>
      <c r="N964" s="89">
        <v>638.82</v>
      </c>
      <c r="O964" s="89">
        <f t="shared" si="39"/>
        <v>9684.59</v>
      </c>
    </row>
    <row r="965" spans="1:15">
      <c r="A965" s="74" t="s">
        <v>113</v>
      </c>
      <c r="B965" s="74" t="s">
        <v>143</v>
      </c>
      <c r="C965" s="74" t="s">
        <v>144</v>
      </c>
      <c r="D965" s="74" t="s">
        <v>79</v>
      </c>
      <c r="E965" s="74" t="s">
        <v>80</v>
      </c>
      <c r="F965" s="86" t="s">
        <v>145</v>
      </c>
      <c r="G965" s="74" t="s">
        <v>146</v>
      </c>
      <c r="H965" s="87">
        <v>43981</v>
      </c>
      <c r="I965" s="98">
        <v>22</v>
      </c>
      <c r="J965" s="98">
        <v>22</v>
      </c>
      <c r="K965" s="89">
        <f t="shared" si="41"/>
        <v>1</v>
      </c>
      <c r="L965" s="89">
        <v>19772.54</v>
      </c>
      <c r="M965" s="89">
        <v>3010.45</v>
      </c>
      <c r="N965" s="89">
        <v>2059.67</v>
      </c>
      <c r="O965" s="89">
        <f t="shared" ref="O965:O1028" si="42">SUM(L965:N965)</f>
        <v>24842.66</v>
      </c>
    </row>
    <row r="966" spans="1:15">
      <c r="A966" s="74" t="s">
        <v>113</v>
      </c>
      <c r="B966" s="74" t="s">
        <v>147</v>
      </c>
      <c r="C966" s="74" t="s">
        <v>148</v>
      </c>
      <c r="D966" s="74" t="s">
        <v>79</v>
      </c>
      <c r="E966" s="74" t="s">
        <v>80</v>
      </c>
      <c r="F966" s="86" t="s">
        <v>149</v>
      </c>
      <c r="G966" s="74" t="s">
        <v>150</v>
      </c>
      <c r="H966" s="87">
        <v>43981</v>
      </c>
      <c r="I966" s="98">
        <v>22</v>
      </c>
      <c r="J966" s="98">
        <v>22</v>
      </c>
      <c r="K966" s="89">
        <f t="shared" si="41"/>
        <v>1</v>
      </c>
      <c r="L966" s="89">
        <v>18678.61</v>
      </c>
      <c r="M966" s="89">
        <v>3279.84</v>
      </c>
      <c r="N966" s="89">
        <v>1769.99</v>
      </c>
      <c r="O966" s="89">
        <f t="shared" si="42"/>
        <v>23728.44</v>
      </c>
    </row>
    <row r="967" spans="1:15">
      <c r="A967" s="74" t="s">
        <v>113</v>
      </c>
      <c r="B967" s="74" t="s">
        <v>151</v>
      </c>
      <c r="C967" s="74" t="s">
        <v>152</v>
      </c>
      <c r="D967" s="74" t="s">
        <v>79</v>
      </c>
      <c r="E967" s="74" t="s">
        <v>81</v>
      </c>
      <c r="F967" s="86" t="s">
        <v>123</v>
      </c>
      <c r="G967" s="74" t="s">
        <v>153</v>
      </c>
      <c r="H967" s="87">
        <v>43981</v>
      </c>
      <c r="I967" s="98">
        <v>22</v>
      </c>
      <c r="J967" s="98">
        <v>22</v>
      </c>
      <c r="K967" s="89">
        <f t="shared" si="41"/>
        <v>1</v>
      </c>
      <c r="L967" s="89">
        <v>6559.56</v>
      </c>
      <c r="M967" s="89">
        <v>3134.54</v>
      </c>
      <c r="N967" s="89">
        <v>637.03</v>
      </c>
      <c r="O967" s="89">
        <f t="shared" si="42"/>
        <v>10331.13</v>
      </c>
    </row>
    <row r="968" spans="1:15">
      <c r="A968" s="74" t="s">
        <v>113</v>
      </c>
      <c r="B968" s="74" t="s">
        <v>154</v>
      </c>
      <c r="C968" s="74" t="s">
        <v>155</v>
      </c>
      <c r="D968" s="74" t="s">
        <v>79</v>
      </c>
      <c r="E968" s="74" t="s">
        <v>81</v>
      </c>
      <c r="F968" s="86" t="s">
        <v>156</v>
      </c>
      <c r="G968" s="74" t="s">
        <v>157</v>
      </c>
      <c r="H968" s="87">
        <v>43981</v>
      </c>
      <c r="I968" s="98">
        <v>22</v>
      </c>
      <c r="J968" s="98">
        <v>22</v>
      </c>
      <c r="K968" s="89">
        <f t="shared" si="41"/>
        <v>1</v>
      </c>
      <c r="L968" s="89">
        <v>5399.23</v>
      </c>
      <c r="M968" s="89">
        <v>3198.93</v>
      </c>
      <c r="N968" s="89">
        <v>546.38</v>
      </c>
      <c r="O968" s="89">
        <f t="shared" si="42"/>
        <v>9144.54</v>
      </c>
    </row>
    <row r="969" spans="1:15">
      <c r="A969" s="74" t="s">
        <v>113</v>
      </c>
      <c r="B969" s="74" t="s">
        <v>158</v>
      </c>
      <c r="C969" s="74" t="s">
        <v>159</v>
      </c>
      <c r="D969" s="74" t="s">
        <v>79</v>
      </c>
      <c r="E969" s="74" t="s">
        <v>81</v>
      </c>
      <c r="F969" s="86" t="s">
        <v>160</v>
      </c>
      <c r="G969" s="74" t="s">
        <v>161</v>
      </c>
      <c r="H969" s="87">
        <v>43981</v>
      </c>
      <c r="I969" s="98">
        <v>22</v>
      </c>
      <c r="J969" s="98">
        <v>22</v>
      </c>
      <c r="K969" s="89">
        <f t="shared" si="41"/>
        <v>1</v>
      </c>
      <c r="L969" s="89">
        <v>4125.48</v>
      </c>
      <c r="M969" s="89">
        <v>3084.77</v>
      </c>
      <c r="N969" s="89">
        <v>434.73</v>
      </c>
      <c r="O969" s="89">
        <f t="shared" si="42"/>
        <v>7644.98</v>
      </c>
    </row>
    <row r="970" spans="1:15">
      <c r="A970" s="74" t="s">
        <v>113</v>
      </c>
      <c r="B970" s="74" t="s">
        <v>162</v>
      </c>
      <c r="C970" s="74" t="s">
        <v>163</v>
      </c>
      <c r="D970" s="74" t="s">
        <v>79</v>
      </c>
      <c r="E970" s="74" t="s">
        <v>81</v>
      </c>
      <c r="F970" s="86" t="s">
        <v>123</v>
      </c>
      <c r="G970" s="74" t="s">
        <v>153</v>
      </c>
      <c r="H970" s="87">
        <v>43981</v>
      </c>
      <c r="I970" s="98">
        <v>22</v>
      </c>
      <c r="J970" s="98">
        <v>22</v>
      </c>
      <c r="K970" s="89">
        <f t="shared" si="41"/>
        <v>1</v>
      </c>
      <c r="L970" s="89">
        <v>6549.18</v>
      </c>
      <c r="M970" s="89">
        <v>3268.56</v>
      </c>
      <c r="N970" s="89">
        <v>657.83</v>
      </c>
      <c r="O970" s="89">
        <f t="shared" si="42"/>
        <v>10475.57</v>
      </c>
    </row>
    <row r="971" spans="1:15">
      <c r="A971" s="74" t="s">
        <v>113</v>
      </c>
      <c r="B971" s="74" t="s">
        <v>164</v>
      </c>
      <c r="C971" s="74" t="s">
        <v>165</v>
      </c>
      <c r="D971" s="74" t="s">
        <v>79</v>
      </c>
      <c r="E971" s="74" t="s">
        <v>81</v>
      </c>
      <c r="F971" s="86" t="s">
        <v>156</v>
      </c>
      <c r="G971" s="74" t="s">
        <v>157</v>
      </c>
      <c r="H971" s="87">
        <v>43981</v>
      </c>
      <c r="I971" s="98">
        <v>22</v>
      </c>
      <c r="J971" s="98">
        <v>22</v>
      </c>
      <c r="K971" s="89">
        <f t="shared" si="41"/>
        <v>1</v>
      </c>
      <c r="L971" s="89">
        <v>5166.79</v>
      </c>
      <c r="M971" s="89">
        <v>3126.78</v>
      </c>
      <c r="N971" s="89">
        <v>532.6</v>
      </c>
      <c r="O971" s="89">
        <f t="shared" si="42"/>
        <v>8826.17</v>
      </c>
    </row>
    <row r="972" spans="1:15">
      <c r="A972" s="74" t="s">
        <v>113</v>
      </c>
      <c r="B972" s="74" t="s">
        <v>166</v>
      </c>
      <c r="C972" s="74" t="s">
        <v>167</v>
      </c>
      <c r="D972" s="74" t="s">
        <v>79</v>
      </c>
      <c r="E972" s="74" t="s">
        <v>81</v>
      </c>
      <c r="F972" s="86" t="s">
        <v>160</v>
      </c>
      <c r="G972" s="74" t="s">
        <v>161</v>
      </c>
      <c r="H972" s="87">
        <v>43981</v>
      </c>
      <c r="I972" s="98">
        <v>22</v>
      </c>
      <c r="J972" s="98">
        <v>22</v>
      </c>
      <c r="K972" s="89">
        <f t="shared" si="41"/>
        <v>1</v>
      </c>
      <c r="L972" s="89">
        <v>4332.21</v>
      </c>
      <c r="M972" s="89">
        <v>3056.09</v>
      </c>
      <c r="N972" s="89">
        <v>431.14</v>
      </c>
      <c r="O972" s="89">
        <f t="shared" si="42"/>
        <v>7819.44</v>
      </c>
    </row>
    <row r="973" spans="1:15">
      <c r="A973" s="74" t="s">
        <v>113</v>
      </c>
      <c r="B973" s="74" t="s">
        <v>168</v>
      </c>
      <c r="C973" s="74" t="s">
        <v>169</v>
      </c>
      <c r="D973" s="74" t="s">
        <v>79</v>
      </c>
      <c r="E973" s="74" t="s">
        <v>81</v>
      </c>
      <c r="F973" s="86" t="s">
        <v>123</v>
      </c>
      <c r="G973" s="74" t="s">
        <v>153</v>
      </c>
      <c r="H973" s="87">
        <v>43981</v>
      </c>
      <c r="I973" s="98">
        <v>22</v>
      </c>
      <c r="J973" s="98">
        <v>22</v>
      </c>
      <c r="K973" s="89">
        <f t="shared" si="41"/>
        <v>1</v>
      </c>
      <c r="L973" s="89">
        <v>6531.82</v>
      </c>
      <c r="M973" s="89">
        <v>3270.12</v>
      </c>
      <c r="N973" s="89">
        <v>604.19</v>
      </c>
      <c r="O973" s="89">
        <f t="shared" si="42"/>
        <v>10406.13</v>
      </c>
    </row>
    <row r="974" spans="1:15">
      <c r="A974" s="74" t="s">
        <v>113</v>
      </c>
      <c r="B974" s="74" t="s">
        <v>170</v>
      </c>
      <c r="C974" s="74" t="s">
        <v>171</v>
      </c>
      <c r="D974" s="74" t="s">
        <v>79</v>
      </c>
      <c r="E974" s="74" t="s">
        <v>81</v>
      </c>
      <c r="F974" s="86" t="s">
        <v>156</v>
      </c>
      <c r="G974" s="74" t="s">
        <v>157</v>
      </c>
      <c r="H974" s="87">
        <v>43981</v>
      </c>
      <c r="I974" s="98">
        <v>22</v>
      </c>
      <c r="J974" s="98">
        <v>22</v>
      </c>
      <c r="K974" s="89">
        <f t="shared" si="41"/>
        <v>1</v>
      </c>
      <c r="L974" s="89">
        <v>5029.25</v>
      </c>
      <c r="M974" s="89">
        <v>3157.13</v>
      </c>
      <c r="N974" s="89">
        <v>500.5</v>
      </c>
      <c r="O974" s="89">
        <f t="shared" si="42"/>
        <v>8686.88</v>
      </c>
    </row>
    <row r="975" spans="1:15">
      <c r="A975" s="74" t="s">
        <v>113</v>
      </c>
      <c r="B975" s="74" t="s">
        <v>172</v>
      </c>
      <c r="C975" s="74" t="s">
        <v>173</v>
      </c>
      <c r="D975" s="74" t="s">
        <v>79</v>
      </c>
      <c r="E975" s="74" t="s">
        <v>81</v>
      </c>
      <c r="F975" s="86" t="s">
        <v>160</v>
      </c>
      <c r="G975" s="74" t="s">
        <v>161</v>
      </c>
      <c r="H975" s="87">
        <v>43981</v>
      </c>
      <c r="I975" s="98">
        <v>22</v>
      </c>
      <c r="J975" s="98">
        <v>22</v>
      </c>
      <c r="K975" s="89">
        <f t="shared" si="41"/>
        <v>1</v>
      </c>
      <c r="L975" s="89">
        <v>4372.55</v>
      </c>
      <c r="M975" s="89">
        <v>3282.15</v>
      </c>
      <c r="N975" s="89">
        <v>436.31</v>
      </c>
      <c r="O975" s="89">
        <f t="shared" si="42"/>
        <v>8091.01</v>
      </c>
    </row>
    <row r="976" spans="1:15">
      <c r="A976" s="74" t="s">
        <v>113</v>
      </c>
      <c r="B976" s="74" t="s">
        <v>174</v>
      </c>
      <c r="C976" s="74" t="s">
        <v>175</v>
      </c>
      <c r="D976" s="74" t="s">
        <v>79</v>
      </c>
      <c r="E976" s="74" t="s">
        <v>81</v>
      </c>
      <c r="F976" s="86" t="s">
        <v>176</v>
      </c>
      <c r="G976" s="74" t="s">
        <v>177</v>
      </c>
      <c r="H976" s="87">
        <v>43981</v>
      </c>
      <c r="I976" s="98">
        <v>22</v>
      </c>
      <c r="J976" s="98">
        <v>22</v>
      </c>
      <c r="K976" s="89">
        <f t="shared" si="41"/>
        <v>1</v>
      </c>
      <c r="L976" s="89">
        <v>3087.25</v>
      </c>
      <c r="M976" s="89">
        <v>3161.73</v>
      </c>
      <c r="N976" s="89">
        <v>309.84</v>
      </c>
      <c r="O976" s="89">
        <f t="shared" si="42"/>
        <v>6558.82</v>
      </c>
    </row>
    <row r="977" spans="1:15">
      <c r="A977" s="74" t="s">
        <v>113</v>
      </c>
      <c r="B977" s="74" t="s">
        <v>178</v>
      </c>
      <c r="C977" s="74" t="s">
        <v>179</v>
      </c>
      <c r="D977" s="74" t="s">
        <v>79</v>
      </c>
      <c r="E977" s="74" t="s">
        <v>81</v>
      </c>
      <c r="F977" s="86" t="s">
        <v>180</v>
      </c>
      <c r="G977" s="74" t="s">
        <v>177</v>
      </c>
      <c r="H977" s="87">
        <v>43981</v>
      </c>
      <c r="I977" s="98">
        <v>22</v>
      </c>
      <c r="J977" s="98">
        <v>22</v>
      </c>
      <c r="K977" s="89">
        <f t="shared" si="41"/>
        <v>1</v>
      </c>
      <c r="L977" s="89">
        <v>2194.37</v>
      </c>
      <c r="M977" s="89">
        <v>3064.7</v>
      </c>
      <c r="N977" s="89">
        <v>201.88</v>
      </c>
      <c r="O977" s="89">
        <f t="shared" si="42"/>
        <v>5460.95</v>
      </c>
    </row>
    <row r="978" spans="1:15">
      <c r="A978" s="74" t="s">
        <v>113</v>
      </c>
      <c r="B978" s="74" t="s">
        <v>181</v>
      </c>
      <c r="C978" s="74" t="s">
        <v>182</v>
      </c>
      <c r="D978" s="74" t="s">
        <v>79</v>
      </c>
      <c r="E978" s="74" t="s">
        <v>81</v>
      </c>
      <c r="F978" s="86" t="s">
        <v>183</v>
      </c>
      <c r="G978" s="74" t="s">
        <v>177</v>
      </c>
      <c r="H978" s="87">
        <v>43981</v>
      </c>
      <c r="I978" s="98">
        <v>22</v>
      </c>
      <c r="J978" s="98">
        <v>22</v>
      </c>
      <c r="K978" s="89">
        <f t="shared" si="41"/>
        <v>1</v>
      </c>
      <c r="L978" s="89">
        <v>1019.67</v>
      </c>
      <c r="M978" s="89">
        <v>3044.87</v>
      </c>
      <c r="N978" s="89">
        <v>109.67</v>
      </c>
      <c r="O978" s="89">
        <f t="shared" si="42"/>
        <v>4174.21</v>
      </c>
    </row>
    <row r="979" spans="1:15">
      <c r="A979" s="74" t="s">
        <v>113</v>
      </c>
      <c r="B979" s="74" t="s">
        <v>184</v>
      </c>
      <c r="C979" s="74" t="s">
        <v>185</v>
      </c>
      <c r="D979" s="74" t="s">
        <v>79</v>
      </c>
      <c r="E979" s="74" t="s">
        <v>81</v>
      </c>
      <c r="F979" s="86" t="s">
        <v>176</v>
      </c>
      <c r="G979" s="74" t="s">
        <v>177</v>
      </c>
      <c r="H979" s="87">
        <v>43981</v>
      </c>
      <c r="I979" s="98">
        <v>22</v>
      </c>
      <c r="J979" s="98">
        <v>22</v>
      </c>
      <c r="K979" s="89">
        <f t="shared" si="41"/>
        <v>1</v>
      </c>
      <c r="L979" s="89">
        <v>3288.31</v>
      </c>
      <c r="M979" s="89">
        <v>3103.79</v>
      </c>
      <c r="N979" s="89">
        <v>322.35</v>
      </c>
      <c r="O979" s="89">
        <f t="shared" si="42"/>
        <v>6714.45</v>
      </c>
    </row>
    <row r="980" spans="1:15">
      <c r="A980" s="74" t="s">
        <v>113</v>
      </c>
      <c r="B980" s="74" t="s">
        <v>186</v>
      </c>
      <c r="C980" s="74" t="s">
        <v>187</v>
      </c>
      <c r="D980" s="74" t="s">
        <v>79</v>
      </c>
      <c r="E980" s="74" t="s">
        <v>81</v>
      </c>
      <c r="F980" s="86" t="s">
        <v>180</v>
      </c>
      <c r="G980" s="74" t="s">
        <v>177</v>
      </c>
      <c r="H980" s="87">
        <v>43981</v>
      </c>
      <c r="I980" s="98">
        <v>22</v>
      </c>
      <c r="J980" s="98">
        <v>22</v>
      </c>
      <c r="K980" s="89">
        <f t="shared" si="41"/>
        <v>1</v>
      </c>
      <c r="L980" s="89">
        <v>2115.4</v>
      </c>
      <c r="M980" s="89">
        <v>3099.98</v>
      </c>
      <c r="N980" s="89">
        <v>218.45</v>
      </c>
      <c r="O980" s="89">
        <f t="shared" si="42"/>
        <v>5433.83</v>
      </c>
    </row>
    <row r="981" spans="1:15">
      <c r="A981" s="74" t="s">
        <v>113</v>
      </c>
      <c r="B981" s="74" t="s">
        <v>188</v>
      </c>
      <c r="C981" s="74" t="s">
        <v>189</v>
      </c>
      <c r="D981" s="74" t="s">
        <v>79</v>
      </c>
      <c r="E981" s="74" t="s">
        <v>81</v>
      </c>
      <c r="F981" s="86" t="s">
        <v>183</v>
      </c>
      <c r="G981" s="74" t="s">
        <v>177</v>
      </c>
      <c r="H981" s="87">
        <v>43981</v>
      </c>
      <c r="I981" s="98">
        <v>22</v>
      </c>
      <c r="J981" s="98">
        <v>22</v>
      </c>
      <c r="K981" s="89">
        <f t="shared" si="41"/>
        <v>1</v>
      </c>
      <c r="L981" s="89">
        <v>1042.91</v>
      </c>
      <c r="M981" s="89">
        <v>3036.22</v>
      </c>
      <c r="N981" s="89">
        <v>109.84</v>
      </c>
      <c r="O981" s="89">
        <f t="shared" si="42"/>
        <v>4188.97</v>
      </c>
    </row>
    <row r="982" spans="1:15">
      <c r="A982" s="74" t="s">
        <v>113</v>
      </c>
      <c r="B982" s="74" t="s">
        <v>190</v>
      </c>
      <c r="C982" s="74" t="s">
        <v>191</v>
      </c>
      <c r="D982" s="74" t="s">
        <v>79</v>
      </c>
      <c r="E982" s="74" t="s">
        <v>81</v>
      </c>
      <c r="F982" s="86" t="s">
        <v>176</v>
      </c>
      <c r="G982" s="74" t="s">
        <v>177</v>
      </c>
      <c r="H982" s="87">
        <v>43981</v>
      </c>
      <c r="I982" s="98">
        <v>22</v>
      </c>
      <c r="J982" s="98">
        <v>22</v>
      </c>
      <c r="K982" s="89">
        <f t="shared" si="41"/>
        <v>1</v>
      </c>
      <c r="L982" s="89">
        <v>3011.37</v>
      </c>
      <c r="M982" s="89">
        <v>3005.75</v>
      </c>
      <c r="N982" s="89">
        <v>327.72</v>
      </c>
      <c r="O982" s="89">
        <f t="shared" si="42"/>
        <v>6344.84</v>
      </c>
    </row>
    <row r="983" spans="1:15">
      <c r="A983" s="74" t="s">
        <v>113</v>
      </c>
      <c r="B983" s="74" t="s">
        <v>192</v>
      </c>
      <c r="C983" s="74" t="s">
        <v>193</v>
      </c>
      <c r="D983" s="74" t="s">
        <v>79</v>
      </c>
      <c r="E983" s="74" t="s">
        <v>81</v>
      </c>
      <c r="F983" s="86" t="s">
        <v>180</v>
      </c>
      <c r="G983" s="74" t="s">
        <v>177</v>
      </c>
      <c r="H983" s="87">
        <v>43981</v>
      </c>
      <c r="I983" s="98">
        <v>22</v>
      </c>
      <c r="J983" s="98">
        <v>22</v>
      </c>
      <c r="K983" s="89">
        <f t="shared" si="41"/>
        <v>1</v>
      </c>
      <c r="L983" s="89">
        <v>2148.15</v>
      </c>
      <c r="M983" s="89">
        <v>3019.49</v>
      </c>
      <c r="N983" s="89">
        <v>218.91</v>
      </c>
      <c r="O983" s="89">
        <f t="shared" si="42"/>
        <v>5386.55</v>
      </c>
    </row>
    <row r="984" spans="1:15">
      <c r="A984" s="74" t="s">
        <v>113</v>
      </c>
      <c r="B984" s="74" t="s">
        <v>194</v>
      </c>
      <c r="C984" s="74" t="s">
        <v>195</v>
      </c>
      <c r="D984" s="74" t="s">
        <v>79</v>
      </c>
      <c r="E984" s="74" t="s">
        <v>81</v>
      </c>
      <c r="F984" s="86" t="s">
        <v>183</v>
      </c>
      <c r="G984" s="74" t="s">
        <v>177</v>
      </c>
      <c r="H984" s="87">
        <v>43981</v>
      </c>
      <c r="I984" s="98">
        <v>22</v>
      </c>
      <c r="J984" s="98">
        <v>22</v>
      </c>
      <c r="K984" s="89">
        <f t="shared" si="41"/>
        <v>1</v>
      </c>
      <c r="L984" s="89">
        <v>1096.51</v>
      </c>
      <c r="M984" s="89">
        <v>3111.29</v>
      </c>
      <c r="N984" s="89">
        <v>109.61</v>
      </c>
      <c r="O984" s="89">
        <f t="shared" si="42"/>
        <v>4317.41</v>
      </c>
    </row>
    <row r="985" spans="1:15">
      <c r="A985" s="74" t="s">
        <v>113</v>
      </c>
      <c r="B985" s="74" t="s">
        <v>196</v>
      </c>
      <c r="C985" s="74" t="s">
        <v>197</v>
      </c>
      <c r="D985" s="74" t="s">
        <v>79</v>
      </c>
      <c r="E985" s="74" t="s">
        <v>81</v>
      </c>
      <c r="F985" s="86" t="s">
        <v>176</v>
      </c>
      <c r="G985" s="74" t="s">
        <v>177</v>
      </c>
      <c r="H985" s="87">
        <v>43981</v>
      </c>
      <c r="I985" s="98">
        <v>22</v>
      </c>
      <c r="J985" s="98">
        <v>22</v>
      </c>
      <c r="K985" s="89">
        <f t="shared" si="41"/>
        <v>1</v>
      </c>
      <c r="L985" s="89">
        <v>3110.92</v>
      </c>
      <c r="M985" s="89">
        <v>3021.72</v>
      </c>
      <c r="N985" s="89">
        <v>311.61</v>
      </c>
      <c r="O985" s="89">
        <f t="shared" si="42"/>
        <v>6444.25</v>
      </c>
    </row>
    <row r="986" spans="1:15">
      <c r="A986" s="74" t="s">
        <v>113</v>
      </c>
      <c r="B986" s="74" t="s">
        <v>198</v>
      </c>
      <c r="C986" s="74" t="s">
        <v>199</v>
      </c>
      <c r="D986" s="74" t="s">
        <v>79</v>
      </c>
      <c r="E986" s="74" t="s">
        <v>81</v>
      </c>
      <c r="F986" s="86" t="s">
        <v>180</v>
      </c>
      <c r="G986" s="74" t="s">
        <v>177</v>
      </c>
      <c r="H986" s="87">
        <v>43981</v>
      </c>
      <c r="I986" s="98">
        <v>22</v>
      </c>
      <c r="J986" s="98">
        <v>22</v>
      </c>
      <c r="K986" s="89">
        <f t="shared" si="41"/>
        <v>1</v>
      </c>
      <c r="L986" s="89">
        <v>2038.93</v>
      </c>
      <c r="M986" s="89">
        <v>3105.59</v>
      </c>
      <c r="N986" s="89">
        <v>214.86</v>
      </c>
      <c r="O986" s="89">
        <f t="shared" si="42"/>
        <v>5359.38</v>
      </c>
    </row>
    <row r="987" spans="1:15">
      <c r="A987" s="74" t="s">
        <v>113</v>
      </c>
      <c r="B987" s="74" t="s">
        <v>200</v>
      </c>
      <c r="C987" s="74" t="s">
        <v>201</v>
      </c>
      <c r="D987" s="74" t="s">
        <v>79</v>
      </c>
      <c r="E987" s="74" t="s">
        <v>81</v>
      </c>
      <c r="F987" s="86" t="s">
        <v>183</v>
      </c>
      <c r="G987" s="74" t="s">
        <v>177</v>
      </c>
      <c r="H987" s="87">
        <v>43981</v>
      </c>
      <c r="I987" s="98">
        <v>22</v>
      </c>
      <c r="J987" s="98">
        <v>22</v>
      </c>
      <c r="K987" s="89">
        <f t="shared" si="41"/>
        <v>1</v>
      </c>
      <c r="L987" s="89">
        <v>1046.85</v>
      </c>
      <c r="M987" s="89">
        <v>3087.5</v>
      </c>
      <c r="N987" s="89">
        <v>104.84</v>
      </c>
      <c r="O987" s="89">
        <f t="shared" si="42"/>
        <v>4239.19</v>
      </c>
    </row>
    <row r="988" spans="1:15">
      <c r="A988" s="74" t="s">
        <v>113</v>
      </c>
      <c r="B988" s="74" t="s">
        <v>202</v>
      </c>
      <c r="C988" s="74" t="s">
        <v>203</v>
      </c>
      <c r="D988" s="74" t="s">
        <v>79</v>
      </c>
      <c r="E988" s="74" t="s">
        <v>81</v>
      </c>
      <c r="F988" s="86" t="s">
        <v>204</v>
      </c>
      <c r="G988" s="74" t="s">
        <v>205</v>
      </c>
      <c r="H988" s="87">
        <v>43981</v>
      </c>
      <c r="I988" s="98">
        <v>22</v>
      </c>
      <c r="J988" s="98">
        <v>22</v>
      </c>
      <c r="K988" s="89">
        <f t="shared" si="41"/>
        <v>1</v>
      </c>
      <c r="L988" s="89">
        <v>18383.61</v>
      </c>
      <c r="M988" s="89">
        <v>3242.71</v>
      </c>
      <c r="N988" s="89">
        <v>1828.89</v>
      </c>
      <c r="O988" s="89">
        <f t="shared" si="42"/>
        <v>23455.21</v>
      </c>
    </row>
    <row r="989" spans="1:15">
      <c r="A989" s="74" t="s">
        <v>113</v>
      </c>
      <c r="B989" s="74" t="s">
        <v>206</v>
      </c>
      <c r="C989" s="74" t="s">
        <v>207</v>
      </c>
      <c r="D989" s="88" t="s">
        <v>82</v>
      </c>
      <c r="E989" s="88" t="s">
        <v>84</v>
      </c>
      <c r="F989" s="86" t="s">
        <v>208</v>
      </c>
      <c r="G989" s="74" t="s">
        <v>209</v>
      </c>
      <c r="H989" s="87">
        <v>43981</v>
      </c>
      <c r="I989" s="98">
        <v>22</v>
      </c>
      <c r="J989" s="98">
        <v>22</v>
      </c>
      <c r="K989" s="89">
        <f t="shared" si="41"/>
        <v>1</v>
      </c>
      <c r="L989" s="89">
        <v>9487.86</v>
      </c>
      <c r="M989" s="89">
        <v>3152.55</v>
      </c>
      <c r="N989" s="89">
        <v>971.15</v>
      </c>
      <c r="O989" s="89">
        <f t="shared" si="42"/>
        <v>13611.56</v>
      </c>
    </row>
    <row r="990" spans="1:15">
      <c r="A990" s="74" t="s">
        <v>113</v>
      </c>
      <c r="B990" s="74" t="s">
        <v>210</v>
      </c>
      <c r="C990" s="74" t="s">
        <v>211</v>
      </c>
      <c r="D990" s="88" t="s">
        <v>82</v>
      </c>
      <c r="E990" s="88" t="s">
        <v>84</v>
      </c>
      <c r="F990" s="86" t="s">
        <v>116</v>
      </c>
      <c r="G990" s="74" t="s">
        <v>209</v>
      </c>
      <c r="H990" s="87">
        <v>43981</v>
      </c>
      <c r="I990" s="98">
        <v>22</v>
      </c>
      <c r="J990" s="98">
        <v>22</v>
      </c>
      <c r="K990" s="89">
        <f t="shared" si="41"/>
        <v>1</v>
      </c>
      <c r="L990" s="89">
        <v>8732.14</v>
      </c>
      <c r="M990" s="89">
        <v>3192.6</v>
      </c>
      <c r="N990" s="89">
        <v>853.36</v>
      </c>
      <c r="O990" s="89">
        <f t="shared" si="42"/>
        <v>12778.1</v>
      </c>
    </row>
    <row r="991" spans="1:15">
      <c r="A991" s="74" t="s">
        <v>113</v>
      </c>
      <c r="B991" s="74" t="s">
        <v>212</v>
      </c>
      <c r="C991" s="74" t="s">
        <v>213</v>
      </c>
      <c r="D991" s="88" t="s">
        <v>82</v>
      </c>
      <c r="E991" s="88" t="s">
        <v>84</v>
      </c>
      <c r="F991" s="86" t="s">
        <v>208</v>
      </c>
      <c r="G991" s="74" t="s">
        <v>209</v>
      </c>
      <c r="H991" s="87">
        <v>43981</v>
      </c>
      <c r="I991" s="98">
        <v>22</v>
      </c>
      <c r="J991" s="98">
        <v>22</v>
      </c>
      <c r="K991" s="89">
        <f t="shared" si="41"/>
        <v>1</v>
      </c>
      <c r="L991" s="89">
        <v>9833.42</v>
      </c>
      <c r="M991" s="89">
        <v>3278.39</v>
      </c>
      <c r="N991" s="89">
        <v>909.34</v>
      </c>
      <c r="O991" s="89">
        <f t="shared" si="42"/>
        <v>14021.15</v>
      </c>
    </row>
    <row r="992" spans="1:15">
      <c r="A992" s="74" t="s">
        <v>113</v>
      </c>
      <c r="B992" s="74" t="s">
        <v>214</v>
      </c>
      <c r="C992" s="74" t="s">
        <v>215</v>
      </c>
      <c r="D992" s="88" t="s">
        <v>82</v>
      </c>
      <c r="E992" s="88" t="s">
        <v>84</v>
      </c>
      <c r="F992" s="86" t="s">
        <v>116</v>
      </c>
      <c r="G992" s="74" t="s">
        <v>209</v>
      </c>
      <c r="H992" s="87">
        <v>43981</v>
      </c>
      <c r="I992" s="98">
        <v>22</v>
      </c>
      <c r="J992" s="98">
        <v>22</v>
      </c>
      <c r="K992" s="89">
        <f t="shared" si="41"/>
        <v>1</v>
      </c>
      <c r="L992" s="89">
        <v>8341.95</v>
      </c>
      <c r="M992" s="89">
        <v>3108.6</v>
      </c>
      <c r="N992" s="89">
        <v>855.69</v>
      </c>
      <c r="O992" s="89">
        <f t="shared" si="42"/>
        <v>12306.24</v>
      </c>
    </row>
    <row r="993" spans="1:15">
      <c r="A993" s="74" t="s">
        <v>113</v>
      </c>
      <c r="B993" s="74" t="s">
        <v>216</v>
      </c>
      <c r="C993" s="74" t="s">
        <v>217</v>
      </c>
      <c r="D993" s="88" t="s">
        <v>82</v>
      </c>
      <c r="E993" s="88" t="s">
        <v>84</v>
      </c>
      <c r="F993" s="86" t="s">
        <v>218</v>
      </c>
      <c r="G993" s="74" t="s">
        <v>219</v>
      </c>
      <c r="H993" s="87">
        <v>43981</v>
      </c>
      <c r="I993" s="98">
        <v>22</v>
      </c>
      <c r="J993" s="98">
        <v>22</v>
      </c>
      <c r="K993" s="89">
        <f t="shared" si="41"/>
        <v>1</v>
      </c>
      <c r="L993" s="89">
        <v>11321.04</v>
      </c>
      <c r="M993" s="89">
        <v>3227.95</v>
      </c>
      <c r="N993" s="89">
        <v>1147.05</v>
      </c>
      <c r="O993" s="89">
        <f t="shared" si="42"/>
        <v>15696.04</v>
      </c>
    </row>
    <row r="994" spans="1:15">
      <c r="A994" s="74" t="s">
        <v>113</v>
      </c>
      <c r="B994" s="74" t="s">
        <v>220</v>
      </c>
      <c r="C994" s="74" t="s">
        <v>221</v>
      </c>
      <c r="D994" s="88" t="s">
        <v>82</v>
      </c>
      <c r="E994" s="74" t="s">
        <v>83</v>
      </c>
      <c r="F994" s="86" t="s">
        <v>218</v>
      </c>
      <c r="G994" s="74" t="s">
        <v>222</v>
      </c>
      <c r="H994" s="87">
        <v>43981</v>
      </c>
      <c r="I994" s="98">
        <v>22</v>
      </c>
      <c r="J994" s="98">
        <v>22</v>
      </c>
      <c r="K994" s="89">
        <f t="shared" si="41"/>
        <v>1</v>
      </c>
      <c r="L994" s="89">
        <v>11203.49</v>
      </c>
      <c r="M994" s="89">
        <v>3008.29</v>
      </c>
      <c r="N994" s="89">
        <v>1137.3</v>
      </c>
      <c r="O994" s="89">
        <f t="shared" si="42"/>
        <v>15349.08</v>
      </c>
    </row>
    <row r="995" spans="1:15">
      <c r="A995" s="74" t="s">
        <v>113</v>
      </c>
      <c r="B995" s="74" t="s">
        <v>223</v>
      </c>
      <c r="C995" s="74" t="s">
        <v>224</v>
      </c>
      <c r="D995" s="88" t="s">
        <v>82</v>
      </c>
      <c r="E995" s="74" t="s">
        <v>83</v>
      </c>
      <c r="F995" s="86" t="s">
        <v>225</v>
      </c>
      <c r="G995" s="74" t="s">
        <v>209</v>
      </c>
      <c r="H995" s="87">
        <v>43981</v>
      </c>
      <c r="I995" s="98">
        <v>22</v>
      </c>
      <c r="J995" s="98">
        <v>22</v>
      </c>
      <c r="K995" s="89">
        <f t="shared" si="41"/>
        <v>1</v>
      </c>
      <c r="L995" s="89">
        <v>10285.3</v>
      </c>
      <c r="M995" s="89">
        <v>3096.53</v>
      </c>
      <c r="N995" s="89">
        <v>1006.22</v>
      </c>
      <c r="O995" s="89">
        <f t="shared" si="42"/>
        <v>14388.05</v>
      </c>
    </row>
    <row r="996" spans="1:15">
      <c r="A996" s="74" t="s">
        <v>113</v>
      </c>
      <c r="B996" s="74" t="s">
        <v>226</v>
      </c>
      <c r="C996" s="74" t="s">
        <v>227</v>
      </c>
      <c r="D996" s="88" t="s">
        <v>82</v>
      </c>
      <c r="E996" s="74" t="s">
        <v>83</v>
      </c>
      <c r="F996" s="86" t="s">
        <v>208</v>
      </c>
      <c r="G996" s="74" t="s">
        <v>209</v>
      </c>
      <c r="H996" s="87">
        <v>43981</v>
      </c>
      <c r="I996" s="98">
        <v>22</v>
      </c>
      <c r="J996" s="98">
        <v>22</v>
      </c>
      <c r="K996" s="89">
        <f t="shared" si="41"/>
        <v>1</v>
      </c>
      <c r="L996" s="89">
        <v>9718.38</v>
      </c>
      <c r="M996" s="89">
        <v>3000.34</v>
      </c>
      <c r="N996" s="89">
        <v>907.41</v>
      </c>
      <c r="O996" s="89">
        <f t="shared" si="42"/>
        <v>13626.13</v>
      </c>
    </row>
    <row r="997" spans="1:15">
      <c r="A997" s="74" t="s">
        <v>113</v>
      </c>
      <c r="B997" s="74" t="s">
        <v>228</v>
      </c>
      <c r="C997" s="74" t="s">
        <v>229</v>
      </c>
      <c r="D997" s="88" t="s">
        <v>82</v>
      </c>
      <c r="E997" s="74" t="s">
        <v>83</v>
      </c>
      <c r="F997" s="86" t="s">
        <v>116</v>
      </c>
      <c r="G997" s="74" t="s">
        <v>209</v>
      </c>
      <c r="H997" s="87">
        <v>43981</v>
      </c>
      <c r="I997" s="98">
        <v>22</v>
      </c>
      <c r="J997" s="98">
        <v>22</v>
      </c>
      <c r="K997" s="89">
        <f t="shared" si="41"/>
        <v>1</v>
      </c>
      <c r="L997" s="89">
        <v>8670.9</v>
      </c>
      <c r="M997" s="89">
        <v>3160.87</v>
      </c>
      <c r="N997" s="89">
        <v>835.4</v>
      </c>
      <c r="O997" s="89">
        <f t="shared" si="42"/>
        <v>12667.17</v>
      </c>
    </row>
    <row r="998" spans="1:15">
      <c r="A998" s="74" t="s">
        <v>113</v>
      </c>
      <c r="B998" s="74" t="s">
        <v>230</v>
      </c>
      <c r="C998" s="74" t="s">
        <v>231</v>
      </c>
      <c r="D998" s="88" t="s">
        <v>82</v>
      </c>
      <c r="E998" s="74" t="s">
        <v>83</v>
      </c>
      <c r="F998" s="86" t="s">
        <v>120</v>
      </c>
      <c r="G998" s="74" t="s">
        <v>209</v>
      </c>
      <c r="H998" s="87">
        <v>43981</v>
      </c>
      <c r="I998" s="98">
        <v>22</v>
      </c>
      <c r="J998" s="98">
        <v>22</v>
      </c>
      <c r="K998" s="89">
        <f t="shared" si="41"/>
        <v>1</v>
      </c>
      <c r="L998" s="89">
        <v>7505.08</v>
      </c>
      <c r="M998" s="89">
        <v>3121.1</v>
      </c>
      <c r="N998" s="89">
        <v>717.76</v>
      </c>
      <c r="O998" s="89">
        <f t="shared" si="42"/>
        <v>11343.94</v>
      </c>
    </row>
    <row r="999" spans="1:15">
      <c r="A999" s="74" t="s">
        <v>113</v>
      </c>
      <c r="B999" s="74" t="s">
        <v>232</v>
      </c>
      <c r="C999" s="74" t="s">
        <v>233</v>
      </c>
      <c r="D999" s="88" t="s">
        <v>82</v>
      </c>
      <c r="E999" s="74" t="s">
        <v>83</v>
      </c>
      <c r="F999" s="86" t="s">
        <v>123</v>
      </c>
      <c r="G999" s="74" t="s">
        <v>209</v>
      </c>
      <c r="H999" s="87">
        <v>43981</v>
      </c>
      <c r="I999" s="98">
        <v>22</v>
      </c>
      <c r="J999" s="98">
        <v>22</v>
      </c>
      <c r="K999" s="89">
        <f t="shared" si="41"/>
        <v>1</v>
      </c>
      <c r="L999" s="89">
        <v>6174.12</v>
      </c>
      <c r="M999" s="89">
        <v>3051.06</v>
      </c>
      <c r="N999" s="89">
        <v>646.76</v>
      </c>
      <c r="O999" s="89">
        <f t="shared" si="42"/>
        <v>9871.94</v>
      </c>
    </row>
    <row r="1000" spans="1:15">
      <c r="A1000" s="74" t="s">
        <v>113</v>
      </c>
      <c r="B1000" s="74" t="s">
        <v>234</v>
      </c>
      <c r="C1000" s="74" t="s">
        <v>235</v>
      </c>
      <c r="D1000" s="88" t="s">
        <v>82</v>
      </c>
      <c r="E1000" s="74" t="s">
        <v>83</v>
      </c>
      <c r="F1000" s="86" t="s">
        <v>116</v>
      </c>
      <c r="G1000" s="74" t="s">
        <v>209</v>
      </c>
      <c r="H1000" s="87">
        <v>43981</v>
      </c>
      <c r="I1000" s="98">
        <v>22</v>
      </c>
      <c r="J1000" s="98">
        <v>22</v>
      </c>
      <c r="K1000" s="89">
        <f t="shared" si="41"/>
        <v>1</v>
      </c>
      <c r="L1000" s="89">
        <v>8125.82</v>
      </c>
      <c r="M1000" s="89">
        <v>3055.66</v>
      </c>
      <c r="N1000" s="89">
        <v>865.31</v>
      </c>
      <c r="O1000" s="89">
        <f t="shared" si="42"/>
        <v>12046.79</v>
      </c>
    </row>
    <row r="1001" spans="1:15">
      <c r="A1001" s="74" t="s">
        <v>113</v>
      </c>
      <c r="B1001" s="74" t="s">
        <v>236</v>
      </c>
      <c r="C1001" s="74" t="s">
        <v>237</v>
      </c>
      <c r="D1001" s="88" t="s">
        <v>82</v>
      </c>
      <c r="E1001" s="74" t="s">
        <v>83</v>
      </c>
      <c r="F1001" s="86" t="s">
        <v>120</v>
      </c>
      <c r="G1001" s="74" t="s">
        <v>209</v>
      </c>
      <c r="H1001" s="87">
        <v>43981</v>
      </c>
      <c r="I1001" s="98">
        <v>22</v>
      </c>
      <c r="J1001" s="98">
        <v>22</v>
      </c>
      <c r="K1001" s="89">
        <f t="shared" si="41"/>
        <v>1</v>
      </c>
      <c r="L1001" s="89">
        <v>7423.88</v>
      </c>
      <c r="M1001" s="89">
        <v>3124.74</v>
      </c>
      <c r="N1001" s="89">
        <v>722.18</v>
      </c>
      <c r="O1001" s="89">
        <f t="shared" si="42"/>
        <v>11270.8</v>
      </c>
    </row>
    <row r="1002" spans="1:15">
      <c r="A1002" s="74" t="s">
        <v>113</v>
      </c>
      <c r="B1002" s="74" t="s">
        <v>238</v>
      </c>
      <c r="C1002" s="74" t="s">
        <v>239</v>
      </c>
      <c r="D1002" s="74" t="s">
        <v>86</v>
      </c>
      <c r="E1002" s="74" t="s">
        <v>87</v>
      </c>
      <c r="F1002" s="86" t="s">
        <v>204</v>
      </c>
      <c r="G1002" s="74" t="s">
        <v>240</v>
      </c>
      <c r="H1002" s="87">
        <v>43981</v>
      </c>
      <c r="I1002" s="98">
        <v>22</v>
      </c>
      <c r="J1002" s="98">
        <v>22</v>
      </c>
      <c r="K1002" s="89">
        <f t="shared" si="41"/>
        <v>1</v>
      </c>
      <c r="L1002" s="89">
        <v>14943.69</v>
      </c>
      <c r="M1002" s="89">
        <v>3090.24</v>
      </c>
      <c r="N1002" s="89">
        <v>1972.24</v>
      </c>
      <c r="O1002" s="89">
        <f t="shared" si="42"/>
        <v>20006.17</v>
      </c>
    </row>
    <row r="1003" spans="1:15">
      <c r="A1003" s="74" t="s">
        <v>113</v>
      </c>
      <c r="B1003" s="74" t="s">
        <v>241</v>
      </c>
      <c r="C1003" s="74" t="s">
        <v>242</v>
      </c>
      <c r="D1003" s="74" t="s">
        <v>86</v>
      </c>
      <c r="E1003" s="74" t="s">
        <v>87</v>
      </c>
      <c r="F1003" s="86" t="s">
        <v>243</v>
      </c>
      <c r="G1003" s="74" t="s">
        <v>244</v>
      </c>
      <c r="H1003" s="87">
        <v>43981</v>
      </c>
      <c r="I1003" s="98">
        <v>22</v>
      </c>
      <c r="J1003" s="98">
        <v>22</v>
      </c>
      <c r="K1003" s="89">
        <f t="shared" si="41"/>
        <v>1</v>
      </c>
      <c r="L1003" s="89">
        <v>11112.55</v>
      </c>
      <c r="M1003" s="89">
        <v>3213.56</v>
      </c>
      <c r="N1003" s="89">
        <v>1318.28</v>
      </c>
      <c r="O1003" s="89">
        <f t="shared" si="42"/>
        <v>15644.39</v>
      </c>
    </row>
    <row r="1004" spans="1:15">
      <c r="A1004" s="74" t="s">
        <v>113</v>
      </c>
      <c r="B1004" s="74" t="s">
        <v>245</v>
      </c>
      <c r="C1004" s="74" t="s">
        <v>246</v>
      </c>
      <c r="D1004" s="74" t="s">
        <v>86</v>
      </c>
      <c r="E1004" s="74" t="s">
        <v>87</v>
      </c>
      <c r="F1004" s="86" t="s">
        <v>247</v>
      </c>
      <c r="G1004" s="74" t="s">
        <v>248</v>
      </c>
      <c r="H1004" s="87">
        <v>43981</v>
      </c>
      <c r="I1004" s="98">
        <v>22</v>
      </c>
      <c r="J1004" s="98">
        <v>22</v>
      </c>
      <c r="K1004" s="89">
        <f t="shared" si="41"/>
        <v>1</v>
      </c>
      <c r="L1004" s="89">
        <v>9761.4</v>
      </c>
      <c r="M1004" s="89">
        <v>3124.06</v>
      </c>
      <c r="N1004" s="89">
        <v>1230.13</v>
      </c>
      <c r="O1004" s="89">
        <f t="shared" si="42"/>
        <v>14115.59</v>
      </c>
    </row>
    <row r="1005" spans="1:15">
      <c r="A1005" s="74" t="s">
        <v>113</v>
      </c>
      <c r="B1005" s="74" t="s">
        <v>249</v>
      </c>
      <c r="C1005" s="74" t="s">
        <v>250</v>
      </c>
      <c r="D1005" s="74" t="s">
        <v>86</v>
      </c>
      <c r="E1005" s="74" t="s">
        <v>87</v>
      </c>
      <c r="F1005" s="86" t="s">
        <v>251</v>
      </c>
      <c r="G1005" s="74" t="s">
        <v>252</v>
      </c>
      <c r="H1005" s="87">
        <v>43981</v>
      </c>
      <c r="I1005" s="98">
        <v>22</v>
      </c>
      <c r="J1005" s="98">
        <v>22</v>
      </c>
      <c r="K1005" s="89">
        <f t="shared" si="41"/>
        <v>1</v>
      </c>
      <c r="L1005" s="89">
        <v>9464.85</v>
      </c>
      <c r="M1005" s="89">
        <v>3181.95</v>
      </c>
      <c r="N1005" s="89">
        <v>1121.83</v>
      </c>
      <c r="O1005" s="89">
        <f t="shared" si="42"/>
        <v>13768.63</v>
      </c>
    </row>
    <row r="1006" spans="1:15">
      <c r="A1006" s="74" t="s">
        <v>113</v>
      </c>
      <c r="B1006" s="74" t="s">
        <v>253</v>
      </c>
      <c r="C1006" s="74" t="s">
        <v>254</v>
      </c>
      <c r="D1006" s="74" t="s">
        <v>86</v>
      </c>
      <c r="E1006" s="74" t="s">
        <v>87</v>
      </c>
      <c r="F1006" s="86" t="s">
        <v>255</v>
      </c>
      <c r="G1006" s="74" t="s">
        <v>252</v>
      </c>
      <c r="H1006" s="87">
        <v>43981</v>
      </c>
      <c r="I1006" s="98">
        <v>22</v>
      </c>
      <c r="J1006" s="98">
        <v>22</v>
      </c>
      <c r="K1006" s="89">
        <f t="shared" si="41"/>
        <v>1</v>
      </c>
      <c r="L1006" s="89">
        <v>8054.64</v>
      </c>
      <c r="M1006" s="89">
        <v>3064.69</v>
      </c>
      <c r="N1006" s="89">
        <v>1079.28</v>
      </c>
      <c r="O1006" s="89">
        <f t="shared" si="42"/>
        <v>12198.61</v>
      </c>
    </row>
    <row r="1007" spans="1:15">
      <c r="A1007" s="74" t="s">
        <v>113</v>
      </c>
      <c r="B1007" s="74" t="s">
        <v>256</v>
      </c>
      <c r="C1007" s="74" t="s">
        <v>257</v>
      </c>
      <c r="D1007" s="74" t="s">
        <v>86</v>
      </c>
      <c r="E1007" s="74" t="s">
        <v>87</v>
      </c>
      <c r="F1007" s="86" t="s">
        <v>258</v>
      </c>
      <c r="G1007" s="74" t="s">
        <v>252</v>
      </c>
      <c r="H1007" s="87">
        <v>43981</v>
      </c>
      <c r="I1007" s="98">
        <v>22</v>
      </c>
      <c r="J1007" s="98">
        <v>22</v>
      </c>
      <c r="K1007" s="89">
        <f t="shared" si="41"/>
        <v>1</v>
      </c>
      <c r="L1007" s="89">
        <v>7753.9</v>
      </c>
      <c r="M1007" s="89">
        <v>3098.27</v>
      </c>
      <c r="N1007" s="89">
        <v>933.47</v>
      </c>
      <c r="O1007" s="89">
        <f t="shared" si="42"/>
        <v>11785.64</v>
      </c>
    </row>
    <row r="1008" spans="1:15">
      <c r="A1008" s="74" t="s">
        <v>113</v>
      </c>
      <c r="B1008" s="74" t="s">
        <v>259</v>
      </c>
      <c r="C1008" s="74" t="s">
        <v>260</v>
      </c>
      <c r="D1008" s="74" t="s">
        <v>86</v>
      </c>
      <c r="E1008" s="74" t="s">
        <v>87</v>
      </c>
      <c r="F1008" s="86" t="s">
        <v>261</v>
      </c>
      <c r="G1008" s="74" t="s">
        <v>262</v>
      </c>
      <c r="H1008" s="87">
        <v>43981</v>
      </c>
      <c r="I1008" s="98">
        <v>22</v>
      </c>
      <c r="J1008" s="98">
        <v>22</v>
      </c>
      <c r="K1008" s="89">
        <f t="shared" si="41"/>
        <v>1</v>
      </c>
      <c r="L1008" s="89">
        <v>6737.38</v>
      </c>
      <c r="M1008" s="89">
        <v>3059.73</v>
      </c>
      <c r="N1008" s="89">
        <v>877.48</v>
      </c>
      <c r="O1008" s="89">
        <f t="shared" si="42"/>
        <v>10674.59</v>
      </c>
    </row>
    <row r="1009" spans="1:15">
      <c r="A1009" s="74" t="s">
        <v>113</v>
      </c>
      <c r="B1009" s="74" t="s">
        <v>263</v>
      </c>
      <c r="C1009" s="74" t="s">
        <v>264</v>
      </c>
      <c r="D1009" s="74" t="s">
        <v>86</v>
      </c>
      <c r="E1009" s="74" t="s">
        <v>88</v>
      </c>
      <c r="F1009" s="86" t="s">
        <v>149</v>
      </c>
      <c r="G1009" s="74" t="s">
        <v>265</v>
      </c>
      <c r="H1009" s="87">
        <v>43981</v>
      </c>
      <c r="I1009" s="98">
        <v>22</v>
      </c>
      <c r="J1009" s="98">
        <v>22</v>
      </c>
      <c r="K1009" s="89">
        <f t="shared" si="41"/>
        <v>1</v>
      </c>
      <c r="L1009" s="89">
        <v>14120.71</v>
      </c>
      <c r="M1009" s="89">
        <v>3181.63</v>
      </c>
      <c r="N1009" s="89">
        <v>1700.63</v>
      </c>
      <c r="O1009" s="89">
        <f t="shared" si="42"/>
        <v>19002.97</v>
      </c>
    </row>
    <row r="1010" spans="1:15">
      <c r="A1010" s="74" t="s">
        <v>113</v>
      </c>
      <c r="B1010" s="74" t="s">
        <v>266</v>
      </c>
      <c r="C1010" s="74" t="s">
        <v>267</v>
      </c>
      <c r="D1010" s="74" t="s">
        <v>86</v>
      </c>
      <c r="E1010" s="74" t="s">
        <v>88</v>
      </c>
      <c r="F1010" s="86" t="s">
        <v>243</v>
      </c>
      <c r="G1010" s="74" t="s">
        <v>268</v>
      </c>
      <c r="H1010" s="87">
        <v>43981</v>
      </c>
      <c r="I1010" s="98">
        <v>22</v>
      </c>
      <c r="J1010" s="98">
        <v>22</v>
      </c>
      <c r="K1010" s="89">
        <f t="shared" si="41"/>
        <v>1</v>
      </c>
      <c r="L1010" s="89">
        <v>10459.84</v>
      </c>
      <c r="M1010" s="89">
        <v>3137.52</v>
      </c>
      <c r="N1010" s="89">
        <v>1411.6</v>
      </c>
      <c r="O1010" s="89">
        <f t="shared" si="42"/>
        <v>15008.96</v>
      </c>
    </row>
    <row r="1011" spans="1:15">
      <c r="A1011" s="74" t="s">
        <v>113</v>
      </c>
      <c r="B1011" s="74" t="s">
        <v>269</v>
      </c>
      <c r="C1011" s="74" t="s">
        <v>270</v>
      </c>
      <c r="D1011" s="74" t="s">
        <v>86</v>
      </c>
      <c r="E1011" s="74" t="s">
        <v>88</v>
      </c>
      <c r="F1011" s="86" t="s">
        <v>247</v>
      </c>
      <c r="G1011" s="74" t="s">
        <v>268</v>
      </c>
      <c r="H1011" s="87">
        <v>43981</v>
      </c>
      <c r="I1011" s="98">
        <v>22</v>
      </c>
      <c r="J1011" s="98">
        <v>22</v>
      </c>
      <c r="K1011" s="89">
        <f t="shared" si="41"/>
        <v>1</v>
      </c>
      <c r="L1011" s="89">
        <v>9722.83</v>
      </c>
      <c r="M1011" s="89">
        <v>3256.92</v>
      </c>
      <c r="N1011" s="89">
        <v>1215.59</v>
      </c>
      <c r="O1011" s="89">
        <f t="shared" si="42"/>
        <v>14195.34</v>
      </c>
    </row>
    <row r="1012" spans="1:15">
      <c r="A1012" s="74" t="s">
        <v>113</v>
      </c>
      <c r="B1012" s="74" t="s">
        <v>271</v>
      </c>
      <c r="C1012" s="74" t="s">
        <v>272</v>
      </c>
      <c r="D1012" s="74" t="s">
        <v>86</v>
      </c>
      <c r="E1012" s="74" t="s">
        <v>88</v>
      </c>
      <c r="F1012" s="86" t="s">
        <v>251</v>
      </c>
      <c r="G1012" s="74" t="s">
        <v>268</v>
      </c>
      <c r="H1012" s="87">
        <v>43981</v>
      </c>
      <c r="I1012" s="98">
        <v>22</v>
      </c>
      <c r="J1012" s="98">
        <v>22</v>
      </c>
      <c r="K1012" s="89">
        <f t="shared" si="41"/>
        <v>1</v>
      </c>
      <c r="L1012" s="89">
        <v>9548.01</v>
      </c>
      <c r="M1012" s="89">
        <v>3229.86</v>
      </c>
      <c r="N1012" s="89">
        <v>1196.76</v>
      </c>
      <c r="O1012" s="89">
        <f t="shared" si="42"/>
        <v>13974.63</v>
      </c>
    </row>
    <row r="1013" spans="1:15">
      <c r="A1013" s="74" t="s">
        <v>113</v>
      </c>
      <c r="B1013" s="74" t="s">
        <v>273</v>
      </c>
      <c r="C1013" s="74" t="s">
        <v>274</v>
      </c>
      <c r="D1013" s="74" t="s">
        <v>86</v>
      </c>
      <c r="E1013" s="74" t="s">
        <v>88</v>
      </c>
      <c r="F1013" s="86" t="s">
        <v>255</v>
      </c>
      <c r="G1013" s="74" t="s">
        <v>268</v>
      </c>
      <c r="H1013" s="87">
        <v>43981</v>
      </c>
      <c r="I1013" s="98">
        <v>22</v>
      </c>
      <c r="J1013" s="98">
        <v>22</v>
      </c>
      <c r="K1013" s="89">
        <f t="shared" si="41"/>
        <v>1</v>
      </c>
      <c r="L1013" s="89">
        <v>8296.86</v>
      </c>
      <c r="M1013" s="89">
        <v>3061.95</v>
      </c>
      <c r="N1013" s="89">
        <v>1001.61</v>
      </c>
      <c r="O1013" s="89">
        <f t="shared" si="42"/>
        <v>12360.42</v>
      </c>
    </row>
    <row r="1014" spans="1:15">
      <c r="A1014" s="74" t="s">
        <v>113</v>
      </c>
      <c r="B1014" s="74" t="s">
        <v>275</v>
      </c>
      <c r="C1014" s="74" t="s">
        <v>276</v>
      </c>
      <c r="D1014" s="74" t="s">
        <v>86</v>
      </c>
      <c r="E1014" s="74" t="s">
        <v>88</v>
      </c>
      <c r="F1014" s="86" t="s">
        <v>258</v>
      </c>
      <c r="G1014" s="74" t="s">
        <v>268</v>
      </c>
      <c r="H1014" s="87">
        <v>43981</v>
      </c>
      <c r="I1014" s="98">
        <v>22</v>
      </c>
      <c r="J1014" s="98">
        <v>22</v>
      </c>
      <c r="K1014" s="89">
        <f t="shared" si="41"/>
        <v>1</v>
      </c>
      <c r="L1014" s="89">
        <v>7285.19</v>
      </c>
      <c r="M1014" s="89">
        <v>3156.67</v>
      </c>
      <c r="N1014" s="89">
        <v>911.26</v>
      </c>
      <c r="O1014" s="89">
        <f t="shared" si="42"/>
        <v>11353.12</v>
      </c>
    </row>
    <row r="1015" spans="1:15">
      <c r="A1015" s="74" t="s">
        <v>113</v>
      </c>
      <c r="B1015" s="74" t="s">
        <v>277</v>
      </c>
      <c r="C1015" s="74" t="s">
        <v>278</v>
      </c>
      <c r="D1015" s="74" t="s">
        <v>86</v>
      </c>
      <c r="E1015" s="74" t="s">
        <v>89</v>
      </c>
      <c r="F1015" s="86" t="s">
        <v>279</v>
      </c>
      <c r="G1015" s="74" t="s">
        <v>280</v>
      </c>
      <c r="H1015" s="87">
        <v>43981</v>
      </c>
      <c r="I1015" s="98">
        <v>22</v>
      </c>
      <c r="J1015" s="98">
        <v>22</v>
      </c>
      <c r="K1015" s="89">
        <f t="shared" si="41"/>
        <v>1</v>
      </c>
      <c r="L1015" s="89">
        <v>12508.85</v>
      </c>
      <c r="M1015" s="89">
        <v>3102.47</v>
      </c>
      <c r="N1015" s="89">
        <v>1522.94</v>
      </c>
      <c r="O1015" s="89">
        <f t="shared" si="42"/>
        <v>17134.26</v>
      </c>
    </row>
    <row r="1016" spans="1:15">
      <c r="A1016" s="74" t="s">
        <v>113</v>
      </c>
      <c r="B1016" s="74" t="s">
        <v>281</v>
      </c>
      <c r="C1016" s="74" t="s">
        <v>282</v>
      </c>
      <c r="D1016" s="74" t="s">
        <v>86</v>
      </c>
      <c r="E1016" s="74" t="s">
        <v>89</v>
      </c>
      <c r="F1016" s="86" t="s">
        <v>225</v>
      </c>
      <c r="G1016" s="74" t="s">
        <v>283</v>
      </c>
      <c r="H1016" s="87">
        <v>43981</v>
      </c>
      <c r="I1016" s="98">
        <v>22</v>
      </c>
      <c r="J1016" s="98">
        <v>22</v>
      </c>
      <c r="K1016" s="89">
        <f t="shared" si="41"/>
        <v>1</v>
      </c>
      <c r="L1016" s="89">
        <v>8364.8</v>
      </c>
      <c r="M1016" s="89">
        <v>3100.85</v>
      </c>
      <c r="N1016" s="89">
        <v>1090.99</v>
      </c>
      <c r="O1016" s="89">
        <f t="shared" si="42"/>
        <v>12556.64</v>
      </c>
    </row>
    <row r="1017" spans="1:15">
      <c r="A1017" s="74" t="s">
        <v>113</v>
      </c>
      <c r="B1017" s="74" t="s">
        <v>284</v>
      </c>
      <c r="C1017" s="74" t="s">
        <v>285</v>
      </c>
      <c r="D1017" s="74" t="s">
        <v>86</v>
      </c>
      <c r="E1017" s="74" t="s">
        <v>89</v>
      </c>
      <c r="F1017" s="86" t="s">
        <v>208</v>
      </c>
      <c r="G1017" s="74" t="s">
        <v>283</v>
      </c>
      <c r="H1017" s="87">
        <v>43981</v>
      </c>
      <c r="I1017" s="98">
        <v>22</v>
      </c>
      <c r="J1017" s="98">
        <v>22</v>
      </c>
      <c r="K1017" s="89">
        <f t="shared" si="41"/>
        <v>1</v>
      </c>
      <c r="L1017" s="89">
        <v>7874.38</v>
      </c>
      <c r="M1017" s="89">
        <v>3208.74</v>
      </c>
      <c r="N1017" s="89">
        <v>967.29</v>
      </c>
      <c r="O1017" s="89">
        <f t="shared" si="42"/>
        <v>12050.41</v>
      </c>
    </row>
    <row r="1018" spans="1:15">
      <c r="A1018" s="74" t="s">
        <v>113</v>
      </c>
      <c r="B1018" s="74" t="s">
        <v>286</v>
      </c>
      <c r="C1018" s="74" t="s">
        <v>287</v>
      </c>
      <c r="D1018" s="74" t="s">
        <v>82</v>
      </c>
      <c r="E1018" s="88" t="s">
        <v>85</v>
      </c>
      <c r="F1018" s="86" t="s">
        <v>288</v>
      </c>
      <c r="G1018" s="74" t="s">
        <v>289</v>
      </c>
      <c r="H1018" s="87">
        <v>43981</v>
      </c>
      <c r="I1018" s="98">
        <v>22</v>
      </c>
      <c r="J1018" s="98">
        <v>22</v>
      </c>
      <c r="K1018" s="89">
        <f t="shared" ref="K1018:K1026" si="43">I1018/J1018</f>
        <v>1</v>
      </c>
      <c r="L1018" s="89">
        <v>12480.09</v>
      </c>
      <c r="M1018" s="89">
        <v>3012.39</v>
      </c>
      <c r="N1018" s="89">
        <v>1214.28</v>
      </c>
      <c r="O1018" s="89">
        <f t="shared" si="42"/>
        <v>16706.76</v>
      </c>
    </row>
    <row r="1019" spans="1:15">
      <c r="A1019" s="74" t="s">
        <v>113</v>
      </c>
      <c r="B1019" s="74" t="s">
        <v>290</v>
      </c>
      <c r="C1019" s="74" t="s">
        <v>291</v>
      </c>
      <c r="D1019" s="74" t="s">
        <v>82</v>
      </c>
      <c r="E1019" s="88" t="s">
        <v>85</v>
      </c>
      <c r="F1019" s="86" t="s">
        <v>218</v>
      </c>
      <c r="G1019" s="74" t="s">
        <v>289</v>
      </c>
      <c r="H1019" s="87">
        <v>43981</v>
      </c>
      <c r="I1019" s="98">
        <v>22</v>
      </c>
      <c r="J1019" s="98">
        <v>22</v>
      </c>
      <c r="K1019" s="89">
        <f t="shared" si="43"/>
        <v>1</v>
      </c>
      <c r="L1019" s="89">
        <v>11153.1</v>
      </c>
      <c r="M1019" s="89">
        <v>3054.52</v>
      </c>
      <c r="N1019" s="89">
        <v>1177.05</v>
      </c>
      <c r="O1019" s="89">
        <f t="shared" si="42"/>
        <v>15384.67</v>
      </c>
    </row>
    <row r="1020" spans="1:15">
      <c r="A1020" s="74" t="s">
        <v>113</v>
      </c>
      <c r="B1020" s="74" t="s">
        <v>292</v>
      </c>
      <c r="C1020" s="74" t="s">
        <v>293</v>
      </c>
      <c r="D1020" s="74" t="s">
        <v>82</v>
      </c>
      <c r="E1020" s="88" t="s">
        <v>85</v>
      </c>
      <c r="F1020" s="86" t="s">
        <v>225</v>
      </c>
      <c r="G1020" s="74" t="s">
        <v>289</v>
      </c>
      <c r="H1020" s="87">
        <v>43981</v>
      </c>
      <c r="I1020" s="98">
        <v>22</v>
      </c>
      <c r="J1020" s="98">
        <v>22</v>
      </c>
      <c r="K1020" s="89">
        <f t="shared" si="43"/>
        <v>1</v>
      </c>
      <c r="L1020" s="89">
        <v>10102.31</v>
      </c>
      <c r="M1020" s="89">
        <v>3057.96</v>
      </c>
      <c r="N1020" s="89">
        <v>1052.49</v>
      </c>
      <c r="O1020" s="89">
        <f t="shared" si="42"/>
        <v>14212.76</v>
      </c>
    </row>
    <row r="1021" spans="1:15">
      <c r="A1021" s="74" t="s">
        <v>113</v>
      </c>
      <c r="B1021" s="74" t="s">
        <v>294</v>
      </c>
      <c r="C1021" s="74" t="s">
        <v>295</v>
      </c>
      <c r="D1021" s="74" t="s">
        <v>82</v>
      </c>
      <c r="E1021" s="88" t="s">
        <v>85</v>
      </c>
      <c r="F1021" s="86" t="s">
        <v>208</v>
      </c>
      <c r="G1021" s="74" t="s">
        <v>289</v>
      </c>
      <c r="H1021" s="87">
        <v>43981</v>
      </c>
      <c r="I1021" s="98">
        <v>22</v>
      </c>
      <c r="J1021" s="98">
        <v>22</v>
      </c>
      <c r="K1021" s="89">
        <f t="shared" si="43"/>
        <v>1</v>
      </c>
      <c r="L1021" s="89">
        <v>9486.84</v>
      </c>
      <c r="M1021" s="89">
        <v>3039.8</v>
      </c>
      <c r="N1021" s="89">
        <v>930.33</v>
      </c>
      <c r="O1021" s="89">
        <f t="shared" si="42"/>
        <v>13456.97</v>
      </c>
    </row>
    <row r="1022" spans="1:15">
      <c r="A1022" s="74" t="s">
        <v>113</v>
      </c>
      <c r="B1022" s="74" t="s">
        <v>296</v>
      </c>
      <c r="C1022" s="74" t="s">
        <v>297</v>
      </c>
      <c r="D1022" s="74" t="s">
        <v>82</v>
      </c>
      <c r="E1022" s="88" t="s">
        <v>85</v>
      </c>
      <c r="F1022" s="86" t="s">
        <v>116</v>
      </c>
      <c r="G1022" s="74" t="s">
        <v>289</v>
      </c>
      <c r="H1022" s="87">
        <v>43981</v>
      </c>
      <c r="I1022" s="98">
        <v>22</v>
      </c>
      <c r="J1022" s="98">
        <v>22</v>
      </c>
      <c r="K1022" s="89">
        <f t="shared" si="43"/>
        <v>1</v>
      </c>
      <c r="L1022" s="89">
        <v>8455.7</v>
      </c>
      <c r="M1022" s="89">
        <v>3151.75</v>
      </c>
      <c r="N1022" s="89">
        <v>831.71</v>
      </c>
      <c r="O1022" s="89">
        <f t="shared" si="42"/>
        <v>12439.16</v>
      </c>
    </row>
    <row r="1023" spans="1:15">
      <c r="A1023" s="74" t="s">
        <v>113</v>
      </c>
      <c r="B1023" s="74" t="s">
        <v>298</v>
      </c>
      <c r="C1023" s="74" t="s">
        <v>299</v>
      </c>
      <c r="D1023" s="74" t="s">
        <v>82</v>
      </c>
      <c r="E1023" s="88" t="s">
        <v>85</v>
      </c>
      <c r="F1023" s="86" t="s">
        <v>279</v>
      </c>
      <c r="G1023" s="74" t="s">
        <v>300</v>
      </c>
      <c r="H1023" s="87">
        <v>43981</v>
      </c>
      <c r="I1023" s="98">
        <v>22</v>
      </c>
      <c r="J1023" s="98">
        <v>22</v>
      </c>
      <c r="K1023" s="89">
        <f t="shared" si="43"/>
        <v>1</v>
      </c>
      <c r="L1023" s="89">
        <v>15354.12</v>
      </c>
      <c r="M1023" s="89">
        <v>3284.71</v>
      </c>
      <c r="N1023" s="89">
        <v>1518.05</v>
      </c>
      <c r="O1023" s="89">
        <f t="shared" si="42"/>
        <v>20156.88</v>
      </c>
    </row>
    <row r="1024" spans="1:15">
      <c r="A1024" s="74" t="s">
        <v>113</v>
      </c>
      <c r="B1024" s="74" t="s">
        <v>301</v>
      </c>
      <c r="C1024" s="74" t="s">
        <v>302</v>
      </c>
      <c r="D1024" s="74" t="s">
        <v>82</v>
      </c>
      <c r="E1024" s="88" t="s">
        <v>85</v>
      </c>
      <c r="F1024" s="86" t="s">
        <v>279</v>
      </c>
      <c r="G1024" s="74" t="s">
        <v>303</v>
      </c>
      <c r="H1024" s="87">
        <v>43981</v>
      </c>
      <c r="I1024" s="98">
        <v>22</v>
      </c>
      <c r="J1024" s="98">
        <v>22</v>
      </c>
      <c r="K1024" s="89">
        <f t="shared" si="43"/>
        <v>1</v>
      </c>
      <c r="L1024" s="89">
        <v>15734.18</v>
      </c>
      <c r="M1024" s="89">
        <v>3003.58</v>
      </c>
      <c r="N1024" s="89">
        <v>1644.85</v>
      </c>
      <c r="O1024" s="89">
        <f t="shared" si="42"/>
        <v>20382.61</v>
      </c>
    </row>
    <row r="1025" spans="1:15">
      <c r="A1025" s="74" t="s">
        <v>113</v>
      </c>
      <c r="B1025" s="74" t="s">
        <v>304</v>
      </c>
      <c r="C1025" s="74" t="s">
        <v>305</v>
      </c>
      <c r="D1025" s="74" t="s">
        <v>86</v>
      </c>
      <c r="E1025" s="74" t="s">
        <v>90</v>
      </c>
      <c r="F1025" s="86" t="s">
        <v>306</v>
      </c>
      <c r="G1025" s="74" t="s">
        <v>307</v>
      </c>
      <c r="H1025" s="87">
        <v>43981</v>
      </c>
      <c r="I1025" s="98">
        <v>22</v>
      </c>
      <c r="J1025" s="98">
        <v>22</v>
      </c>
      <c r="K1025" s="89">
        <f t="shared" si="43"/>
        <v>1</v>
      </c>
      <c r="L1025" s="89">
        <v>16796.5</v>
      </c>
      <c r="M1025" s="89">
        <v>3151.18</v>
      </c>
      <c r="N1025" s="89">
        <v>2123.02</v>
      </c>
      <c r="O1025" s="89">
        <f t="shared" si="42"/>
        <v>22070.7</v>
      </c>
    </row>
    <row r="1026" spans="1:15">
      <c r="A1026" s="74" t="s">
        <v>113</v>
      </c>
      <c r="B1026" s="74" t="s">
        <v>114</v>
      </c>
      <c r="C1026" s="74" t="s">
        <v>115</v>
      </c>
      <c r="D1026" s="74" t="s">
        <v>79</v>
      </c>
      <c r="E1026" s="74" t="s">
        <v>80</v>
      </c>
      <c r="F1026" s="86" t="s">
        <v>116</v>
      </c>
      <c r="G1026" s="74" t="s">
        <v>117</v>
      </c>
      <c r="H1026" s="87">
        <v>44012</v>
      </c>
      <c r="I1026" s="98">
        <v>22</v>
      </c>
      <c r="J1026" s="98">
        <v>22</v>
      </c>
      <c r="K1026" s="89">
        <f t="shared" si="43"/>
        <v>1</v>
      </c>
      <c r="L1026" s="89">
        <v>8126.95</v>
      </c>
      <c r="M1026" s="89">
        <v>3028.97</v>
      </c>
      <c r="N1026" s="89">
        <v>849.11</v>
      </c>
      <c r="O1026" s="89">
        <f t="shared" si="42"/>
        <v>12005.03</v>
      </c>
    </row>
    <row r="1027" spans="1:15">
      <c r="A1027" s="74" t="s">
        <v>113</v>
      </c>
      <c r="B1027" s="74" t="s">
        <v>118</v>
      </c>
      <c r="C1027" s="74" t="s">
        <v>119</v>
      </c>
      <c r="D1027" s="74" t="s">
        <v>79</v>
      </c>
      <c r="E1027" s="74" t="s">
        <v>80</v>
      </c>
      <c r="F1027" s="86" t="s">
        <v>120</v>
      </c>
      <c r="G1027" s="74" t="s">
        <v>117</v>
      </c>
      <c r="H1027" s="87">
        <v>44012</v>
      </c>
      <c r="I1027" s="98">
        <v>22</v>
      </c>
      <c r="J1027" s="98">
        <v>22</v>
      </c>
      <c r="K1027" s="89">
        <f t="shared" ref="K1027:K1090" si="44">I1027/J1027</f>
        <v>1</v>
      </c>
      <c r="L1027" s="89">
        <v>7309.55</v>
      </c>
      <c r="M1027" s="89">
        <v>3141.01</v>
      </c>
      <c r="N1027" s="89">
        <v>743.07</v>
      </c>
      <c r="O1027" s="89">
        <f t="shared" si="42"/>
        <v>11193.63</v>
      </c>
    </row>
    <row r="1028" spans="1:15">
      <c r="A1028" s="74" t="s">
        <v>113</v>
      </c>
      <c r="B1028" s="74" t="s">
        <v>121</v>
      </c>
      <c r="C1028" s="74" t="s">
        <v>122</v>
      </c>
      <c r="D1028" s="74" t="s">
        <v>79</v>
      </c>
      <c r="E1028" s="74" t="s">
        <v>80</v>
      </c>
      <c r="F1028" s="86" t="s">
        <v>123</v>
      </c>
      <c r="G1028" s="74" t="s">
        <v>117</v>
      </c>
      <c r="H1028" s="87">
        <v>44012</v>
      </c>
      <c r="I1028" s="98">
        <v>22</v>
      </c>
      <c r="J1028" s="98">
        <v>22</v>
      </c>
      <c r="K1028" s="89">
        <f t="shared" si="44"/>
        <v>1</v>
      </c>
      <c r="L1028" s="89">
        <v>6500.7</v>
      </c>
      <c r="M1028" s="89">
        <v>3196.58</v>
      </c>
      <c r="N1028" s="89">
        <v>607.75</v>
      </c>
      <c r="O1028" s="89">
        <f t="shared" si="42"/>
        <v>10305.03</v>
      </c>
    </row>
    <row r="1029" spans="1:15">
      <c r="A1029" s="74" t="s">
        <v>113</v>
      </c>
      <c r="B1029" s="74" t="s">
        <v>124</v>
      </c>
      <c r="C1029" s="74" t="s">
        <v>125</v>
      </c>
      <c r="D1029" s="74" t="s">
        <v>79</v>
      </c>
      <c r="E1029" s="74" t="s">
        <v>80</v>
      </c>
      <c r="F1029" s="86" t="s">
        <v>116</v>
      </c>
      <c r="G1029" s="74" t="s">
        <v>117</v>
      </c>
      <c r="H1029" s="87">
        <v>44012</v>
      </c>
      <c r="I1029" s="98">
        <v>22</v>
      </c>
      <c r="J1029" s="98">
        <v>22</v>
      </c>
      <c r="K1029" s="89">
        <f t="shared" si="44"/>
        <v>1</v>
      </c>
      <c r="L1029" s="89">
        <v>8755.54</v>
      </c>
      <c r="M1029" s="89">
        <v>3029.34</v>
      </c>
      <c r="N1029" s="89">
        <v>841.21</v>
      </c>
      <c r="O1029" s="89">
        <f t="shared" ref="O1029:O1092" si="45">SUM(L1029:N1029)</f>
        <v>12626.09</v>
      </c>
    </row>
    <row r="1030" spans="1:15">
      <c r="A1030" s="74" t="s">
        <v>113</v>
      </c>
      <c r="B1030" s="74" t="s">
        <v>126</v>
      </c>
      <c r="C1030" s="74" t="s">
        <v>127</v>
      </c>
      <c r="D1030" s="74" t="s">
        <v>79</v>
      </c>
      <c r="E1030" s="74" t="s">
        <v>80</v>
      </c>
      <c r="F1030" s="86" t="s">
        <v>120</v>
      </c>
      <c r="G1030" s="74" t="s">
        <v>117</v>
      </c>
      <c r="H1030" s="87">
        <v>44012</v>
      </c>
      <c r="I1030" s="98">
        <v>22</v>
      </c>
      <c r="J1030" s="98">
        <v>22</v>
      </c>
      <c r="K1030" s="89">
        <f t="shared" si="44"/>
        <v>1</v>
      </c>
      <c r="L1030" s="89">
        <v>7469.38</v>
      </c>
      <c r="M1030" s="89">
        <v>3237.77</v>
      </c>
      <c r="N1030" s="89">
        <v>700.04</v>
      </c>
      <c r="O1030" s="89">
        <f t="shared" si="45"/>
        <v>11407.19</v>
      </c>
    </row>
    <row r="1031" spans="1:15">
      <c r="A1031" s="74" t="s">
        <v>113</v>
      </c>
      <c r="B1031" s="74" t="s">
        <v>128</v>
      </c>
      <c r="C1031" s="74" t="s">
        <v>129</v>
      </c>
      <c r="D1031" s="74" t="s">
        <v>79</v>
      </c>
      <c r="E1031" s="74" t="s">
        <v>80</v>
      </c>
      <c r="F1031" s="86" t="s">
        <v>123</v>
      </c>
      <c r="G1031" s="74" t="s">
        <v>117</v>
      </c>
      <c r="H1031" s="87">
        <v>44012</v>
      </c>
      <c r="I1031" s="98">
        <v>22</v>
      </c>
      <c r="J1031" s="98">
        <v>22</v>
      </c>
      <c r="K1031" s="89">
        <f t="shared" si="44"/>
        <v>1</v>
      </c>
      <c r="L1031" s="89">
        <v>6551.29</v>
      </c>
      <c r="M1031" s="89">
        <v>3146.71</v>
      </c>
      <c r="N1031" s="89">
        <v>627.76</v>
      </c>
      <c r="O1031" s="89">
        <f t="shared" si="45"/>
        <v>10325.76</v>
      </c>
    </row>
    <row r="1032" spans="1:15">
      <c r="A1032" s="74" t="s">
        <v>113</v>
      </c>
      <c r="B1032" s="74" t="s">
        <v>130</v>
      </c>
      <c r="C1032" s="74" t="s">
        <v>131</v>
      </c>
      <c r="D1032" s="74" t="s">
        <v>79</v>
      </c>
      <c r="E1032" s="74" t="s">
        <v>80</v>
      </c>
      <c r="F1032" s="86" t="s">
        <v>116</v>
      </c>
      <c r="G1032" s="74" t="s">
        <v>117</v>
      </c>
      <c r="H1032" s="87">
        <v>44012</v>
      </c>
      <c r="I1032" s="98">
        <v>22</v>
      </c>
      <c r="J1032" s="98">
        <v>22</v>
      </c>
      <c r="K1032" s="89">
        <f t="shared" si="44"/>
        <v>1</v>
      </c>
      <c r="L1032" s="89">
        <v>8196.89</v>
      </c>
      <c r="M1032" s="89">
        <v>3158.12</v>
      </c>
      <c r="N1032" s="89">
        <v>815.23</v>
      </c>
      <c r="O1032" s="89">
        <f t="shared" si="45"/>
        <v>12170.24</v>
      </c>
    </row>
    <row r="1033" spans="1:15">
      <c r="A1033" s="74" t="s">
        <v>113</v>
      </c>
      <c r="B1033" s="74" t="s">
        <v>132</v>
      </c>
      <c r="C1033" s="74" t="s">
        <v>133</v>
      </c>
      <c r="D1033" s="74" t="s">
        <v>79</v>
      </c>
      <c r="E1033" s="74" t="s">
        <v>80</v>
      </c>
      <c r="F1033" s="86" t="s">
        <v>120</v>
      </c>
      <c r="G1033" s="74" t="s">
        <v>117</v>
      </c>
      <c r="H1033" s="87">
        <v>44012</v>
      </c>
      <c r="I1033" s="98">
        <v>22</v>
      </c>
      <c r="J1033" s="98">
        <v>22</v>
      </c>
      <c r="K1033" s="89">
        <f t="shared" si="44"/>
        <v>1</v>
      </c>
      <c r="L1033" s="89">
        <v>7149.99</v>
      </c>
      <c r="M1033" s="89">
        <v>3096.39</v>
      </c>
      <c r="N1033" s="89">
        <v>736.29</v>
      </c>
      <c r="O1033" s="89">
        <f t="shared" si="45"/>
        <v>10982.67</v>
      </c>
    </row>
    <row r="1034" spans="1:15">
      <c r="A1034" s="74" t="s">
        <v>113</v>
      </c>
      <c r="B1034" s="74" t="s">
        <v>134</v>
      </c>
      <c r="C1034" s="74" t="s">
        <v>135</v>
      </c>
      <c r="D1034" s="74" t="s">
        <v>79</v>
      </c>
      <c r="E1034" s="74" t="s">
        <v>80</v>
      </c>
      <c r="F1034" s="86" t="s">
        <v>123</v>
      </c>
      <c r="G1034" s="74" t="s">
        <v>117</v>
      </c>
      <c r="H1034" s="87">
        <v>44012</v>
      </c>
      <c r="I1034" s="98">
        <v>22</v>
      </c>
      <c r="J1034" s="98">
        <v>22</v>
      </c>
      <c r="K1034" s="89">
        <f t="shared" si="44"/>
        <v>1</v>
      </c>
      <c r="L1034" s="89">
        <v>6489.96</v>
      </c>
      <c r="M1034" s="89">
        <v>3196.85</v>
      </c>
      <c r="N1034" s="89">
        <v>641.62</v>
      </c>
      <c r="O1034" s="89">
        <f t="shared" si="45"/>
        <v>10328.43</v>
      </c>
    </row>
    <row r="1035" spans="1:15">
      <c r="A1035" s="74" t="s">
        <v>113</v>
      </c>
      <c r="B1035" s="74" t="s">
        <v>136</v>
      </c>
      <c r="C1035" s="74" t="s">
        <v>137</v>
      </c>
      <c r="D1035" s="74" t="s">
        <v>79</v>
      </c>
      <c r="E1035" s="74" t="s">
        <v>80</v>
      </c>
      <c r="F1035" s="86" t="s">
        <v>116</v>
      </c>
      <c r="G1035" s="74" t="s">
        <v>138</v>
      </c>
      <c r="H1035" s="87">
        <v>44012</v>
      </c>
      <c r="I1035" s="98">
        <v>22</v>
      </c>
      <c r="J1035" s="98">
        <v>22</v>
      </c>
      <c r="K1035" s="89">
        <f t="shared" si="44"/>
        <v>1</v>
      </c>
      <c r="L1035" s="89">
        <v>8143.34</v>
      </c>
      <c r="M1035" s="89">
        <v>3036.07</v>
      </c>
      <c r="N1035" s="89">
        <v>860.11</v>
      </c>
      <c r="O1035" s="89">
        <f t="shared" si="45"/>
        <v>12039.52</v>
      </c>
    </row>
    <row r="1036" spans="1:15">
      <c r="A1036" s="74" t="s">
        <v>113</v>
      </c>
      <c r="B1036" s="74" t="s">
        <v>139</v>
      </c>
      <c r="C1036" s="74" t="s">
        <v>140</v>
      </c>
      <c r="D1036" s="74" t="s">
        <v>79</v>
      </c>
      <c r="E1036" s="74" t="s">
        <v>80</v>
      </c>
      <c r="F1036" s="86" t="s">
        <v>120</v>
      </c>
      <c r="G1036" s="74" t="s">
        <v>138</v>
      </c>
      <c r="H1036" s="87">
        <v>44012</v>
      </c>
      <c r="I1036" s="98">
        <v>22</v>
      </c>
      <c r="J1036" s="98">
        <v>22</v>
      </c>
      <c r="K1036" s="89">
        <f t="shared" si="44"/>
        <v>1</v>
      </c>
      <c r="L1036" s="89">
        <v>7445.2</v>
      </c>
      <c r="M1036" s="89">
        <v>3134.94</v>
      </c>
      <c r="N1036" s="89">
        <v>756.89</v>
      </c>
      <c r="O1036" s="89">
        <f t="shared" si="45"/>
        <v>11337.03</v>
      </c>
    </row>
    <row r="1037" spans="1:15">
      <c r="A1037" s="74" t="s">
        <v>113</v>
      </c>
      <c r="B1037" s="74" t="s">
        <v>141</v>
      </c>
      <c r="C1037" s="74" t="s">
        <v>142</v>
      </c>
      <c r="D1037" s="74" t="s">
        <v>79</v>
      </c>
      <c r="E1037" s="74" t="s">
        <v>80</v>
      </c>
      <c r="F1037" s="86" t="s">
        <v>123</v>
      </c>
      <c r="G1037" s="74" t="s">
        <v>138</v>
      </c>
      <c r="H1037" s="87">
        <v>44012</v>
      </c>
      <c r="I1037" s="98">
        <v>22</v>
      </c>
      <c r="J1037" s="98">
        <v>22</v>
      </c>
      <c r="K1037" s="89">
        <f t="shared" si="44"/>
        <v>1</v>
      </c>
      <c r="L1037" s="89">
        <v>6427.1</v>
      </c>
      <c r="M1037" s="89">
        <v>3115.36</v>
      </c>
      <c r="N1037" s="89">
        <v>646.23</v>
      </c>
      <c r="O1037" s="89">
        <f t="shared" si="45"/>
        <v>10188.69</v>
      </c>
    </row>
    <row r="1038" spans="1:15">
      <c r="A1038" s="74" t="s">
        <v>113</v>
      </c>
      <c r="B1038" s="74" t="s">
        <v>143</v>
      </c>
      <c r="C1038" s="74" t="s">
        <v>144</v>
      </c>
      <c r="D1038" s="74" t="s">
        <v>79</v>
      </c>
      <c r="E1038" s="74" t="s">
        <v>80</v>
      </c>
      <c r="F1038" s="86" t="s">
        <v>145</v>
      </c>
      <c r="G1038" s="74" t="s">
        <v>146</v>
      </c>
      <c r="H1038" s="87">
        <v>44012</v>
      </c>
      <c r="I1038" s="98">
        <v>22</v>
      </c>
      <c r="J1038" s="98">
        <v>22</v>
      </c>
      <c r="K1038" s="89">
        <f t="shared" si="44"/>
        <v>1</v>
      </c>
      <c r="L1038" s="89">
        <v>19741.24</v>
      </c>
      <c r="M1038" s="89">
        <v>3175.04</v>
      </c>
      <c r="N1038" s="89">
        <v>1903.35</v>
      </c>
      <c r="O1038" s="89">
        <f t="shared" si="45"/>
        <v>24819.63</v>
      </c>
    </row>
    <row r="1039" spans="1:15">
      <c r="A1039" s="74" t="s">
        <v>113</v>
      </c>
      <c r="B1039" s="74" t="s">
        <v>147</v>
      </c>
      <c r="C1039" s="74" t="s">
        <v>148</v>
      </c>
      <c r="D1039" s="74" t="s">
        <v>79</v>
      </c>
      <c r="E1039" s="74" t="s">
        <v>80</v>
      </c>
      <c r="F1039" s="86" t="s">
        <v>149</v>
      </c>
      <c r="G1039" s="74" t="s">
        <v>150</v>
      </c>
      <c r="H1039" s="87">
        <v>44012</v>
      </c>
      <c r="I1039" s="98">
        <v>22</v>
      </c>
      <c r="J1039" s="98">
        <v>22</v>
      </c>
      <c r="K1039" s="89">
        <f t="shared" si="44"/>
        <v>1</v>
      </c>
      <c r="L1039" s="89">
        <v>17816.87</v>
      </c>
      <c r="M1039" s="89">
        <v>3178.39</v>
      </c>
      <c r="N1039" s="89">
        <v>1794.58</v>
      </c>
      <c r="O1039" s="89">
        <f t="shared" si="45"/>
        <v>22789.84</v>
      </c>
    </row>
    <row r="1040" spans="1:15">
      <c r="A1040" s="74" t="s">
        <v>113</v>
      </c>
      <c r="B1040" s="74" t="s">
        <v>151</v>
      </c>
      <c r="C1040" s="74" t="s">
        <v>152</v>
      </c>
      <c r="D1040" s="74" t="s">
        <v>79</v>
      </c>
      <c r="E1040" s="74" t="s">
        <v>81</v>
      </c>
      <c r="F1040" s="86" t="s">
        <v>123</v>
      </c>
      <c r="G1040" s="74" t="s">
        <v>153</v>
      </c>
      <c r="H1040" s="87">
        <v>44012</v>
      </c>
      <c r="I1040" s="98">
        <v>22</v>
      </c>
      <c r="J1040" s="98">
        <v>22</v>
      </c>
      <c r="K1040" s="89">
        <f t="shared" si="44"/>
        <v>1</v>
      </c>
      <c r="L1040" s="89">
        <v>6112.01</v>
      </c>
      <c r="M1040" s="89">
        <v>3141.95</v>
      </c>
      <c r="N1040" s="89">
        <v>613.23</v>
      </c>
      <c r="O1040" s="89">
        <f t="shared" si="45"/>
        <v>9867.19</v>
      </c>
    </row>
    <row r="1041" spans="1:15">
      <c r="A1041" s="74" t="s">
        <v>113</v>
      </c>
      <c r="B1041" s="74" t="s">
        <v>154</v>
      </c>
      <c r="C1041" s="74" t="s">
        <v>155</v>
      </c>
      <c r="D1041" s="74" t="s">
        <v>79</v>
      </c>
      <c r="E1041" s="74" t="s">
        <v>81</v>
      </c>
      <c r="F1041" s="86" t="s">
        <v>156</v>
      </c>
      <c r="G1041" s="74" t="s">
        <v>157</v>
      </c>
      <c r="H1041" s="87">
        <v>44012</v>
      </c>
      <c r="I1041" s="98">
        <v>22</v>
      </c>
      <c r="J1041" s="98">
        <v>22</v>
      </c>
      <c r="K1041" s="89">
        <f t="shared" si="44"/>
        <v>1</v>
      </c>
      <c r="L1041" s="89">
        <v>5340.69</v>
      </c>
      <c r="M1041" s="89">
        <v>3156.13</v>
      </c>
      <c r="N1041" s="89">
        <v>536.2</v>
      </c>
      <c r="O1041" s="89">
        <f t="shared" si="45"/>
        <v>9033.02</v>
      </c>
    </row>
    <row r="1042" spans="1:15">
      <c r="A1042" s="74" t="s">
        <v>113</v>
      </c>
      <c r="B1042" s="74" t="s">
        <v>158</v>
      </c>
      <c r="C1042" s="74" t="s">
        <v>159</v>
      </c>
      <c r="D1042" s="74" t="s">
        <v>79</v>
      </c>
      <c r="E1042" s="74" t="s">
        <v>81</v>
      </c>
      <c r="F1042" s="86" t="s">
        <v>160</v>
      </c>
      <c r="G1042" s="74" t="s">
        <v>161</v>
      </c>
      <c r="H1042" s="87">
        <v>44012</v>
      </c>
      <c r="I1042" s="98">
        <v>22</v>
      </c>
      <c r="J1042" s="98">
        <v>22</v>
      </c>
      <c r="K1042" s="89">
        <f t="shared" si="44"/>
        <v>1</v>
      </c>
      <c r="L1042" s="89">
        <v>4392.36</v>
      </c>
      <c r="M1042" s="89">
        <v>3147.42</v>
      </c>
      <c r="N1042" s="89">
        <v>422.8</v>
      </c>
      <c r="O1042" s="89">
        <f t="shared" si="45"/>
        <v>7962.58</v>
      </c>
    </row>
    <row r="1043" spans="1:15">
      <c r="A1043" s="74" t="s">
        <v>113</v>
      </c>
      <c r="B1043" s="74" t="s">
        <v>162</v>
      </c>
      <c r="C1043" s="74" t="s">
        <v>163</v>
      </c>
      <c r="D1043" s="74" t="s">
        <v>79</v>
      </c>
      <c r="E1043" s="74" t="s">
        <v>81</v>
      </c>
      <c r="F1043" s="86" t="s">
        <v>123</v>
      </c>
      <c r="G1043" s="74" t="s">
        <v>153</v>
      </c>
      <c r="H1043" s="87">
        <v>44012</v>
      </c>
      <c r="I1043" s="98">
        <v>22</v>
      </c>
      <c r="J1043" s="98">
        <v>22</v>
      </c>
      <c r="K1043" s="89">
        <f t="shared" si="44"/>
        <v>1</v>
      </c>
      <c r="L1043" s="89">
        <v>6041.03</v>
      </c>
      <c r="M1043" s="89">
        <v>3162.6</v>
      </c>
      <c r="N1043" s="89">
        <v>653.9</v>
      </c>
      <c r="O1043" s="89">
        <f t="shared" si="45"/>
        <v>9857.53</v>
      </c>
    </row>
    <row r="1044" spans="1:15">
      <c r="A1044" s="74" t="s">
        <v>113</v>
      </c>
      <c r="B1044" s="74" t="s">
        <v>164</v>
      </c>
      <c r="C1044" s="74" t="s">
        <v>165</v>
      </c>
      <c r="D1044" s="74" t="s">
        <v>79</v>
      </c>
      <c r="E1044" s="74" t="s">
        <v>81</v>
      </c>
      <c r="F1044" s="86" t="s">
        <v>156</v>
      </c>
      <c r="G1044" s="74" t="s">
        <v>157</v>
      </c>
      <c r="H1044" s="87">
        <v>44012</v>
      </c>
      <c r="I1044" s="98">
        <v>22</v>
      </c>
      <c r="J1044" s="98">
        <v>22</v>
      </c>
      <c r="K1044" s="89">
        <f t="shared" si="44"/>
        <v>1</v>
      </c>
      <c r="L1044" s="89">
        <v>5343.6</v>
      </c>
      <c r="M1044" s="89">
        <v>3158.37</v>
      </c>
      <c r="N1044" s="89">
        <v>505.07</v>
      </c>
      <c r="O1044" s="89">
        <f t="shared" si="45"/>
        <v>9007.04</v>
      </c>
    </row>
    <row r="1045" spans="1:15">
      <c r="A1045" s="74" t="s">
        <v>113</v>
      </c>
      <c r="B1045" s="74" t="s">
        <v>166</v>
      </c>
      <c r="C1045" s="74" t="s">
        <v>167</v>
      </c>
      <c r="D1045" s="74" t="s">
        <v>79</v>
      </c>
      <c r="E1045" s="74" t="s">
        <v>81</v>
      </c>
      <c r="F1045" s="86" t="s">
        <v>160</v>
      </c>
      <c r="G1045" s="74" t="s">
        <v>161</v>
      </c>
      <c r="H1045" s="87">
        <v>44012</v>
      </c>
      <c r="I1045" s="98">
        <v>22</v>
      </c>
      <c r="J1045" s="98">
        <v>22</v>
      </c>
      <c r="K1045" s="89">
        <f t="shared" si="44"/>
        <v>1</v>
      </c>
      <c r="L1045" s="89">
        <v>4084.5</v>
      </c>
      <c r="M1045" s="89">
        <v>3262.88</v>
      </c>
      <c r="N1045" s="89">
        <v>430.59</v>
      </c>
      <c r="O1045" s="89">
        <f t="shared" si="45"/>
        <v>7777.97</v>
      </c>
    </row>
    <row r="1046" spans="1:15">
      <c r="A1046" s="74" t="s">
        <v>113</v>
      </c>
      <c r="B1046" s="74" t="s">
        <v>168</v>
      </c>
      <c r="C1046" s="74" t="s">
        <v>169</v>
      </c>
      <c r="D1046" s="74" t="s">
        <v>79</v>
      </c>
      <c r="E1046" s="74" t="s">
        <v>81</v>
      </c>
      <c r="F1046" s="86" t="s">
        <v>123</v>
      </c>
      <c r="G1046" s="74" t="s">
        <v>153</v>
      </c>
      <c r="H1046" s="87">
        <v>44012</v>
      </c>
      <c r="I1046" s="98">
        <v>22</v>
      </c>
      <c r="J1046" s="98">
        <v>22</v>
      </c>
      <c r="K1046" s="89">
        <f t="shared" si="44"/>
        <v>1</v>
      </c>
      <c r="L1046" s="89">
        <v>6443.37</v>
      </c>
      <c r="M1046" s="89">
        <v>3212.03</v>
      </c>
      <c r="N1046" s="89">
        <v>655.66</v>
      </c>
      <c r="O1046" s="89">
        <f t="shared" si="45"/>
        <v>10311.06</v>
      </c>
    </row>
    <row r="1047" spans="1:15">
      <c r="A1047" s="74" t="s">
        <v>113</v>
      </c>
      <c r="B1047" s="74" t="s">
        <v>170</v>
      </c>
      <c r="C1047" s="74" t="s">
        <v>171</v>
      </c>
      <c r="D1047" s="74" t="s">
        <v>79</v>
      </c>
      <c r="E1047" s="74" t="s">
        <v>81</v>
      </c>
      <c r="F1047" s="86" t="s">
        <v>156</v>
      </c>
      <c r="G1047" s="74" t="s">
        <v>157</v>
      </c>
      <c r="H1047" s="87">
        <v>44012</v>
      </c>
      <c r="I1047" s="98">
        <v>22</v>
      </c>
      <c r="J1047" s="98">
        <v>22</v>
      </c>
      <c r="K1047" s="89">
        <f t="shared" si="44"/>
        <v>1</v>
      </c>
      <c r="L1047" s="89">
        <v>5158.03</v>
      </c>
      <c r="M1047" s="89">
        <v>3204.86</v>
      </c>
      <c r="N1047" s="89">
        <v>510.16</v>
      </c>
      <c r="O1047" s="89">
        <f t="shared" si="45"/>
        <v>8873.05</v>
      </c>
    </row>
    <row r="1048" spans="1:15">
      <c r="A1048" s="74" t="s">
        <v>113</v>
      </c>
      <c r="B1048" s="74" t="s">
        <v>172</v>
      </c>
      <c r="C1048" s="74" t="s">
        <v>173</v>
      </c>
      <c r="D1048" s="74" t="s">
        <v>79</v>
      </c>
      <c r="E1048" s="74" t="s">
        <v>81</v>
      </c>
      <c r="F1048" s="86" t="s">
        <v>160</v>
      </c>
      <c r="G1048" s="74" t="s">
        <v>161</v>
      </c>
      <c r="H1048" s="87">
        <v>44012</v>
      </c>
      <c r="I1048" s="98">
        <v>22</v>
      </c>
      <c r="J1048" s="98">
        <v>22</v>
      </c>
      <c r="K1048" s="89">
        <f t="shared" si="44"/>
        <v>1</v>
      </c>
      <c r="L1048" s="89">
        <v>4342.46</v>
      </c>
      <c r="M1048" s="89">
        <v>3086.67</v>
      </c>
      <c r="N1048" s="89">
        <v>436.63</v>
      </c>
      <c r="O1048" s="89">
        <f t="shared" si="45"/>
        <v>7865.76</v>
      </c>
    </row>
    <row r="1049" spans="1:15">
      <c r="A1049" s="74" t="s">
        <v>113</v>
      </c>
      <c r="B1049" s="74" t="s">
        <v>174</v>
      </c>
      <c r="C1049" s="74" t="s">
        <v>175</v>
      </c>
      <c r="D1049" s="74" t="s">
        <v>79</v>
      </c>
      <c r="E1049" s="74" t="s">
        <v>81</v>
      </c>
      <c r="F1049" s="86" t="s">
        <v>176</v>
      </c>
      <c r="G1049" s="74" t="s">
        <v>177</v>
      </c>
      <c r="H1049" s="87">
        <v>44012</v>
      </c>
      <c r="I1049" s="98">
        <v>22</v>
      </c>
      <c r="J1049" s="98">
        <v>22</v>
      </c>
      <c r="K1049" s="89">
        <f t="shared" si="44"/>
        <v>1</v>
      </c>
      <c r="L1049" s="89">
        <v>3097.14</v>
      </c>
      <c r="M1049" s="89">
        <v>3086.56</v>
      </c>
      <c r="N1049" s="89">
        <v>303.07</v>
      </c>
      <c r="O1049" s="89">
        <f t="shared" si="45"/>
        <v>6486.77</v>
      </c>
    </row>
    <row r="1050" spans="1:15">
      <c r="A1050" s="74" t="s">
        <v>113</v>
      </c>
      <c r="B1050" s="74" t="s">
        <v>178</v>
      </c>
      <c r="C1050" s="74" t="s">
        <v>179</v>
      </c>
      <c r="D1050" s="74" t="s">
        <v>79</v>
      </c>
      <c r="E1050" s="74" t="s">
        <v>81</v>
      </c>
      <c r="F1050" s="86" t="s">
        <v>180</v>
      </c>
      <c r="G1050" s="74" t="s">
        <v>177</v>
      </c>
      <c r="H1050" s="87">
        <v>44012</v>
      </c>
      <c r="I1050" s="98">
        <v>22</v>
      </c>
      <c r="J1050" s="98">
        <v>22</v>
      </c>
      <c r="K1050" s="89">
        <f t="shared" si="44"/>
        <v>1</v>
      </c>
      <c r="L1050" s="89">
        <v>2026.47</v>
      </c>
      <c r="M1050" s="89">
        <v>3248.77</v>
      </c>
      <c r="N1050" s="89">
        <v>215.25</v>
      </c>
      <c r="O1050" s="89">
        <f t="shared" si="45"/>
        <v>5490.49</v>
      </c>
    </row>
    <row r="1051" spans="1:15">
      <c r="A1051" s="74" t="s">
        <v>113</v>
      </c>
      <c r="B1051" s="74" t="s">
        <v>181</v>
      </c>
      <c r="C1051" s="74" t="s">
        <v>182</v>
      </c>
      <c r="D1051" s="74" t="s">
        <v>79</v>
      </c>
      <c r="E1051" s="74" t="s">
        <v>81</v>
      </c>
      <c r="F1051" s="86" t="s">
        <v>183</v>
      </c>
      <c r="G1051" s="74" t="s">
        <v>177</v>
      </c>
      <c r="H1051" s="87">
        <v>44012</v>
      </c>
      <c r="I1051" s="98">
        <v>22</v>
      </c>
      <c r="J1051" s="98">
        <v>22</v>
      </c>
      <c r="K1051" s="89">
        <f t="shared" si="44"/>
        <v>1</v>
      </c>
      <c r="L1051" s="89">
        <v>1099.23</v>
      </c>
      <c r="M1051" s="89">
        <v>3258.48</v>
      </c>
      <c r="N1051" s="89">
        <v>104.63</v>
      </c>
      <c r="O1051" s="89">
        <f t="shared" si="45"/>
        <v>4462.34</v>
      </c>
    </row>
    <row r="1052" spans="1:15">
      <c r="A1052" s="74" t="s">
        <v>113</v>
      </c>
      <c r="B1052" s="74" t="s">
        <v>184</v>
      </c>
      <c r="C1052" s="74" t="s">
        <v>185</v>
      </c>
      <c r="D1052" s="74" t="s">
        <v>79</v>
      </c>
      <c r="E1052" s="74" t="s">
        <v>81</v>
      </c>
      <c r="F1052" s="86" t="s">
        <v>176</v>
      </c>
      <c r="G1052" s="74" t="s">
        <v>177</v>
      </c>
      <c r="H1052" s="87">
        <v>44012</v>
      </c>
      <c r="I1052" s="98">
        <v>22</v>
      </c>
      <c r="J1052" s="98">
        <v>22</v>
      </c>
      <c r="K1052" s="89">
        <f t="shared" si="44"/>
        <v>1</v>
      </c>
      <c r="L1052" s="89">
        <v>3071.45</v>
      </c>
      <c r="M1052" s="89">
        <v>3111.04</v>
      </c>
      <c r="N1052" s="89">
        <v>326.65</v>
      </c>
      <c r="O1052" s="89">
        <f t="shared" si="45"/>
        <v>6509.14</v>
      </c>
    </row>
    <row r="1053" spans="1:15">
      <c r="A1053" s="74" t="s">
        <v>113</v>
      </c>
      <c r="B1053" s="74" t="s">
        <v>186</v>
      </c>
      <c r="C1053" s="74" t="s">
        <v>187</v>
      </c>
      <c r="D1053" s="74" t="s">
        <v>79</v>
      </c>
      <c r="E1053" s="74" t="s">
        <v>81</v>
      </c>
      <c r="F1053" s="86" t="s">
        <v>180</v>
      </c>
      <c r="G1053" s="74" t="s">
        <v>177</v>
      </c>
      <c r="H1053" s="87">
        <v>44012</v>
      </c>
      <c r="I1053" s="98">
        <v>22</v>
      </c>
      <c r="J1053" s="98">
        <v>22</v>
      </c>
      <c r="K1053" s="89">
        <f t="shared" si="44"/>
        <v>1</v>
      </c>
      <c r="L1053" s="89">
        <v>2195.87</v>
      </c>
      <c r="M1053" s="89">
        <v>3246.96</v>
      </c>
      <c r="N1053" s="89">
        <v>219.67</v>
      </c>
      <c r="O1053" s="89">
        <f t="shared" si="45"/>
        <v>5662.5</v>
      </c>
    </row>
    <row r="1054" spans="1:15">
      <c r="A1054" s="74" t="s">
        <v>113</v>
      </c>
      <c r="B1054" s="74" t="s">
        <v>188</v>
      </c>
      <c r="C1054" s="74" t="s">
        <v>189</v>
      </c>
      <c r="D1054" s="74" t="s">
        <v>79</v>
      </c>
      <c r="E1054" s="74" t="s">
        <v>81</v>
      </c>
      <c r="F1054" s="86" t="s">
        <v>183</v>
      </c>
      <c r="G1054" s="74" t="s">
        <v>177</v>
      </c>
      <c r="H1054" s="87">
        <v>44012</v>
      </c>
      <c r="I1054" s="98">
        <v>22</v>
      </c>
      <c r="J1054" s="98">
        <v>22</v>
      </c>
      <c r="K1054" s="89">
        <f t="shared" si="44"/>
        <v>1</v>
      </c>
      <c r="L1054" s="89">
        <v>1066.68</v>
      </c>
      <c r="M1054" s="89">
        <v>3272.81</v>
      </c>
      <c r="N1054" s="89">
        <v>106.75</v>
      </c>
      <c r="O1054" s="89">
        <f t="shared" si="45"/>
        <v>4446.24</v>
      </c>
    </row>
    <row r="1055" spans="1:15">
      <c r="A1055" s="74" t="s">
        <v>113</v>
      </c>
      <c r="B1055" s="74" t="s">
        <v>190</v>
      </c>
      <c r="C1055" s="74" t="s">
        <v>191</v>
      </c>
      <c r="D1055" s="74" t="s">
        <v>79</v>
      </c>
      <c r="E1055" s="74" t="s">
        <v>81</v>
      </c>
      <c r="F1055" s="86" t="s">
        <v>176</v>
      </c>
      <c r="G1055" s="74" t="s">
        <v>177</v>
      </c>
      <c r="H1055" s="87">
        <v>44012</v>
      </c>
      <c r="I1055" s="98">
        <v>22</v>
      </c>
      <c r="J1055" s="98">
        <v>22</v>
      </c>
      <c r="K1055" s="89">
        <f t="shared" si="44"/>
        <v>1</v>
      </c>
      <c r="L1055" s="89">
        <v>3122.2</v>
      </c>
      <c r="M1055" s="89">
        <v>3160.27</v>
      </c>
      <c r="N1055" s="89">
        <v>318.31</v>
      </c>
      <c r="O1055" s="89">
        <f t="shared" si="45"/>
        <v>6600.78</v>
      </c>
    </row>
    <row r="1056" spans="1:15">
      <c r="A1056" s="74" t="s">
        <v>113</v>
      </c>
      <c r="B1056" s="74" t="s">
        <v>192</v>
      </c>
      <c r="C1056" s="74" t="s">
        <v>193</v>
      </c>
      <c r="D1056" s="74" t="s">
        <v>79</v>
      </c>
      <c r="E1056" s="74" t="s">
        <v>81</v>
      </c>
      <c r="F1056" s="86" t="s">
        <v>180</v>
      </c>
      <c r="G1056" s="74" t="s">
        <v>177</v>
      </c>
      <c r="H1056" s="87">
        <v>44012</v>
      </c>
      <c r="I1056" s="98">
        <v>22</v>
      </c>
      <c r="J1056" s="98">
        <v>22</v>
      </c>
      <c r="K1056" s="89">
        <f t="shared" si="44"/>
        <v>1</v>
      </c>
      <c r="L1056" s="89">
        <v>2088.79</v>
      </c>
      <c r="M1056" s="89">
        <v>3185.92</v>
      </c>
      <c r="N1056" s="89">
        <v>205.35</v>
      </c>
      <c r="O1056" s="89">
        <f t="shared" si="45"/>
        <v>5480.06</v>
      </c>
    </row>
    <row r="1057" spans="1:15">
      <c r="A1057" s="74" t="s">
        <v>113</v>
      </c>
      <c r="B1057" s="74" t="s">
        <v>194</v>
      </c>
      <c r="C1057" s="74" t="s">
        <v>195</v>
      </c>
      <c r="D1057" s="74" t="s">
        <v>79</v>
      </c>
      <c r="E1057" s="74" t="s">
        <v>81</v>
      </c>
      <c r="F1057" s="86" t="s">
        <v>183</v>
      </c>
      <c r="G1057" s="74" t="s">
        <v>177</v>
      </c>
      <c r="H1057" s="87">
        <v>44012</v>
      </c>
      <c r="I1057" s="98">
        <v>22</v>
      </c>
      <c r="J1057" s="98">
        <v>22</v>
      </c>
      <c r="K1057" s="89">
        <f t="shared" si="44"/>
        <v>1</v>
      </c>
      <c r="L1057" s="89">
        <v>1065.17</v>
      </c>
      <c r="M1057" s="89">
        <v>3201.27</v>
      </c>
      <c r="N1057" s="89">
        <v>103.28</v>
      </c>
      <c r="O1057" s="89">
        <f t="shared" si="45"/>
        <v>4369.72</v>
      </c>
    </row>
    <row r="1058" spans="1:15">
      <c r="A1058" s="74" t="s">
        <v>113</v>
      </c>
      <c r="B1058" s="74" t="s">
        <v>196</v>
      </c>
      <c r="C1058" s="74" t="s">
        <v>197</v>
      </c>
      <c r="D1058" s="74" t="s">
        <v>79</v>
      </c>
      <c r="E1058" s="74" t="s">
        <v>81</v>
      </c>
      <c r="F1058" s="86" t="s">
        <v>176</v>
      </c>
      <c r="G1058" s="74" t="s">
        <v>177</v>
      </c>
      <c r="H1058" s="87">
        <v>44012</v>
      </c>
      <c r="I1058" s="98">
        <v>22</v>
      </c>
      <c r="J1058" s="98">
        <v>22</v>
      </c>
      <c r="K1058" s="89">
        <f t="shared" si="44"/>
        <v>1</v>
      </c>
      <c r="L1058" s="89">
        <v>3284.73</v>
      </c>
      <c r="M1058" s="89">
        <v>3279.9</v>
      </c>
      <c r="N1058" s="89">
        <v>301.61</v>
      </c>
      <c r="O1058" s="89">
        <f t="shared" si="45"/>
        <v>6866.24</v>
      </c>
    </row>
    <row r="1059" spans="1:15">
      <c r="A1059" s="74" t="s">
        <v>113</v>
      </c>
      <c r="B1059" s="74" t="s">
        <v>198</v>
      </c>
      <c r="C1059" s="74" t="s">
        <v>199</v>
      </c>
      <c r="D1059" s="74" t="s">
        <v>79</v>
      </c>
      <c r="E1059" s="74" t="s">
        <v>81</v>
      </c>
      <c r="F1059" s="86" t="s">
        <v>180</v>
      </c>
      <c r="G1059" s="74" t="s">
        <v>177</v>
      </c>
      <c r="H1059" s="87">
        <v>44012</v>
      </c>
      <c r="I1059" s="98">
        <v>22</v>
      </c>
      <c r="J1059" s="98">
        <v>22</v>
      </c>
      <c r="K1059" s="89">
        <f t="shared" si="44"/>
        <v>1</v>
      </c>
      <c r="L1059" s="89">
        <v>2170.75</v>
      </c>
      <c r="M1059" s="89">
        <v>3192.46</v>
      </c>
      <c r="N1059" s="89">
        <v>208.06</v>
      </c>
      <c r="O1059" s="89">
        <f t="shared" si="45"/>
        <v>5571.27</v>
      </c>
    </row>
    <row r="1060" spans="1:15">
      <c r="A1060" s="74" t="s">
        <v>113</v>
      </c>
      <c r="B1060" s="74" t="s">
        <v>200</v>
      </c>
      <c r="C1060" s="74" t="s">
        <v>201</v>
      </c>
      <c r="D1060" s="74" t="s">
        <v>79</v>
      </c>
      <c r="E1060" s="74" t="s">
        <v>81</v>
      </c>
      <c r="F1060" s="86" t="s">
        <v>183</v>
      </c>
      <c r="G1060" s="74" t="s">
        <v>177</v>
      </c>
      <c r="H1060" s="87">
        <v>44012</v>
      </c>
      <c r="I1060" s="98">
        <v>22</v>
      </c>
      <c r="J1060" s="98">
        <v>22</v>
      </c>
      <c r="K1060" s="89">
        <f t="shared" si="44"/>
        <v>1</v>
      </c>
      <c r="L1060" s="89">
        <v>1085.17</v>
      </c>
      <c r="M1060" s="89">
        <v>3125.35</v>
      </c>
      <c r="N1060" s="89">
        <v>102.04</v>
      </c>
      <c r="O1060" s="89">
        <f t="shared" si="45"/>
        <v>4312.56</v>
      </c>
    </row>
    <row r="1061" spans="1:15">
      <c r="A1061" s="74" t="s">
        <v>113</v>
      </c>
      <c r="B1061" s="74" t="s">
        <v>202</v>
      </c>
      <c r="C1061" s="74" t="s">
        <v>203</v>
      </c>
      <c r="D1061" s="74" t="s">
        <v>79</v>
      </c>
      <c r="E1061" s="74" t="s">
        <v>81</v>
      </c>
      <c r="F1061" s="86" t="s">
        <v>204</v>
      </c>
      <c r="G1061" s="74" t="s">
        <v>205</v>
      </c>
      <c r="H1061" s="87">
        <v>44012</v>
      </c>
      <c r="I1061" s="98">
        <v>22</v>
      </c>
      <c r="J1061" s="98">
        <v>22</v>
      </c>
      <c r="K1061" s="89">
        <f t="shared" si="44"/>
        <v>1</v>
      </c>
      <c r="L1061" s="89">
        <v>18186.35</v>
      </c>
      <c r="M1061" s="89">
        <v>3249.94</v>
      </c>
      <c r="N1061" s="89">
        <v>1842.48</v>
      </c>
      <c r="O1061" s="89">
        <f t="shared" si="45"/>
        <v>23278.77</v>
      </c>
    </row>
    <row r="1062" spans="1:15">
      <c r="A1062" s="74" t="s">
        <v>113</v>
      </c>
      <c r="B1062" s="74" t="s">
        <v>206</v>
      </c>
      <c r="C1062" s="74" t="s">
        <v>207</v>
      </c>
      <c r="D1062" s="88" t="s">
        <v>82</v>
      </c>
      <c r="E1062" s="88" t="s">
        <v>84</v>
      </c>
      <c r="F1062" s="86" t="s">
        <v>208</v>
      </c>
      <c r="G1062" s="74" t="s">
        <v>209</v>
      </c>
      <c r="H1062" s="87">
        <v>44012</v>
      </c>
      <c r="I1062" s="98">
        <v>22</v>
      </c>
      <c r="J1062" s="98">
        <v>22</v>
      </c>
      <c r="K1062" s="89">
        <f t="shared" si="44"/>
        <v>1</v>
      </c>
      <c r="L1062" s="89">
        <v>9252.91</v>
      </c>
      <c r="M1062" s="89">
        <v>3065.67</v>
      </c>
      <c r="N1062" s="89">
        <v>976.72</v>
      </c>
      <c r="O1062" s="89">
        <f t="shared" si="45"/>
        <v>13295.3</v>
      </c>
    </row>
    <row r="1063" spans="1:15">
      <c r="A1063" s="74" t="s">
        <v>113</v>
      </c>
      <c r="B1063" s="74" t="s">
        <v>210</v>
      </c>
      <c r="C1063" s="74" t="s">
        <v>211</v>
      </c>
      <c r="D1063" s="88" t="s">
        <v>82</v>
      </c>
      <c r="E1063" s="88" t="s">
        <v>84</v>
      </c>
      <c r="F1063" s="86" t="s">
        <v>116</v>
      </c>
      <c r="G1063" s="74" t="s">
        <v>209</v>
      </c>
      <c r="H1063" s="87">
        <v>44012</v>
      </c>
      <c r="I1063" s="98">
        <v>22</v>
      </c>
      <c r="J1063" s="98">
        <v>22</v>
      </c>
      <c r="K1063" s="89">
        <f t="shared" si="44"/>
        <v>1</v>
      </c>
      <c r="L1063" s="89">
        <v>8186.29</v>
      </c>
      <c r="M1063" s="89">
        <v>3188.32</v>
      </c>
      <c r="N1063" s="89">
        <v>807.36</v>
      </c>
      <c r="O1063" s="89">
        <f t="shared" si="45"/>
        <v>12181.97</v>
      </c>
    </row>
    <row r="1064" spans="1:15">
      <c r="A1064" s="74" t="s">
        <v>113</v>
      </c>
      <c r="B1064" s="74" t="s">
        <v>212</v>
      </c>
      <c r="C1064" s="74" t="s">
        <v>213</v>
      </c>
      <c r="D1064" s="88" t="s">
        <v>82</v>
      </c>
      <c r="E1064" s="88" t="s">
        <v>84</v>
      </c>
      <c r="F1064" s="86" t="s">
        <v>208</v>
      </c>
      <c r="G1064" s="74" t="s">
        <v>209</v>
      </c>
      <c r="H1064" s="87">
        <v>44012</v>
      </c>
      <c r="I1064" s="98">
        <v>22</v>
      </c>
      <c r="J1064" s="98">
        <v>22</v>
      </c>
      <c r="K1064" s="89">
        <f t="shared" si="44"/>
        <v>1</v>
      </c>
      <c r="L1064" s="89">
        <v>9244.72</v>
      </c>
      <c r="M1064" s="89">
        <v>3073.76</v>
      </c>
      <c r="N1064" s="89">
        <v>969.15</v>
      </c>
      <c r="O1064" s="89">
        <f t="shared" si="45"/>
        <v>13287.63</v>
      </c>
    </row>
    <row r="1065" spans="1:15">
      <c r="A1065" s="74" t="s">
        <v>113</v>
      </c>
      <c r="B1065" s="74" t="s">
        <v>214</v>
      </c>
      <c r="C1065" s="74" t="s">
        <v>215</v>
      </c>
      <c r="D1065" s="88" t="s">
        <v>82</v>
      </c>
      <c r="E1065" s="88" t="s">
        <v>84</v>
      </c>
      <c r="F1065" s="86" t="s">
        <v>116</v>
      </c>
      <c r="G1065" s="74" t="s">
        <v>209</v>
      </c>
      <c r="H1065" s="87">
        <v>44012</v>
      </c>
      <c r="I1065" s="98">
        <v>22</v>
      </c>
      <c r="J1065" s="98">
        <v>22</v>
      </c>
      <c r="K1065" s="89">
        <f t="shared" si="44"/>
        <v>1</v>
      </c>
      <c r="L1065" s="89">
        <v>8478.58</v>
      </c>
      <c r="M1065" s="89">
        <v>3139.14</v>
      </c>
      <c r="N1065" s="89">
        <v>827.65</v>
      </c>
      <c r="O1065" s="89">
        <f t="shared" si="45"/>
        <v>12445.37</v>
      </c>
    </row>
    <row r="1066" spans="1:15">
      <c r="A1066" s="74" t="s">
        <v>113</v>
      </c>
      <c r="B1066" s="74" t="s">
        <v>216</v>
      </c>
      <c r="C1066" s="74" t="s">
        <v>217</v>
      </c>
      <c r="D1066" s="88" t="s">
        <v>82</v>
      </c>
      <c r="E1066" s="88" t="s">
        <v>84</v>
      </c>
      <c r="F1066" s="86" t="s">
        <v>218</v>
      </c>
      <c r="G1066" s="74" t="s">
        <v>219</v>
      </c>
      <c r="H1066" s="87">
        <v>44012</v>
      </c>
      <c r="I1066" s="98">
        <v>22</v>
      </c>
      <c r="J1066" s="98">
        <v>22</v>
      </c>
      <c r="K1066" s="89">
        <f t="shared" si="44"/>
        <v>1</v>
      </c>
      <c r="L1066" s="89">
        <v>11502.89</v>
      </c>
      <c r="M1066" s="89">
        <v>3296</v>
      </c>
      <c r="N1066" s="89">
        <v>1165.2</v>
      </c>
      <c r="O1066" s="89">
        <f t="shared" si="45"/>
        <v>15964.09</v>
      </c>
    </row>
    <row r="1067" spans="1:15">
      <c r="A1067" s="74" t="s">
        <v>113</v>
      </c>
      <c r="B1067" s="74" t="s">
        <v>220</v>
      </c>
      <c r="C1067" s="74" t="s">
        <v>221</v>
      </c>
      <c r="D1067" s="88" t="s">
        <v>82</v>
      </c>
      <c r="E1067" s="74" t="s">
        <v>83</v>
      </c>
      <c r="F1067" s="86" t="s">
        <v>218</v>
      </c>
      <c r="G1067" s="74" t="s">
        <v>222</v>
      </c>
      <c r="H1067" s="87">
        <v>44012</v>
      </c>
      <c r="I1067" s="98">
        <v>22</v>
      </c>
      <c r="J1067" s="98">
        <v>22</v>
      </c>
      <c r="K1067" s="89">
        <f t="shared" si="44"/>
        <v>1</v>
      </c>
      <c r="L1067" s="89">
        <v>11482.29</v>
      </c>
      <c r="M1067" s="89">
        <v>3092.3</v>
      </c>
      <c r="N1067" s="89">
        <v>1191.44</v>
      </c>
      <c r="O1067" s="89">
        <f t="shared" si="45"/>
        <v>15766.03</v>
      </c>
    </row>
    <row r="1068" spans="1:15">
      <c r="A1068" s="74" t="s">
        <v>113</v>
      </c>
      <c r="B1068" s="74" t="s">
        <v>223</v>
      </c>
      <c r="C1068" s="74" t="s">
        <v>224</v>
      </c>
      <c r="D1068" s="88" t="s">
        <v>82</v>
      </c>
      <c r="E1068" s="74" t="s">
        <v>83</v>
      </c>
      <c r="F1068" s="86" t="s">
        <v>225</v>
      </c>
      <c r="G1068" s="74" t="s">
        <v>209</v>
      </c>
      <c r="H1068" s="87">
        <v>44012</v>
      </c>
      <c r="I1068" s="98">
        <v>22</v>
      </c>
      <c r="J1068" s="98">
        <v>22</v>
      </c>
      <c r="K1068" s="89">
        <f t="shared" si="44"/>
        <v>1</v>
      </c>
      <c r="L1068" s="89">
        <v>10489.88</v>
      </c>
      <c r="M1068" s="89">
        <v>3097.83</v>
      </c>
      <c r="N1068" s="89">
        <v>1055.06</v>
      </c>
      <c r="O1068" s="89">
        <f t="shared" si="45"/>
        <v>14642.77</v>
      </c>
    </row>
    <row r="1069" spans="1:15">
      <c r="A1069" s="74" t="s">
        <v>113</v>
      </c>
      <c r="B1069" s="74" t="s">
        <v>226</v>
      </c>
      <c r="C1069" s="74" t="s">
        <v>227</v>
      </c>
      <c r="D1069" s="88" t="s">
        <v>82</v>
      </c>
      <c r="E1069" s="74" t="s">
        <v>83</v>
      </c>
      <c r="F1069" s="86" t="s">
        <v>208</v>
      </c>
      <c r="G1069" s="74" t="s">
        <v>209</v>
      </c>
      <c r="H1069" s="87">
        <v>44012</v>
      </c>
      <c r="I1069" s="98">
        <v>22</v>
      </c>
      <c r="J1069" s="98">
        <v>22</v>
      </c>
      <c r="K1069" s="89">
        <f t="shared" si="44"/>
        <v>1</v>
      </c>
      <c r="L1069" s="89">
        <v>9670.01</v>
      </c>
      <c r="M1069" s="89">
        <v>3048.18</v>
      </c>
      <c r="N1069" s="89">
        <v>944.79</v>
      </c>
      <c r="O1069" s="89">
        <f t="shared" si="45"/>
        <v>13662.98</v>
      </c>
    </row>
    <row r="1070" spans="1:15">
      <c r="A1070" s="74" t="s">
        <v>113</v>
      </c>
      <c r="B1070" s="74" t="s">
        <v>228</v>
      </c>
      <c r="C1070" s="74" t="s">
        <v>229</v>
      </c>
      <c r="D1070" s="88" t="s">
        <v>82</v>
      </c>
      <c r="E1070" s="74" t="s">
        <v>83</v>
      </c>
      <c r="F1070" s="86" t="s">
        <v>116</v>
      </c>
      <c r="G1070" s="74" t="s">
        <v>209</v>
      </c>
      <c r="H1070" s="87">
        <v>44012</v>
      </c>
      <c r="I1070" s="98">
        <v>22</v>
      </c>
      <c r="J1070" s="98">
        <v>22</v>
      </c>
      <c r="K1070" s="89">
        <f t="shared" si="44"/>
        <v>1</v>
      </c>
      <c r="L1070" s="89">
        <v>8768.94</v>
      </c>
      <c r="M1070" s="89">
        <v>3133.79</v>
      </c>
      <c r="N1070" s="89">
        <v>829.75</v>
      </c>
      <c r="O1070" s="89">
        <f t="shared" si="45"/>
        <v>12732.48</v>
      </c>
    </row>
    <row r="1071" spans="1:15">
      <c r="A1071" s="74" t="s">
        <v>113</v>
      </c>
      <c r="B1071" s="74" t="s">
        <v>230</v>
      </c>
      <c r="C1071" s="74" t="s">
        <v>231</v>
      </c>
      <c r="D1071" s="88" t="s">
        <v>82</v>
      </c>
      <c r="E1071" s="74" t="s">
        <v>83</v>
      </c>
      <c r="F1071" s="86" t="s">
        <v>120</v>
      </c>
      <c r="G1071" s="74" t="s">
        <v>209</v>
      </c>
      <c r="H1071" s="87">
        <v>44012</v>
      </c>
      <c r="I1071" s="98">
        <v>22</v>
      </c>
      <c r="J1071" s="98">
        <v>22</v>
      </c>
      <c r="K1071" s="89">
        <f t="shared" si="44"/>
        <v>1</v>
      </c>
      <c r="L1071" s="89">
        <v>7612.58</v>
      </c>
      <c r="M1071" s="89">
        <v>3134.2</v>
      </c>
      <c r="N1071" s="89">
        <v>728.48</v>
      </c>
      <c r="O1071" s="89">
        <f t="shared" si="45"/>
        <v>11475.26</v>
      </c>
    </row>
    <row r="1072" spans="1:15">
      <c r="A1072" s="74" t="s">
        <v>113</v>
      </c>
      <c r="B1072" s="74" t="s">
        <v>232</v>
      </c>
      <c r="C1072" s="74" t="s">
        <v>233</v>
      </c>
      <c r="D1072" s="88" t="s">
        <v>82</v>
      </c>
      <c r="E1072" s="74" t="s">
        <v>83</v>
      </c>
      <c r="F1072" s="86" t="s">
        <v>123</v>
      </c>
      <c r="G1072" s="74" t="s">
        <v>209</v>
      </c>
      <c r="H1072" s="87">
        <v>44012</v>
      </c>
      <c r="I1072" s="98">
        <v>22</v>
      </c>
      <c r="J1072" s="98">
        <v>22</v>
      </c>
      <c r="K1072" s="89">
        <f t="shared" si="44"/>
        <v>1</v>
      </c>
      <c r="L1072" s="89">
        <v>6216.18</v>
      </c>
      <c r="M1072" s="89">
        <v>3149.36</v>
      </c>
      <c r="N1072" s="89">
        <v>648</v>
      </c>
      <c r="O1072" s="89">
        <f t="shared" si="45"/>
        <v>10013.54</v>
      </c>
    </row>
    <row r="1073" spans="1:15">
      <c r="A1073" s="74" t="s">
        <v>113</v>
      </c>
      <c r="B1073" s="74" t="s">
        <v>234</v>
      </c>
      <c r="C1073" s="74" t="s">
        <v>235</v>
      </c>
      <c r="D1073" s="88" t="s">
        <v>82</v>
      </c>
      <c r="E1073" s="74" t="s">
        <v>83</v>
      </c>
      <c r="F1073" s="86" t="s">
        <v>116</v>
      </c>
      <c r="G1073" s="74" t="s">
        <v>209</v>
      </c>
      <c r="H1073" s="87">
        <v>44012</v>
      </c>
      <c r="I1073" s="98">
        <v>22</v>
      </c>
      <c r="J1073" s="98">
        <v>22</v>
      </c>
      <c r="K1073" s="89">
        <f t="shared" si="44"/>
        <v>1</v>
      </c>
      <c r="L1073" s="89">
        <v>8469.36</v>
      </c>
      <c r="M1073" s="89">
        <v>3066.21</v>
      </c>
      <c r="N1073" s="89">
        <v>808.28</v>
      </c>
      <c r="O1073" s="89">
        <f t="shared" si="45"/>
        <v>12343.85</v>
      </c>
    </row>
    <row r="1074" spans="1:15">
      <c r="A1074" s="74" t="s">
        <v>113</v>
      </c>
      <c r="B1074" s="74" t="s">
        <v>236</v>
      </c>
      <c r="C1074" s="74" t="s">
        <v>237</v>
      </c>
      <c r="D1074" s="88" t="s">
        <v>82</v>
      </c>
      <c r="E1074" s="74" t="s">
        <v>83</v>
      </c>
      <c r="F1074" s="86" t="s">
        <v>120</v>
      </c>
      <c r="G1074" s="74" t="s">
        <v>209</v>
      </c>
      <c r="H1074" s="87">
        <v>44012</v>
      </c>
      <c r="I1074" s="98">
        <v>22</v>
      </c>
      <c r="J1074" s="98">
        <v>22</v>
      </c>
      <c r="K1074" s="89">
        <f t="shared" si="44"/>
        <v>1</v>
      </c>
      <c r="L1074" s="89">
        <v>7076.78</v>
      </c>
      <c r="M1074" s="89">
        <v>3226.79</v>
      </c>
      <c r="N1074" s="89">
        <v>743.46</v>
      </c>
      <c r="O1074" s="89">
        <f t="shared" si="45"/>
        <v>11047.03</v>
      </c>
    </row>
    <row r="1075" spans="1:15">
      <c r="A1075" s="74" t="s">
        <v>113</v>
      </c>
      <c r="B1075" s="74" t="s">
        <v>238</v>
      </c>
      <c r="C1075" s="74" t="s">
        <v>239</v>
      </c>
      <c r="D1075" s="74" t="s">
        <v>86</v>
      </c>
      <c r="E1075" s="74" t="s">
        <v>87</v>
      </c>
      <c r="F1075" s="86" t="s">
        <v>204</v>
      </c>
      <c r="G1075" s="74" t="s">
        <v>240</v>
      </c>
      <c r="H1075" s="87">
        <v>44012</v>
      </c>
      <c r="I1075" s="98">
        <v>22</v>
      </c>
      <c r="J1075" s="98">
        <v>22</v>
      </c>
      <c r="K1075" s="89">
        <f t="shared" si="44"/>
        <v>1</v>
      </c>
      <c r="L1075" s="89">
        <v>15655.51</v>
      </c>
      <c r="M1075" s="89">
        <v>3299.76</v>
      </c>
      <c r="N1075" s="89">
        <v>1859.88</v>
      </c>
      <c r="O1075" s="89">
        <f t="shared" si="45"/>
        <v>20815.15</v>
      </c>
    </row>
    <row r="1076" spans="1:15">
      <c r="A1076" s="74" t="s">
        <v>113</v>
      </c>
      <c r="B1076" s="74" t="s">
        <v>241</v>
      </c>
      <c r="C1076" s="74" t="s">
        <v>242</v>
      </c>
      <c r="D1076" s="74" t="s">
        <v>86</v>
      </c>
      <c r="E1076" s="74" t="s">
        <v>87</v>
      </c>
      <c r="F1076" s="86" t="s">
        <v>243</v>
      </c>
      <c r="G1076" s="74" t="s">
        <v>244</v>
      </c>
      <c r="H1076" s="87">
        <v>44012</v>
      </c>
      <c r="I1076" s="98">
        <v>22</v>
      </c>
      <c r="J1076" s="98">
        <v>22</v>
      </c>
      <c r="K1076" s="89">
        <f t="shared" si="44"/>
        <v>1</v>
      </c>
      <c r="L1076" s="89">
        <v>11000.1</v>
      </c>
      <c r="M1076" s="89">
        <v>3248.1</v>
      </c>
      <c r="N1076" s="89">
        <v>1391.33</v>
      </c>
      <c r="O1076" s="89">
        <f t="shared" si="45"/>
        <v>15639.53</v>
      </c>
    </row>
    <row r="1077" spans="1:15">
      <c r="A1077" s="74" t="s">
        <v>113</v>
      </c>
      <c r="B1077" s="74" t="s">
        <v>245</v>
      </c>
      <c r="C1077" s="74" t="s">
        <v>246</v>
      </c>
      <c r="D1077" s="74" t="s">
        <v>86</v>
      </c>
      <c r="E1077" s="74" t="s">
        <v>87</v>
      </c>
      <c r="F1077" s="86" t="s">
        <v>247</v>
      </c>
      <c r="G1077" s="74" t="s">
        <v>248</v>
      </c>
      <c r="H1077" s="87">
        <v>44012</v>
      </c>
      <c r="I1077" s="98">
        <v>22</v>
      </c>
      <c r="J1077" s="98">
        <v>22</v>
      </c>
      <c r="K1077" s="89">
        <f t="shared" si="44"/>
        <v>1</v>
      </c>
      <c r="L1077" s="89">
        <v>9903.07</v>
      </c>
      <c r="M1077" s="89">
        <v>3170.85</v>
      </c>
      <c r="N1077" s="89">
        <v>1311.82</v>
      </c>
      <c r="O1077" s="89">
        <f t="shared" si="45"/>
        <v>14385.74</v>
      </c>
    </row>
    <row r="1078" spans="1:15">
      <c r="A1078" s="74" t="s">
        <v>113</v>
      </c>
      <c r="B1078" s="74" t="s">
        <v>249</v>
      </c>
      <c r="C1078" s="74" t="s">
        <v>250</v>
      </c>
      <c r="D1078" s="74" t="s">
        <v>86</v>
      </c>
      <c r="E1078" s="74" t="s">
        <v>87</v>
      </c>
      <c r="F1078" s="86" t="s">
        <v>251</v>
      </c>
      <c r="G1078" s="74" t="s">
        <v>252</v>
      </c>
      <c r="H1078" s="87">
        <v>44012</v>
      </c>
      <c r="I1078" s="98">
        <v>22</v>
      </c>
      <c r="J1078" s="98">
        <v>22</v>
      </c>
      <c r="K1078" s="89">
        <f t="shared" si="44"/>
        <v>1</v>
      </c>
      <c r="L1078" s="89">
        <v>9213.58</v>
      </c>
      <c r="M1078" s="89">
        <v>3031.09</v>
      </c>
      <c r="N1078" s="89">
        <v>1199.3</v>
      </c>
      <c r="O1078" s="89">
        <f t="shared" si="45"/>
        <v>13443.97</v>
      </c>
    </row>
    <row r="1079" spans="1:15">
      <c r="A1079" s="74" t="s">
        <v>113</v>
      </c>
      <c r="B1079" s="74" t="s">
        <v>253</v>
      </c>
      <c r="C1079" s="74" t="s">
        <v>254</v>
      </c>
      <c r="D1079" s="74" t="s">
        <v>86</v>
      </c>
      <c r="E1079" s="74" t="s">
        <v>87</v>
      </c>
      <c r="F1079" s="86" t="s">
        <v>255</v>
      </c>
      <c r="G1079" s="74" t="s">
        <v>252</v>
      </c>
      <c r="H1079" s="87">
        <v>44012</v>
      </c>
      <c r="I1079" s="98">
        <v>22</v>
      </c>
      <c r="J1079" s="98">
        <v>22</v>
      </c>
      <c r="K1079" s="89">
        <f t="shared" si="44"/>
        <v>1</v>
      </c>
      <c r="L1079" s="89">
        <v>8692.54</v>
      </c>
      <c r="M1079" s="89">
        <v>3044.94</v>
      </c>
      <c r="N1079" s="89">
        <v>1082.4</v>
      </c>
      <c r="O1079" s="89">
        <f t="shared" si="45"/>
        <v>12819.88</v>
      </c>
    </row>
    <row r="1080" spans="1:15">
      <c r="A1080" s="74" t="s">
        <v>113</v>
      </c>
      <c r="B1080" s="74" t="s">
        <v>256</v>
      </c>
      <c r="C1080" s="74" t="s">
        <v>257</v>
      </c>
      <c r="D1080" s="74" t="s">
        <v>86</v>
      </c>
      <c r="E1080" s="74" t="s">
        <v>87</v>
      </c>
      <c r="F1080" s="86" t="s">
        <v>258</v>
      </c>
      <c r="G1080" s="74" t="s">
        <v>252</v>
      </c>
      <c r="H1080" s="87">
        <v>44012</v>
      </c>
      <c r="I1080" s="98">
        <v>22</v>
      </c>
      <c r="J1080" s="98">
        <v>22</v>
      </c>
      <c r="K1080" s="89">
        <f t="shared" si="44"/>
        <v>1</v>
      </c>
      <c r="L1080" s="89">
        <v>7720.21</v>
      </c>
      <c r="M1080" s="89">
        <v>3121.88</v>
      </c>
      <c r="N1080" s="89">
        <v>906.46</v>
      </c>
      <c r="O1080" s="89">
        <f t="shared" si="45"/>
        <v>11748.55</v>
      </c>
    </row>
    <row r="1081" spans="1:15">
      <c r="A1081" s="74" t="s">
        <v>113</v>
      </c>
      <c r="B1081" s="74" t="s">
        <v>259</v>
      </c>
      <c r="C1081" s="74" t="s">
        <v>260</v>
      </c>
      <c r="D1081" s="74" t="s">
        <v>86</v>
      </c>
      <c r="E1081" s="74" t="s">
        <v>87</v>
      </c>
      <c r="F1081" s="86" t="s">
        <v>261</v>
      </c>
      <c r="G1081" s="74" t="s">
        <v>262</v>
      </c>
      <c r="H1081" s="87">
        <v>44012</v>
      </c>
      <c r="I1081" s="98">
        <v>22</v>
      </c>
      <c r="J1081" s="98">
        <v>22</v>
      </c>
      <c r="K1081" s="89">
        <f t="shared" si="44"/>
        <v>1</v>
      </c>
      <c r="L1081" s="89">
        <v>6460.54</v>
      </c>
      <c r="M1081" s="89">
        <v>3234.75</v>
      </c>
      <c r="N1081" s="89">
        <v>840.48</v>
      </c>
      <c r="O1081" s="89">
        <f t="shared" si="45"/>
        <v>10535.77</v>
      </c>
    </row>
    <row r="1082" spans="1:15">
      <c r="A1082" s="74" t="s">
        <v>113</v>
      </c>
      <c r="B1082" s="74" t="s">
        <v>263</v>
      </c>
      <c r="C1082" s="74" t="s">
        <v>264</v>
      </c>
      <c r="D1082" s="74" t="s">
        <v>86</v>
      </c>
      <c r="E1082" s="74" t="s">
        <v>88</v>
      </c>
      <c r="F1082" s="86" t="s">
        <v>149</v>
      </c>
      <c r="G1082" s="74" t="s">
        <v>265</v>
      </c>
      <c r="H1082" s="87">
        <v>44012</v>
      </c>
      <c r="I1082" s="98">
        <v>22</v>
      </c>
      <c r="J1082" s="98">
        <v>22</v>
      </c>
      <c r="K1082" s="89">
        <f t="shared" si="44"/>
        <v>1</v>
      </c>
      <c r="L1082" s="89">
        <v>14302.07</v>
      </c>
      <c r="M1082" s="89">
        <v>3106.88</v>
      </c>
      <c r="N1082" s="89">
        <v>1711.79</v>
      </c>
      <c r="O1082" s="89">
        <f t="shared" si="45"/>
        <v>19120.74</v>
      </c>
    </row>
    <row r="1083" spans="1:15">
      <c r="A1083" s="74" t="s">
        <v>113</v>
      </c>
      <c r="B1083" s="74" t="s">
        <v>266</v>
      </c>
      <c r="C1083" s="74" t="s">
        <v>267</v>
      </c>
      <c r="D1083" s="74" t="s">
        <v>86</v>
      </c>
      <c r="E1083" s="74" t="s">
        <v>88</v>
      </c>
      <c r="F1083" s="86" t="s">
        <v>243</v>
      </c>
      <c r="G1083" s="74" t="s">
        <v>268</v>
      </c>
      <c r="H1083" s="87">
        <v>44012</v>
      </c>
      <c r="I1083" s="98">
        <v>22</v>
      </c>
      <c r="J1083" s="98">
        <v>22</v>
      </c>
      <c r="K1083" s="89">
        <f t="shared" si="44"/>
        <v>1</v>
      </c>
      <c r="L1083" s="89">
        <v>10919.53</v>
      </c>
      <c r="M1083" s="89">
        <v>3144.92</v>
      </c>
      <c r="N1083" s="89">
        <v>1422.39</v>
      </c>
      <c r="O1083" s="89">
        <f t="shared" si="45"/>
        <v>15486.84</v>
      </c>
    </row>
    <row r="1084" spans="1:15">
      <c r="A1084" s="74" t="s">
        <v>113</v>
      </c>
      <c r="B1084" s="74" t="s">
        <v>269</v>
      </c>
      <c r="C1084" s="74" t="s">
        <v>270</v>
      </c>
      <c r="D1084" s="74" t="s">
        <v>86</v>
      </c>
      <c r="E1084" s="74" t="s">
        <v>88</v>
      </c>
      <c r="F1084" s="86" t="s">
        <v>247</v>
      </c>
      <c r="G1084" s="74" t="s">
        <v>268</v>
      </c>
      <c r="H1084" s="87">
        <v>44012</v>
      </c>
      <c r="I1084" s="98">
        <v>22</v>
      </c>
      <c r="J1084" s="98">
        <v>22</v>
      </c>
      <c r="K1084" s="89">
        <f t="shared" si="44"/>
        <v>1</v>
      </c>
      <c r="L1084" s="89">
        <v>10162.24</v>
      </c>
      <c r="M1084" s="89">
        <v>3076.34</v>
      </c>
      <c r="N1084" s="89">
        <v>1208.07</v>
      </c>
      <c r="O1084" s="89">
        <f t="shared" si="45"/>
        <v>14446.65</v>
      </c>
    </row>
    <row r="1085" spans="1:15">
      <c r="A1085" s="74" t="s">
        <v>113</v>
      </c>
      <c r="B1085" s="74" t="s">
        <v>271</v>
      </c>
      <c r="C1085" s="74" t="s">
        <v>272</v>
      </c>
      <c r="D1085" s="74" t="s">
        <v>86</v>
      </c>
      <c r="E1085" s="74" t="s">
        <v>88</v>
      </c>
      <c r="F1085" s="86" t="s">
        <v>251</v>
      </c>
      <c r="G1085" s="74" t="s">
        <v>268</v>
      </c>
      <c r="H1085" s="87">
        <v>44012</v>
      </c>
      <c r="I1085" s="98">
        <v>22</v>
      </c>
      <c r="J1085" s="98">
        <v>22</v>
      </c>
      <c r="K1085" s="89">
        <f t="shared" si="44"/>
        <v>1</v>
      </c>
      <c r="L1085" s="89">
        <v>8960.65</v>
      </c>
      <c r="M1085" s="89">
        <v>3043.44</v>
      </c>
      <c r="N1085" s="89">
        <v>1156.94</v>
      </c>
      <c r="O1085" s="89">
        <f t="shared" si="45"/>
        <v>13161.03</v>
      </c>
    </row>
    <row r="1086" spans="1:15">
      <c r="A1086" s="74" t="s">
        <v>113</v>
      </c>
      <c r="B1086" s="74" t="s">
        <v>273</v>
      </c>
      <c r="C1086" s="74" t="s">
        <v>274</v>
      </c>
      <c r="D1086" s="74" t="s">
        <v>86</v>
      </c>
      <c r="E1086" s="74" t="s">
        <v>88</v>
      </c>
      <c r="F1086" s="86" t="s">
        <v>255</v>
      </c>
      <c r="G1086" s="74" t="s">
        <v>268</v>
      </c>
      <c r="H1086" s="87">
        <v>44012</v>
      </c>
      <c r="I1086" s="98">
        <v>22</v>
      </c>
      <c r="J1086" s="98">
        <v>22</v>
      </c>
      <c r="K1086" s="89">
        <f t="shared" si="44"/>
        <v>1</v>
      </c>
      <c r="L1086" s="89">
        <v>8400.63</v>
      </c>
      <c r="M1086" s="89">
        <v>3247.13</v>
      </c>
      <c r="N1086" s="89">
        <v>1023.35</v>
      </c>
      <c r="O1086" s="89">
        <f t="shared" si="45"/>
        <v>12671.11</v>
      </c>
    </row>
    <row r="1087" spans="1:15">
      <c r="A1087" s="74" t="s">
        <v>113</v>
      </c>
      <c r="B1087" s="74" t="s">
        <v>275</v>
      </c>
      <c r="C1087" s="74" t="s">
        <v>276</v>
      </c>
      <c r="D1087" s="74" t="s">
        <v>86</v>
      </c>
      <c r="E1087" s="74" t="s">
        <v>88</v>
      </c>
      <c r="F1087" s="86" t="s">
        <v>258</v>
      </c>
      <c r="G1087" s="74" t="s">
        <v>268</v>
      </c>
      <c r="H1087" s="87">
        <v>44012</v>
      </c>
      <c r="I1087" s="98">
        <v>22</v>
      </c>
      <c r="J1087" s="98">
        <v>22</v>
      </c>
      <c r="K1087" s="89">
        <f t="shared" si="44"/>
        <v>1</v>
      </c>
      <c r="L1087" s="89">
        <v>7323.64</v>
      </c>
      <c r="M1087" s="89">
        <v>3202.99</v>
      </c>
      <c r="N1087" s="89">
        <v>982.58</v>
      </c>
      <c r="O1087" s="89">
        <f t="shared" si="45"/>
        <v>11509.21</v>
      </c>
    </row>
    <row r="1088" spans="1:15">
      <c r="A1088" s="74" t="s">
        <v>113</v>
      </c>
      <c r="B1088" s="74" t="s">
        <v>277</v>
      </c>
      <c r="C1088" s="74" t="s">
        <v>278</v>
      </c>
      <c r="D1088" s="74" t="s">
        <v>86</v>
      </c>
      <c r="E1088" s="74" t="s">
        <v>89</v>
      </c>
      <c r="F1088" s="86" t="s">
        <v>279</v>
      </c>
      <c r="G1088" s="74" t="s">
        <v>280</v>
      </c>
      <c r="H1088" s="87">
        <v>44012</v>
      </c>
      <c r="I1088" s="98">
        <v>22</v>
      </c>
      <c r="J1088" s="98">
        <v>22</v>
      </c>
      <c r="K1088" s="89">
        <f t="shared" si="44"/>
        <v>1</v>
      </c>
      <c r="L1088" s="89">
        <v>12010.93</v>
      </c>
      <c r="M1088" s="89">
        <v>3270.38</v>
      </c>
      <c r="N1088" s="89">
        <v>1574.69</v>
      </c>
      <c r="O1088" s="89">
        <f t="shared" si="45"/>
        <v>16856</v>
      </c>
    </row>
    <row r="1089" spans="1:15">
      <c r="A1089" s="74" t="s">
        <v>113</v>
      </c>
      <c r="B1089" s="74" t="s">
        <v>281</v>
      </c>
      <c r="C1089" s="74" t="s">
        <v>282</v>
      </c>
      <c r="D1089" s="74" t="s">
        <v>86</v>
      </c>
      <c r="E1089" s="74" t="s">
        <v>89</v>
      </c>
      <c r="F1089" s="86" t="s">
        <v>225</v>
      </c>
      <c r="G1089" s="74" t="s">
        <v>283</v>
      </c>
      <c r="H1089" s="87">
        <v>44012</v>
      </c>
      <c r="I1089" s="98">
        <v>22</v>
      </c>
      <c r="J1089" s="98">
        <v>22</v>
      </c>
      <c r="K1089" s="89">
        <f t="shared" si="44"/>
        <v>1</v>
      </c>
      <c r="L1089" s="89">
        <v>8450.51</v>
      </c>
      <c r="M1089" s="89">
        <v>3096.45</v>
      </c>
      <c r="N1089" s="89">
        <v>1084.74</v>
      </c>
      <c r="O1089" s="89">
        <f t="shared" si="45"/>
        <v>12631.7</v>
      </c>
    </row>
    <row r="1090" spans="1:15">
      <c r="A1090" s="74" t="s">
        <v>113</v>
      </c>
      <c r="B1090" s="74" t="s">
        <v>284</v>
      </c>
      <c r="C1090" s="74" t="s">
        <v>285</v>
      </c>
      <c r="D1090" s="74" t="s">
        <v>86</v>
      </c>
      <c r="E1090" s="74" t="s">
        <v>89</v>
      </c>
      <c r="F1090" s="86" t="s">
        <v>208</v>
      </c>
      <c r="G1090" s="74" t="s">
        <v>283</v>
      </c>
      <c r="H1090" s="87">
        <v>44012</v>
      </c>
      <c r="I1090" s="98">
        <v>22</v>
      </c>
      <c r="J1090" s="98">
        <v>22</v>
      </c>
      <c r="K1090" s="89">
        <f t="shared" si="44"/>
        <v>1</v>
      </c>
      <c r="L1090" s="89">
        <v>7658.55</v>
      </c>
      <c r="M1090" s="89">
        <v>3102.61</v>
      </c>
      <c r="N1090" s="89">
        <v>922.41</v>
      </c>
      <c r="O1090" s="89">
        <f t="shared" si="45"/>
        <v>11683.57</v>
      </c>
    </row>
    <row r="1091" spans="1:15">
      <c r="A1091" s="74" t="s">
        <v>113</v>
      </c>
      <c r="B1091" s="74" t="s">
        <v>286</v>
      </c>
      <c r="C1091" s="74" t="s">
        <v>287</v>
      </c>
      <c r="D1091" s="74" t="s">
        <v>82</v>
      </c>
      <c r="E1091" s="88" t="s">
        <v>85</v>
      </c>
      <c r="F1091" s="86" t="s">
        <v>288</v>
      </c>
      <c r="G1091" s="74" t="s">
        <v>289</v>
      </c>
      <c r="H1091" s="87">
        <v>44012</v>
      </c>
      <c r="I1091" s="98">
        <v>22</v>
      </c>
      <c r="J1091" s="98">
        <v>22</v>
      </c>
      <c r="K1091" s="89">
        <f t="shared" ref="K1091:K1099" si="46">I1091/J1091</f>
        <v>1</v>
      </c>
      <c r="L1091" s="89">
        <v>12957.09</v>
      </c>
      <c r="M1091" s="89">
        <v>3093.84</v>
      </c>
      <c r="N1091" s="89">
        <v>1293.5</v>
      </c>
      <c r="O1091" s="89">
        <f t="shared" si="45"/>
        <v>17344.43</v>
      </c>
    </row>
    <row r="1092" spans="1:15">
      <c r="A1092" s="74" t="s">
        <v>113</v>
      </c>
      <c r="B1092" s="74" t="s">
        <v>290</v>
      </c>
      <c r="C1092" s="74" t="s">
        <v>291</v>
      </c>
      <c r="D1092" s="74" t="s">
        <v>82</v>
      </c>
      <c r="E1092" s="88" t="s">
        <v>85</v>
      </c>
      <c r="F1092" s="86" t="s">
        <v>218</v>
      </c>
      <c r="G1092" s="74" t="s">
        <v>289</v>
      </c>
      <c r="H1092" s="87">
        <v>44012</v>
      </c>
      <c r="I1092" s="98">
        <v>22</v>
      </c>
      <c r="J1092" s="98">
        <v>22</v>
      </c>
      <c r="K1092" s="89">
        <f t="shared" si="46"/>
        <v>1</v>
      </c>
      <c r="L1092" s="89">
        <v>11232.71</v>
      </c>
      <c r="M1092" s="89">
        <v>3079.75</v>
      </c>
      <c r="N1092" s="89">
        <v>1106.99</v>
      </c>
      <c r="O1092" s="89">
        <f t="shared" si="45"/>
        <v>15419.45</v>
      </c>
    </row>
    <row r="1093" spans="1:15">
      <c r="A1093" s="74" t="s">
        <v>113</v>
      </c>
      <c r="B1093" s="74" t="s">
        <v>292</v>
      </c>
      <c r="C1093" s="74" t="s">
        <v>293</v>
      </c>
      <c r="D1093" s="74" t="s">
        <v>82</v>
      </c>
      <c r="E1093" s="88" t="s">
        <v>85</v>
      </c>
      <c r="F1093" s="86" t="s">
        <v>225</v>
      </c>
      <c r="G1093" s="74" t="s">
        <v>289</v>
      </c>
      <c r="H1093" s="87">
        <v>44012</v>
      </c>
      <c r="I1093" s="98">
        <v>22</v>
      </c>
      <c r="J1093" s="98">
        <v>22</v>
      </c>
      <c r="K1093" s="89">
        <f t="shared" si="46"/>
        <v>1</v>
      </c>
      <c r="L1093" s="89">
        <v>10844.13</v>
      </c>
      <c r="M1093" s="89">
        <v>3083.39</v>
      </c>
      <c r="N1093" s="89">
        <v>1043.04</v>
      </c>
      <c r="O1093" s="89">
        <f t="shared" ref="O1093:O1156" si="47">SUM(L1093:N1093)</f>
        <v>14970.56</v>
      </c>
    </row>
    <row r="1094" spans="1:15">
      <c r="A1094" s="74" t="s">
        <v>113</v>
      </c>
      <c r="B1094" s="74" t="s">
        <v>294</v>
      </c>
      <c r="C1094" s="74" t="s">
        <v>295</v>
      </c>
      <c r="D1094" s="74" t="s">
        <v>82</v>
      </c>
      <c r="E1094" s="88" t="s">
        <v>85</v>
      </c>
      <c r="F1094" s="86" t="s">
        <v>208</v>
      </c>
      <c r="G1094" s="74" t="s">
        <v>289</v>
      </c>
      <c r="H1094" s="87">
        <v>44012</v>
      </c>
      <c r="I1094" s="98">
        <v>22</v>
      </c>
      <c r="J1094" s="98">
        <v>22</v>
      </c>
      <c r="K1094" s="89">
        <f t="shared" si="46"/>
        <v>1</v>
      </c>
      <c r="L1094" s="89">
        <v>9027.34</v>
      </c>
      <c r="M1094" s="89">
        <v>3233.29</v>
      </c>
      <c r="N1094" s="89">
        <v>979.55</v>
      </c>
      <c r="O1094" s="89">
        <f t="shared" si="47"/>
        <v>13240.18</v>
      </c>
    </row>
    <row r="1095" spans="1:15">
      <c r="A1095" s="74" t="s">
        <v>113</v>
      </c>
      <c r="B1095" s="74" t="s">
        <v>296</v>
      </c>
      <c r="C1095" s="74" t="s">
        <v>297</v>
      </c>
      <c r="D1095" s="74" t="s">
        <v>82</v>
      </c>
      <c r="E1095" s="88" t="s">
        <v>85</v>
      </c>
      <c r="F1095" s="86" t="s">
        <v>116</v>
      </c>
      <c r="G1095" s="74" t="s">
        <v>289</v>
      </c>
      <c r="H1095" s="87">
        <v>44012</v>
      </c>
      <c r="I1095" s="98">
        <v>22</v>
      </c>
      <c r="J1095" s="98">
        <v>22</v>
      </c>
      <c r="K1095" s="89">
        <f t="shared" si="46"/>
        <v>1</v>
      </c>
      <c r="L1095" s="89">
        <v>8656.48</v>
      </c>
      <c r="M1095" s="89">
        <v>3047.99</v>
      </c>
      <c r="N1095" s="89">
        <v>859.92</v>
      </c>
      <c r="O1095" s="89">
        <f t="shared" si="47"/>
        <v>12564.39</v>
      </c>
    </row>
    <row r="1096" spans="1:15">
      <c r="A1096" s="74" t="s">
        <v>113</v>
      </c>
      <c r="B1096" s="74" t="s">
        <v>298</v>
      </c>
      <c r="C1096" s="74" t="s">
        <v>299</v>
      </c>
      <c r="D1096" s="74" t="s">
        <v>82</v>
      </c>
      <c r="E1096" s="88" t="s">
        <v>85</v>
      </c>
      <c r="F1096" s="86" t="s">
        <v>279</v>
      </c>
      <c r="G1096" s="74" t="s">
        <v>300</v>
      </c>
      <c r="H1096" s="87">
        <v>44012</v>
      </c>
      <c r="I1096" s="98">
        <v>22</v>
      </c>
      <c r="J1096" s="98">
        <v>22</v>
      </c>
      <c r="K1096" s="89">
        <f t="shared" si="46"/>
        <v>1</v>
      </c>
      <c r="L1096" s="89">
        <v>16458.98</v>
      </c>
      <c r="M1096" s="89">
        <v>3225.08</v>
      </c>
      <c r="N1096" s="89">
        <v>1608.09</v>
      </c>
      <c r="O1096" s="89">
        <f t="shared" si="47"/>
        <v>21292.15</v>
      </c>
    </row>
    <row r="1097" spans="1:15">
      <c r="A1097" s="74" t="s">
        <v>113</v>
      </c>
      <c r="B1097" s="74" t="s">
        <v>301</v>
      </c>
      <c r="C1097" s="74" t="s">
        <v>302</v>
      </c>
      <c r="D1097" s="74" t="s">
        <v>82</v>
      </c>
      <c r="E1097" s="88" t="s">
        <v>85</v>
      </c>
      <c r="F1097" s="86" t="s">
        <v>279</v>
      </c>
      <c r="G1097" s="74" t="s">
        <v>303</v>
      </c>
      <c r="H1097" s="87">
        <v>44012</v>
      </c>
      <c r="I1097" s="98">
        <v>22</v>
      </c>
      <c r="J1097" s="98">
        <v>22</v>
      </c>
      <c r="K1097" s="89">
        <f t="shared" si="46"/>
        <v>1</v>
      </c>
      <c r="L1097" s="89">
        <v>16098.63</v>
      </c>
      <c r="M1097" s="89">
        <v>3164.35</v>
      </c>
      <c r="N1097" s="89">
        <v>1555.61</v>
      </c>
      <c r="O1097" s="89">
        <f t="shared" si="47"/>
        <v>20818.59</v>
      </c>
    </row>
    <row r="1098" spans="1:15">
      <c r="A1098" s="74" t="s">
        <v>113</v>
      </c>
      <c r="B1098" s="74" t="s">
        <v>304</v>
      </c>
      <c r="C1098" s="74" t="s">
        <v>305</v>
      </c>
      <c r="D1098" s="74" t="s">
        <v>86</v>
      </c>
      <c r="E1098" s="74" t="s">
        <v>90</v>
      </c>
      <c r="F1098" s="86" t="s">
        <v>306</v>
      </c>
      <c r="G1098" s="74" t="s">
        <v>307</v>
      </c>
      <c r="H1098" s="87">
        <v>44012</v>
      </c>
      <c r="I1098" s="98">
        <v>22</v>
      </c>
      <c r="J1098" s="98">
        <v>22</v>
      </c>
      <c r="K1098" s="89">
        <f t="shared" si="46"/>
        <v>1</v>
      </c>
      <c r="L1098" s="89">
        <v>17139.22</v>
      </c>
      <c r="M1098" s="89">
        <v>3019.48</v>
      </c>
      <c r="N1098" s="89">
        <v>2089.64</v>
      </c>
      <c r="O1098" s="89">
        <f t="shared" si="47"/>
        <v>22248.34</v>
      </c>
    </row>
    <row r="1099" spans="1:15">
      <c r="A1099" s="74" t="s">
        <v>113</v>
      </c>
      <c r="B1099" s="74" t="s">
        <v>114</v>
      </c>
      <c r="C1099" s="74" t="s">
        <v>115</v>
      </c>
      <c r="D1099" s="74" t="s">
        <v>79</v>
      </c>
      <c r="E1099" s="74" t="s">
        <v>80</v>
      </c>
      <c r="F1099" s="86" t="s">
        <v>116</v>
      </c>
      <c r="G1099" s="74" t="s">
        <v>117</v>
      </c>
      <c r="H1099" s="87">
        <v>44043</v>
      </c>
      <c r="I1099" s="98">
        <v>22</v>
      </c>
      <c r="J1099" s="98">
        <v>22</v>
      </c>
      <c r="K1099" s="89">
        <f t="shared" si="46"/>
        <v>1</v>
      </c>
      <c r="L1099" s="89">
        <v>8750.62</v>
      </c>
      <c r="M1099" s="89">
        <v>3122.04</v>
      </c>
      <c r="N1099" s="89">
        <v>858.42</v>
      </c>
      <c r="O1099" s="89">
        <f t="shared" si="47"/>
        <v>12731.08</v>
      </c>
    </row>
    <row r="1100" spans="1:15">
      <c r="A1100" s="74" t="s">
        <v>113</v>
      </c>
      <c r="B1100" s="74" t="s">
        <v>118</v>
      </c>
      <c r="C1100" s="74" t="s">
        <v>119</v>
      </c>
      <c r="D1100" s="74" t="s">
        <v>79</v>
      </c>
      <c r="E1100" s="74" t="s">
        <v>80</v>
      </c>
      <c r="F1100" s="86" t="s">
        <v>120</v>
      </c>
      <c r="G1100" s="74" t="s">
        <v>117</v>
      </c>
      <c r="H1100" s="87">
        <v>44043</v>
      </c>
      <c r="I1100" s="98">
        <v>22</v>
      </c>
      <c r="J1100" s="98">
        <v>22</v>
      </c>
      <c r="K1100" s="89">
        <f t="shared" ref="K1100:K1163" si="48">I1100/J1100</f>
        <v>1</v>
      </c>
      <c r="L1100" s="89">
        <v>7408.5</v>
      </c>
      <c r="M1100" s="89">
        <v>3168.73</v>
      </c>
      <c r="N1100" s="89">
        <v>763.15</v>
      </c>
      <c r="O1100" s="89">
        <f t="shared" si="47"/>
        <v>11340.38</v>
      </c>
    </row>
    <row r="1101" spans="1:15">
      <c r="A1101" s="74" t="s">
        <v>113</v>
      </c>
      <c r="B1101" s="74" t="s">
        <v>121</v>
      </c>
      <c r="C1101" s="74" t="s">
        <v>122</v>
      </c>
      <c r="D1101" s="74" t="s">
        <v>79</v>
      </c>
      <c r="E1101" s="74" t="s">
        <v>80</v>
      </c>
      <c r="F1101" s="86" t="s">
        <v>123</v>
      </c>
      <c r="G1101" s="74" t="s">
        <v>117</v>
      </c>
      <c r="H1101" s="87">
        <v>44043</v>
      </c>
      <c r="I1101" s="98">
        <v>22</v>
      </c>
      <c r="J1101" s="98">
        <v>22</v>
      </c>
      <c r="K1101" s="89">
        <f t="shared" si="48"/>
        <v>1</v>
      </c>
      <c r="L1101" s="89">
        <v>6313.2</v>
      </c>
      <c r="M1101" s="89">
        <v>3162.47</v>
      </c>
      <c r="N1101" s="89">
        <v>612.47</v>
      </c>
      <c r="O1101" s="89">
        <f t="shared" si="47"/>
        <v>10088.14</v>
      </c>
    </row>
    <row r="1102" spans="1:15">
      <c r="A1102" s="74" t="s">
        <v>113</v>
      </c>
      <c r="B1102" s="74" t="s">
        <v>124</v>
      </c>
      <c r="C1102" s="74" t="s">
        <v>125</v>
      </c>
      <c r="D1102" s="74" t="s">
        <v>79</v>
      </c>
      <c r="E1102" s="74" t="s">
        <v>80</v>
      </c>
      <c r="F1102" s="86" t="s">
        <v>116</v>
      </c>
      <c r="G1102" s="74" t="s">
        <v>117</v>
      </c>
      <c r="H1102" s="87">
        <v>44043</v>
      </c>
      <c r="I1102" s="98">
        <v>22</v>
      </c>
      <c r="J1102" s="98">
        <v>22</v>
      </c>
      <c r="K1102" s="89">
        <f t="shared" si="48"/>
        <v>1</v>
      </c>
      <c r="L1102" s="89">
        <v>8734.69</v>
      </c>
      <c r="M1102" s="89">
        <v>3155.83</v>
      </c>
      <c r="N1102" s="89">
        <v>879.32</v>
      </c>
      <c r="O1102" s="89">
        <f t="shared" si="47"/>
        <v>12769.84</v>
      </c>
    </row>
    <row r="1103" spans="1:15">
      <c r="A1103" s="74" t="s">
        <v>113</v>
      </c>
      <c r="B1103" s="74" t="s">
        <v>126</v>
      </c>
      <c r="C1103" s="74" t="s">
        <v>127</v>
      </c>
      <c r="D1103" s="74" t="s">
        <v>79</v>
      </c>
      <c r="E1103" s="74" t="s">
        <v>80</v>
      </c>
      <c r="F1103" s="86" t="s">
        <v>120</v>
      </c>
      <c r="G1103" s="74" t="s">
        <v>117</v>
      </c>
      <c r="H1103" s="87">
        <v>44043</v>
      </c>
      <c r="I1103" s="98">
        <v>22</v>
      </c>
      <c r="J1103" s="98">
        <v>22</v>
      </c>
      <c r="K1103" s="89">
        <f t="shared" si="48"/>
        <v>1</v>
      </c>
      <c r="L1103" s="89">
        <v>7436.58</v>
      </c>
      <c r="M1103" s="89">
        <v>3152.04</v>
      </c>
      <c r="N1103" s="89">
        <v>729.56</v>
      </c>
      <c r="O1103" s="89">
        <f t="shared" si="47"/>
        <v>11318.18</v>
      </c>
    </row>
    <row r="1104" spans="1:15">
      <c r="A1104" s="74" t="s">
        <v>113</v>
      </c>
      <c r="B1104" s="74" t="s">
        <v>128</v>
      </c>
      <c r="C1104" s="74" t="s">
        <v>129</v>
      </c>
      <c r="D1104" s="74" t="s">
        <v>79</v>
      </c>
      <c r="E1104" s="74" t="s">
        <v>80</v>
      </c>
      <c r="F1104" s="86" t="s">
        <v>123</v>
      </c>
      <c r="G1104" s="74" t="s">
        <v>117</v>
      </c>
      <c r="H1104" s="87">
        <v>44043</v>
      </c>
      <c r="I1104" s="98">
        <v>22</v>
      </c>
      <c r="J1104" s="98">
        <v>22</v>
      </c>
      <c r="K1104" s="89">
        <f t="shared" si="48"/>
        <v>1</v>
      </c>
      <c r="L1104" s="89">
        <v>6577.29</v>
      </c>
      <c r="M1104" s="89">
        <v>3036.72</v>
      </c>
      <c r="N1104" s="89">
        <v>638.33</v>
      </c>
      <c r="O1104" s="89">
        <f t="shared" si="47"/>
        <v>10252.34</v>
      </c>
    </row>
    <row r="1105" spans="1:15">
      <c r="A1105" s="74" t="s">
        <v>113</v>
      </c>
      <c r="B1105" s="74" t="s">
        <v>130</v>
      </c>
      <c r="C1105" s="74" t="s">
        <v>131</v>
      </c>
      <c r="D1105" s="74" t="s">
        <v>79</v>
      </c>
      <c r="E1105" s="74" t="s">
        <v>80</v>
      </c>
      <c r="F1105" s="86" t="s">
        <v>116</v>
      </c>
      <c r="G1105" s="74" t="s">
        <v>117</v>
      </c>
      <c r="H1105" s="87">
        <v>44043</v>
      </c>
      <c r="I1105" s="98">
        <v>22</v>
      </c>
      <c r="J1105" s="98">
        <v>22</v>
      </c>
      <c r="K1105" s="89">
        <f t="shared" si="48"/>
        <v>1</v>
      </c>
      <c r="L1105" s="89">
        <v>8088.24</v>
      </c>
      <c r="M1105" s="89">
        <v>3293.6</v>
      </c>
      <c r="N1105" s="89">
        <v>846.24</v>
      </c>
      <c r="O1105" s="89">
        <f t="shared" si="47"/>
        <v>12228.08</v>
      </c>
    </row>
    <row r="1106" spans="1:15">
      <c r="A1106" s="74" t="s">
        <v>113</v>
      </c>
      <c r="B1106" s="74" t="s">
        <v>132</v>
      </c>
      <c r="C1106" s="74" t="s">
        <v>133</v>
      </c>
      <c r="D1106" s="74" t="s">
        <v>79</v>
      </c>
      <c r="E1106" s="74" t="s">
        <v>80</v>
      </c>
      <c r="F1106" s="86" t="s">
        <v>120</v>
      </c>
      <c r="G1106" s="74" t="s">
        <v>117</v>
      </c>
      <c r="H1106" s="87">
        <v>44043</v>
      </c>
      <c r="I1106" s="98">
        <v>22</v>
      </c>
      <c r="J1106" s="98">
        <v>22</v>
      </c>
      <c r="K1106" s="89">
        <f t="shared" si="48"/>
        <v>1</v>
      </c>
      <c r="L1106" s="89">
        <v>7045.39</v>
      </c>
      <c r="M1106" s="89">
        <v>3284.3</v>
      </c>
      <c r="N1106" s="89">
        <v>733.32</v>
      </c>
      <c r="O1106" s="89">
        <f t="shared" si="47"/>
        <v>11063.01</v>
      </c>
    </row>
    <row r="1107" spans="1:15">
      <c r="A1107" s="74" t="s">
        <v>113</v>
      </c>
      <c r="B1107" s="74" t="s">
        <v>134</v>
      </c>
      <c r="C1107" s="74" t="s">
        <v>135</v>
      </c>
      <c r="D1107" s="74" t="s">
        <v>79</v>
      </c>
      <c r="E1107" s="74" t="s">
        <v>80</v>
      </c>
      <c r="F1107" s="86" t="s">
        <v>123</v>
      </c>
      <c r="G1107" s="74" t="s">
        <v>117</v>
      </c>
      <c r="H1107" s="87">
        <v>44043</v>
      </c>
      <c r="I1107" s="98">
        <v>22</v>
      </c>
      <c r="J1107" s="98">
        <v>22</v>
      </c>
      <c r="K1107" s="89">
        <f t="shared" si="48"/>
        <v>1</v>
      </c>
      <c r="L1107" s="89">
        <v>6144.3</v>
      </c>
      <c r="M1107" s="89">
        <v>3082.98</v>
      </c>
      <c r="N1107" s="89">
        <v>625.14</v>
      </c>
      <c r="O1107" s="89">
        <f t="shared" si="47"/>
        <v>9852.42</v>
      </c>
    </row>
    <row r="1108" spans="1:15">
      <c r="A1108" s="74" t="s">
        <v>113</v>
      </c>
      <c r="B1108" s="74" t="s">
        <v>136</v>
      </c>
      <c r="C1108" s="74" t="s">
        <v>137</v>
      </c>
      <c r="D1108" s="74" t="s">
        <v>79</v>
      </c>
      <c r="E1108" s="74" t="s">
        <v>80</v>
      </c>
      <c r="F1108" s="86" t="s">
        <v>116</v>
      </c>
      <c r="G1108" s="74" t="s">
        <v>138</v>
      </c>
      <c r="H1108" s="87">
        <v>44043</v>
      </c>
      <c r="I1108" s="98">
        <v>22</v>
      </c>
      <c r="J1108" s="98">
        <v>22</v>
      </c>
      <c r="K1108" s="89">
        <f t="shared" si="48"/>
        <v>1</v>
      </c>
      <c r="L1108" s="89">
        <v>8361.43</v>
      </c>
      <c r="M1108" s="89">
        <v>3119.11</v>
      </c>
      <c r="N1108" s="89">
        <v>822.16</v>
      </c>
      <c r="O1108" s="89">
        <f t="shared" si="47"/>
        <v>12302.7</v>
      </c>
    </row>
    <row r="1109" spans="1:15">
      <c r="A1109" s="74" t="s">
        <v>113</v>
      </c>
      <c r="B1109" s="74" t="s">
        <v>139</v>
      </c>
      <c r="C1109" s="74" t="s">
        <v>140</v>
      </c>
      <c r="D1109" s="74" t="s">
        <v>79</v>
      </c>
      <c r="E1109" s="74" t="s">
        <v>80</v>
      </c>
      <c r="F1109" s="86" t="s">
        <v>120</v>
      </c>
      <c r="G1109" s="74" t="s">
        <v>138</v>
      </c>
      <c r="H1109" s="87">
        <v>44043</v>
      </c>
      <c r="I1109" s="98">
        <v>22</v>
      </c>
      <c r="J1109" s="98">
        <v>22</v>
      </c>
      <c r="K1109" s="89">
        <f t="shared" si="48"/>
        <v>1</v>
      </c>
      <c r="L1109" s="89">
        <v>7538.74</v>
      </c>
      <c r="M1109" s="89">
        <v>3085.46</v>
      </c>
      <c r="N1109" s="89">
        <v>705.54</v>
      </c>
      <c r="O1109" s="89">
        <f t="shared" si="47"/>
        <v>11329.74</v>
      </c>
    </row>
    <row r="1110" spans="1:15">
      <c r="A1110" s="74" t="s">
        <v>113</v>
      </c>
      <c r="B1110" s="74" t="s">
        <v>141</v>
      </c>
      <c r="C1110" s="74" t="s">
        <v>142</v>
      </c>
      <c r="D1110" s="74" t="s">
        <v>79</v>
      </c>
      <c r="E1110" s="74" t="s">
        <v>80</v>
      </c>
      <c r="F1110" s="86" t="s">
        <v>123</v>
      </c>
      <c r="G1110" s="74" t="s">
        <v>138</v>
      </c>
      <c r="H1110" s="87">
        <v>44043</v>
      </c>
      <c r="I1110" s="98">
        <v>22</v>
      </c>
      <c r="J1110" s="98">
        <v>22</v>
      </c>
      <c r="K1110" s="89">
        <f t="shared" si="48"/>
        <v>1</v>
      </c>
      <c r="L1110" s="89">
        <v>6563.78</v>
      </c>
      <c r="M1110" s="89">
        <v>3227.96</v>
      </c>
      <c r="N1110" s="89">
        <v>651.94</v>
      </c>
      <c r="O1110" s="89">
        <f t="shared" si="47"/>
        <v>10443.68</v>
      </c>
    </row>
    <row r="1111" spans="1:15">
      <c r="A1111" s="74" t="s">
        <v>113</v>
      </c>
      <c r="B1111" s="74" t="s">
        <v>143</v>
      </c>
      <c r="C1111" s="74" t="s">
        <v>144</v>
      </c>
      <c r="D1111" s="74" t="s">
        <v>79</v>
      </c>
      <c r="E1111" s="74" t="s">
        <v>80</v>
      </c>
      <c r="F1111" s="86" t="s">
        <v>145</v>
      </c>
      <c r="G1111" s="74" t="s">
        <v>146</v>
      </c>
      <c r="H1111" s="87">
        <v>44043</v>
      </c>
      <c r="I1111" s="98">
        <v>22</v>
      </c>
      <c r="J1111" s="98">
        <v>22</v>
      </c>
      <c r="K1111" s="89">
        <f t="shared" si="48"/>
        <v>1</v>
      </c>
      <c r="L1111" s="89">
        <v>19063.27</v>
      </c>
      <c r="M1111" s="89">
        <v>3232.3</v>
      </c>
      <c r="N1111" s="89">
        <v>2076.28</v>
      </c>
      <c r="O1111" s="89">
        <f t="shared" si="47"/>
        <v>24371.85</v>
      </c>
    </row>
    <row r="1112" spans="1:15">
      <c r="A1112" s="74" t="s">
        <v>113</v>
      </c>
      <c r="B1112" s="74" t="s">
        <v>147</v>
      </c>
      <c r="C1112" s="74" t="s">
        <v>148</v>
      </c>
      <c r="D1112" s="74" t="s">
        <v>79</v>
      </c>
      <c r="E1112" s="74" t="s">
        <v>80</v>
      </c>
      <c r="F1112" s="86" t="s">
        <v>149</v>
      </c>
      <c r="G1112" s="74" t="s">
        <v>150</v>
      </c>
      <c r="H1112" s="87">
        <v>44043</v>
      </c>
      <c r="I1112" s="98">
        <v>22</v>
      </c>
      <c r="J1112" s="98">
        <v>22</v>
      </c>
      <c r="K1112" s="89">
        <f t="shared" si="48"/>
        <v>1</v>
      </c>
      <c r="L1112" s="89">
        <v>18358.77</v>
      </c>
      <c r="M1112" s="89">
        <v>3161.98</v>
      </c>
      <c r="N1112" s="89">
        <v>1751.59</v>
      </c>
      <c r="O1112" s="89">
        <f t="shared" si="47"/>
        <v>23272.34</v>
      </c>
    </row>
    <row r="1113" spans="1:15">
      <c r="A1113" s="74" t="s">
        <v>113</v>
      </c>
      <c r="B1113" s="74" t="s">
        <v>151</v>
      </c>
      <c r="C1113" s="74" t="s">
        <v>152</v>
      </c>
      <c r="D1113" s="74" t="s">
        <v>79</v>
      </c>
      <c r="E1113" s="74" t="s">
        <v>81</v>
      </c>
      <c r="F1113" s="86" t="s">
        <v>123</v>
      </c>
      <c r="G1113" s="74" t="s">
        <v>153</v>
      </c>
      <c r="H1113" s="87">
        <v>44043</v>
      </c>
      <c r="I1113" s="98">
        <v>22</v>
      </c>
      <c r="J1113" s="98">
        <v>22</v>
      </c>
      <c r="K1113" s="89">
        <f t="shared" si="48"/>
        <v>1</v>
      </c>
      <c r="L1113" s="89">
        <v>6433.91</v>
      </c>
      <c r="M1113" s="89">
        <v>3121.13</v>
      </c>
      <c r="N1113" s="89">
        <v>610.57</v>
      </c>
      <c r="O1113" s="89">
        <f t="shared" si="47"/>
        <v>10165.61</v>
      </c>
    </row>
    <row r="1114" spans="1:15">
      <c r="A1114" s="74" t="s">
        <v>113</v>
      </c>
      <c r="B1114" s="74" t="s">
        <v>154</v>
      </c>
      <c r="C1114" s="74" t="s">
        <v>155</v>
      </c>
      <c r="D1114" s="74" t="s">
        <v>79</v>
      </c>
      <c r="E1114" s="74" t="s">
        <v>81</v>
      </c>
      <c r="F1114" s="86" t="s">
        <v>156</v>
      </c>
      <c r="G1114" s="74" t="s">
        <v>157</v>
      </c>
      <c r="H1114" s="87">
        <v>44043</v>
      </c>
      <c r="I1114" s="98">
        <v>22</v>
      </c>
      <c r="J1114" s="98">
        <v>22</v>
      </c>
      <c r="K1114" s="89">
        <f t="shared" si="48"/>
        <v>1</v>
      </c>
      <c r="L1114" s="89">
        <v>5429.88</v>
      </c>
      <c r="M1114" s="89">
        <v>3163.69</v>
      </c>
      <c r="N1114" s="89">
        <v>504.02</v>
      </c>
      <c r="O1114" s="89">
        <f t="shared" si="47"/>
        <v>9097.59</v>
      </c>
    </row>
    <row r="1115" spans="1:15">
      <c r="A1115" s="74" t="s">
        <v>113</v>
      </c>
      <c r="B1115" s="74" t="s">
        <v>158</v>
      </c>
      <c r="C1115" s="74" t="s">
        <v>159</v>
      </c>
      <c r="D1115" s="74" t="s">
        <v>79</v>
      </c>
      <c r="E1115" s="74" t="s">
        <v>81</v>
      </c>
      <c r="F1115" s="86" t="s">
        <v>160</v>
      </c>
      <c r="G1115" s="74" t="s">
        <v>161</v>
      </c>
      <c r="H1115" s="87">
        <v>44043</v>
      </c>
      <c r="I1115" s="98">
        <v>22</v>
      </c>
      <c r="J1115" s="98">
        <v>22</v>
      </c>
      <c r="K1115" s="89">
        <f t="shared" si="48"/>
        <v>1</v>
      </c>
      <c r="L1115" s="89">
        <v>4260.82</v>
      </c>
      <c r="M1115" s="89">
        <v>3150.98</v>
      </c>
      <c r="N1115" s="89">
        <v>422.86</v>
      </c>
      <c r="O1115" s="89">
        <f t="shared" si="47"/>
        <v>7834.66</v>
      </c>
    </row>
    <row r="1116" spans="1:15">
      <c r="A1116" s="74" t="s">
        <v>113</v>
      </c>
      <c r="B1116" s="74" t="s">
        <v>162</v>
      </c>
      <c r="C1116" s="74" t="s">
        <v>163</v>
      </c>
      <c r="D1116" s="74" t="s">
        <v>79</v>
      </c>
      <c r="E1116" s="74" t="s">
        <v>81</v>
      </c>
      <c r="F1116" s="86" t="s">
        <v>123</v>
      </c>
      <c r="G1116" s="74" t="s">
        <v>153</v>
      </c>
      <c r="H1116" s="87">
        <v>44043</v>
      </c>
      <c r="I1116" s="98">
        <v>22</v>
      </c>
      <c r="J1116" s="98">
        <v>22</v>
      </c>
      <c r="K1116" s="89">
        <f t="shared" si="48"/>
        <v>1</v>
      </c>
      <c r="L1116" s="89">
        <v>6512.04</v>
      </c>
      <c r="M1116" s="89">
        <v>3226.28</v>
      </c>
      <c r="N1116" s="89">
        <v>604.56</v>
      </c>
      <c r="O1116" s="89">
        <f t="shared" si="47"/>
        <v>10342.88</v>
      </c>
    </row>
    <row r="1117" spans="1:15">
      <c r="A1117" s="74" t="s">
        <v>113</v>
      </c>
      <c r="B1117" s="74" t="s">
        <v>164</v>
      </c>
      <c r="C1117" s="74" t="s">
        <v>165</v>
      </c>
      <c r="D1117" s="74" t="s">
        <v>79</v>
      </c>
      <c r="E1117" s="74" t="s">
        <v>81</v>
      </c>
      <c r="F1117" s="86" t="s">
        <v>156</v>
      </c>
      <c r="G1117" s="74" t="s">
        <v>157</v>
      </c>
      <c r="H1117" s="87">
        <v>44043</v>
      </c>
      <c r="I1117" s="98">
        <v>22</v>
      </c>
      <c r="J1117" s="98">
        <v>22</v>
      </c>
      <c r="K1117" s="89">
        <f t="shared" si="48"/>
        <v>1</v>
      </c>
      <c r="L1117" s="89">
        <v>5187.76</v>
      </c>
      <c r="M1117" s="89">
        <v>3269.49</v>
      </c>
      <c r="N1117" s="89">
        <v>500</v>
      </c>
      <c r="O1117" s="89">
        <f t="shared" si="47"/>
        <v>8957.25</v>
      </c>
    </row>
    <row r="1118" spans="1:15">
      <c r="A1118" s="74" t="s">
        <v>113</v>
      </c>
      <c r="B1118" s="74" t="s">
        <v>166</v>
      </c>
      <c r="C1118" s="74" t="s">
        <v>167</v>
      </c>
      <c r="D1118" s="74" t="s">
        <v>79</v>
      </c>
      <c r="E1118" s="74" t="s">
        <v>81</v>
      </c>
      <c r="F1118" s="86" t="s">
        <v>160</v>
      </c>
      <c r="G1118" s="74" t="s">
        <v>161</v>
      </c>
      <c r="H1118" s="87">
        <v>44043</v>
      </c>
      <c r="I1118" s="98">
        <v>22</v>
      </c>
      <c r="J1118" s="98">
        <v>22</v>
      </c>
      <c r="K1118" s="89">
        <f t="shared" si="48"/>
        <v>1</v>
      </c>
      <c r="L1118" s="89">
        <v>4281.49</v>
      </c>
      <c r="M1118" s="89">
        <v>3109.5</v>
      </c>
      <c r="N1118" s="89">
        <v>427.7</v>
      </c>
      <c r="O1118" s="89">
        <f t="shared" si="47"/>
        <v>7818.69</v>
      </c>
    </row>
    <row r="1119" spans="1:15">
      <c r="A1119" s="74" t="s">
        <v>113</v>
      </c>
      <c r="B1119" s="74" t="s">
        <v>168</v>
      </c>
      <c r="C1119" s="74" t="s">
        <v>169</v>
      </c>
      <c r="D1119" s="74" t="s">
        <v>79</v>
      </c>
      <c r="E1119" s="74" t="s">
        <v>81</v>
      </c>
      <c r="F1119" s="86" t="s">
        <v>123</v>
      </c>
      <c r="G1119" s="74" t="s">
        <v>153</v>
      </c>
      <c r="H1119" s="87">
        <v>44043</v>
      </c>
      <c r="I1119" s="98">
        <v>22</v>
      </c>
      <c r="J1119" s="98">
        <v>22</v>
      </c>
      <c r="K1119" s="89">
        <f t="shared" si="48"/>
        <v>1</v>
      </c>
      <c r="L1119" s="89">
        <v>6575.53</v>
      </c>
      <c r="M1119" s="89">
        <v>3270.77</v>
      </c>
      <c r="N1119" s="89">
        <v>602.55</v>
      </c>
      <c r="O1119" s="89">
        <f t="shared" si="47"/>
        <v>10448.85</v>
      </c>
    </row>
    <row r="1120" spans="1:15">
      <c r="A1120" s="74" t="s">
        <v>113</v>
      </c>
      <c r="B1120" s="74" t="s">
        <v>170</v>
      </c>
      <c r="C1120" s="74" t="s">
        <v>171</v>
      </c>
      <c r="D1120" s="74" t="s">
        <v>79</v>
      </c>
      <c r="E1120" s="74" t="s">
        <v>81</v>
      </c>
      <c r="F1120" s="86" t="s">
        <v>156</v>
      </c>
      <c r="G1120" s="74" t="s">
        <v>157</v>
      </c>
      <c r="H1120" s="87">
        <v>44043</v>
      </c>
      <c r="I1120" s="98">
        <v>22</v>
      </c>
      <c r="J1120" s="98">
        <v>22</v>
      </c>
      <c r="K1120" s="89">
        <f t="shared" si="48"/>
        <v>1</v>
      </c>
      <c r="L1120" s="89">
        <v>5334.02</v>
      </c>
      <c r="M1120" s="89">
        <v>3054.96</v>
      </c>
      <c r="N1120" s="89">
        <v>513.94</v>
      </c>
      <c r="O1120" s="89">
        <f t="shared" si="47"/>
        <v>8902.92</v>
      </c>
    </row>
    <row r="1121" spans="1:15">
      <c r="A1121" s="74" t="s">
        <v>113</v>
      </c>
      <c r="B1121" s="74" t="s">
        <v>172</v>
      </c>
      <c r="C1121" s="74" t="s">
        <v>173</v>
      </c>
      <c r="D1121" s="74" t="s">
        <v>79</v>
      </c>
      <c r="E1121" s="74" t="s">
        <v>81</v>
      </c>
      <c r="F1121" s="86" t="s">
        <v>160</v>
      </c>
      <c r="G1121" s="74" t="s">
        <v>161</v>
      </c>
      <c r="H1121" s="87">
        <v>44043</v>
      </c>
      <c r="I1121" s="98">
        <v>22</v>
      </c>
      <c r="J1121" s="98">
        <v>22</v>
      </c>
      <c r="K1121" s="89">
        <f t="shared" si="48"/>
        <v>1</v>
      </c>
      <c r="L1121" s="89">
        <v>4119.66</v>
      </c>
      <c r="M1121" s="89">
        <v>3272.81</v>
      </c>
      <c r="N1121" s="89">
        <v>428.96</v>
      </c>
      <c r="O1121" s="89">
        <f t="shared" si="47"/>
        <v>7821.43</v>
      </c>
    </row>
    <row r="1122" spans="1:15">
      <c r="A1122" s="74" t="s">
        <v>113</v>
      </c>
      <c r="B1122" s="74" t="s">
        <v>174</v>
      </c>
      <c r="C1122" s="74" t="s">
        <v>175</v>
      </c>
      <c r="D1122" s="74" t="s">
        <v>79</v>
      </c>
      <c r="E1122" s="74" t="s">
        <v>81</v>
      </c>
      <c r="F1122" s="86" t="s">
        <v>176</v>
      </c>
      <c r="G1122" s="74" t="s">
        <v>177</v>
      </c>
      <c r="H1122" s="87">
        <v>44043</v>
      </c>
      <c r="I1122" s="98">
        <v>22</v>
      </c>
      <c r="J1122" s="98">
        <v>22</v>
      </c>
      <c r="K1122" s="89">
        <f t="shared" si="48"/>
        <v>1</v>
      </c>
      <c r="L1122" s="89">
        <v>3131.89</v>
      </c>
      <c r="M1122" s="89">
        <v>3012.77</v>
      </c>
      <c r="N1122" s="89">
        <v>311.44</v>
      </c>
      <c r="O1122" s="89">
        <f t="shared" si="47"/>
        <v>6456.1</v>
      </c>
    </row>
    <row r="1123" spans="1:15">
      <c r="A1123" s="74" t="s">
        <v>113</v>
      </c>
      <c r="B1123" s="74" t="s">
        <v>178</v>
      </c>
      <c r="C1123" s="74" t="s">
        <v>179</v>
      </c>
      <c r="D1123" s="74" t="s">
        <v>79</v>
      </c>
      <c r="E1123" s="74" t="s">
        <v>81</v>
      </c>
      <c r="F1123" s="86" t="s">
        <v>180</v>
      </c>
      <c r="G1123" s="74" t="s">
        <v>177</v>
      </c>
      <c r="H1123" s="87">
        <v>44043</v>
      </c>
      <c r="I1123" s="98">
        <v>22</v>
      </c>
      <c r="J1123" s="98">
        <v>22</v>
      </c>
      <c r="K1123" s="89">
        <f t="shared" si="48"/>
        <v>1</v>
      </c>
      <c r="L1123" s="89">
        <v>2142.11</v>
      </c>
      <c r="M1123" s="89">
        <v>3199.39</v>
      </c>
      <c r="N1123" s="89">
        <v>215.25</v>
      </c>
      <c r="O1123" s="89">
        <f t="shared" si="47"/>
        <v>5556.75</v>
      </c>
    </row>
    <row r="1124" spans="1:15">
      <c r="A1124" s="74" t="s">
        <v>113</v>
      </c>
      <c r="B1124" s="74" t="s">
        <v>181</v>
      </c>
      <c r="C1124" s="74" t="s">
        <v>182</v>
      </c>
      <c r="D1124" s="74" t="s">
        <v>79</v>
      </c>
      <c r="E1124" s="74" t="s">
        <v>81</v>
      </c>
      <c r="F1124" s="86" t="s">
        <v>183</v>
      </c>
      <c r="G1124" s="74" t="s">
        <v>177</v>
      </c>
      <c r="H1124" s="87">
        <v>44043</v>
      </c>
      <c r="I1124" s="98">
        <v>22</v>
      </c>
      <c r="J1124" s="98">
        <v>22</v>
      </c>
      <c r="K1124" s="89">
        <f t="shared" si="48"/>
        <v>1</v>
      </c>
      <c r="L1124" s="89">
        <v>1090.98</v>
      </c>
      <c r="M1124" s="89">
        <v>3099.2</v>
      </c>
      <c r="N1124" s="89">
        <v>107.99</v>
      </c>
      <c r="O1124" s="89">
        <f t="shared" si="47"/>
        <v>4298.17</v>
      </c>
    </row>
    <row r="1125" spans="1:15">
      <c r="A1125" s="74" t="s">
        <v>113</v>
      </c>
      <c r="B1125" s="74" t="s">
        <v>184</v>
      </c>
      <c r="C1125" s="74" t="s">
        <v>185</v>
      </c>
      <c r="D1125" s="74" t="s">
        <v>79</v>
      </c>
      <c r="E1125" s="74" t="s">
        <v>81</v>
      </c>
      <c r="F1125" s="86" t="s">
        <v>176</v>
      </c>
      <c r="G1125" s="74" t="s">
        <v>177</v>
      </c>
      <c r="H1125" s="87">
        <v>44043</v>
      </c>
      <c r="I1125" s="98">
        <v>22</v>
      </c>
      <c r="J1125" s="98">
        <v>22</v>
      </c>
      <c r="K1125" s="89">
        <f t="shared" si="48"/>
        <v>1</v>
      </c>
      <c r="L1125" s="89">
        <v>3135.89</v>
      </c>
      <c r="M1125" s="89">
        <v>3141.58</v>
      </c>
      <c r="N1125" s="89">
        <v>306.16</v>
      </c>
      <c r="O1125" s="89">
        <f t="shared" si="47"/>
        <v>6583.63</v>
      </c>
    </row>
    <row r="1126" spans="1:15">
      <c r="A1126" s="74" t="s">
        <v>113</v>
      </c>
      <c r="B1126" s="74" t="s">
        <v>186</v>
      </c>
      <c r="C1126" s="74" t="s">
        <v>187</v>
      </c>
      <c r="D1126" s="74" t="s">
        <v>79</v>
      </c>
      <c r="E1126" s="74" t="s">
        <v>81</v>
      </c>
      <c r="F1126" s="86" t="s">
        <v>180</v>
      </c>
      <c r="G1126" s="74" t="s">
        <v>177</v>
      </c>
      <c r="H1126" s="87">
        <v>44043</v>
      </c>
      <c r="I1126" s="98">
        <v>22</v>
      </c>
      <c r="J1126" s="98">
        <v>22</v>
      </c>
      <c r="K1126" s="89">
        <f t="shared" si="48"/>
        <v>1</v>
      </c>
      <c r="L1126" s="89">
        <v>2178.61</v>
      </c>
      <c r="M1126" s="89">
        <v>3016.77</v>
      </c>
      <c r="N1126" s="89">
        <v>207.13</v>
      </c>
      <c r="O1126" s="89">
        <f t="shared" si="47"/>
        <v>5402.51</v>
      </c>
    </row>
    <row r="1127" spans="1:15">
      <c r="A1127" s="74" t="s">
        <v>113</v>
      </c>
      <c r="B1127" s="74" t="s">
        <v>188</v>
      </c>
      <c r="C1127" s="74" t="s">
        <v>189</v>
      </c>
      <c r="D1127" s="74" t="s">
        <v>79</v>
      </c>
      <c r="E1127" s="74" t="s">
        <v>81</v>
      </c>
      <c r="F1127" s="86" t="s">
        <v>183</v>
      </c>
      <c r="G1127" s="74" t="s">
        <v>177</v>
      </c>
      <c r="H1127" s="87">
        <v>44043</v>
      </c>
      <c r="I1127" s="98">
        <v>22</v>
      </c>
      <c r="J1127" s="98">
        <v>22</v>
      </c>
      <c r="K1127" s="89">
        <f t="shared" si="48"/>
        <v>1</v>
      </c>
      <c r="L1127" s="89">
        <v>1009.25</v>
      </c>
      <c r="M1127" s="89">
        <v>3074.62</v>
      </c>
      <c r="N1127" s="89">
        <v>109.27</v>
      </c>
      <c r="O1127" s="89">
        <f t="shared" si="47"/>
        <v>4193.14</v>
      </c>
    </row>
    <row r="1128" spans="1:15">
      <c r="A1128" s="74" t="s">
        <v>113</v>
      </c>
      <c r="B1128" s="74" t="s">
        <v>190</v>
      </c>
      <c r="C1128" s="74" t="s">
        <v>191</v>
      </c>
      <c r="D1128" s="74" t="s">
        <v>79</v>
      </c>
      <c r="E1128" s="74" t="s">
        <v>81</v>
      </c>
      <c r="F1128" s="86" t="s">
        <v>176</v>
      </c>
      <c r="G1128" s="74" t="s">
        <v>177</v>
      </c>
      <c r="H1128" s="87">
        <v>44043</v>
      </c>
      <c r="I1128" s="98">
        <v>22</v>
      </c>
      <c r="J1128" s="98">
        <v>22</v>
      </c>
      <c r="K1128" s="89">
        <f t="shared" si="48"/>
        <v>1</v>
      </c>
      <c r="L1128" s="89">
        <v>3136.2</v>
      </c>
      <c r="M1128" s="89">
        <v>3150.17</v>
      </c>
      <c r="N1128" s="89">
        <v>307.51</v>
      </c>
      <c r="O1128" s="89">
        <f t="shared" si="47"/>
        <v>6593.88</v>
      </c>
    </row>
    <row r="1129" spans="1:15">
      <c r="A1129" s="74" t="s">
        <v>113</v>
      </c>
      <c r="B1129" s="74" t="s">
        <v>192</v>
      </c>
      <c r="C1129" s="74" t="s">
        <v>193</v>
      </c>
      <c r="D1129" s="74" t="s">
        <v>79</v>
      </c>
      <c r="E1129" s="74" t="s">
        <v>81</v>
      </c>
      <c r="F1129" s="86" t="s">
        <v>180</v>
      </c>
      <c r="G1129" s="74" t="s">
        <v>177</v>
      </c>
      <c r="H1129" s="87">
        <v>44043</v>
      </c>
      <c r="I1129" s="98">
        <v>22</v>
      </c>
      <c r="J1129" s="98">
        <v>22</v>
      </c>
      <c r="K1129" s="89">
        <f t="shared" si="48"/>
        <v>1</v>
      </c>
      <c r="L1129" s="89">
        <v>2066.6</v>
      </c>
      <c r="M1129" s="89">
        <v>3073.29</v>
      </c>
      <c r="N1129" s="89">
        <v>204.71</v>
      </c>
      <c r="O1129" s="89">
        <f t="shared" si="47"/>
        <v>5344.6</v>
      </c>
    </row>
    <row r="1130" spans="1:15">
      <c r="A1130" s="74" t="s">
        <v>113</v>
      </c>
      <c r="B1130" s="74" t="s">
        <v>194</v>
      </c>
      <c r="C1130" s="74" t="s">
        <v>195</v>
      </c>
      <c r="D1130" s="74" t="s">
        <v>79</v>
      </c>
      <c r="E1130" s="74" t="s">
        <v>81</v>
      </c>
      <c r="F1130" s="86" t="s">
        <v>183</v>
      </c>
      <c r="G1130" s="74" t="s">
        <v>177</v>
      </c>
      <c r="H1130" s="87">
        <v>44043</v>
      </c>
      <c r="I1130" s="98">
        <v>22</v>
      </c>
      <c r="J1130" s="98">
        <v>22</v>
      </c>
      <c r="K1130" s="89">
        <f t="shared" si="48"/>
        <v>1</v>
      </c>
      <c r="L1130" s="89">
        <v>1044.01</v>
      </c>
      <c r="M1130" s="89">
        <v>3204.95</v>
      </c>
      <c r="N1130" s="89">
        <v>106.9</v>
      </c>
      <c r="O1130" s="89">
        <f t="shared" si="47"/>
        <v>4355.86</v>
      </c>
    </row>
    <row r="1131" spans="1:15">
      <c r="A1131" s="74" t="s">
        <v>113</v>
      </c>
      <c r="B1131" s="74" t="s">
        <v>196</v>
      </c>
      <c r="C1131" s="74" t="s">
        <v>197</v>
      </c>
      <c r="D1131" s="74" t="s">
        <v>79</v>
      </c>
      <c r="E1131" s="74" t="s">
        <v>81</v>
      </c>
      <c r="F1131" s="86" t="s">
        <v>176</v>
      </c>
      <c r="G1131" s="74" t="s">
        <v>177</v>
      </c>
      <c r="H1131" s="87">
        <v>44043</v>
      </c>
      <c r="I1131" s="98">
        <v>22</v>
      </c>
      <c r="J1131" s="98">
        <v>22</v>
      </c>
      <c r="K1131" s="89">
        <f t="shared" si="48"/>
        <v>1</v>
      </c>
      <c r="L1131" s="89">
        <v>3285.49</v>
      </c>
      <c r="M1131" s="89">
        <v>3163.04</v>
      </c>
      <c r="N1131" s="89">
        <v>318.12</v>
      </c>
      <c r="O1131" s="89">
        <f t="shared" si="47"/>
        <v>6766.65</v>
      </c>
    </row>
    <row r="1132" spans="1:15">
      <c r="A1132" s="74" t="s">
        <v>113</v>
      </c>
      <c r="B1132" s="74" t="s">
        <v>198</v>
      </c>
      <c r="C1132" s="74" t="s">
        <v>199</v>
      </c>
      <c r="D1132" s="74" t="s">
        <v>79</v>
      </c>
      <c r="E1132" s="74" t="s">
        <v>81</v>
      </c>
      <c r="F1132" s="86" t="s">
        <v>180</v>
      </c>
      <c r="G1132" s="74" t="s">
        <v>177</v>
      </c>
      <c r="H1132" s="87">
        <v>44043</v>
      </c>
      <c r="I1132" s="98">
        <v>22</v>
      </c>
      <c r="J1132" s="98">
        <v>22</v>
      </c>
      <c r="K1132" s="89">
        <f t="shared" si="48"/>
        <v>1</v>
      </c>
      <c r="L1132" s="89">
        <v>2049.61</v>
      </c>
      <c r="M1132" s="89">
        <v>3119.32</v>
      </c>
      <c r="N1132" s="89">
        <v>207.46</v>
      </c>
      <c r="O1132" s="89">
        <f t="shared" si="47"/>
        <v>5376.39</v>
      </c>
    </row>
    <row r="1133" spans="1:15">
      <c r="A1133" s="74" t="s">
        <v>113</v>
      </c>
      <c r="B1133" s="74" t="s">
        <v>200</v>
      </c>
      <c r="C1133" s="74" t="s">
        <v>201</v>
      </c>
      <c r="D1133" s="74" t="s">
        <v>79</v>
      </c>
      <c r="E1133" s="74" t="s">
        <v>81</v>
      </c>
      <c r="F1133" s="86" t="s">
        <v>183</v>
      </c>
      <c r="G1133" s="74" t="s">
        <v>177</v>
      </c>
      <c r="H1133" s="87">
        <v>44043</v>
      </c>
      <c r="I1133" s="98">
        <v>22</v>
      </c>
      <c r="J1133" s="98">
        <v>22</v>
      </c>
      <c r="K1133" s="89">
        <f t="shared" si="48"/>
        <v>1</v>
      </c>
      <c r="L1133" s="89">
        <v>1052.96</v>
      </c>
      <c r="M1133" s="89">
        <v>3195.48</v>
      </c>
      <c r="N1133" s="89">
        <v>100.42</v>
      </c>
      <c r="O1133" s="89">
        <f t="shared" si="47"/>
        <v>4348.86</v>
      </c>
    </row>
    <row r="1134" spans="1:15">
      <c r="A1134" s="74" t="s">
        <v>113</v>
      </c>
      <c r="B1134" s="74" t="s">
        <v>202</v>
      </c>
      <c r="C1134" s="74" t="s">
        <v>203</v>
      </c>
      <c r="D1134" s="74" t="s">
        <v>79</v>
      </c>
      <c r="E1134" s="74" t="s">
        <v>81</v>
      </c>
      <c r="F1134" s="86" t="s">
        <v>204</v>
      </c>
      <c r="G1134" s="74" t="s">
        <v>205</v>
      </c>
      <c r="H1134" s="87">
        <v>44043</v>
      </c>
      <c r="I1134" s="98">
        <v>22</v>
      </c>
      <c r="J1134" s="98">
        <v>22</v>
      </c>
      <c r="K1134" s="89">
        <f t="shared" si="48"/>
        <v>1</v>
      </c>
      <c r="L1134" s="89">
        <v>19620.44</v>
      </c>
      <c r="M1134" s="89">
        <v>3235.32</v>
      </c>
      <c r="N1134" s="89">
        <v>1853.84</v>
      </c>
      <c r="O1134" s="89">
        <f t="shared" si="47"/>
        <v>24709.6</v>
      </c>
    </row>
    <row r="1135" spans="1:15">
      <c r="A1135" s="74" t="s">
        <v>113</v>
      </c>
      <c r="B1135" s="74" t="s">
        <v>206</v>
      </c>
      <c r="C1135" s="74" t="s">
        <v>207</v>
      </c>
      <c r="D1135" s="88" t="s">
        <v>82</v>
      </c>
      <c r="E1135" s="88" t="s">
        <v>84</v>
      </c>
      <c r="F1135" s="86" t="s">
        <v>208</v>
      </c>
      <c r="G1135" s="74" t="s">
        <v>209</v>
      </c>
      <c r="H1135" s="87">
        <v>44043</v>
      </c>
      <c r="I1135" s="98">
        <v>22</v>
      </c>
      <c r="J1135" s="98">
        <v>22</v>
      </c>
      <c r="K1135" s="89">
        <f t="shared" si="48"/>
        <v>1</v>
      </c>
      <c r="L1135" s="89">
        <v>9543.93</v>
      </c>
      <c r="M1135" s="89">
        <v>3100.25</v>
      </c>
      <c r="N1135" s="89">
        <v>972.61</v>
      </c>
      <c r="O1135" s="89">
        <f t="shared" si="47"/>
        <v>13616.79</v>
      </c>
    </row>
    <row r="1136" spans="1:15">
      <c r="A1136" s="74" t="s">
        <v>113</v>
      </c>
      <c r="B1136" s="74" t="s">
        <v>210</v>
      </c>
      <c r="C1136" s="74" t="s">
        <v>211</v>
      </c>
      <c r="D1136" s="88" t="s">
        <v>82</v>
      </c>
      <c r="E1136" s="88" t="s">
        <v>84</v>
      </c>
      <c r="F1136" s="86" t="s">
        <v>116</v>
      </c>
      <c r="G1136" s="74" t="s">
        <v>209</v>
      </c>
      <c r="H1136" s="87">
        <v>44043</v>
      </c>
      <c r="I1136" s="98">
        <v>22</v>
      </c>
      <c r="J1136" s="98">
        <v>22</v>
      </c>
      <c r="K1136" s="89">
        <f t="shared" si="48"/>
        <v>1</v>
      </c>
      <c r="L1136" s="89">
        <v>8043.9</v>
      </c>
      <c r="M1136" s="89">
        <v>3037.55</v>
      </c>
      <c r="N1136" s="89">
        <v>849.94</v>
      </c>
      <c r="O1136" s="89">
        <f t="shared" si="47"/>
        <v>11931.39</v>
      </c>
    </row>
    <row r="1137" spans="1:15">
      <c r="A1137" s="74" t="s">
        <v>113</v>
      </c>
      <c r="B1137" s="74" t="s">
        <v>212</v>
      </c>
      <c r="C1137" s="74" t="s">
        <v>213</v>
      </c>
      <c r="D1137" s="88" t="s">
        <v>82</v>
      </c>
      <c r="E1137" s="88" t="s">
        <v>84</v>
      </c>
      <c r="F1137" s="86" t="s">
        <v>208</v>
      </c>
      <c r="G1137" s="74" t="s">
        <v>209</v>
      </c>
      <c r="H1137" s="87">
        <v>44043</v>
      </c>
      <c r="I1137" s="98">
        <v>22</v>
      </c>
      <c r="J1137" s="98">
        <v>22</v>
      </c>
      <c r="K1137" s="89">
        <f t="shared" si="48"/>
        <v>1</v>
      </c>
      <c r="L1137" s="89">
        <v>9459.8</v>
      </c>
      <c r="M1137" s="89">
        <v>3129.56</v>
      </c>
      <c r="N1137" s="89">
        <v>967.44</v>
      </c>
      <c r="O1137" s="89">
        <f t="shared" si="47"/>
        <v>13556.8</v>
      </c>
    </row>
    <row r="1138" spans="1:15">
      <c r="A1138" s="74" t="s">
        <v>113</v>
      </c>
      <c r="B1138" s="74" t="s">
        <v>214</v>
      </c>
      <c r="C1138" s="74" t="s">
        <v>215</v>
      </c>
      <c r="D1138" s="88" t="s">
        <v>82</v>
      </c>
      <c r="E1138" s="88" t="s">
        <v>84</v>
      </c>
      <c r="F1138" s="86" t="s">
        <v>116</v>
      </c>
      <c r="G1138" s="74" t="s">
        <v>209</v>
      </c>
      <c r="H1138" s="87">
        <v>44043</v>
      </c>
      <c r="I1138" s="98">
        <v>22</v>
      </c>
      <c r="J1138" s="98">
        <v>22</v>
      </c>
      <c r="K1138" s="89">
        <f t="shared" si="48"/>
        <v>1</v>
      </c>
      <c r="L1138" s="89">
        <v>8625.23</v>
      </c>
      <c r="M1138" s="89">
        <v>3122.09</v>
      </c>
      <c r="N1138" s="89">
        <v>875.51</v>
      </c>
      <c r="O1138" s="89">
        <f t="shared" si="47"/>
        <v>12622.83</v>
      </c>
    </row>
    <row r="1139" spans="1:15">
      <c r="A1139" s="74" t="s">
        <v>113</v>
      </c>
      <c r="B1139" s="74" t="s">
        <v>216</v>
      </c>
      <c r="C1139" s="74" t="s">
        <v>217</v>
      </c>
      <c r="D1139" s="88" t="s">
        <v>82</v>
      </c>
      <c r="E1139" s="88" t="s">
        <v>84</v>
      </c>
      <c r="F1139" s="86" t="s">
        <v>218</v>
      </c>
      <c r="G1139" s="74" t="s">
        <v>219</v>
      </c>
      <c r="H1139" s="87">
        <v>44043</v>
      </c>
      <c r="I1139" s="98">
        <v>22</v>
      </c>
      <c r="J1139" s="98">
        <v>22</v>
      </c>
      <c r="K1139" s="89">
        <f t="shared" si="48"/>
        <v>1</v>
      </c>
      <c r="L1139" s="89">
        <v>11222.09</v>
      </c>
      <c r="M1139" s="89">
        <v>3096.92</v>
      </c>
      <c r="N1139" s="89">
        <v>1138.99</v>
      </c>
      <c r="O1139" s="89">
        <f t="shared" si="47"/>
        <v>15458</v>
      </c>
    </row>
    <row r="1140" spans="1:15">
      <c r="A1140" s="74" t="s">
        <v>113</v>
      </c>
      <c r="B1140" s="74" t="s">
        <v>220</v>
      </c>
      <c r="C1140" s="74" t="s">
        <v>221</v>
      </c>
      <c r="D1140" s="88" t="s">
        <v>82</v>
      </c>
      <c r="E1140" s="74" t="s">
        <v>83</v>
      </c>
      <c r="F1140" s="86" t="s">
        <v>218</v>
      </c>
      <c r="G1140" s="74" t="s">
        <v>222</v>
      </c>
      <c r="H1140" s="87">
        <v>44043</v>
      </c>
      <c r="I1140" s="98">
        <v>22</v>
      </c>
      <c r="J1140" s="98">
        <v>22</v>
      </c>
      <c r="K1140" s="89">
        <f t="shared" si="48"/>
        <v>1</v>
      </c>
      <c r="L1140" s="89">
        <v>11944.75</v>
      </c>
      <c r="M1140" s="89">
        <v>3048.9</v>
      </c>
      <c r="N1140" s="89">
        <v>1110.03</v>
      </c>
      <c r="O1140" s="89">
        <f t="shared" si="47"/>
        <v>16103.68</v>
      </c>
    </row>
    <row r="1141" spans="1:15">
      <c r="A1141" s="74" t="s">
        <v>113</v>
      </c>
      <c r="B1141" s="74" t="s">
        <v>223</v>
      </c>
      <c r="C1141" s="74" t="s">
        <v>224</v>
      </c>
      <c r="D1141" s="88" t="s">
        <v>82</v>
      </c>
      <c r="E1141" s="74" t="s">
        <v>83</v>
      </c>
      <c r="F1141" s="86" t="s">
        <v>225</v>
      </c>
      <c r="G1141" s="74" t="s">
        <v>209</v>
      </c>
      <c r="H1141" s="87">
        <v>44043</v>
      </c>
      <c r="I1141" s="98">
        <v>22</v>
      </c>
      <c r="J1141" s="98">
        <v>22</v>
      </c>
      <c r="K1141" s="89">
        <f t="shared" si="48"/>
        <v>1</v>
      </c>
      <c r="L1141" s="89">
        <v>10076.17</v>
      </c>
      <c r="M1141" s="89">
        <v>3195.77</v>
      </c>
      <c r="N1141" s="89">
        <v>1000.05</v>
      </c>
      <c r="O1141" s="89">
        <f t="shared" si="47"/>
        <v>14271.99</v>
      </c>
    </row>
    <row r="1142" spans="1:15">
      <c r="A1142" s="74" t="s">
        <v>113</v>
      </c>
      <c r="B1142" s="74" t="s">
        <v>226</v>
      </c>
      <c r="C1142" s="74" t="s">
        <v>227</v>
      </c>
      <c r="D1142" s="88" t="s">
        <v>82</v>
      </c>
      <c r="E1142" s="74" t="s">
        <v>83</v>
      </c>
      <c r="F1142" s="86" t="s">
        <v>208</v>
      </c>
      <c r="G1142" s="74" t="s">
        <v>209</v>
      </c>
      <c r="H1142" s="87">
        <v>44043</v>
      </c>
      <c r="I1142" s="98">
        <v>22</v>
      </c>
      <c r="J1142" s="98">
        <v>22</v>
      </c>
      <c r="K1142" s="89">
        <f t="shared" si="48"/>
        <v>1</v>
      </c>
      <c r="L1142" s="89">
        <v>9120.79</v>
      </c>
      <c r="M1142" s="89">
        <v>3060.53</v>
      </c>
      <c r="N1142" s="89">
        <v>987.46</v>
      </c>
      <c r="O1142" s="89">
        <f t="shared" si="47"/>
        <v>13168.78</v>
      </c>
    </row>
    <row r="1143" spans="1:15">
      <c r="A1143" s="74" t="s">
        <v>113</v>
      </c>
      <c r="B1143" s="74" t="s">
        <v>228</v>
      </c>
      <c r="C1143" s="74" t="s">
        <v>229</v>
      </c>
      <c r="D1143" s="88" t="s">
        <v>82</v>
      </c>
      <c r="E1143" s="74" t="s">
        <v>83</v>
      </c>
      <c r="F1143" s="86" t="s">
        <v>116</v>
      </c>
      <c r="G1143" s="74" t="s">
        <v>209</v>
      </c>
      <c r="H1143" s="87">
        <v>44043</v>
      </c>
      <c r="I1143" s="98">
        <v>22</v>
      </c>
      <c r="J1143" s="98">
        <v>22</v>
      </c>
      <c r="K1143" s="89">
        <f t="shared" si="48"/>
        <v>1</v>
      </c>
      <c r="L1143" s="89">
        <v>8019.36</v>
      </c>
      <c r="M1143" s="89">
        <v>3158.84</v>
      </c>
      <c r="N1143" s="89">
        <v>877.99</v>
      </c>
      <c r="O1143" s="89">
        <f t="shared" si="47"/>
        <v>12056.19</v>
      </c>
    </row>
    <row r="1144" spans="1:15">
      <c r="A1144" s="74" t="s">
        <v>113</v>
      </c>
      <c r="B1144" s="74" t="s">
        <v>230</v>
      </c>
      <c r="C1144" s="74" t="s">
        <v>231</v>
      </c>
      <c r="D1144" s="88" t="s">
        <v>82</v>
      </c>
      <c r="E1144" s="74" t="s">
        <v>83</v>
      </c>
      <c r="F1144" s="86" t="s">
        <v>120</v>
      </c>
      <c r="G1144" s="74" t="s">
        <v>209</v>
      </c>
      <c r="H1144" s="87">
        <v>44043</v>
      </c>
      <c r="I1144" s="98">
        <v>22</v>
      </c>
      <c r="J1144" s="98">
        <v>22</v>
      </c>
      <c r="K1144" s="89">
        <f t="shared" si="48"/>
        <v>1</v>
      </c>
      <c r="L1144" s="89">
        <v>7537.94</v>
      </c>
      <c r="M1144" s="89">
        <v>3085.79</v>
      </c>
      <c r="N1144" s="89">
        <v>752.05</v>
      </c>
      <c r="O1144" s="89">
        <f t="shared" si="47"/>
        <v>11375.78</v>
      </c>
    </row>
    <row r="1145" spans="1:15">
      <c r="A1145" s="74" t="s">
        <v>113</v>
      </c>
      <c r="B1145" s="74" t="s">
        <v>232</v>
      </c>
      <c r="C1145" s="74" t="s">
        <v>233</v>
      </c>
      <c r="D1145" s="88" t="s">
        <v>82</v>
      </c>
      <c r="E1145" s="74" t="s">
        <v>83</v>
      </c>
      <c r="F1145" s="86" t="s">
        <v>123</v>
      </c>
      <c r="G1145" s="74" t="s">
        <v>209</v>
      </c>
      <c r="H1145" s="87">
        <v>44043</v>
      </c>
      <c r="I1145" s="98">
        <v>22</v>
      </c>
      <c r="J1145" s="98">
        <v>22</v>
      </c>
      <c r="K1145" s="89">
        <f t="shared" si="48"/>
        <v>1</v>
      </c>
      <c r="L1145" s="89">
        <v>6127.11</v>
      </c>
      <c r="M1145" s="89">
        <v>3105.5</v>
      </c>
      <c r="N1145" s="89">
        <v>637.51</v>
      </c>
      <c r="O1145" s="89">
        <f t="shared" si="47"/>
        <v>9870.12</v>
      </c>
    </row>
    <row r="1146" spans="1:15">
      <c r="A1146" s="74" t="s">
        <v>113</v>
      </c>
      <c r="B1146" s="74" t="s">
        <v>234</v>
      </c>
      <c r="C1146" s="74" t="s">
        <v>235</v>
      </c>
      <c r="D1146" s="88" t="s">
        <v>82</v>
      </c>
      <c r="E1146" s="74" t="s">
        <v>83</v>
      </c>
      <c r="F1146" s="86" t="s">
        <v>116</v>
      </c>
      <c r="G1146" s="74" t="s">
        <v>209</v>
      </c>
      <c r="H1146" s="87">
        <v>44043</v>
      </c>
      <c r="I1146" s="98">
        <v>22</v>
      </c>
      <c r="J1146" s="98">
        <v>22</v>
      </c>
      <c r="K1146" s="89">
        <f t="shared" si="48"/>
        <v>1</v>
      </c>
      <c r="L1146" s="89">
        <v>8011.09</v>
      </c>
      <c r="M1146" s="89">
        <v>3045.61</v>
      </c>
      <c r="N1146" s="89">
        <v>870.18</v>
      </c>
      <c r="O1146" s="89">
        <f t="shared" si="47"/>
        <v>11926.88</v>
      </c>
    </row>
    <row r="1147" spans="1:15">
      <c r="A1147" s="74" t="s">
        <v>113</v>
      </c>
      <c r="B1147" s="74" t="s">
        <v>236</v>
      </c>
      <c r="C1147" s="74" t="s">
        <v>237</v>
      </c>
      <c r="D1147" s="88" t="s">
        <v>82</v>
      </c>
      <c r="E1147" s="74" t="s">
        <v>83</v>
      </c>
      <c r="F1147" s="86" t="s">
        <v>120</v>
      </c>
      <c r="G1147" s="74" t="s">
        <v>209</v>
      </c>
      <c r="H1147" s="87">
        <v>44043</v>
      </c>
      <c r="I1147" s="98">
        <v>22</v>
      </c>
      <c r="J1147" s="98">
        <v>22</v>
      </c>
      <c r="K1147" s="89">
        <f t="shared" si="48"/>
        <v>1</v>
      </c>
      <c r="L1147" s="89">
        <v>7017.82</v>
      </c>
      <c r="M1147" s="89">
        <v>3278.1</v>
      </c>
      <c r="N1147" s="89">
        <v>755.52</v>
      </c>
      <c r="O1147" s="89">
        <f t="shared" si="47"/>
        <v>11051.44</v>
      </c>
    </row>
    <row r="1148" spans="1:15">
      <c r="A1148" s="74" t="s">
        <v>113</v>
      </c>
      <c r="B1148" s="74" t="s">
        <v>238</v>
      </c>
      <c r="C1148" s="74" t="s">
        <v>239</v>
      </c>
      <c r="D1148" s="74" t="s">
        <v>86</v>
      </c>
      <c r="E1148" s="74" t="s">
        <v>87</v>
      </c>
      <c r="F1148" s="86" t="s">
        <v>204</v>
      </c>
      <c r="G1148" s="74" t="s">
        <v>240</v>
      </c>
      <c r="H1148" s="87">
        <v>44043</v>
      </c>
      <c r="I1148" s="98">
        <v>22</v>
      </c>
      <c r="J1148" s="98">
        <v>22</v>
      </c>
      <c r="K1148" s="89">
        <f t="shared" si="48"/>
        <v>1</v>
      </c>
      <c r="L1148" s="89">
        <v>14515.87</v>
      </c>
      <c r="M1148" s="89">
        <v>3242.12</v>
      </c>
      <c r="N1148" s="89">
        <v>1911.76</v>
      </c>
      <c r="O1148" s="89">
        <f t="shared" si="47"/>
        <v>19669.75</v>
      </c>
    </row>
    <row r="1149" spans="1:15">
      <c r="A1149" s="74" t="s">
        <v>113</v>
      </c>
      <c r="B1149" s="74" t="s">
        <v>241</v>
      </c>
      <c r="C1149" s="74" t="s">
        <v>242</v>
      </c>
      <c r="D1149" s="74" t="s">
        <v>86</v>
      </c>
      <c r="E1149" s="74" t="s">
        <v>87</v>
      </c>
      <c r="F1149" s="86" t="s">
        <v>243</v>
      </c>
      <c r="G1149" s="74" t="s">
        <v>244</v>
      </c>
      <c r="H1149" s="87">
        <v>44043</v>
      </c>
      <c r="I1149" s="98">
        <v>22</v>
      </c>
      <c r="J1149" s="98">
        <v>22</v>
      </c>
      <c r="K1149" s="89">
        <f t="shared" si="48"/>
        <v>1</v>
      </c>
      <c r="L1149" s="89">
        <v>10713.28</v>
      </c>
      <c r="M1149" s="89">
        <v>3261.9</v>
      </c>
      <c r="N1149" s="89">
        <v>1365.03</v>
      </c>
      <c r="O1149" s="89">
        <f t="shared" si="47"/>
        <v>15340.21</v>
      </c>
    </row>
    <row r="1150" spans="1:15">
      <c r="A1150" s="74" t="s">
        <v>113</v>
      </c>
      <c r="B1150" s="74" t="s">
        <v>245</v>
      </c>
      <c r="C1150" s="74" t="s">
        <v>246</v>
      </c>
      <c r="D1150" s="74" t="s">
        <v>86</v>
      </c>
      <c r="E1150" s="74" t="s">
        <v>87</v>
      </c>
      <c r="F1150" s="86" t="s">
        <v>247</v>
      </c>
      <c r="G1150" s="74" t="s">
        <v>248</v>
      </c>
      <c r="H1150" s="87">
        <v>44043</v>
      </c>
      <c r="I1150" s="98">
        <v>22</v>
      </c>
      <c r="J1150" s="98">
        <v>22</v>
      </c>
      <c r="K1150" s="89">
        <f t="shared" si="48"/>
        <v>1</v>
      </c>
      <c r="L1150" s="89">
        <v>9710.98</v>
      </c>
      <c r="M1150" s="89">
        <v>3026.72</v>
      </c>
      <c r="N1150" s="89">
        <v>1268.51</v>
      </c>
      <c r="O1150" s="89">
        <f t="shared" si="47"/>
        <v>14006.21</v>
      </c>
    </row>
    <row r="1151" spans="1:15">
      <c r="A1151" s="74" t="s">
        <v>113</v>
      </c>
      <c r="B1151" s="74" t="s">
        <v>249</v>
      </c>
      <c r="C1151" s="74" t="s">
        <v>250</v>
      </c>
      <c r="D1151" s="74" t="s">
        <v>86</v>
      </c>
      <c r="E1151" s="74" t="s">
        <v>87</v>
      </c>
      <c r="F1151" s="86" t="s">
        <v>251</v>
      </c>
      <c r="G1151" s="74" t="s">
        <v>252</v>
      </c>
      <c r="H1151" s="87">
        <v>44043</v>
      </c>
      <c r="I1151" s="98">
        <v>22</v>
      </c>
      <c r="J1151" s="98">
        <v>22</v>
      </c>
      <c r="K1151" s="89">
        <f t="shared" si="48"/>
        <v>1</v>
      </c>
      <c r="L1151" s="89">
        <v>9419.27</v>
      </c>
      <c r="M1151" s="89">
        <v>3208.52</v>
      </c>
      <c r="N1151" s="89">
        <v>1192.6</v>
      </c>
      <c r="O1151" s="89">
        <f t="shared" si="47"/>
        <v>13820.39</v>
      </c>
    </row>
    <row r="1152" spans="1:15">
      <c r="A1152" s="74" t="s">
        <v>113</v>
      </c>
      <c r="B1152" s="74" t="s">
        <v>253</v>
      </c>
      <c r="C1152" s="74" t="s">
        <v>254</v>
      </c>
      <c r="D1152" s="74" t="s">
        <v>86</v>
      </c>
      <c r="E1152" s="74" t="s">
        <v>87</v>
      </c>
      <c r="F1152" s="86" t="s">
        <v>255</v>
      </c>
      <c r="G1152" s="74" t="s">
        <v>252</v>
      </c>
      <c r="H1152" s="87">
        <v>44043</v>
      </c>
      <c r="I1152" s="98">
        <v>22</v>
      </c>
      <c r="J1152" s="98">
        <v>22</v>
      </c>
      <c r="K1152" s="89">
        <f t="shared" si="48"/>
        <v>1</v>
      </c>
      <c r="L1152" s="89">
        <v>8714.94</v>
      </c>
      <c r="M1152" s="89">
        <v>3286.85</v>
      </c>
      <c r="N1152" s="89">
        <v>1051.4</v>
      </c>
      <c r="O1152" s="89">
        <f t="shared" si="47"/>
        <v>13053.19</v>
      </c>
    </row>
    <row r="1153" spans="1:15">
      <c r="A1153" s="74" t="s">
        <v>113</v>
      </c>
      <c r="B1153" s="74" t="s">
        <v>256</v>
      </c>
      <c r="C1153" s="74" t="s">
        <v>257</v>
      </c>
      <c r="D1153" s="74" t="s">
        <v>86</v>
      </c>
      <c r="E1153" s="74" t="s">
        <v>87</v>
      </c>
      <c r="F1153" s="86" t="s">
        <v>258</v>
      </c>
      <c r="G1153" s="74" t="s">
        <v>252</v>
      </c>
      <c r="H1153" s="87">
        <v>44043</v>
      </c>
      <c r="I1153" s="98">
        <v>22</v>
      </c>
      <c r="J1153" s="98">
        <v>22</v>
      </c>
      <c r="K1153" s="89">
        <f t="shared" si="48"/>
        <v>1</v>
      </c>
      <c r="L1153" s="89">
        <v>7510.16</v>
      </c>
      <c r="M1153" s="89">
        <v>3266.87</v>
      </c>
      <c r="N1153" s="89">
        <v>969.95</v>
      </c>
      <c r="O1153" s="89">
        <f t="shared" si="47"/>
        <v>11746.98</v>
      </c>
    </row>
    <row r="1154" spans="1:15">
      <c r="A1154" s="74" t="s">
        <v>113</v>
      </c>
      <c r="B1154" s="74" t="s">
        <v>259</v>
      </c>
      <c r="C1154" s="74" t="s">
        <v>260</v>
      </c>
      <c r="D1154" s="74" t="s">
        <v>86</v>
      </c>
      <c r="E1154" s="74" t="s">
        <v>87</v>
      </c>
      <c r="F1154" s="86" t="s">
        <v>261</v>
      </c>
      <c r="G1154" s="74" t="s">
        <v>262</v>
      </c>
      <c r="H1154" s="87">
        <v>44043</v>
      </c>
      <c r="I1154" s="98">
        <v>22</v>
      </c>
      <c r="J1154" s="98">
        <v>22</v>
      </c>
      <c r="K1154" s="89">
        <f t="shared" si="48"/>
        <v>1</v>
      </c>
      <c r="L1154" s="89">
        <v>6815.41</v>
      </c>
      <c r="M1154" s="89">
        <v>3070.95</v>
      </c>
      <c r="N1154" s="89">
        <v>809.25</v>
      </c>
      <c r="O1154" s="89">
        <f t="shared" si="47"/>
        <v>10695.61</v>
      </c>
    </row>
    <row r="1155" spans="1:15">
      <c r="A1155" s="74" t="s">
        <v>113</v>
      </c>
      <c r="B1155" s="74" t="s">
        <v>263</v>
      </c>
      <c r="C1155" s="74" t="s">
        <v>264</v>
      </c>
      <c r="D1155" s="74" t="s">
        <v>86</v>
      </c>
      <c r="E1155" s="74" t="s">
        <v>88</v>
      </c>
      <c r="F1155" s="86" t="s">
        <v>149</v>
      </c>
      <c r="G1155" s="74" t="s">
        <v>265</v>
      </c>
      <c r="H1155" s="87">
        <v>44043</v>
      </c>
      <c r="I1155" s="98">
        <v>22</v>
      </c>
      <c r="J1155" s="98">
        <v>22</v>
      </c>
      <c r="K1155" s="89">
        <f t="shared" si="48"/>
        <v>1</v>
      </c>
      <c r="L1155" s="89">
        <v>14940.17</v>
      </c>
      <c r="M1155" s="89">
        <v>3045.39</v>
      </c>
      <c r="N1155" s="89">
        <v>1753.72</v>
      </c>
      <c r="O1155" s="89">
        <f t="shared" si="47"/>
        <v>19739.28</v>
      </c>
    </row>
    <row r="1156" spans="1:15">
      <c r="A1156" s="74" t="s">
        <v>113</v>
      </c>
      <c r="B1156" s="74" t="s">
        <v>266</v>
      </c>
      <c r="C1156" s="74" t="s">
        <v>267</v>
      </c>
      <c r="D1156" s="74" t="s">
        <v>86</v>
      </c>
      <c r="E1156" s="74" t="s">
        <v>88</v>
      </c>
      <c r="F1156" s="86" t="s">
        <v>243</v>
      </c>
      <c r="G1156" s="74" t="s">
        <v>268</v>
      </c>
      <c r="H1156" s="87">
        <v>44043</v>
      </c>
      <c r="I1156" s="98">
        <v>22</v>
      </c>
      <c r="J1156" s="98">
        <v>22</v>
      </c>
      <c r="K1156" s="89">
        <f t="shared" si="48"/>
        <v>1</v>
      </c>
      <c r="L1156" s="89">
        <v>11310.82</v>
      </c>
      <c r="M1156" s="89">
        <v>3233.42</v>
      </c>
      <c r="N1156" s="89">
        <v>1337.91</v>
      </c>
      <c r="O1156" s="89">
        <f t="shared" si="47"/>
        <v>15882.15</v>
      </c>
    </row>
    <row r="1157" spans="1:15">
      <c r="A1157" s="74" t="s">
        <v>113</v>
      </c>
      <c r="B1157" s="74" t="s">
        <v>269</v>
      </c>
      <c r="C1157" s="74" t="s">
        <v>270</v>
      </c>
      <c r="D1157" s="74" t="s">
        <v>86</v>
      </c>
      <c r="E1157" s="74" t="s">
        <v>88</v>
      </c>
      <c r="F1157" s="86" t="s">
        <v>247</v>
      </c>
      <c r="G1157" s="74" t="s">
        <v>268</v>
      </c>
      <c r="H1157" s="87">
        <v>44043</v>
      </c>
      <c r="I1157" s="98">
        <v>22</v>
      </c>
      <c r="J1157" s="98">
        <v>22</v>
      </c>
      <c r="K1157" s="89">
        <f t="shared" si="48"/>
        <v>1</v>
      </c>
      <c r="L1157" s="89">
        <v>10367.36</v>
      </c>
      <c r="M1157" s="89">
        <v>3043.37</v>
      </c>
      <c r="N1157" s="89">
        <v>1265.4</v>
      </c>
      <c r="O1157" s="89">
        <f t="shared" ref="O1157:O1220" si="49">SUM(L1157:N1157)</f>
        <v>14676.13</v>
      </c>
    </row>
    <row r="1158" spans="1:15">
      <c r="A1158" s="74" t="s">
        <v>113</v>
      </c>
      <c r="B1158" s="74" t="s">
        <v>271</v>
      </c>
      <c r="C1158" s="74" t="s">
        <v>272</v>
      </c>
      <c r="D1158" s="74" t="s">
        <v>86</v>
      </c>
      <c r="E1158" s="74" t="s">
        <v>88</v>
      </c>
      <c r="F1158" s="86" t="s">
        <v>251</v>
      </c>
      <c r="G1158" s="74" t="s">
        <v>268</v>
      </c>
      <c r="H1158" s="87">
        <v>44043</v>
      </c>
      <c r="I1158" s="98">
        <v>22</v>
      </c>
      <c r="J1158" s="98">
        <v>22</v>
      </c>
      <c r="K1158" s="89">
        <f t="shared" si="48"/>
        <v>1</v>
      </c>
      <c r="L1158" s="89">
        <v>9544.7</v>
      </c>
      <c r="M1158" s="89">
        <v>3052.23</v>
      </c>
      <c r="N1158" s="89">
        <v>1179.3</v>
      </c>
      <c r="O1158" s="89">
        <f t="shared" si="49"/>
        <v>13776.23</v>
      </c>
    </row>
    <row r="1159" spans="1:15">
      <c r="A1159" s="74" t="s">
        <v>113</v>
      </c>
      <c r="B1159" s="74" t="s">
        <v>273</v>
      </c>
      <c r="C1159" s="74" t="s">
        <v>274</v>
      </c>
      <c r="D1159" s="74" t="s">
        <v>86</v>
      </c>
      <c r="E1159" s="74" t="s">
        <v>88</v>
      </c>
      <c r="F1159" s="86" t="s">
        <v>255</v>
      </c>
      <c r="G1159" s="74" t="s">
        <v>268</v>
      </c>
      <c r="H1159" s="87">
        <v>44043</v>
      </c>
      <c r="I1159" s="98">
        <v>22</v>
      </c>
      <c r="J1159" s="98">
        <v>22</v>
      </c>
      <c r="K1159" s="89">
        <f t="shared" si="48"/>
        <v>1</v>
      </c>
      <c r="L1159" s="89">
        <v>8005.06</v>
      </c>
      <c r="M1159" s="89">
        <v>3205.68</v>
      </c>
      <c r="N1159" s="89">
        <v>1075.94</v>
      </c>
      <c r="O1159" s="89">
        <f t="shared" si="49"/>
        <v>12286.68</v>
      </c>
    </row>
    <row r="1160" spans="1:15">
      <c r="A1160" s="74" t="s">
        <v>113</v>
      </c>
      <c r="B1160" s="74" t="s">
        <v>275</v>
      </c>
      <c r="C1160" s="74" t="s">
        <v>276</v>
      </c>
      <c r="D1160" s="74" t="s">
        <v>86</v>
      </c>
      <c r="E1160" s="74" t="s">
        <v>88</v>
      </c>
      <c r="F1160" s="86" t="s">
        <v>258</v>
      </c>
      <c r="G1160" s="74" t="s">
        <v>268</v>
      </c>
      <c r="H1160" s="87">
        <v>44043</v>
      </c>
      <c r="I1160" s="98">
        <v>22</v>
      </c>
      <c r="J1160" s="98">
        <v>22</v>
      </c>
      <c r="K1160" s="89">
        <f t="shared" si="48"/>
        <v>1</v>
      </c>
      <c r="L1160" s="89">
        <v>7470.71</v>
      </c>
      <c r="M1160" s="89">
        <v>3250.95</v>
      </c>
      <c r="N1160" s="89">
        <v>905.87</v>
      </c>
      <c r="O1160" s="89">
        <f t="shared" si="49"/>
        <v>11627.53</v>
      </c>
    </row>
    <row r="1161" spans="1:15">
      <c r="A1161" s="74" t="s">
        <v>113</v>
      </c>
      <c r="B1161" s="74" t="s">
        <v>277</v>
      </c>
      <c r="C1161" s="74" t="s">
        <v>278</v>
      </c>
      <c r="D1161" s="74" t="s">
        <v>86</v>
      </c>
      <c r="E1161" s="74" t="s">
        <v>89</v>
      </c>
      <c r="F1161" s="86" t="s">
        <v>279</v>
      </c>
      <c r="G1161" s="74" t="s">
        <v>280</v>
      </c>
      <c r="H1161" s="87">
        <v>44043</v>
      </c>
      <c r="I1161" s="98">
        <v>22</v>
      </c>
      <c r="J1161" s="98">
        <v>22</v>
      </c>
      <c r="K1161" s="89">
        <f t="shared" si="48"/>
        <v>1</v>
      </c>
      <c r="L1161" s="89">
        <v>13106.43</v>
      </c>
      <c r="M1161" s="89">
        <v>3084.67</v>
      </c>
      <c r="N1161" s="89">
        <v>1587.58</v>
      </c>
      <c r="O1161" s="89">
        <f t="shared" si="49"/>
        <v>17778.68</v>
      </c>
    </row>
    <row r="1162" spans="1:15">
      <c r="A1162" s="74" t="s">
        <v>113</v>
      </c>
      <c r="B1162" s="74" t="s">
        <v>281</v>
      </c>
      <c r="C1162" s="74" t="s">
        <v>282</v>
      </c>
      <c r="D1162" s="74" t="s">
        <v>86</v>
      </c>
      <c r="E1162" s="74" t="s">
        <v>89</v>
      </c>
      <c r="F1162" s="86" t="s">
        <v>225</v>
      </c>
      <c r="G1162" s="74" t="s">
        <v>283</v>
      </c>
      <c r="H1162" s="87">
        <v>44043</v>
      </c>
      <c r="I1162" s="98">
        <v>22</v>
      </c>
      <c r="J1162" s="98">
        <v>22</v>
      </c>
      <c r="K1162" s="89">
        <f t="shared" si="48"/>
        <v>1</v>
      </c>
      <c r="L1162" s="89">
        <v>8487.28</v>
      </c>
      <c r="M1162" s="89">
        <v>3094.24</v>
      </c>
      <c r="N1162" s="89">
        <v>1089.49</v>
      </c>
      <c r="O1162" s="89">
        <f t="shared" si="49"/>
        <v>12671.01</v>
      </c>
    </row>
    <row r="1163" spans="1:15">
      <c r="A1163" s="74" t="s">
        <v>113</v>
      </c>
      <c r="B1163" s="74" t="s">
        <v>284</v>
      </c>
      <c r="C1163" s="74" t="s">
        <v>285</v>
      </c>
      <c r="D1163" s="74" t="s">
        <v>86</v>
      </c>
      <c r="E1163" s="74" t="s">
        <v>89</v>
      </c>
      <c r="F1163" s="86" t="s">
        <v>208</v>
      </c>
      <c r="G1163" s="74" t="s">
        <v>283</v>
      </c>
      <c r="H1163" s="87">
        <v>44043</v>
      </c>
      <c r="I1163" s="98">
        <v>22</v>
      </c>
      <c r="J1163" s="98">
        <v>22</v>
      </c>
      <c r="K1163" s="89">
        <f t="shared" si="48"/>
        <v>1</v>
      </c>
      <c r="L1163" s="89">
        <v>7358.81</v>
      </c>
      <c r="M1163" s="89">
        <v>3152.56</v>
      </c>
      <c r="N1163" s="89">
        <v>917.09</v>
      </c>
      <c r="O1163" s="89">
        <f t="shared" si="49"/>
        <v>11428.46</v>
      </c>
    </row>
    <row r="1164" spans="1:15">
      <c r="A1164" s="74" t="s">
        <v>113</v>
      </c>
      <c r="B1164" s="74" t="s">
        <v>286</v>
      </c>
      <c r="C1164" s="74" t="s">
        <v>287</v>
      </c>
      <c r="D1164" s="74" t="s">
        <v>82</v>
      </c>
      <c r="E1164" s="88" t="s">
        <v>85</v>
      </c>
      <c r="F1164" s="86" t="s">
        <v>288</v>
      </c>
      <c r="G1164" s="74" t="s">
        <v>289</v>
      </c>
      <c r="H1164" s="87">
        <v>44043</v>
      </c>
      <c r="I1164" s="98">
        <v>22</v>
      </c>
      <c r="J1164" s="98">
        <v>22</v>
      </c>
      <c r="K1164" s="89">
        <f t="shared" ref="K1164:K1172" si="50">I1164/J1164</f>
        <v>1</v>
      </c>
      <c r="L1164" s="89">
        <v>12905.33</v>
      </c>
      <c r="M1164" s="89">
        <v>3285.74</v>
      </c>
      <c r="N1164" s="89">
        <v>1251.2</v>
      </c>
      <c r="O1164" s="89">
        <f t="shared" si="49"/>
        <v>17442.27</v>
      </c>
    </row>
    <row r="1165" spans="1:15">
      <c r="A1165" s="74" t="s">
        <v>113</v>
      </c>
      <c r="B1165" s="74" t="s">
        <v>290</v>
      </c>
      <c r="C1165" s="74" t="s">
        <v>291</v>
      </c>
      <c r="D1165" s="74" t="s">
        <v>82</v>
      </c>
      <c r="E1165" s="88" t="s">
        <v>85</v>
      </c>
      <c r="F1165" s="86" t="s">
        <v>218</v>
      </c>
      <c r="G1165" s="74" t="s">
        <v>289</v>
      </c>
      <c r="H1165" s="87">
        <v>44043</v>
      </c>
      <c r="I1165" s="98">
        <v>22</v>
      </c>
      <c r="J1165" s="98">
        <v>22</v>
      </c>
      <c r="K1165" s="89">
        <f t="shared" si="50"/>
        <v>1</v>
      </c>
      <c r="L1165" s="89">
        <v>11349.59</v>
      </c>
      <c r="M1165" s="89">
        <v>3163.83</v>
      </c>
      <c r="N1165" s="89">
        <v>1115.22</v>
      </c>
      <c r="O1165" s="89">
        <f t="shared" si="49"/>
        <v>15628.64</v>
      </c>
    </row>
    <row r="1166" spans="1:15">
      <c r="A1166" s="74" t="s">
        <v>113</v>
      </c>
      <c r="B1166" s="74" t="s">
        <v>292</v>
      </c>
      <c r="C1166" s="74" t="s">
        <v>293</v>
      </c>
      <c r="D1166" s="74" t="s">
        <v>82</v>
      </c>
      <c r="E1166" s="88" t="s">
        <v>85</v>
      </c>
      <c r="F1166" s="86" t="s">
        <v>225</v>
      </c>
      <c r="G1166" s="74" t="s">
        <v>289</v>
      </c>
      <c r="H1166" s="87">
        <v>44043</v>
      </c>
      <c r="I1166" s="98">
        <v>22</v>
      </c>
      <c r="J1166" s="98">
        <v>22</v>
      </c>
      <c r="K1166" s="89">
        <f t="shared" si="50"/>
        <v>1</v>
      </c>
      <c r="L1166" s="89">
        <v>10265.97</v>
      </c>
      <c r="M1166" s="89">
        <v>3109.12</v>
      </c>
      <c r="N1166" s="89">
        <v>1099.69</v>
      </c>
      <c r="O1166" s="89">
        <f t="shared" si="49"/>
        <v>14474.78</v>
      </c>
    </row>
    <row r="1167" spans="1:15">
      <c r="A1167" s="74" t="s">
        <v>113</v>
      </c>
      <c r="B1167" s="74" t="s">
        <v>294</v>
      </c>
      <c r="C1167" s="74" t="s">
        <v>295</v>
      </c>
      <c r="D1167" s="74" t="s">
        <v>82</v>
      </c>
      <c r="E1167" s="88" t="s">
        <v>85</v>
      </c>
      <c r="F1167" s="86" t="s">
        <v>208</v>
      </c>
      <c r="G1167" s="74" t="s">
        <v>289</v>
      </c>
      <c r="H1167" s="87">
        <v>44043</v>
      </c>
      <c r="I1167" s="98">
        <v>22</v>
      </c>
      <c r="J1167" s="98">
        <v>22</v>
      </c>
      <c r="K1167" s="89">
        <f t="shared" si="50"/>
        <v>1</v>
      </c>
      <c r="L1167" s="89">
        <v>9593.41</v>
      </c>
      <c r="M1167" s="89">
        <v>3205.92</v>
      </c>
      <c r="N1167" s="89">
        <v>917.73</v>
      </c>
      <c r="O1167" s="89">
        <f t="shared" si="49"/>
        <v>13717.06</v>
      </c>
    </row>
    <row r="1168" spans="1:15">
      <c r="A1168" s="74" t="s">
        <v>113</v>
      </c>
      <c r="B1168" s="74" t="s">
        <v>296</v>
      </c>
      <c r="C1168" s="74" t="s">
        <v>297</v>
      </c>
      <c r="D1168" s="74" t="s">
        <v>82</v>
      </c>
      <c r="E1168" s="88" t="s">
        <v>85</v>
      </c>
      <c r="F1168" s="86" t="s">
        <v>116</v>
      </c>
      <c r="G1168" s="74" t="s">
        <v>289</v>
      </c>
      <c r="H1168" s="87">
        <v>44043</v>
      </c>
      <c r="I1168" s="98">
        <v>22</v>
      </c>
      <c r="J1168" s="98">
        <v>22</v>
      </c>
      <c r="K1168" s="89">
        <f t="shared" si="50"/>
        <v>1</v>
      </c>
      <c r="L1168" s="89">
        <v>8528.9</v>
      </c>
      <c r="M1168" s="89">
        <v>3290.18</v>
      </c>
      <c r="N1168" s="89">
        <v>840.9</v>
      </c>
      <c r="O1168" s="89">
        <f t="shared" si="49"/>
        <v>12659.98</v>
      </c>
    </row>
    <row r="1169" spans="1:15">
      <c r="A1169" s="74" t="s">
        <v>113</v>
      </c>
      <c r="B1169" s="74" t="s">
        <v>298</v>
      </c>
      <c r="C1169" s="74" t="s">
        <v>299</v>
      </c>
      <c r="D1169" s="74" t="s">
        <v>82</v>
      </c>
      <c r="E1169" s="88" t="s">
        <v>85</v>
      </c>
      <c r="F1169" s="86" t="s">
        <v>279</v>
      </c>
      <c r="G1169" s="74" t="s">
        <v>300</v>
      </c>
      <c r="H1169" s="87">
        <v>44043</v>
      </c>
      <c r="I1169" s="98">
        <v>22</v>
      </c>
      <c r="J1169" s="98">
        <v>22</v>
      </c>
      <c r="K1169" s="89">
        <f t="shared" si="50"/>
        <v>1</v>
      </c>
      <c r="L1169" s="89">
        <v>15512.87</v>
      </c>
      <c r="M1169" s="89">
        <v>3036.35</v>
      </c>
      <c r="N1169" s="89">
        <v>1513.76</v>
      </c>
      <c r="O1169" s="89">
        <f t="shared" si="49"/>
        <v>20062.98</v>
      </c>
    </row>
    <row r="1170" spans="1:15">
      <c r="A1170" s="74" t="s">
        <v>113</v>
      </c>
      <c r="B1170" s="74" t="s">
        <v>301</v>
      </c>
      <c r="C1170" s="74" t="s">
        <v>302</v>
      </c>
      <c r="D1170" s="74" t="s">
        <v>82</v>
      </c>
      <c r="E1170" s="88" t="s">
        <v>85</v>
      </c>
      <c r="F1170" s="86" t="s">
        <v>279</v>
      </c>
      <c r="G1170" s="74" t="s">
        <v>303</v>
      </c>
      <c r="H1170" s="87">
        <v>44043</v>
      </c>
      <c r="I1170" s="98">
        <v>22</v>
      </c>
      <c r="J1170" s="98">
        <v>22</v>
      </c>
      <c r="K1170" s="89">
        <f t="shared" si="50"/>
        <v>1</v>
      </c>
      <c r="L1170" s="89">
        <v>15981.71</v>
      </c>
      <c r="M1170" s="89">
        <v>3027.61</v>
      </c>
      <c r="N1170" s="89">
        <v>1582.4</v>
      </c>
      <c r="O1170" s="89">
        <f t="shared" si="49"/>
        <v>20591.72</v>
      </c>
    </row>
    <row r="1171" spans="1:15">
      <c r="A1171" s="74" t="s">
        <v>113</v>
      </c>
      <c r="B1171" s="74" t="s">
        <v>304</v>
      </c>
      <c r="C1171" s="74" t="s">
        <v>305</v>
      </c>
      <c r="D1171" s="74" t="s">
        <v>86</v>
      </c>
      <c r="E1171" s="74" t="s">
        <v>90</v>
      </c>
      <c r="F1171" s="86" t="s">
        <v>306</v>
      </c>
      <c r="G1171" s="74" t="s">
        <v>307</v>
      </c>
      <c r="H1171" s="87">
        <v>44043</v>
      </c>
      <c r="I1171" s="98">
        <v>22</v>
      </c>
      <c r="J1171" s="98">
        <v>22</v>
      </c>
      <c r="K1171" s="89">
        <f t="shared" si="50"/>
        <v>1</v>
      </c>
      <c r="L1171" s="89">
        <v>17341.44</v>
      </c>
      <c r="M1171" s="89">
        <v>3033.25</v>
      </c>
      <c r="N1171" s="89">
        <v>2180.52</v>
      </c>
      <c r="O1171" s="89">
        <f t="shared" si="49"/>
        <v>22555.21</v>
      </c>
    </row>
    <row r="1172" spans="1:15">
      <c r="A1172" s="74" t="s">
        <v>113</v>
      </c>
      <c r="B1172" s="74" t="s">
        <v>114</v>
      </c>
      <c r="C1172" s="74" t="s">
        <v>115</v>
      </c>
      <c r="D1172" s="74" t="s">
        <v>79</v>
      </c>
      <c r="E1172" s="74" t="s">
        <v>80</v>
      </c>
      <c r="F1172" s="86" t="s">
        <v>116</v>
      </c>
      <c r="G1172" s="74" t="s">
        <v>117</v>
      </c>
      <c r="H1172" s="87">
        <v>44074</v>
      </c>
      <c r="I1172" s="98">
        <v>22</v>
      </c>
      <c r="J1172" s="98">
        <v>22</v>
      </c>
      <c r="K1172" s="89">
        <f t="shared" si="50"/>
        <v>1</v>
      </c>
      <c r="L1172" s="89">
        <v>8182.65</v>
      </c>
      <c r="M1172" s="89">
        <v>3140.96</v>
      </c>
      <c r="N1172" s="89">
        <v>869.89</v>
      </c>
      <c r="O1172" s="89">
        <f t="shared" si="49"/>
        <v>12193.5</v>
      </c>
    </row>
    <row r="1173" spans="1:15">
      <c r="A1173" s="74" t="s">
        <v>113</v>
      </c>
      <c r="B1173" s="74" t="s">
        <v>118</v>
      </c>
      <c r="C1173" s="74" t="s">
        <v>119</v>
      </c>
      <c r="D1173" s="74" t="s">
        <v>79</v>
      </c>
      <c r="E1173" s="74" t="s">
        <v>80</v>
      </c>
      <c r="F1173" s="86" t="s">
        <v>120</v>
      </c>
      <c r="G1173" s="74" t="s">
        <v>117</v>
      </c>
      <c r="H1173" s="87">
        <v>44074</v>
      </c>
      <c r="I1173" s="98">
        <v>22</v>
      </c>
      <c r="J1173" s="98">
        <v>22</v>
      </c>
      <c r="K1173" s="89">
        <f t="shared" ref="K1173:K1236" si="51">I1173/J1173</f>
        <v>1</v>
      </c>
      <c r="L1173" s="89">
        <v>7228.23</v>
      </c>
      <c r="M1173" s="89">
        <v>3181.13</v>
      </c>
      <c r="N1173" s="89">
        <v>727.41</v>
      </c>
      <c r="O1173" s="89">
        <f t="shared" si="49"/>
        <v>11136.77</v>
      </c>
    </row>
    <row r="1174" spans="1:15">
      <c r="A1174" s="74" t="s">
        <v>113</v>
      </c>
      <c r="B1174" s="74" t="s">
        <v>121</v>
      </c>
      <c r="C1174" s="74" t="s">
        <v>122</v>
      </c>
      <c r="D1174" s="74" t="s">
        <v>79</v>
      </c>
      <c r="E1174" s="74" t="s">
        <v>80</v>
      </c>
      <c r="F1174" s="86" t="s">
        <v>123</v>
      </c>
      <c r="G1174" s="74" t="s">
        <v>117</v>
      </c>
      <c r="H1174" s="87">
        <v>44074</v>
      </c>
      <c r="I1174" s="98">
        <v>22</v>
      </c>
      <c r="J1174" s="98">
        <v>22</v>
      </c>
      <c r="K1174" s="89">
        <f t="shared" si="51"/>
        <v>1</v>
      </c>
      <c r="L1174" s="89">
        <v>6229.91</v>
      </c>
      <c r="M1174" s="89">
        <v>3283.5</v>
      </c>
      <c r="N1174" s="89">
        <v>640.57</v>
      </c>
      <c r="O1174" s="89">
        <f t="shared" si="49"/>
        <v>10153.98</v>
      </c>
    </row>
    <row r="1175" spans="1:15">
      <c r="A1175" s="74" t="s">
        <v>113</v>
      </c>
      <c r="B1175" s="74" t="s">
        <v>124</v>
      </c>
      <c r="C1175" s="74" t="s">
        <v>125</v>
      </c>
      <c r="D1175" s="74" t="s">
        <v>79</v>
      </c>
      <c r="E1175" s="74" t="s">
        <v>80</v>
      </c>
      <c r="F1175" s="86" t="s">
        <v>116</v>
      </c>
      <c r="G1175" s="74" t="s">
        <v>117</v>
      </c>
      <c r="H1175" s="87">
        <v>44074</v>
      </c>
      <c r="I1175" s="98">
        <v>22</v>
      </c>
      <c r="J1175" s="98">
        <v>22</v>
      </c>
      <c r="K1175" s="89">
        <f t="shared" si="51"/>
        <v>1</v>
      </c>
      <c r="L1175" s="89">
        <v>8154.25</v>
      </c>
      <c r="M1175" s="89">
        <v>3005.16</v>
      </c>
      <c r="N1175" s="89">
        <v>858.1</v>
      </c>
      <c r="O1175" s="89">
        <f t="shared" si="49"/>
        <v>12017.51</v>
      </c>
    </row>
    <row r="1176" spans="1:15">
      <c r="A1176" s="74" t="s">
        <v>113</v>
      </c>
      <c r="B1176" s="74" t="s">
        <v>126</v>
      </c>
      <c r="C1176" s="74" t="s">
        <v>127</v>
      </c>
      <c r="D1176" s="74" t="s">
        <v>79</v>
      </c>
      <c r="E1176" s="74" t="s">
        <v>80</v>
      </c>
      <c r="F1176" s="86" t="s">
        <v>120</v>
      </c>
      <c r="G1176" s="74" t="s">
        <v>117</v>
      </c>
      <c r="H1176" s="87">
        <v>44074</v>
      </c>
      <c r="I1176" s="98">
        <v>22</v>
      </c>
      <c r="J1176" s="98">
        <v>22</v>
      </c>
      <c r="K1176" s="89">
        <f t="shared" si="51"/>
        <v>1</v>
      </c>
      <c r="L1176" s="89">
        <v>7024.5</v>
      </c>
      <c r="M1176" s="89">
        <v>3170.59</v>
      </c>
      <c r="N1176" s="89">
        <v>755.81</v>
      </c>
      <c r="O1176" s="89">
        <f t="shared" si="49"/>
        <v>10950.9</v>
      </c>
    </row>
    <row r="1177" spans="1:15">
      <c r="A1177" s="74" t="s">
        <v>113</v>
      </c>
      <c r="B1177" s="74" t="s">
        <v>128</v>
      </c>
      <c r="C1177" s="74" t="s">
        <v>129</v>
      </c>
      <c r="D1177" s="74" t="s">
        <v>79</v>
      </c>
      <c r="E1177" s="74" t="s">
        <v>80</v>
      </c>
      <c r="F1177" s="86" t="s">
        <v>123</v>
      </c>
      <c r="G1177" s="74" t="s">
        <v>117</v>
      </c>
      <c r="H1177" s="87">
        <v>44074</v>
      </c>
      <c r="I1177" s="98">
        <v>22</v>
      </c>
      <c r="J1177" s="98">
        <v>22</v>
      </c>
      <c r="K1177" s="89">
        <f t="shared" si="51"/>
        <v>1</v>
      </c>
      <c r="L1177" s="89">
        <v>6567.51</v>
      </c>
      <c r="M1177" s="89">
        <v>3065.09</v>
      </c>
      <c r="N1177" s="89">
        <v>639.4</v>
      </c>
      <c r="O1177" s="89">
        <f t="shared" si="49"/>
        <v>10272</v>
      </c>
    </row>
    <row r="1178" spans="1:15">
      <c r="A1178" s="74" t="s">
        <v>113</v>
      </c>
      <c r="B1178" s="74" t="s">
        <v>130</v>
      </c>
      <c r="C1178" s="74" t="s">
        <v>131</v>
      </c>
      <c r="D1178" s="74" t="s">
        <v>79</v>
      </c>
      <c r="E1178" s="74" t="s">
        <v>80</v>
      </c>
      <c r="F1178" s="86" t="s">
        <v>116</v>
      </c>
      <c r="G1178" s="74" t="s">
        <v>117</v>
      </c>
      <c r="H1178" s="87">
        <v>44074</v>
      </c>
      <c r="I1178" s="98">
        <v>22</v>
      </c>
      <c r="J1178" s="98">
        <v>22</v>
      </c>
      <c r="K1178" s="89">
        <f t="shared" si="51"/>
        <v>1</v>
      </c>
      <c r="L1178" s="89">
        <v>8343.04</v>
      </c>
      <c r="M1178" s="89">
        <v>3078.68</v>
      </c>
      <c r="N1178" s="89">
        <v>817.46</v>
      </c>
      <c r="O1178" s="89">
        <f t="shared" si="49"/>
        <v>12239.18</v>
      </c>
    </row>
    <row r="1179" spans="1:15">
      <c r="A1179" s="74" t="s">
        <v>113</v>
      </c>
      <c r="B1179" s="74" t="s">
        <v>132</v>
      </c>
      <c r="C1179" s="74" t="s">
        <v>133</v>
      </c>
      <c r="D1179" s="74" t="s">
        <v>79</v>
      </c>
      <c r="E1179" s="74" t="s">
        <v>80</v>
      </c>
      <c r="F1179" s="86" t="s">
        <v>120</v>
      </c>
      <c r="G1179" s="74" t="s">
        <v>117</v>
      </c>
      <c r="H1179" s="87">
        <v>44074</v>
      </c>
      <c r="I1179" s="98">
        <v>22</v>
      </c>
      <c r="J1179" s="98">
        <v>22</v>
      </c>
      <c r="K1179" s="89">
        <f t="shared" si="51"/>
        <v>1</v>
      </c>
      <c r="L1179" s="89">
        <v>7378.15</v>
      </c>
      <c r="M1179" s="89">
        <v>3219.86</v>
      </c>
      <c r="N1179" s="89">
        <v>719.4</v>
      </c>
      <c r="O1179" s="89">
        <f t="shared" si="49"/>
        <v>11317.41</v>
      </c>
    </row>
    <row r="1180" spans="1:15">
      <c r="A1180" s="74" t="s">
        <v>113</v>
      </c>
      <c r="B1180" s="74" t="s">
        <v>134</v>
      </c>
      <c r="C1180" s="74" t="s">
        <v>135</v>
      </c>
      <c r="D1180" s="74" t="s">
        <v>79</v>
      </c>
      <c r="E1180" s="74" t="s">
        <v>80</v>
      </c>
      <c r="F1180" s="86" t="s">
        <v>123</v>
      </c>
      <c r="G1180" s="74" t="s">
        <v>117</v>
      </c>
      <c r="H1180" s="87">
        <v>44074</v>
      </c>
      <c r="I1180" s="98">
        <v>22</v>
      </c>
      <c r="J1180" s="98">
        <v>22</v>
      </c>
      <c r="K1180" s="89">
        <f t="shared" si="51"/>
        <v>1</v>
      </c>
      <c r="L1180" s="89">
        <v>6334.34</v>
      </c>
      <c r="M1180" s="89">
        <v>3133.61</v>
      </c>
      <c r="N1180" s="89">
        <v>611.15</v>
      </c>
      <c r="O1180" s="89">
        <f t="shared" si="49"/>
        <v>10079.1</v>
      </c>
    </row>
    <row r="1181" spans="1:15">
      <c r="A1181" s="74" t="s">
        <v>113</v>
      </c>
      <c r="B1181" s="74" t="s">
        <v>136</v>
      </c>
      <c r="C1181" s="74" t="s">
        <v>137</v>
      </c>
      <c r="D1181" s="74" t="s">
        <v>79</v>
      </c>
      <c r="E1181" s="74" t="s">
        <v>80</v>
      </c>
      <c r="F1181" s="86" t="s">
        <v>116</v>
      </c>
      <c r="G1181" s="74" t="s">
        <v>138</v>
      </c>
      <c r="H1181" s="87">
        <v>44074</v>
      </c>
      <c r="I1181" s="98">
        <v>22</v>
      </c>
      <c r="J1181" s="98">
        <v>22</v>
      </c>
      <c r="K1181" s="89">
        <f t="shared" si="51"/>
        <v>1</v>
      </c>
      <c r="L1181" s="89">
        <v>8151.2</v>
      </c>
      <c r="M1181" s="89">
        <v>3254.76</v>
      </c>
      <c r="N1181" s="89">
        <v>808.48</v>
      </c>
      <c r="O1181" s="89">
        <f t="shared" si="49"/>
        <v>12214.44</v>
      </c>
    </row>
    <row r="1182" spans="1:15">
      <c r="A1182" s="74" t="s">
        <v>113</v>
      </c>
      <c r="B1182" s="74" t="s">
        <v>139</v>
      </c>
      <c r="C1182" s="74" t="s">
        <v>140</v>
      </c>
      <c r="D1182" s="74" t="s">
        <v>79</v>
      </c>
      <c r="E1182" s="74" t="s">
        <v>80</v>
      </c>
      <c r="F1182" s="86" t="s">
        <v>120</v>
      </c>
      <c r="G1182" s="74" t="s">
        <v>138</v>
      </c>
      <c r="H1182" s="87">
        <v>44074</v>
      </c>
      <c r="I1182" s="98">
        <v>22</v>
      </c>
      <c r="J1182" s="98">
        <v>22</v>
      </c>
      <c r="K1182" s="89">
        <f t="shared" si="51"/>
        <v>1</v>
      </c>
      <c r="L1182" s="89">
        <v>7585.71</v>
      </c>
      <c r="M1182" s="89">
        <v>3230.31</v>
      </c>
      <c r="N1182" s="89">
        <v>743.08</v>
      </c>
      <c r="O1182" s="89">
        <f t="shared" si="49"/>
        <v>11559.1</v>
      </c>
    </row>
    <row r="1183" spans="1:15">
      <c r="A1183" s="74" t="s">
        <v>113</v>
      </c>
      <c r="B1183" s="74" t="s">
        <v>141</v>
      </c>
      <c r="C1183" s="74" t="s">
        <v>142</v>
      </c>
      <c r="D1183" s="74" t="s">
        <v>79</v>
      </c>
      <c r="E1183" s="74" t="s">
        <v>80</v>
      </c>
      <c r="F1183" s="86" t="s">
        <v>123</v>
      </c>
      <c r="G1183" s="74" t="s">
        <v>138</v>
      </c>
      <c r="H1183" s="87">
        <v>44074</v>
      </c>
      <c r="I1183" s="98">
        <v>22</v>
      </c>
      <c r="J1183" s="98">
        <v>22</v>
      </c>
      <c r="K1183" s="89">
        <f t="shared" si="51"/>
        <v>1</v>
      </c>
      <c r="L1183" s="89">
        <v>6539.24</v>
      </c>
      <c r="M1183" s="89">
        <v>3084.05</v>
      </c>
      <c r="N1183" s="89">
        <v>649.19</v>
      </c>
      <c r="O1183" s="89">
        <f t="shared" si="49"/>
        <v>10272.48</v>
      </c>
    </row>
    <row r="1184" spans="1:15">
      <c r="A1184" s="74" t="s">
        <v>113</v>
      </c>
      <c r="B1184" s="74" t="s">
        <v>143</v>
      </c>
      <c r="C1184" s="74" t="s">
        <v>144</v>
      </c>
      <c r="D1184" s="74" t="s">
        <v>79</v>
      </c>
      <c r="E1184" s="74" t="s">
        <v>80</v>
      </c>
      <c r="F1184" s="86" t="s">
        <v>145</v>
      </c>
      <c r="G1184" s="74" t="s">
        <v>146</v>
      </c>
      <c r="H1184" s="87">
        <v>44074</v>
      </c>
      <c r="I1184" s="98">
        <v>22</v>
      </c>
      <c r="J1184" s="98">
        <v>22</v>
      </c>
      <c r="K1184" s="89">
        <f t="shared" si="51"/>
        <v>1</v>
      </c>
      <c r="L1184" s="89">
        <v>20539.58</v>
      </c>
      <c r="M1184" s="89">
        <v>3228.1</v>
      </c>
      <c r="N1184" s="89">
        <v>1963</v>
      </c>
      <c r="O1184" s="89">
        <f t="shared" si="49"/>
        <v>25730.68</v>
      </c>
    </row>
    <row r="1185" spans="1:15">
      <c r="A1185" s="74" t="s">
        <v>113</v>
      </c>
      <c r="B1185" s="74" t="s">
        <v>147</v>
      </c>
      <c r="C1185" s="74" t="s">
        <v>148</v>
      </c>
      <c r="D1185" s="74" t="s">
        <v>79</v>
      </c>
      <c r="E1185" s="74" t="s">
        <v>80</v>
      </c>
      <c r="F1185" s="86" t="s">
        <v>149</v>
      </c>
      <c r="G1185" s="74" t="s">
        <v>150</v>
      </c>
      <c r="H1185" s="87">
        <v>44074</v>
      </c>
      <c r="I1185" s="98">
        <v>22</v>
      </c>
      <c r="J1185" s="98">
        <v>22</v>
      </c>
      <c r="K1185" s="89">
        <f t="shared" si="51"/>
        <v>1</v>
      </c>
      <c r="L1185" s="89">
        <v>18499.92</v>
      </c>
      <c r="M1185" s="89">
        <v>3222.88</v>
      </c>
      <c r="N1185" s="89">
        <v>1746.5</v>
      </c>
      <c r="O1185" s="89">
        <f t="shared" si="49"/>
        <v>23469.3</v>
      </c>
    </row>
    <row r="1186" spans="1:15">
      <c r="A1186" s="74" t="s">
        <v>113</v>
      </c>
      <c r="B1186" s="74" t="s">
        <v>151</v>
      </c>
      <c r="C1186" s="74" t="s">
        <v>152</v>
      </c>
      <c r="D1186" s="74" t="s">
        <v>79</v>
      </c>
      <c r="E1186" s="74" t="s">
        <v>81</v>
      </c>
      <c r="F1186" s="86" t="s">
        <v>123</v>
      </c>
      <c r="G1186" s="74" t="s">
        <v>153</v>
      </c>
      <c r="H1186" s="87">
        <v>44074</v>
      </c>
      <c r="I1186" s="98">
        <v>22</v>
      </c>
      <c r="J1186" s="98">
        <v>22</v>
      </c>
      <c r="K1186" s="89">
        <f t="shared" si="51"/>
        <v>1</v>
      </c>
      <c r="L1186" s="89">
        <v>6255.26</v>
      </c>
      <c r="M1186" s="89">
        <v>3029.34</v>
      </c>
      <c r="N1186" s="89">
        <v>628.72</v>
      </c>
      <c r="O1186" s="89">
        <f t="shared" si="49"/>
        <v>9913.32</v>
      </c>
    </row>
    <row r="1187" spans="1:15">
      <c r="A1187" s="74" t="s">
        <v>113</v>
      </c>
      <c r="B1187" s="74" t="s">
        <v>154</v>
      </c>
      <c r="C1187" s="74" t="s">
        <v>155</v>
      </c>
      <c r="D1187" s="74" t="s">
        <v>79</v>
      </c>
      <c r="E1187" s="74" t="s">
        <v>81</v>
      </c>
      <c r="F1187" s="86" t="s">
        <v>156</v>
      </c>
      <c r="G1187" s="74" t="s">
        <v>157</v>
      </c>
      <c r="H1187" s="87">
        <v>44074</v>
      </c>
      <c r="I1187" s="98">
        <v>22</v>
      </c>
      <c r="J1187" s="98">
        <v>22</v>
      </c>
      <c r="K1187" s="89">
        <f t="shared" si="51"/>
        <v>1</v>
      </c>
      <c r="L1187" s="89">
        <v>5186.87</v>
      </c>
      <c r="M1187" s="89">
        <v>3292.16</v>
      </c>
      <c r="N1187" s="89">
        <v>541.89</v>
      </c>
      <c r="O1187" s="89">
        <f t="shared" si="49"/>
        <v>9020.92</v>
      </c>
    </row>
    <row r="1188" spans="1:15">
      <c r="A1188" s="74" t="s">
        <v>113</v>
      </c>
      <c r="B1188" s="74" t="s">
        <v>158</v>
      </c>
      <c r="C1188" s="74" t="s">
        <v>159</v>
      </c>
      <c r="D1188" s="74" t="s">
        <v>79</v>
      </c>
      <c r="E1188" s="74" t="s">
        <v>81</v>
      </c>
      <c r="F1188" s="86" t="s">
        <v>160</v>
      </c>
      <c r="G1188" s="74" t="s">
        <v>161</v>
      </c>
      <c r="H1188" s="87">
        <v>44074</v>
      </c>
      <c r="I1188" s="98">
        <v>22</v>
      </c>
      <c r="J1188" s="98">
        <v>22</v>
      </c>
      <c r="K1188" s="89">
        <f t="shared" si="51"/>
        <v>1</v>
      </c>
      <c r="L1188" s="89">
        <v>4273.82</v>
      </c>
      <c r="M1188" s="89">
        <v>3026.42</v>
      </c>
      <c r="N1188" s="89">
        <v>427.97</v>
      </c>
      <c r="O1188" s="89">
        <f t="shared" si="49"/>
        <v>7728.21</v>
      </c>
    </row>
    <row r="1189" spans="1:15">
      <c r="A1189" s="74" t="s">
        <v>113</v>
      </c>
      <c r="B1189" s="74" t="s">
        <v>162</v>
      </c>
      <c r="C1189" s="74" t="s">
        <v>163</v>
      </c>
      <c r="D1189" s="74" t="s">
        <v>79</v>
      </c>
      <c r="E1189" s="74" t="s">
        <v>81</v>
      </c>
      <c r="F1189" s="86" t="s">
        <v>123</v>
      </c>
      <c r="G1189" s="74" t="s">
        <v>153</v>
      </c>
      <c r="H1189" s="87">
        <v>44074</v>
      </c>
      <c r="I1189" s="98">
        <v>22</v>
      </c>
      <c r="J1189" s="98">
        <v>22</v>
      </c>
      <c r="K1189" s="89">
        <f t="shared" si="51"/>
        <v>1</v>
      </c>
      <c r="L1189" s="89">
        <v>6398.88</v>
      </c>
      <c r="M1189" s="89">
        <v>3075.84</v>
      </c>
      <c r="N1189" s="89">
        <v>634.31</v>
      </c>
      <c r="O1189" s="89">
        <f t="shared" si="49"/>
        <v>10109.03</v>
      </c>
    </row>
    <row r="1190" spans="1:15">
      <c r="A1190" s="74" t="s">
        <v>113</v>
      </c>
      <c r="B1190" s="74" t="s">
        <v>164</v>
      </c>
      <c r="C1190" s="74" t="s">
        <v>165</v>
      </c>
      <c r="D1190" s="74" t="s">
        <v>79</v>
      </c>
      <c r="E1190" s="74" t="s">
        <v>81</v>
      </c>
      <c r="F1190" s="86" t="s">
        <v>156</v>
      </c>
      <c r="G1190" s="74" t="s">
        <v>157</v>
      </c>
      <c r="H1190" s="87">
        <v>44074</v>
      </c>
      <c r="I1190" s="98">
        <v>22</v>
      </c>
      <c r="J1190" s="98">
        <v>22</v>
      </c>
      <c r="K1190" s="89">
        <f t="shared" si="51"/>
        <v>1</v>
      </c>
      <c r="L1190" s="89">
        <v>5457.41</v>
      </c>
      <c r="M1190" s="89">
        <v>3286.82</v>
      </c>
      <c r="N1190" s="89">
        <v>530.78</v>
      </c>
      <c r="O1190" s="89">
        <f t="shared" si="49"/>
        <v>9275.01</v>
      </c>
    </row>
    <row r="1191" spans="1:15">
      <c r="A1191" s="74" t="s">
        <v>113</v>
      </c>
      <c r="B1191" s="74" t="s">
        <v>166</v>
      </c>
      <c r="C1191" s="74" t="s">
        <v>167</v>
      </c>
      <c r="D1191" s="74" t="s">
        <v>79</v>
      </c>
      <c r="E1191" s="74" t="s">
        <v>81</v>
      </c>
      <c r="F1191" s="86" t="s">
        <v>160</v>
      </c>
      <c r="G1191" s="74" t="s">
        <v>161</v>
      </c>
      <c r="H1191" s="87">
        <v>44074</v>
      </c>
      <c r="I1191" s="98">
        <v>22</v>
      </c>
      <c r="J1191" s="98">
        <v>22</v>
      </c>
      <c r="K1191" s="89">
        <f t="shared" si="51"/>
        <v>1</v>
      </c>
      <c r="L1191" s="89">
        <v>4385.79</v>
      </c>
      <c r="M1191" s="89">
        <v>3254.56</v>
      </c>
      <c r="N1191" s="89">
        <v>419.16</v>
      </c>
      <c r="O1191" s="89">
        <f t="shared" si="49"/>
        <v>8059.51</v>
      </c>
    </row>
    <row r="1192" spans="1:15">
      <c r="A1192" s="74" t="s">
        <v>113</v>
      </c>
      <c r="B1192" s="74" t="s">
        <v>168</v>
      </c>
      <c r="C1192" s="74" t="s">
        <v>169</v>
      </c>
      <c r="D1192" s="74" t="s">
        <v>79</v>
      </c>
      <c r="E1192" s="74" t="s">
        <v>81</v>
      </c>
      <c r="F1192" s="86" t="s">
        <v>123</v>
      </c>
      <c r="G1192" s="74" t="s">
        <v>153</v>
      </c>
      <c r="H1192" s="87">
        <v>44074</v>
      </c>
      <c r="I1192" s="98">
        <v>22</v>
      </c>
      <c r="J1192" s="98">
        <v>22</v>
      </c>
      <c r="K1192" s="89">
        <f t="shared" si="51"/>
        <v>1</v>
      </c>
      <c r="L1192" s="89">
        <v>6402.95</v>
      </c>
      <c r="M1192" s="89">
        <v>3219.44</v>
      </c>
      <c r="N1192" s="89">
        <v>638.37</v>
      </c>
      <c r="O1192" s="89">
        <f t="shared" si="49"/>
        <v>10260.76</v>
      </c>
    </row>
    <row r="1193" spans="1:15">
      <c r="A1193" s="74" t="s">
        <v>113</v>
      </c>
      <c r="B1193" s="74" t="s">
        <v>170</v>
      </c>
      <c r="C1193" s="74" t="s">
        <v>171</v>
      </c>
      <c r="D1193" s="74" t="s">
        <v>79</v>
      </c>
      <c r="E1193" s="74" t="s">
        <v>81</v>
      </c>
      <c r="F1193" s="86" t="s">
        <v>156</v>
      </c>
      <c r="G1193" s="74" t="s">
        <v>157</v>
      </c>
      <c r="H1193" s="87">
        <v>44074</v>
      </c>
      <c r="I1193" s="98">
        <v>22</v>
      </c>
      <c r="J1193" s="98">
        <v>22</v>
      </c>
      <c r="K1193" s="89">
        <f t="shared" si="51"/>
        <v>1</v>
      </c>
      <c r="L1193" s="89">
        <v>5164.65</v>
      </c>
      <c r="M1193" s="89">
        <v>3007.75</v>
      </c>
      <c r="N1193" s="89">
        <v>538.12</v>
      </c>
      <c r="O1193" s="89">
        <f t="shared" si="49"/>
        <v>8710.52</v>
      </c>
    </row>
    <row r="1194" spans="1:15">
      <c r="A1194" s="74" t="s">
        <v>113</v>
      </c>
      <c r="B1194" s="74" t="s">
        <v>172</v>
      </c>
      <c r="C1194" s="74" t="s">
        <v>173</v>
      </c>
      <c r="D1194" s="74" t="s">
        <v>79</v>
      </c>
      <c r="E1194" s="74" t="s">
        <v>81</v>
      </c>
      <c r="F1194" s="86" t="s">
        <v>160</v>
      </c>
      <c r="G1194" s="74" t="s">
        <v>161</v>
      </c>
      <c r="H1194" s="87">
        <v>44074</v>
      </c>
      <c r="I1194" s="98">
        <v>22</v>
      </c>
      <c r="J1194" s="98">
        <v>22</v>
      </c>
      <c r="K1194" s="89">
        <f t="shared" si="51"/>
        <v>1</v>
      </c>
      <c r="L1194" s="89">
        <v>4168.23</v>
      </c>
      <c r="M1194" s="89">
        <v>3163.16</v>
      </c>
      <c r="N1194" s="89">
        <v>406.22</v>
      </c>
      <c r="O1194" s="89">
        <f t="shared" si="49"/>
        <v>7737.61</v>
      </c>
    </row>
    <row r="1195" spans="1:15">
      <c r="A1195" s="74" t="s">
        <v>113</v>
      </c>
      <c r="B1195" s="74" t="s">
        <v>174</v>
      </c>
      <c r="C1195" s="74" t="s">
        <v>175</v>
      </c>
      <c r="D1195" s="74" t="s">
        <v>79</v>
      </c>
      <c r="E1195" s="74" t="s">
        <v>81</v>
      </c>
      <c r="F1195" s="86" t="s">
        <v>176</v>
      </c>
      <c r="G1195" s="74" t="s">
        <v>177</v>
      </c>
      <c r="H1195" s="87">
        <v>44074</v>
      </c>
      <c r="I1195" s="98">
        <v>22</v>
      </c>
      <c r="J1195" s="98">
        <v>22</v>
      </c>
      <c r="K1195" s="89">
        <f t="shared" si="51"/>
        <v>1</v>
      </c>
      <c r="L1195" s="89">
        <v>3130.07</v>
      </c>
      <c r="M1195" s="89">
        <v>3058.32</v>
      </c>
      <c r="N1195" s="89">
        <v>329.23</v>
      </c>
      <c r="O1195" s="89">
        <f t="shared" si="49"/>
        <v>6517.62</v>
      </c>
    </row>
    <row r="1196" spans="1:15">
      <c r="A1196" s="74" t="s">
        <v>113</v>
      </c>
      <c r="B1196" s="74" t="s">
        <v>178</v>
      </c>
      <c r="C1196" s="74" t="s">
        <v>179</v>
      </c>
      <c r="D1196" s="74" t="s">
        <v>79</v>
      </c>
      <c r="E1196" s="74" t="s">
        <v>81</v>
      </c>
      <c r="F1196" s="86" t="s">
        <v>180</v>
      </c>
      <c r="G1196" s="74" t="s">
        <v>177</v>
      </c>
      <c r="H1196" s="87">
        <v>44074</v>
      </c>
      <c r="I1196" s="98">
        <v>22</v>
      </c>
      <c r="J1196" s="98">
        <v>22</v>
      </c>
      <c r="K1196" s="89">
        <f t="shared" si="51"/>
        <v>1</v>
      </c>
      <c r="L1196" s="89">
        <v>2147.17</v>
      </c>
      <c r="M1196" s="89">
        <v>3021.37</v>
      </c>
      <c r="N1196" s="89">
        <v>208.42</v>
      </c>
      <c r="O1196" s="89">
        <f t="shared" si="49"/>
        <v>5376.96</v>
      </c>
    </row>
    <row r="1197" spans="1:15">
      <c r="A1197" s="74" t="s">
        <v>113</v>
      </c>
      <c r="B1197" s="74" t="s">
        <v>181</v>
      </c>
      <c r="C1197" s="74" t="s">
        <v>182</v>
      </c>
      <c r="D1197" s="74" t="s">
        <v>79</v>
      </c>
      <c r="E1197" s="74" t="s">
        <v>81</v>
      </c>
      <c r="F1197" s="86" t="s">
        <v>183</v>
      </c>
      <c r="G1197" s="74" t="s">
        <v>177</v>
      </c>
      <c r="H1197" s="87">
        <v>44074</v>
      </c>
      <c r="I1197" s="98">
        <v>22</v>
      </c>
      <c r="J1197" s="98">
        <v>22</v>
      </c>
      <c r="K1197" s="89">
        <f t="shared" si="51"/>
        <v>1</v>
      </c>
      <c r="L1197" s="89">
        <v>1053.71</v>
      </c>
      <c r="M1197" s="89">
        <v>3029.52</v>
      </c>
      <c r="N1197" s="89">
        <v>102.9</v>
      </c>
      <c r="O1197" s="89">
        <f t="shared" si="49"/>
        <v>4186.13</v>
      </c>
    </row>
    <row r="1198" spans="1:15">
      <c r="A1198" s="74" t="s">
        <v>113</v>
      </c>
      <c r="B1198" s="74" t="s">
        <v>184</v>
      </c>
      <c r="C1198" s="74" t="s">
        <v>185</v>
      </c>
      <c r="D1198" s="74" t="s">
        <v>79</v>
      </c>
      <c r="E1198" s="74" t="s">
        <v>81</v>
      </c>
      <c r="F1198" s="86" t="s">
        <v>176</v>
      </c>
      <c r="G1198" s="74" t="s">
        <v>177</v>
      </c>
      <c r="H1198" s="87">
        <v>44074</v>
      </c>
      <c r="I1198" s="98">
        <v>22</v>
      </c>
      <c r="J1198" s="98">
        <v>22</v>
      </c>
      <c r="K1198" s="89">
        <f t="shared" si="51"/>
        <v>1</v>
      </c>
      <c r="L1198" s="89">
        <v>3125.82</v>
      </c>
      <c r="M1198" s="89">
        <v>3034.36</v>
      </c>
      <c r="N1198" s="89">
        <v>321.96</v>
      </c>
      <c r="O1198" s="89">
        <f t="shared" si="49"/>
        <v>6482.14</v>
      </c>
    </row>
    <row r="1199" spans="1:15">
      <c r="A1199" s="74" t="s">
        <v>113</v>
      </c>
      <c r="B1199" s="74" t="s">
        <v>186</v>
      </c>
      <c r="C1199" s="74" t="s">
        <v>187</v>
      </c>
      <c r="D1199" s="74" t="s">
        <v>79</v>
      </c>
      <c r="E1199" s="74" t="s">
        <v>81</v>
      </c>
      <c r="F1199" s="86" t="s">
        <v>180</v>
      </c>
      <c r="G1199" s="74" t="s">
        <v>177</v>
      </c>
      <c r="H1199" s="87">
        <v>44074</v>
      </c>
      <c r="I1199" s="98">
        <v>22</v>
      </c>
      <c r="J1199" s="98">
        <v>22</v>
      </c>
      <c r="K1199" s="89">
        <f t="shared" si="51"/>
        <v>1</v>
      </c>
      <c r="L1199" s="89">
        <v>2061.75</v>
      </c>
      <c r="M1199" s="89">
        <v>3011.04</v>
      </c>
      <c r="N1199" s="89">
        <v>205.2</v>
      </c>
      <c r="O1199" s="89">
        <f t="shared" si="49"/>
        <v>5277.99</v>
      </c>
    </row>
    <row r="1200" spans="1:15">
      <c r="A1200" s="74" t="s">
        <v>113</v>
      </c>
      <c r="B1200" s="74" t="s">
        <v>188</v>
      </c>
      <c r="C1200" s="74" t="s">
        <v>189</v>
      </c>
      <c r="D1200" s="74" t="s">
        <v>79</v>
      </c>
      <c r="E1200" s="74" t="s">
        <v>81</v>
      </c>
      <c r="F1200" s="86" t="s">
        <v>183</v>
      </c>
      <c r="G1200" s="74" t="s">
        <v>177</v>
      </c>
      <c r="H1200" s="87">
        <v>44074</v>
      </c>
      <c r="I1200" s="98">
        <v>22</v>
      </c>
      <c r="J1200" s="98">
        <v>22</v>
      </c>
      <c r="K1200" s="89">
        <f t="shared" si="51"/>
        <v>1</v>
      </c>
      <c r="L1200" s="89">
        <v>1036.96</v>
      </c>
      <c r="M1200" s="89">
        <v>3263.01</v>
      </c>
      <c r="N1200" s="89">
        <v>100.72</v>
      </c>
      <c r="O1200" s="89">
        <f t="shared" si="49"/>
        <v>4400.69</v>
      </c>
    </row>
    <row r="1201" spans="1:15">
      <c r="A1201" s="74" t="s">
        <v>113</v>
      </c>
      <c r="B1201" s="74" t="s">
        <v>190</v>
      </c>
      <c r="C1201" s="74" t="s">
        <v>191</v>
      </c>
      <c r="D1201" s="74" t="s">
        <v>79</v>
      </c>
      <c r="E1201" s="74" t="s">
        <v>81</v>
      </c>
      <c r="F1201" s="86" t="s">
        <v>176</v>
      </c>
      <c r="G1201" s="74" t="s">
        <v>177</v>
      </c>
      <c r="H1201" s="87">
        <v>44074</v>
      </c>
      <c r="I1201" s="98">
        <v>22</v>
      </c>
      <c r="J1201" s="98">
        <v>22</v>
      </c>
      <c r="K1201" s="89">
        <f t="shared" si="51"/>
        <v>1</v>
      </c>
      <c r="L1201" s="89">
        <v>3059.77</v>
      </c>
      <c r="M1201" s="89">
        <v>3037.63</v>
      </c>
      <c r="N1201" s="89">
        <v>300.93</v>
      </c>
      <c r="O1201" s="89">
        <f t="shared" si="49"/>
        <v>6398.33</v>
      </c>
    </row>
    <row r="1202" spans="1:15">
      <c r="A1202" s="74" t="s">
        <v>113</v>
      </c>
      <c r="B1202" s="74" t="s">
        <v>192</v>
      </c>
      <c r="C1202" s="74" t="s">
        <v>193</v>
      </c>
      <c r="D1202" s="74" t="s">
        <v>79</v>
      </c>
      <c r="E1202" s="74" t="s">
        <v>81</v>
      </c>
      <c r="F1202" s="86" t="s">
        <v>180</v>
      </c>
      <c r="G1202" s="74" t="s">
        <v>177</v>
      </c>
      <c r="H1202" s="87">
        <v>44074</v>
      </c>
      <c r="I1202" s="98">
        <v>22</v>
      </c>
      <c r="J1202" s="98">
        <v>22</v>
      </c>
      <c r="K1202" s="89">
        <f t="shared" si="51"/>
        <v>1</v>
      </c>
      <c r="L1202" s="89">
        <v>2034.57</v>
      </c>
      <c r="M1202" s="89">
        <v>3185.1</v>
      </c>
      <c r="N1202" s="89">
        <v>213.37</v>
      </c>
      <c r="O1202" s="89">
        <f t="shared" si="49"/>
        <v>5433.04</v>
      </c>
    </row>
    <row r="1203" spans="1:15">
      <c r="A1203" s="74" t="s">
        <v>113</v>
      </c>
      <c r="B1203" s="74" t="s">
        <v>194</v>
      </c>
      <c r="C1203" s="74" t="s">
        <v>195</v>
      </c>
      <c r="D1203" s="74" t="s">
        <v>79</v>
      </c>
      <c r="E1203" s="74" t="s">
        <v>81</v>
      </c>
      <c r="F1203" s="86" t="s">
        <v>183</v>
      </c>
      <c r="G1203" s="74" t="s">
        <v>177</v>
      </c>
      <c r="H1203" s="87">
        <v>44074</v>
      </c>
      <c r="I1203" s="98">
        <v>22</v>
      </c>
      <c r="J1203" s="98">
        <v>22</v>
      </c>
      <c r="K1203" s="89">
        <f t="shared" si="51"/>
        <v>1</v>
      </c>
      <c r="L1203" s="89">
        <v>1093.29</v>
      </c>
      <c r="M1203" s="89">
        <v>3185.37</v>
      </c>
      <c r="N1203" s="89">
        <v>100.14</v>
      </c>
      <c r="O1203" s="89">
        <f t="shared" si="49"/>
        <v>4378.8</v>
      </c>
    </row>
    <row r="1204" spans="1:15">
      <c r="A1204" s="74" t="s">
        <v>113</v>
      </c>
      <c r="B1204" s="74" t="s">
        <v>196</v>
      </c>
      <c r="C1204" s="74" t="s">
        <v>197</v>
      </c>
      <c r="D1204" s="74" t="s">
        <v>79</v>
      </c>
      <c r="E1204" s="74" t="s">
        <v>81</v>
      </c>
      <c r="F1204" s="86" t="s">
        <v>176</v>
      </c>
      <c r="G1204" s="74" t="s">
        <v>177</v>
      </c>
      <c r="H1204" s="87">
        <v>44074</v>
      </c>
      <c r="I1204" s="98">
        <v>22</v>
      </c>
      <c r="J1204" s="98">
        <v>22</v>
      </c>
      <c r="K1204" s="89">
        <f t="shared" si="51"/>
        <v>1</v>
      </c>
      <c r="L1204" s="89">
        <v>3190.75</v>
      </c>
      <c r="M1204" s="89">
        <v>3228.75</v>
      </c>
      <c r="N1204" s="89">
        <v>317.57</v>
      </c>
      <c r="O1204" s="89">
        <f t="shared" si="49"/>
        <v>6737.07</v>
      </c>
    </row>
    <row r="1205" spans="1:15">
      <c r="A1205" s="74" t="s">
        <v>113</v>
      </c>
      <c r="B1205" s="74" t="s">
        <v>198</v>
      </c>
      <c r="C1205" s="74" t="s">
        <v>199</v>
      </c>
      <c r="D1205" s="74" t="s">
        <v>79</v>
      </c>
      <c r="E1205" s="74" t="s">
        <v>81</v>
      </c>
      <c r="F1205" s="86" t="s">
        <v>180</v>
      </c>
      <c r="G1205" s="74" t="s">
        <v>177</v>
      </c>
      <c r="H1205" s="87">
        <v>44074</v>
      </c>
      <c r="I1205" s="98">
        <v>22</v>
      </c>
      <c r="J1205" s="98">
        <v>22</v>
      </c>
      <c r="K1205" s="89">
        <f t="shared" si="51"/>
        <v>1</v>
      </c>
      <c r="L1205" s="89">
        <v>2129.42</v>
      </c>
      <c r="M1205" s="89">
        <v>3028.5</v>
      </c>
      <c r="N1205" s="89">
        <v>212.86</v>
      </c>
      <c r="O1205" s="89">
        <f t="shared" si="49"/>
        <v>5370.78</v>
      </c>
    </row>
    <row r="1206" spans="1:15">
      <c r="A1206" s="74" t="s">
        <v>113</v>
      </c>
      <c r="B1206" s="74" t="s">
        <v>200</v>
      </c>
      <c r="C1206" s="74" t="s">
        <v>201</v>
      </c>
      <c r="D1206" s="74" t="s">
        <v>79</v>
      </c>
      <c r="E1206" s="74" t="s">
        <v>81</v>
      </c>
      <c r="F1206" s="86" t="s">
        <v>183</v>
      </c>
      <c r="G1206" s="74" t="s">
        <v>177</v>
      </c>
      <c r="H1206" s="87">
        <v>44074</v>
      </c>
      <c r="I1206" s="98">
        <v>22</v>
      </c>
      <c r="J1206" s="98">
        <v>22</v>
      </c>
      <c r="K1206" s="89">
        <f t="shared" si="51"/>
        <v>1</v>
      </c>
      <c r="L1206" s="89">
        <v>1028.88</v>
      </c>
      <c r="M1206" s="89">
        <v>3041.92</v>
      </c>
      <c r="N1206" s="89">
        <v>101.88</v>
      </c>
      <c r="O1206" s="89">
        <f t="shared" si="49"/>
        <v>4172.68</v>
      </c>
    </row>
    <row r="1207" spans="1:15">
      <c r="A1207" s="74" t="s">
        <v>113</v>
      </c>
      <c r="B1207" s="74" t="s">
        <v>202</v>
      </c>
      <c r="C1207" s="74" t="s">
        <v>203</v>
      </c>
      <c r="D1207" s="74" t="s">
        <v>79</v>
      </c>
      <c r="E1207" s="74" t="s">
        <v>81</v>
      </c>
      <c r="F1207" s="86" t="s">
        <v>204</v>
      </c>
      <c r="G1207" s="74" t="s">
        <v>205</v>
      </c>
      <c r="H1207" s="87">
        <v>44074</v>
      </c>
      <c r="I1207" s="98">
        <v>22</v>
      </c>
      <c r="J1207" s="98">
        <v>22</v>
      </c>
      <c r="K1207" s="89">
        <f t="shared" si="51"/>
        <v>1</v>
      </c>
      <c r="L1207" s="89">
        <v>18424.7</v>
      </c>
      <c r="M1207" s="89">
        <v>3243.1</v>
      </c>
      <c r="N1207" s="89">
        <v>1931.3</v>
      </c>
      <c r="O1207" s="89">
        <f t="shared" si="49"/>
        <v>23599.1</v>
      </c>
    </row>
    <row r="1208" spans="1:15">
      <c r="A1208" s="74" t="s">
        <v>113</v>
      </c>
      <c r="B1208" s="74" t="s">
        <v>206</v>
      </c>
      <c r="C1208" s="74" t="s">
        <v>207</v>
      </c>
      <c r="D1208" s="88" t="s">
        <v>82</v>
      </c>
      <c r="E1208" s="88" t="s">
        <v>84</v>
      </c>
      <c r="F1208" s="86" t="s">
        <v>208</v>
      </c>
      <c r="G1208" s="74" t="s">
        <v>209</v>
      </c>
      <c r="H1208" s="87">
        <v>44074</v>
      </c>
      <c r="I1208" s="98">
        <v>22</v>
      </c>
      <c r="J1208" s="98">
        <v>22</v>
      </c>
      <c r="K1208" s="89">
        <f t="shared" si="51"/>
        <v>1</v>
      </c>
      <c r="L1208" s="89">
        <v>9099.2</v>
      </c>
      <c r="M1208" s="89">
        <v>3025.7</v>
      </c>
      <c r="N1208" s="89">
        <v>941.89</v>
      </c>
      <c r="O1208" s="89">
        <f t="shared" si="49"/>
        <v>13066.79</v>
      </c>
    </row>
    <row r="1209" spans="1:15">
      <c r="A1209" s="74" t="s">
        <v>113</v>
      </c>
      <c r="B1209" s="74" t="s">
        <v>210</v>
      </c>
      <c r="C1209" s="74" t="s">
        <v>211</v>
      </c>
      <c r="D1209" s="88" t="s">
        <v>82</v>
      </c>
      <c r="E1209" s="88" t="s">
        <v>84</v>
      </c>
      <c r="F1209" s="86" t="s">
        <v>116</v>
      </c>
      <c r="G1209" s="74" t="s">
        <v>209</v>
      </c>
      <c r="H1209" s="87">
        <v>44074</v>
      </c>
      <c r="I1209" s="98">
        <v>22</v>
      </c>
      <c r="J1209" s="98">
        <v>22</v>
      </c>
      <c r="K1209" s="89">
        <f t="shared" si="51"/>
        <v>1</v>
      </c>
      <c r="L1209" s="89">
        <v>8648.1</v>
      </c>
      <c r="M1209" s="89">
        <v>3027.84</v>
      </c>
      <c r="N1209" s="89">
        <v>838.61</v>
      </c>
      <c r="O1209" s="89">
        <f t="shared" si="49"/>
        <v>12514.55</v>
      </c>
    </row>
    <row r="1210" spans="1:15">
      <c r="A1210" s="74" t="s">
        <v>113</v>
      </c>
      <c r="B1210" s="74" t="s">
        <v>212</v>
      </c>
      <c r="C1210" s="74" t="s">
        <v>213</v>
      </c>
      <c r="D1210" s="88" t="s">
        <v>82</v>
      </c>
      <c r="E1210" s="88" t="s">
        <v>84</v>
      </c>
      <c r="F1210" s="86" t="s">
        <v>208</v>
      </c>
      <c r="G1210" s="74" t="s">
        <v>209</v>
      </c>
      <c r="H1210" s="87">
        <v>44074</v>
      </c>
      <c r="I1210" s="98">
        <v>22</v>
      </c>
      <c r="J1210" s="98">
        <v>22</v>
      </c>
      <c r="K1210" s="89">
        <f t="shared" si="51"/>
        <v>1</v>
      </c>
      <c r="L1210" s="89">
        <v>9085.59</v>
      </c>
      <c r="M1210" s="89">
        <v>3032.92</v>
      </c>
      <c r="N1210" s="89">
        <v>929.28</v>
      </c>
      <c r="O1210" s="89">
        <f t="shared" si="49"/>
        <v>13047.79</v>
      </c>
    </row>
    <row r="1211" spans="1:15">
      <c r="A1211" s="74" t="s">
        <v>113</v>
      </c>
      <c r="B1211" s="74" t="s">
        <v>214</v>
      </c>
      <c r="C1211" s="74" t="s">
        <v>215</v>
      </c>
      <c r="D1211" s="88" t="s">
        <v>82</v>
      </c>
      <c r="E1211" s="88" t="s">
        <v>84</v>
      </c>
      <c r="F1211" s="86" t="s">
        <v>116</v>
      </c>
      <c r="G1211" s="74" t="s">
        <v>209</v>
      </c>
      <c r="H1211" s="87">
        <v>44074</v>
      </c>
      <c r="I1211" s="98">
        <v>22</v>
      </c>
      <c r="J1211" s="98">
        <v>22</v>
      </c>
      <c r="K1211" s="89">
        <f t="shared" si="51"/>
        <v>1</v>
      </c>
      <c r="L1211" s="89">
        <v>8357.11</v>
      </c>
      <c r="M1211" s="89">
        <v>3266.78</v>
      </c>
      <c r="N1211" s="89">
        <v>830.67</v>
      </c>
      <c r="O1211" s="89">
        <f t="shared" si="49"/>
        <v>12454.56</v>
      </c>
    </row>
    <row r="1212" spans="1:15">
      <c r="A1212" s="74" t="s">
        <v>113</v>
      </c>
      <c r="B1212" s="74" t="s">
        <v>216</v>
      </c>
      <c r="C1212" s="74" t="s">
        <v>217</v>
      </c>
      <c r="D1212" s="88" t="s">
        <v>82</v>
      </c>
      <c r="E1212" s="88" t="s">
        <v>84</v>
      </c>
      <c r="F1212" s="86" t="s">
        <v>218</v>
      </c>
      <c r="G1212" s="74" t="s">
        <v>219</v>
      </c>
      <c r="H1212" s="87">
        <v>44074</v>
      </c>
      <c r="I1212" s="98">
        <v>22</v>
      </c>
      <c r="J1212" s="98">
        <v>22</v>
      </c>
      <c r="K1212" s="89">
        <f t="shared" si="51"/>
        <v>1</v>
      </c>
      <c r="L1212" s="89">
        <v>11144.34</v>
      </c>
      <c r="M1212" s="89">
        <v>3118.24</v>
      </c>
      <c r="N1212" s="89">
        <v>1207.23</v>
      </c>
      <c r="O1212" s="89">
        <f t="shared" si="49"/>
        <v>15469.81</v>
      </c>
    </row>
    <row r="1213" spans="1:15">
      <c r="A1213" s="74" t="s">
        <v>113</v>
      </c>
      <c r="B1213" s="74" t="s">
        <v>220</v>
      </c>
      <c r="C1213" s="74" t="s">
        <v>221</v>
      </c>
      <c r="D1213" s="88" t="s">
        <v>82</v>
      </c>
      <c r="E1213" s="74" t="s">
        <v>83</v>
      </c>
      <c r="F1213" s="86" t="s">
        <v>218</v>
      </c>
      <c r="G1213" s="74" t="s">
        <v>222</v>
      </c>
      <c r="H1213" s="87">
        <v>44074</v>
      </c>
      <c r="I1213" s="98">
        <v>22</v>
      </c>
      <c r="J1213" s="98">
        <v>22</v>
      </c>
      <c r="K1213" s="89">
        <f t="shared" si="51"/>
        <v>1</v>
      </c>
      <c r="L1213" s="89">
        <v>11962.46</v>
      </c>
      <c r="M1213" s="89">
        <v>3008.05</v>
      </c>
      <c r="N1213" s="89">
        <v>1190.24</v>
      </c>
      <c r="O1213" s="89">
        <f t="shared" si="49"/>
        <v>16160.75</v>
      </c>
    </row>
    <row r="1214" spans="1:15">
      <c r="A1214" s="74" t="s">
        <v>113</v>
      </c>
      <c r="B1214" s="74" t="s">
        <v>223</v>
      </c>
      <c r="C1214" s="74" t="s">
        <v>224</v>
      </c>
      <c r="D1214" s="88" t="s">
        <v>82</v>
      </c>
      <c r="E1214" s="74" t="s">
        <v>83</v>
      </c>
      <c r="F1214" s="86" t="s">
        <v>225</v>
      </c>
      <c r="G1214" s="74" t="s">
        <v>209</v>
      </c>
      <c r="H1214" s="87">
        <v>44074</v>
      </c>
      <c r="I1214" s="98">
        <v>22</v>
      </c>
      <c r="J1214" s="98">
        <v>22</v>
      </c>
      <c r="K1214" s="89">
        <f t="shared" si="51"/>
        <v>1</v>
      </c>
      <c r="L1214" s="89">
        <v>10490.56</v>
      </c>
      <c r="M1214" s="89">
        <v>3014.16</v>
      </c>
      <c r="N1214" s="89">
        <v>1009.2</v>
      </c>
      <c r="O1214" s="89">
        <f t="shared" si="49"/>
        <v>14513.92</v>
      </c>
    </row>
    <row r="1215" spans="1:15">
      <c r="A1215" s="74" t="s">
        <v>113</v>
      </c>
      <c r="B1215" s="74" t="s">
        <v>226</v>
      </c>
      <c r="C1215" s="74" t="s">
        <v>227</v>
      </c>
      <c r="D1215" s="88" t="s">
        <v>82</v>
      </c>
      <c r="E1215" s="74" t="s">
        <v>83</v>
      </c>
      <c r="F1215" s="86" t="s">
        <v>208</v>
      </c>
      <c r="G1215" s="74" t="s">
        <v>209</v>
      </c>
      <c r="H1215" s="87">
        <v>44074</v>
      </c>
      <c r="I1215" s="98">
        <v>22</v>
      </c>
      <c r="J1215" s="98">
        <v>22</v>
      </c>
      <c r="K1215" s="89">
        <f t="shared" si="51"/>
        <v>1</v>
      </c>
      <c r="L1215" s="89">
        <v>9498.09</v>
      </c>
      <c r="M1215" s="89">
        <v>3008.73</v>
      </c>
      <c r="N1215" s="89">
        <v>930.47</v>
      </c>
      <c r="O1215" s="89">
        <f t="shared" si="49"/>
        <v>13437.29</v>
      </c>
    </row>
    <row r="1216" spans="1:15">
      <c r="A1216" s="74" t="s">
        <v>113</v>
      </c>
      <c r="B1216" s="74" t="s">
        <v>228</v>
      </c>
      <c r="C1216" s="74" t="s">
        <v>229</v>
      </c>
      <c r="D1216" s="88" t="s">
        <v>82</v>
      </c>
      <c r="E1216" s="74" t="s">
        <v>83</v>
      </c>
      <c r="F1216" s="86" t="s">
        <v>116</v>
      </c>
      <c r="G1216" s="74" t="s">
        <v>209</v>
      </c>
      <c r="H1216" s="87">
        <v>44074</v>
      </c>
      <c r="I1216" s="98">
        <v>22</v>
      </c>
      <c r="J1216" s="98">
        <v>22</v>
      </c>
      <c r="K1216" s="89">
        <f t="shared" si="51"/>
        <v>1</v>
      </c>
      <c r="L1216" s="89">
        <v>8210.51</v>
      </c>
      <c r="M1216" s="89">
        <v>3118.46</v>
      </c>
      <c r="N1216" s="89">
        <v>833.58</v>
      </c>
      <c r="O1216" s="89">
        <f t="shared" si="49"/>
        <v>12162.55</v>
      </c>
    </row>
    <row r="1217" spans="1:15">
      <c r="A1217" s="74" t="s">
        <v>113</v>
      </c>
      <c r="B1217" s="74" t="s">
        <v>230</v>
      </c>
      <c r="C1217" s="74" t="s">
        <v>231</v>
      </c>
      <c r="D1217" s="88" t="s">
        <v>82</v>
      </c>
      <c r="E1217" s="74" t="s">
        <v>83</v>
      </c>
      <c r="F1217" s="86" t="s">
        <v>120</v>
      </c>
      <c r="G1217" s="74" t="s">
        <v>209</v>
      </c>
      <c r="H1217" s="87">
        <v>44074</v>
      </c>
      <c r="I1217" s="98">
        <v>22</v>
      </c>
      <c r="J1217" s="98">
        <v>22</v>
      </c>
      <c r="K1217" s="89">
        <f t="shared" si="51"/>
        <v>1</v>
      </c>
      <c r="L1217" s="89">
        <v>7674.83</v>
      </c>
      <c r="M1217" s="89">
        <v>3054.81</v>
      </c>
      <c r="N1217" s="89">
        <v>712.8</v>
      </c>
      <c r="O1217" s="89">
        <f t="shared" si="49"/>
        <v>11442.44</v>
      </c>
    </row>
    <row r="1218" spans="1:15">
      <c r="A1218" s="74" t="s">
        <v>113</v>
      </c>
      <c r="B1218" s="74" t="s">
        <v>232</v>
      </c>
      <c r="C1218" s="74" t="s">
        <v>233</v>
      </c>
      <c r="D1218" s="88" t="s">
        <v>82</v>
      </c>
      <c r="E1218" s="74" t="s">
        <v>83</v>
      </c>
      <c r="F1218" s="86" t="s">
        <v>123</v>
      </c>
      <c r="G1218" s="74" t="s">
        <v>209</v>
      </c>
      <c r="H1218" s="87">
        <v>44074</v>
      </c>
      <c r="I1218" s="98">
        <v>22</v>
      </c>
      <c r="J1218" s="98">
        <v>22</v>
      </c>
      <c r="K1218" s="89">
        <f t="shared" si="51"/>
        <v>1</v>
      </c>
      <c r="L1218" s="89">
        <v>6506.56</v>
      </c>
      <c r="M1218" s="89">
        <v>3087.24</v>
      </c>
      <c r="N1218" s="89">
        <v>642.44</v>
      </c>
      <c r="O1218" s="89">
        <f t="shared" si="49"/>
        <v>10236.24</v>
      </c>
    </row>
    <row r="1219" spans="1:15">
      <c r="A1219" s="74" t="s">
        <v>113</v>
      </c>
      <c r="B1219" s="74" t="s">
        <v>234</v>
      </c>
      <c r="C1219" s="74" t="s">
        <v>235</v>
      </c>
      <c r="D1219" s="88" t="s">
        <v>82</v>
      </c>
      <c r="E1219" s="74" t="s">
        <v>83</v>
      </c>
      <c r="F1219" s="86" t="s">
        <v>116</v>
      </c>
      <c r="G1219" s="74" t="s">
        <v>209</v>
      </c>
      <c r="H1219" s="87">
        <v>44074</v>
      </c>
      <c r="I1219" s="98">
        <v>22</v>
      </c>
      <c r="J1219" s="98">
        <v>22</v>
      </c>
      <c r="K1219" s="89">
        <f t="shared" si="51"/>
        <v>1</v>
      </c>
      <c r="L1219" s="89">
        <v>8381.25</v>
      </c>
      <c r="M1219" s="89">
        <v>3037.56</v>
      </c>
      <c r="N1219" s="89">
        <v>828.94</v>
      </c>
      <c r="O1219" s="89">
        <f t="shared" si="49"/>
        <v>12247.75</v>
      </c>
    </row>
    <row r="1220" spans="1:15">
      <c r="A1220" s="74" t="s">
        <v>113</v>
      </c>
      <c r="B1220" s="74" t="s">
        <v>236</v>
      </c>
      <c r="C1220" s="74" t="s">
        <v>237</v>
      </c>
      <c r="D1220" s="88" t="s">
        <v>82</v>
      </c>
      <c r="E1220" s="74" t="s">
        <v>83</v>
      </c>
      <c r="F1220" s="86" t="s">
        <v>120</v>
      </c>
      <c r="G1220" s="74" t="s">
        <v>209</v>
      </c>
      <c r="H1220" s="87">
        <v>44074</v>
      </c>
      <c r="I1220" s="98">
        <v>22</v>
      </c>
      <c r="J1220" s="98">
        <v>22</v>
      </c>
      <c r="K1220" s="89">
        <f t="shared" si="51"/>
        <v>1</v>
      </c>
      <c r="L1220" s="89">
        <v>7610.79</v>
      </c>
      <c r="M1220" s="89">
        <v>3045.76</v>
      </c>
      <c r="N1220" s="89">
        <v>735.43</v>
      </c>
      <c r="O1220" s="89">
        <f t="shared" si="49"/>
        <v>11391.98</v>
      </c>
    </row>
    <row r="1221" spans="1:15">
      <c r="A1221" s="74" t="s">
        <v>113</v>
      </c>
      <c r="B1221" s="74" t="s">
        <v>238</v>
      </c>
      <c r="C1221" s="74" t="s">
        <v>239</v>
      </c>
      <c r="D1221" s="74" t="s">
        <v>86</v>
      </c>
      <c r="E1221" s="74" t="s">
        <v>87</v>
      </c>
      <c r="F1221" s="86" t="s">
        <v>204</v>
      </c>
      <c r="G1221" s="74" t="s">
        <v>240</v>
      </c>
      <c r="H1221" s="87">
        <v>44074</v>
      </c>
      <c r="I1221" s="98">
        <v>22</v>
      </c>
      <c r="J1221" s="98">
        <v>22</v>
      </c>
      <c r="K1221" s="89">
        <f t="shared" si="51"/>
        <v>1</v>
      </c>
      <c r="L1221" s="89">
        <v>15118.4</v>
      </c>
      <c r="M1221" s="89">
        <v>3104.97</v>
      </c>
      <c r="N1221" s="89">
        <v>1912.21</v>
      </c>
      <c r="O1221" s="89">
        <f t="shared" ref="O1221:O1284" si="52">SUM(L1221:N1221)</f>
        <v>20135.58</v>
      </c>
    </row>
    <row r="1222" spans="1:15">
      <c r="A1222" s="74" t="s">
        <v>113</v>
      </c>
      <c r="B1222" s="74" t="s">
        <v>241</v>
      </c>
      <c r="C1222" s="74" t="s">
        <v>242</v>
      </c>
      <c r="D1222" s="74" t="s">
        <v>86</v>
      </c>
      <c r="E1222" s="74" t="s">
        <v>87</v>
      </c>
      <c r="F1222" s="86" t="s">
        <v>243</v>
      </c>
      <c r="G1222" s="74" t="s">
        <v>244</v>
      </c>
      <c r="H1222" s="87">
        <v>44074</v>
      </c>
      <c r="I1222" s="98">
        <v>22</v>
      </c>
      <c r="J1222" s="98">
        <v>22</v>
      </c>
      <c r="K1222" s="89">
        <f t="shared" si="51"/>
        <v>1</v>
      </c>
      <c r="L1222" s="89">
        <v>10451.55</v>
      </c>
      <c r="M1222" s="89">
        <v>3240.22</v>
      </c>
      <c r="N1222" s="89">
        <v>1407.92</v>
      </c>
      <c r="O1222" s="89">
        <f t="shared" si="52"/>
        <v>15099.69</v>
      </c>
    </row>
    <row r="1223" spans="1:15">
      <c r="A1223" s="74" t="s">
        <v>113</v>
      </c>
      <c r="B1223" s="74" t="s">
        <v>245</v>
      </c>
      <c r="C1223" s="74" t="s">
        <v>246</v>
      </c>
      <c r="D1223" s="74" t="s">
        <v>86</v>
      </c>
      <c r="E1223" s="74" t="s">
        <v>87</v>
      </c>
      <c r="F1223" s="86" t="s">
        <v>247</v>
      </c>
      <c r="G1223" s="74" t="s">
        <v>248</v>
      </c>
      <c r="H1223" s="87">
        <v>44074</v>
      </c>
      <c r="I1223" s="98">
        <v>22</v>
      </c>
      <c r="J1223" s="98">
        <v>22</v>
      </c>
      <c r="K1223" s="89">
        <f t="shared" si="51"/>
        <v>1</v>
      </c>
      <c r="L1223" s="89">
        <v>10032.29</v>
      </c>
      <c r="M1223" s="89">
        <v>3187.62</v>
      </c>
      <c r="N1223" s="89">
        <v>1315.76</v>
      </c>
      <c r="O1223" s="89">
        <f t="shared" si="52"/>
        <v>14535.67</v>
      </c>
    </row>
    <row r="1224" spans="1:15">
      <c r="A1224" s="74" t="s">
        <v>113</v>
      </c>
      <c r="B1224" s="74" t="s">
        <v>249</v>
      </c>
      <c r="C1224" s="74" t="s">
        <v>250</v>
      </c>
      <c r="D1224" s="74" t="s">
        <v>86</v>
      </c>
      <c r="E1224" s="74" t="s">
        <v>87</v>
      </c>
      <c r="F1224" s="86" t="s">
        <v>251</v>
      </c>
      <c r="G1224" s="74" t="s">
        <v>252</v>
      </c>
      <c r="H1224" s="87">
        <v>44074</v>
      </c>
      <c r="I1224" s="98">
        <v>22</v>
      </c>
      <c r="J1224" s="98">
        <v>22</v>
      </c>
      <c r="K1224" s="89">
        <f t="shared" si="51"/>
        <v>1</v>
      </c>
      <c r="L1224" s="89">
        <v>8909.4</v>
      </c>
      <c r="M1224" s="89">
        <v>3168.24</v>
      </c>
      <c r="N1224" s="89">
        <v>1184.77</v>
      </c>
      <c r="O1224" s="89">
        <f t="shared" si="52"/>
        <v>13262.41</v>
      </c>
    </row>
    <row r="1225" spans="1:15">
      <c r="A1225" s="74" t="s">
        <v>113</v>
      </c>
      <c r="B1225" s="74" t="s">
        <v>253</v>
      </c>
      <c r="C1225" s="74" t="s">
        <v>254</v>
      </c>
      <c r="D1225" s="74" t="s">
        <v>86</v>
      </c>
      <c r="E1225" s="74" t="s">
        <v>87</v>
      </c>
      <c r="F1225" s="86" t="s">
        <v>255</v>
      </c>
      <c r="G1225" s="74" t="s">
        <v>252</v>
      </c>
      <c r="H1225" s="87">
        <v>44074</v>
      </c>
      <c r="I1225" s="98">
        <v>22</v>
      </c>
      <c r="J1225" s="98">
        <v>22</v>
      </c>
      <c r="K1225" s="89">
        <f t="shared" si="51"/>
        <v>1</v>
      </c>
      <c r="L1225" s="89">
        <v>8094.7</v>
      </c>
      <c r="M1225" s="89">
        <v>3055.69</v>
      </c>
      <c r="N1225" s="89">
        <v>1077.85</v>
      </c>
      <c r="O1225" s="89">
        <f t="shared" si="52"/>
        <v>12228.24</v>
      </c>
    </row>
    <row r="1226" spans="1:15">
      <c r="A1226" s="74" t="s">
        <v>113</v>
      </c>
      <c r="B1226" s="74" t="s">
        <v>256</v>
      </c>
      <c r="C1226" s="74" t="s">
        <v>257</v>
      </c>
      <c r="D1226" s="74" t="s">
        <v>86</v>
      </c>
      <c r="E1226" s="74" t="s">
        <v>87</v>
      </c>
      <c r="F1226" s="86" t="s">
        <v>258</v>
      </c>
      <c r="G1226" s="74" t="s">
        <v>252</v>
      </c>
      <c r="H1226" s="87">
        <v>44074</v>
      </c>
      <c r="I1226" s="98">
        <v>22</v>
      </c>
      <c r="J1226" s="98">
        <v>22</v>
      </c>
      <c r="K1226" s="89">
        <f t="shared" si="51"/>
        <v>1</v>
      </c>
      <c r="L1226" s="89">
        <v>7448.57</v>
      </c>
      <c r="M1226" s="89">
        <v>3086.47</v>
      </c>
      <c r="N1226" s="89">
        <v>907.53</v>
      </c>
      <c r="O1226" s="89">
        <f t="shared" si="52"/>
        <v>11442.57</v>
      </c>
    </row>
    <row r="1227" spans="1:15">
      <c r="A1227" s="74" t="s">
        <v>113</v>
      </c>
      <c r="B1227" s="74" t="s">
        <v>259</v>
      </c>
      <c r="C1227" s="74" t="s">
        <v>260</v>
      </c>
      <c r="D1227" s="74" t="s">
        <v>86</v>
      </c>
      <c r="E1227" s="74" t="s">
        <v>87</v>
      </c>
      <c r="F1227" s="86" t="s">
        <v>261</v>
      </c>
      <c r="G1227" s="74" t="s">
        <v>262</v>
      </c>
      <c r="H1227" s="87">
        <v>44074</v>
      </c>
      <c r="I1227" s="98">
        <v>22</v>
      </c>
      <c r="J1227" s="98">
        <v>22</v>
      </c>
      <c r="K1227" s="89">
        <f t="shared" si="51"/>
        <v>1</v>
      </c>
      <c r="L1227" s="89">
        <v>6867.93</v>
      </c>
      <c r="M1227" s="89">
        <v>3140.48</v>
      </c>
      <c r="N1227" s="89">
        <v>839.46</v>
      </c>
      <c r="O1227" s="89">
        <f t="shared" si="52"/>
        <v>10847.87</v>
      </c>
    </row>
    <row r="1228" spans="1:15">
      <c r="A1228" s="74" t="s">
        <v>113</v>
      </c>
      <c r="B1228" s="74" t="s">
        <v>263</v>
      </c>
      <c r="C1228" s="74" t="s">
        <v>264</v>
      </c>
      <c r="D1228" s="74" t="s">
        <v>86</v>
      </c>
      <c r="E1228" s="74" t="s">
        <v>88</v>
      </c>
      <c r="F1228" s="86" t="s">
        <v>149</v>
      </c>
      <c r="G1228" s="74" t="s">
        <v>265</v>
      </c>
      <c r="H1228" s="87">
        <v>44074</v>
      </c>
      <c r="I1228" s="98">
        <v>22</v>
      </c>
      <c r="J1228" s="98">
        <v>22</v>
      </c>
      <c r="K1228" s="89">
        <f t="shared" si="51"/>
        <v>1</v>
      </c>
      <c r="L1228" s="89">
        <v>14751.66</v>
      </c>
      <c r="M1228" s="89">
        <v>3009.39</v>
      </c>
      <c r="N1228" s="89">
        <v>1751.98</v>
      </c>
      <c r="O1228" s="89">
        <f t="shared" si="52"/>
        <v>19513.03</v>
      </c>
    </row>
    <row r="1229" spans="1:15">
      <c r="A1229" s="74" t="s">
        <v>113</v>
      </c>
      <c r="B1229" s="74" t="s">
        <v>266</v>
      </c>
      <c r="C1229" s="74" t="s">
        <v>267</v>
      </c>
      <c r="D1229" s="74" t="s">
        <v>86</v>
      </c>
      <c r="E1229" s="74" t="s">
        <v>88</v>
      </c>
      <c r="F1229" s="86" t="s">
        <v>243</v>
      </c>
      <c r="G1229" s="74" t="s">
        <v>268</v>
      </c>
      <c r="H1229" s="87">
        <v>44074</v>
      </c>
      <c r="I1229" s="98">
        <v>22</v>
      </c>
      <c r="J1229" s="98">
        <v>22</v>
      </c>
      <c r="K1229" s="89">
        <f t="shared" si="51"/>
        <v>1</v>
      </c>
      <c r="L1229" s="89">
        <v>11032.93</v>
      </c>
      <c r="M1229" s="89">
        <v>3207.19</v>
      </c>
      <c r="N1229" s="89">
        <v>1390.86</v>
      </c>
      <c r="O1229" s="89">
        <f t="shared" si="52"/>
        <v>15630.98</v>
      </c>
    </row>
    <row r="1230" spans="1:15">
      <c r="A1230" s="74" t="s">
        <v>113</v>
      </c>
      <c r="B1230" s="74" t="s">
        <v>269</v>
      </c>
      <c r="C1230" s="74" t="s">
        <v>270</v>
      </c>
      <c r="D1230" s="74" t="s">
        <v>86</v>
      </c>
      <c r="E1230" s="74" t="s">
        <v>88</v>
      </c>
      <c r="F1230" s="86" t="s">
        <v>247</v>
      </c>
      <c r="G1230" s="74" t="s">
        <v>268</v>
      </c>
      <c r="H1230" s="87">
        <v>44074</v>
      </c>
      <c r="I1230" s="98">
        <v>22</v>
      </c>
      <c r="J1230" s="98">
        <v>22</v>
      </c>
      <c r="K1230" s="89">
        <f t="shared" si="51"/>
        <v>1</v>
      </c>
      <c r="L1230" s="89">
        <v>10192.12</v>
      </c>
      <c r="M1230" s="89">
        <v>3161.43</v>
      </c>
      <c r="N1230" s="89">
        <v>1229.05</v>
      </c>
      <c r="O1230" s="89">
        <f t="shared" si="52"/>
        <v>14582.6</v>
      </c>
    </row>
    <row r="1231" spans="1:15">
      <c r="A1231" s="74" t="s">
        <v>113</v>
      </c>
      <c r="B1231" s="74" t="s">
        <v>271</v>
      </c>
      <c r="C1231" s="74" t="s">
        <v>272</v>
      </c>
      <c r="D1231" s="74" t="s">
        <v>86</v>
      </c>
      <c r="E1231" s="74" t="s">
        <v>88</v>
      </c>
      <c r="F1231" s="86" t="s">
        <v>251</v>
      </c>
      <c r="G1231" s="74" t="s">
        <v>268</v>
      </c>
      <c r="H1231" s="87">
        <v>44074</v>
      </c>
      <c r="I1231" s="98">
        <v>22</v>
      </c>
      <c r="J1231" s="98">
        <v>22</v>
      </c>
      <c r="K1231" s="89">
        <f t="shared" si="51"/>
        <v>1</v>
      </c>
      <c r="L1231" s="89">
        <v>9313.82</v>
      </c>
      <c r="M1231" s="89">
        <v>3041.76</v>
      </c>
      <c r="N1231" s="89">
        <v>1116.55</v>
      </c>
      <c r="O1231" s="89">
        <f t="shared" si="52"/>
        <v>13472.13</v>
      </c>
    </row>
    <row r="1232" spans="1:15">
      <c r="A1232" s="74" t="s">
        <v>113</v>
      </c>
      <c r="B1232" s="74" t="s">
        <v>273</v>
      </c>
      <c r="C1232" s="74" t="s">
        <v>274</v>
      </c>
      <c r="D1232" s="74" t="s">
        <v>86</v>
      </c>
      <c r="E1232" s="74" t="s">
        <v>88</v>
      </c>
      <c r="F1232" s="86" t="s">
        <v>255</v>
      </c>
      <c r="G1232" s="74" t="s">
        <v>268</v>
      </c>
      <c r="H1232" s="87">
        <v>44074</v>
      </c>
      <c r="I1232" s="98">
        <v>22</v>
      </c>
      <c r="J1232" s="98">
        <v>22</v>
      </c>
      <c r="K1232" s="89">
        <f t="shared" si="51"/>
        <v>1</v>
      </c>
      <c r="L1232" s="89">
        <v>8105.86</v>
      </c>
      <c r="M1232" s="89">
        <v>3159.75</v>
      </c>
      <c r="N1232" s="89">
        <v>1016.24</v>
      </c>
      <c r="O1232" s="89">
        <f t="shared" si="52"/>
        <v>12281.85</v>
      </c>
    </row>
    <row r="1233" spans="1:15">
      <c r="A1233" s="74" t="s">
        <v>113</v>
      </c>
      <c r="B1233" s="74" t="s">
        <v>275</v>
      </c>
      <c r="C1233" s="74" t="s">
        <v>276</v>
      </c>
      <c r="D1233" s="74" t="s">
        <v>86</v>
      </c>
      <c r="E1233" s="74" t="s">
        <v>88</v>
      </c>
      <c r="F1233" s="86" t="s">
        <v>258</v>
      </c>
      <c r="G1233" s="74" t="s">
        <v>268</v>
      </c>
      <c r="H1233" s="87">
        <v>44074</v>
      </c>
      <c r="I1233" s="98">
        <v>22</v>
      </c>
      <c r="J1233" s="98">
        <v>22</v>
      </c>
      <c r="K1233" s="89">
        <f t="shared" si="51"/>
        <v>1</v>
      </c>
      <c r="L1233" s="89">
        <v>7731.61</v>
      </c>
      <c r="M1233" s="89">
        <v>3270.98</v>
      </c>
      <c r="N1233" s="89">
        <v>901.4</v>
      </c>
      <c r="O1233" s="89">
        <f t="shared" si="52"/>
        <v>11903.99</v>
      </c>
    </row>
    <row r="1234" spans="1:15">
      <c r="A1234" s="74" t="s">
        <v>113</v>
      </c>
      <c r="B1234" s="74" t="s">
        <v>277</v>
      </c>
      <c r="C1234" s="74" t="s">
        <v>278</v>
      </c>
      <c r="D1234" s="74" t="s">
        <v>86</v>
      </c>
      <c r="E1234" s="74" t="s">
        <v>89</v>
      </c>
      <c r="F1234" s="86" t="s">
        <v>279</v>
      </c>
      <c r="G1234" s="74" t="s">
        <v>280</v>
      </c>
      <c r="H1234" s="87">
        <v>44074</v>
      </c>
      <c r="I1234" s="98">
        <v>22</v>
      </c>
      <c r="J1234" s="98">
        <v>22</v>
      </c>
      <c r="K1234" s="89">
        <f t="shared" si="51"/>
        <v>1</v>
      </c>
      <c r="L1234" s="89">
        <v>12037.97</v>
      </c>
      <c r="M1234" s="89">
        <v>3083.26</v>
      </c>
      <c r="N1234" s="89">
        <v>1612.7</v>
      </c>
      <c r="O1234" s="89">
        <f t="shared" si="52"/>
        <v>16733.93</v>
      </c>
    </row>
    <row r="1235" spans="1:15">
      <c r="A1235" s="74" t="s">
        <v>113</v>
      </c>
      <c r="B1235" s="74" t="s">
        <v>281</v>
      </c>
      <c r="C1235" s="74" t="s">
        <v>282</v>
      </c>
      <c r="D1235" s="74" t="s">
        <v>86</v>
      </c>
      <c r="E1235" s="74" t="s">
        <v>89</v>
      </c>
      <c r="F1235" s="86" t="s">
        <v>225</v>
      </c>
      <c r="G1235" s="74" t="s">
        <v>283</v>
      </c>
      <c r="H1235" s="87">
        <v>44074</v>
      </c>
      <c r="I1235" s="98">
        <v>22</v>
      </c>
      <c r="J1235" s="98">
        <v>22</v>
      </c>
      <c r="K1235" s="89">
        <f t="shared" si="51"/>
        <v>1</v>
      </c>
      <c r="L1235" s="89">
        <v>8583.17</v>
      </c>
      <c r="M1235" s="89">
        <v>3255.95</v>
      </c>
      <c r="N1235" s="89">
        <v>1054.17</v>
      </c>
      <c r="O1235" s="89">
        <f t="shared" si="52"/>
        <v>12893.29</v>
      </c>
    </row>
    <row r="1236" spans="1:15">
      <c r="A1236" s="74" t="s">
        <v>113</v>
      </c>
      <c r="B1236" s="74" t="s">
        <v>284</v>
      </c>
      <c r="C1236" s="74" t="s">
        <v>285</v>
      </c>
      <c r="D1236" s="74" t="s">
        <v>86</v>
      </c>
      <c r="E1236" s="74" t="s">
        <v>89</v>
      </c>
      <c r="F1236" s="86" t="s">
        <v>208</v>
      </c>
      <c r="G1236" s="74" t="s">
        <v>283</v>
      </c>
      <c r="H1236" s="87">
        <v>44074</v>
      </c>
      <c r="I1236" s="98">
        <v>22</v>
      </c>
      <c r="J1236" s="98">
        <v>22</v>
      </c>
      <c r="K1236" s="89">
        <f t="shared" si="51"/>
        <v>1</v>
      </c>
      <c r="L1236" s="89">
        <v>7298.93</v>
      </c>
      <c r="M1236" s="89">
        <v>3160.85</v>
      </c>
      <c r="N1236" s="89">
        <v>942.97</v>
      </c>
      <c r="O1236" s="89">
        <f t="shared" si="52"/>
        <v>11402.75</v>
      </c>
    </row>
    <row r="1237" spans="1:15">
      <c r="A1237" s="74" t="s">
        <v>113</v>
      </c>
      <c r="B1237" s="74" t="s">
        <v>286</v>
      </c>
      <c r="C1237" s="74" t="s">
        <v>287</v>
      </c>
      <c r="D1237" s="74" t="s">
        <v>82</v>
      </c>
      <c r="E1237" s="88" t="s">
        <v>85</v>
      </c>
      <c r="F1237" s="86" t="s">
        <v>288</v>
      </c>
      <c r="G1237" s="74" t="s">
        <v>289</v>
      </c>
      <c r="H1237" s="87">
        <v>44074</v>
      </c>
      <c r="I1237" s="98">
        <v>22</v>
      </c>
      <c r="J1237" s="98">
        <v>22</v>
      </c>
      <c r="K1237" s="89">
        <f t="shared" ref="K1237:K1245" si="53">I1237/J1237</f>
        <v>1</v>
      </c>
      <c r="L1237" s="89">
        <v>12767.9</v>
      </c>
      <c r="M1237" s="89">
        <v>3256.84</v>
      </c>
      <c r="N1237" s="89">
        <v>1244.71</v>
      </c>
      <c r="O1237" s="89">
        <f t="shared" si="52"/>
        <v>17269.45</v>
      </c>
    </row>
    <row r="1238" spans="1:15">
      <c r="A1238" s="74" t="s">
        <v>113</v>
      </c>
      <c r="B1238" s="74" t="s">
        <v>290</v>
      </c>
      <c r="C1238" s="74" t="s">
        <v>291</v>
      </c>
      <c r="D1238" s="74" t="s">
        <v>82</v>
      </c>
      <c r="E1238" s="88" t="s">
        <v>85</v>
      </c>
      <c r="F1238" s="86" t="s">
        <v>218</v>
      </c>
      <c r="G1238" s="74" t="s">
        <v>289</v>
      </c>
      <c r="H1238" s="87">
        <v>44074</v>
      </c>
      <c r="I1238" s="98">
        <v>22</v>
      </c>
      <c r="J1238" s="98">
        <v>22</v>
      </c>
      <c r="K1238" s="89">
        <f t="shared" si="53"/>
        <v>1</v>
      </c>
      <c r="L1238" s="89">
        <v>11429.14</v>
      </c>
      <c r="M1238" s="89">
        <v>3109.61</v>
      </c>
      <c r="N1238" s="89">
        <v>1105.88</v>
      </c>
      <c r="O1238" s="89">
        <f t="shared" si="52"/>
        <v>15644.63</v>
      </c>
    </row>
    <row r="1239" spans="1:15">
      <c r="A1239" s="74" t="s">
        <v>113</v>
      </c>
      <c r="B1239" s="74" t="s">
        <v>292</v>
      </c>
      <c r="C1239" s="74" t="s">
        <v>293</v>
      </c>
      <c r="D1239" s="74" t="s">
        <v>82</v>
      </c>
      <c r="E1239" s="88" t="s">
        <v>85</v>
      </c>
      <c r="F1239" s="86" t="s">
        <v>225</v>
      </c>
      <c r="G1239" s="74" t="s">
        <v>289</v>
      </c>
      <c r="H1239" s="87">
        <v>44074</v>
      </c>
      <c r="I1239" s="98">
        <v>22</v>
      </c>
      <c r="J1239" s="98">
        <v>22</v>
      </c>
      <c r="K1239" s="89">
        <f t="shared" si="53"/>
        <v>1</v>
      </c>
      <c r="L1239" s="89">
        <v>10656.1</v>
      </c>
      <c r="M1239" s="89">
        <v>3073.07</v>
      </c>
      <c r="N1239" s="89">
        <v>1074.29</v>
      </c>
      <c r="O1239" s="89">
        <f t="shared" si="52"/>
        <v>14803.46</v>
      </c>
    </row>
    <row r="1240" spans="1:15">
      <c r="A1240" s="74" t="s">
        <v>113</v>
      </c>
      <c r="B1240" s="74" t="s">
        <v>294</v>
      </c>
      <c r="C1240" s="74" t="s">
        <v>295</v>
      </c>
      <c r="D1240" s="74" t="s">
        <v>82</v>
      </c>
      <c r="E1240" s="88" t="s">
        <v>85</v>
      </c>
      <c r="F1240" s="86" t="s">
        <v>208</v>
      </c>
      <c r="G1240" s="74" t="s">
        <v>289</v>
      </c>
      <c r="H1240" s="87">
        <v>44074</v>
      </c>
      <c r="I1240" s="98">
        <v>22</v>
      </c>
      <c r="J1240" s="98">
        <v>22</v>
      </c>
      <c r="K1240" s="89">
        <f t="shared" si="53"/>
        <v>1</v>
      </c>
      <c r="L1240" s="89">
        <v>9768.27</v>
      </c>
      <c r="M1240" s="89">
        <v>3037.82</v>
      </c>
      <c r="N1240" s="89">
        <v>953.86</v>
      </c>
      <c r="O1240" s="89">
        <f t="shared" si="52"/>
        <v>13759.95</v>
      </c>
    </row>
    <row r="1241" spans="1:15">
      <c r="A1241" s="74" t="s">
        <v>113</v>
      </c>
      <c r="B1241" s="74" t="s">
        <v>296</v>
      </c>
      <c r="C1241" s="74" t="s">
        <v>297</v>
      </c>
      <c r="D1241" s="74" t="s">
        <v>82</v>
      </c>
      <c r="E1241" s="88" t="s">
        <v>85</v>
      </c>
      <c r="F1241" s="86" t="s">
        <v>116</v>
      </c>
      <c r="G1241" s="74" t="s">
        <v>289</v>
      </c>
      <c r="H1241" s="87">
        <v>44074</v>
      </c>
      <c r="I1241" s="98">
        <v>22</v>
      </c>
      <c r="J1241" s="98">
        <v>22</v>
      </c>
      <c r="K1241" s="89">
        <f t="shared" si="53"/>
        <v>1</v>
      </c>
      <c r="L1241" s="89">
        <v>8511.22</v>
      </c>
      <c r="M1241" s="89">
        <v>3112.72</v>
      </c>
      <c r="N1241" s="89">
        <v>822.41</v>
      </c>
      <c r="O1241" s="89">
        <f t="shared" si="52"/>
        <v>12446.35</v>
      </c>
    </row>
    <row r="1242" spans="1:15">
      <c r="A1242" s="74" t="s">
        <v>113</v>
      </c>
      <c r="B1242" s="74" t="s">
        <v>298</v>
      </c>
      <c r="C1242" s="74" t="s">
        <v>299</v>
      </c>
      <c r="D1242" s="74" t="s">
        <v>82</v>
      </c>
      <c r="E1242" s="88" t="s">
        <v>85</v>
      </c>
      <c r="F1242" s="86" t="s">
        <v>279</v>
      </c>
      <c r="G1242" s="74" t="s">
        <v>300</v>
      </c>
      <c r="H1242" s="87">
        <v>44074</v>
      </c>
      <c r="I1242" s="98">
        <v>22</v>
      </c>
      <c r="J1242" s="98">
        <v>22</v>
      </c>
      <c r="K1242" s="89">
        <f t="shared" si="53"/>
        <v>1</v>
      </c>
      <c r="L1242" s="89">
        <v>15101.95</v>
      </c>
      <c r="M1242" s="89">
        <v>3241.24</v>
      </c>
      <c r="N1242" s="89">
        <v>1537.01</v>
      </c>
      <c r="O1242" s="89">
        <f t="shared" si="52"/>
        <v>19880.2</v>
      </c>
    </row>
    <row r="1243" spans="1:15">
      <c r="A1243" s="74" t="s">
        <v>113</v>
      </c>
      <c r="B1243" s="74" t="s">
        <v>301</v>
      </c>
      <c r="C1243" s="74" t="s">
        <v>302</v>
      </c>
      <c r="D1243" s="74" t="s">
        <v>82</v>
      </c>
      <c r="E1243" s="88" t="s">
        <v>85</v>
      </c>
      <c r="F1243" s="86" t="s">
        <v>279</v>
      </c>
      <c r="G1243" s="74" t="s">
        <v>303</v>
      </c>
      <c r="H1243" s="87">
        <v>44074</v>
      </c>
      <c r="I1243" s="98">
        <v>22</v>
      </c>
      <c r="J1243" s="98">
        <v>22</v>
      </c>
      <c r="K1243" s="89">
        <f t="shared" si="53"/>
        <v>1</v>
      </c>
      <c r="L1243" s="89">
        <v>16314.45</v>
      </c>
      <c r="M1243" s="89">
        <v>3256.64</v>
      </c>
      <c r="N1243" s="89">
        <v>1516.26</v>
      </c>
      <c r="O1243" s="89">
        <f t="shared" si="52"/>
        <v>21087.35</v>
      </c>
    </row>
    <row r="1244" spans="1:15">
      <c r="A1244" s="74" t="s">
        <v>113</v>
      </c>
      <c r="B1244" s="74" t="s">
        <v>304</v>
      </c>
      <c r="C1244" s="74" t="s">
        <v>305</v>
      </c>
      <c r="D1244" s="74" t="s">
        <v>86</v>
      </c>
      <c r="E1244" s="74" t="s">
        <v>90</v>
      </c>
      <c r="F1244" s="86" t="s">
        <v>306</v>
      </c>
      <c r="G1244" s="74" t="s">
        <v>307</v>
      </c>
      <c r="H1244" s="87">
        <v>44074</v>
      </c>
      <c r="I1244" s="98">
        <v>22</v>
      </c>
      <c r="J1244" s="98">
        <v>22</v>
      </c>
      <c r="K1244" s="89">
        <f t="shared" si="53"/>
        <v>1</v>
      </c>
      <c r="L1244" s="89">
        <v>16975.13</v>
      </c>
      <c r="M1244" s="89">
        <v>3086.99</v>
      </c>
      <c r="N1244" s="89">
        <v>2142.29</v>
      </c>
      <c r="O1244" s="89">
        <f t="shared" si="52"/>
        <v>22204.41</v>
      </c>
    </row>
    <row r="1245" spans="1:15">
      <c r="A1245" s="74" t="s">
        <v>113</v>
      </c>
      <c r="B1245" s="74" t="s">
        <v>114</v>
      </c>
      <c r="C1245" s="74" t="s">
        <v>115</v>
      </c>
      <c r="D1245" s="74" t="s">
        <v>79</v>
      </c>
      <c r="E1245" s="74" t="s">
        <v>80</v>
      </c>
      <c r="F1245" s="86" t="s">
        <v>116</v>
      </c>
      <c r="G1245" s="74" t="s">
        <v>117</v>
      </c>
      <c r="H1245" s="87">
        <v>44104</v>
      </c>
      <c r="I1245" s="98">
        <v>22</v>
      </c>
      <c r="J1245" s="98">
        <v>22</v>
      </c>
      <c r="K1245" s="89">
        <f t="shared" si="53"/>
        <v>1</v>
      </c>
      <c r="L1245" s="89">
        <v>8182.95</v>
      </c>
      <c r="M1245" s="89">
        <v>3060.59</v>
      </c>
      <c r="N1245" s="89">
        <v>828.31</v>
      </c>
      <c r="O1245" s="89">
        <f t="shared" si="52"/>
        <v>12071.85</v>
      </c>
    </row>
    <row r="1246" spans="1:15">
      <c r="A1246" s="74" t="s">
        <v>113</v>
      </c>
      <c r="B1246" s="74" t="s">
        <v>118</v>
      </c>
      <c r="C1246" s="74" t="s">
        <v>119</v>
      </c>
      <c r="D1246" s="74" t="s">
        <v>79</v>
      </c>
      <c r="E1246" s="74" t="s">
        <v>80</v>
      </c>
      <c r="F1246" s="86" t="s">
        <v>120</v>
      </c>
      <c r="G1246" s="74" t="s">
        <v>117</v>
      </c>
      <c r="H1246" s="87">
        <v>44104</v>
      </c>
      <c r="I1246" s="98">
        <v>22</v>
      </c>
      <c r="J1246" s="98">
        <v>22</v>
      </c>
      <c r="K1246" s="89">
        <f t="shared" ref="K1246:K1309" si="54">I1246/J1246</f>
        <v>1</v>
      </c>
      <c r="L1246" s="89">
        <v>7537.06</v>
      </c>
      <c r="M1246" s="89">
        <v>3297.75</v>
      </c>
      <c r="N1246" s="89">
        <v>765.42</v>
      </c>
      <c r="O1246" s="89">
        <f t="shared" si="52"/>
        <v>11600.23</v>
      </c>
    </row>
    <row r="1247" spans="1:15">
      <c r="A1247" s="74" t="s">
        <v>113</v>
      </c>
      <c r="B1247" s="74" t="s">
        <v>121</v>
      </c>
      <c r="C1247" s="74" t="s">
        <v>122</v>
      </c>
      <c r="D1247" s="74" t="s">
        <v>79</v>
      </c>
      <c r="E1247" s="74" t="s">
        <v>80</v>
      </c>
      <c r="F1247" s="86" t="s">
        <v>123</v>
      </c>
      <c r="G1247" s="74" t="s">
        <v>117</v>
      </c>
      <c r="H1247" s="87">
        <v>44104</v>
      </c>
      <c r="I1247" s="98">
        <v>22</v>
      </c>
      <c r="J1247" s="98">
        <v>22</v>
      </c>
      <c r="K1247" s="89">
        <f t="shared" si="54"/>
        <v>1</v>
      </c>
      <c r="L1247" s="89">
        <v>6120.94</v>
      </c>
      <c r="M1247" s="89">
        <v>3261.91</v>
      </c>
      <c r="N1247" s="89">
        <v>652.92</v>
      </c>
      <c r="O1247" s="89">
        <f t="shared" si="52"/>
        <v>10035.77</v>
      </c>
    </row>
    <row r="1248" spans="1:15">
      <c r="A1248" s="74" t="s">
        <v>113</v>
      </c>
      <c r="B1248" s="74" t="s">
        <v>124</v>
      </c>
      <c r="C1248" s="74" t="s">
        <v>125</v>
      </c>
      <c r="D1248" s="74" t="s">
        <v>79</v>
      </c>
      <c r="E1248" s="74" t="s">
        <v>80</v>
      </c>
      <c r="F1248" s="86" t="s">
        <v>116</v>
      </c>
      <c r="G1248" s="74" t="s">
        <v>117</v>
      </c>
      <c r="H1248" s="87">
        <v>44104</v>
      </c>
      <c r="I1248" s="98">
        <v>22</v>
      </c>
      <c r="J1248" s="98">
        <v>22</v>
      </c>
      <c r="K1248" s="89">
        <f t="shared" si="54"/>
        <v>1</v>
      </c>
      <c r="L1248" s="89">
        <v>8315.44</v>
      </c>
      <c r="M1248" s="89">
        <v>3033.93</v>
      </c>
      <c r="N1248" s="89">
        <v>868.77</v>
      </c>
      <c r="O1248" s="89">
        <f t="shared" si="52"/>
        <v>12218.14</v>
      </c>
    </row>
    <row r="1249" spans="1:15">
      <c r="A1249" s="74" t="s">
        <v>113</v>
      </c>
      <c r="B1249" s="74" t="s">
        <v>126</v>
      </c>
      <c r="C1249" s="74" t="s">
        <v>127</v>
      </c>
      <c r="D1249" s="74" t="s">
        <v>79</v>
      </c>
      <c r="E1249" s="74" t="s">
        <v>80</v>
      </c>
      <c r="F1249" s="86" t="s">
        <v>120</v>
      </c>
      <c r="G1249" s="74" t="s">
        <v>117</v>
      </c>
      <c r="H1249" s="87">
        <v>44104</v>
      </c>
      <c r="I1249" s="98">
        <v>22</v>
      </c>
      <c r="J1249" s="98">
        <v>22</v>
      </c>
      <c r="K1249" s="89">
        <f t="shared" si="54"/>
        <v>1</v>
      </c>
      <c r="L1249" s="89">
        <v>7248.72</v>
      </c>
      <c r="M1249" s="89">
        <v>3111.38</v>
      </c>
      <c r="N1249" s="89">
        <v>730.11</v>
      </c>
      <c r="O1249" s="89">
        <f t="shared" si="52"/>
        <v>11090.21</v>
      </c>
    </row>
    <row r="1250" spans="1:15">
      <c r="A1250" s="74" t="s">
        <v>113</v>
      </c>
      <c r="B1250" s="74" t="s">
        <v>128</v>
      </c>
      <c r="C1250" s="74" t="s">
        <v>129</v>
      </c>
      <c r="D1250" s="74" t="s">
        <v>79</v>
      </c>
      <c r="E1250" s="74" t="s">
        <v>80</v>
      </c>
      <c r="F1250" s="86" t="s">
        <v>123</v>
      </c>
      <c r="G1250" s="74" t="s">
        <v>117</v>
      </c>
      <c r="H1250" s="87">
        <v>44104</v>
      </c>
      <c r="I1250" s="98">
        <v>22</v>
      </c>
      <c r="J1250" s="98">
        <v>22</v>
      </c>
      <c r="K1250" s="89">
        <f t="shared" si="54"/>
        <v>1</v>
      </c>
      <c r="L1250" s="89">
        <v>6508.8</v>
      </c>
      <c r="M1250" s="89">
        <v>3058.33</v>
      </c>
      <c r="N1250" s="89">
        <v>636.78</v>
      </c>
      <c r="O1250" s="89">
        <f t="shared" si="52"/>
        <v>10203.91</v>
      </c>
    </row>
    <row r="1251" spans="1:15">
      <c r="A1251" s="74" t="s">
        <v>113</v>
      </c>
      <c r="B1251" s="74" t="s">
        <v>130</v>
      </c>
      <c r="C1251" s="74" t="s">
        <v>131</v>
      </c>
      <c r="D1251" s="74" t="s">
        <v>79</v>
      </c>
      <c r="E1251" s="74" t="s">
        <v>80</v>
      </c>
      <c r="F1251" s="86" t="s">
        <v>116</v>
      </c>
      <c r="G1251" s="74" t="s">
        <v>117</v>
      </c>
      <c r="H1251" s="87">
        <v>44104</v>
      </c>
      <c r="I1251" s="98">
        <v>22</v>
      </c>
      <c r="J1251" s="98">
        <v>22</v>
      </c>
      <c r="K1251" s="89">
        <f t="shared" si="54"/>
        <v>1</v>
      </c>
      <c r="L1251" s="89">
        <v>8702.22</v>
      </c>
      <c r="M1251" s="89">
        <v>3181.39</v>
      </c>
      <c r="N1251" s="89">
        <v>860.52</v>
      </c>
      <c r="O1251" s="89">
        <f t="shared" si="52"/>
        <v>12744.13</v>
      </c>
    </row>
    <row r="1252" spans="1:15">
      <c r="A1252" s="74" t="s">
        <v>113</v>
      </c>
      <c r="B1252" s="74" t="s">
        <v>132</v>
      </c>
      <c r="C1252" s="74" t="s">
        <v>133</v>
      </c>
      <c r="D1252" s="74" t="s">
        <v>79</v>
      </c>
      <c r="E1252" s="74" t="s">
        <v>80</v>
      </c>
      <c r="F1252" s="86" t="s">
        <v>120</v>
      </c>
      <c r="G1252" s="74" t="s">
        <v>117</v>
      </c>
      <c r="H1252" s="87">
        <v>44104</v>
      </c>
      <c r="I1252" s="98">
        <v>22</v>
      </c>
      <c r="J1252" s="98">
        <v>22</v>
      </c>
      <c r="K1252" s="89">
        <f t="shared" si="54"/>
        <v>1</v>
      </c>
      <c r="L1252" s="89">
        <v>7005.56</v>
      </c>
      <c r="M1252" s="89">
        <v>3237.35</v>
      </c>
      <c r="N1252" s="89">
        <v>705.26</v>
      </c>
      <c r="O1252" s="89">
        <f t="shared" si="52"/>
        <v>10948.17</v>
      </c>
    </row>
    <row r="1253" spans="1:15">
      <c r="A1253" s="74" t="s">
        <v>113</v>
      </c>
      <c r="B1253" s="74" t="s">
        <v>134</v>
      </c>
      <c r="C1253" s="74" t="s">
        <v>135</v>
      </c>
      <c r="D1253" s="74" t="s">
        <v>79</v>
      </c>
      <c r="E1253" s="74" t="s">
        <v>80</v>
      </c>
      <c r="F1253" s="86" t="s">
        <v>123</v>
      </c>
      <c r="G1253" s="74" t="s">
        <v>117</v>
      </c>
      <c r="H1253" s="87">
        <v>44104</v>
      </c>
      <c r="I1253" s="98">
        <v>22</v>
      </c>
      <c r="J1253" s="98">
        <v>22</v>
      </c>
      <c r="K1253" s="89">
        <f t="shared" si="54"/>
        <v>1</v>
      </c>
      <c r="L1253" s="89">
        <v>6416.46</v>
      </c>
      <c r="M1253" s="89">
        <v>3149.81</v>
      </c>
      <c r="N1253" s="89">
        <v>626.06</v>
      </c>
      <c r="O1253" s="89">
        <f t="shared" si="52"/>
        <v>10192.33</v>
      </c>
    </row>
    <row r="1254" spans="1:15">
      <c r="A1254" s="74" t="s">
        <v>113</v>
      </c>
      <c r="B1254" s="74" t="s">
        <v>136</v>
      </c>
      <c r="C1254" s="74" t="s">
        <v>137</v>
      </c>
      <c r="D1254" s="74" t="s">
        <v>79</v>
      </c>
      <c r="E1254" s="74" t="s">
        <v>80</v>
      </c>
      <c r="F1254" s="86" t="s">
        <v>116</v>
      </c>
      <c r="G1254" s="74" t="s">
        <v>138</v>
      </c>
      <c r="H1254" s="87">
        <v>44104</v>
      </c>
      <c r="I1254" s="98">
        <v>22</v>
      </c>
      <c r="J1254" s="98">
        <v>22</v>
      </c>
      <c r="K1254" s="89">
        <f t="shared" si="54"/>
        <v>1</v>
      </c>
      <c r="L1254" s="89">
        <v>8730.27</v>
      </c>
      <c r="M1254" s="89">
        <v>3294.15</v>
      </c>
      <c r="N1254" s="89">
        <v>873.35</v>
      </c>
      <c r="O1254" s="89">
        <f t="shared" si="52"/>
        <v>12897.77</v>
      </c>
    </row>
    <row r="1255" spans="1:15">
      <c r="A1255" s="74" t="s">
        <v>113</v>
      </c>
      <c r="B1255" s="74" t="s">
        <v>139</v>
      </c>
      <c r="C1255" s="74" t="s">
        <v>140</v>
      </c>
      <c r="D1255" s="74" t="s">
        <v>79</v>
      </c>
      <c r="E1255" s="74" t="s">
        <v>80</v>
      </c>
      <c r="F1255" s="86" t="s">
        <v>120</v>
      </c>
      <c r="G1255" s="74" t="s">
        <v>138</v>
      </c>
      <c r="H1255" s="87">
        <v>44104</v>
      </c>
      <c r="I1255" s="98">
        <v>22</v>
      </c>
      <c r="J1255" s="98">
        <v>22</v>
      </c>
      <c r="K1255" s="89">
        <f t="shared" si="54"/>
        <v>1</v>
      </c>
      <c r="L1255" s="89">
        <v>7220</v>
      </c>
      <c r="M1255" s="89">
        <v>3178.15</v>
      </c>
      <c r="N1255" s="89">
        <v>719.34</v>
      </c>
      <c r="O1255" s="89">
        <f t="shared" si="52"/>
        <v>11117.49</v>
      </c>
    </row>
    <row r="1256" spans="1:15">
      <c r="A1256" s="74" t="s">
        <v>113</v>
      </c>
      <c r="B1256" s="74" t="s">
        <v>141</v>
      </c>
      <c r="C1256" s="74" t="s">
        <v>142</v>
      </c>
      <c r="D1256" s="74" t="s">
        <v>79</v>
      </c>
      <c r="E1256" s="74" t="s">
        <v>80</v>
      </c>
      <c r="F1256" s="86" t="s">
        <v>123</v>
      </c>
      <c r="G1256" s="74" t="s">
        <v>138</v>
      </c>
      <c r="H1256" s="87">
        <v>44104</v>
      </c>
      <c r="I1256" s="98">
        <v>22</v>
      </c>
      <c r="J1256" s="98">
        <v>22</v>
      </c>
      <c r="K1256" s="89">
        <f t="shared" si="54"/>
        <v>1</v>
      </c>
      <c r="L1256" s="89">
        <v>6573.09</v>
      </c>
      <c r="M1256" s="89">
        <v>3197.39</v>
      </c>
      <c r="N1256" s="89">
        <v>627.08</v>
      </c>
      <c r="O1256" s="89">
        <f t="shared" si="52"/>
        <v>10397.56</v>
      </c>
    </row>
    <row r="1257" spans="1:15">
      <c r="A1257" s="74" t="s">
        <v>113</v>
      </c>
      <c r="B1257" s="74" t="s">
        <v>143</v>
      </c>
      <c r="C1257" s="74" t="s">
        <v>144</v>
      </c>
      <c r="D1257" s="74" t="s">
        <v>79</v>
      </c>
      <c r="E1257" s="74" t="s">
        <v>80</v>
      </c>
      <c r="F1257" s="86" t="s">
        <v>145</v>
      </c>
      <c r="G1257" s="74" t="s">
        <v>146</v>
      </c>
      <c r="H1257" s="87">
        <v>44104</v>
      </c>
      <c r="I1257" s="98">
        <v>22</v>
      </c>
      <c r="J1257" s="98">
        <v>22</v>
      </c>
      <c r="K1257" s="89">
        <f t="shared" si="54"/>
        <v>1</v>
      </c>
      <c r="L1257" s="89">
        <v>20477.2</v>
      </c>
      <c r="M1257" s="89">
        <v>3179.54</v>
      </c>
      <c r="N1257" s="89">
        <v>1929.03</v>
      </c>
      <c r="O1257" s="89">
        <f t="shared" si="52"/>
        <v>25585.77</v>
      </c>
    </row>
    <row r="1258" spans="1:15">
      <c r="A1258" s="74" t="s">
        <v>113</v>
      </c>
      <c r="B1258" s="74" t="s">
        <v>147</v>
      </c>
      <c r="C1258" s="74" t="s">
        <v>148</v>
      </c>
      <c r="D1258" s="74" t="s">
        <v>79</v>
      </c>
      <c r="E1258" s="74" t="s">
        <v>80</v>
      </c>
      <c r="F1258" s="86" t="s">
        <v>149</v>
      </c>
      <c r="G1258" s="74" t="s">
        <v>150</v>
      </c>
      <c r="H1258" s="87">
        <v>44104</v>
      </c>
      <c r="I1258" s="98">
        <v>22</v>
      </c>
      <c r="J1258" s="98">
        <v>22</v>
      </c>
      <c r="K1258" s="89">
        <f t="shared" si="54"/>
        <v>1</v>
      </c>
      <c r="L1258" s="89">
        <v>18639.33</v>
      </c>
      <c r="M1258" s="89">
        <v>3124.84</v>
      </c>
      <c r="N1258" s="89">
        <v>1833.7</v>
      </c>
      <c r="O1258" s="89">
        <f t="shared" si="52"/>
        <v>23597.87</v>
      </c>
    </row>
    <row r="1259" spans="1:15">
      <c r="A1259" s="74" t="s">
        <v>113</v>
      </c>
      <c r="B1259" s="74" t="s">
        <v>151</v>
      </c>
      <c r="C1259" s="74" t="s">
        <v>152</v>
      </c>
      <c r="D1259" s="74" t="s">
        <v>79</v>
      </c>
      <c r="E1259" s="74" t="s">
        <v>81</v>
      </c>
      <c r="F1259" s="86" t="s">
        <v>123</v>
      </c>
      <c r="G1259" s="74" t="s">
        <v>153</v>
      </c>
      <c r="H1259" s="87">
        <v>44104</v>
      </c>
      <c r="I1259" s="98">
        <v>22</v>
      </c>
      <c r="J1259" s="98">
        <v>22</v>
      </c>
      <c r="K1259" s="89">
        <f t="shared" si="54"/>
        <v>1</v>
      </c>
      <c r="L1259" s="89">
        <v>6232.16</v>
      </c>
      <c r="M1259" s="89">
        <v>3252.04</v>
      </c>
      <c r="N1259" s="89">
        <v>635.76</v>
      </c>
      <c r="O1259" s="89">
        <f t="shared" si="52"/>
        <v>10119.96</v>
      </c>
    </row>
    <row r="1260" spans="1:15">
      <c r="A1260" s="74" t="s">
        <v>113</v>
      </c>
      <c r="B1260" s="74" t="s">
        <v>154</v>
      </c>
      <c r="C1260" s="74" t="s">
        <v>155</v>
      </c>
      <c r="D1260" s="74" t="s">
        <v>79</v>
      </c>
      <c r="E1260" s="74" t="s">
        <v>81</v>
      </c>
      <c r="F1260" s="86" t="s">
        <v>156</v>
      </c>
      <c r="G1260" s="74" t="s">
        <v>157</v>
      </c>
      <c r="H1260" s="87">
        <v>44104</v>
      </c>
      <c r="I1260" s="98">
        <v>22</v>
      </c>
      <c r="J1260" s="98">
        <v>22</v>
      </c>
      <c r="K1260" s="89">
        <f t="shared" si="54"/>
        <v>1</v>
      </c>
      <c r="L1260" s="89">
        <v>5050.39</v>
      </c>
      <c r="M1260" s="89">
        <v>3190.74</v>
      </c>
      <c r="N1260" s="89">
        <v>515.74</v>
      </c>
      <c r="O1260" s="89">
        <f t="shared" si="52"/>
        <v>8756.87</v>
      </c>
    </row>
    <row r="1261" spans="1:15">
      <c r="A1261" s="74" t="s">
        <v>113</v>
      </c>
      <c r="B1261" s="74" t="s">
        <v>158</v>
      </c>
      <c r="C1261" s="74" t="s">
        <v>159</v>
      </c>
      <c r="D1261" s="74" t="s">
        <v>79</v>
      </c>
      <c r="E1261" s="74" t="s">
        <v>81</v>
      </c>
      <c r="F1261" s="86" t="s">
        <v>160</v>
      </c>
      <c r="G1261" s="74" t="s">
        <v>161</v>
      </c>
      <c r="H1261" s="87">
        <v>44104</v>
      </c>
      <c r="I1261" s="98">
        <v>22</v>
      </c>
      <c r="J1261" s="98">
        <v>22</v>
      </c>
      <c r="K1261" s="89">
        <f t="shared" si="54"/>
        <v>1</v>
      </c>
      <c r="L1261" s="89">
        <v>4009.06</v>
      </c>
      <c r="M1261" s="89">
        <v>3089.2</v>
      </c>
      <c r="N1261" s="89">
        <v>423.37</v>
      </c>
      <c r="O1261" s="89">
        <f t="shared" si="52"/>
        <v>7521.63</v>
      </c>
    </row>
    <row r="1262" spans="1:15">
      <c r="A1262" s="74" t="s">
        <v>113</v>
      </c>
      <c r="B1262" s="74" t="s">
        <v>162</v>
      </c>
      <c r="C1262" s="74" t="s">
        <v>163</v>
      </c>
      <c r="D1262" s="74" t="s">
        <v>79</v>
      </c>
      <c r="E1262" s="74" t="s">
        <v>81</v>
      </c>
      <c r="F1262" s="86" t="s">
        <v>123</v>
      </c>
      <c r="G1262" s="74" t="s">
        <v>153</v>
      </c>
      <c r="H1262" s="87">
        <v>44104</v>
      </c>
      <c r="I1262" s="98">
        <v>22</v>
      </c>
      <c r="J1262" s="98">
        <v>22</v>
      </c>
      <c r="K1262" s="89">
        <f t="shared" si="54"/>
        <v>1</v>
      </c>
      <c r="L1262" s="89">
        <v>6537.23</v>
      </c>
      <c r="M1262" s="89">
        <v>3273.29</v>
      </c>
      <c r="N1262" s="89">
        <v>652.33</v>
      </c>
      <c r="O1262" s="89">
        <f t="shared" si="52"/>
        <v>10462.85</v>
      </c>
    </row>
    <row r="1263" spans="1:15">
      <c r="A1263" s="74" t="s">
        <v>113</v>
      </c>
      <c r="B1263" s="74" t="s">
        <v>164</v>
      </c>
      <c r="C1263" s="74" t="s">
        <v>165</v>
      </c>
      <c r="D1263" s="74" t="s">
        <v>79</v>
      </c>
      <c r="E1263" s="74" t="s">
        <v>81</v>
      </c>
      <c r="F1263" s="86" t="s">
        <v>156</v>
      </c>
      <c r="G1263" s="74" t="s">
        <v>157</v>
      </c>
      <c r="H1263" s="87">
        <v>44104</v>
      </c>
      <c r="I1263" s="98">
        <v>22</v>
      </c>
      <c r="J1263" s="98">
        <v>22</v>
      </c>
      <c r="K1263" s="89">
        <f t="shared" si="54"/>
        <v>1</v>
      </c>
      <c r="L1263" s="89">
        <v>5401.31</v>
      </c>
      <c r="M1263" s="89">
        <v>3275.49</v>
      </c>
      <c r="N1263" s="89">
        <v>509.15</v>
      </c>
      <c r="O1263" s="89">
        <f t="shared" si="52"/>
        <v>9185.95</v>
      </c>
    </row>
    <row r="1264" spans="1:15">
      <c r="A1264" s="74" t="s">
        <v>113</v>
      </c>
      <c r="B1264" s="74" t="s">
        <v>166</v>
      </c>
      <c r="C1264" s="74" t="s">
        <v>167</v>
      </c>
      <c r="D1264" s="74" t="s">
        <v>79</v>
      </c>
      <c r="E1264" s="74" t="s">
        <v>81</v>
      </c>
      <c r="F1264" s="86" t="s">
        <v>160</v>
      </c>
      <c r="G1264" s="74" t="s">
        <v>161</v>
      </c>
      <c r="H1264" s="87">
        <v>44104</v>
      </c>
      <c r="I1264" s="98">
        <v>22</v>
      </c>
      <c r="J1264" s="98">
        <v>22</v>
      </c>
      <c r="K1264" s="89">
        <f t="shared" si="54"/>
        <v>1</v>
      </c>
      <c r="L1264" s="89">
        <v>4277.99</v>
      </c>
      <c r="M1264" s="89">
        <v>3093.52</v>
      </c>
      <c r="N1264" s="89">
        <v>424.85</v>
      </c>
      <c r="O1264" s="89">
        <f t="shared" si="52"/>
        <v>7796.36</v>
      </c>
    </row>
    <row r="1265" spans="1:15">
      <c r="A1265" s="74" t="s">
        <v>113</v>
      </c>
      <c r="B1265" s="74" t="s">
        <v>168</v>
      </c>
      <c r="C1265" s="74" t="s">
        <v>169</v>
      </c>
      <c r="D1265" s="74" t="s">
        <v>79</v>
      </c>
      <c r="E1265" s="74" t="s">
        <v>81</v>
      </c>
      <c r="F1265" s="86" t="s">
        <v>123</v>
      </c>
      <c r="G1265" s="74" t="s">
        <v>153</v>
      </c>
      <c r="H1265" s="87">
        <v>44104</v>
      </c>
      <c r="I1265" s="98">
        <v>22</v>
      </c>
      <c r="J1265" s="98">
        <v>22</v>
      </c>
      <c r="K1265" s="89">
        <f t="shared" si="54"/>
        <v>1</v>
      </c>
      <c r="L1265" s="89">
        <v>6338.27</v>
      </c>
      <c r="M1265" s="89">
        <v>3238.99</v>
      </c>
      <c r="N1265" s="89">
        <v>622.96</v>
      </c>
      <c r="O1265" s="89">
        <f t="shared" si="52"/>
        <v>10200.22</v>
      </c>
    </row>
    <row r="1266" spans="1:15">
      <c r="A1266" s="74" t="s">
        <v>113</v>
      </c>
      <c r="B1266" s="74" t="s">
        <v>170</v>
      </c>
      <c r="C1266" s="74" t="s">
        <v>171</v>
      </c>
      <c r="D1266" s="74" t="s">
        <v>79</v>
      </c>
      <c r="E1266" s="74" t="s">
        <v>81</v>
      </c>
      <c r="F1266" s="86" t="s">
        <v>156</v>
      </c>
      <c r="G1266" s="74" t="s">
        <v>157</v>
      </c>
      <c r="H1266" s="87">
        <v>44104</v>
      </c>
      <c r="I1266" s="98">
        <v>22</v>
      </c>
      <c r="J1266" s="98">
        <v>22</v>
      </c>
      <c r="K1266" s="89">
        <f t="shared" si="54"/>
        <v>1</v>
      </c>
      <c r="L1266" s="89">
        <v>5337.03</v>
      </c>
      <c r="M1266" s="89">
        <v>3276.67</v>
      </c>
      <c r="N1266" s="89">
        <v>526.1</v>
      </c>
      <c r="O1266" s="89">
        <f t="shared" si="52"/>
        <v>9139.8</v>
      </c>
    </row>
    <row r="1267" spans="1:15">
      <c r="A1267" s="74" t="s">
        <v>113</v>
      </c>
      <c r="B1267" s="74" t="s">
        <v>172</v>
      </c>
      <c r="C1267" s="74" t="s">
        <v>173</v>
      </c>
      <c r="D1267" s="74" t="s">
        <v>79</v>
      </c>
      <c r="E1267" s="74" t="s">
        <v>81</v>
      </c>
      <c r="F1267" s="86" t="s">
        <v>160</v>
      </c>
      <c r="G1267" s="74" t="s">
        <v>161</v>
      </c>
      <c r="H1267" s="87">
        <v>44104</v>
      </c>
      <c r="I1267" s="98">
        <v>22</v>
      </c>
      <c r="J1267" s="98">
        <v>22</v>
      </c>
      <c r="K1267" s="89">
        <f t="shared" si="54"/>
        <v>1</v>
      </c>
      <c r="L1267" s="89">
        <v>4181.67</v>
      </c>
      <c r="M1267" s="89">
        <v>3049.68</v>
      </c>
      <c r="N1267" s="89">
        <v>436.56</v>
      </c>
      <c r="O1267" s="89">
        <f t="shared" si="52"/>
        <v>7667.91</v>
      </c>
    </row>
    <row r="1268" spans="1:15">
      <c r="A1268" s="74" t="s">
        <v>113</v>
      </c>
      <c r="B1268" s="74" t="s">
        <v>174</v>
      </c>
      <c r="C1268" s="74" t="s">
        <v>175</v>
      </c>
      <c r="D1268" s="74" t="s">
        <v>79</v>
      </c>
      <c r="E1268" s="74" t="s">
        <v>81</v>
      </c>
      <c r="F1268" s="86" t="s">
        <v>176</v>
      </c>
      <c r="G1268" s="74" t="s">
        <v>177</v>
      </c>
      <c r="H1268" s="87">
        <v>44104</v>
      </c>
      <c r="I1268" s="98">
        <v>22</v>
      </c>
      <c r="J1268" s="98">
        <v>22</v>
      </c>
      <c r="K1268" s="89">
        <f t="shared" si="54"/>
        <v>1</v>
      </c>
      <c r="L1268" s="89">
        <v>3027.43</v>
      </c>
      <c r="M1268" s="89">
        <v>3082.8</v>
      </c>
      <c r="N1268" s="89">
        <v>315.53</v>
      </c>
      <c r="O1268" s="89">
        <f t="shared" si="52"/>
        <v>6425.76</v>
      </c>
    </row>
    <row r="1269" spans="1:15">
      <c r="A1269" s="74" t="s">
        <v>113</v>
      </c>
      <c r="B1269" s="74" t="s">
        <v>178</v>
      </c>
      <c r="C1269" s="74" t="s">
        <v>179</v>
      </c>
      <c r="D1269" s="74" t="s">
        <v>79</v>
      </c>
      <c r="E1269" s="74" t="s">
        <v>81</v>
      </c>
      <c r="F1269" s="86" t="s">
        <v>180</v>
      </c>
      <c r="G1269" s="74" t="s">
        <v>177</v>
      </c>
      <c r="H1269" s="87">
        <v>44104</v>
      </c>
      <c r="I1269" s="98">
        <v>22</v>
      </c>
      <c r="J1269" s="98">
        <v>22</v>
      </c>
      <c r="K1269" s="89">
        <f t="shared" si="54"/>
        <v>1</v>
      </c>
      <c r="L1269" s="89">
        <v>2179.28</v>
      </c>
      <c r="M1269" s="89">
        <v>3160.09</v>
      </c>
      <c r="N1269" s="89">
        <v>207.02</v>
      </c>
      <c r="O1269" s="89">
        <f t="shared" si="52"/>
        <v>5546.39</v>
      </c>
    </row>
    <row r="1270" spans="1:15">
      <c r="A1270" s="74" t="s">
        <v>113</v>
      </c>
      <c r="B1270" s="74" t="s">
        <v>181</v>
      </c>
      <c r="C1270" s="74" t="s">
        <v>182</v>
      </c>
      <c r="D1270" s="74" t="s">
        <v>79</v>
      </c>
      <c r="E1270" s="74" t="s">
        <v>81</v>
      </c>
      <c r="F1270" s="86" t="s">
        <v>183</v>
      </c>
      <c r="G1270" s="74" t="s">
        <v>177</v>
      </c>
      <c r="H1270" s="87">
        <v>44104</v>
      </c>
      <c r="I1270" s="98">
        <v>22</v>
      </c>
      <c r="J1270" s="98">
        <v>22</v>
      </c>
      <c r="K1270" s="89">
        <f t="shared" si="54"/>
        <v>1</v>
      </c>
      <c r="L1270" s="89">
        <v>1047.24</v>
      </c>
      <c r="M1270" s="89">
        <v>3217.38</v>
      </c>
      <c r="N1270" s="89">
        <v>102.98</v>
      </c>
      <c r="O1270" s="89">
        <f t="shared" si="52"/>
        <v>4367.6</v>
      </c>
    </row>
    <row r="1271" spans="1:15">
      <c r="A1271" s="74" t="s">
        <v>113</v>
      </c>
      <c r="B1271" s="74" t="s">
        <v>184</v>
      </c>
      <c r="C1271" s="74" t="s">
        <v>185</v>
      </c>
      <c r="D1271" s="74" t="s">
        <v>79</v>
      </c>
      <c r="E1271" s="74" t="s">
        <v>81</v>
      </c>
      <c r="F1271" s="86" t="s">
        <v>176</v>
      </c>
      <c r="G1271" s="74" t="s">
        <v>177</v>
      </c>
      <c r="H1271" s="87">
        <v>44104</v>
      </c>
      <c r="I1271" s="98">
        <v>22</v>
      </c>
      <c r="J1271" s="98">
        <v>22</v>
      </c>
      <c r="K1271" s="89">
        <f t="shared" si="54"/>
        <v>1</v>
      </c>
      <c r="L1271" s="89">
        <v>3194.28</v>
      </c>
      <c r="M1271" s="89">
        <v>3147.26</v>
      </c>
      <c r="N1271" s="89">
        <v>309.97</v>
      </c>
      <c r="O1271" s="89">
        <f t="shared" si="52"/>
        <v>6651.51</v>
      </c>
    </row>
    <row r="1272" spans="1:15">
      <c r="A1272" s="74" t="s">
        <v>113</v>
      </c>
      <c r="B1272" s="74" t="s">
        <v>186</v>
      </c>
      <c r="C1272" s="74" t="s">
        <v>187</v>
      </c>
      <c r="D1272" s="74" t="s">
        <v>79</v>
      </c>
      <c r="E1272" s="74" t="s">
        <v>81</v>
      </c>
      <c r="F1272" s="86" t="s">
        <v>180</v>
      </c>
      <c r="G1272" s="74" t="s">
        <v>177</v>
      </c>
      <c r="H1272" s="87">
        <v>44104</v>
      </c>
      <c r="I1272" s="98">
        <v>22</v>
      </c>
      <c r="J1272" s="98">
        <v>22</v>
      </c>
      <c r="K1272" s="89">
        <f t="shared" si="54"/>
        <v>1</v>
      </c>
      <c r="L1272" s="89">
        <v>2094.31</v>
      </c>
      <c r="M1272" s="89">
        <v>3080.73</v>
      </c>
      <c r="N1272" s="89">
        <v>206.82</v>
      </c>
      <c r="O1272" s="89">
        <f t="shared" si="52"/>
        <v>5381.86</v>
      </c>
    </row>
    <row r="1273" spans="1:15">
      <c r="A1273" s="74" t="s">
        <v>113</v>
      </c>
      <c r="B1273" s="74" t="s">
        <v>188</v>
      </c>
      <c r="C1273" s="74" t="s">
        <v>189</v>
      </c>
      <c r="D1273" s="74" t="s">
        <v>79</v>
      </c>
      <c r="E1273" s="74" t="s">
        <v>81</v>
      </c>
      <c r="F1273" s="86" t="s">
        <v>183</v>
      </c>
      <c r="G1273" s="74" t="s">
        <v>177</v>
      </c>
      <c r="H1273" s="87">
        <v>44104</v>
      </c>
      <c r="I1273" s="98">
        <v>22</v>
      </c>
      <c r="J1273" s="98">
        <v>22</v>
      </c>
      <c r="K1273" s="89">
        <f t="shared" si="54"/>
        <v>1</v>
      </c>
      <c r="L1273" s="89">
        <v>1005.67</v>
      </c>
      <c r="M1273" s="89">
        <v>3042.78</v>
      </c>
      <c r="N1273" s="89">
        <v>108.96</v>
      </c>
      <c r="O1273" s="89">
        <f t="shared" si="52"/>
        <v>4157.41</v>
      </c>
    </row>
    <row r="1274" spans="1:15">
      <c r="A1274" s="74" t="s">
        <v>113</v>
      </c>
      <c r="B1274" s="74" t="s">
        <v>190</v>
      </c>
      <c r="C1274" s="74" t="s">
        <v>191</v>
      </c>
      <c r="D1274" s="74" t="s">
        <v>79</v>
      </c>
      <c r="E1274" s="74" t="s">
        <v>81</v>
      </c>
      <c r="F1274" s="86" t="s">
        <v>176</v>
      </c>
      <c r="G1274" s="74" t="s">
        <v>177</v>
      </c>
      <c r="H1274" s="87">
        <v>44104</v>
      </c>
      <c r="I1274" s="98">
        <v>22</v>
      </c>
      <c r="J1274" s="98">
        <v>22</v>
      </c>
      <c r="K1274" s="89">
        <f t="shared" si="54"/>
        <v>1</v>
      </c>
      <c r="L1274" s="89">
        <v>3298.99</v>
      </c>
      <c r="M1274" s="89">
        <v>3076.45</v>
      </c>
      <c r="N1274" s="89">
        <v>318.78</v>
      </c>
      <c r="O1274" s="89">
        <f t="shared" si="52"/>
        <v>6694.22</v>
      </c>
    </row>
    <row r="1275" spans="1:15">
      <c r="A1275" s="74" t="s">
        <v>113</v>
      </c>
      <c r="B1275" s="74" t="s">
        <v>192</v>
      </c>
      <c r="C1275" s="74" t="s">
        <v>193</v>
      </c>
      <c r="D1275" s="74" t="s">
        <v>79</v>
      </c>
      <c r="E1275" s="74" t="s">
        <v>81</v>
      </c>
      <c r="F1275" s="86" t="s">
        <v>180</v>
      </c>
      <c r="G1275" s="74" t="s">
        <v>177</v>
      </c>
      <c r="H1275" s="87">
        <v>44104</v>
      </c>
      <c r="I1275" s="98">
        <v>22</v>
      </c>
      <c r="J1275" s="98">
        <v>22</v>
      </c>
      <c r="K1275" s="89">
        <f t="shared" si="54"/>
        <v>1</v>
      </c>
      <c r="L1275" s="89">
        <v>2146.83</v>
      </c>
      <c r="M1275" s="89">
        <v>3125.38</v>
      </c>
      <c r="N1275" s="89">
        <v>205.36</v>
      </c>
      <c r="O1275" s="89">
        <f t="shared" si="52"/>
        <v>5477.57</v>
      </c>
    </row>
    <row r="1276" spans="1:15">
      <c r="A1276" s="74" t="s">
        <v>113</v>
      </c>
      <c r="B1276" s="74" t="s">
        <v>194</v>
      </c>
      <c r="C1276" s="74" t="s">
        <v>195</v>
      </c>
      <c r="D1276" s="74" t="s">
        <v>79</v>
      </c>
      <c r="E1276" s="74" t="s">
        <v>81</v>
      </c>
      <c r="F1276" s="86" t="s">
        <v>183</v>
      </c>
      <c r="G1276" s="74" t="s">
        <v>177</v>
      </c>
      <c r="H1276" s="87">
        <v>44104</v>
      </c>
      <c r="I1276" s="98">
        <v>22</v>
      </c>
      <c r="J1276" s="98">
        <v>22</v>
      </c>
      <c r="K1276" s="89">
        <f t="shared" si="54"/>
        <v>1</v>
      </c>
      <c r="L1276" s="89">
        <v>1030.41</v>
      </c>
      <c r="M1276" s="89">
        <v>3081.53</v>
      </c>
      <c r="N1276" s="89">
        <v>106.97</v>
      </c>
      <c r="O1276" s="89">
        <f t="shared" si="52"/>
        <v>4218.91</v>
      </c>
    </row>
    <row r="1277" spans="1:15">
      <c r="A1277" s="74" t="s">
        <v>113</v>
      </c>
      <c r="B1277" s="74" t="s">
        <v>196</v>
      </c>
      <c r="C1277" s="74" t="s">
        <v>197</v>
      </c>
      <c r="D1277" s="74" t="s">
        <v>79</v>
      </c>
      <c r="E1277" s="74" t="s">
        <v>81</v>
      </c>
      <c r="F1277" s="86" t="s">
        <v>176</v>
      </c>
      <c r="G1277" s="74" t="s">
        <v>177</v>
      </c>
      <c r="H1277" s="87">
        <v>44104</v>
      </c>
      <c r="I1277" s="98">
        <v>22</v>
      </c>
      <c r="J1277" s="98">
        <v>22</v>
      </c>
      <c r="K1277" s="89">
        <f t="shared" si="54"/>
        <v>1</v>
      </c>
      <c r="L1277" s="89">
        <v>3296.68</v>
      </c>
      <c r="M1277" s="89">
        <v>3177.08</v>
      </c>
      <c r="N1277" s="89">
        <v>329.62</v>
      </c>
      <c r="O1277" s="89">
        <f t="shared" si="52"/>
        <v>6803.38</v>
      </c>
    </row>
    <row r="1278" spans="1:15">
      <c r="A1278" s="74" t="s">
        <v>113</v>
      </c>
      <c r="B1278" s="74" t="s">
        <v>198</v>
      </c>
      <c r="C1278" s="74" t="s">
        <v>199</v>
      </c>
      <c r="D1278" s="74" t="s">
        <v>79</v>
      </c>
      <c r="E1278" s="74" t="s">
        <v>81</v>
      </c>
      <c r="F1278" s="86" t="s">
        <v>180</v>
      </c>
      <c r="G1278" s="74" t="s">
        <v>177</v>
      </c>
      <c r="H1278" s="87">
        <v>44104</v>
      </c>
      <c r="I1278" s="98">
        <v>22</v>
      </c>
      <c r="J1278" s="98">
        <v>22</v>
      </c>
      <c r="K1278" s="89">
        <f t="shared" si="54"/>
        <v>1</v>
      </c>
      <c r="L1278" s="89">
        <v>2005.39</v>
      </c>
      <c r="M1278" s="89">
        <v>3162.92</v>
      </c>
      <c r="N1278" s="89">
        <v>210.53</v>
      </c>
      <c r="O1278" s="89">
        <f t="shared" si="52"/>
        <v>5378.84</v>
      </c>
    </row>
    <row r="1279" spans="1:15">
      <c r="A1279" s="74" t="s">
        <v>113</v>
      </c>
      <c r="B1279" s="74" t="s">
        <v>200</v>
      </c>
      <c r="C1279" s="74" t="s">
        <v>201</v>
      </c>
      <c r="D1279" s="74" t="s">
        <v>79</v>
      </c>
      <c r="E1279" s="74" t="s">
        <v>81</v>
      </c>
      <c r="F1279" s="86" t="s">
        <v>183</v>
      </c>
      <c r="G1279" s="74" t="s">
        <v>177</v>
      </c>
      <c r="H1279" s="87">
        <v>44104</v>
      </c>
      <c r="I1279" s="98">
        <v>22</v>
      </c>
      <c r="J1279" s="98">
        <v>22</v>
      </c>
      <c r="K1279" s="89">
        <f t="shared" si="54"/>
        <v>1</v>
      </c>
      <c r="L1279" s="89">
        <v>1038.32</v>
      </c>
      <c r="M1279" s="89">
        <v>3249.83</v>
      </c>
      <c r="N1279" s="89">
        <v>103.67</v>
      </c>
      <c r="O1279" s="89">
        <f t="shared" si="52"/>
        <v>4391.82</v>
      </c>
    </row>
    <row r="1280" spans="1:15">
      <c r="A1280" s="74" t="s">
        <v>113</v>
      </c>
      <c r="B1280" s="74" t="s">
        <v>202</v>
      </c>
      <c r="C1280" s="74" t="s">
        <v>203</v>
      </c>
      <c r="D1280" s="74" t="s">
        <v>79</v>
      </c>
      <c r="E1280" s="74" t="s">
        <v>81</v>
      </c>
      <c r="F1280" s="86" t="s">
        <v>204</v>
      </c>
      <c r="G1280" s="74" t="s">
        <v>205</v>
      </c>
      <c r="H1280" s="87">
        <v>44104</v>
      </c>
      <c r="I1280" s="98">
        <v>22</v>
      </c>
      <c r="J1280" s="98">
        <v>22</v>
      </c>
      <c r="K1280" s="89">
        <f t="shared" si="54"/>
        <v>1</v>
      </c>
      <c r="L1280" s="89">
        <v>18667.2</v>
      </c>
      <c r="M1280" s="89">
        <v>3193.64</v>
      </c>
      <c r="N1280" s="89">
        <v>1927.12</v>
      </c>
      <c r="O1280" s="89">
        <f t="shared" si="52"/>
        <v>23787.96</v>
      </c>
    </row>
    <row r="1281" spans="1:15">
      <c r="A1281" s="74" t="s">
        <v>113</v>
      </c>
      <c r="B1281" s="74" t="s">
        <v>206</v>
      </c>
      <c r="C1281" s="74" t="s">
        <v>207</v>
      </c>
      <c r="D1281" s="88" t="s">
        <v>82</v>
      </c>
      <c r="E1281" s="88" t="s">
        <v>84</v>
      </c>
      <c r="F1281" s="86" t="s">
        <v>208</v>
      </c>
      <c r="G1281" s="74" t="s">
        <v>209</v>
      </c>
      <c r="H1281" s="87">
        <v>44104</v>
      </c>
      <c r="I1281" s="98">
        <v>22</v>
      </c>
      <c r="J1281" s="98">
        <v>22</v>
      </c>
      <c r="K1281" s="89">
        <f t="shared" si="54"/>
        <v>1</v>
      </c>
      <c r="L1281" s="89">
        <v>9762.18</v>
      </c>
      <c r="M1281" s="89">
        <v>3039.9</v>
      </c>
      <c r="N1281" s="89">
        <v>967.93</v>
      </c>
      <c r="O1281" s="89">
        <f t="shared" si="52"/>
        <v>13770.01</v>
      </c>
    </row>
    <row r="1282" spans="1:15">
      <c r="A1282" s="74" t="s">
        <v>113</v>
      </c>
      <c r="B1282" s="74" t="s">
        <v>210</v>
      </c>
      <c r="C1282" s="74" t="s">
        <v>211</v>
      </c>
      <c r="D1282" s="88" t="s">
        <v>82</v>
      </c>
      <c r="E1282" s="88" t="s">
        <v>84</v>
      </c>
      <c r="F1282" s="86" t="s">
        <v>116</v>
      </c>
      <c r="G1282" s="74" t="s">
        <v>209</v>
      </c>
      <c r="H1282" s="87">
        <v>44104</v>
      </c>
      <c r="I1282" s="98">
        <v>22</v>
      </c>
      <c r="J1282" s="98">
        <v>22</v>
      </c>
      <c r="K1282" s="89">
        <f t="shared" si="54"/>
        <v>1</v>
      </c>
      <c r="L1282" s="89">
        <v>8771.57</v>
      </c>
      <c r="M1282" s="89">
        <v>3114.83</v>
      </c>
      <c r="N1282" s="89">
        <v>843.39</v>
      </c>
      <c r="O1282" s="89">
        <f t="shared" si="52"/>
        <v>12729.79</v>
      </c>
    </row>
    <row r="1283" spans="1:15">
      <c r="A1283" s="74" t="s">
        <v>113</v>
      </c>
      <c r="B1283" s="74" t="s">
        <v>212</v>
      </c>
      <c r="C1283" s="74" t="s">
        <v>213</v>
      </c>
      <c r="D1283" s="88" t="s">
        <v>82</v>
      </c>
      <c r="E1283" s="88" t="s">
        <v>84</v>
      </c>
      <c r="F1283" s="86" t="s">
        <v>208</v>
      </c>
      <c r="G1283" s="74" t="s">
        <v>209</v>
      </c>
      <c r="H1283" s="87">
        <v>44104</v>
      </c>
      <c r="I1283" s="98">
        <v>22</v>
      </c>
      <c r="J1283" s="98">
        <v>22</v>
      </c>
      <c r="K1283" s="89">
        <f t="shared" si="54"/>
        <v>1</v>
      </c>
      <c r="L1283" s="89">
        <v>9811.94</v>
      </c>
      <c r="M1283" s="89">
        <v>3233.03</v>
      </c>
      <c r="N1283" s="89">
        <v>946.19</v>
      </c>
      <c r="O1283" s="89">
        <f t="shared" si="52"/>
        <v>13991.16</v>
      </c>
    </row>
    <row r="1284" spans="1:15">
      <c r="A1284" s="74" t="s">
        <v>113</v>
      </c>
      <c r="B1284" s="74" t="s">
        <v>214</v>
      </c>
      <c r="C1284" s="74" t="s">
        <v>215</v>
      </c>
      <c r="D1284" s="88" t="s">
        <v>82</v>
      </c>
      <c r="E1284" s="88" t="s">
        <v>84</v>
      </c>
      <c r="F1284" s="86" t="s">
        <v>116</v>
      </c>
      <c r="G1284" s="74" t="s">
        <v>209</v>
      </c>
      <c r="H1284" s="87">
        <v>44104</v>
      </c>
      <c r="I1284" s="98">
        <v>22</v>
      </c>
      <c r="J1284" s="98">
        <v>22</v>
      </c>
      <c r="K1284" s="89">
        <f t="shared" si="54"/>
        <v>1</v>
      </c>
      <c r="L1284" s="89">
        <v>8761.69</v>
      </c>
      <c r="M1284" s="89">
        <v>3017.16</v>
      </c>
      <c r="N1284" s="89">
        <v>856.71</v>
      </c>
      <c r="O1284" s="89">
        <f t="shared" si="52"/>
        <v>12635.56</v>
      </c>
    </row>
    <row r="1285" spans="1:15">
      <c r="A1285" s="74" t="s">
        <v>113</v>
      </c>
      <c r="B1285" s="74" t="s">
        <v>216</v>
      </c>
      <c r="C1285" s="74" t="s">
        <v>217</v>
      </c>
      <c r="D1285" s="88" t="s">
        <v>82</v>
      </c>
      <c r="E1285" s="88" t="s">
        <v>84</v>
      </c>
      <c r="F1285" s="86" t="s">
        <v>218</v>
      </c>
      <c r="G1285" s="74" t="s">
        <v>219</v>
      </c>
      <c r="H1285" s="87">
        <v>44104</v>
      </c>
      <c r="I1285" s="98">
        <v>22</v>
      </c>
      <c r="J1285" s="98">
        <v>22</v>
      </c>
      <c r="K1285" s="89">
        <f t="shared" si="54"/>
        <v>1</v>
      </c>
      <c r="L1285" s="89">
        <v>11719.84</v>
      </c>
      <c r="M1285" s="89">
        <v>3197.89</v>
      </c>
      <c r="N1285" s="89">
        <v>1132.44</v>
      </c>
      <c r="O1285" s="89">
        <f t="shared" ref="O1285:O1348" si="55">SUM(L1285:N1285)</f>
        <v>16050.17</v>
      </c>
    </row>
    <row r="1286" spans="1:15">
      <c r="A1286" s="74" t="s">
        <v>113</v>
      </c>
      <c r="B1286" s="74" t="s">
        <v>220</v>
      </c>
      <c r="C1286" s="74" t="s">
        <v>221</v>
      </c>
      <c r="D1286" s="88" t="s">
        <v>82</v>
      </c>
      <c r="E1286" s="74" t="s">
        <v>83</v>
      </c>
      <c r="F1286" s="86" t="s">
        <v>218</v>
      </c>
      <c r="G1286" s="74" t="s">
        <v>222</v>
      </c>
      <c r="H1286" s="87">
        <v>44104</v>
      </c>
      <c r="I1286" s="98">
        <v>22</v>
      </c>
      <c r="J1286" s="98">
        <v>22</v>
      </c>
      <c r="K1286" s="89">
        <f t="shared" si="54"/>
        <v>1</v>
      </c>
      <c r="L1286" s="89">
        <v>11904.7</v>
      </c>
      <c r="M1286" s="89">
        <v>3134.31</v>
      </c>
      <c r="N1286" s="89">
        <v>1182.9</v>
      </c>
      <c r="O1286" s="89">
        <f t="shared" si="55"/>
        <v>16221.91</v>
      </c>
    </row>
    <row r="1287" spans="1:15">
      <c r="A1287" s="74" t="s">
        <v>113</v>
      </c>
      <c r="B1287" s="74" t="s">
        <v>223</v>
      </c>
      <c r="C1287" s="74" t="s">
        <v>224</v>
      </c>
      <c r="D1287" s="88" t="s">
        <v>82</v>
      </c>
      <c r="E1287" s="74" t="s">
        <v>83</v>
      </c>
      <c r="F1287" s="86" t="s">
        <v>225</v>
      </c>
      <c r="G1287" s="74" t="s">
        <v>209</v>
      </c>
      <c r="H1287" s="87">
        <v>44104</v>
      </c>
      <c r="I1287" s="98">
        <v>22</v>
      </c>
      <c r="J1287" s="98">
        <v>22</v>
      </c>
      <c r="K1287" s="89">
        <f t="shared" si="54"/>
        <v>1</v>
      </c>
      <c r="L1287" s="89">
        <v>10737.54</v>
      </c>
      <c r="M1287" s="89">
        <v>3047.49</v>
      </c>
      <c r="N1287" s="89">
        <v>1034.69</v>
      </c>
      <c r="O1287" s="89">
        <f t="shared" si="55"/>
        <v>14819.72</v>
      </c>
    </row>
    <row r="1288" spans="1:15">
      <c r="A1288" s="74" t="s">
        <v>113</v>
      </c>
      <c r="B1288" s="74" t="s">
        <v>226</v>
      </c>
      <c r="C1288" s="74" t="s">
        <v>227</v>
      </c>
      <c r="D1288" s="88" t="s">
        <v>82</v>
      </c>
      <c r="E1288" s="74" t="s">
        <v>83</v>
      </c>
      <c r="F1288" s="86" t="s">
        <v>208</v>
      </c>
      <c r="G1288" s="74" t="s">
        <v>209</v>
      </c>
      <c r="H1288" s="87">
        <v>44104</v>
      </c>
      <c r="I1288" s="98">
        <v>22</v>
      </c>
      <c r="J1288" s="98">
        <v>22</v>
      </c>
      <c r="K1288" s="89">
        <f t="shared" si="54"/>
        <v>1</v>
      </c>
      <c r="L1288" s="89">
        <v>9418.2</v>
      </c>
      <c r="M1288" s="89">
        <v>3038.57</v>
      </c>
      <c r="N1288" s="89">
        <v>964.28</v>
      </c>
      <c r="O1288" s="89">
        <f t="shared" si="55"/>
        <v>13421.05</v>
      </c>
    </row>
    <row r="1289" spans="1:15">
      <c r="A1289" s="74" t="s">
        <v>113</v>
      </c>
      <c r="B1289" s="74" t="s">
        <v>228</v>
      </c>
      <c r="C1289" s="74" t="s">
        <v>229</v>
      </c>
      <c r="D1289" s="88" t="s">
        <v>82</v>
      </c>
      <c r="E1289" s="74" t="s">
        <v>83</v>
      </c>
      <c r="F1289" s="86" t="s">
        <v>116</v>
      </c>
      <c r="G1289" s="74" t="s">
        <v>209</v>
      </c>
      <c r="H1289" s="87">
        <v>44104</v>
      </c>
      <c r="I1289" s="98">
        <v>22</v>
      </c>
      <c r="J1289" s="98">
        <v>22</v>
      </c>
      <c r="K1289" s="89">
        <f t="shared" si="54"/>
        <v>1</v>
      </c>
      <c r="L1289" s="89">
        <v>8504.23</v>
      </c>
      <c r="M1289" s="89">
        <v>3204.42</v>
      </c>
      <c r="N1289" s="89">
        <v>876.12</v>
      </c>
      <c r="O1289" s="89">
        <f t="shared" si="55"/>
        <v>12584.77</v>
      </c>
    </row>
    <row r="1290" spans="1:15">
      <c r="A1290" s="74" t="s">
        <v>113</v>
      </c>
      <c r="B1290" s="74" t="s">
        <v>230</v>
      </c>
      <c r="C1290" s="74" t="s">
        <v>231</v>
      </c>
      <c r="D1290" s="88" t="s">
        <v>82</v>
      </c>
      <c r="E1290" s="74" t="s">
        <v>83</v>
      </c>
      <c r="F1290" s="86" t="s">
        <v>120</v>
      </c>
      <c r="G1290" s="74" t="s">
        <v>209</v>
      </c>
      <c r="H1290" s="87">
        <v>44104</v>
      </c>
      <c r="I1290" s="98">
        <v>22</v>
      </c>
      <c r="J1290" s="98">
        <v>22</v>
      </c>
      <c r="K1290" s="89">
        <f t="shared" si="54"/>
        <v>1</v>
      </c>
      <c r="L1290" s="89">
        <v>7308.68</v>
      </c>
      <c r="M1290" s="89">
        <v>3018.27</v>
      </c>
      <c r="N1290" s="89">
        <v>705.02</v>
      </c>
      <c r="O1290" s="89">
        <f t="shared" si="55"/>
        <v>11031.97</v>
      </c>
    </row>
    <row r="1291" spans="1:15">
      <c r="A1291" s="74" t="s">
        <v>113</v>
      </c>
      <c r="B1291" s="74" t="s">
        <v>232</v>
      </c>
      <c r="C1291" s="74" t="s">
        <v>233</v>
      </c>
      <c r="D1291" s="88" t="s">
        <v>82</v>
      </c>
      <c r="E1291" s="74" t="s">
        <v>83</v>
      </c>
      <c r="F1291" s="86" t="s">
        <v>123</v>
      </c>
      <c r="G1291" s="74" t="s">
        <v>209</v>
      </c>
      <c r="H1291" s="87">
        <v>44104</v>
      </c>
      <c r="I1291" s="98">
        <v>22</v>
      </c>
      <c r="J1291" s="98">
        <v>22</v>
      </c>
      <c r="K1291" s="89">
        <f t="shared" si="54"/>
        <v>1</v>
      </c>
      <c r="L1291" s="89">
        <v>6448.6</v>
      </c>
      <c r="M1291" s="89">
        <v>3158.79</v>
      </c>
      <c r="N1291" s="89">
        <v>633.72</v>
      </c>
      <c r="O1291" s="89">
        <f t="shared" si="55"/>
        <v>10241.11</v>
      </c>
    </row>
    <row r="1292" spans="1:15">
      <c r="A1292" s="74" t="s">
        <v>113</v>
      </c>
      <c r="B1292" s="74" t="s">
        <v>234</v>
      </c>
      <c r="C1292" s="74" t="s">
        <v>235</v>
      </c>
      <c r="D1292" s="88" t="s">
        <v>82</v>
      </c>
      <c r="E1292" s="74" t="s">
        <v>83</v>
      </c>
      <c r="F1292" s="86" t="s">
        <v>116</v>
      </c>
      <c r="G1292" s="74" t="s">
        <v>209</v>
      </c>
      <c r="H1292" s="87">
        <v>44104</v>
      </c>
      <c r="I1292" s="98">
        <v>22</v>
      </c>
      <c r="J1292" s="98">
        <v>22</v>
      </c>
      <c r="K1292" s="89">
        <f t="shared" si="54"/>
        <v>1</v>
      </c>
      <c r="L1292" s="89">
        <v>8154.99</v>
      </c>
      <c r="M1292" s="89">
        <v>3015.02</v>
      </c>
      <c r="N1292" s="89">
        <v>826.43</v>
      </c>
      <c r="O1292" s="89">
        <f t="shared" si="55"/>
        <v>11996.44</v>
      </c>
    </row>
    <row r="1293" spans="1:15">
      <c r="A1293" s="74" t="s">
        <v>113</v>
      </c>
      <c r="B1293" s="74" t="s">
        <v>236</v>
      </c>
      <c r="C1293" s="74" t="s">
        <v>237</v>
      </c>
      <c r="D1293" s="88" t="s">
        <v>82</v>
      </c>
      <c r="E1293" s="74" t="s">
        <v>83</v>
      </c>
      <c r="F1293" s="86" t="s">
        <v>120</v>
      </c>
      <c r="G1293" s="74" t="s">
        <v>209</v>
      </c>
      <c r="H1293" s="87">
        <v>44104</v>
      </c>
      <c r="I1293" s="98">
        <v>22</v>
      </c>
      <c r="J1293" s="98">
        <v>22</v>
      </c>
      <c r="K1293" s="89">
        <f t="shared" si="54"/>
        <v>1</v>
      </c>
      <c r="L1293" s="89">
        <v>7156.65</v>
      </c>
      <c r="M1293" s="89">
        <v>3111.73</v>
      </c>
      <c r="N1293" s="89">
        <v>728.68</v>
      </c>
      <c r="O1293" s="89">
        <f t="shared" si="55"/>
        <v>10997.06</v>
      </c>
    </row>
    <row r="1294" spans="1:15">
      <c r="A1294" s="74" t="s">
        <v>113</v>
      </c>
      <c r="B1294" s="74" t="s">
        <v>238</v>
      </c>
      <c r="C1294" s="74" t="s">
        <v>239</v>
      </c>
      <c r="D1294" s="74" t="s">
        <v>86</v>
      </c>
      <c r="E1294" s="74" t="s">
        <v>87</v>
      </c>
      <c r="F1294" s="86" t="s">
        <v>204</v>
      </c>
      <c r="G1294" s="74" t="s">
        <v>240</v>
      </c>
      <c r="H1294" s="87">
        <v>44104</v>
      </c>
      <c r="I1294" s="98">
        <v>22</v>
      </c>
      <c r="J1294" s="98">
        <v>22</v>
      </c>
      <c r="K1294" s="89">
        <f t="shared" si="54"/>
        <v>1</v>
      </c>
      <c r="L1294" s="89">
        <v>15565.92</v>
      </c>
      <c r="M1294" s="89">
        <v>3029.07</v>
      </c>
      <c r="N1294" s="89">
        <v>1849.39</v>
      </c>
      <c r="O1294" s="89">
        <f t="shared" si="55"/>
        <v>20444.38</v>
      </c>
    </row>
    <row r="1295" spans="1:15">
      <c r="A1295" s="74" t="s">
        <v>113</v>
      </c>
      <c r="B1295" s="74" t="s">
        <v>241</v>
      </c>
      <c r="C1295" s="74" t="s">
        <v>242</v>
      </c>
      <c r="D1295" s="74" t="s">
        <v>86</v>
      </c>
      <c r="E1295" s="74" t="s">
        <v>87</v>
      </c>
      <c r="F1295" s="86" t="s">
        <v>243</v>
      </c>
      <c r="G1295" s="74" t="s">
        <v>244</v>
      </c>
      <c r="H1295" s="87">
        <v>44104</v>
      </c>
      <c r="I1295" s="98">
        <v>22</v>
      </c>
      <c r="J1295" s="98">
        <v>22</v>
      </c>
      <c r="K1295" s="89">
        <f t="shared" si="54"/>
        <v>1</v>
      </c>
      <c r="L1295" s="89">
        <v>10885.99</v>
      </c>
      <c r="M1295" s="89">
        <v>3246.53</v>
      </c>
      <c r="N1295" s="89">
        <v>1326.59</v>
      </c>
      <c r="O1295" s="89">
        <f t="shared" si="55"/>
        <v>15459.11</v>
      </c>
    </row>
    <row r="1296" spans="1:15">
      <c r="A1296" s="74" t="s">
        <v>113</v>
      </c>
      <c r="B1296" s="74" t="s">
        <v>245</v>
      </c>
      <c r="C1296" s="74" t="s">
        <v>246</v>
      </c>
      <c r="D1296" s="74" t="s">
        <v>86</v>
      </c>
      <c r="E1296" s="74" t="s">
        <v>87</v>
      </c>
      <c r="F1296" s="86" t="s">
        <v>247</v>
      </c>
      <c r="G1296" s="74" t="s">
        <v>248</v>
      </c>
      <c r="H1296" s="87">
        <v>44104</v>
      </c>
      <c r="I1296" s="98">
        <v>22</v>
      </c>
      <c r="J1296" s="98">
        <v>22</v>
      </c>
      <c r="K1296" s="89">
        <f t="shared" si="54"/>
        <v>1</v>
      </c>
      <c r="L1296" s="89">
        <v>10115.97</v>
      </c>
      <c r="M1296" s="89">
        <v>3273.14</v>
      </c>
      <c r="N1296" s="89">
        <v>1265.76</v>
      </c>
      <c r="O1296" s="89">
        <f t="shared" si="55"/>
        <v>14654.87</v>
      </c>
    </row>
    <row r="1297" spans="1:15">
      <c r="A1297" s="74" t="s">
        <v>113</v>
      </c>
      <c r="B1297" s="74" t="s">
        <v>249</v>
      </c>
      <c r="C1297" s="74" t="s">
        <v>250</v>
      </c>
      <c r="D1297" s="74" t="s">
        <v>86</v>
      </c>
      <c r="E1297" s="74" t="s">
        <v>87</v>
      </c>
      <c r="F1297" s="86" t="s">
        <v>251</v>
      </c>
      <c r="G1297" s="74" t="s">
        <v>252</v>
      </c>
      <c r="H1297" s="87">
        <v>44104</v>
      </c>
      <c r="I1297" s="98">
        <v>22</v>
      </c>
      <c r="J1297" s="98">
        <v>22</v>
      </c>
      <c r="K1297" s="89">
        <f t="shared" si="54"/>
        <v>1</v>
      </c>
      <c r="L1297" s="89">
        <v>8953.04</v>
      </c>
      <c r="M1297" s="89">
        <v>3230.27</v>
      </c>
      <c r="N1297" s="89">
        <v>1202.87</v>
      </c>
      <c r="O1297" s="89">
        <f t="shared" si="55"/>
        <v>13386.18</v>
      </c>
    </row>
    <row r="1298" spans="1:15">
      <c r="A1298" s="74" t="s">
        <v>113</v>
      </c>
      <c r="B1298" s="74" t="s">
        <v>253</v>
      </c>
      <c r="C1298" s="74" t="s">
        <v>254</v>
      </c>
      <c r="D1298" s="74" t="s">
        <v>86</v>
      </c>
      <c r="E1298" s="74" t="s">
        <v>87</v>
      </c>
      <c r="F1298" s="86" t="s">
        <v>255</v>
      </c>
      <c r="G1298" s="74" t="s">
        <v>252</v>
      </c>
      <c r="H1298" s="87">
        <v>44104</v>
      </c>
      <c r="I1298" s="98">
        <v>22</v>
      </c>
      <c r="J1298" s="98">
        <v>22</v>
      </c>
      <c r="K1298" s="89">
        <f t="shared" si="54"/>
        <v>1</v>
      </c>
      <c r="L1298" s="89">
        <v>8484.04</v>
      </c>
      <c r="M1298" s="89">
        <v>3038.7</v>
      </c>
      <c r="N1298" s="89">
        <v>1011.67</v>
      </c>
      <c r="O1298" s="89">
        <f t="shared" si="55"/>
        <v>12534.41</v>
      </c>
    </row>
    <row r="1299" spans="1:15">
      <c r="A1299" s="74" t="s">
        <v>113</v>
      </c>
      <c r="B1299" s="74" t="s">
        <v>256</v>
      </c>
      <c r="C1299" s="74" t="s">
        <v>257</v>
      </c>
      <c r="D1299" s="74" t="s">
        <v>86</v>
      </c>
      <c r="E1299" s="74" t="s">
        <v>87</v>
      </c>
      <c r="F1299" s="86" t="s">
        <v>258</v>
      </c>
      <c r="G1299" s="74" t="s">
        <v>252</v>
      </c>
      <c r="H1299" s="87">
        <v>44104</v>
      </c>
      <c r="I1299" s="98">
        <v>22</v>
      </c>
      <c r="J1299" s="98">
        <v>22</v>
      </c>
      <c r="K1299" s="89">
        <f t="shared" si="54"/>
        <v>1</v>
      </c>
      <c r="L1299" s="89">
        <v>7879.12</v>
      </c>
      <c r="M1299" s="89">
        <v>3113.14</v>
      </c>
      <c r="N1299" s="89">
        <v>928.64</v>
      </c>
      <c r="O1299" s="89">
        <f t="shared" si="55"/>
        <v>11920.9</v>
      </c>
    </row>
    <row r="1300" spans="1:15">
      <c r="A1300" s="74" t="s">
        <v>113</v>
      </c>
      <c r="B1300" s="74" t="s">
        <v>259</v>
      </c>
      <c r="C1300" s="74" t="s">
        <v>260</v>
      </c>
      <c r="D1300" s="74" t="s">
        <v>86</v>
      </c>
      <c r="E1300" s="74" t="s">
        <v>87</v>
      </c>
      <c r="F1300" s="86" t="s">
        <v>261</v>
      </c>
      <c r="G1300" s="74" t="s">
        <v>262</v>
      </c>
      <c r="H1300" s="87">
        <v>44104</v>
      </c>
      <c r="I1300" s="98">
        <v>22</v>
      </c>
      <c r="J1300" s="98">
        <v>22</v>
      </c>
      <c r="K1300" s="89">
        <f t="shared" si="54"/>
        <v>1</v>
      </c>
      <c r="L1300" s="89">
        <v>6786.03</v>
      </c>
      <c r="M1300" s="89">
        <v>3072.54</v>
      </c>
      <c r="N1300" s="89">
        <v>832.78</v>
      </c>
      <c r="O1300" s="89">
        <f t="shared" si="55"/>
        <v>10691.35</v>
      </c>
    </row>
    <row r="1301" spans="1:15">
      <c r="A1301" s="74" t="s">
        <v>113</v>
      </c>
      <c r="B1301" s="74" t="s">
        <v>263</v>
      </c>
      <c r="C1301" s="74" t="s">
        <v>264</v>
      </c>
      <c r="D1301" s="74" t="s">
        <v>86</v>
      </c>
      <c r="E1301" s="74" t="s">
        <v>88</v>
      </c>
      <c r="F1301" s="86" t="s">
        <v>149</v>
      </c>
      <c r="G1301" s="74" t="s">
        <v>265</v>
      </c>
      <c r="H1301" s="87">
        <v>44104</v>
      </c>
      <c r="I1301" s="98">
        <v>22</v>
      </c>
      <c r="J1301" s="98">
        <v>22</v>
      </c>
      <c r="K1301" s="89">
        <f t="shared" si="54"/>
        <v>1</v>
      </c>
      <c r="L1301" s="89">
        <v>13622.71</v>
      </c>
      <c r="M1301" s="89">
        <v>3074.69</v>
      </c>
      <c r="N1301" s="89">
        <v>1769.81</v>
      </c>
      <c r="O1301" s="89">
        <f t="shared" si="55"/>
        <v>18467.21</v>
      </c>
    </row>
    <row r="1302" spans="1:15">
      <c r="A1302" s="74" t="s">
        <v>113</v>
      </c>
      <c r="B1302" s="74" t="s">
        <v>266</v>
      </c>
      <c r="C1302" s="74" t="s">
        <v>267</v>
      </c>
      <c r="D1302" s="74" t="s">
        <v>86</v>
      </c>
      <c r="E1302" s="74" t="s">
        <v>88</v>
      </c>
      <c r="F1302" s="86" t="s">
        <v>243</v>
      </c>
      <c r="G1302" s="74" t="s">
        <v>268</v>
      </c>
      <c r="H1302" s="87">
        <v>44104</v>
      </c>
      <c r="I1302" s="98">
        <v>22</v>
      </c>
      <c r="J1302" s="98">
        <v>22</v>
      </c>
      <c r="K1302" s="89">
        <f t="shared" si="54"/>
        <v>1</v>
      </c>
      <c r="L1302" s="89">
        <v>10555.92</v>
      </c>
      <c r="M1302" s="89">
        <v>3249.56</v>
      </c>
      <c r="N1302" s="89">
        <v>1315.7</v>
      </c>
      <c r="O1302" s="89">
        <f t="shared" si="55"/>
        <v>15121.18</v>
      </c>
    </row>
    <row r="1303" spans="1:15">
      <c r="A1303" s="74" t="s">
        <v>113</v>
      </c>
      <c r="B1303" s="74" t="s">
        <v>269</v>
      </c>
      <c r="C1303" s="74" t="s">
        <v>270</v>
      </c>
      <c r="D1303" s="74" t="s">
        <v>86</v>
      </c>
      <c r="E1303" s="74" t="s">
        <v>88</v>
      </c>
      <c r="F1303" s="86" t="s">
        <v>247</v>
      </c>
      <c r="G1303" s="74" t="s">
        <v>268</v>
      </c>
      <c r="H1303" s="87">
        <v>44104</v>
      </c>
      <c r="I1303" s="98">
        <v>22</v>
      </c>
      <c r="J1303" s="98">
        <v>22</v>
      </c>
      <c r="K1303" s="89">
        <f t="shared" si="54"/>
        <v>1</v>
      </c>
      <c r="L1303" s="89">
        <v>10532.3</v>
      </c>
      <c r="M1303" s="89">
        <v>3013.25</v>
      </c>
      <c r="N1303" s="89">
        <v>1282.98</v>
      </c>
      <c r="O1303" s="89">
        <f t="shared" si="55"/>
        <v>14828.53</v>
      </c>
    </row>
    <row r="1304" spans="1:15">
      <c r="A1304" s="74" t="s">
        <v>113</v>
      </c>
      <c r="B1304" s="74" t="s">
        <v>271</v>
      </c>
      <c r="C1304" s="74" t="s">
        <v>272</v>
      </c>
      <c r="D1304" s="74" t="s">
        <v>86</v>
      </c>
      <c r="E1304" s="74" t="s">
        <v>88</v>
      </c>
      <c r="F1304" s="86" t="s">
        <v>251</v>
      </c>
      <c r="G1304" s="74" t="s">
        <v>268</v>
      </c>
      <c r="H1304" s="87">
        <v>44104</v>
      </c>
      <c r="I1304" s="98">
        <v>22</v>
      </c>
      <c r="J1304" s="98">
        <v>22</v>
      </c>
      <c r="K1304" s="89">
        <f t="shared" si="54"/>
        <v>1</v>
      </c>
      <c r="L1304" s="89">
        <v>9472.09</v>
      </c>
      <c r="M1304" s="89">
        <v>3178.25</v>
      </c>
      <c r="N1304" s="89">
        <v>1209.4</v>
      </c>
      <c r="O1304" s="89">
        <f t="shared" si="55"/>
        <v>13859.74</v>
      </c>
    </row>
    <row r="1305" spans="1:15">
      <c r="A1305" s="74" t="s">
        <v>113</v>
      </c>
      <c r="B1305" s="74" t="s">
        <v>273</v>
      </c>
      <c r="C1305" s="74" t="s">
        <v>274</v>
      </c>
      <c r="D1305" s="74" t="s">
        <v>86</v>
      </c>
      <c r="E1305" s="74" t="s">
        <v>88</v>
      </c>
      <c r="F1305" s="86" t="s">
        <v>255</v>
      </c>
      <c r="G1305" s="74" t="s">
        <v>268</v>
      </c>
      <c r="H1305" s="87">
        <v>44104</v>
      </c>
      <c r="I1305" s="98">
        <v>22</v>
      </c>
      <c r="J1305" s="98">
        <v>22</v>
      </c>
      <c r="K1305" s="89">
        <f t="shared" si="54"/>
        <v>1</v>
      </c>
      <c r="L1305" s="89">
        <v>8524.16</v>
      </c>
      <c r="M1305" s="89">
        <v>3033.78</v>
      </c>
      <c r="N1305" s="89">
        <v>1072.87</v>
      </c>
      <c r="O1305" s="89">
        <f t="shared" si="55"/>
        <v>12630.81</v>
      </c>
    </row>
    <row r="1306" spans="1:15">
      <c r="A1306" s="74" t="s">
        <v>113</v>
      </c>
      <c r="B1306" s="74" t="s">
        <v>275</v>
      </c>
      <c r="C1306" s="74" t="s">
        <v>276</v>
      </c>
      <c r="D1306" s="74" t="s">
        <v>86</v>
      </c>
      <c r="E1306" s="74" t="s">
        <v>88</v>
      </c>
      <c r="F1306" s="86" t="s">
        <v>258</v>
      </c>
      <c r="G1306" s="74" t="s">
        <v>268</v>
      </c>
      <c r="H1306" s="87">
        <v>44104</v>
      </c>
      <c r="I1306" s="98">
        <v>22</v>
      </c>
      <c r="J1306" s="98">
        <v>22</v>
      </c>
      <c r="K1306" s="89">
        <f t="shared" si="54"/>
        <v>1</v>
      </c>
      <c r="L1306" s="89">
        <v>7209.51</v>
      </c>
      <c r="M1306" s="89">
        <v>3055.57</v>
      </c>
      <c r="N1306" s="89">
        <v>927.93</v>
      </c>
      <c r="O1306" s="89">
        <f t="shared" si="55"/>
        <v>11193.01</v>
      </c>
    </row>
    <row r="1307" spans="1:15">
      <c r="A1307" s="74" t="s">
        <v>113</v>
      </c>
      <c r="B1307" s="74" t="s">
        <v>277</v>
      </c>
      <c r="C1307" s="74" t="s">
        <v>278</v>
      </c>
      <c r="D1307" s="74" t="s">
        <v>86</v>
      </c>
      <c r="E1307" s="74" t="s">
        <v>89</v>
      </c>
      <c r="F1307" s="86" t="s">
        <v>279</v>
      </c>
      <c r="G1307" s="74" t="s">
        <v>280</v>
      </c>
      <c r="H1307" s="87">
        <v>44104</v>
      </c>
      <c r="I1307" s="98">
        <v>22</v>
      </c>
      <c r="J1307" s="98">
        <v>22</v>
      </c>
      <c r="K1307" s="89">
        <f t="shared" si="54"/>
        <v>1</v>
      </c>
      <c r="L1307" s="89">
        <v>12385.27</v>
      </c>
      <c r="M1307" s="89">
        <v>3266.45</v>
      </c>
      <c r="N1307" s="89">
        <v>1535.7</v>
      </c>
      <c r="O1307" s="89">
        <f t="shared" si="55"/>
        <v>17187.42</v>
      </c>
    </row>
    <row r="1308" spans="1:15">
      <c r="A1308" s="74" t="s">
        <v>113</v>
      </c>
      <c r="B1308" s="74" t="s">
        <v>281</v>
      </c>
      <c r="C1308" s="74" t="s">
        <v>282</v>
      </c>
      <c r="D1308" s="74" t="s">
        <v>86</v>
      </c>
      <c r="E1308" s="74" t="s">
        <v>89</v>
      </c>
      <c r="F1308" s="86" t="s">
        <v>225</v>
      </c>
      <c r="G1308" s="74" t="s">
        <v>283</v>
      </c>
      <c r="H1308" s="87">
        <v>44104</v>
      </c>
      <c r="I1308" s="98">
        <v>22</v>
      </c>
      <c r="J1308" s="98">
        <v>22</v>
      </c>
      <c r="K1308" s="89">
        <f t="shared" si="54"/>
        <v>1</v>
      </c>
      <c r="L1308" s="89">
        <v>8350.14</v>
      </c>
      <c r="M1308" s="89">
        <v>3232.44</v>
      </c>
      <c r="N1308" s="89">
        <v>1043.12</v>
      </c>
      <c r="O1308" s="89">
        <f t="shared" si="55"/>
        <v>12625.7</v>
      </c>
    </row>
    <row r="1309" spans="1:15">
      <c r="A1309" s="74" t="s">
        <v>113</v>
      </c>
      <c r="B1309" s="74" t="s">
        <v>284</v>
      </c>
      <c r="C1309" s="74" t="s">
        <v>285</v>
      </c>
      <c r="D1309" s="74" t="s">
        <v>86</v>
      </c>
      <c r="E1309" s="74" t="s">
        <v>89</v>
      </c>
      <c r="F1309" s="86" t="s">
        <v>208</v>
      </c>
      <c r="G1309" s="74" t="s">
        <v>283</v>
      </c>
      <c r="H1309" s="87">
        <v>44104</v>
      </c>
      <c r="I1309" s="98">
        <v>22</v>
      </c>
      <c r="J1309" s="98">
        <v>22</v>
      </c>
      <c r="K1309" s="89">
        <f t="shared" si="54"/>
        <v>1</v>
      </c>
      <c r="L1309" s="89">
        <v>7259.95</v>
      </c>
      <c r="M1309" s="89">
        <v>3224.87</v>
      </c>
      <c r="N1309" s="89">
        <v>965.54</v>
      </c>
      <c r="O1309" s="89">
        <f t="shared" si="55"/>
        <v>11450.36</v>
      </c>
    </row>
    <row r="1310" spans="1:15">
      <c r="A1310" s="74" t="s">
        <v>113</v>
      </c>
      <c r="B1310" s="74" t="s">
        <v>286</v>
      </c>
      <c r="C1310" s="74" t="s">
        <v>287</v>
      </c>
      <c r="D1310" s="74" t="s">
        <v>82</v>
      </c>
      <c r="E1310" s="88" t="s">
        <v>85</v>
      </c>
      <c r="F1310" s="86" t="s">
        <v>288</v>
      </c>
      <c r="G1310" s="74" t="s">
        <v>289</v>
      </c>
      <c r="H1310" s="87">
        <v>44104</v>
      </c>
      <c r="I1310" s="98">
        <v>22</v>
      </c>
      <c r="J1310" s="98">
        <v>22</v>
      </c>
      <c r="K1310" s="89">
        <f t="shared" ref="K1310:K1318" si="56">I1310/J1310</f>
        <v>1</v>
      </c>
      <c r="L1310" s="89">
        <v>12010.68</v>
      </c>
      <c r="M1310" s="89">
        <v>3004.36</v>
      </c>
      <c r="N1310" s="89">
        <v>1283.76</v>
      </c>
      <c r="O1310" s="89">
        <f t="shared" si="55"/>
        <v>16298.8</v>
      </c>
    </row>
    <row r="1311" spans="1:15">
      <c r="A1311" s="74" t="s">
        <v>113</v>
      </c>
      <c r="B1311" s="74" t="s">
        <v>290</v>
      </c>
      <c r="C1311" s="74" t="s">
        <v>291</v>
      </c>
      <c r="D1311" s="74" t="s">
        <v>82</v>
      </c>
      <c r="E1311" s="88" t="s">
        <v>85</v>
      </c>
      <c r="F1311" s="86" t="s">
        <v>218</v>
      </c>
      <c r="G1311" s="74" t="s">
        <v>289</v>
      </c>
      <c r="H1311" s="87">
        <v>44104</v>
      </c>
      <c r="I1311" s="98">
        <v>22</v>
      </c>
      <c r="J1311" s="98">
        <v>22</v>
      </c>
      <c r="K1311" s="89">
        <f t="shared" si="56"/>
        <v>1</v>
      </c>
      <c r="L1311" s="89">
        <v>11619.22</v>
      </c>
      <c r="M1311" s="89">
        <v>3297.63</v>
      </c>
      <c r="N1311" s="89">
        <v>1142.4</v>
      </c>
      <c r="O1311" s="89">
        <f t="shared" si="55"/>
        <v>16059.25</v>
      </c>
    </row>
    <row r="1312" spans="1:15">
      <c r="A1312" s="74" t="s">
        <v>113</v>
      </c>
      <c r="B1312" s="74" t="s">
        <v>292</v>
      </c>
      <c r="C1312" s="74" t="s">
        <v>293</v>
      </c>
      <c r="D1312" s="74" t="s">
        <v>82</v>
      </c>
      <c r="E1312" s="88" t="s">
        <v>85</v>
      </c>
      <c r="F1312" s="86" t="s">
        <v>225</v>
      </c>
      <c r="G1312" s="74" t="s">
        <v>289</v>
      </c>
      <c r="H1312" s="87">
        <v>44104</v>
      </c>
      <c r="I1312" s="98">
        <v>22</v>
      </c>
      <c r="J1312" s="98">
        <v>22</v>
      </c>
      <c r="K1312" s="89">
        <f t="shared" si="56"/>
        <v>1</v>
      </c>
      <c r="L1312" s="89">
        <v>10999.2</v>
      </c>
      <c r="M1312" s="89">
        <v>3108.29</v>
      </c>
      <c r="N1312" s="89">
        <v>1093.12</v>
      </c>
      <c r="O1312" s="89">
        <f t="shared" si="55"/>
        <v>15200.61</v>
      </c>
    </row>
    <row r="1313" spans="1:15">
      <c r="A1313" s="74" t="s">
        <v>113</v>
      </c>
      <c r="B1313" s="74" t="s">
        <v>294</v>
      </c>
      <c r="C1313" s="74" t="s">
        <v>295</v>
      </c>
      <c r="D1313" s="74" t="s">
        <v>82</v>
      </c>
      <c r="E1313" s="88" t="s">
        <v>85</v>
      </c>
      <c r="F1313" s="86" t="s">
        <v>208</v>
      </c>
      <c r="G1313" s="74" t="s">
        <v>289</v>
      </c>
      <c r="H1313" s="87">
        <v>44104</v>
      </c>
      <c r="I1313" s="98">
        <v>22</v>
      </c>
      <c r="J1313" s="98">
        <v>22</v>
      </c>
      <c r="K1313" s="89">
        <f t="shared" si="56"/>
        <v>1</v>
      </c>
      <c r="L1313" s="89">
        <v>9590.31</v>
      </c>
      <c r="M1313" s="89">
        <v>3082.81</v>
      </c>
      <c r="N1313" s="89">
        <v>979.03</v>
      </c>
      <c r="O1313" s="89">
        <f t="shared" si="55"/>
        <v>13652.15</v>
      </c>
    </row>
    <row r="1314" spans="1:15">
      <c r="A1314" s="74" t="s">
        <v>113</v>
      </c>
      <c r="B1314" s="74" t="s">
        <v>296</v>
      </c>
      <c r="C1314" s="74" t="s">
        <v>297</v>
      </c>
      <c r="D1314" s="74" t="s">
        <v>82</v>
      </c>
      <c r="E1314" s="88" t="s">
        <v>85</v>
      </c>
      <c r="F1314" s="86" t="s">
        <v>116</v>
      </c>
      <c r="G1314" s="74" t="s">
        <v>289</v>
      </c>
      <c r="H1314" s="87">
        <v>44104</v>
      </c>
      <c r="I1314" s="98">
        <v>22</v>
      </c>
      <c r="J1314" s="98">
        <v>22</v>
      </c>
      <c r="K1314" s="89">
        <f t="shared" si="56"/>
        <v>1</v>
      </c>
      <c r="L1314" s="89">
        <v>8067.71</v>
      </c>
      <c r="M1314" s="89">
        <v>3261.68</v>
      </c>
      <c r="N1314" s="89">
        <v>863.51</v>
      </c>
      <c r="O1314" s="89">
        <f t="shared" si="55"/>
        <v>12192.9</v>
      </c>
    </row>
    <row r="1315" spans="1:15">
      <c r="A1315" s="74" t="s">
        <v>113</v>
      </c>
      <c r="B1315" s="74" t="s">
        <v>298</v>
      </c>
      <c r="C1315" s="74" t="s">
        <v>299</v>
      </c>
      <c r="D1315" s="74" t="s">
        <v>82</v>
      </c>
      <c r="E1315" s="88" t="s">
        <v>85</v>
      </c>
      <c r="F1315" s="86" t="s">
        <v>279</v>
      </c>
      <c r="G1315" s="74" t="s">
        <v>300</v>
      </c>
      <c r="H1315" s="87">
        <v>44104</v>
      </c>
      <c r="I1315" s="98">
        <v>22</v>
      </c>
      <c r="J1315" s="98">
        <v>22</v>
      </c>
      <c r="K1315" s="89">
        <f t="shared" si="56"/>
        <v>1</v>
      </c>
      <c r="L1315" s="89">
        <v>15610.89</v>
      </c>
      <c r="M1315" s="89">
        <v>3299.12</v>
      </c>
      <c r="N1315" s="89">
        <v>1510.17</v>
      </c>
      <c r="O1315" s="89">
        <f t="shared" si="55"/>
        <v>20420.18</v>
      </c>
    </row>
    <row r="1316" spans="1:15">
      <c r="A1316" s="74" t="s">
        <v>113</v>
      </c>
      <c r="B1316" s="74" t="s">
        <v>301</v>
      </c>
      <c r="C1316" s="74" t="s">
        <v>302</v>
      </c>
      <c r="D1316" s="74" t="s">
        <v>82</v>
      </c>
      <c r="E1316" s="88" t="s">
        <v>85</v>
      </c>
      <c r="F1316" s="86" t="s">
        <v>279</v>
      </c>
      <c r="G1316" s="74" t="s">
        <v>303</v>
      </c>
      <c r="H1316" s="87">
        <v>44104</v>
      </c>
      <c r="I1316" s="98">
        <v>22</v>
      </c>
      <c r="J1316" s="98">
        <v>22</v>
      </c>
      <c r="K1316" s="89">
        <f t="shared" si="56"/>
        <v>1</v>
      </c>
      <c r="L1316" s="89">
        <v>15884.9</v>
      </c>
      <c r="M1316" s="89">
        <v>3065.37</v>
      </c>
      <c r="N1316" s="89">
        <v>1605.4</v>
      </c>
      <c r="O1316" s="89">
        <f t="shared" si="55"/>
        <v>20555.67</v>
      </c>
    </row>
    <row r="1317" spans="1:15">
      <c r="A1317" s="74" t="s">
        <v>113</v>
      </c>
      <c r="B1317" s="74" t="s">
        <v>304</v>
      </c>
      <c r="C1317" s="74" t="s">
        <v>305</v>
      </c>
      <c r="D1317" s="74" t="s">
        <v>86</v>
      </c>
      <c r="E1317" s="74" t="s">
        <v>90</v>
      </c>
      <c r="F1317" s="86" t="s">
        <v>306</v>
      </c>
      <c r="G1317" s="74" t="s">
        <v>307</v>
      </c>
      <c r="H1317" s="87">
        <v>44104</v>
      </c>
      <c r="I1317" s="98">
        <v>22</v>
      </c>
      <c r="J1317" s="98">
        <v>22</v>
      </c>
      <c r="K1317" s="89">
        <f t="shared" si="56"/>
        <v>1</v>
      </c>
      <c r="L1317" s="89">
        <v>16147.43</v>
      </c>
      <c r="M1317" s="89">
        <v>3055.71</v>
      </c>
      <c r="N1317" s="89">
        <v>2034.57</v>
      </c>
      <c r="O1317" s="89">
        <f t="shared" si="55"/>
        <v>21237.71</v>
      </c>
    </row>
    <row r="1318" spans="1:15">
      <c r="A1318" s="74" t="s">
        <v>113</v>
      </c>
      <c r="B1318" s="74" t="s">
        <v>114</v>
      </c>
      <c r="C1318" s="74" t="s">
        <v>115</v>
      </c>
      <c r="D1318" s="74" t="s">
        <v>79</v>
      </c>
      <c r="E1318" s="74" t="s">
        <v>80</v>
      </c>
      <c r="F1318" s="86" t="s">
        <v>116</v>
      </c>
      <c r="G1318" s="74" t="s">
        <v>117</v>
      </c>
      <c r="H1318" s="87">
        <v>44135</v>
      </c>
      <c r="I1318" s="98">
        <v>22</v>
      </c>
      <c r="J1318" s="98">
        <v>22</v>
      </c>
      <c r="K1318" s="89">
        <f t="shared" si="56"/>
        <v>1</v>
      </c>
      <c r="L1318" s="89">
        <v>8777.4</v>
      </c>
      <c r="M1318" s="89">
        <v>3254.13</v>
      </c>
      <c r="N1318" s="89">
        <v>824.42</v>
      </c>
      <c r="O1318" s="89">
        <f t="shared" si="55"/>
        <v>12855.95</v>
      </c>
    </row>
    <row r="1319" spans="1:15">
      <c r="A1319" s="74" t="s">
        <v>113</v>
      </c>
      <c r="B1319" s="74" t="s">
        <v>118</v>
      </c>
      <c r="C1319" s="74" t="s">
        <v>119</v>
      </c>
      <c r="D1319" s="74" t="s">
        <v>79</v>
      </c>
      <c r="E1319" s="74" t="s">
        <v>80</v>
      </c>
      <c r="F1319" s="86" t="s">
        <v>120</v>
      </c>
      <c r="G1319" s="74" t="s">
        <v>117</v>
      </c>
      <c r="H1319" s="87">
        <v>44135</v>
      </c>
      <c r="I1319" s="98">
        <v>22</v>
      </c>
      <c r="J1319" s="98">
        <v>22</v>
      </c>
      <c r="K1319" s="89">
        <f t="shared" ref="K1319:K1382" si="57">I1319/J1319</f>
        <v>1</v>
      </c>
      <c r="L1319" s="89">
        <v>7284.68</v>
      </c>
      <c r="M1319" s="89">
        <v>3080.17</v>
      </c>
      <c r="N1319" s="89">
        <v>708.31</v>
      </c>
      <c r="O1319" s="89">
        <f t="shared" si="55"/>
        <v>11073.16</v>
      </c>
    </row>
    <row r="1320" spans="1:15">
      <c r="A1320" s="74" t="s">
        <v>113</v>
      </c>
      <c r="B1320" s="74" t="s">
        <v>121</v>
      </c>
      <c r="C1320" s="74" t="s">
        <v>122</v>
      </c>
      <c r="D1320" s="74" t="s">
        <v>79</v>
      </c>
      <c r="E1320" s="74" t="s">
        <v>80</v>
      </c>
      <c r="F1320" s="86" t="s">
        <v>123</v>
      </c>
      <c r="G1320" s="74" t="s">
        <v>117</v>
      </c>
      <c r="H1320" s="87">
        <v>44135</v>
      </c>
      <c r="I1320" s="98">
        <v>22</v>
      </c>
      <c r="J1320" s="98">
        <v>22</v>
      </c>
      <c r="K1320" s="89">
        <f t="shared" si="57"/>
        <v>1</v>
      </c>
      <c r="L1320" s="89">
        <v>6560.29</v>
      </c>
      <c r="M1320" s="89">
        <v>3135.69</v>
      </c>
      <c r="N1320" s="89">
        <v>655.79</v>
      </c>
      <c r="O1320" s="89">
        <f t="shared" si="55"/>
        <v>10351.77</v>
      </c>
    </row>
    <row r="1321" spans="1:15">
      <c r="A1321" s="74" t="s">
        <v>113</v>
      </c>
      <c r="B1321" s="74" t="s">
        <v>124</v>
      </c>
      <c r="C1321" s="74" t="s">
        <v>125</v>
      </c>
      <c r="D1321" s="74" t="s">
        <v>79</v>
      </c>
      <c r="E1321" s="74" t="s">
        <v>80</v>
      </c>
      <c r="F1321" s="86" t="s">
        <v>116</v>
      </c>
      <c r="G1321" s="74" t="s">
        <v>117</v>
      </c>
      <c r="H1321" s="87">
        <v>44135</v>
      </c>
      <c r="I1321" s="98">
        <v>22</v>
      </c>
      <c r="J1321" s="98">
        <v>22</v>
      </c>
      <c r="K1321" s="89">
        <f t="shared" si="57"/>
        <v>1</v>
      </c>
      <c r="L1321" s="89">
        <v>8365.18</v>
      </c>
      <c r="M1321" s="89">
        <v>3198.79</v>
      </c>
      <c r="N1321" s="89">
        <v>840.41</v>
      </c>
      <c r="O1321" s="89">
        <f t="shared" si="55"/>
        <v>12404.38</v>
      </c>
    </row>
    <row r="1322" spans="1:15">
      <c r="A1322" s="74" t="s">
        <v>113</v>
      </c>
      <c r="B1322" s="74" t="s">
        <v>126</v>
      </c>
      <c r="C1322" s="74" t="s">
        <v>127</v>
      </c>
      <c r="D1322" s="74" t="s">
        <v>79</v>
      </c>
      <c r="E1322" s="74" t="s">
        <v>80</v>
      </c>
      <c r="F1322" s="86" t="s">
        <v>120</v>
      </c>
      <c r="G1322" s="74" t="s">
        <v>117</v>
      </c>
      <c r="H1322" s="87">
        <v>44135</v>
      </c>
      <c r="I1322" s="98">
        <v>22</v>
      </c>
      <c r="J1322" s="98">
        <v>22</v>
      </c>
      <c r="K1322" s="89">
        <f t="shared" si="57"/>
        <v>1</v>
      </c>
      <c r="L1322" s="89">
        <v>7526.17</v>
      </c>
      <c r="M1322" s="89">
        <v>3019.09</v>
      </c>
      <c r="N1322" s="89">
        <v>764.2</v>
      </c>
      <c r="O1322" s="89">
        <f t="shared" si="55"/>
        <v>11309.46</v>
      </c>
    </row>
    <row r="1323" spans="1:15">
      <c r="A1323" s="74" t="s">
        <v>113</v>
      </c>
      <c r="B1323" s="74" t="s">
        <v>128</v>
      </c>
      <c r="C1323" s="74" t="s">
        <v>129</v>
      </c>
      <c r="D1323" s="74" t="s">
        <v>79</v>
      </c>
      <c r="E1323" s="74" t="s">
        <v>80</v>
      </c>
      <c r="F1323" s="86" t="s">
        <v>123</v>
      </c>
      <c r="G1323" s="74" t="s">
        <v>117</v>
      </c>
      <c r="H1323" s="87">
        <v>44135</v>
      </c>
      <c r="I1323" s="98">
        <v>22</v>
      </c>
      <c r="J1323" s="98">
        <v>22</v>
      </c>
      <c r="K1323" s="89">
        <f t="shared" si="57"/>
        <v>1</v>
      </c>
      <c r="L1323" s="89">
        <v>6389.53</v>
      </c>
      <c r="M1323" s="89">
        <v>3258.1</v>
      </c>
      <c r="N1323" s="89">
        <v>648.32</v>
      </c>
      <c r="O1323" s="89">
        <f t="shared" si="55"/>
        <v>10295.95</v>
      </c>
    </row>
    <row r="1324" spans="1:15">
      <c r="A1324" s="74" t="s">
        <v>113</v>
      </c>
      <c r="B1324" s="74" t="s">
        <v>130</v>
      </c>
      <c r="C1324" s="74" t="s">
        <v>131</v>
      </c>
      <c r="D1324" s="74" t="s">
        <v>79</v>
      </c>
      <c r="E1324" s="74" t="s">
        <v>80</v>
      </c>
      <c r="F1324" s="86" t="s">
        <v>116</v>
      </c>
      <c r="G1324" s="74" t="s">
        <v>117</v>
      </c>
      <c r="H1324" s="87">
        <v>44135</v>
      </c>
      <c r="I1324" s="98">
        <v>22</v>
      </c>
      <c r="J1324" s="98">
        <v>22</v>
      </c>
      <c r="K1324" s="89">
        <f t="shared" si="57"/>
        <v>1</v>
      </c>
      <c r="L1324" s="89">
        <v>8645.64</v>
      </c>
      <c r="M1324" s="89">
        <v>3279.01</v>
      </c>
      <c r="N1324" s="89">
        <v>845.62</v>
      </c>
      <c r="O1324" s="89">
        <f t="shared" si="55"/>
        <v>12770.27</v>
      </c>
    </row>
    <row r="1325" spans="1:15">
      <c r="A1325" s="74" t="s">
        <v>113</v>
      </c>
      <c r="B1325" s="74" t="s">
        <v>132</v>
      </c>
      <c r="C1325" s="74" t="s">
        <v>133</v>
      </c>
      <c r="D1325" s="74" t="s">
        <v>79</v>
      </c>
      <c r="E1325" s="74" t="s">
        <v>80</v>
      </c>
      <c r="F1325" s="86" t="s">
        <v>120</v>
      </c>
      <c r="G1325" s="74" t="s">
        <v>117</v>
      </c>
      <c r="H1325" s="87">
        <v>44135</v>
      </c>
      <c r="I1325" s="98">
        <v>22</v>
      </c>
      <c r="J1325" s="98">
        <v>22</v>
      </c>
      <c r="K1325" s="89">
        <f t="shared" si="57"/>
        <v>1</v>
      </c>
      <c r="L1325" s="89">
        <v>7051.86</v>
      </c>
      <c r="M1325" s="89">
        <v>3051.64</v>
      </c>
      <c r="N1325" s="89">
        <v>766.93</v>
      </c>
      <c r="O1325" s="89">
        <f t="shared" si="55"/>
        <v>10870.43</v>
      </c>
    </row>
    <row r="1326" spans="1:15">
      <c r="A1326" s="74" t="s">
        <v>113</v>
      </c>
      <c r="B1326" s="74" t="s">
        <v>134</v>
      </c>
      <c r="C1326" s="74" t="s">
        <v>135</v>
      </c>
      <c r="D1326" s="74" t="s">
        <v>79</v>
      </c>
      <c r="E1326" s="74" t="s">
        <v>80</v>
      </c>
      <c r="F1326" s="86" t="s">
        <v>123</v>
      </c>
      <c r="G1326" s="74" t="s">
        <v>117</v>
      </c>
      <c r="H1326" s="87">
        <v>44135</v>
      </c>
      <c r="I1326" s="98">
        <v>22</v>
      </c>
      <c r="J1326" s="98">
        <v>22</v>
      </c>
      <c r="K1326" s="89">
        <f t="shared" si="57"/>
        <v>1</v>
      </c>
      <c r="L1326" s="89">
        <v>6138.24</v>
      </c>
      <c r="M1326" s="89">
        <v>3240.57</v>
      </c>
      <c r="N1326" s="89">
        <v>637.59</v>
      </c>
      <c r="O1326" s="89">
        <f t="shared" si="55"/>
        <v>10016.4</v>
      </c>
    </row>
    <row r="1327" spans="1:15">
      <c r="A1327" s="74" t="s">
        <v>113</v>
      </c>
      <c r="B1327" s="74" t="s">
        <v>136</v>
      </c>
      <c r="C1327" s="74" t="s">
        <v>137</v>
      </c>
      <c r="D1327" s="74" t="s">
        <v>79</v>
      </c>
      <c r="E1327" s="74" t="s">
        <v>80</v>
      </c>
      <c r="F1327" s="86" t="s">
        <v>116</v>
      </c>
      <c r="G1327" s="74" t="s">
        <v>138</v>
      </c>
      <c r="H1327" s="87">
        <v>44135</v>
      </c>
      <c r="I1327" s="98">
        <v>22</v>
      </c>
      <c r="J1327" s="98">
        <v>22</v>
      </c>
      <c r="K1327" s="89">
        <f t="shared" si="57"/>
        <v>1</v>
      </c>
      <c r="L1327" s="89">
        <v>8465.04</v>
      </c>
      <c r="M1327" s="89">
        <v>3239.98</v>
      </c>
      <c r="N1327" s="89">
        <v>873.87</v>
      </c>
      <c r="O1327" s="89">
        <f t="shared" si="55"/>
        <v>12578.89</v>
      </c>
    </row>
    <row r="1328" spans="1:15">
      <c r="A1328" s="74" t="s">
        <v>113</v>
      </c>
      <c r="B1328" s="74" t="s">
        <v>139</v>
      </c>
      <c r="C1328" s="74" t="s">
        <v>140</v>
      </c>
      <c r="D1328" s="74" t="s">
        <v>79</v>
      </c>
      <c r="E1328" s="74" t="s">
        <v>80</v>
      </c>
      <c r="F1328" s="86" t="s">
        <v>120</v>
      </c>
      <c r="G1328" s="74" t="s">
        <v>138</v>
      </c>
      <c r="H1328" s="87">
        <v>44135</v>
      </c>
      <c r="I1328" s="98">
        <v>22</v>
      </c>
      <c r="J1328" s="98">
        <v>22</v>
      </c>
      <c r="K1328" s="89">
        <f t="shared" si="57"/>
        <v>1</v>
      </c>
      <c r="L1328" s="89">
        <v>7344.96</v>
      </c>
      <c r="M1328" s="89">
        <v>3120.72</v>
      </c>
      <c r="N1328" s="89">
        <v>721.34</v>
      </c>
      <c r="O1328" s="89">
        <f t="shared" si="55"/>
        <v>11187.02</v>
      </c>
    </row>
    <row r="1329" spans="1:15">
      <c r="A1329" s="74" t="s">
        <v>113</v>
      </c>
      <c r="B1329" s="74" t="s">
        <v>141</v>
      </c>
      <c r="C1329" s="74" t="s">
        <v>142</v>
      </c>
      <c r="D1329" s="74" t="s">
        <v>79</v>
      </c>
      <c r="E1329" s="74" t="s">
        <v>80</v>
      </c>
      <c r="F1329" s="86" t="s">
        <v>123</v>
      </c>
      <c r="G1329" s="74" t="s">
        <v>138</v>
      </c>
      <c r="H1329" s="87">
        <v>44135</v>
      </c>
      <c r="I1329" s="98">
        <v>22</v>
      </c>
      <c r="J1329" s="98">
        <v>22</v>
      </c>
      <c r="K1329" s="89">
        <f t="shared" si="57"/>
        <v>1</v>
      </c>
      <c r="L1329" s="89">
        <v>6164.83</v>
      </c>
      <c r="M1329" s="89">
        <v>3195.12</v>
      </c>
      <c r="N1329" s="89">
        <v>631.17</v>
      </c>
      <c r="O1329" s="89">
        <f t="shared" si="55"/>
        <v>9991.12</v>
      </c>
    </row>
    <row r="1330" spans="1:15">
      <c r="A1330" s="74" t="s">
        <v>113</v>
      </c>
      <c r="B1330" s="74" t="s">
        <v>143</v>
      </c>
      <c r="C1330" s="74" t="s">
        <v>144</v>
      </c>
      <c r="D1330" s="74" t="s">
        <v>79</v>
      </c>
      <c r="E1330" s="74" t="s">
        <v>80</v>
      </c>
      <c r="F1330" s="86" t="s">
        <v>145</v>
      </c>
      <c r="G1330" s="74" t="s">
        <v>146</v>
      </c>
      <c r="H1330" s="87">
        <v>44135</v>
      </c>
      <c r="I1330" s="98">
        <v>22</v>
      </c>
      <c r="J1330" s="98">
        <v>22</v>
      </c>
      <c r="K1330" s="89">
        <f t="shared" si="57"/>
        <v>1</v>
      </c>
      <c r="L1330" s="89">
        <v>20552.35</v>
      </c>
      <c r="M1330" s="89">
        <v>3036.47</v>
      </c>
      <c r="N1330" s="89">
        <v>2049.41</v>
      </c>
      <c r="O1330" s="89">
        <f t="shared" si="55"/>
        <v>25638.23</v>
      </c>
    </row>
    <row r="1331" spans="1:15">
      <c r="A1331" s="74" t="s">
        <v>113</v>
      </c>
      <c r="B1331" s="74" t="s">
        <v>147</v>
      </c>
      <c r="C1331" s="74" t="s">
        <v>148</v>
      </c>
      <c r="D1331" s="74" t="s">
        <v>79</v>
      </c>
      <c r="E1331" s="74" t="s">
        <v>80</v>
      </c>
      <c r="F1331" s="86" t="s">
        <v>149</v>
      </c>
      <c r="G1331" s="74" t="s">
        <v>150</v>
      </c>
      <c r="H1331" s="87">
        <v>44135</v>
      </c>
      <c r="I1331" s="98">
        <v>22</v>
      </c>
      <c r="J1331" s="98">
        <v>22</v>
      </c>
      <c r="K1331" s="89">
        <f t="shared" si="57"/>
        <v>1</v>
      </c>
      <c r="L1331" s="89">
        <v>17410.23</v>
      </c>
      <c r="M1331" s="89">
        <v>3280.68</v>
      </c>
      <c r="N1331" s="89">
        <v>1820.38</v>
      </c>
      <c r="O1331" s="89">
        <f t="shared" si="55"/>
        <v>22511.29</v>
      </c>
    </row>
    <row r="1332" spans="1:15">
      <c r="A1332" s="74" t="s">
        <v>113</v>
      </c>
      <c r="B1332" s="74" t="s">
        <v>151</v>
      </c>
      <c r="C1332" s="74" t="s">
        <v>152</v>
      </c>
      <c r="D1332" s="74" t="s">
        <v>79</v>
      </c>
      <c r="E1332" s="74" t="s">
        <v>81</v>
      </c>
      <c r="F1332" s="86" t="s">
        <v>123</v>
      </c>
      <c r="G1332" s="74" t="s">
        <v>153</v>
      </c>
      <c r="H1332" s="87">
        <v>44135</v>
      </c>
      <c r="I1332" s="98">
        <v>22</v>
      </c>
      <c r="J1332" s="98">
        <v>22</v>
      </c>
      <c r="K1332" s="89">
        <f t="shared" si="57"/>
        <v>1</v>
      </c>
      <c r="L1332" s="89">
        <v>6299.65</v>
      </c>
      <c r="M1332" s="89">
        <v>3268.45</v>
      </c>
      <c r="N1332" s="89">
        <v>631.2</v>
      </c>
      <c r="O1332" s="89">
        <f t="shared" si="55"/>
        <v>10199.3</v>
      </c>
    </row>
    <row r="1333" spans="1:15">
      <c r="A1333" s="74" t="s">
        <v>113</v>
      </c>
      <c r="B1333" s="74" t="s">
        <v>154</v>
      </c>
      <c r="C1333" s="74" t="s">
        <v>155</v>
      </c>
      <c r="D1333" s="74" t="s">
        <v>79</v>
      </c>
      <c r="E1333" s="74" t="s">
        <v>81</v>
      </c>
      <c r="F1333" s="86" t="s">
        <v>156</v>
      </c>
      <c r="G1333" s="74" t="s">
        <v>157</v>
      </c>
      <c r="H1333" s="87">
        <v>44135</v>
      </c>
      <c r="I1333" s="98">
        <v>22</v>
      </c>
      <c r="J1333" s="98">
        <v>22</v>
      </c>
      <c r="K1333" s="89">
        <f t="shared" si="57"/>
        <v>1</v>
      </c>
      <c r="L1333" s="89">
        <v>5378</v>
      </c>
      <c r="M1333" s="89">
        <v>3094.35</v>
      </c>
      <c r="N1333" s="89">
        <v>502.74</v>
      </c>
      <c r="O1333" s="89">
        <f t="shared" si="55"/>
        <v>8975.09</v>
      </c>
    </row>
    <row r="1334" spans="1:15">
      <c r="A1334" s="74" t="s">
        <v>113</v>
      </c>
      <c r="B1334" s="74" t="s">
        <v>158</v>
      </c>
      <c r="C1334" s="74" t="s">
        <v>159</v>
      </c>
      <c r="D1334" s="74" t="s">
        <v>79</v>
      </c>
      <c r="E1334" s="74" t="s">
        <v>81</v>
      </c>
      <c r="F1334" s="86" t="s">
        <v>160</v>
      </c>
      <c r="G1334" s="74" t="s">
        <v>161</v>
      </c>
      <c r="H1334" s="87">
        <v>44135</v>
      </c>
      <c r="I1334" s="98">
        <v>22</v>
      </c>
      <c r="J1334" s="98">
        <v>22</v>
      </c>
      <c r="K1334" s="89">
        <f t="shared" si="57"/>
        <v>1</v>
      </c>
      <c r="L1334" s="89">
        <v>4359.97</v>
      </c>
      <c r="M1334" s="89">
        <v>3066.34</v>
      </c>
      <c r="N1334" s="89">
        <v>416.58</v>
      </c>
      <c r="O1334" s="89">
        <f t="shared" si="55"/>
        <v>7842.89</v>
      </c>
    </row>
    <row r="1335" spans="1:15">
      <c r="A1335" s="74" t="s">
        <v>113</v>
      </c>
      <c r="B1335" s="74" t="s">
        <v>162</v>
      </c>
      <c r="C1335" s="74" t="s">
        <v>163</v>
      </c>
      <c r="D1335" s="74" t="s">
        <v>79</v>
      </c>
      <c r="E1335" s="74" t="s">
        <v>81</v>
      </c>
      <c r="F1335" s="86" t="s">
        <v>123</v>
      </c>
      <c r="G1335" s="74" t="s">
        <v>153</v>
      </c>
      <c r="H1335" s="87">
        <v>44135</v>
      </c>
      <c r="I1335" s="98">
        <v>22</v>
      </c>
      <c r="J1335" s="98">
        <v>22</v>
      </c>
      <c r="K1335" s="89">
        <f t="shared" si="57"/>
        <v>1</v>
      </c>
      <c r="L1335" s="89">
        <v>6060.77</v>
      </c>
      <c r="M1335" s="89">
        <v>3001.82</v>
      </c>
      <c r="N1335" s="89">
        <v>612.22</v>
      </c>
      <c r="O1335" s="89">
        <f t="shared" si="55"/>
        <v>9674.81</v>
      </c>
    </row>
    <row r="1336" spans="1:15">
      <c r="A1336" s="74" t="s">
        <v>113</v>
      </c>
      <c r="B1336" s="74" t="s">
        <v>164</v>
      </c>
      <c r="C1336" s="74" t="s">
        <v>165</v>
      </c>
      <c r="D1336" s="74" t="s">
        <v>79</v>
      </c>
      <c r="E1336" s="74" t="s">
        <v>81</v>
      </c>
      <c r="F1336" s="86" t="s">
        <v>156</v>
      </c>
      <c r="G1336" s="74" t="s">
        <v>157</v>
      </c>
      <c r="H1336" s="87">
        <v>44135</v>
      </c>
      <c r="I1336" s="98">
        <v>22</v>
      </c>
      <c r="J1336" s="98">
        <v>22</v>
      </c>
      <c r="K1336" s="89">
        <f t="shared" si="57"/>
        <v>1</v>
      </c>
      <c r="L1336" s="89">
        <v>5170.94</v>
      </c>
      <c r="M1336" s="89">
        <v>3208.79</v>
      </c>
      <c r="N1336" s="89">
        <v>530.4</v>
      </c>
      <c r="O1336" s="89">
        <f t="shared" si="55"/>
        <v>8910.13</v>
      </c>
    </row>
    <row r="1337" spans="1:15">
      <c r="A1337" s="74" t="s">
        <v>113</v>
      </c>
      <c r="B1337" s="74" t="s">
        <v>166</v>
      </c>
      <c r="C1337" s="74" t="s">
        <v>167</v>
      </c>
      <c r="D1337" s="74" t="s">
        <v>79</v>
      </c>
      <c r="E1337" s="74" t="s">
        <v>81</v>
      </c>
      <c r="F1337" s="86" t="s">
        <v>160</v>
      </c>
      <c r="G1337" s="74" t="s">
        <v>161</v>
      </c>
      <c r="H1337" s="87">
        <v>44135</v>
      </c>
      <c r="I1337" s="98">
        <v>22</v>
      </c>
      <c r="J1337" s="98">
        <v>22</v>
      </c>
      <c r="K1337" s="89">
        <f t="shared" si="57"/>
        <v>1</v>
      </c>
      <c r="L1337" s="89">
        <v>4255.15</v>
      </c>
      <c r="M1337" s="89">
        <v>3298.89</v>
      </c>
      <c r="N1337" s="89">
        <v>423.27</v>
      </c>
      <c r="O1337" s="89">
        <f t="shared" si="55"/>
        <v>7977.31</v>
      </c>
    </row>
    <row r="1338" spans="1:15">
      <c r="A1338" s="74" t="s">
        <v>113</v>
      </c>
      <c r="B1338" s="74" t="s">
        <v>168</v>
      </c>
      <c r="C1338" s="74" t="s">
        <v>169</v>
      </c>
      <c r="D1338" s="74" t="s">
        <v>79</v>
      </c>
      <c r="E1338" s="74" t="s">
        <v>81</v>
      </c>
      <c r="F1338" s="86" t="s">
        <v>123</v>
      </c>
      <c r="G1338" s="74" t="s">
        <v>153</v>
      </c>
      <c r="H1338" s="87">
        <v>44135</v>
      </c>
      <c r="I1338" s="98">
        <v>22</v>
      </c>
      <c r="J1338" s="98">
        <v>22</v>
      </c>
      <c r="K1338" s="89">
        <f t="shared" si="57"/>
        <v>1</v>
      </c>
      <c r="L1338" s="89">
        <v>6427.97</v>
      </c>
      <c r="M1338" s="89">
        <v>3061.8</v>
      </c>
      <c r="N1338" s="89">
        <v>633.95</v>
      </c>
      <c r="O1338" s="89">
        <f t="shared" si="55"/>
        <v>10123.72</v>
      </c>
    </row>
    <row r="1339" spans="1:15">
      <c r="A1339" s="74" t="s">
        <v>113</v>
      </c>
      <c r="B1339" s="74" t="s">
        <v>170</v>
      </c>
      <c r="C1339" s="74" t="s">
        <v>171</v>
      </c>
      <c r="D1339" s="74" t="s">
        <v>79</v>
      </c>
      <c r="E1339" s="74" t="s">
        <v>81</v>
      </c>
      <c r="F1339" s="86" t="s">
        <v>156</v>
      </c>
      <c r="G1339" s="74" t="s">
        <v>157</v>
      </c>
      <c r="H1339" s="87">
        <v>44135</v>
      </c>
      <c r="I1339" s="98">
        <v>22</v>
      </c>
      <c r="J1339" s="98">
        <v>22</v>
      </c>
      <c r="K1339" s="89">
        <f t="shared" si="57"/>
        <v>1</v>
      </c>
      <c r="L1339" s="89">
        <v>5482.14</v>
      </c>
      <c r="M1339" s="89">
        <v>3222.37</v>
      </c>
      <c r="N1339" s="89">
        <v>532.48</v>
      </c>
      <c r="O1339" s="89">
        <f t="shared" si="55"/>
        <v>9236.99</v>
      </c>
    </row>
    <row r="1340" spans="1:15">
      <c r="A1340" s="74" t="s">
        <v>113</v>
      </c>
      <c r="B1340" s="74" t="s">
        <v>172</v>
      </c>
      <c r="C1340" s="74" t="s">
        <v>173</v>
      </c>
      <c r="D1340" s="74" t="s">
        <v>79</v>
      </c>
      <c r="E1340" s="74" t="s">
        <v>81</v>
      </c>
      <c r="F1340" s="86" t="s">
        <v>160</v>
      </c>
      <c r="G1340" s="74" t="s">
        <v>161</v>
      </c>
      <c r="H1340" s="87">
        <v>44135</v>
      </c>
      <c r="I1340" s="98">
        <v>22</v>
      </c>
      <c r="J1340" s="98">
        <v>22</v>
      </c>
      <c r="K1340" s="89">
        <f t="shared" si="57"/>
        <v>1</v>
      </c>
      <c r="L1340" s="89">
        <v>4260.65</v>
      </c>
      <c r="M1340" s="89">
        <v>3086.16</v>
      </c>
      <c r="N1340" s="89">
        <v>407.01</v>
      </c>
      <c r="O1340" s="89">
        <f t="shared" si="55"/>
        <v>7753.82</v>
      </c>
    </row>
    <row r="1341" spans="1:15">
      <c r="A1341" s="74" t="s">
        <v>113</v>
      </c>
      <c r="B1341" s="74" t="s">
        <v>174</v>
      </c>
      <c r="C1341" s="74" t="s">
        <v>175</v>
      </c>
      <c r="D1341" s="74" t="s">
        <v>79</v>
      </c>
      <c r="E1341" s="74" t="s">
        <v>81</v>
      </c>
      <c r="F1341" s="86" t="s">
        <v>176</v>
      </c>
      <c r="G1341" s="74" t="s">
        <v>177</v>
      </c>
      <c r="H1341" s="87">
        <v>44135</v>
      </c>
      <c r="I1341" s="98">
        <v>22</v>
      </c>
      <c r="J1341" s="98">
        <v>22</v>
      </c>
      <c r="K1341" s="89">
        <f t="shared" si="57"/>
        <v>1</v>
      </c>
      <c r="L1341" s="89">
        <v>3110.32</v>
      </c>
      <c r="M1341" s="89">
        <v>3105.78</v>
      </c>
      <c r="N1341" s="89">
        <v>323.55</v>
      </c>
      <c r="O1341" s="89">
        <f t="shared" si="55"/>
        <v>6539.65</v>
      </c>
    </row>
    <row r="1342" spans="1:15">
      <c r="A1342" s="74" t="s">
        <v>113</v>
      </c>
      <c r="B1342" s="74" t="s">
        <v>178</v>
      </c>
      <c r="C1342" s="74" t="s">
        <v>179</v>
      </c>
      <c r="D1342" s="74" t="s">
        <v>79</v>
      </c>
      <c r="E1342" s="74" t="s">
        <v>81</v>
      </c>
      <c r="F1342" s="86" t="s">
        <v>180</v>
      </c>
      <c r="G1342" s="74" t="s">
        <v>177</v>
      </c>
      <c r="H1342" s="87">
        <v>44135</v>
      </c>
      <c r="I1342" s="98">
        <v>22</v>
      </c>
      <c r="J1342" s="98">
        <v>22</v>
      </c>
      <c r="K1342" s="89">
        <f t="shared" si="57"/>
        <v>1</v>
      </c>
      <c r="L1342" s="89">
        <v>2004.52</v>
      </c>
      <c r="M1342" s="89">
        <v>3029.34</v>
      </c>
      <c r="N1342" s="89">
        <v>200.15</v>
      </c>
      <c r="O1342" s="89">
        <f t="shared" si="55"/>
        <v>5234.01</v>
      </c>
    </row>
    <row r="1343" spans="1:15">
      <c r="A1343" s="74" t="s">
        <v>113</v>
      </c>
      <c r="B1343" s="74" t="s">
        <v>181</v>
      </c>
      <c r="C1343" s="74" t="s">
        <v>182</v>
      </c>
      <c r="D1343" s="74" t="s">
        <v>79</v>
      </c>
      <c r="E1343" s="74" t="s">
        <v>81</v>
      </c>
      <c r="F1343" s="86" t="s">
        <v>183</v>
      </c>
      <c r="G1343" s="74" t="s">
        <v>177</v>
      </c>
      <c r="H1343" s="87">
        <v>44135</v>
      </c>
      <c r="I1343" s="98">
        <v>22</v>
      </c>
      <c r="J1343" s="98">
        <v>22</v>
      </c>
      <c r="K1343" s="89">
        <f t="shared" si="57"/>
        <v>1</v>
      </c>
      <c r="L1343" s="89">
        <v>1018.52</v>
      </c>
      <c r="M1343" s="89">
        <v>3083.8</v>
      </c>
      <c r="N1343" s="89">
        <v>100.24</v>
      </c>
      <c r="O1343" s="89">
        <f t="shared" si="55"/>
        <v>4202.56</v>
      </c>
    </row>
    <row r="1344" spans="1:15">
      <c r="A1344" s="74" t="s">
        <v>113</v>
      </c>
      <c r="B1344" s="74" t="s">
        <v>184</v>
      </c>
      <c r="C1344" s="74" t="s">
        <v>185</v>
      </c>
      <c r="D1344" s="74" t="s">
        <v>79</v>
      </c>
      <c r="E1344" s="74" t="s">
        <v>81</v>
      </c>
      <c r="F1344" s="86" t="s">
        <v>176</v>
      </c>
      <c r="G1344" s="74" t="s">
        <v>177</v>
      </c>
      <c r="H1344" s="87">
        <v>44135</v>
      </c>
      <c r="I1344" s="98">
        <v>22</v>
      </c>
      <c r="J1344" s="98">
        <v>22</v>
      </c>
      <c r="K1344" s="89">
        <f t="shared" si="57"/>
        <v>1</v>
      </c>
      <c r="L1344" s="89">
        <v>3200.42</v>
      </c>
      <c r="M1344" s="89">
        <v>3094.02</v>
      </c>
      <c r="N1344" s="89">
        <v>308.85</v>
      </c>
      <c r="O1344" s="89">
        <f t="shared" si="55"/>
        <v>6603.29</v>
      </c>
    </row>
    <row r="1345" spans="1:15">
      <c r="A1345" s="74" t="s">
        <v>113</v>
      </c>
      <c r="B1345" s="74" t="s">
        <v>186</v>
      </c>
      <c r="C1345" s="74" t="s">
        <v>187</v>
      </c>
      <c r="D1345" s="74" t="s">
        <v>79</v>
      </c>
      <c r="E1345" s="74" t="s">
        <v>81</v>
      </c>
      <c r="F1345" s="86" t="s">
        <v>180</v>
      </c>
      <c r="G1345" s="74" t="s">
        <v>177</v>
      </c>
      <c r="H1345" s="87">
        <v>44135</v>
      </c>
      <c r="I1345" s="98">
        <v>22</v>
      </c>
      <c r="J1345" s="98">
        <v>22</v>
      </c>
      <c r="K1345" s="89">
        <f t="shared" si="57"/>
        <v>1</v>
      </c>
      <c r="L1345" s="89">
        <v>2120.47</v>
      </c>
      <c r="M1345" s="89">
        <v>3248.99</v>
      </c>
      <c r="N1345" s="89">
        <v>213.97</v>
      </c>
      <c r="O1345" s="89">
        <f t="shared" si="55"/>
        <v>5583.43</v>
      </c>
    </row>
    <row r="1346" spans="1:15">
      <c r="A1346" s="74" t="s">
        <v>113</v>
      </c>
      <c r="B1346" s="74" t="s">
        <v>188</v>
      </c>
      <c r="C1346" s="74" t="s">
        <v>189</v>
      </c>
      <c r="D1346" s="74" t="s">
        <v>79</v>
      </c>
      <c r="E1346" s="74" t="s">
        <v>81</v>
      </c>
      <c r="F1346" s="86" t="s">
        <v>183</v>
      </c>
      <c r="G1346" s="74" t="s">
        <v>177</v>
      </c>
      <c r="H1346" s="87">
        <v>44135</v>
      </c>
      <c r="I1346" s="98">
        <v>22</v>
      </c>
      <c r="J1346" s="98">
        <v>22</v>
      </c>
      <c r="K1346" s="89">
        <f t="shared" si="57"/>
        <v>1</v>
      </c>
      <c r="L1346" s="89">
        <v>1018.78</v>
      </c>
      <c r="M1346" s="89">
        <v>3022.69</v>
      </c>
      <c r="N1346" s="89">
        <v>107.28</v>
      </c>
      <c r="O1346" s="89">
        <f t="shared" si="55"/>
        <v>4148.75</v>
      </c>
    </row>
    <row r="1347" spans="1:15">
      <c r="A1347" s="74" t="s">
        <v>113</v>
      </c>
      <c r="B1347" s="74" t="s">
        <v>190</v>
      </c>
      <c r="C1347" s="74" t="s">
        <v>191</v>
      </c>
      <c r="D1347" s="74" t="s">
        <v>79</v>
      </c>
      <c r="E1347" s="74" t="s">
        <v>81</v>
      </c>
      <c r="F1347" s="86" t="s">
        <v>176</v>
      </c>
      <c r="G1347" s="74" t="s">
        <v>177</v>
      </c>
      <c r="H1347" s="87">
        <v>44135</v>
      </c>
      <c r="I1347" s="98">
        <v>22</v>
      </c>
      <c r="J1347" s="98">
        <v>22</v>
      </c>
      <c r="K1347" s="89">
        <f t="shared" si="57"/>
        <v>1</v>
      </c>
      <c r="L1347" s="89">
        <v>3022.27</v>
      </c>
      <c r="M1347" s="89">
        <v>3126.52</v>
      </c>
      <c r="N1347" s="89">
        <v>326.16</v>
      </c>
      <c r="O1347" s="89">
        <f t="shared" si="55"/>
        <v>6474.95</v>
      </c>
    </row>
    <row r="1348" spans="1:15">
      <c r="A1348" s="74" t="s">
        <v>113</v>
      </c>
      <c r="B1348" s="74" t="s">
        <v>192</v>
      </c>
      <c r="C1348" s="74" t="s">
        <v>193</v>
      </c>
      <c r="D1348" s="74" t="s">
        <v>79</v>
      </c>
      <c r="E1348" s="74" t="s">
        <v>81</v>
      </c>
      <c r="F1348" s="86" t="s">
        <v>180</v>
      </c>
      <c r="G1348" s="74" t="s">
        <v>177</v>
      </c>
      <c r="H1348" s="87">
        <v>44135</v>
      </c>
      <c r="I1348" s="98">
        <v>22</v>
      </c>
      <c r="J1348" s="98">
        <v>22</v>
      </c>
      <c r="K1348" s="89">
        <f t="shared" si="57"/>
        <v>1</v>
      </c>
      <c r="L1348" s="89">
        <v>2013.22</v>
      </c>
      <c r="M1348" s="89">
        <v>3133.88</v>
      </c>
      <c r="N1348" s="89">
        <v>203.03</v>
      </c>
      <c r="O1348" s="89">
        <f t="shared" si="55"/>
        <v>5350.13</v>
      </c>
    </row>
    <row r="1349" spans="1:15">
      <c r="A1349" s="74" t="s">
        <v>113</v>
      </c>
      <c r="B1349" s="74" t="s">
        <v>194</v>
      </c>
      <c r="C1349" s="74" t="s">
        <v>195</v>
      </c>
      <c r="D1349" s="74" t="s">
        <v>79</v>
      </c>
      <c r="E1349" s="74" t="s">
        <v>81</v>
      </c>
      <c r="F1349" s="86" t="s">
        <v>183</v>
      </c>
      <c r="G1349" s="74" t="s">
        <v>177</v>
      </c>
      <c r="H1349" s="87">
        <v>44135</v>
      </c>
      <c r="I1349" s="98">
        <v>22</v>
      </c>
      <c r="J1349" s="98">
        <v>22</v>
      </c>
      <c r="K1349" s="89">
        <f t="shared" si="57"/>
        <v>1</v>
      </c>
      <c r="L1349" s="89">
        <v>1089.06</v>
      </c>
      <c r="M1349" s="89">
        <v>3250.34</v>
      </c>
      <c r="N1349" s="89">
        <v>107.3</v>
      </c>
      <c r="O1349" s="89">
        <f t="shared" ref="O1349:O1412" si="58">SUM(L1349:N1349)</f>
        <v>4446.7</v>
      </c>
    </row>
    <row r="1350" spans="1:15">
      <c r="A1350" s="74" t="s">
        <v>113</v>
      </c>
      <c r="B1350" s="74" t="s">
        <v>196</v>
      </c>
      <c r="C1350" s="74" t="s">
        <v>197</v>
      </c>
      <c r="D1350" s="74" t="s">
        <v>79</v>
      </c>
      <c r="E1350" s="74" t="s">
        <v>81</v>
      </c>
      <c r="F1350" s="86" t="s">
        <v>176</v>
      </c>
      <c r="G1350" s="74" t="s">
        <v>177</v>
      </c>
      <c r="H1350" s="87">
        <v>44135</v>
      </c>
      <c r="I1350" s="98">
        <v>22</v>
      </c>
      <c r="J1350" s="98">
        <v>22</v>
      </c>
      <c r="K1350" s="89">
        <f t="shared" si="57"/>
        <v>1</v>
      </c>
      <c r="L1350" s="89">
        <v>3135.19</v>
      </c>
      <c r="M1350" s="89">
        <v>3116.55</v>
      </c>
      <c r="N1350" s="89">
        <v>300.26</v>
      </c>
      <c r="O1350" s="89">
        <f t="shared" si="58"/>
        <v>6552</v>
      </c>
    </row>
    <row r="1351" spans="1:15">
      <c r="A1351" s="74" t="s">
        <v>113</v>
      </c>
      <c r="B1351" s="74" t="s">
        <v>198</v>
      </c>
      <c r="C1351" s="74" t="s">
        <v>199</v>
      </c>
      <c r="D1351" s="74" t="s">
        <v>79</v>
      </c>
      <c r="E1351" s="74" t="s">
        <v>81</v>
      </c>
      <c r="F1351" s="86" t="s">
        <v>180</v>
      </c>
      <c r="G1351" s="74" t="s">
        <v>177</v>
      </c>
      <c r="H1351" s="87">
        <v>44135</v>
      </c>
      <c r="I1351" s="98">
        <v>22</v>
      </c>
      <c r="J1351" s="98">
        <v>22</v>
      </c>
      <c r="K1351" s="89">
        <f t="shared" si="57"/>
        <v>1</v>
      </c>
      <c r="L1351" s="89">
        <v>2183.04</v>
      </c>
      <c r="M1351" s="89">
        <v>3202.97</v>
      </c>
      <c r="N1351" s="89">
        <v>215.19</v>
      </c>
      <c r="O1351" s="89">
        <f t="shared" si="58"/>
        <v>5601.2</v>
      </c>
    </row>
    <row r="1352" spans="1:15">
      <c r="A1352" s="74" t="s">
        <v>113</v>
      </c>
      <c r="B1352" s="74" t="s">
        <v>200</v>
      </c>
      <c r="C1352" s="74" t="s">
        <v>201</v>
      </c>
      <c r="D1352" s="74" t="s">
        <v>79</v>
      </c>
      <c r="E1352" s="74" t="s">
        <v>81</v>
      </c>
      <c r="F1352" s="86" t="s">
        <v>183</v>
      </c>
      <c r="G1352" s="74" t="s">
        <v>177</v>
      </c>
      <c r="H1352" s="87">
        <v>44135</v>
      </c>
      <c r="I1352" s="98">
        <v>22</v>
      </c>
      <c r="J1352" s="98">
        <v>22</v>
      </c>
      <c r="K1352" s="89">
        <f t="shared" si="57"/>
        <v>1</v>
      </c>
      <c r="L1352" s="89">
        <v>1077.98</v>
      </c>
      <c r="M1352" s="89">
        <v>3275.66</v>
      </c>
      <c r="N1352" s="89">
        <v>104.02</v>
      </c>
      <c r="O1352" s="89">
        <f t="shared" si="58"/>
        <v>4457.66</v>
      </c>
    </row>
    <row r="1353" spans="1:15">
      <c r="A1353" s="74" t="s">
        <v>113</v>
      </c>
      <c r="B1353" s="74" t="s">
        <v>202</v>
      </c>
      <c r="C1353" s="74" t="s">
        <v>203</v>
      </c>
      <c r="D1353" s="74" t="s">
        <v>79</v>
      </c>
      <c r="E1353" s="74" t="s">
        <v>81</v>
      </c>
      <c r="F1353" s="86" t="s">
        <v>204</v>
      </c>
      <c r="G1353" s="74" t="s">
        <v>205</v>
      </c>
      <c r="H1353" s="87">
        <v>44135</v>
      </c>
      <c r="I1353" s="98">
        <v>22</v>
      </c>
      <c r="J1353" s="98">
        <v>22</v>
      </c>
      <c r="K1353" s="89">
        <f t="shared" si="57"/>
        <v>1</v>
      </c>
      <c r="L1353" s="89">
        <v>18181.92</v>
      </c>
      <c r="M1353" s="89">
        <v>3255.09</v>
      </c>
      <c r="N1353" s="89">
        <v>1926.61</v>
      </c>
      <c r="O1353" s="89">
        <f t="shared" si="58"/>
        <v>23363.62</v>
      </c>
    </row>
    <row r="1354" spans="1:15">
      <c r="A1354" s="74" t="s">
        <v>113</v>
      </c>
      <c r="B1354" s="74" t="s">
        <v>206</v>
      </c>
      <c r="C1354" s="74" t="s">
        <v>207</v>
      </c>
      <c r="D1354" s="88" t="s">
        <v>82</v>
      </c>
      <c r="E1354" s="88" t="s">
        <v>84</v>
      </c>
      <c r="F1354" s="86" t="s">
        <v>208</v>
      </c>
      <c r="G1354" s="74" t="s">
        <v>209</v>
      </c>
      <c r="H1354" s="87">
        <v>44135</v>
      </c>
      <c r="I1354" s="98">
        <v>22</v>
      </c>
      <c r="J1354" s="98">
        <v>22</v>
      </c>
      <c r="K1354" s="89">
        <f t="shared" si="57"/>
        <v>1</v>
      </c>
      <c r="L1354" s="89">
        <v>9115.84</v>
      </c>
      <c r="M1354" s="89">
        <v>3160.54</v>
      </c>
      <c r="N1354" s="89">
        <v>988.43</v>
      </c>
      <c r="O1354" s="89">
        <f t="shared" si="58"/>
        <v>13264.81</v>
      </c>
    </row>
    <row r="1355" spans="1:15">
      <c r="A1355" s="74" t="s">
        <v>113</v>
      </c>
      <c r="B1355" s="74" t="s">
        <v>210</v>
      </c>
      <c r="C1355" s="74" t="s">
        <v>211</v>
      </c>
      <c r="D1355" s="88" t="s">
        <v>82</v>
      </c>
      <c r="E1355" s="88" t="s">
        <v>84</v>
      </c>
      <c r="F1355" s="86" t="s">
        <v>116</v>
      </c>
      <c r="G1355" s="74" t="s">
        <v>209</v>
      </c>
      <c r="H1355" s="87">
        <v>44135</v>
      </c>
      <c r="I1355" s="98">
        <v>22</v>
      </c>
      <c r="J1355" s="98">
        <v>22</v>
      </c>
      <c r="K1355" s="89">
        <f t="shared" si="57"/>
        <v>1</v>
      </c>
      <c r="L1355" s="89">
        <v>8155.77</v>
      </c>
      <c r="M1355" s="89">
        <v>3029.62</v>
      </c>
      <c r="N1355" s="89">
        <v>865.25</v>
      </c>
      <c r="O1355" s="89">
        <f t="shared" si="58"/>
        <v>12050.64</v>
      </c>
    </row>
    <row r="1356" spans="1:15">
      <c r="A1356" s="74" t="s">
        <v>113</v>
      </c>
      <c r="B1356" s="74" t="s">
        <v>212</v>
      </c>
      <c r="C1356" s="74" t="s">
        <v>213</v>
      </c>
      <c r="D1356" s="88" t="s">
        <v>82</v>
      </c>
      <c r="E1356" s="88" t="s">
        <v>84</v>
      </c>
      <c r="F1356" s="86" t="s">
        <v>208</v>
      </c>
      <c r="G1356" s="74" t="s">
        <v>209</v>
      </c>
      <c r="H1356" s="87">
        <v>44135</v>
      </c>
      <c r="I1356" s="98">
        <v>22</v>
      </c>
      <c r="J1356" s="98">
        <v>22</v>
      </c>
      <c r="K1356" s="89">
        <f t="shared" si="57"/>
        <v>1</v>
      </c>
      <c r="L1356" s="89">
        <v>9744.68</v>
      </c>
      <c r="M1356" s="89">
        <v>3044.18</v>
      </c>
      <c r="N1356" s="89">
        <v>920.26</v>
      </c>
      <c r="O1356" s="89">
        <f t="shared" si="58"/>
        <v>13709.12</v>
      </c>
    </row>
    <row r="1357" spans="1:15">
      <c r="A1357" s="74" t="s">
        <v>113</v>
      </c>
      <c r="B1357" s="74" t="s">
        <v>214</v>
      </c>
      <c r="C1357" s="74" t="s">
        <v>215</v>
      </c>
      <c r="D1357" s="88" t="s">
        <v>82</v>
      </c>
      <c r="E1357" s="88" t="s">
        <v>84</v>
      </c>
      <c r="F1357" s="86" t="s">
        <v>116</v>
      </c>
      <c r="G1357" s="74" t="s">
        <v>209</v>
      </c>
      <c r="H1357" s="87">
        <v>44135</v>
      </c>
      <c r="I1357" s="98">
        <v>22</v>
      </c>
      <c r="J1357" s="98">
        <v>22</v>
      </c>
      <c r="K1357" s="89">
        <f t="shared" si="57"/>
        <v>1</v>
      </c>
      <c r="L1357" s="89">
        <v>8098.89</v>
      </c>
      <c r="M1357" s="89">
        <v>3207.13</v>
      </c>
      <c r="N1357" s="89">
        <v>854.65</v>
      </c>
      <c r="O1357" s="89">
        <f t="shared" si="58"/>
        <v>12160.67</v>
      </c>
    </row>
    <row r="1358" spans="1:15">
      <c r="A1358" s="74" t="s">
        <v>113</v>
      </c>
      <c r="B1358" s="74" t="s">
        <v>216</v>
      </c>
      <c r="C1358" s="74" t="s">
        <v>217</v>
      </c>
      <c r="D1358" s="88" t="s">
        <v>82</v>
      </c>
      <c r="E1358" s="88" t="s">
        <v>84</v>
      </c>
      <c r="F1358" s="86" t="s">
        <v>218</v>
      </c>
      <c r="G1358" s="74" t="s">
        <v>219</v>
      </c>
      <c r="H1358" s="87">
        <v>44135</v>
      </c>
      <c r="I1358" s="98">
        <v>22</v>
      </c>
      <c r="J1358" s="98">
        <v>22</v>
      </c>
      <c r="K1358" s="89">
        <f t="shared" si="57"/>
        <v>1</v>
      </c>
      <c r="L1358" s="89">
        <v>11279.12</v>
      </c>
      <c r="M1358" s="89">
        <v>3177.3</v>
      </c>
      <c r="N1358" s="89">
        <v>1177.89</v>
      </c>
      <c r="O1358" s="89">
        <f t="shared" si="58"/>
        <v>15634.31</v>
      </c>
    </row>
    <row r="1359" spans="1:15">
      <c r="A1359" s="74" t="s">
        <v>113</v>
      </c>
      <c r="B1359" s="74" t="s">
        <v>220</v>
      </c>
      <c r="C1359" s="74" t="s">
        <v>221</v>
      </c>
      <c r="D1359" s="88" t="s">
        <v>82</v>
      </c>
      <c r="E1359" s="74" t="s">
        <v>83</v>
      </c>
      <c r="F1359" s="86" t="s">
        <v>218</v>
      </c>
      <c r="G1359" s="74" t="s">
        <v>222</v>
      </c>
      <c r="H1359" s="87">
        <v>44135</v>
      </c>
      <c r="I1359" s="98">
        <v>22</v>
      </c>
      <c r="J1359" s="98">
        <v>22</v>
      </c>
      <c r="K1359" s="89">
        <f t="shared" si="57"/>
        <v>1</v>
      </c>
      <c r="L1359" s="89">
        <v>11036.23</v>
      </c>
      <c r="M1359" s="89">
        <v>3080.11</v>
      </c>
      <c r="N1359" s="89">
        <v>1176.81</v>
      </c>
      <c r="O1359" s="89">
        <f t="shared" si="58"/>
        <v>15293.15</v>
      </c>
    </row>
    <row r="1360" spans="1:15">
      <c r="A1360" s="74" t="s">
        <v>113</v>
      </c>
      <c r="B1360" s="74" t="s">
        <v>223</v>
      </c>
      <c r="C1360" s="74" t="s">
        <v>224</v>
      </c>
      <c r="D1360" s="88" t="s">
        <v>82</v>
      </c>
      <c r="E1360" s="74" t="s">
        <v>83</v>
      </c>
      <c r="F1360" s="86" t="s">
        <v>225</v>
      </c>
      <c r="G1360" s="74" t="s">
        <v>209</v>
      </c>
      <c r="H1360" s="87">
        <v>44135</v>
      </c>
      <c r="I1360" s="98">
        <v>22</v>
      </c>
      <c r="J1360" s="98">
        <v>22</v>
      </c>
      <c r="K1360" s="89">
        <f t="shared" si="57"/>
        <v>1</v>
      </c>
      <c r="L1360" s="89">
        <v>10001.93</v>
      </c>
      <c r="M1360" s="89">
        <v>3279.94</v>
      </c>
      <c r="N1360" s="89">
        <v>1048.12</v>
      </c>
      <c r="O1360" s="89">
        <f t="shared" si="58"/>
        <v>14329.99</v>
      </c>
    </row>
    <row r="1361" spans="1:15">
      <c r="A1361" s="74" t="s">
        <v>113</v>
      </c>
      <c r="B1361" s="74" t="s">
        <v>226</v>
      </c>
      <c r="C1361" s="74" t="s">
        <v>227</v>
      </c>
      <c r="D1361" s="88" t="s">
        <v>82</v>
      </c>
      <c r="E1361" s="74" t="s">
        <v>83</v>
      </c>
      <c r="F1361" s="86" t="s">
        <v>208</v>
      </c>
      <c r="G1361" s="74" t="s">
        <v>209</v>
      </c>
      <c r="H1361" s="87">
        <v>44135</v>
      </c>
      <c r="I1361" s="98">
        <v>22</v>
      </c>
      <c r="J1361" s="98">
        <v>22</v>
      </c>
      <c r="K1361" s="89">
        <f t="shared" si="57"/>
        <v>1</v>
      </c>
      <c r="L1361" s="89">
        <v>9649.32</v>
      </c>
      <c r="M1361" s="89">
        <v>3037.91</v>
      </c>
      <c r="N1361" s="89">
        <v>939.62</v>
      </c>
      <c r="O1361" s="89">
        <f t="shared" si="58"/>
        <v>13626.85</v>
      </c>
    </row>
    <row r="1362" spans="1:15">
      <c r="A1362" s="74" t="s">
        <v>113</v>
      </c>
      <c r="B1362" s="74" t="s">
        <v>228</v>
      </c>
      <c r="C1362" s="74" t="s">
        <v>229</v>
      </c>
      <c r="D1362" s="88" t="s">
        <v>82</v>
      </c>
      <c r="E1362" s="74" t="s">
        <v>83</v>
      </c>
      <c r="F1362" s="86" t="s">
        <v>116</v>
      </c>
      <c r="G1362" s="74" t="s">
        <v>209</v>
      </c>
      <c r="H1362" s="87">
        <v>44135</v>
      </c>
      <c r="I1362" s="98">
        <v>22</v>
      </c>
      <c r="J1362" s="98">
        <v>22</v>
      </c>
      <c r="K1362" s="89">
        <f t="shared" si="57"/>
        <v>1</v>
      </c>
      <c r="L1362" s="89">
        <v>8603.26</v>
      </c>
      <c r="M1362" s="89">
        <v>3216.38</v>
      </c>
      <c r="N1362" s="89">
        <v>869.51</v>
      </c>
      <c r="O1362" s="89">
        <f t="shared" si="58"/>
        <v>12689.15</v>
      </c>
    </row>
    <row r="1363" spans="1:15">
      <c r="A1363" s="74" t="s">
        <v>113</v>
      </c>
      <c r="B1363" s="74" t="s">
        <v>230</v>
      </c>
      <c r="C1363" s="74" t="s">
        <v>231</v>
      </c>
      <c r="D1363" s="88" t="s">
        <v>82</v>
      </c>
      <c r="E1363" s="74" t="s">
        <v>83</v>
      </c>
      <c r="F1363" s="86" t="s">
        <v>120</v>
      </c>
      <c r="G1363" s="74" t="s">
        <v>209</v>
      </c>
      <c r="H1363" s="87">
        <v>44135</v>
      </c>
      <c r="I1363" s="98">
        <v>22</v>
      </c>
      <c r="J1363" s="98">
        <v>22</v>
      </c>
      <c r="K1363" s="89">
        <f t="shared" si="57"/>
        <v>1</v>
      </c>
      <c r="L1363" s="89">
        <v>7553.74</v>
      </c>
      <c r="M1363" s="89">
        <v>3239.36</v>
      </c>
      <c r="N1363" s="89">
        <v>706.3</v>
      </c>
      <c r="O1363" s="89">
        <f t="shared" si="58"/>
        <v>11499.4</v>
      </c>
    </row>
    <row r="1364" spans="1:15">
      <c r="A1364" s="74" t="s">
        <v>113</v>
      </c>
      <c r="B1364" s="74" t="s">
        <v>232</v>
      </c>
      <c r="C1364" s="74" t="s">
        <v>233</v>
      </c>
      <c r="D1364" s="88" t="s">
        <v>82</v>
      </c>
      <c r="E1364" s="74" t="s">
        <v>83</v>
      </c>
      <c r="F1364" s="86" t="s">
        <v>123</v>
      </c>
      <c r="G1364" s="74" t="s">
        <v>209</v>
      </c>
      <c r="H1364" s="87">
        <v>44135</v>
      </c>
      <c r="I1364" s="98">
        <v>22</v>
      </c>
      <c r="J1364" s="98">
        <v>22</v>
      </c>
      <c r="K1364" s="89">
        <f t="shared" si="57"/>
        <v>1</v>
      </c>
      <c r="L1364" s="89">
        <v>6090.75</v>
      </c>
      <c r="M1364" s="89">
        <v>3236.11</v>
      </c>
      <c r="N1364" s="89">
        <v>656.95</v>
      </c>
      <c r="O1364" s="89">
        <f t="shared" si="58"/>
        <v>9983.81</v>
      </c>
    </row>
    <row r="1365" spans="1:15">
      <c r="A1365" s="74" t="s">
        <v>113</v>
      </c>
      <c r="B1365" s="74" t="s">
        <v>234</v>
      </c>
      <c r="C1365" s="74" t="s">
        <v>235</v>
      </c>
      <c r="D1365" s="88" t="s">
        <v>82</v>
      </c>
      <c r="E1365" s="74" t="s">
        <v>83</v>
      </c>
      <c r="F1365" s="86" t="s">
        <v>116</v>
      </c>
      <c r="G1365" s="74" t="s">
        <v>209</v>
      </c>
      <c r="H1365" s="87">
        <v>44135</v>
      </c>
      <c r="I1365" s="98">
        <v>22</v>
      </c>
      <c r="J1365" s="98">
        <v>22</v>
      </c>
      <c r="K1365" s="89">
        <f t="shared" si="57"/>
        <v>1</v>
      </c>
      <c r="L1365" s="89">
        <v>8148.41</v>
      </c>
      <c r="M1365" s="89">
        <v>3251.72</v>
      </c>
      <c r="N1365" s="89">
        <v>835.4</v>
      </c>
      <c r="O1365" s="89">
        <f t="shared" si="58"/>
        <v>12235.53</v>
      </c>
    </row>
    <row r="1366" spans="1:15">
      <c r="A1366" s="74" t="s">
        <v>113</v>
      </c>
      <c r="B1366" s="74" t="s">
        <v>236</v>
      </c>
      <c r="C1366" s="74" t="s">
        <v>237</v>
      </c>
      <c r="D1366" s="88" t="s">
        <v>82</v>
      </c>
      <c r="E1366" s="74" t="s">
        <v>83</v>
      </c>
      <c r="F1366" s="86" t="s">
        <v>120</v>
      </c>
      <c r="G1366" s="74" t="s">
        <v>209</v>
      </c>
      <c r="H1366" s="87">
        <v>44135</v>
      </c>
      <c r="I1366" s="98">
        <v>22</v>
      </c>
      <c r="J1366" s="98">
        <v>22</v>
      </c>
      <c r="K1366" s="89">
        <f t="shared" si="57"/>
        <v>1</v>
      </c>
      <c r="L1366" s="89">
        <v>7301.61</v>
      </c>
      <c r="M1366" s="89">
        <v>3018.81</v>
      </c>
      <c r="N1366" s="89">
        <v>714.79</v>
      </c>
      <c r="O1366" s="89">
        <f t="shared" si="58"/>
        <v>11035.21</v>
      </c>
    </row>
    <row r="1367" spans="1:15">
      <c r="A1367" s="74" t="s">
        <v>113</v>
      </c>
      <c r="B1367" s="74" t="s">
        <v>238</v>
      </c>
      <c r="C1367" s="74" t="s">
        <v>239</v>
      </c>
      <c r="D1367" s="74" t="s">
        <v>86</v>
      </c>
      <c r="E1367" s="74" t="s">
        <v>87</v>
      </c>
      <c r="F1367" s="86" t="s">
        <v>204</v>
      </c>
      <c r="G1367" s="74" t="s">
        <v>240</v>
      </c>
      <c r="H1367" s="87">
        <v>44135</v>
      </c>
      <c r="I1367" s="98">
        <v>22</v>
      </c>
      <c r="J1367" s="98">
        <v>22</v>
      </c>
      <c r="K1367" s="89">
        <f t="shared" si="57"/>
        <v>1</v>
      </c>
      <c r="L1367" s="89">
        <v>15423.04</v>
      </c>
      <c r="M1367" s="89">
        <v>3245.93</v>
      </c>
      <c r="N1367" s="89">
        <v>1936.95</v>
      </c>
      <c r="O1367" s="89">
        <f t="shared" si="58"/>
        <v>20605.92</v>
      </c>
    </row>
    <row r="1368" spans="1:15">
      <c r="A1368" s="74" t="s">
        <v>113</v>
      </c>
      <c r="B1368" s="74" t="s">
        <v>241</v>
      </c>
      <c r="C1368" s="74" t="s">
        <v>242</v>
      </c>
      <c r="D1368" s="74" t="s">
        <v>86</v>
      </c>
      <c r="E1368" s="74" t="s">
        <v>87</v>
      </c>
      <c r="F1368" s="86" t="s">
        <v>243</v>
      </c>
      <c r="G1368" s="74" t="s">
        <v>244</v>
      </c>
      <c r="H1368" s="87">
        <v>44135</v>
      </c>
      <c r="I1368" s="98">
        <v>22</v>
      </c>
      <c r="J1368" s="98">
        <v>22</v>
      </c>
      <c r="K1368" s="89">
        <f t="shared" si="57"/>
        <v>1</v>
      </c>
      <c r="L1368" s="89">
        <v>10468.25</v>
      </c>
      <c r="M1368" s="89">
        <v>3187.76</v>
      </c>
      <c r="N1368" s="89">
        <v>1422.89</v>
      </c>
      <c r="O1368" s="89">
        <f t="shared" si="58"/>
        <v>15078.9</v>
      </c>
    </row>
    <row r="1369" spans="1:15">
      <c r="A1369" s="74" t="s">
        <v>113</v>
      </c>
      <c r="B1369" s="74" t="s">
        <v>245</v>
      </c>
      <c r="C1369" s="74" t="s">
        <v>246</v>
      </c>
      <c r="D1369" s="74" t="s">
        <v>86</v>
      </c>
      <c r="E1369" s="74" t="s">
        <v>87</v>
      </c>
      <c r="F1369" s="86" t="s">
        <v>247</v>
      </c>
      <c r="G1369" s="74" t="s">
        <v>248</v>
      </c>
      <c r="H1369" s="87">
        <v>44135</v>
      </c>
      <c r="I1369" s="98">
        <v>22</v>
      </c>
      <c r="J1369" s="98">
        <v>22</v>
      </c>
      <c r="K1369" s="89">
        <f t="shared" si="57"/>
        <v>1</v>
      </c>
      <c r="L1369" s="89">
        <v>10014.96</v>
      </c>
      <c r="M1369" s="89">
        <v>3273.93</v>
      </c>
      <c r="N1369" s="89">
        <v>1205.89</v>
      </c>
      <c r="O1369" s="89">
        <f t="shared" si="58"/>
        <v>14494.78</v>
      </c>
    </row>
    <row r="1370" spans="1:15">
      <c r="A1370" s="74" t="s">
        <v>113</v>
      </c>
      <c r="B1370" s="74" t="s">
        <v>249</v>
      </c>
      <c r="C1370" s="74" t="s">
        <v>250</v>
      </c>
      <c r="D1370" s="74" t="s">
        <v>86</v>
      </c>
      <c r="E1370" s="74" t="s">
        <v>87</v>
      </c>
      <c r="F1370" s="86" t="s">
        <v>251</v>
      </c>
      <c r="G1370" s="74" t="s">
        <v>252</v>
      </c>
      <c r="H1370" s="87">
        <v>44135</v>
      </c>
      <c r="I1370" s="98">
        <v>22</v>
      </c>
      <c r="J1370" s="98">
        <v>22</v>
      </c>
      <c r="K1370" s="89">
        <f t="shared" si="57"/>
        <v>1</v>
      </c>
      <c r="L1370" s="89">
        <v>9606.91</v>
      </c>
      <c r="M1370" s="89">
        <v>3101.74</v>
      </c>
      <c r="N1370" s="89">
        <v>1108.9</v>
      </c>
      <c r="O1370" s="89">
        <f t="shared" si="58"/>
        <v>13817.55</v>
      </c>
    </row>
    <row r="1371" spans="1:15">
      <c r="A1371" s="74" t="s">
        <v>113</v>
      </c>
      <c r="B1371" s="74" t="s">
        <v>253</v>
      </c>
      <c r="C1371" s="74" t="s">
        <v>254</v>
      </c>
      <c r="D1371" s="74" t="s">
        <v>86</v>
      </c>
      <c r="E1371" s="74" t="s">
        <v>87</v>
      </c>
      <c r="F1371" s="86" t="s">
        <v>255</v>
      </c>
      <c r="G1371" s="74" t="s">
        <v>252</v>
      </c>
      <c r="H1371" s="87">
        <v>44135</v>
      </c>
      <c r="I1371" s="98">
        <v>22</v>
      </c>
      <c r="J1371" s="98">
        <v>22</v>
      </c>
      <c r="K1371" s="89">
        <f t="shared" si="57"/>
        <v>1</v>
      </c>
      <c r="L1371" s="89">
        <v>8374.54</v>
      </c>
      <c r="M1371" s="89">
        <v>3200.7</v>
      </c>
      <c r="N1371" s="89">
        <v>1015.95</v>
      </c>
      <c r="O1371" s="89">
        <f t="shared" si="58"/>
        <v>12591.19</v>
      </c>
    </row>
    <row r="1372" spans="1:15">
      <c r="A1372" s="74" t="s">
        <v>113</v>
      </c>
      <c r="B1372" s="74" t="s">
        <v>256</v>
      </c>
      <c r="C1372" s="74" t="s">
        <v>257</v>
      </c>
      <c r="D1372" s="74" t="s">
        <v>86</v>
      </c>
      <c r="E1372" s="74" t="s">
        <v>87</v>
      </c>
      <c r="F1372" s="86" t="s">
        <v>258</v>
      </c>
      <c r="G1372" s="74" t="s">
        <v>252</v>
      </c>
      <c r="H1372" s="87">
        <v>44135</v>
      </c>
      <c r="I1372" s="98">
        <v>22</v>
      </c>
      <c r="J1372" s="98">
        <v>22</v>
      </c>
      <c r="K1372" s="89">
        <f t="shared" si="57"/>
        <v>1</v>
      </c>
      <c r="L1372" s="89">
        <v>7760.41</v>
      </c>
      <c r="M1372" s="89">
        <v>3257.66</v>
      </c>
      <c r="N1372" s="89">
        <v>989.23</v>
      </c>
      <c r="O1372" s="89">
        <f t="shared" si="58"/>
        <v>12007.3</v>
      </c>
    </row>
    <row r="1373" spans="1:15">
      <c r="A1373" s="74" t="s">
        <v>113</v>
      </c>
      <c r="B1373" s="74" t="s">
        <v>259</v>
      </c>
      <c r="C1373" s="74" t="s">
        <v>260</v>
      </c>
      <c r="D1373" s="74" t="s">
        <v>86</v>
      </c>
      <c r="E1373" s="74" t="s">
        <v>87</v>
      </c>
      <c r="F1373" s="86" t="s">
        <v>261</v>
      </c>
      <c r="G1373" s="74" t="s">
        <v>262</v>
      </c>
      <c r="H1373" s="87">
        <v>44135</v>
      </c>
      <c r="I1373" s="98">
        <v>22</v>
      </c>
      <c r="J1373" s="98">
        <v>22</v>
      </c>
      <c r="K1373" s="89">
        <f t="shared" si="57"/>
        <v>1</v>
      </c>
      <c r="L1373" s="89">
        <v>6900.08</v>
      </c>
      <c r="M1373" s="89">
        <v>3041.39</v>
      </c>
      <c r="N1373" s="89">
        <v>868.37</v>
      </c>
      <c r="O1373" s="89">
        <f t="shared" si="58"/>
        <v>10809.84</v>
      </c>
    </row>
    <row r="1374" spans="1:15">
      <c r="A1374" s="74" t="s">
        <v>113</v>
      </c>
      <c r="B1374" s="74" t="s">
        <v>263</v>
      </c>
      <c r="C1374" s="74" t="s">
        <v>264</v>
      </c>
      <c r="D1374" s="74" t="s">
        <v>86</v>
      </c>
      <c r="E1374" s="74" t="s">
        <v>88</v>
      </c>
      <c r="F1374" s="86" t="s">
        <v>149</v>
      </c>
      <c r="G1374" s="74" t="s">
        <v>265</v>
      </c>
      <c r="H1374" s="87">
        <v>44135</v>
      </c>
      <c r="I1374" s="98">
        <v>22</v>
      </c>
      <c r="J1374" s="98">
        <v>22</v>
      </c>
      <c r="K1374" s="89">
        <f t="shared" si="57"/>
        <v>1</v>
      </c>
      <c r="L1374" s="89">
        <v>14240.07</v>
      </c>
      <c r="M1374" s="89">
        <v>3170.31</v>
      </c>
      <c r="N1374" s="89">
        <v>1798.51</v>
      </c>
      <c r="O1374" s="89">
        <f t="shared" si="58"/>
        <v>19208.89</v>
      </c>
    </row>
    <row r="1375" spans="1:15">
      <c r="A1375" s="74" t="s">
        <v>113</v>
      </c>
      <c r="B1375" s="74" t="s">
        <v>266</v>
      </c>
      <c r="C1375" s="74" t="s">
        <v>267</v>
      </c>
      <c r="D1375" s="74" t="s">
        <v>86</v>
      </c>
      <c r="E1375" s="74" t="s">
        <v>88</v>
      </c>
      <c r="F1375" s="86" t="s">
        <v>243</v>
      </c>
      <c r="G1375" s="74" t="s">
        <v>268</v>
      </c>
      <c r="H1375" s="87">
        <v>44135</v>
      </c>
      <c r="I1375" s="98">
        <v>22</v>
      </c>
      <c r="J1375" s="98">
        <v>22</v>
      </c>
      <c r="K1375" s="89">
        <f t="shared" si="57"/>
        <v>1</v>
      </c>
      <c r="L1375" s="89">
        <v>10511.94</v>
      </c>
      <c r="M1375" s="89">
        <v>3079.42</v>
      </c>
      <c r="N1375" s="89">
        <v>1422.64</v>
      </c>
      <c r="O1375" s="89">
        <f t="shared" si="58"/>
        <v>15014</v>
      </c>
    </row>
    <row r="1376" spans="1:15">
      <c r="A1376" s="74" t="s">
        <v>113</v>
      </c>
      <c r="B1376" s="74" t="s">
        <v>269</v>
      </c>
      <c r="C1376" s="74" t="s">
        <v>270</v>
      </c>
      <c r="D1376" s="74" t="s">
        <v>86</v>
      </c>
      <c r="E1376" s="74" t="s">
        <v>88</v>
      </c>
      <c r="F1376" s="86" t="s">
        <v>247</v>
      </c>
      <c r="G1376" s="74" t="s">
        <v>268</v>
      </c>
      <c r="H1376" s="87">
        <v>44135</v>
      </c>
      <c r="I1376" s="98">
        <v>22</v>
      </c>
      <c r="J1376" s="98">
        <v>22</v>
      </c>
      <c r="K1376" s="89">
        <f t="shared" si="57"/>
        <v>1</v>
      </c>
      <c r="L1376" s="89">
        <v>10386.76</v>
      </c>
      <c r="M1376" s="89">
        <v>3049.93</v>
      </c>
      <c r="N1376" s="89">
        <v>1302.35</v>
      </c>
      <c r="O1376" s="89">
        <f t="shared" si="58"/>
        <v>14739.04</v>
      </c>
    </row>
    <row r="1377" spans="1:15">
      <c r="A1377" s="74" t="s">
        <v>113</v>
      </c>
      <c r="B1377" s="74" t="s">
        <v>271</v>
      </c>
      <c r="C1377" s="74" t="s">
        <v>272</v>
      </c>
      <c r="D1377" s="74" t="s">
        <v>86</v>
      </c>
      <c r="E1377" s="74" t="s">
        <v>88</v>
      </c>
      <c r="F1377" s="86" t="s">
        <v>251</v>
      </c>
      <c r="G1377" s="74" t="s">
        <v>268</v>
      </c>
      <c r="H1377" s="87">
        <v>44135</v>
      </c>
      <c r="I1377" s="98">
        <v>22</v>
      </c>
      <c r="J1377" s="98">
        <v>22</v>
      </c>
      <c r="K1377" s="89">
        <f t="shared" si="57"/>
        <v>1</v>
      </c>
      <c r="L1377" s="89">
        <v>9436.39</v>
      </c>
      <c r="M1377" s="89">
        <v>3238.68</v>
      </c>
      <c r="N1377" s="89">
        <v>1194.83</v>
      </c>
      <c r="O1377" s="89">
        <f t="shared" si="58"/>
        <v>13869.9</v>
      </c>
    </row>
    <row r="1378" spans="1:15">
      <c r="A1378" s="74" t="s">
        <v>113</v>
      </c>
      <c r="B1378" s="74" t="s">
        <v>273</v>
      </c>
      <c r="C1378" s="74" t="s">
        <v>274</v>
      </c>
      <c r="D1378" s="74" t="s">
        <v>86</v>
      </c>
      <c r="E1378" s="74" t="s">
        <v>88</v>
      </c>
      <c r="F1378" s="86" t="s">
        <v>255</v>
      </c>
      <c r="G1378" s="74" t="s">
        <v>268</v>
      </c>
      <c r="H1378" s="87">
        <v>44135</v>
      </c>
      <c r="I1378" s="98">
        <v>22</v>
      </c>
      <c r="J1378" s="98">
        <v>22</v>
      </c>
      <c r="K1378" s="89">
        <f t="shared" si="57"/>
        <v>1</v>
      </c>
      <c r="L1378" s="89">
        <v>8031.75</v>
      </c>
      <c r="M1378" s="89">
        <v>3036.99</v>
      </c>
      <c r="N1378" s="89">
        <v>1002.72</v>
      </c>
      <c r="O1378" s="89">
        <f t="shared" si="58"/>
        <v>12071.46</v>
      </c>
    </row>
    <row r="1379" spans="1:15">
      <c r="A1379" s="74" t="s">
        <v>113</v>
      </c>
      <c r="B1379" s="74" t="s">
        <v>275</v>
      </c>
      <c r="C1379" s="74" t="s">
        <v>276</v>
      </c>
      <c r="D1379" s="74" t="s">
        <v>86</v>
      </c>
      <c r="E1379" s="74" t="s">
        <v>88</v>
      </c>
      <c r="F1379" s="86" t="s">
        <v>258</v>
      </c>
      <c r="G1379" s="74" t="s">
        <v>268</v>
      </c>
      <c r="H1379" s="87">
        <v>44135</v>
      </c>
      <c r="I1379" s="98">
        <v>22</v>
      </c>
      <c r="J1379" s="98">
        <v>22</v>
      </c>
      <c r="K1379" s="89">
        <f t="shared" si="57"/>
        <v>1</v>
      </c>
      <c r="L1379" s="89">
        <v>7485.21</v>
      </c>
      <c r="M1379" s="89">
        <v>3030.66</v>
      </c>
      <c r="N1379" s="89">
        <v>940.85</v>
      </c>
      <c r="O1379" s="89">
        <f t="shared" si="58"/>
        <v>11456.72</v>
      </c>
    </row>
    <row r="1380" spans="1:15">
      <c r="A1380" s="74" t="s">
        <v>113</v>
      </c>
      <c r="B1380" s="74" t="s">
        <v>277</v>
      </c>
      <c r="C1380" s="74" t="s">
        <v>278</v>
      </c>
      <c r="D1380" s="74" t="s">
        <v>86</v>
      </c>
      <c r="E1380" s="74" t="s">
        <v>89</v>
      </c>
      <c r="F1380" s="86" t="s">
        <v>279</v>
      </c>
      <c r="G1380" s="74" t="s">
        <v>280</v>
      </c>
      <c r="H1380" s="87">
        <v>44135</v>
      </c>
      <c r="I1380" s="98">
        <v>22</v>
      </c>
      <c r="J1380" s="98">
        <v>22</v>
      </c>
      <c r="K1380" s="89">
        <f t="shared" si="57"/>
        <v>1</v>
      </c>
      <c r="L1380" s="89">
        <v>12223.2</v>
      </c>
      <c r="M1380" s="89">
        <v>3226.51</v>
      </c>
      <c r="N1380" s="89">
        <v>1622.89</v>
      </c>
      <c r="O1380" s="89">
        <f t="shared" si="58"/>
        <v>17072.6</v>
      </c>
    </row>
    <row r="1381" spans="1:15">
      <c r="A1381" s="74" t="s">
        <v>113</v>
      </c>
      <c r="B1381" s="74" t="s">
        <v>281</v>
      </c>
      <c r="C1381" s="74" t="s">
        <v>282</v>
      </c>
      <c r="D1381" s="74" t="s">
        <v>86</v>
      </c>
      <c r="E1381" s="74" t="s">
        <v>89</v>
      </c>
      <c r="F1381" s="86" t="s">
        <v>225</v>
      </c>
      <c r="G1381" s="74" t="s">
        <v>283</v>
      </c>
      <c r="H1381" s="87">
        <v>44135</v>
      </c>
      <c r="I1381" s="98">
        <v>22</v>
      </c>
      <c r="J1381" s="98">
        <v>22</v>
      </c>
      <c r="K1381" s="89">
        <f t="shared" si="57"/>
        <v>1</v>
      </c>
      <c r="L1381" s="89">
        <v>8575.67</v>
      </c>
      <c r="M1381" s="89">
        <v>3127.18</v>
      </c>
      <c r="N1381" s="89">
        <v>1099.13</v>
      </c>
      <c r="O1381" s="89">
        <f t="shared" si="58"/>
        <v>12801.98</v>
      </c>
    </row>
    <row r="1382" spans="1:15">
      <c r="A1382" s="74" t="s">
        <v>113</v>
      </c>
      <c r="B1382" s="74" t="s">
        <v>284</v>
      </c>
      <c r="C1382" s="74" t="s">
        <v>285</v>
      </c>
      <c r="D1382" s="74" t="s">
        <v>86</v>
      </c>
      <c r="E1382" s="74" t="s">
        <v>89</v>
      </c>
      <c r="F1382" s="86" t="s">
        <v>208</v>
      </c>
      <c r="G1382" s="74" t="s">
        <v>283</v>
      </c>
      <c r="H1382" s="87">
        <v>44135</v>
      </c>
      <c r="I1382" s="98">
        <v>22</v>
      </c>
      <c r="J1382" s="98">
        <v>22</v>
      </c>
      <c r="K1382" s="89">
        <f t="shared" si="57"/>
        <v>1</v>
      </c>
      <c r="L1382" s="89">
        <v>7493.65</v>
      </c>
      <c r="M1382" s="89">
        <v>3024.79</v>
      </c>
      <c r="N1382" s="89">
        <v>900.17</v>
      </c>
      <c r="O1382" s="89">
        <f t="shared" si="58"/>
        <v>11418.61</v>
      </c>
    </row>
    <row r="1383" spans="1:15">
      <c r="A1383" s="74" t="s">
        <v>113</v>
      </c>
      <c r="B1383" s="74" t="s">
        <v>286</v>
      </c>
      <c r="C1383" s="74" t="s">
        <v>287</v>
      </c>
      <c r="D1383" s="74" t="s">
        <v>82</v>
      </c>
      <c r="E1383" s="88" t="s">
        <v>85</v>
      </c>
      <c r="F1383" s="86" t="s">
        <v>288</v>
      </c>
      <c r="G1383" s="74" t="s">
        <v>289</v>
      </c>
      <c r="H1383" s="87">
        <v>44135</v>
      </c>
      <c r="I1383" s="98">
        <v>22</v>
      </c>
      <c r="J1383" s="98">
        <v>22</v>
      </c>
      <c r="K1383" s="89">
        <f t="shared" ref="K1383:K1391" si="59">I1383/J1383</f>
        <v>1</v>
      </c>
      <c r="L1383" s="89">
        <v>12133.51</v>
      </c>
      <c r="M1383" s="89">
        <v>3148.94</v>
      </c>
      <c r="N1383" s="89">
        <v>1209.82</v>
      </c>
      <c r="O1383" s="89">
        <f t="shared" si="58"/>
        <v>16492.27</v>
      </c>
    </row>
    <row r="1384" spans="1:15">
      <c r="A1384" s="74" t="s">
        <v>113</v>
      </c>
      <c r="B1384" s="74" t="s">
        <v>290</v>
      </c>
      <c r="C1384" s="74" t="s">
        <v>291</v>
      </c>
      <c r="D1384" s="74" t="s">
        <v>82</v>
      </c>
      <c r="E1384" s="88" t="s">
        <v>85</v>
      </c>
      <c r="F1384" s="86" t="s">
        <v>218</v>
      </c>
      <c r="G1384" s="74" t="s">
        <v>289</v>
      </c>
      <c r="H1384" s="87">
        <v>44135</v>
      </c>
      <c r="I1384" s="98">
        <v>22</v>
      </c>
      <c r="J1384" s="98">
        <v>22</v>
      </c>
      <c r="K1384" s="89">
        <f t="shared" si="59"/>
        <v>1</v>
      </c>
      <c r="L1384" s="89">
        <v>11427.96</v>
      </c>
      <c r="M1384" s="89">
        <v>3254.26</v>
      </c>
      <c r="N1384" s="89">
        <v>1188.49</v>
      </c>
      <c r="O1384" s="89">
        <f t="shared" si="58"/>
        <v>15870.71</v>
      </c>
    </row>
    <row r="1385" spans="1:15">
      <c r="A1385" s="74" t="s">
        <v>113</v>
      </c>
      <c r="B1385" s="74" t="s">
        <v>292</v>
      </c>
      <c r="C1385" s="74" t="s">
        <v>293</v>
      </c>
      <c r="D1385" s="74" t="s">
        <v>82</v>
      </c>
      <c r="E1385" s="88" t="s">
        <v>85</v>
      </c>
      <c r="F1385" s="86" t="s">
        <v>225</v>
      </c>
      <c r="G1385" s="74" t="s">
        <v>289</v>
      </c>
      <c r="H1385" s="87">
        <v>44135</v>
      </c>
      <c r="I1385" s="98">
        <v>22</v>
      </c>
      <c r="J1385" s="98">
        <v>22</v>
      </c>
      <c r="K1385" s="89">
        <f t="shared" si="59"/>
        <v>1</v>
      </c>
      <c r="L1385" s="89">
        <v>10118.31</v>
      </c>
      <c r="M1385" s="89">
        <v>3295.75</v>
      </c>
      <c r="N1385" s="89">
        <v>1027.06</v>
      </c>
      <c r="O1385" s="89">
        <f t="shared" si="58"/>
        <v>14441.12</v>
      </c>
    </row>
    <row r="1386" spans="1:15">
      <c r="A1386" s="74" t="s">
        <v>113</v>
      </c>
      <c r="B1386" s="74" t="s">
        <v>294</v>
      </c>
      <c r="C1386" s="74" t="s">
        <v>295</v>
      </c>
      <c r="D1386" s="74" t="s">
        <v>82</v>
      </c>
      <c r="E1386" s="88" t="s">
        <v>85</v>
      </c>
      <c r="F1386" s="86" t="s">
        <v>208</v>
      </c>
      <c r="G1386" s="74" t="s">
        <v>289</v>
      </c>
      <c r="H1386" s="87">
        <v>44135</v>
      </c>
      <c r="I1386" s="98">
        <v>22</v>
      </c>
      <c r="J1386" s="98">
        <v>22</v>
      </c>
      <c r="K1386" s="89">
        <f t="shared" si="59"/>
        <v>1</v>
      </c>
      <c r="L1386" s="89">
        <v>9583.2</v>
      </c>
      <c r="M1386" s="89">
        <v>3034.7</v>
      </c>
      <c r="N1386" s="89">
        <v>971.95</v>
      </c>
      <c r="O1386" s="89">
        <f t="shared" si="58"/>
        <v>13589.85</v>
      </c>
    </row>
    <row r="1387" spans="1:15">
      <c r="A1387" s="74" t="s">
        <v>113</v>
      </c>
      <c r="B1387" s="74" t="s">
        <v>296</v>
      </c>
      <c r="C1387" s="74" t="s">
        <v>297</v>
      </c>
      <c r="D1387" s="74" t="s">
        <v>82</v>
      </c>
      <c r="E1387" s="88" t="s">
        <v>85</v>
      </c>
      <c r="F1387" s="86" t="s">
        <v>116</v>
      </c>
      <c r="G1387" s="74" t="s">
        <v>289</v>
      </c>
      <c r="H1387" s="87">
        <v>44135</v>
      </c>
      <c r="I1387" s="98">
        <v>22</v>
      </c>
      <c r="J1387" s="98">
        <v>22</v>
      </c>
      <c r="K1387" s="89">
        <f t="shared" si="59"/>
        <v>1</v>
      </c>
      <c r="L1387" s="89">
        <v>8620.27</v>
      </c>
      <c r="M1387" s="89">
        <v>3117.72</v>
      </c>
      <c r="N1387" s="89">
        <v>873.43</v>
      </c>
      <c r="O1387" s="89">
        <f t="shared" si="58"/>
        <v>12611.42</v>
      </c>
    </row>
    <row r="1388" spans="1:15">
      <c r="A1388" s="74" t="s">
        <v>113</v>
      </c>
      <c r="B1388" s="74" t="s">
        <v>298</v>
      </c>
      <c r="C1388" s="74" t="s">
        <v>299</v>
      </c>
      <c r="D1388" s="74" t="s">
        <v>82</v>
      </c>
      <c r="E1388" s="88" t="s">
        <v>85</v>
      </c>
      <c r="F1388" s="86" t="s">
        <v>279</v>
      </c>
      <c r="G1388" s="74" t="s">
        <v>300</v>
      </c>
      <c r="H1388" s="87">
        <v>44135</v>
      </c>
      <c r="I1388" s="98">
        <v>22</v>
      </c>
      <c r="J1388" s="98">
        <v>22</v>
      </c>
      <c r="K1388" s="89">
        <f t="shared" si="59"/>
        <v>1</v>
      </c>
      <c r="L1388" s="89">
        <v>15193.34</v>
      </c>
      <c r="M1388" s="89">
        <v>3019.16</v>
      </c>
      <c r="N1388" s="89">
        <v>1587.14</v>
      </c>
      <c r="O1388" s="89">
        <f t="shared" si="58"/>
        <v>19799.64</v>
      </c>
    </row>
    <row r="1389" spans="1:15">
      <c r="A1389" s="74" t="s">
        <v>113</v>
      </c>
      <c r="B1389" s="74" t="s">
        <v>301</v>
      </c>
      <c r="C1389" s="74" t="s">
        <v>302</v>
      </c>
      <c r="D1389" s="74" t="s">
        <v>82</v>
      </c>
      <c r="E1389" s="88" t="s">
        <v>85</v>
      </c>
      <c r="F1389" s="86" t="s">
        <v>279</v>
      </c>
      <c r="G1389" s="74" t="s">
        <v>303</v>
      </c>
      <c r="H1389" s="87">
        <v>44135</v>
      </c>
      <c r="I1389" s="98">
        <v>22</v>
      </c>
      <c r="J1389" s="98">
        <v>22</v>
      </c>
      <c r="K1389" s="89">
        <f t="shared" si="59"/>
        <v>1</v>
      </c>
      <c r="L1389" s="89">
        <v>15799.81</v>
      </c>
      <c r="M1389" s="89">
        <v>3025.9</v>
      </c>
      <c r="N1389" s="89">
        <v>1507.38</v>
      </c>
      <c r="O1389" s="89">
        <f t="shared" si="58"/>
        <v>20333.09</v>
      </c>
    </row>
    <row r="1390" spans="1:15">
      <c r="A1390" s="74" t="s">
        <v>113</v>
      </c>
      <c r="B1390" s="74" t="s">
        <v>304</v>
      </c>
      <c r="C1390" s="74" t="s">
        <v>305</v>
      </c>
      <c r="D1390" s="74" t="s">
        <v>86</v>
      </c>
      <c r="E1390" s="74" t="s">
        <v>90</v>
      </c>
      <c r="F1390" s="86" t="s">
        <v>306</v>
      </c>
      <c r="G1390" s="74" t="s">
        <v>307</v>
      </c>
      <c r="H1390" s="87">
        <v>44135</v>
      </c>
      <c r="I1390" s="98">
        <v>22</v>
      </c>
      <c r="J1390" s="98">
        <v>22</v>
      </c>
      <c r="K1390" s="89">
        <f t="shared" si="59"/>
        <v>1</v>
      </c>
      <c r="L1390" s="89">
        <v>16596.19</v>
      </c>
      <c r="M1390" s="89">
        <v>3000.32</v>
      </c>
      <c r="N1390" s="89">
        <v>2121.97</v>
      </c>
      <c r="O1390" s="89">
        <f t="shared" si="58"/>
        <v>21718.48</v>
      </c>
    </row>
    <row r="1391" spans="1:15">
      <c r="A1391" s="74" t="s">
        <v>113</v>
      </c>
      <c r="B1391" s="74" t="s">
        <v>114</v>
      </c>
      <c r="C1391" s="74" t="s">
        <v>115</v>
      </c>
      <c r="D1391" s="74" t="s">
        <v>79</v>
      </c>
      <c r="E1391" s="74" t="s">
        <v>80</v>
      </c>
      <c r="F1391" s="86" t="s">
        <v>116</v>
      </c>
      <c r="G1391" s="74" t="s">
        <v>117</v>
      </c>
      <c r="H1391" s="87">
        <v>44165</v>
      </c>
      <c r="I1391" s="98">
        <v>22</v>
      </c>
      <c r="J1391" s="98">
        <v>22</v>
      </c>
      <c r="K1391" s="89">
        <f t="shared" si="59"/>
        <v>1</v>
      </c>
      <c r="L1391" s="89">
        <v>8262.63</v>
      </c>
      <c r="M1391" s="89">
        <v>3201.23</v>
      </c>
      <c r="N1391" s="89">
        <v>871.83</v>
      </c>
      <c r="O1391" s="89">
        <f t="shared" si="58"/>
        <v>12335.69</v>
      </c>
    </row>
    <row r="1392" spans="1:15">
      <c r="A1392" s="74" t="s">
        <v>113</v>
      </c>
      <c r="B1392" s="74" t="s">
        <v>118</v>
      </c>
      <c r="C1392" s="74" t="s">
        <v>119</v>
      </c>
      <c r="D1392" s="74" t="s">
        <v>79</v>
      </c>
      <c r="E1392" s="74" t="s">
        <v>80</v>
      </c>
      <c r="F1392" s="86" t="s">
        <v>120</v>
      </c>
      <c r="G1392" s="74" t="s">
        <v>117</v>
      </c>
      <c r="H1392" s="87">
        <v>44165</v>
      </c>
      <c r="I1392" s="98">
        <v>22</v>
      </c>
      <c r="J1392" s="98">
        <v>22</v>
      </c>
      <c r="K1392" s="89">
        <f t="shared" ref="K1392:K1455" si="60">I1392/J1392</f>
        <v>1</v>
      </c>
      <c r="L1392" s="89">
        <v>7315.9</v>
      </c>
      <c r="M1392" s="89">
        <v>3184.73</v>
      </c>
      <c r="N1392" s="89">
        <v>706.42</v>
      </c>
      <c r="O1392" s="89">
        <f t="shared" si="58"/>
        <v>11207.05</v>
      </c>
    </row>
    <row r="1393" spans="1:15">
      <c r="A1393" s="74" t="s">
        <v>113</v>
      </c>
      <c r="B1393" s="74" t="s">
        <v>121</v>
      </c>
      <c r="C1393" s="74" t="s">
        <v>122</v>
      </c>
      <c r="D1393" s="74" t="s">
        <v>79</v>
      </c>
      <c r="E1393" s="74" t="s">
        <v>80</v>
      </c>
      <c r="F1393" s="86" t="s">
        <v>123</v>
      </c>
      <c r="G1393" s="74" t="s">
        <v>117</v>
      </c>
      <c r="H1393" s="87">
        <v>44165</v>
      </c>
      <c r="I1393" s="98">
        <v>22</v>
      </c>
      <c r="J1393" s="98">
        <v>22</v>
      </c>
      <c r="K1393" s="89">
        <f t="shared" si="60"/>
        <v>1</v>
      </c>
      <c r="L1393" s="89">
        <v>6421.59</v>
      </c>
      <c r="M1393" s="89">
        <v>3280.57</v>
      </c>
      <c r="N1393" s="89">
        <v>659.24</v>
      </c>
      <c r="O1393" s="89">
        <f t="shared" si="58"/>
        <v>10361.4</v>
      </c>
    </row>
    <row r="1394" spans="1:15">
      <c r="A1394" s="74" t="s">
        <v>113</v>
      </c>
      <c r="B1394" s="74" t="s">
        <v>124</v>
      </c>
      <c r="C1394" s="74" t="s">
        <v>125</v>
      </c>
      <c r="D1394" s="74" t="s">
        <v>79</v>
      </c>
      <c r="E1394" s="74" t="s">
        <v>80</v>
      </c>
      <c r="F1394" s="86" t="s">
        <v>116</v>
      </c>
      <c r="G1394" s="74" t="s">
        <v>117</v>
      </c>
      <c r="H1394" s="87">
        <v>44165</v>
      </c>
      <c r="I1394" s="98">
        <v>22</v>
      </c>
      <c r="J1394" s="98">
        <v>22</v>
      </c>
      <c r="K1394" s="89">
        <f t="shared" si="60"/>
        <v>1</v>
      </c>
      <c r="L1394" s="89">
        <v>8582.72</v>
      </c>
      <c r="M1394" s="89">
        <v>3015.46</v>
      </c>
      <c r="N1394" s="89">
        <v>875.5</v>
      </c>
      <c r="O1394" s="89">
        <f t="shared" si="58"/>
        <v>12473.68</v>
      </c>
    </row>
    <row r="1395" spans="1:15">
      <c r="A1395" s="74" t="s">
        <v>113</v>
      </c>
      <c r="B1395" s="74" t="s">
        <v>126</v>
      </c>
      <c r="C1395" s="74" t="s">
        <v>127</v>
      </c>
      <c r="D1395" s="74" t="s">
        <v>79</v>
      </c>
      <c r="E1395" s="74" t="s">
        <v>80</v>
      </c>
      <c r="F1395" s="86" t="s">
        <v>120</v>
      </c>
      <c r="G1395" s="74" t="s">
        <v>117</v>
      </c>
      <c r="H1395" s="87">
        <v>44165</v>
      </c>
      <c r="I1395" s="98">
        <v>22</v>
      </c>
      <c r="J1395" s="98">
        <v>22</v>
      </c>
      <c r="K1395" s="89">
        <f t="shared" si="60"/>
        <v>1</v>
      </c>
      <c r="L1395" s="89">
        <v>7193.39</v>
      </c>
      <c r="M1395" s="89">
        <v>3292.23</v>
      </c>
      <c r="N1395" s="89">
        <v>732.98</v>
      </c>
      <c r="O1395" s="89">
        <f t="shared" si="58"/>
        <v>11218.6</v>
      </c>
    </row>
    <row r="1396" spans="1:15">
      <c r="A1396" s="74" t="s">
        <v>113</v>
      </c>
      <c r="B1396" s="74" t="s">
        <v>128</v>
      </c>
      <c r="C1396" s="74" t="s">
        <v>129</v>
      </c>
      <c r="D1396" s="74" t="s">
        <v>79</v>
      </c>
      <c r="E1396" s="74" t="s">
        <v>80</v>
      </c>
      <c r="F1396" s="86" t="s">
        <v>123</v>
      </c>
      <c r="G1396" s="74" t="s">
        <v>117</v>
      </c>
      <c r="H1396" s="87">
        <v>44165</v>
      </c>
      <c r="I1396" s="98">
        <v>22</v>
      </c>
      <c r="J1396" s="98">
        <v>22</v>
      </c>
      <c r="K1396" s="89">
        <f t="shared" si="60"/>
        <v>1</v>
      </c>
      <c r="L1396" s="89">
        <v>6476.65</v>
      </c>
      <c r="M1396" s="89">
        <v>3264.04</v>
      </c>
      <c r="N1396" s="89">
        <v>641.53</v>
      </c>
      <c r="O1396" s="89">
        <f t="shared" si="58"/>
        <v>10382.22</v>
      </c>
    </row>
    <row r="1397" spans="1:15">
      <c r="A1397" s="74" t="s">
        <v>113</v>
      </c>
      <c r="B1397" s="74" t="s">
        <v>130</v>
      </c>
      <c r="C1397" s="74" t="s">
        <v>131</v>
      </c>
      <c r="D1397" s="74" t="s">
        <v>79</v>
      </c>
      <c r="E1397" s="74" t="s">
        <v>80</v>
      </c>
      <c r="F1397" s="86" t="s">
        <v>116</v>
      </c>
      <c r="G1397" s="74" t="s">
        <v>117</v>
      </c>
      <c r="H1397" s="87">
        <v>44165</v>
      </c>
      <c r="I1397" s="98">
        <v>22</v>
      </c>
      <c r="J1397" s="98">
        <v>22</v>
      </c>
      <c r="K1397" s="89">
        <f t="shared" si="60"/>
        <v>1</v>
      </c>
      <c r="L1397" s="89">
        <v>8778.47</v>
      </c>
      <c r="M1397" s="89">
        <v>3265.59</v>
      </c>
      <c r="N1397" s="89">
        <v>838.2</v>
      </c>
      <c r="O1397" s="89">
        <f t="shared" si="58"/>
        <v>12882.26</v>
      </c>
    </row>
    <row r="1398" spans="1:15">
      <c r="A1398" s="74" t="s">
        <v>113</v>
      </c>
      <c r="B1398" s="74" t="s">
        <v>132</v>
      </c>
      <c r="C1398" s="74" t="s">
        <v>133</v>
      </c>
      <c r="D1398" s="74" t="s">
        <v>79</v>
      </c>
      <c r="E1398" s="74" t="s">
        <v>80</v>
      </c>
      <c r="F1398" s="86" t="s">
        <v>120</v>
      </c>
      <c r="G1398" s="74" t="s">
        <v>117</v>
      </c>
      <c r="H1398" s="87">
        <v>44165</v>
      </c>
      <c r="I1398" s="98">
        <v>22</v>
      </c>
      <c r="J1398" s="98">
        <v>22</v>
      </c>
      <c r="K1398" s="89">
        <f t="shared" si="60"/>
        <v>1</v>
      </c>
      <c r="L1398" s="89">
        <v>7577.79</v>
      </c>
      <c r="M1398" s="89">
        <v>3191.16</v>
      </c>
      <c r="N1398" s="89">
        <v>732.81</v>
      </c>
      <c r="O1398" s="89">
        <f t="shared" si="58"/>
        <v>11501.76</v>
      </c>
    </row>
    <row r="1399" spans="1:15">
      <c r="A1399" s="74" t="s">
        <v>113</v>
      </c>
      <c r="B1399" s="74" t="s">
        <v>134</v>
      </c>
      <c r="C1399" s="74" t="s">
        <v>135</v>
      </c>
      <c r="D1399" s="74" t="s">
        <v>79</v>
      </c>
      <c r="E1399" s="74" t="s">
        <v>80</v>
      </c>
      <c r="F1399" s="86" t="s">
        <v>123</v>
      </c>
      <c r="G1399" s="74" t="s">
        <v>117</v>
      </c>
      <c r="H1399" s="87">
        <v>44165</v>
      </c>
      <c r="I1399" s="98">
        <v>22</v>
      </c>
      <c r="J1399" s="98">
        <v>22</v>
      </c>
      <c r="K1399" s="89">
        <f t="shared" si="60"/>
        <v>1</v>
      </c>
      <c r="L1399" s="89">
        <v>6541.46</v>
      </c>
      <c r="M1399" s="89">
        <v>3222.69</v>
      </c>
      <c r="N1399" s="89">
        <v>607.58</v>
      </c>
      <c r="O1399" s="89">
        <f t="shared" si="58"/>
        <v>10371.73</v>
      </c>
    </row>
    <row r="1400" spans="1:15">
      <c r="A1400" s="74" t="s">
        <v>113</v>
      </c>
      <c r="B1400" s="74" t="s">
        <v>136</v>
      </c>
      <c r="C1400" s="74" t="s">
        <v>137</v>
      </c>
      <c r="D1400" s="74" t="s">
        <v>79</v>
      </c>
      <c r="E1400" s="74" t="s">
        <v>80</v>
      </c>
      <c r="F1400" s="86" t="s">
        <v>116</v>
      </c>
      <c r="G1400" s="74" t="s">
        <v>138</v>
      </c>
      <c r="H1400" s="87">
        <v>44165</v>
      </c>
      <c r="I1400" s="98">
        <v>22</v>
      </c>
      <c r="J1400" s="98">
        <v>22</v>
      </c>
      <c r="K1400" s="89">
        <f t="shared" si="60"/>
        <v>1</v>
      </c>
      <c r="L1400" s="89">
        <v>8660.48</v>
      </c>
      <c r="M1400" s="89">
        <v>3079.92</v>
      </c>
      <c r="N1400" s="89">
        <v>800.51</v>
      </c>
      <c r="O1400" s="89">
        <f t="shared" si="58"/>
        <v>12540.91</v>
      </c>
    </row>
    <row r="1401" spans="1:15">
      <c r="A1401" s="74" t="s">
        <v>113</v>
      </c>
      <c r="B1401" s="74" t="s">
        <v>139</v>
      </c>
      <c r="C1401" s="74" t="s">
        <v>140</v>
      </c>
      <c r="D1401" s="74" t="s">
        <v>79</v>
      </c>
      <c r="E1401" s="74" t="s">
        <v>80</v>
      </c>
      <c r="F1401" s="86" t="s">
        <v>120</v>
      </c>
      <c r="G1401" s="74" t="s">
        <v>138</v>
      </c>
      <c r="H1401" s="87">
        <v>44165</v>
      </c>
      <c r="I1401" s="98">
        <v>22</v>
      </c>
      <c r="J1401" s="98">
        <v>22</v>
      </c>
      <c r="K1401" s="89">
        <f t="shared" si="60"/>
        <v>1</v>
      </c>
      <c r="L1401" s="89">
        <v>7178.73</v>
      </c>
      <c r="M1401" s="89">
        <v>3187.84</v>
      </c>
      <c r="N1401" s="89">
        <v>732.28</v>
      </c>
      <c r="O1401" s="89">
        <f t="shared" si="58"/>
        <v>11098.85</v>
      </c>
    </row>
    <row r="1402" spans="1:15">
      <c r="A1402" s="74" t="s">
        <v>113</v>
      </c>
      <c r="B1402" s="74" t="s">
        <v>141</v>
      </c>
      <c r="C1402" s="74" t="s">
        <v>142</v>
      </c>
      <c r="D1402" s="74" t="s">
        <v>79</v>
      </c>
      <c r="E1402" s="74" t="s">
        <v>80</v>
      </c>
      <c r="F1402" s="86" t="s">
        <v>123</v>
      </c>
      <c r="G1402" s="74" t="s">
        <v>138</v>
      </c>
      <c r="H1402" s="87">
        <v>44165</v>
      </c>
      <c r="I1402" s="98">
        <v>22</v>
      </c>
      <c r="J1402" s="98">
        <v>22</v>
      </c>
      <c r="K1402" s="89">
        <f t="shared" si="60"/>
        <v>1</v>
      </c>
      <c r="L1402" s="89">
        <v>6538.46</v>
      </c>
      <c r="M1402" s="89">
        <v>3022.19</v>
      </c>
      <c r="N1402" s="89">
        <v>621.16</v>
      </c>
      <c r="O1402" s="89">
        <f t="shared" si="58"/>
        <v>10181.81</v>
      </c>
    </row>
    <row r="1403" spans="1:15">
      <c r="A1403" s="74" t="s">
        <v>113</v>
      </c>
      <c r="B1403" s="74" t="s">
        <v>143</v>
      </c>
      <c r="C1403" s="74" t="s">
        <v>144</v>
      </c>
      <c r="D1403" s="74" t="s">
        <v>79</v>
      </c>
      <c r="E1403" s="74" t="s">
        <v>80</v>
      </c>
      <c r="F1403" s="86" t="s">
        <v>145</v>
      </c>
      <c r="G1403" s="74" t="s">
        <v>146</v>
      </c>
      <c r="H1403" s="87">
        <v>44165</v>
      </c>
      <c r="I1403" s="98">
        <v>22</v>
      </c>
      <c r="J1403" s="98">
        <v>22</v>
      </c>
      <c r="K1403" s="89">
        <f t="shared" si="60"/>
        <v>1</v>
      </c>
      <c r="L1403" s="89">
        <v>19803.9</v>
      </c>
      <c r="M1403" s="89">
        <v>3138.75</v>
      </c>
      <c r="N1403" s="89">
        <v>2055.39</v>
      </c>
      <c r="O1403" s="89">
        <f t="shared" si="58"/>
        <v>24998.04</v>
      </c>
    </row>
    <row r="1404" spans="1:15">
      <c r="A1404" s="74" t="s">
        <v>113</v>
      </c>
      <c r="B1404" s="74" t="s">
        <v>147</v>
      </c>
      <c r="C1404" s="74" t="s">
        <v>148</v>
      </c>
      <c r="D1404" s="74" t="s">
        <v>79</v>
      </c>
      <c r="E1404" s="74" t="s">
        <v>80</v>
      </c>
      <c r="F1404" s="86" t="s">
        <v>149</v>
      </c>
      <c r="G1404" s="74" t="s">
        <v>150</v>
      </c>
      <c r="H1404" s="87">
        <v>44165</v>
      </c>
      <c r="I1404" s="98">
        <v>22</v>
      </c>
      <c r="J1404" s="98">
        <v>22</v>
      </c>
      <c r="K1404" s="89">
        <f t="shared" si="60"/>
        <v>1</v>
      </c>
      <c r="L1404" s="89">
        <v>17638.73</v>
      </c>
      <c r="M1404" s="89">
        <v>3070.23</v>
      </c>
      <c r="N1404" s="89">
        <v>1737.68</v>
      </c>
      <c r="O1404" s="89">
        <f t="shared" si="58"/>
        <v>22446.64</v>
      </c>
    </row>
    <row r="1405" spans="1:15">
      <c r="A1405" s="74" t="s">
        <v>113</v>
      </c>
      <c r="B1405" s="74" t="s">
        <v>151</v>
      </c>
      <c r="C1405" s="74" t="s">
        <v>152</v>
      </c>
      <c r="D1405" s="74" t="s">
        <v>79</v>
      </c>
      <c r="E1405" s="74" t="s">
        <v>81</v>
      </c>
      <c r="F1405" s="86" t="s">
        <v>123</v>
      </c>
      <c r="G1405" s="74" t="s">
        <v>153</v>
      </c>
      <c r="H1405" s="87">
        <v>44165</v>
      </c>
      <c r="I1405" s="98">
        <v>22</v>
      </c>
      <c r="J1405" s="98">
        <v>22</v>
      </c>
      <c r="K1405" s="89">
        <f t="shared" si="60"/>
        <v>1</v>
      </c>
      <c r="L1405" s="89">
        <v>6147.89</v>
      </c>
      <c r="M1405" s="89">
        <v>3017.07</v>
      </c>
      <c r="N1405" s="89">
        <v>601.62</v>
      </c>
      <c r="O1405" s="89">
        <f t="shared" si="58"/>
        <v>9766.58</v>
      </c>
    </row>
    <row r="1406" spans="1:15">
      <c r="A1406" s="74" t="s">
        <v>113</v>
      </c>
      <c r="B1406" s="74" t="s">
        <v>154</v>
      </c>
      <c r="C1406" s="74" t="s">
        <v>155</v>
      </c>
      <c r="D1406" s="74" t="s">
        <v>79</v>
      </c>
      <c r="E1406" s="74" t="s">
        <v>81</v>
      </c>
      <c r="F1406" s="86" t="s">
        <v>156</v>
      </c>
      <c r="G1406" s="74" t="s">
        <v>157</v>
      </c>
      <c r="H1406" s="87">
        <v>44165</v>
      </c>
      <c r="I1406" s="98">
        <v>22</v>
      </c>
      <c r="J1406" s="98">
        <v>22</v>
      </c>
      <c r="K1406" s="89">
        <f t="shared" si="60"/>
        <v>1</v>
      </c>
      <c r="L1406" s="89">
        <v>5334.39</v>
      </c>
      <c r="M1406" s="89">
        <v>3023.85</v>
      </c>
      <c r="N1406" s="89">
        <v>510.53</v>
      </c>
      <c r="O1406" s="89">
        <f t="shared" si="58"/>
        <v>8868.77</v>
      </c>
    </row>
    <row r="1407" spans="1:15">
      <c r="A1407" s="74" t="s">
        <v>113</v>
      </c>
      <c r="B1407" s="74" t="s">
        <v>158</v>
      </c>
      <c r="C1407" s="74" t="s">
        <v>159</v>
      </c>
      <c r="D1407" s="74" t="s">
        <v>79</v>
      </c>
      <c r="E1407" s="74" t="s">
        <v>81</v>
      </c>
      <c r="F1407" s="86" t="s">
        <v>160</v>
      </c>
      <c r="G1407" s="74" t="s">
        <v>161</v>
      </c>
      <c r="H1407" s="87">
        <v>44165</v>
      </c>
      <c r="I1407" s="98">
        <v>22</v>
      </c>
      <c r="J1407" s="98">
        <v>22</v>
      </c>
      <c r="K1407" s="89">
        <f t="shared" si="60"/>
        <v>1</v>
      </c>
      <c r="L1407" s="89">
        <v>4376.01</v>
      </c>
      <c r="M1407" s="89">
        <v>3021.37</v>
      </c>
      <c r="N1407" s="89">
        <v>400.11</v>
      </c>
      <c r="O1407" s="89">
        <f t="shared" si="58"/>
        <v>7797.49</v>
      </c>
    </row>
    <row r="1408" spans="1:15">
      <c r="A1408" s="74" t="s">
        <v>113</v>
      </c>
      <c r="B1408" s="74" t="s">
        <v>162</v>
      </c>
      <c r="C1408" s="74" t="s">
        <v>163</v>
      </c>
      <c r="D1408" s="74" t="s">
        <v>79</v>
      </c>
      <c r="E1408" s="74" t="s">
        <v>81</v>
      </c>
      <c r="F1408" s="86" t="s">
        <v>123</v>
      </c>
      <c r="G1408" s="74" t="s">
        <v>153</v>
      </c>
      <c r="H1408" s="87">
        <v>44165</v>
      </c>
      <c r="I1408" s="98">
        <v>22</v>
      </c>
      <c r="J1408" s="98">
        <v>22</v>
      </c>
      <c r="K1408" s="89">
        <f t="shared" si="60"/>
        <v>1</v>
      </c>
      <c r="L1408" s="89">
        <v>6055.03</v>
      </c>
      <c r="M1408" s="89">
        <v>3239.58</v>
      </c>
      <c r="N1408" s="89">
        <v>648.95</v>
      </c>
      <c r="O1408" s="89">
        <f t="shared" si="58"/>
        <v>9943.56</v>
      </c>
    </row>
    <row r="1409" spans="1:15">
      <c r="A1409" s="74" t="s">
        <v>113</v>
      </c>
      <c r="B1409" s="74" t="s">
        <v>164</v>
      </c>
      <c r="C1409" s="74" t="s">
        <v>165</v>
      </c>
      <c r="D1409" s="74" t="s">
        <v>79</v>
      </c>
      <c r="E1409" s="74" t="s">
        <v>81</v>
      </c>
      <c r="F1409" s="86" t="s">
        <v>156</v>
      </c>
      <c r="G1409" s="74" t="s">
        <v>157</v>
      </c>
      <c r="H1409" s="87">
        <v>44165</v>
      </c>
      <c r="I1409" s="98">
        <v>22</v>
      </c>
      <c r="J1409" s="98">
        <v>22</v>
      </c>
      <c r="K1409" s="89">
        <f t="shared" si="60"/>
        <v>1</v>
      </c>
      <c r="L1409" s="89">
        <v>5365.88</v>
      </c>
      <c r="M1409" s="89">
        <v>3070.89</v>
      </c>
      <c r="N1409" s="89">
        <v>530.88</v>
      </c>
      <c r="O1409" s="89">
        <f t="shared" si="58"/>
        <v>8967.65</v>
      </c>
    </row>
    <row r="1410" spans="1:15">
      <c r="A1410" s="74" t="s">
        <v>113</v>
      </c>
      <c r="B1410" s="74" t="s">
        <v>166</v>
      </c>
      <c r="C1410" s="74" t="s">
        <v>167</v>
      </c>
      <c r="D1410" s="74" t="s">
        <v>79</v>
      </c>
      <c r="E1410" s="74" t="s">
        <v>81</v>
      </c>
      <c r="F1410" s="86" t="s">
        <v>160</v>
      </c>
      <c r="G1410" s="74" t="s">
        <v>161</v>
      </c>
      <c r="H1410" s="87">
        <v>44165</v>
      </c>
      <c r="I1410" s="98">
        <v>22</v>
      </c>
      <c r="J1410" s="98">
        <v>22</v>
      </c>
      <c r="K1410" s="89">
        <f t="shared" si="60"/>
        <v>1</v>
      </c>
      <c r="L1410" s="89">
        <v>4017.06</v>
      </c>
      <c r="M1410" s="89">
        <v>3073.26</v>
      </c>
      <c r="N1410" s="89">
        <v>425.64</v>
      </c>
      <c r="O1410" s="89">
        <f t="shared" si="58"/>
        <v>7515.96</v>
      </c>
    </row>
    <row r="1411" spans="1:15">
      <c r="A1411" s="74" t="s">
        <v>113</v>
      </c>
      <c r="B1411" s="74" t="s">
        <v>168</v>
      </c>
      <c r="C1411" s="74" t="s">
        <v>169</v>
      </c>
      <c r="D1411" s="74" t="s">
        <v>79</v>
      </c>
      <c r="E1411" s="74" t="s">
        <v>81</v>
      </c>
      <c r="F1411" s="86" t="s">
        <v>123</v>
      </c>
      <c r="G1411" s="74" t="s">
        <v>153</v>
      </c>
      <c r="H1411" s="87">
        <v>44165</v>
      </c>
      <c r="I1411" s="98">
        <v>22</v>
      </c>
      <c r="J1411" s="98">
        <v>22</v>
      </c>
      <c r="K1411" s="89">
        <f t="shared" si="60"/>
        <v>1</v>
      </c>
      <c r="L1411" s="89">
        <v>6334.17</v>
      </c>
      <c r="M1411" s="89">
        <v>3218.89</v>
      </c>
      <c r="N1411" s="89">
        <v>619</v>
      </c>
      <c r="O1411" s="89">
        <f t="shared" si="58"/>
        <v>10172.06</v>
      </c>
    </row>
    <row r="1412" spans="1:15">
      <c r="A1412" s="74" t="s">
        <v>113</v>
      </c>
      <c r="B1412" s="74" t="s">
        <v>170</v>
      </c>
      <c r="C1412" s="74" t="s">
        <v>171</v>
      </c>
      <c r="D1412" s="74" t="s">
        <v>79</v>
      </c>
      <c r="E1412" s="74" t="s">
        <v>81</v>
      </c>
      <c r="F1412" s="86" t="s">
        <v>156</v>
      </c>
      <c r="G1412" s="74" t="s">
        <v>157</v>
      </c>
      <c r="H1412" s="87">
        <v>44165</v>
      </c>
      <c r="I1412" s="98">
        <v>22</v>
      </c>
      <c r="J1412" s="98">
        <v>22</v>
      </c>
      <c r="K1412" s="89">
        <f t="shared" si="60"/>
        <v>1</v>
      </c>
      <c r="L1412" s="89">
        <v>5285.86</v>
      </c>
      <c r="M1412" s="89">
        <v>3027.41</v>
      </c>
      <c r="N1412" s="89">
        <v>518.47</v>
      </c>
      <c r="O1412" s="89">
        <f t="shared" si="58"/>
        <v>8831.74</v>
      </c>
    </row>
    <row r="1413" spans="1:15">
      <c r="A1413" s="74" t="s">
        <v>113</v>
      </c>
      <c r="B1413" s="74" t="s">
        <v>172</v>
      </c>
      <c r="C1413" s="74" t="s">
        <v>173</v>
      </c>
      <c r="D1413" s="74" t="s">
        <v>79</v>
      </c>
      <c r="E1413" s="74" t="s">
        <v>81</v>
      </c>
      <c r="F1413" s="86" t="s">
        <v>160</v>
      </c>
      <c r="G1413" s="74" t="s">
        <v>161</v>
      </c>
      <c r="H1413" s="87">
        <v>44165</v>
      </c>
      <c r="I1413" s="98">
        <v>22</v>
      </c>
      <c r="J1413" s="98">
        <v>22</v>
      </c>
      <c r="K1413" s="89">
        <f t="shared" si="60"/>
        <v>1</v>
      </c>
      <c r="L1413" s="89">
        <v>4252.81</v>
      </c>
      <c r="M1413" s="89">
        <v>3279.56</v>
      </c>
      <c r="N1413" s="89">
        <v>402.43</v>
      </c>
      <c r="O1413" s="89">
        <f t="shared" ref="O1413:O1476" si="61">SUM(L1413:N1413)</f>
        <v>7934.8</v>
      </c>
    </row>
    <row r="1414" spans="1:15">
      <c r="A1414" s="74" t="s">
        <v>113</v>
      </c>
      <c r="B1414" s="74" t="s">
        <v>174</v>
      </c>
      <c r="C1414" s="74" t="s">
        <v>175</v>
      </c>
      <c r="D1414" s="74" t="s">
        <v>79</v>
      </c>
      <c r="E1414" s="74" t="s">
        <v>81</v>
      </c>
      <c r="F1414" s="86" t="s">
        <v>176</v>
      </c>
      <c r="G1414" s="74" t="s">
        <v>177</v>
      </c>
      <c r="H1414" s="87">
        <v>44165</v>
      </c>
      <c r="I1414" s="98">
        <v>22</v>
      </c>
      <c r="J1414" s="98">
        <v>22</v>
      </c>
      <c r="K1414" s="89">
        <f t="shared" si="60"/>
        <v>1</v>
      </c>
      <c r="L1414" s="89">
        <v>3067.86</v>
      </c>
      <c r="M1414" s="89">
        <v>3068.15</v>
      </c>
      <c r="N1414" s="89">
        <v>322.37</v>
      </c>
      <c r="O1414" s="89">
        <f t="shared" si="61"/>
        <v>6458.38</v>
      </c>
    </row>
    <row r="1415" spans="1:15">
      <c r="A1415" s="74" t="s">
        <v>113</v>
      </c>
      <c r="B1415" s="74" t="s">
        <v>178</v>
      </c>
      <c r="C1415" s="74" t="s">
        <v>179</v>
      </c>
      <c r="D1415" s="74" t="s">
        <v>79</v>
      </c>
      <c r="E1415" s="74" t="s">
        <v>81</v>
      </c>
      <c r="F1415" s="86" t="s">
        <v>180</v>
      </c>
      <c r="G1415" s="74" t="s">
        <v>177</v>
      </c>
      <c r="H1415" s="87">
        <v>44165</v>
      </c>
      <c r="I1415" s="98">
        <v>22</v>
      </c>
      <c r="J1415" s="98">
        <v>22</v>
      </c>
      <c r="K1415" s="89">
        <f t="shared" si="60"/>
        <v>1</v>
      </c>
      <c r="L1415" s="89">
        <v>2005.43</v>
      </c>
      <c r="M1415" s="89">
        <v>3140.08</v>
      </c>
      <c r="N1415" s="89">
        <v>218.83</v>
      </c>
      <c r="O1415" s="89">
        <f t="shared" si="61"/>
        <v>5364.34</v>
      </c>
    </row>
    <row r="1416" spans="1:15">
      <c r="A1416" s="74" t="s">
        <v>113</v>
      </c>
      <c r="B1416" s="74" t="s">
        <v>181</v>
      </c>
      <c r="C1416" s="74" t="s">
        <v>182</v>
      </c>
      <c r="D1416" s="74" t="s">
        <v>79</v>
      </c>
      <c r="E1416" s="74" t="s">
        <v>81</v>
      </c>
      <c r="F1416" s="86" t="s">
        <v>183</v>
      </c>
      <c r="G1416" s="74" t="s">
        <v>177</v>
      </c>
      <c r="H1416" s="87">
        <v>44165</v>
      </c>
      <c r="I1416" s="98">
        <v>22</v>
      </c>
      <c r="J1416" s="98">
        <v>22</v>
      </c>
      <c r="K1416" s="89">
        <f t="shared" si="60"/>
        <v>1</v>
      </c>
      <c r="L1416" s="89">
        <v>1017.65</v>
      </c>
      <c r="M1416" s="89">
        <v>3279.52</v>
      </c>
      <c r="N1416" s="89">
        <v>108.88</v>
      </c>
      <c r="O1416" s="89">
        <f t="shared" si="61"/>
        <v>4406.05</v>
      </c>
    </row>
    <row r="1417" spans="1:15">
      <c r="A1417" s="74" t="s">
        <v>113</v>
      </c>
      <c r="B1417" s="74" t="s">
        <v>184</v>
      </c>
      <c r="C1417" s="74" t="s">
        <v>185</v>
      </c>
      <c r="D1417" s="74" t="s">
        <v>79</v>
      </c>
      <c r="E1417" s="74" t="s">
        <v>81</v>
      </c>
      <c r="F1417" s="86" t="s">
        <v>176</v>
      </c>
      <c r="G1417" s="74" t="s">
        <v>177</v>
      </c>
      <c r="H1417" s="87">
        <v>44165</v>
      </c>
      <c r="I1417" s="98">
        <v>22</v>
      </c>
      <c r="J1417" s="98">
        <v>22</v>
      </c>
      <c r="K1417" s="89">
        <f t="shared" si="60"/>
        <v>1</v>
      </c>
      <c r="L1417" s="89">
        <v>3110.92</v>
      </c>
      <c r="M1417" s="89">
        <v>3027.38</v>
      </c>
      <c r="N1417" s="89">
        <v>313.83</v>
      </c>
      <c r="O1417" s="89">
        <f t="shared" si="61"/>
        <v>6452.13</v>
      </c>
    </row>
    <row r="1418" spans="1:15">
      <c r="A1418" s="74" t="s">
        <v>113</v>
      </c>
      <c r="B1418" s="74" t="s">
        <v>186</v>
      </c>
      <c r="C1418" s="74" t="s">
        <v>187</v>
      </c>
      <c r="D1418" s="74" t="s">
        <v>79</v>
      </c>
      <c r="E1418" s="74" t="s">
        <v>81</v>
      </c>
      <c r="F1418" s="86" t="s">
        <v>180</v>
      </c>
      <c r="G1418" s="74" t="s">
        <v>177</v>
      </c>
      <c r="H1418" s="87">
        <v>44165</v>
      </c>
      <c r="I1418" s="98">
        <v>22</v>
      </c>
      <c r="J1418" s="98">
        <v>22</v>
      </c>
      <c r="K1418" s="89">
        <f t="shared" si="60"/>
        <v>1</v>
      </c>
      <c r="L1418" s="89">
        <v>2052.43</v>
      </c>
      <c r="M1418" s="89">
        <v>3117.13</v>
      </c>
      <c r="N1418" s="89">
        <v>202.27</v>
      </c>
      <c r="O1418" s="89">
        <f t="shared" si="61"/>
        <v>5371.83</v>
      </c>
    </row>
    <row r="1419" spans="1:15">
      <c r="A1419" s="74" t="s">
        <v>113</v>
      </c>
      <c r="B1419" s="74" t="s">
        <v>188</v>
      </c>
      <c r="C1419" s="74" t="s">
        <v>189</v>
      </c>
      <c r="D1419" s="74" t="s">
        <v>79</v>
      </c>
      <c r="E1419" s="74" t="s">
        <v>81</v>
      </c>
      <c r="F1419" s="86" t="s">
        <v>183</v>
      </c>
      <c r="G1419" s="74" t="s">
        <v>177</v>
      </c>
      <c r="H1419" s="87">
        <v>44165</v>
      </c>
      <c r="I1419" s="98">
        <v>22</v>
      </c>
      <c r="J1419" s="98">
        <v>22</v>
      </c>
      <c r="K1419" s="89">
        <f t="shared" si="60"/>
        <v>1</v>
      </c>
      <c r="L1419" s="89">
        <v>1052.9</v>
      </c>
      <c r="M1419" s="89">
        <v>3265.61</v>
      </c>
      <c r="N1419" s="89">
        <v>104.14</v>
      </c>
      <c r="O1419" s="89">
        <f t="shared" si="61"/>
        <v>4422.65</v>
      </c>
    </row>
    <row r="1420" spans="1:15">
      <c r="A1420" s="74" t="s">
        <v>113</v>
      </c>
      <c r="B1420" s="74" t="s">
        <v>190</v>
      </c>
      <c r="C1420" s="74" t="s">
        <v>191</v>
      </c>
      <c r="D1420" s="74" t="s">
        <v>79</v>
      </c>
      <c r="E1420" s="74" t="s">
        <v>81</v>
      </c>
      <c r="F1420" s="86" t="s">
        <v>176</v>
      </c>
      <c r="G1420" s="74" t="s">
        <v>177</v>
      </c>
      <c r="H1420" s="87">
        <v>44165</v>
      </c>
      <c r="I1420" s="98">
        <v>22</v>
      </c>
      <c r="J1420" s="98">
        <v>22</v>
      </c>
      <c r="K1420" s="89">
        <f t="shared" si="60"/>
        <v>1</v>
      </c>
      <c r="L1420" s="89">
        <v>3106.61</v>
      </c>
      <c r="M1420" s="89">
        <v>3201.25</v>
      </c>
      <c r="N1420" s="89">
        <v>302.36</v>
      </c>
      <c r="O1420" s="89">
        <f t="shared" si="61"/>
        <v>6610.22</v>
      </c>
    </row>
    <row r="1421" spans="1:15">
      <c r="A1421" s="74" t="s">
        <v>113</v>
      </c>
      <c r="B1421" s="74" t="s">
        <v>192</v>
      </c>
      <c r="C1421" s="74" t="s">
        <v>193</v>
      </c>
      <c r="D1421" s="74" t="s">
        <v>79</v>
      </c>
      <c r="E1421" s="74" t="s">
        <v>81</v>
      </c>
      <c r="F1421" s="86" t="s">
        <v>180</v>
      </c>
      <c r="G1421" s="74" t="s">
        <v>177</v>
      </c>
      <c r="H1421" s="87">
        <v>44165</v>
      </c>
      <c r="I1421" s="98">
        <v>22</v>
      </c>
      <c r="J1421" s="98">
        <v>22</v>
      </c>
      <c r="K1421" s="89">
        <f t="shared" si="60"/>
        <v>1</v>
      </c>
      <c r="L1421" s="89">
        <v>2194.66</v>
      </c>
      <c r="M1421" s="89">
        <v>3017.03</v>
      </c>
      <c r="N1421" s="89">
        <v>212.58</v>
      </c>
      <c r="O1421" s="89">
        <f t="shared" si="61"/>
        <v>5424.27</v>
      </c>
    </row>
    <row r="1422" spans="1:15">
      <c r="A1422" s="74" t="s">
        <v>113</v>
      </c>
      <c r="B1422" s="74" t="s">
        <v>194</v>
      </c>
      <c r="C1422" s="74" t="s">
        <v>195</v>
      </c>
      <c r="D1422" s="74" t="s">
        <v>79</v>
      </c>
      <c r="E1422" s="74" t="s">
        <v>81</v>
      </c>
      <c r="F1422" s="86" t="s">
        <v>183</v>
      </c>
      <c r="G1422" s="74" t="s">
        <v>177</v>
      </c>
      <c r="H1422" s="87">
        <v>44165</v>
      </c>
      <c r="I1422" s="98">
        <v>22</v>
      </c>
      <c r="J1422" s="98">
        <v>22</v>
      </c>
      <c r="K1422" s="89">
        <f t="shared" si="60"/>
        <v>1</v>
      </c>
      <c r="L1422" s="89">
        <v>1026.87</v>
      </c>
      <c r="M1422" s="89">
        <v>3292.69</v>
      </c>
      <c r="N1422" s="89">
        <v>106.75</v>
      </c>
      <c r="O1422" s="89">
        <f t="shared" si="61"/>
        <v>4426.31</v>
      </c>
    </row>
    <row r="1423" spans="1:15">
      <c r="A1423" s="74" t="s">
        <v>113</v>
      </c>
      <c r="B1423" s="74" t="s">
        <v>196</v>
      </c>
      <c r="C1423" s="74" t="s">
        <v>197</v>
      </c>
      <c r="D1423" s="74" t="s">
        <v>79</v>
      </c>
      <c r="E1423" s="74" t="s">
        <v>81</v>
      </c>
      <c r="F1423" s="86" t="s">
        <v>176</v>
      </c>
      <c r="G1423" s="74" t="s">
        <v>177</v>
      </c>
      <c r="H1423" s="87">
        <v>44165</v>
      </c>
      <c r="I1423" s="98">
        <v>22</v>
      </c>
      <c r="J1423" s="98">
        <v>22</v>
      </c>
      <c r="K1423" s="89">
        <f t="shared" si="60"/>
        <v>1</v>
      </c>
      <c r="L1423" s="89">
        <v>3189.49</v>
      </c>
      <c r="M1423" s="89">
        <v>3102.1</v>
      </c>
      <c r="N1423" s="89">
        <v>303.17</v>
      </c>
      <c r="O1423" s="89">
        <f t="shared" si="61"/>
        <v>6594.76</v>
      </c>
    </row>
    <row r="1424" spans="1:15">
      <c r="A1424" s="74" t="s">
        <v>113</v>
      </c>
      <c r="B1424" s="74" t="s">
        <v>198</v>
      </c>
      <c r="C1424" s="74" t="s">
        <v>199</v>
      </c>
      <c r="D1424" s="74" t="s">
        <v>79</v>
      </c>
      <c r="E1424" s="74" t="s">
        <v>81</v>
      </c>
      <c r="F1424" s="86" t="s">
        <v>180</v>
      </c>
      <c r="G1424" s="74" t="s">
        <v>177</v>
      </c>
      <c r="H1424" s="87">
        <v>44165</v>
      </c>
      <c r="I1424" s="98">
        <v>22</v>
      </c>
      <c r="J1424" s="98">
        <v>22</v>
      </c>
      <c r="K1424" s="89">
        <f t="shared" si="60"/>
        <v>1</v>
      </c>
      <c r="L1424" s="89">
        <v>2070.16</v>
      </c>
      <c r="M1424" s="89">
        <v>3171.18</v>
      </c>
      <c r="N1424" s="89">
        <v>204.41</v>
      </c>
      <c r="O1424" s="89">
        <f t="shared" si="61"/>
        <v>5445.75</v>
      </c>
    </row>
    <row r="1425" spans="1:15">
      <c r="A1425" s="74" t="s">
        <v>113</v>
      </c>
      <c r="B1425" s="74" t="s">
        <v>200</v>
      </c>
      <c r="C1425" s="74" t="s">
        <v>201</v>
      </c>
      <c r="D1425" s="74" t="s">
        <v>79</v>
      </c>
      <c r="E1425" s="74" t="s">
        <v>81</v>
      </c>
      <c r="F1425" s="86" t="s">
        <v>183</v>
      </c>
      <c r="G1425" s="74" t="s">
        <v>177</v>
      </c>
      <c r="H1425" s="87">
        <v>44165</v>
      </c>
      <c r="I1425" s="98">
        <v>22</v>
      </c>
      <c r="J1425" s="98">
        <v>22</v>
      </c>
      <c r="K1425" s="89">
        <f t="shared" si="60"/>
        <v>1</v>
      </c>
      <c r="L1425" s="89">
        <v>1098.17</v>
      </c>
      <c r="M1425" s="89">
        <v>3206.58</v>
      </c>
      <c r="N1425" s="89">
        <v>106.01</v>
      </c>
      <c r="O1425" s="89">
        <f t="shared" si="61"/>
        <v>4410.76</v>
      </c>
    </row>
    <row r="1426" spans="1:15">
      <c r="A1426" s="74" t="s">
        <v>113</v>
      </c>
      <c r="B1426" s="74" t="s">
        <v>202</v>
      </c>
      <c r="C1426" s="74" t="s">
        <v>203</v>
      </c>
      <c r="D1426" s="74" t="s">
        <v>79</v>
      </c>
      <c r="E1426" s="74" t="s">
        <v>81</v>
      </c>
      <c r="F1426" s="86" t="s">
        <v>204</v>
      </c>
      <c r="G1426" s="74" t="s">
        <v>205</v>
      </c>
      <c r="H1426" s="87">
        <v>44165</v>
      </c>
      <c r="I1426" s="98">
        <v>22</v>
      </c>
      <c r="J1426" s="98">
        <v>22</v>
      </c>
      <c r="K1426" s="89">
        <f t="shared" si="60"/>
        <v>1</v>
      </c>
      <c r="L1426" s="89">
        <v>18822.79</v>
      </c>
      <c r="M1426" s="89">
        <v>3001.71</v>
      </c>
      <c r="N1426" s="89">
        <v>1950.07</v>
      </c>
      <c r="O1426" s="89">
        <f t="shared" si="61"/>
        <v>23774.57</v>
      </c>
    </row>
    <row r="1427" spans="1:15">
      <c r="A1427" s="74" t="s">
        <v>113</v>
      </c>
      <c r="B1427" s="74" t="s">
        <v>206</v>
      </c>
      <c r="C1427" s="74" t="s">
        <v>207</v>
      </c>
      <c r="D1427" s="88" t="s">
        <v>82</v>
      </c>
      <c r="E1427" s="88" t="s">
        <v>84</v>
      </c>
      <c r="F1427" s="86" t="s">
        <v>208</v>
      </c>
      <c r="G1427" s="74" t="s">
        <v>209</v>
      </c>
      <c r="H1427" s="87">
        <v>44165</v>
      </c>
      <c r="I1427" s="98">
        <v>22</v>
      </c>
      <c r="J1427" s="98">
        <v>22</v>
      </c>
      <c r="K1427" s="89">
        <f t="shared" si="60"/>
        <v>1</v>
      </c>
      <c r="L1427" s="89">
        <v>9240.03</v>
      </c>
      <c r="M1427" s="89">
        <v>3203.44</v>
      </c>
      <c r="N1427" s="89">
        <v>986.64</v>
      </c>
      <c r="O1427" s="89">
        <f t="shared" si="61"/>
        <v>13430.11</v>
      </c>
    </row>
    <row r="1428" spans="1:15">
      <c r="A1428" s="74" t="s">
        <v>113</v>
      </c>
      <c r="B1428" s="74" t="s">
        <v>210</v>
      </c>
      <c r="C1428" s="74" t="s">
        <v>211</v>
      </c>
      <c r="D1428" s="88" t="s">
        <v>82</v>
      </c>
      <c r="E1428" s="88" t="s">
        <v>84</v>
      </c>
      <c r="F1428" s="86" t="s">
        <v>116</v>
      </c>
      <c r="G1428" s="74" t="s">
        <v>209</v>
      </c>
      <c r="H1428" s="87">
        <v>44165</v>
      </c>
      <c r="I1428" s="98">
        <v>22</v>
      </c>
      <c r="J1428" s="98">
        <v>22</v>
      </c>
      <c r="K1428" s="89">
        <f t="shared" si="60"/>
        <v>1</v>
      </c>
      <c r="L1428" s="89">
        <v>8492.97</v>
      </c>
      <c r="M1428" s="89">
        <v>3089.95</v>
      </c>
      <c r="N1428" s="89">
        <v>870.76</v>
      </c>
      <c r="O1428" s="89">
        <f t="shared" si="61"/>
        <v>12453.68</v>
      </c>
    </row>
    <row r="1429" spans="1:15">
      <c r="A1429" s="74" t="s">
        <v>113</v>
      </c>
      <c r="B1429" s="74" t="s">
        <v>212</v>
      </c>
      <c r="C1429" s="74" t="s">
        <v>213</v>
      </c>
      <c r="D1429" s="88" t="s">
        <v>82</v>
      </c>
      <c r="E1429" s="88" t="s">
        <v>84</v>
      </c>
      <c r="F1429" s="86" t="s">
        <v>208</v>
      </c>
      <c r="G1429" s="74" t="s">
        <v>209</v>
      </c>
      <c r="H1429" s="87">
        <v>44165</v>
      </c>
      <c r="I1429" s="98">
        <v>22</v>
      </c>
      <c r="J1429" s="98">
        <v>22</v>
      </c>
      <c r="K1429" s="89">
        <f t="shared" si="60"/>
        <v>1</v>
      </c>
      <c r="L1429" s="89">
        <v>9095.94</v>
      </c>
      <c r="M1429" s="89">
        <v>3128.64</v>
      </c>
      <c r="N1429" s="89">
        <v>964.85</v>
      </c>
      <c r="O1429" s="89">
        <f t="shared" si="61"/>
        <v>13189.43</v>
      </c>
    </row>
    <row r="1430" spans="1:15">
      <c r="A1430" s="74" t="s">
        <v>113</v>
      </c>
      <c r="B1430" s="74" t="s">
        <v>214</v>
      </c>
      <c r="C1430" s="74" t="s">
        <v>215</v>
      </c>
      <c r="D1430" s="88" t="s">
        <v>82</v>
      </c>
      <c r="E1430" s="88" t="s">
        <v>84</v>
      </c>
      <c r="F1430" s="86" t="s">
        <v>116</v>
      </c>
      <c r="G1430" s="74" t="s">
        <v>209</v>
      </c>
      <c r="H1430" s="87">
        <v>44165</v>
      </c>
      <c r="I1430" s="98">
        <v>22</v>
      </c>
      <c r="J1430" s="98">
        <v>22</v>
      </c>
      <c r="K1430" s="89">
        <f t="shared" si="60"/>
        <v>1</v>
      </c>
      <c r="L1430" s="89">
        <v>8246.4</v>
      </c>
      <c r="M1430" s="89">
        <v>3242.39</v>
      </c>
      <c r="N1430" s="89">
        <v>878.66</v>
      </c>
      <c r="O1430" s="89">
        <f t="shared" si="61"/>
        <v>12367.45</v>
      </c>
    </row>
    <row r="1431" spans="1:15">
      <c r="A1431" s="74" t="s">
        <v>113</v>
      </c>
      <c r="B1431" s="74" t="s">
        <v>216</v>
      </c>
      <c r="C1431" s="74" t="s">
        <v>217</v>
      </c>
      <c r="D1431" s="88" t="s">
        <v>82</v>
      </c>
      <c r="E1431" s="88" t="s">
        <v>84</v>
      </c>
      <c r="F1431" s="86" t="s">
        <v>218</v>
      </c>
      <c r="G1431" s="74" t="s">
        <v>219</v>
      </c>
      <c r="H1431" s="87">
        <v>44165</v>
      </c>
      <c r="I1431" s="98">
        <v>22</v>
      </c>
      <c r="J1431" s="98">
        <v>22</v>
      </c>
      <c r="K1431" s="89">
        <f t="shared" si="60"/>
        <v>1</v>
      </c>
      <c r="L1431" s="89">
        <v>11348.75</v>
      </c>
      <c r="M1431" s="89">
        <v>3058.48</v>
      </c>
      <c r="N1431" s="89">
        <v>1115.91</v>
      </c>
      <c r="O1431" s="89">
        <f t="shared" si="61"/>
        <v>15523.14</v>
      </c>
    </row>
    <row r="1432" spans="1:15">
      <c r="A1432" s="74" t="s">
        <v>113</v>
      </c>
      <c r="B1432" s="74" t="s">
        <v>220</v>
      </c>
      <c r="C1432" s="74" t="s">
        <v>221</v>
      </c>
      <c r="D1432" s="88" t="s">
        <v>82</v>
      </c>
      <c r="E1432" s="74" t="s">
        <v>83</v>
      </c>
      <c r="F1432" s="86" t="s">
        <v>218</v>
      </c>
      <c r="G1432" s="74" t="s">
        <v>222</v>
      </c>
      <c r="H1432" s="87">
        <v>44165</v>
      </c>
      <c r="I1432" s="98">
        <v>22</v>
      </c>
      <c r="J1432" s="98">
        <v>22</v>
      </c>
      <c r="K1432" s="89">
        <f t="shared" si="60"/>
        <v>1</v>
      </c>
      <c r="L1432" s="89">
        <v>11984.33</v>
      </c>
      <c r="M1432" s="89">
        <v>3005.73</v>
      </c>
      <c r="N1432" s="89">
        <v>1198.35</v>
      </c>
      <c r="O1432" s="89">
        <f t="shared" si="61"/>
        <v>16188.41</v>
      </c>
    </row>
    <row r="1433" spans="1:15">
      <c r="A1433" s="74" t="s">
        <v>113</v>
      </c>
      <c r="B1433" s="74" t="s">
        <v>223</v>
      </c>
      <c r="C1433" s="74" t="s">
        <v>224</v>
      </c>
      <c r="D1433" s="88" t="s">
        <v>82</v>
      </c>
      <c r="E1433" s="74" t="s">
        <v>83</v>
      </c>
      <c r="F1433" s="86" t="s">
        <v>225</v>
      </c>
      <c r="G1433" s="74" t="s">
        <v>209</v>
      </c>
      <c r="H1433" s="87">
        <v>44165</v>
      </c>
      <c r="I1433" s="98">
        <v>22</v>
      </c>
      <c r="J1433" s="98">
        <v>22</v>
      </c>
      <c r="K1433" s="89">
        <f t="shared" si="60"/>
        <v>1</v>
      </c>
      <c r="L1433" s="89">
        <v>10872.07</v>
      </c>
      <c r="M1433" s="89">
        <v>3290.28</v>
      </c>
      <c r="N1433" s="89">
        <v>1049.15</v>
      </c>
      <c r="O1433" s="89">
        <f t="shared" si="61"/>
        <v>15211.5</v>
      </c>
    </row>
    <row r="1434" spans="1:15">
      <c r="A1434" s="74" t="s">
        <v>113</v>
      </c>
      <c r="B1434" s="74" t="s">
        <v>226</v>
      </c>
      <c r="C1434" s="74" t="s">
        <v>227</v>
      </c>
      <c r="D1434" s="88" t="s">
        <v>82</v>
      </c>
      <c r="E1434" s="74" t="s">
        <v>83</v>
      </c>
      <c r="F1434" s="86" t="s">
        <v>208</v>
      </c>
      <c r="G1434" s="74" t="s">
        <v>209</v>
      </c>
      <c r="H1434" s="87">
        <v>44165</v>
      </c>
      <c r="I1434" s="98">
        <v>22</v>
      </c>
      <c r="J1434" s="98">
        <v>22</v>
      </c>
      <c r="K1434" s="89">
        <f t="shared" si="60"/>
        <v>1</v>
      </c>
      <c r="L1434" s="89">
        <v>9516.12</v>
      </c>
      <c r="M1434" s="89">
        <v>3249.14</v>
      </c>
      <c r="N1434" s="89">
        <v>932.55</v>
      </c>
      <c r="O1434" s="89">
        <f t="shared" si="61"/>
        <v>13697.81</v>
      </c>
    </row>
    <row r="1435" spans="1:15">
      <c r="A1435" s="74" t="s">
        <v>113</v>
      </c>
      <c r="B1435" s="74" t="s">
        <v>228</v>
      </c>
      <c r="C1435" s="74" t="s">
        <v>229</v>
      </c>
      <c r="D1435" s="88" t="s">
        <v>82</v>
      </c>
      <c r="E1435" s="74" t="s">
        <v>83</v>
      </c>
      <c r="F1435" s="86" t="s">
        <v>116</v>
      </c>
      <c r="G1435" s="74" t="s">
        <v>209</v>
      </c>
      <c r="H1435" s="87">
        <v>44165</v>
      </c>
      <c r="I1435" s="98">
        <v>22</v>
      </c>
      <c r="J1435" s="98">
        <v>22</v>
      </c>
      <c r="K1435" s="89">
        <f t="shared" si="60"/>
        <v>1</v>
      </c>
      <c r="L1435" s="89">
        <v>8376.56</v>
      </c>
      <c r="M1435" s="89">
        <v>3079.46</v>
      </c>
      <c r="N1435" s="89">
        <v>821.79</v>
      </c>
      <c r="O1435" s="89">
        <f t="shared" si="61"/>
        <v>12277.81</v>
      </c>
    </row>
    <row r="1436" spans="1:15">
      <c r="A1436" s="74" t="s">
        <v>113</v>
      </c>
      <c r="B1436" s="74" t="s">
        <v>230</v>
      </c>
      <c r="C1436" s="74" t="s">
        <v>231</v>
      </c>
      <c r="D1436" s="88" t="s">
        <v>82</v>
      </c>
      <c r="E1436" s="74" t="s">
        <v>83</v>
      </c>
      <c r="F1436" s="86" t="s">
        <v>120</v>
      </c>
      <c r="G1436" s="74" t="s">
        <v>209</v>
      </c>
      <c r="H1436" s="87">
        <v>44165</v>
      </c>
      <c r="I1436" s="98">
        <v>22</v>
      </c>
      <c r="J1436" s="98">
        <v>22</v>
      </c>
      <c r="K1436" s="89">
        <f t="shared" si="60"/>
        <v>1</v>
      </c>
      <c r="L1436" s="89">
        <v>7449.56</v>
      </c>
      <c r="M1436" s="89">
        <v>3100.75</v>
      </c>
      <c r="N1436" s="89">
        <v>709.23</v>
      </c>
      <c r="O1436" s="89">
        <f t="shared" si="61"/>
        <v>11259.54</v>
      </c>
    </row>
    <row r="1437" spans="1:15">
      <c r="A1437" s="74" t="s">
        <v>113</v>
      </c>
      <c r="B1437" s="74" t="s">
        <v>232</v>
      </c>
      <c r="C1437" s="74" t="s">
        <v>233</v>
      </c>
      <c r="D1437" s="88" t="s">
        <v>82</v>
      </c>
      <c r="E1437" s="74" t="s">
        <v>83</v>
      </c>
      <c r="F1437" s="86" t="s">
        <v>123</v>
      </c>
      <c r="G1437" s="74" t="s">
        <v>209</v>
      </c>
      <c r="H1437" s="87">
        <v>44165</v>
      </c>
      <c r="I1437" s="98">
        <v>22</v>
      </c>
      <c r="J1437" s="98">
        <v>22</v>
      </c>
      <c r="K1437" s="89">
        <f t="shared" si="60"/>
        <v>1</v>
      </c>
      <c r="L1437" s="89">
        <v>6410.69</v>
      </c>
      <c r="M1437" s="89">
        <v>3036.27</v>
      </c>
      <c r="N1437" s="89">
        <v>606.35</v>
      </c>
      <c r="O1437" s="89">
        <f t="shared" si="61"/>
        <v>10053.31</v>
      </c>
    </row>
    <row r="1438" spans="1:15">
      <c r="A1438" s="74" t="s">
        <v>113</v>
      </c>
      <c r="B1438" s="74" t="s">
        <v>234</v>
      </c>
      <c r="C1438" s="74" t="s">
        <v>235</v>
      </c>
      <c r="D1438" s="88" t="s">
        <v>82</v>
      </c>
      <c r="E1438" s="74" t="s">
        <v>83</v>
      </c>
      <c r="F1438" s="86" t="s">
        <v>116</v>
      </c>
      <c r="G1438" s="74" t="s">
        <v>209</v>
      </c>
      <c r="H1438" s="87">
        <v>44165</v>
      </c>
      <c r="I1438" s="98">
        <v>22</v>
      </c>
      <c r="J1438" s="98">
        <v>22</v>
      </c>
      <c r="K1438" s="89">
        <f t="shared" si="60"/>
        <v>1</v>
      </c>
      <c r="L1438" s="89">
        <v>8543.14</v>
      </c>
      <c r="M1438" s="89">
        <v>3199.99</v>
      </c>
      <c r="N1438" s="89">
        <v>875.61</v>
      </c>
      <c r="O1438" s="89">
        <f t="shared" si="61"/>
        <v>12618.74</v>
      </c>
    </row>
    <row r="1439" spans="1:15">
      <c r="A1439" s="74" t="s">
        <v>113</v>
      </c>
      <c r="B1439" s="74" t="s">
        <v>236</v>
      </c>
      <c r="C1439" s="74" t="s">
        <v>237</v>
      </c>
      <c r="D1439" s="88" t="s">
        <v>82</v>
      </c>
      <c r="E1439" s="74" t="s">
        <v>83</v>
      </c>
      <c r="F1439" s="86" t="s">
        <v>120</v>
      </c>
      <c r="G1439" s="74" t="s">
        <v>209</v>
      </c>
      <c r="H1439" s="87">
        <v>44165</v>
      </c>
      <c r="I1439" s="98">
        <v>22</v>
      </c>
      <c r="J1439" s="98">
        <v>22</v>
      </c>
      <c r="K1439" s="89">
        <f t="shared" si="60"/>
        <v>1</v>
      </c>
      <c r="L1439" s="89">
        <v>7500.02</v>
      </c>
      <c r="M1439" s="89">
        <v>3286.29</v>
      </c>
      <c r="N1439" s="89">
        <v>725.05</v>
      </c>
      <c r="O1439" s="89">
        <f t="shared" si="61"/>
        <v>11511.36</v>
      </c>
    </row>
    <row r="1440" spans="1:15">
      <c r="A1440" s="74" t="s">
        <v>113</v>
      </c>
      <c r="B1440" s="74" t="s">
        <v>238</v>
      </c>
      <c r="C1440" s="74" t="s">
        <v>239</v>
      </c>
      <c r="D1440" s="74" t="s">
        <v>86</v>
      </c>
      <c r="E1440" s="74" t="s">
        <v>87</v>
      </c>
      <c r="F1440" s="86" t="s">
        <v>204</v>
      </c>
      <c r="G1440" s="74" t="s">
        <v>240</v>
      </c>
      <c r="H1440" s="87">
        <v>44165</v>
      </c>
      <c r="I1440" s="98">
        <v>22</v>
      </c>
      <c r="J1440" s="98">
        <v>22</v>
      </c>
      <c r="K1440" s="89">
        <f t="shared" si="60"/>
        <v>1</v>
      </c>
      <c r="L1440" s="89">
        <v>14435.6</v>
      </c>
      <c r="M1440" s="89">
        <v>3292.55</v>
      </c>
      <c r="N1440" s="89">
        <v>1813.86</v>
      </c>
      <c r="O1440" s="89">
        <f t="shared" si="61"/>
        <v>19542.01</v>
      </c>
    </row>
    <row r="1441" spans="1:15">
      <c r="A1441" s="74" t="s">
        <v>113</v>
      </c>
      <c r="B1441" s="74" t="s">
        <v>241</v>
      </c>
      <c r="C1441" s="74" t="s">
        <v>242</v>
      </c>
      <c r="D1441" s="74" t="s">
        <v>86</v>
      </c>
      <c r="E1441" s="74" t="s">
        <v>87</v>
      </c>
      <c r="F1441" s="86" t="s">
        <v>243</v>
      </c>
      <c r="G1441" s="74" t="s">
        <v>244</v>
      </c>
      <c r="H1441" s="87">
        <v>44165</v>
      </c>
      <c r="I1441" s="98">
        <v>22</v>
      </c>
      <c r="J1441" s="98">
        <v>22</v>
      </c>
      <c r="K1441" s="89">
        <f t="shared" si="60"/>
        <v>1</v>
      </c>
      <c r="L1441" s="89">
        <v>10848.37</v>
      </c>
      <c r="M1441" s="89">
        <v>3177.48</v>
      </c>
      <c r="N1441" s="89">
        <v>1330.78</v>
      </c>
      <c r="O1441" s="89">
        <f t="shared" si="61"/>
        <v>15356.63</v>
      </c>
    </row>
    <row r="1442" spans="1:15">
      <c r="A1442" s="74" t="s">
        <v>113</v>
      </c>
      <c r="B1442" s="74" t="s">
        <v>245</v>
      </c>
      <c r="C1442" s="74" t="s">
        <v>246</v>
      </c>
      <c r="D1442" s="74" t="s">
        <v>86</v>
      </c>
      <c r="E1442" s="74" t="s">
        <v>87</v>
      </c>
      <c r="F1442" s="86" t="s">
        <v>247</v>
      </c>
      <c r="G1442" s="74" t="s">
        <v>248</v>
      </c>
      <c r="H1442" s="87">
        <v>44165</v>
      </c>
      <c r="I1442" s="98">
        <v>22</v>
      </c>
      <c r="J1442" s="98">
        <v>22</v>
      </c>
      <c r="K1442" s="89">
        <f t="shared" si="60"/>
        <v>1</v>
      </c>
      <c r="L1442" s="89">
        <v>10138.94</v>
      </c>
      <c r="M1442" s="89">
        <v>3130.01</v>
      </c>
      <c r="N1442" s="89">
        <v>1244.9</v>
      </c>
      <c r="O1442" s="89">
        <f t="shared" si="61"/>
        <v>14513.85</v>
      </c>
    </row>
    <row r="1443" spans="1:15">
      <c r="A1443" s="74" t="s">
        <v>113</v>
      </c>
      <c r="B1443" s="74" t="s">
        <v>249</v>
      </c>
      <c r="C1443" s="74" t="s">
        <v>250</v>
      </c>
      <c r="D1443" s="74" t="s">
        <v>86</v>
      </c>
      <c r="E1443" s="74" t="s">
        <v>87</v>
      </c>
      <c r="F1443" s="86" t="s">
        <v>251</v>
      </c>
      <c r="G1443" s="74" t="s">
        <v>252</v>
      </c>
      <c r="H1443" s="87">
        <v>44165</v>
      </c>
      <c r="I1443" s="98">
        <v>22</v>
      </c>
      <c r="J1443" s="98">
        <v>22</v>
      </c>
      <c r="K1443" s="89">
        <f t="shared" si="60"/>
        <v>1</v>
      </c>
      <c r="L1443" s="89">
        <v>9263.72</v>
      </c>
      <c r="M1443" s="89">
        <v>3042.39</v>
      </c>
      <c r="N1443" s="89">
        <v>1151.04</v>
      </c>
      <c r="O1443" s="89">
        <f t="shared" si="61"/>
        <v>13457.15</v>
      </c>
    </row>
    <row r="1444" spans="1:15">
      <c r="A1444" s="74" t="s">
        <v>113</v>
      </c>
      <c r="B1444" s="74" t="s">
        <v>253</v>
      </c>
      <c r="C1444" s="74" t="s">
        <v>254</v>
      </c>
      <c r="D1444" s="74" t="s">
        <v>86</v>
      </c>
      <c r="E1444" s="74" t="s">
        <v>87</v>
      </c>
      <c r="F1444" s="86" t="s">
        <v>255</v>
      </c>
      <c r="G1444" s="74" t="s">
        <v>252</v>
      </c>
      <c r="H1444" s="87">
        <v>44165</v>
      </c>
      <c r="I1444" s="98">
        <v>22</v>
      </c>
      <c r="J1444" s="98">
        <v>22</v>
      </c>
      <c r="K1444" s="89">
        <f t="shared" si="60"/>
        <v>1</v>
      </c>
      <c r="L1444" s="89">
        <v>8243.34</v>
      </c>
      <c r="M1444" s="89">
        <v>3057.59</v>
      </c>
      <c r="N1444" s="89">
        <v>1007.54</v>
      </c>
      <c r="O1444" s="89">
        <f t="shared" si="61"/>
        <v>12308.47</v>
      </c>
    </row>
    <row r="1445" spans="1:15">
      <c r="A1445" s="74" t="s">
        <v>113</v>
      </c>
      <c r="B1445" s="74" t="s">
        <v>256</v>
      </c>
      <c r="C1445" s="74" t="s">
        <v>257</v>
      </c>
      <c r="D1445" s="74" t="s">
        <v>86</v>
      </c>
      <c r="E1445" s="74" t="s">
        <v>87</v>
      </c>
      <c r="F1445" s="86" t="s">
        <v>258</v>
      </c>
      <c r="G1445" s="74" t="s">
        <v>252</v>
      </c>
      <c r="H1445" s="87">
        <v>44165</v>
      </c>
      <c r="I1445" s="98">
        <v>22</v>
      </c>
      <c r="J1445" s="98">
        <v>22</v>
      </c>
      <c r="K1445" s="89">
        <f t="shared" si="60"/>
        <v>1</v>
      </c>
      <c r="L1445" s="89">
        <v>7915.91</v>
      </c>
      <c r="M1445" s="89">
        <v>3212.67</v>
      </c>
      <c r="N1445" s="89">
        <v>917.7</v>
      </c>
      <c r="O1445" s="89">
        <f t="shared" si="61"/>
        <v>12046.28</v>
      </c>
    </row>
    <row r="1446" spans="1:15">
      <c r="A1446" s="74" t="s">
        <v>113</v>
      </c>
      <c r="B1446" s="74" t="s">
        <v>259</v>
      </c>
      <c r="C1446" s="74" t="s">
        <v>260</v>
      </c>
      <c r="D1446" s="74" t="s">
        <v>86</v>
      </c>
      <c r="E1446" s="74" t="s">
        <v>87</v>
      </c>
      <c r="F1446" s="86" t="s">
        <v>261</v>
      </c>
      <c r="G1446" s="74" t="s">
        <v>262</v>
      </c>
      <c r="H1446" s="87">
        <v>44165</v>
      </c>
      <c r="I1446" s="98">
        <v>22</v>
      </c>
      <c r="J1446" s="98">
        <v>22</v>
      </c>
      <c r="K1446" s="89">
        <f t="shared" si="60"/>
        <v>1</v>
      </c>
      <c r="L1446" s="89">
        <v>6885.46</v>
      </c>
      <c r="M1446" s="89">
        <v>3183.95</v>
      </c>
      <c r="N1446" s="89">
        <v>872.36</v>
      </c>
      <c r="O1446" s="89">
        <f t="shared" si="61"/>
        <v>10941.77</v>
      </c>
    </row>
    <row r="1447" spans="1:15">
      <c r="A1447" s="74" t="s">
        <v>113</v>
      </c>
      <c r="B1447" s="74" t="s">
        <v>263</v>
      </c>
      <c r="C1447" s="74" t="s">
        <v>264</v>
      </c>
      <c r="D1447" s="74" t="s">
        <v>86</v>
      </c>
      <c r="E1447" s="74" t="s">
        <v>88</v>
      </c>
      <c r="F1447" s="86" t="s">
        <v>149</v>
      </c>
      <c r="G1447" s="74" t="s">
        <v>265</v>
      </c>
      <c r="H1447" s="87">
        <v>44165</v>
      </c>
      <c r="I1447" s="98">
        <v>22</v>
      </c>
      <c r="J1447" s="98">
        <v>22</v>
      </c>
      <c r="K1447" s="89">
        <f t="shared" si="60"/>
        <v>1</v>
      </c>
      <c r="L1447" s="89">
        <v>14957.21</v>
      </c>
      <c r="M1447" s="89">
        <v>3157.69</v>
      </c>
      <c r="N1447" s="89">
        <v>1781.41</v>
      </c>
      <c r="O1447" s="89">
        <f t="shared" si="61"/>
        <v>19896.31</v>
      </c>
    </row>
    <row r="1448" spans="1:15">
      <c r="A1448" s="74" t="s">
        <v>113</v>
      </c>
      <c r="B1448" s="74" t="s">
        <v>266</v>
      </c>
      <c r="C1448" s="74" t="s">
        <v>267</v>
      </c>
      <c r="D1448" s="74" t="s">
        <v>86</v>
      </c>
      <c r="E1448" s="74" t="s">
        <v>88</v>
      </c>
      <c r="F1448" s="86" t="s">
        <v>243</v>
      </c>
      <c r="G1448" s="74" t="s">
        <v>268</v>
      </c>
      <c r="H1448" s="87">
        <v>44165</v>
      </c>
      <c r="I1448" s="98">
        <v>22</v>
      </c>
      <c r="J1448" s="98">
        <v>22</v>
      </c>
      <c r="K1448" s="89">
        <f t="shared" si="60"/>
        <v>1</v>
      </c>
      <c r="L1448" s="89">
        <v>11258.67</v>
      </c>
      <c r="M1448" s="89">
        <v>3012.29</v>
      </c>
      <c r="N1448" s="89">
        <v>1365.13</v>
      </c>
      <c r="O1448" s="89">
        <f t="shared" si="61"/>
        <v>15636.09</v>
      </c>
    </row>
    <row r="1449" spans="1:15">
      <c r="A1449" s="74" t="s">
        <v>113</v>
      </c>
      <c r="B1449" s="74" t="s">
        <v>269</v>
      </c>
      <c r="C1449" s="74" t="s">
        <v>270</v>
      </c>
      <c r="D1449" s="74" t="s">
        <v>86</v>
      </c>
      <c r="E1449" s="74" t="s">
        <v>88</v>
      </c>
      <c r="F1449" s="86" t="s">
        <v>247</v>
      </c>
      <c r="G1449" s="74" t="s">
        <v>268</v>
      </c>
      <c r="H1449" s="87">
        <v>44165</v>
      </c>
      <c r="I1449" s="98">
        <v>22</v>
      </c>
      <c r="J1449" s="98">
        <v>22</v>
      </c>
      <c r="K1449" s="89">
        <f t="shared" si="60"/>
        <v>1</v>
      </c>
      <c r="L1449" s="89">
        <v>10298.02</v>
      </c>
      <c r="M1449" s="89">
        <v>3148.4</v>
      </c>
      <c r="N1449" s="89">
        <v>1309.34</v>
      </c>
      <c r="O1449" s="89">
        <f t="shared" si="61"/>
        <v>14755.76</v>
      </c>
    </row>
    <row r="1450" spans="1:15">
      <c r="A1450" s="74" t="s">
        <v>113</v>
      </c>
      <c r="B1450" s="74" t="s">
        <v>271</v>
      </c>
      <c r="C1450" s="74" t="s">
        <v>272</v>
      </c>
      <c r="D1450" s="74" t="s">
        <v>86</v>
      </c>
      <c r="E1450" s="74" t="s">
        <v>88</v>
      </c>
      <c r="F1450" s="86" t="s">
        <v>251</v>
      </c>
      <c r="G1450" s="74" t="s">
        <v>268</v>
      </c>
      <c r="H1450" s="87">
        <v>44165</v>
      </c>
      <c r="I1450" s="98">
        <v>22</v>
      </c>
      <c r="J1450" s="98">
        <v>22</v>
      </c>
      <c r="K1450" s="89">
        <f t="shared" si="60"/>
        <v>1</v>
      </c>
      <c r="L1450" s="89">
        <v>9513.72</v>
      </c>
      <c r="M1450" s="89">
        <v>3290.66</v>
      </c>
      <c r="N1450" s="89">
        <v>1154.14</v>
      </c>
      <c r="O1450" s="89">
        <f t="shared" si="61"/>
        <v>13958.52</v>
      </c>
    </row>
    <row r="1451" spans="1:15">
      <c r="A1451" s="74" t="s">
        <v>113</v>
      </c>
      <c r="B1451" s="74" t="s">
        <v>273</v>
      </c>
      <c r="C1451" s="74" t="s">
        <v>274</v>
      </c>
      <c r="D1451" s="74" t="s">
        <v>86</v>
      </c>
      <c r="E1451" s="74" t="s">
        <v>88</v>
      </c>
      <c r="F1451" s="86" t="s">
        <v>255</v>
      </c>
      <c r="G1451" s="74" t="s">
        <v>268</v>
      </c>
      <c r="H1451" s="87">
        <v>44165</v>
      </c>
      <c r="I1451" s="98">
        <v>22</v>
      </c>
      <c r="J1451" s="98">
        <v>22</v>
      </c>
      <c r="K1451" s="89">
        <f t="shared" si="60"/>
        <v>1</v>
      </c>
      <c r="L1451" s="89">
        <v>8066.4</v>
      </c>
      <c r="M1451" s="89">
        <v>3065.7</v>
      </c>
      <c r="N1451" s="89">
        <v>1086.89</v>
      </c>
      <c r="O1451" s="89">
        <f t="shared" si="61"/>
        <v>12218.99</v>
      </c>
    </row>
    <row r="1452" spans="1:15">
      <c r="A1452" s="74" t="s">
        <v>113</v>
      </c>
      <c r="B1452" s="74" t="s">
        <v>275</v>
      </c>
      <c r="C1452" s="74" t="s">
        <v>276</v>
      </c>
      <c r="D1452" s="74" t="s">
        <v>86</v>
      </c>
      <c r="E1452" s="74" t="s">
        <v>88</v>
      </c>
      <c r="F1452" s="86" t="s">
        <v>258</v>
      </c>
      <c r="G1452" s="74" t="s">
        <v>268</v>
      </c>
      <c r="H1452" s="87">
        <v>44165</v>
      </c>
      <c r="I1452" s="98">
        <v>22</v>
      </c>
      <c r="J1452" s="98">
        <v>22</v>
      </c>
      <c r="K1452" s="89">
        <f t="shared" si="60"/>
        <v>1</v>
      </c>
      <c r="L1452" s="89">
        <v>7498.47</v>
      </c>
      <c r="M1452" s="89">
        <v>3098.85</v>
      </c>
      <c r="N1452" s="89">
        <v>953.05</v>
      </c>
      <c r="O1452" s="89">
        <f t="shared" si="61"/>
        <v>11550.37</v>
      </c>
    </row>
    <row r="1453" spans="1:15">
      <c r="A1453" s="74" t="s">
        <v>113</v>
      </c>
      <c r="B1453" s="74" t="s">
        <v>277</v>
      </c>
      <c r="C1453" s="74" t="s">
        <v>278</v>
      </c>
      <c r="D1453" s="74" t="s">
        <v>86</v>
      </c>
      <c r="E1453" s="74" t="s">
        <v>89</v>
      </c>
      <c r="F1453" s="86" t="s">
        <v>279</v>
      </c>
      <c r="G1453" s="74" t="s">
        <v>280</v>
      </c>
      <c r="H1453" s="87">
        <v>44165</v>
      </c>
      <c r="I1453" s="98">
        <v>22</v>
      </c>
      <c r="J1453" s="98">
        <v>22</v>
      </c>
      <c r="K1453" s="89">
        <f t="shared" si="60"/>
        <v>1</v>
      </c>
      <c r="L1453" s="89">
        <v>12193.87</v>
      </c>
      <c r="M1453" s="89">
        <v>3295.32</v>
      </c>
      <c r="N1453" s="89">
        <v>1551.31</v>
      </c>
      <c r="O1453" s="89">
        <f t="shared" si="61"/>
        <v>17040.5</v>
      </c>
    </row>
    <row r="1454" spans="1:15">
      <c r="A1454" s="74" t="s">
        <v>113</v>
      </c>
      <c r="B1454" s="74" t="s">
        <v>281</v>
      </c>
      <c r="C1454" s="74" t="s">
        <v>282</v>
      </c>
      <c r="D1454" s="74" t="s">
        <v>86</v>
      </c>
      <c r="E1454" s="74" t="s">
        <v>89</v>
      </c>
      <c r="F1454" s="86" t="s">
        <v>225</v>
      </c>
      <c r="G1454" s="74" t="s">
        <v>283</v>
      </c>
      <c r="H1454" s="87">
        <v>44165</v>
      </c>
      <c r="I1454" s="98">
        <v>22</v>
      </c>
      <c r="J1454" s="98">
        <v>22</v>
      </c>
      <c r="K1454" s="89">
        <f t="shared" si="60"/>
        <v>1</v>
      </c>
      <c r="L1454" s="89">
        <v>8762.09</v>
      </c>
      <c r="M1454" s="89">
        <v>3045.2</v>
      </c>
      <c r="N1454" s="89">
        <v>1077.97</v>
      </c>
      <c r="O1454" s="89">
        <f t="shared" si="61"/>
        <v>12885.26</v>
      </c>
    </row>
    <row r="1455" spans="1:15">
      <c r="A1455" s="74" t="s">
        <v>113</v>
      </c>
      <c r="B1455" s="74" t="s">
        <v>284</v>
      </c>
      <c r="C1455" s="74" t="s">
        <v>285</v>
      </c>
      <c r="D1455" s="74" t="s">
        <v>86</v>
      </c>
      <c r="E1455" s="74" t="s">
        <v>89</v>
      </c>
      <c r="F1455" s="86" t="s">
        <v>208</v>
      </c>
      <c r="G1455" s="74" t="s">
        <v>283</v>
      </c>
      <c r="H1455" s="87">
        <v>44165</v>
      </c>
      <c r="I1455" s="98">
        <v>22</v>
      </c>
      <c r="J1455" s="98">
        <v>22</v>
      </c>
      <c r="K1455" s="89">
        <f t="shared" si="60"/>
        <v>1</v>
      </c>
      <c r="L1455" s="89">
        <v>7638.89</v>
      </c>
      <c r="M1455" s="89">
        <v>3147.97</v>
      </c>
      <c r="N1455" s="89">
        <v>903.28</v>
      </c>
      <c r="O1455" s="89">
        <f t="shared" si="61"/>
        <v>11690.14</v>
      </c>
    </row>
    <row r="1456" spans="1:15">
      <c r="A1456" s="74" t="s">
        <v>113</v>
      </c>
      <c r="B1456" s="74" t="s">
        <v>286</v>
      </c>
      <c r="C1456" s="74" t="s">
        <v>287</v>
      </c>
      <c r="D1456" s="74" t="s">
        <v>82</v>
      </c>
      <c r="E1456" s="88" t="s">
        <v>85</v>
      </c>
      <c r="F1456" s="86" t="s">
        <v>288</v>
      </c>
      <c r="G1456" s="74" t="s">
        <v>289</v>
      </c>
      <c r="H1456" s="87">
        <v>44165</v>
      </c>
      <c r="I1456" s="98">
        <v>22</v>
      </c>
      <c r="J1456" s="98">
        <v>22</v>
      </c>
      <c r="K1456" s="89">
        <f t="shared" ref="K1456:K1464" si="62">I1456/J1456</f>
        <v>1</v>
      </c>
      <c r="L1456" s="89">
        <v>12357.42</v>
      </c>
      <c r="M1456" s="89">
        <v>3095.64</v>
      </c>
      <c r="N1456" s="89">
        <v>1310.78</v>
      </c>
      <c r="O1456" s="89">
        <f t="shared" si="61"/>
        <v>16763.84</v>
      </c>
    </row>
    <row r="1457" spans="1:15">
      <c r="A1457" s="74" t="s">
        <v>113</v>
      </c>
      <c r="B1457" s="74" t="s">
        <v>290</v>
      </c>
      <c r="C1457" s="74" t="s">
        <v>291</v>
      </c>
      <c r="D1457" s="74" t="s">
        <v>82</v>
      </c>
      <c r="E1457" s="88" t="s">
        <v>85</v>
      </c>
      <c r="F1457" s="86" t="s">
        <v>218</v>
      </c>
      <c r="G1457" s="74" t="s">
        <v>289</v>
      </c>
      <c r="H1457" s="87">
        <v>44165</v>
      </c>
      <c r="I1457" s="98">
        <v>22</v>
      </c>
      <c r="J1457" s="98">
        <v>22</v>
      </c>
      <c r="K1457" s="89">
        <f t="shared" si="62"/>
        <v>1</v>
      </c>
      <c r="L1457" s="89">
        <v>11181.38</v>
      </c>
      <c r="M1457" s="89">
        <v>3162.91</v>
      </c>
      <c r="N1457" s="89">
        <v>1206.09</v>
      </c>
      <c r="O1457" s="89">
        <f t="shared" si="61"/>
        <v>15550.38</v>
      </c>
    </row>
    <row r="1458" spans="1:15">
      <c r="A1458" s="74" t="s">
        <v>113</v>
      </c>
      <c r="B1458" s="74" t="s">
        <v>292</v>
      </c>
      <c r="C1458" s="74" t="s">
        <v>293</v>
      </c>
      <c r="D1458" s="74" t="s">
        <v>82</v>
      </c>
      <c r="E1458" s="88" t="s">
        <v>85</v>
      </c>
      <c r="F1458" s="86" t="s">
        <v>225</v>
      </c>
      <c r="G1458" s="74" t="s">
        <v>289</v>
      </c>
      <c r="H1458" s="87">
        <v>44165</v>
      </c>
      <c r="I1458" s="98">
        <v>22</v>
      </c>
      <c r="J1458" s="98">
        <v>22</v>
      </c>
      <c r="K1458" s="89">
        <f t="shared" si="62"/>
        <v>1</v>
      </c>
      <c r="L1458" s="89">
        <v>10175.83</v>
      </c>
      <c r="M1458" s="89">
        <v>3071.16</v>
      </c>
      <c r="N1458" s="89">
        <v>1033.03</v>
      </c>
      <c r="O1458" s="89">
        <f t="shared" si="61"/>
        <v>14280.02</v>
      </c>
    </row>
    <row r="1459" spans="1:15">
      <c r="A1459" s="74" t="s">
        <v>113</v>
      </c>
      <c r="B1459" s="74" t="s">
        <v>294</v>
      </c>
      <c r="C1459" s="74" t="s">
        <v>295</v>
      </c>
      <c r="D1459" s="74" t="s">
        <v>82</v>
      </c>
      <c r="E1459" s="88" t="s">
        <v>85</v>
      </c>
      <c r="F1459" s="86" t="s">
        <v>208</v>
      </c>
      <c r="G1459" s="74" t="s">
        <v>289</v>
      </c>
      <c r="H1459" s="87">
        <v>44165</v>
      </c>
      <c r="I1459" s="98">
        <v>22</v>
      </c>
      <c r="J1459" s="98">
        <v>22</v>
      </c>
      <c r="K1459" s="89">
        <f t="shared" si="62"/>
        <v>1</v>
      </c>
      <c r="L1459" s="89">
        <v>9041.91</v>
      </c>
      <c r="M1459" s="89">
        <v>3003.63</v>
      </c>
      <c r="N1459" s="89">
        <v>919.37</v>
      </c>
      <c r="O1459" s="89">
        <f t="shared" si="61"/>
        <v>12964.91</v>
      </c>
    </row>
    <row r="1460" spans="1:15">
      <c r="A1460" s="74" t="s">
        <v>113</v>
      </c>
      <c r="B1460" s="74" t="s">
        <v>296</v>
      </c>
      <c r="C1460" s="74" t="s">
        <v>297</v>
      </c>
      <c r="D1460" s="74" t="s">
        <v>82</v>
      </c>
      <c r="E1460" s="88" t="s">
        <v>85</v>
      </c>
      <c r="F1460" s="86" t="s">
        <v>116</v>
      </c>
      <c r="G1460" s="74" t="s">
        <v>289</v>
      </c>
      <c r="H1460" s="87">
        <v>44165</v>
      </c>
      <c r="I1460" s="98">
        <v>22</v>
      </c>
      <c r="J1460" s="98">
        <v>22</v>
      </c>
      <c r="K1460" s="89">
        <f t="shared" si="62"/>
        <v>1</v>
      </c>
      <c r="L1460" s="89">
        <v>8143.15</v>
      </c>
      <c r="M1460" s="89">
        <v>3264.5</v>
      </c>
      <c r="N1460" s="89">
        <v>862.25</v>
      </c>
      <c r="O1460" s="89">
        <f t="shared" si="61"/>
        <v>12269.9</v>
      </c>
    </row>
    <row r="1461" spans="1:15">
      <c r="A1461" s="74" t="s">
        <v>113</v>
      </c>
      <c r="B1461" s="74" t="s">
        <v>298</v>
      </c>
      <c r="C1461" s="74" t="s">
        <v>299</v>
      </c>
      <c r="D1461" s="74" t="s">
        <v>82</v>
      </c>
      <c r="E1461" s="88" t="s">
        <v>85</v>
      </c>
      <c r="F1461" s="86" t="s">
        <v>279</v>
      </c>
      <c r="G1461" s="74" t="s">
        <v>300</v>
      </c>
      <c r="H1461" s="87">
        <v>44165</v>
      </c>
      <c r="I1461" s="98">
        <v>22</v>
      </c>
      <c r="J1461" s="98">
        <v>22</v>
      </c>
      <c r="K1461" s="89">
        <f t="shared" si="62"/>
        <v>1</v>
      </c>
      <c r="L1461" s="89">
        <v>15203.59</v>
      </c>
      <c r="M1461" s="89">
        <v>3286.38</v>
      </c>
      <c r="N1461" s="89">
        <v>1541.91</v>
      </c>
      <c r="O1461" s="89">
        <f t="shared" si="61"/>
        <v>20031.88</v>
      </c>
    </row>
    <row r="1462" spans="1:15">
      <c r="A1462" s="74" t="s">
        <v>113</v>
      </c>
      <c r="B1462" s="74" t="s">
        <v>301</v>
      </c>
      <c r="C1462" s="74" t="s">
        <v>302</v>
      </c>
      <c r="D1462" s="74" t="s">
        <v>82</v>
      </c>
      <c r="E1462" s="88" t="s">
        <v>85</v>
      </c>
      <c r="F1462" s="86" t="s">
        <v>279</v>
      </c>
      <c r="G1462" s="74" t="s">
        <v>303</v>
      </c>
      <c r="H1462" s="87">
        <v>44165</v>
      </c>
      <c r="I1462" s="98">
        <v>22</v>
      </c>
      <c r="J1462" s="98">
        <v>22</v>
      </c>
      <c r="K1462" s="89">
        <f t="shared" si="62"/>
        <v>1</v>
      </c>
      <c r="L1462" s="89">
        <v>15006.4</v>
      </c>
      <c r="M1462" s="89">
        <v>3189.01</v>
      </c>
      <c r="N1462" s="89">
        <v>1550.67</v>
      </c>
      <c r="O1462" s="89">
        <f t="shared" si="61"/>
        <v>19746.08</v>
      </c>
    </row>
    <row r="1463" spans="1:15">
      <c r="A1463" s="74" t="s">
        <v>113</v>
      </c>
      <c r="B1463" s="74" t="s">
        <v>304</v>
      </c>
      <c r="C1463" s="74" t="s">
        <v>305</v>
      </c>
      <c r="D1463" s="74" t="s">
        <v>86</v>
      </c>
      <c r="E1463" s="74" t="s">
        <v>90</v>
      </c>
      <c r="F1463" s="86" t="s">
        <v>306</v>
      </c>
      <c r="G1463" s="74" t="s">
        <v>307</v>
      </c>
      <c r="H1463" s="87">
        <v>44165</v>
      </c>
      <c r="I1463" s="98">
        <v>22</v>
      </c>
      <c r="J1463" s="98">
        <v>22</v>
      </c>
      <c r="K1463" s="89">
        <f t="shared" si="62"/>
        <v>1</v>
      </c>
      <c r="L1463" s="89">
        <v>17472.16</v>
      </c>
      <c r="M1463" s="89">
        <v>3023.93</v>
      </c>
      <c r="N1463" s="89">
        <v>2010.15</v>
      </c>
      <c r="O1463" s="89">
        <f t="shared" si="61"/>
        <v>22506.24</v>
      </c>
    </row>
    <row r="1464" spans="1:15">
      <c r="A1464" s="74" t="s">
        <v>113</v>
      </c>
      <c r="B1464" s="74" t="s">
        <v>114</v>
      </c>
      <c r="C1464" s="74" t="s">
        <v>115</v>
      </c>
      <c r="D1464" s="74" t="s">
        <v>79</v>
      </c>
      <c r="E1464" s="74" t="s">
        <v>80</v>
      </c>
      <c r="F1464" s="86" t="s">
        <v>116</v>
      </c>
      <c r="G1464" s="74" t="s">
        <v>117</v>
      </c>
      <c r="H1464" s="87">
        <v>44196</v>
      </c>
      <c r="I1464" s="98">
        <v>22</v>
      </c>
      <c r="J1464" s="98">
        <v>22</v>
      </c>
      <c r="K1464" s="89">
        <f t="shared" si="62"/>
        <v>1</v>
      </c>
      <c r="L1464" s="89">
        <v>8369.45</v>
      </c>
      <c r="M1464" s="89">
        <v>3111.29</v>
      </c>
      <c r="N1464" s="89">
        <v>811.44</v>
      </c>
      <c r="O1464" s="89">
        <f t="shared" si="61"/>
        <v>12292.18</v>
      </c>
    </row>
    <row r="1465" spans="1:15">
      <c r="A1465" s="74" t="s">
        <v>113</v>
      </c>
      <c r="B1465" s="74" t="s">
        <v>118</v>
      </c>
      <c r="C1465" s="74" t="s">
        <v>119</v>
      </c>
      <c r="D1465" s="74" t="s">
        <v>79</v>
      </c>
      <c r="E1465" s="74" t="s">
        <v>80</v>
      </c>
      <c r="F1465" s="86" t="s">
        <v>120</v>
      </c>
      <c r="G1465" s="74" t="s">
        <v>117</v>
      </c>
      <c r="H1465" s="87">
        <v>44196</v>
      </c>
      <c r="I1465" s="98">
        <v>22</v>
      </c>
      <c r="J1465" s="98">
        <v>22</v>
      </c>
      <c r="K1465" s="89">
        <f t="shared" ref="K1465:K1528" si="63">I1465/J1465</f>
        <v>1</v>
      </c>
      <c r="L1465" s="89">
        <v>7460.07</v>
      </c>
      <c r="M1465" s="89">
        <v>3291.1</v>
      </c>
      <c r="N1465" s="89">
        <v>754.97</v>
      </c>
      <c r="O1465" s="89">
        <f t="shared" si="61"/>
        <v>11506.14</v>
      </c>
    </row>
    <row r="1466" spans="1:15">
      <c r="A1466" s="74" t="s">
        <v>113</v>
      </c>
      <c r="B1466" s="74" t="s">
        <v>121</v>
      </c>
      <c r="C1466" s="74" t="s">
        <v>122</v>
      </c>
      <c r="D1466" s="74" t="s">
        <v>79</v>
      </c>
      <c r="E1466" s="74" t="s">
        <v>80</v>
      </c>
      <c r="F1466" s="86" t="s">
        <v>123</v>
      </c>
      <c r="G1466" s="74" t="s">
        <v>117</v>
      </c>
      <c r="H1466" s="87">
        <v>44196</v>
      </c>
      <c r="I1466" s="98">
        <v>22</v>
      </c>
      <c r="J1466" s="98">
        <v>22</v>
      </c>
      <c r="K1466" s="89">
        <f t="shared" si="63"/>
        <v>1</v>
      </c>
      <c r="L1466" s="89">
        <v>6246</v>
      </c>
      <c r="M1466" s="89">
        <v>3221.84</v>
      </c>
      <c r="N1466" s="89">
        <v>616.7</v>
      </c>
      <c r="O1466" s="89">
        <f t="shared" si="61"/>
        <v>10084.54</v>
      </c>
    </row>
    <row r="1467" spans="1:15">
      <c r="A1467" s="74" t="s">
        <v>113</v>
      </c>
      <c r="B1467" s="74" t="s">
        <v>124</v>
      </c>
      <c r="C1467" s="74" t="s">
        <v>125</v>
      </c>
      <c r="D1467" s="74" t="s">
        <v>79</v>
      </c>
      <c r="E1467" s="74" t="s">
        <v>80</v>
      </c>
      <c r="F1467" s="86" t="s">
        <v>116</v>
      </c>
      <c r="G1467" s="74" t="s">
        <v>117</v>
      </c>
      <c r="H1467" s="87">
        <v>44196</v>
      </c>
      <c r="I1467" s="98">
        <v>22</v>
      </c>
      <c r="J1467" s="98">
        <v>22</v>
      </c>
      <c r="K1467" s="89">
        <f t="shared" si="63"/>
        <v>1</v>
      </c>
      <c r="L1467" s="89">
        <v>8682</v>
      </c>
      <c r="M1467" s="89">
        <v>3084.32</v>
      </c>
      <c r="N1467" s="89">
        <v>826.39</v>
      </c>
      <c r="O1467" s="89">
        <f t="shared" si="61"/>
        <v>12592.71</v>
      </c>
    </row>
    <row r="1468" spans="1:15">
      <c r="A1468" s="74" t="s">
        <v>113</v>
      </c>
      <c r="B1468" s="74" t="s">
        <v>126</v>
      </c>
      <c r="C1468" s="74" t="s">
        <v>127</v>
      </c>
      <c r="D1468" s="74" t="s">
        <v>79</v>
      </c>
      <c r="E1468" s="74" t="s">
        <v>80</v>
      </c>
      <c r="F1468" s="86" t="s">
        <v>120</v>
      </c>
      <c r="G1468" s="74" t="s">
        <v>117</v>
      </c>
      <c r="H1468" s="87">
        <v>44196</v>
      </c>
      <c r="I1468" s="98">
        <v>22</v>
      </c>
      <c r="J1468" s="98">
        <v>22</v>
      </c>
      <c r="K1468" s="89">
        <f t="shared" si="63"/>
        <v>1</v>
      </c>
      <c r="L1468" s="89">
        <v>7005.59</v>
      </c>
      <c r="M1468" s="89">
        <v>3130.42</v>
      </c>
      <c r="N1468" s="89">
        <v>741.48</v>
      </c>
      <c r="O1468" s="89">
        <f t="shared" si="61"/>
        <v>10877.49</v>
      </c>
    </row>
    <row r="1469" spans="1:15">
      <c r="A1469" s="74" t="s">
        <v>113</v>
      </c>
      <c r="B1469" s="74" t="s">
        <v>128</v>
      </c>
      <c r="C1469" s="74" t="s">
        <v>129</v>
      </c>
      <c r="D1469" s="74" t="s">
        <v>79</v>
      </c>
      <c r="E1469" s="74" t="s">
        <v>80</v>
      </c>
      <c r="F1469" s="86" t="s">
        <v>123</v>
      </c>
      <c r="G1469" s="74" t="s">
        <v>117</v>
      </c>
      <c r="H1469" s="87">
        <v>44196</v>
      </c>
      <c r="I1469" s="98">
        <v>22</v>
      </c>
      <c r="J1469" s="98">
        <v>22</v>
      </c>
      <c r="K1469" s="89">
        <f t="shared" si="63"/>
        <v>1</v>
      </c>
      <c r="L1469" s="89">
        <v>6427.12</v>
      </c>
      <c r="M1469" s="89">
        <v>3152.66</v>
      </c>
      <c r="N1469" s="89">
        <v>623.51</v>
      </c>
      <c r="O1469" s="89">
        <f t="shared" si="61"/>
        <v>10203.29</v>
      </c>
    </row>
    <row r="1470" spans="1:15">
      <c r="A1470" s="74" t="s">
        <v>113</v>
      </c>
      <c r="B1470" s="74" t="s">
        <v>130</v>
      </c>
      <c r="C1470" s="74" t="s">
        <v>131</v>
      </c>
      <c r="D1470" s="74" t="s">
        <v>79</v>
      </c>
      <c r="E1470" s="74" t="s">
        <v>80</v>
      </c>
      <c r="F1470" s="86" t="s">
        <v>116</v>
      </c>
      <c r="G1470" s="74" t="s">
        <v>117</v>
      </c>
      <c r="H1470" s="87">
        <v>44196</v>
      </c>
      <c r="I1470" s="98">
        <v>22</v>
      </c>
      <c r="J1470" s="98">
        <v>22</v>
      </c>
      <c r="K1470" s="89">
        <f t="shared" si="63"/>
        <v>1</v>
      </c>
      <c r="L1470" s="89">
        <v>8585.9</v>
      </c>
      <c r="M1470" s="89">
        <v>3083.62</v>
      </c>
      <c r="N1470" s="89">
        <v>821</v>
      </c>
      <c r="O1470" s="89">
        <f t="shared" si="61"/>
        <v>12490.52</v>
      </c>
    </row>
    <row r="1471" spans="1:15">
      <c r="A1471" s="74" t="s">
        <v>113</v>
      </c>
      <c r="B1471" s="74" t="s">
        <v>132</v>
      </c>
      <c r="C1471" s="74" t="s">
        <v>133</v>
      </c>
      <c r="D1471" s="74" t="s">
        <v>79</v>
      </c>
      <c r="E1471" s="74" t="s">
        <v>80</v>
      </c>
      <c r="F1471" s="86" t="s">
        <v>120</v>
      </c>
      <c r="G1471" s="74" t="s">
        <v>117</v>
      </c>
      <c r="H1471" s="87">
        <v>44196</v>
      </c>
      <c r="I1471" s="98">
        <v>22</v>
      </c>
      <c r="J1471" s="98">
        <v>22</v>
      </c>
      <c r="K1471" s="89">
        <f t="shared" si="63"/>
        <v>1</v>
      </c>
      <c r="L1471" s="89">
        <v>7246.21</v>
      </c>
      <c r="M1471" s="89">
        <v>3072.51</v>
      </c>
      <c r="N1471" s="89">
        <v>750.43</v>
      </c>
      <c r="O1471" s="89">
        <f t="shared" si="61"/>
        <v>11069.15</v>
      </c>
    </row>
    <row r="1472" spans="1:15">
      <c r="A1472" s="74" t="s">
        <v>113</v>
      </c>
      <c r="B1472" s="74" t="s">
        <v>134</v>
      </c>
      <c r="C1472" s="74" t="s">
        <v>135</v>
      </c>
      <c r="D1472" s="74" t="s">
        <v>79</v>
      </c>
      <c r="E1472" s="74" t="s">
        <v>80</v>
      </c>
      <c r="F1472" s="86" t="s">
        <v>123</v>
      </c>
      <c r="G1472" s="74" t="s">
        <v>117</v>
      </c>
      <c r="H1472" s="87">
        <v>44196</v>
      </c>
      <c r="I1472" s="98">
        <v>22</v>
      </c>
      <c r="J1472" s="98">
        <v>22</v>
      </c>
      <c r="K1472" s="89">
        <f t="shared" si="63"/>
        <v>1</v>
      </c>
      <c r="L1472" s="89">
        <v>6247</v>
      </c>
      <c r="M1472" s="89">
        <v>3288.26</v>
      </c>
      <c r="N1472" s="89">
        <v>618.04</v>
      </c>
      <c r="O1472" s="89">
        <f t="shared" si="61"/>
        <v>10153.3</v>
      </c>
    </row>
    <row r="1473" spans="1:15">
      <c r="A1473" s="74" t="s">
        <v>113</v>
      </c>
      <c r="B1473" s="74" t="s">
        <v>136</v>
      </c>
      <c r="C1473" s="74" t="s">
        <v>137</v>
      </c>
      <c r="D1473" s="74" t="s">
        <v>79</v>
      </c>
      <c r="E1473" s="74" t="s">
        <v>80</v>
      </c>
      <c r="F1473" s="86" t="s">
        <v>116</v>
      </c>
      <c r="G1473" s="74" t="s">
        <v>138</v>
      </c>
      <c r="H1473" s="87">
        <v>44196</v>
      </c>
      <c r="I1473" s="98">
        <v>22</v>
      </c>
      <c r="J1473" s="98">
        <v>22</v>
      </c>
      <c r="K1473" s="89">
        <f t="shared" si="63"/>
        <v>1</v>
      </c>
      <c r="L1473" s="89">
        <v>8386.01</v>
      </c>
      <c r="M1473" s="89">
        <v>3221.14</v>
      </c>
      <c r="N1473" s="89">
        <v>830.47</v>
      </c>
      <c r="O1473" s="89">
        <f t="shared" si="61"/>
        <v>12437.62</v>
      </c>
    </row>
    <row r="1474" spans="1:15">
      <c r="A1474" s="74" t="s">
        <v>113</v>
      </c>
      <c r="B1474" s="74" t="s">
        <v>139</v>
      </c>
      <c r="C1474" s="74" t="s">
        <v>140</v>
      </c>
      <c r="D1474" s="74" t="s">
        <v>79</v>
      </c>
      <c r="E1474" s="74" t="s">
        <v>80</v>
      </c>
      <c r="F1474" s="86" t="s">
        <v>120</v>
      </c>
      <c r="G1474" s="74" t="s">
        <v>138</v>
      </c>
      <c r="H1474" s="87">
        <v>44196</v>
      </c>
      <c r="I1474" s="98">
        <v>22</v>
      </c>
      <c r="J1474" s="98">
        <v>22</v>
      </c>
      <c r="K1474" s="89">
        <f t="shared" si="63"/>
        <v>1</v>
      </c>
      <c r="L1474" s="89">
        <v>7267.58</v>
      </c>
      <c r="M1474" s="89">
        <v>3047.73</v>
      </c>
      <c r="N1474" s="89">
        <v>734.27</v>
      </c>
      <c r="O1474" s="89">
        <f t="shared" si="61"/>
        <v>11049.58</v>
      </c>
    </row>
    <row r="1475" spans="1:15">
      <c r="A1475" s="74" t="s">
        <v>113</v>
      </c>
      <c r="B1475" s="74" t="s">
        <v>141</v>
      </c>
      <c r="C1475" s="74" t="s">
        <v>142</v>
      </c>
      <c r="D1475" s="74" t="s">
        <v>79</v>
      </c>
      <c r="E1475" s="74" t="s">
        <v>80</v>
      </c>
      <c r="F1475" s="86" t="s">
        <v>123</v>
      </c>
      <c r="G1475" s="74" t="s">
        <v>138</v>
      </c>
      <c r="H1475" s="87">
        <v>44196</v>
      </c>
      <c r="I1475" s="98">
        <v>22</v>
      </c>
      <c r="J1475" s="98">
        <v>22</v>
      </c>
      <c r="K1475" s="89">
        <f t="shared" si="63"/>
        <v>1</v>
      </c>
      <c r="L1475" s="89">
        <v>6083.79</v>
      </c>
      <c r="M1475" s="89">
        <v>3124.32</v>
      </c>
      <c r="N1475" s="89">
        <v>656.14</v>
      </c>
      <c r="O1475" s="89">
        <f t="shared" si="61"/>
        <v>9864.25</v>
      </c>
    </row>
    <row r="1476" spans="1:15">
      <c r="A1476" s="74" t="s">
        <v>113</v>
      </c>
      <c r="B1476" s="74" t="s">
        <v>143</v>
      </c>
      <c r="C1476" s="74" t="s">
        <v>144</v>
      </c>
      <c r="D1476" s="74" t="s">
        <v>79</v>
      </c>
      <c r="E1476" s="74" t="s">
        <v>80</v>
      </c>
      <c r="F1476" s="86" t="s">
        <v>145</v>
      </c>
      <c r="G1476" s="74" t="s">
        <v>146</v>
      </c>
      <c r="H1476" s="87">
        <v>44196</v>
      </c>
      <c r="I1476" s="98">
        <v>22</v>
      </c>
      <c r="J1476" s="98">
        <v>22</v>
      </c>
      <c r="K1476" s="89">
        <f t="shared" si="63"/>
        <v>1</v>
      </c>
      <c r="L1476" s="89">
        <v>19468.84</v>
      </c>
      <c r="M1476" s="89">
        <v>3167.09</v>
      </c>
      <c r="N1476" s="89">
        <v>2071.38</v>
      </c>
      <c r="O1476" s="89">
        <f t="shared" si="61"/>
        <v>24707.31</v>
      </c>
    </row>
    <row r="1477" spans="1:15">
      <c r="A1477" s="74" t="s">
        <v>113</v>
      </c>
      <c r="B1477" s="74" t="s">
        <v>147</v>
      </c>
      <c r="C1477" s="74" t="s">
        <v>148</v>
      </c>
      <c r="D1477" s="74" t="s">
        <v>79</v>
      </c>
      <c r="E1477" s="74" t="s">
        <v>80</v>
      </c>
      <c r="F1477" s="86" t="s">
        <v>149</v>
      </c>
      <c r="G1477" s="74" t="s">
        <v>150</v>
      </c>
      <c r="H1477" s="87">
        <v>44196</v>
      </c>
      <c r="I1477" s="98">
        <v>22</v>
      </c>
      <c r="J1477" s="98">
        <v>22</v>
      </c>
      <c r="K1477" s="89">
        <f t="shared" si="63"/>
        <v>1</v>
      </c>
      <c r="L1477" s="89">
        <v>18570.08</v>
      </c>
      <c r="M1477" s="89">
        <v>3032.41</v>
      </c>
      <c r="N1477" s="89">
        <v>1803.66</v>
      </c>
      <c r="O1477" s="89">
        <f t="shared" ref="O1477:O1540" si="64">SUM(L1477:N1477)</f>
        <v>23406.15</v>
      </c>
    </row>
    <row r="1478" spans="1:15">
      <c r="A1478" s="74" t="s">
        <v>113</v>
      </c>
      <c r="B1478" s="74" t="s">
        <v>151</v>
      </c>
      <c r="C1478" s="74" t="s">
        <v>152</v>
      </c>
      <c r="D1478" s="74" t="s">
        <v>79</v>
      </c>
      <c r="E1478" s="74" t="s">
        <v>81</v>
      </c>
      <c r="F1478" s="86" t="s">
        <v>123</v>
      </c>
      <c r="G1478" s="74" t="s">
        <v>153</v>
      </c>
      <c r="H1478" s="87">
        <v>44196</v>
      </c>
      <c r="I1478" s="98">
        <v>22</v>
      </c>
      <c r="J1478" s="98">
        <v>22</v>
      </c>
      <c r="K1478" s="89">
        <f t="shared" si="63"/>
        <v>1</v>
      </c>
      <c r="L1478" s="89">
        <v>6559.37</v>
      </c>
      <c r="M1478" s="89">
        <v>3182.93</v>
      </c>
      <c r="N1478" s="89">
        <v>620.83</v>
      </c>
      <c r="O1478" s="89">
        <f t="shared" si="64"/>
        <v>10363.13</v>
      </c>
    </row>
    <row r="1479" spans="1:15">
      <c r="A1479" s="74" t="s">
        <v>113</v>
      </c>
      <c r="B1479" s="74" t="s">
        <v>154</v>
      </c>
      <c r="C1479" s="74" t="s">
        <v>155</v>
      </c>
      <c r="D1479" s="74" t="s">
        <v>79</v>
      </c>
      <c r="E1479" s="74" t="s">
        <v>81</v>
      </c>
      <c r="F1479" s="86" t="s">
        <v>156</v>
      </c>
      <c r="G1479" s="74" t="s">
        <v>157</v>
      </c>
      <c r="H1479" s="87">
        <v>44196</v>
      </c>
      <c r="I1479" s="98">
        <v>22</v>
      </c>
      <c r="J1479" s="98">
        <v>22</v>
      </c>
      <c r="K1479" s="89">
        <f t="shared" si="63"/>
        <v>1</v>
      </c>
      <c r="L1479" s="89">
        <v>5394.44</v>
      </c>
      <c r="M1479" s="89">
        <v>3244.54</v>
      </c>
      <c r="N1479" s="89">
        <v>502.03</v>
      </c>
      <c r="O1479" s="89">
        <f t="shared" si="64"/>
        <v>9141.01</v>
      </c>
    </row>
    <row r="1480" spans="1:15">
      <c r="A1480" s="74" t="s">
        <v>113</v>
      </c>
      <c r="B1480" s="74" t="s">
        <v>158</v>
      </c>
      <c r="C1480" s="74" t="s">
        <v>159</v>
      </c>
      <c r="D1480" s="74" t="s">
        <v>79</v>
      </c>
      <c r="E1480" s="74" t="s">
        <v>81</v>
      </c>
      <c r="F1480" s="86" t="s">
        <v>160</v>
      </c>
      <c r="G1480" s="74" t="s">
        <v>161</v>
      </c>
      <c r="H1480" s="87">
        <v>44196</v>
      </c>
      <c r="I1480" s="98">
        <v>22</v>
      </c>
      <c r="J1480" s="98">
        <v>22</v>
      </c>
      <c r="K1480" s="89">
        <f t="shared" si="63"/>
        <v>1</v>
      </c>
      <c r="L1480" s="89">
        <v>4212.29</v>
      </c>
      <c r="M1480" s="89">
        <v>3186.77</v>
      </c>
      <c r="N1480" s="89">
        <v>411.86</v>
      </c>
      <c r="O1480" s="89">
        <f t="shared" si="64"/>
        <v>7810.92</v>
      </c>
    </row>
    <row r="1481" spans="1:15">
      <c r="A1481" s="74" t="s">
        <v>113</v>
      </c>
      <c r="B1481" s="74" t="s">
        <v>162</v>
      </c>
      <c r="C1481" s="74" t="s">
        <v>163</v>
      </c>
      <c r="D1481" s="74" t="s">
        <v>79</v>
      </c>
      <c r="E1481" s="74" t="s">
        <v>81</v>
      </c>
      <c r="F1481" s="86" t="s">
        <v>123</v>
      </c>
      <c r="G1481" s="74" t="s">
        <v>153</v>
      </c>
      <c r="H1481" s="87">
        <v>44196</v>
      </c>
      <c r="I1481" s="98">
        <v>22</v>
      </c>
      <c r="J1481" s="98">
        <v>22</v>
      </c>
      <c r="K1481" s="89">
        <f t="shared" si="63"/>
        <v>1</v>
      </c>
      <c r="L1481" s="89">
        <v>6534.76</v>
      </c>
      <c r="M1481" s="89">
        <v>3098.38</v>
      </c>
      <c r="N1481" s="89">
        <v>651.27</v>
      </c>
      <c r="O1481" s="89">
        <f t="shared" si="64"/>
        <v>10284.41</v>
      </c>
    </row>
    <row r="1482" spans="1:15">
      <c r="A1482" s="74" t="s">
        <v>113</v>
      </c>
      <c r="B1482" s="74" t="s">
        <v>164</v>
      </c>
      <c r="C1482" s="74" t="s">
        <v>165</v>
      </c>
      <c r="D1482" s="74" t="s">
        <v>79</v>
      </c>
      <c r="E1482" s="74" t="s">
        <v>81</v>
      </c>
      <c r="F1482" s="86" t="s">
        <v>156</v>
      </c>
      <c r="G1482" s="74" t="s">
        <v>157</v>
      </c>
      <c r="H1482" s="87">
        <v>44196</v>
      </c>
      <c r="I1482" s="98">
        <v>22</v>
      </c>
      <c r="J1482" s="98">
        <v>22</v>
      </c>
      <c r="K1482" s="89">
        <f t="shared" si="63"/>
        <v>1</v>
      </c>
      <c r="L1482" s="89">
        <v>5309.62</v>
      </c>
      <c r="M1482" s="89">
        <v>3270.87</v>
      </c>
      <c r="N1482" s="89">
        <v>526.58</v>
      </c>
      <c r="O1482" s="89">
        <f t="shared" si="64"/>
        <v>9107.07</v>
      </c>
    </row>
    <row r="1483" spans="1:15">
      <c r="A1483" s="74" t="s">
        <v>113</v>
      </c>
      <c r="B1483" s="74" t="s">
        <v>166</v>
      </c>
      <c r="C1483" s="74" t="s">
        <v>167</v>
      </c>
      <c r="D1483" s="74" t="s">
        <v>79</v>
      </c>
      <c r="E1483" s="74" t="s">
        <v>81</v>
      </c>
      <c r="F1483" s="86" t="s">
        <v>160</v>
      </c>
      <c r="G1483" s="74" t="s">
        <v>161</v>
      </c>
      <c r="H1483" s="87">
        <v>44196</v>
      </c>
      <c r="I1483" s="98">
        <v>22</v>
      </c>
      <c r="J1483" s="98">
        <v>22</v>
      </c>
      <c r="K1483" s="89">
        <f t="shared" si="63"/>
        <v>1</v>
      </c>
      <c r="L1483" s="89">
        <v>4096.96</v>
      </c>
      <c r="M1483" s="89">
        <v>3223.02</v>
      </c>
      <c r="N1483" s="89">
        <v>402.59</v>
      </c>
      <c r="O1483" s="89">
        <f t="shared" si="64"/>
        <v>7722.57</v>
      </c>
    </row>
    <row r="1484" spans="1:15">
      <c r="A1484" s="74" t="s">
        <v>113</v>
      </c>
      <c r="B1484" s="74" t="s">
        <v>168</v>
      </c>
      <c r="C1484" s="74" t="s">
        <v>169</v>
      </c>
      <c r="D1484" s="74" t="s">
        <v>79</v>
      </c>
      <c r="E1484" s="74" t="s">
        <v>81</v>
      </c>
      <c r="F1484" s="86" t="s">
        <v>123</v>
      </c>
      <c r="G1484" s="74" t="s">
        <v>153</v>
      </c>
      <c r="H1484" s="87">
        <v>44196</v>
      </c>
      <c r="I1484" s="98">
        <v>22</v>
      </c>
      <c r="J1484" s="98">
        <v>22</v>
      </c>
      <c r="K1484" s="89">
        <f t="shared" si="63"/>
        <v>1</v>
      </c>
      <c r="L1484" s="89">
        <v>6129.78</v>
      </c>
      <c r="M1484" s="89">
        <v>3007.06</v>
      </c>
      <c r="N1484" s="89">
        <v>635.82</v>
      </c>
      <c r="O1484" s="89">
        <f t="shared" si="64"/>
        <v>9772.66</v>
      </c>
    </row>
    <row r="1485" spans="1:15">
      <c r="A1485" s="74" t="s">
        <v>113</v>
      </c>
      <c r="B1485" s="74" t="s">
        <v>170</v>
      </c>
      <c r="C1485" s="74" t="s">
        <v>171</v>
      </c>
      <c r="D1485" s="74" t="s">
        <v>79</v>
      </c>
      <c r="E1485" s="74" t="s">
        <v>81</v>
      </c>
      <c r="F1485" s="86" t="s">
        <v>156</v>
      </c>
      <c r="G1485" s="74" t="s">
        <v>157</v>
      </c>
      <c r="H1485" s="87">
        <v>44196</v>
      </c>
      <c r="I1485" s="98">
        <v>22</v>
      </c>
      <c r="J1485" s="98">
        <v>22</v>
      </c>
      <c r="K1485" s="89">
        <f t="shared" si="63"/>
        <v>1</v>
      </c>
      <c r="L1485" s="89">
        <v>5049.85</v>
      </c>
      <c r="M1485" s="89">
        <v>3039.04</v>
      </c>
      <c r="N1485" s="89">
        <v>549.15</v>
      </c>
      <c r="O1485" s="89">
        <f t="shared" si="64"/>
        <v>8638.04</v>
      </c>
    </row>
    <row r="1486" spans="1:15">
      <c r="A1486" s="74" t="s">
        <v>113</v>
      </c>
      <c r="B1486" s="74" t="s">
        <v>172</v>
      </c>
      <c r="C1486" s="74" t="s">
        <v>173</v>
      </c>
      <c r="D1486" s="74" t="s">
        <v>79</v>
      </c>
      <c r="E1486" s="74" t="s">
        <v>81</v>
      </c>
      <c r="F1486" s="86" t="s">
        <v>160</v>
      </c>
      <c r="G1486" s="74" t="s">
        <v>161</v>
      </c>
      <c r="H1486" s="87">
        <v>44196</v>
      </c>
      <c r="I1486" s="98">
        <v>22</v>
      </c>
      <c r="J1486" s="98">
        <v>22</v>
      </c>
      <c r="K1486" s="89">
        <f t="shared" si="63"/>
        <v>1</v>
      </c>
      <c r="L1486" s="89">
        <v>4297.63</v>
      </c>
      <c r="M1486" s="89">
        <v>3017.52</v>
      </c>
      <c r="N1486" s="89">
        <v>429.65</v>
      </c>
      <c r="O1486" s="89">
        <f t="shared" si="64"/>
        <v>7744.8</v>
      </c>
    </row>
    <row r="1487" spans="1:15">
      <c r="A1487" s="74" t="s">
        <v>113</v>
      </c>
      <c r="B1487" s="74" t="s">
        <v>174</v>
      </c>
      <c r="C1487" s="74" t="s">
        <v>175</v>
      </c>
      <c r="D1487" s="74" t="s">
        <v>79</v>
      </c>
      <c r="E1487" s="74" t="s">
        <v>81</v>
      </c>
      <c r="F1487" s="86" t="s">
        <v>176</v>
      </c>
      <c r="G1487" s="74" t="s">
        <v>177</v>
      </c>
      <c r="H1487" s="87">
        <v>44196</v>
      </c>
      <c r="I1487" s="98">
        <v>22</v>
      </c>
      <c r="J1487" s="98">
        <v>22</v>
      </c>
      <c r="K1487" s="89">
        <f t="shared" si="63"/>
        <v>1</v>
      </c>
      <c r="L1487" s="89">
        <v>3139.69</v>
      </c>
      <c r="M1487" s="89">
        <v>3186.15</v>
      </c>
      <c r="N1487" s="89">
        <v>315.34</v>
      </c>
      <c r="O1487" s="89">
        <f t="shared" si="64"/>
        <v>6641.18</v>
      </c>
    </row>
    <row r="1488" spans="1:15">
      <c r="A1488" s="74" t="s">
        <v>113</v>
      </c>
      <c r="B1488" s="74" t="s">
        <v>178</v>
      </c>
      <c r="C1488" s="74" t="s">
        <v>179</v>
      </c>
      <c r="D1488" s="74" t="s">
        <v>79</v>
      </c>
      <c r="E1488" s="74" t="s">
        <v>81</v>
      </c>
      <c r="F1488" s="86" t="s">
        <v>180</v>
      </c>
      <c r="G1488" s="74" t="s">
        <v>177</v>
      </c>
      <c r="H1488" s="87">
        <v>44196</v>
      </c>
      <c r="I1488" s="98">
        <v>22</v>
      </c>
      <c r="J1488" s="98">
        <v>22</v>
      </c>
      <c r="K1488" s="89">
        <f t="shared" si="63"/>
        <v>1</v>
      </c>
      <c r="L1488" s="89">
        <v>2046.31</v>
      </c>
      <c r="M1488" s="89">
        <v>3158.93</v>
      </c>
      <c r="N1488" s="89">
        <v>205.13</v>
      </c>
      <c r="O1488" s="89">
        <f t="shared" si="64"/>
        <v>5410.37</v>
      </c>
    </row>
    <row r="1489" spans="1:15">
      <c r="A1489" s="74" t="s">
        <v>113</v>
      </c>
      <c r="B1489" s="74" t="s">
        <v>181</v>
      </c>
      <c r="C1489" s="74" t="s">
        <v>182</v>
      </c>
      <c r="D1489" s="74" t="s">
        <v>79</v>
      </c>
      <c r="E1489" s="74" t="s">
        <v>81</v>
      </c>
      <c r="F1489" s="86" t="s">
        <v>183</v>
      </c>
      <c r="G1489" s="74" t="s">
        <v>177</v>
      </c>
      <c r="H1489" s="87">
        <v>44196</v>
      </c>
      <c r="I1489" s="98">
        <v>22</v>
      </c>
      <c r="J1489" s="98">
        <v>22</v>
      </c>
      <c r="K1489" s="89">
        <f t="shared" si="63"/>
        <v>1</v>
      </c>
      <c r="L1489" s="89">
        <v>1009.14</v>
      </c>
      <c r="M1489" s="89">
        <v>3027.57</v>
      </c>
      <c r="N1489" s="89">
        <v>102.25</v>
      </c>
      <c r="O1489" s="89">
        <f t="shared" si="64"/>
        <v>4138.96</v>
      </c>
    </row>
    <row r="1490" spans="1:15">
      <c r="A1490" s="74" t="s">
        <v>113</v>
      </c>
      <c r="B1490" s="74" t="s">
        <v>184</v>
      </c>
      <c r="C1490" s="74" t="s">
        <v>185</v>
      </c>
      <c r="D1490" s="74" t="s">
        <v>79</v>
      </c>
      <c r="E1490" s="74" t="s">
        <v>81</v>
      </c>
      <c r="F1490" s="86" t="s">
        <v>176</v>
      </c>
      <c r="G1490" s="74" t="s">
        <v>177</v>
      </c>
      <c r="H1490" s="87">
        <v>44196</v>
      </c>
      <c r="I1490" s="98">
        <v>22</v>
      </c>
      <c r="J1490" s="98">
        <v>22</v>
      </c>
      <c r="K1490" s="89">
        <f t="shared" si="63"/>
        <v>1</v>
      </c>
      <c r="L1490" s="89">
        <v>3149.29</v>
      </c>
      <c r="M1490" s="89">
        <v>3062.58</v>
      </c>
      <c r="N1490" s="89">
        <v>312.45</v>
      </c>
      <c r="O1490" s="89">
        <f t="shared" si="64"/>
        <v>6524.32</v>
      </c>
    </row>
    <row r="1491" spans="1:15">
      <c r="A1491" s="74" t="s">
        <v>113</v>
      </c>
      <c r="B1491" s="74" t="s">
        <v>186</v>
      </c>
      <c r="C1491" s="74" t="s">
        <v>187</v>
      </c>
      <c r="D1491" s="74" t="s">
        <v>79</v>
      </c>
      <c r="E1491" s="74" t="s">
        <v>81</v>
      </c>
      <c r="F1491" s="86" t="s">
        <v>180</v>
      </c>
      <c r="G1491" s="74" t="s">
        <v>177</v>
      </c>
      <c r="H1491" s="87">
        <v>44196</v>
      </c>
      <c r="I1491" s="98">
        <v>22</v>
      </c>
      <c r="J1491" s="98">
        <v>22</v>
      </c>
      <c r="K1491" s="89">
        <f t="shared" si="63"/>
        <v>1</v>
      </c>
      <c r="L1491" s="89">
        <v>2046.9</v>
      </c>
      <c r="M1491" s="89">
        <v>3070.01</v>
      </c>
      <c r="N1491" s="89">
        <v>206.19</v>
      </c>
      <c r="O1491" s="89">
        <f t="shared" si="64"/>
        <v>5323.1</v>
      </c>
    </row>
    <row r="1492" spans="1:15">
      <c r="A1492" s="74" t="s">
        <v>113</v>
      </c>
      <c r="B1492" s="74" t="s">
        <v>188</v>
      </c>
      <c r="C1492" s="74" t="s">
        <v>189</v>
      </c>
      <c r="D1492" s="74" t="s">
        <v>79</v>
      </c>
      <c r="E1492" s="74" t="s">
        <v>81</v>
      </c>
      <c r="F1492" s="86" t="s">
        <v>183</v>
      </c>
      <c r="G1492" s="74" t="s">
        <v>177</v>
      </c>
      <c r="H1492" s="87">
        <v>44196</v>
      </c>
      <c r="I1492" s="98">
        <v>22</v>
      </c>
      <c r="J1492" s="98">
        <v>22</v>
      </c>
      <c r="K1492" s="89">
        <f t="shared" si="63"/>
        <v>1</v>
      </c>
      <c r="L1492" s="89">
        <v>1069.13</v>
      </c>
      <c r="M1492" s="89">
        <v>3030.7</v>
      </c>
      <c r="N1492" s="89">
        <v>102.03</v>
      </c>
      <c r="O1492" s="89">
        <f t="shared" si="64"/>
        <v>4201.86</v>
      </c>
    </row>
    <row r="1493" spans="1:15">
      <c r="A1493" s="74" t="s">
        <v>113</v>
      </c>
      <c r="B1493" s="74" t="s">
        <v>190</v>
      </c>
      <c r="C1493" s="74" t="s">
        <v>191</v>
      </c>
      <c r="D1493" s="74" t="s">
        <v>79</v>
      </c>
      <c r="E1493" s="74" t="s">
        <v>81</v>
      </c>
      <c r="F1493" s="86" t="s">
        <v>176</v>
      </c>
      <c r="G1493" s="74" t="s">
        <v>177</v>
      </c>
      <c r="H1493" s="87">
        <v>44196</v>
      </c>
      <c r="I1493" s="98">
        <v>22</v>
      </c>
      <c r="J1493" s="98">
        <v>22</v>
      </c>
      <c r="K1493" s="89">
        <f t="shared" si="63"/>
        <v>1</v>
      </c>
      <c r="L1493" s="89">
        <v>3144.92</v>
      </c>
      <c r="M1493" s="89">
        <v>3150.12</v>
      </c>
      <c r="N1493" s="89">
        <v>312.98</v>
      </c>
      <c r="O1493" s="89">
        <f t="shared" si="64"/>
        <v>6608.02</v>
      </c>
    </row>
    <row r="1494" spans="1:15">
      <c r="A1494" s="74" t="s">
        <v>113</v>
      </c>
      <c r="B1494" s="74" t="s">
        <v>192</v>
      </c>
      <c r="C1494" s="74" t="s">
        <v>193</v>
      </c>
      <c r="D1494" s="74" t="s">
        <v>79</v>
      </c>
      <c r="E1494" s="74" t="s">
        <v>81</v>
      </c>
      <c r="F1494" s="86" t="s">
        <v>180</v>
      </c>
      <c r="G1494" s="74" t="s">
        <v>177</v>
      </c>
      <c r="H1494" s="87">
        <v>44196</v>
      </c>
      <c r="I1494" s="98">
        <v>22</v>
      </c>
      <c r="J1494" s="98">
        <v>22</v>
      </c>
      <c r="K1494" s="89">
        <f t="shared" si="63"/>
        <v>1</v>
      </c>
      <c r="L1494" s="89">
        <v>2060.92</v>
      </c>
      <c r="M1494" s="89">
        <v>3279.65</v>
      </c>
      <c r="N1494" s="89">
        <v>219.54</v>
      </c>
      <c r="O1494" s="89">
        <f t="shared" si="64"/>
        <v>5560.11</v>
      </c>
    </row>
    <row r="1495" spans="1:15">
      <c r="A1495" s="74" t="s">
        <v>113</v>
      </c>
      <c r="B1495" s="74" t="s">
        <v>194</v>
      </c>
      <c r="C1495" s="74" t="s">
        <v>195</v>
      </c>
      <c r="D1495" s="74" t="s">
        <v>79</v>
      </c>
      <c r="E1495" s="74" t="s">
        <v>81</v>
      </c>
      <c r="F1495" s="86" t="s">
        <v>183</v>
      </c>
      <c r="G1495" s="74" t="s">
        <v>177</v>
      </c>
      <c r="H1495" s="87">
        <v>44196</v>
      </c>
      <c r="I1495" s="98">
        <v>22</v>
      </c>
      <c r="J1495" s="98">
        <v>22</v>
      </c>
      <c r="K1495" s="89">
        <f t="shared" si="63"/>
        <v>1</v>
      </c>
      <c r="L1495" s="89">
        <v>1034.22</v>
      </c>
      <c r="M1495" s="89">
        <v>3226.21</v>
      </c>
      <c r="N1495" s="89">
        <v>101.45</v>
      </c>
      <c r="O1495" s="89">
        <f t="shared" si="64"/>
        <v>4361.88</v>
      </c>
    </row>
    <row r="1496" spans="1:15">
      <c r="A1496" s="74" t="s">
        <v>113</v>
      </c>
      <c r="B1496" s="74" t="s">
        <v>196</v>
      </c>
      <c r="C1496" s="74" t="s">
        <v>197</v>
      </c>
      <c r="D1496" s="74" t="s">
        <v>79</v>
      </c>
      <c r="E1496" s="74" t="s">
        <v>81</v>
      </c>
      <c r="F1496" s="86" t="s">
        <v>176</v>
      </c>
      <c r="G1496" s="74" t="s">
        <v>177</v>
      </c>
      <c r="H1496" s="87">
        <v>44196</v>
      </c>
      <c r="I1496" s="98">
        <v>22</v>
      </c>
      <c r="J1496" s="98">
        <v>22</v>
      </c>
      <c r="K1496" s="89">
        <f t="shared" si="63"/>
        <v>1</v>
      </c>
      <c r="L1496" s="89">
        <v>3077.29</v>
      </c>
      <c r="M1496" s="89">
        <v>3047.02</v>
      </c>
      <c r="N1496" s="89">
        <v>303.28</v>
      </c>
      <c r="O1496" s="89">
        <f t="shared" si="64"/>
        <v>6427.59</v>
      </c>
    </row>
    <row r="1497" spans="1:15">
      <c r="A1497" s="74" t="s">
        <v>113</v>
      </c>
      <c r="B1497" s="74" t="s">
        <v>198</v>
      </c>
      <c r="C1497" s="74" t="s">
        <v>199</v>
      </c>
      <c r="D1497" s="74" t="s">
        <v>79</v>
      </c>
      <c r="E1497" s="74" t="s">
        <v>81</v>
      </c>
      <c r="F1497" s="86" t="s">
        <v>180</v>
      </c>
      <c r="G1497" s="74" t="s">
        <v>177</v>
      </c>
      <c r="H1497" s="87">
        <v>44196</v>
      </c>
      <c r="I1497" s="98">
        <v>22</v>
      </c>
      <c r="J1497" s="98">
        <v>22</v>
      </c>
      <c r="K1497" s="89">
        <f t="shared" si="63"/>
        <v>1</v>
      </c>
      <c r="L1497" s="89">
        <v>2057.37</v>
      </c>
      <c r="M1497" s="89">
        <v>3118.79</v>
      </c>
      <c r="N1497" s="89">
        <v>217.03</v>
      </c>
      <c r="O1497" s="89">
        <f t="shared" si="64"/>
        <v>5393.19</v>
      </c>
    </row>
    <row r="1498" spans="1:15">
      <c r="A1498" s="74" t="s">
        <v>113</v>
      </c>
      <c r="B1498" s="74" t="s">
        <v>200</v>
      </c>
      <c r="C1498" s="74" t="s">
        <v>201</v>
      </c>
      <c r="D1498" s="74" t="s">
        <v>79</v>
      </c>
      <c r="E1498" s="74" t="s">
        <v>81</v>
      </c>
      <c r="F1498" s="86" t="s">
        <v>183</v>
      </c>
      <c r="G1498" s="74" t="s">
        <v>177</v>
      </c>
      <c r="H1498" s="87">
        <v>44196</v>
      </c>
      <c r="I1498" s="98">
        <v>22</v>
      </c>
      <c r="J1498" s="98">
        <v>22</v>
      </c>
      <c r="K1498" s="89">
        <f t="shared" si="63"/>
        <v>1</v>
      </c>
      <c r="L1498" s="89">
        <v>1036.74</v>
      </c>
      <c r="M1498" s="89">
        <v>3094.92</v>
      </c>
      <c r="N1498" s="89">
        <v>102.51</v>
      </c>
      <c r="O1498" s="89">
        <f t="shared" si="64"/>
        <v>4234.17</v>
      </c>
    </row>
    <row r="1499" spans="1:15">
      <c r="A1499" s="74" t="s">
        <v>113</v>
      </c>
      <c r="B1499" s="74" t="s">
        <v>202</v>
      </c>
      <c r="C1499" s="74" t="s">
        <v>203</v>
      </c>
      <c r="D1499" s="74" t="s">
        <v>79</v>
      </c>
      <c r="E1499" s="74" t="s">
        <v>81</v>
      </c>
      <c r="F1499" s="86" t="s">
        <v>204</v>
      </c>
      <c r="G1499" s="74" t="s">
        <v>205</v>
      </c>
      <c r="H1499" s="87">
        <v>44196</v>
      </c>
      <c r="I1499" s="98">
        <v>22</v>
      </c>
      <c r="J1499" s="98">
        <v>22</v>
      </c>
      <c r="K1499" s="89">
        <f t="shared" si="63"/>
        <v>1</v>
      </c>
      <c r="L1499" s="89">
        <v>18718.24</v>
      </c>
      <c r="M1499" s="89">
        <v>3171.31</v>
      </c>
      <c r="N1499" s="89">
        <v>1924.09</v>
      </c>
      <c r="O1499" s="89">
        <f t="shared" si="64"/>
        <v>23813.64</v>
      </c>
    </row>
    <row r="1500" spans="1:15">
      <c r="A1500" s="74" t="s">
        <v>113</v>
      </c>
      <c r="B1500" s="74" t="s">
        <v>206</v>
      </c>
      <c r="C1500" s="74" t="s">
        <v>207</v>
      </c>
      <c r="D1500" s="88" t="s">
        <v>82</v>
      </c>
      <c r="E1500" s="88" t="s">
        <v>84</v>
      </c>
      <c r="F1500" s="86" t="s">
        <v>208</v>
      </c>
      <c r="G1500" s="74" t="s">
        <v>209</v>
      </c>
      <c r="H1500" s="87">
        <v>44196</v>
      </c>
      <c r="I1500" s="98">
        <v>22</v>
      </c>
      <c r="J1500" s="98">
        <v>22</v>
      </c>
      <c r="K1500" s="89">
        <f t="shared" si="63"/>
        <v>1</v>
      </c>
      <c r="L1500" s="89">
        <v>9819.65</v>
      </c>
      <c r="M1500" s="89">
        <v>3291.39</v>
      </c>
      <c r="N1500" s="89">
        <v>931.64</v>
      </c>
      <c r="O1500" s="89">
        <f t="shared" si="64"/>
        <v>14042.68</v>
      </c>
    </row>
    <row r="1501" spans="1:15">
      <c r="A1501" s="74" t="s">
        <v>113</v>
      </c>
      <c r="B1501" s="74" t="s">
        <v>210</v>
      </c>
      <c r="C1501" s="74" t="s">
        <v>211</v>
      </c>
      <c r="D1501" s="88" t="s">
        <v>82</v>
      </c>
      <c r="E1501" s="88" t="s">
        <v>84</v>
      </c>
      <c r="F1501" s="86" t="s">
        <v>116</v>
      </c>
      <c r="G1501" s="74" t="s">
        <v>209</v>
      </c>
      <c r="H1501" s="87">
        <v>44196</v>
      </c>
      <c r="I1501" s="98">
        <v>22</v>
      </c>
      <c r="J1501" s="98">
        <v>22</v>
      </c>
      <c r="K1501" s="89">
        <f t="shared" si="63"/>
        <v>1</v>
      </c>
      <c r="L1501" s="89">
        <v>8519.11</v>
      </c>
      <c r="M1501" s="89">
        <v>3220.48</v>
      </c>
      <c r="N1501" s="89">
        <v>854.93</v>
      </c>
      <c r="O1501" s="89">
        <f t="shared" si="64"/>
        <v>12594.52</v>
      </c>
    </row>
    <row r="1502" spans="1:15">
      <c r="A1502" s="74" t="s">
        <v>113</v>
      </c>
      <c r="B1502" s="74" t="s">
        <v>212</v>
      </c>
      <c r="C1502" s="74" t="s">
        <v>213</v>
      </c>
      <c r="D1502" s="88" t="s">
        <v>82</v>
      </c>
      <c r="E1502" s="88" t="s">
        <v>84</v>
      </c>
      <c r="F1502" s="86" t="s">
        <v>208</v>
      </c>
      <c r="G1502" s="74" t="s">
        <v>209</v>
      </c>
      <c r="H1502" s="87">
        <v>44196</v>
      </c>
      <c r="I1502" s="98">
        <v>22</v>
      </c>
      <c r="J1502" s="98">
        <v>22</v>
      </c>
      <c r="K1502" s="89">
        <f t="shared" si="63"/>
        <v>1</v>
      </c>
      <c r="L1502" s="89">
        <v>9319.62</v>
      </c>
      <c r="M1502" s="89">
        <v>3222.19</v>
      </c>
      <c r="N1502" s="89">
        <v>945.26</v>
      </c>
      <c r="O1502" s="89">
        <f t="shared" si="64"/>
        <v>13487.07</v>
      </c>
    </row>
    <row r="1503" spans="1:15">
      <c r="A1503" s="74" t="s">
        <v>113</v>
      </c>
      <c r="B1503" s="74" t="s">
        <v>214</v>
      </c>
      <c r="C1503" s="74" t="s">
        <v>215</v>
      </c>
      <c r="D1503" s="88" t="s">
        <v>82</v>
      </c>
      <c r="E1503" s="88" t="s">
        <v>84</v>
      </c>
      <c r="F1503" s="86" t="s">
        <v>116</v>
      </c>
      <c r="G1503" s="74" t="s">
        <v>209</v>
      </c>
      <c r="H1503" s="87">
        <v>44196</v>
      </c>
      <c r="I1503" s="98">
        <v>22</v>
      </c>
      <c r="J1503" s="98">
        <v>22</v>
      </c>
      <c r="K1503" s="89">
        <f t="shared" si="63"/>
        <v>1</v>
      </c>
      <c r="L1503" s="89">
        <v>8547.45</v>
      </c>
      <c r="M1503" s="89">
        <v>3190.47</v>
      </c>
      <c r="N1503" s="89">
        <v>875.92</v>
      </c>
      <c r="O1503" s="89">
        <f t="shared" si="64"/>
        <v>12613.84</v>
      </c>
    </row>
    <row r="1504" spans="1:15">
      <c r="A1504" s="74" t="s">
        <v>113</v>
      </c>
      <c r="B1504" s="74" t="s">
        <v>216</v>
      </c>
      <c r="C1504" s="74" t="s">
        <v>217</v>
      </c>
      <c r="D1504" s="88" t="s">
        <v>82</v>
      </c>
      <c r="E1504" s="88" t="s">
        <v>84</v>
      </c>
      <c r="F1504" s="86" t="s">
        <v>218</v>
      </c>
      <c r="G1504" s="74" t="s">
        <v>219</v>
      </c>
      <c r="H1504" s="87">
        <v>44196</v>
      </c>
      <c r="I1504" s="98">
        <v>22</v>
      </c>
      <c r="J1504" s="98">
        <v>22</v>
      </c>
      <c r="K1504" s="89">
        <f t="shared" si="63"/>
        <v>1</v>
      </c>
      <c r="L1504" s="89">
        <v>11126.35</v>
      </c>
      <c r="M1504" s="89">
        <v>3110.74</v>
      </c>
      <c r="N1504" s="89">
        <v>1141.73</v>
      </c>
      <c r="O1504" s="89">
        <f t="shared" si="64"/>
        <v>15378.82</v>
      </c>
    </row>
    <row r="1505" spans="1:15">
      <c r="A1505" s="74" t="s">
        <v>113</v>
      </c>
      <c r="B1505" s="74" t="s">
        <v>220</v>
      </c>
      <c r="C1505" s="74" t="s">
        <v>221</v>
      </c>
      <c r="D1505" s="88" t="s">
        <v>82</v>
      </c>
      <c r="E1505" s="74" t="s">
        <v>83</v>
      </c>
      <c r="F1505" s="86" t="s">
        <v>218</v>
      </c>
      <c r="G1505" s="74" t="s">
        <v>222</v>
      </c>
      <c r="H1505" s="87">
        <v>44196</v>
      </c>
      <c r="I1505" s="98">
        <v>22</v>
      </c>
      <c r="J1505" s="98">
        <v>22</v>
      </c>
      <c r="K1505" s="89">
        <f t="shared" si="63"/>
        <v>1</v>
      </c>
      <c r="L1505" s="89">
        <v>11272.34</v>
      </c>
      <c r="M1505" s="89">
        <v>3214.38</v>
      </c>
      <c r="N1505" s="89">
        <v>1111.41</v>
      </c>
      <c r="O1505" s="89">
        <f t="shared" si="64"/>
        <v>15598.13</v>
      </c>
    </row>
    <row r="1506" spans="1:15">
      <c r="A1506" s="74" t="s">
        <v>113</v>
      </c>
      <c r="B1506" s="74" t="s">
        <v>223</v>
      </c>
      <c r="C1506" s="74" t="s">
        <v>224</v>
      </c>
      <c r="D1506" s="88" t="s">
        <v>82</v>
      </c>
      <c r="E1506" s="74" t="s">
        <v>83</v>
      </c>
      <c r="F1506" s="86" t="s">
        <v>225</v>
      </c>
      <c r="G1506" s="74" t="s">
        <v>209</v>
      </c>
      <c r="H1506" s="87">
        <v>44196</v>
      </c>
      <c r="I1506" s="98">
        <v>22</v>
      </c>
      <c r="J1506" s="98">
        <v>22</v>
      </c>
      <c r="K1506" s="89">
        <f t="shared" si="63"/>
        <v>1</v>
      </c>
      <c r="L1506" s="89">
        <v>10657.19</v>
      </c>
      <c r="M1506" s="89">
        <v>3204.71</v>
      </c>
      <c r="N1506" s="89">
        <v>1000.46</v>
      </c>
      <c r="O1506" s="89">
        <f t="shared" si="64"/>
        <v>14862.36</v>
      </c>
    </row>
    <row r="1507" spans="1:15">
      <c r="A1507" s="74" t="s">
        <v>113</v>
      </c>
      <c r="B1507" s="74" t="s">
        <v>226</v>
      </c>
      <c r="C1507" s="74" t="s">
        <v>227</v>
      </c>
      <c r="D1507" s="88" t="s">
        <v>82</v>
      </c>
      <c r="E1507" s="74" t="s">
        <v>83</v>
      </c>
      <c r="F1507" s="86" t="s">
        <v>208</v>
      </c>
      <c r="G1507" s="74" t="s">
        <v>209</v>
      </c>
      <c r="H1507" s="87">
        <v>44196</v>
      </c>
      <c r="I1507" s="98">
        <v>22</v>
      </c>
      <c r="J1507" s="98">
        <v>22</v>
      </c>
      <c r="K1507" s="89">
        <f t="shared" si="63"/>
        <v>1</v>
      </c>
      <c r="L1507" s="89">
        <v>9131.14</v>
      </c>
      <c r="M1507" s="89">
        <v>3053.08</v>
      </c>
      <c r="N1507" s="89">
        <v>930.94</v>
      </c>
      <c r="O1507" s="89">
        <f t="shared" si="64"/>
        <v>13115.16</v>
      </c>
    </row>
    <row r="1508" spans="1:15">
      <c r="A1508" s="74" t="s">
        <v>113</v>
      </c>
      <c r="B1508" s="74" t="s">
        <v>228</v>
      </c>
      <c r="C1508" s="74" t="s">
        <v>229</v>
      </c>
      <c r="D1508" s="88" t="s">
        <v>82</v>
      </c>
      <c r="E1508" s="74" t="s">
        <v>83</v>
      </c>
      <c r="F1508" s="86" t="s">
        <v>116</v>
      </c>
      <c r="G1508" s="74" t="s">
        <v>209</v>
      </c>
      <c r="H1508" s="87">
        <v>44196</v>
      </c>
      <c r="I1508" s="98">
        <v>22</v>
      </c>
      <c r="J1508" s="98">
        <v>22</v>
      </c>
      <c r="K1508" s="89">
        <f t="shared" si="63"/>
        <v>1</v>
      </c>
      <c r="L1508" s="89">
        <v>8708.4</v>
      </c>
      <c r="M1508" s="89">
        <v>3263.77</v>
      </c>
      <c r="N1508" s="89">
        <v>840.87</v>
      </c>
      <c r="O1508" s="89">
        <f t="shared" si="64"/>
        <v>12813.04</v>
      </c>
    </row>
    <row r="1509" spans="1:15">
      <c r="A1509" s="74" t="s">
        <v>113</v>
      </c>
      <c r="B1509" s="74" t="s">
        <v>230</v>
      </c>
      <c r="C1509" s="74" t="s">
        <v>231</v>
      </c>
      <c r="D1509" s="88" t="s">
        <v>82</v>
      </c>
      <c r="E1509" s="74" t="s">
        <v>83</v>
      </c>
      <c r="F1509" s="86" t="s">
        <v>120</v>
      </c>
      <c r="G1509" s="74" t="s">
        <v>209</v>
      </c>
      <c r="H1509" s="87">
        <v>44196</v>
      </c>
      <c r="I1509" s="98">
        <v>22</v>
      </c>
      <c r="J1509" s="98">
        <v>22</v>
      </c>
      <c r="K1509" s="89">
        <f t="shared" si="63"/>
        <v>1</v>
      </c>
      <c r="L1509" s="89">
        <v>7133.17</v>
      </c>
      <c r="M1509" s="89">
        <v>3142</v>
      </c>
      <c r="N1509" s="89">
        <v>725.29</v>
      </c>
      <c r="O1509" s="89">
        <f t="shared" si="64"/>
        <v>11000.46</v>
      </c>
    </row>
    <row r="1510" spans="1:15">
      <c r="A1510" s="74" t="s">
        <v>113</v>
      </c>
      <c r="B1510" s="74" t="s">
        <v>232</v>
      </c>
      <c r="C1510" s="74" t="s">
        <v>233</v>
      </c>
      <c r="D1510" s="88" t="s">
        <v>82</v>
      </c>
      <c r="E1510" s="74" t="s">
        <v>83</v>
      </c>
      <c r="F1510" s="86" t="s">
        <v>123</v>
      </c>
      <c r="G1510" s="74" t="s">
        <v>209</v>
      </c>
      <c r="H1510" s="87">
        <v>44196</v>
      </c>
      <c r="I1510" s="98">
        <v>22</v>
      </c>
      <c r="J1510" s="98">
        <v>22</v>
      </c>
      <c r="K1510" s="89">
        <f t="shared" si="63"/>
        <v>1</v>
      </c>
      <c r="L1510" s="89">
        <v>6101.39</v>
      </c>
      <c r="M1510" s="89">
        <v>3298.35</v>
      </c>
      <c r="N1510" s="89">
        <v>613.4</v>
      </c>
      <c r="O1510" s="89">
        <f t="shared" si="64"/>
        <v>10013.14</v>
      </c>
    </row>
    <row r="1511" spans="1:15">
      <c r="A1511" s="74" t="s">
        <v>113</v>
      </c>
      <c r="B1511" s="74" t="s">
        <v>234</v>
      </c>
      <c r="C1511" s="74" t="s">
        <v>235</v>
      </c>
      <c r="D1511" s="88" t="s">
        <v>82</v>
      </c>
      <c r="E1511" s="74" t="s">
        <v>83</v>
      </c>
      <c r="F1511" s="86" t="s">
        <v>116</v>
      </c>
      <c r="G1511" s="74" t="s">
        <v>209</v>
      </c>
      <c r="H1511" s="87">
        <v>44196</v>
      </c>
      <c r="I1511" s="98">
        <v>22</v>
      </c>
      <c r="J1511" s="98">
        <v>22</v>
      </c>
      <c r="K1511" s="89">
        <f t="shared" si="63"/>
        <v>1</v>
      </c>
      <c r="L1511" s="89">
        <v>8071.97</v>
      </c>
      <c r="M1511" s="89">
        <v>3232.61</v>
      </c>
      <c r="N1511" s="89">
        <v>838</v>
      </c>
      <c r="O1511" s="89">
        <f t="shared" si="64"/>
        <v>12142.58</v>
      </c>
    </row>
    <row r="1512" spans="1:15">
      <c r="A1512" s="74" t="s">
        <v>113</v>
      </c>
      <c r="B1512" s="74" t="s">
        <v>236</v>
      </c>
      <c r="C1512" s="74" t="s">
        <v>237</v>
      </c>
      <c r="D1512" s="88" t="s">
        <v>82</v>
      </c>
      <c r="E1512" s="74" t="s">
        <v>83</v>
      </c>
      <c r="F1512" s="86" t="s">
        <v>120</v>
      </c>
      <c r="G1512" s="74" t="s">
        <v>209</v>
      </c>
      <c r="H1512" s="87">
        <v>44196</v>
      </c>
      <c r="I1512" s="98">
        <v>22</v>
      </c>
      <c r="J1512" s="98">
        <v>22</v>
      </c>
      <c r="K1512" s="89">
        <f t="shared" si="63"/>
        <v>1</v>
      </c>
      <c r="L1512" s="89">
        <v>7216.89</v>
      </c>
      <c r="M1512" s="89">
        <v>3284.85</v>
      </c>
      <c r="N1512" s="89">
        <v>703.8</v>
      </c>
      <c r="O1512" s="89">
        <f t="shared" si="64"/>
        <v>11205.54</v>
      </c>
    </row>
    <row r="1513" spans="1:15">
      <c r="A1513" s="74" t="s">
        <v>113</v>
      </c>
      <c r="B1513" s="74" t="s">
        <v>238</v>
      </c>
      <c r="C1513" s="74" t="s">
        <v>239</v>
      </c>
      <c r="D1513" s="74" t="s">
        <v>86</v>
      </c>
      <c r="E1513" s="74" t="s">
        <v>87</v>
      </c>
      <c r="F1513" s="86" t="s">
        <v>204</v>
      </c>
      <c r="G1513" s="74" t="s">
        <v>240</v>
      </c>
      <c r="H1513" s="87">
        <v>44196</v>
      </c>
      <c r="I1513" s="98">
        <v>22</v>
      </c>
      <c r="J1513" s="98">
        <v>22</v>
      </c>
      <c r="K1513" s="89">
        <f t="shared" si="63"/>
        <v>1</v>
      </c>
      <c r="L1513" s="89">
        <v>14871.66</v>
      </c>
      <c r="M1513" s="89">
        <v>3142.14</v>
      </c>
      <c r="N1513" s="89">
        <v>1846.99</v>
      </c>
      <c r="O1513" s="89">
        <f t="shared" si="64"/>
        <v>19860.79</v>
      </c>
    </row>
    <row r="1514" spans="1:15">
      <c r="A1514" s="74" t="s">
        <v>113</v>
      </c>
      <c r="B1514" s="74" t="s">
        <v>241</v>
      </c>
      <c r="C1514" s="74" t="s">
        <v>242</v>
      </c>
      <c r="D1514" s="74" t="s">
        <v>86</v>
      </c>
      <c r="E1514" s="74" t="s">
        <v>87</v>
      </c>
      <c r="F1514" s="86" t="s">
        <v>243</v>
      </c>
      <c r="G1514" s="74" t="s">
        <v>244</v>
      </c>
      <c r="H1514" s="87">
        <v>44196</v>
      </c>
      <c r="I1514" s="98">
        <v>22</v>
      </c>
      <c r="J1514" s="98">
        <v>22</v>
      </c>
      <c r="K1514" s="89">
        <f t="shared" si="63"/>
        <v>1</v>
      </c>
      <c r="L1514" s="89">
        <v>10874.43</v>
      </c>
      <c r="M1514" s="89">
        <v>3160.69</v>
      </c>
      <c r="N1514" s="89">
        <v>1405.75</v>
      </c>
      <c r="O1514" s="89">
        <f t="shared" si="64"/>
        <v>15440.87</v>
      </c>
    </row>
    <row r="1515" spans="1:15">
      <c r="A1515" s="74" t="s">
        <v>113</v>
      </c>
      <c r="B1515" s="74" t="s">
        <v>245</v>
      </c>
      <c r="C1515" s="74" t="s">
        <v>246</v>
      </c>
      <c r="D1515" s="74" t="s">
        <v>86</v>
      </c>
      <c r="E1515" s="74" t="s">
        <v>87</v>
      </c>
      <c r="F1515" s="86" t="s">
        <v>247</v>
      </c>
      <c r="G1515" s="74" t="s">
        <v>248</v>
      </c>
      <c r="H1515" s="87">
        <v>44196</v>
      </c>
      <c r="I1515" s="98">
        <v>22</v>
      </c>
      <c r="J1515" s="98">
        <v>22</v>
      </c>
      <c r="K1515" s="89">
        <f t="shared" si="63"/>
        <v>1</v>
      </c>
      <c r="L1515" s="89">
        <v>9797.9</v>
      </c>
      <c r="M1515" s="89">
        <v>3044.68</v>
      </c>
      <c r="N1515" s="89">
        <v>1202.26</v>
      </c>
      <c r="O1515" s="89">
        <f t="shared" si="64"/>
        <v>14044.84</v>
      </c>
    </row>
    <row r="1516" spans="1:15">
      <c r="A1516" s="74" t="s">
        <v>113</v>
      </c>
      <c r="B1516" s="74" t="s">
        <v>249</v>
      </c>
      <c r="C1516" s="74" t="s">
        <v>250</v>
      </c>
      <c r="D1516" s="74" t="s">
        <v>86</v>
      </c>
      <c r="E1516" s="74" t="s">
        <v>87</v>
      </c>
      <c r="F1516" s="86" t="s">
        <v>251</v>
      </c>
      <c r="G1516" s="74" t="s">
        <v>252</v>
      </c>
      <c r="H1516" s="87">
        <v>44196</v>
      </c>
      <c r="I1516" s="98">
        <v>22</v>
      </c>
      <c r="J1516" s="98">
        <v>22</v>
      </c>
      <c r="K1516" s="89">
        <f t="shared" si="63"/>
        <v>1</v>
      </c>
      <c r="L1516" s="89">
        <v>9515.17</v>
      </c>
      <c r="M1516" s="89">
        <v>3285.79</v>
      </c>
      <c r="N1516" s="89">
        <v>1172.29</v>
      </c>
      <c r="O1516" s="89">
        <f t="shared" si="64"/>
        <v>13973.25</v>
      </c>
    </row>
    <row r="1517" spans="1:15">
      <c r="A1517" s="74" t="s">
        <v>113</v>
      </c>
      <c r="B1517" s="74" t="s">
        <v>253</v>
      </c>
      <c r="C1517" s="74" t="s">
        <v>254</v>
      </c>
      <c r="D1517" s="74" t="s">
        <v>86</v>
      </c>
      <c r="E1517" s="74" t="s">
        <v>87</v>
      </c>
      <c r="F1517" s="86" t="s">
        <v>255</v>
      </c>
      <c r="G1517" s="74" t="s">
        <v>252</v>
      </c>
      <c r="H1517" s="87">
        <v>44196</v>
      </c>
      <c r="I1517" s="98">
        <v>22</v>
      </c>
      <c r="J1517" s="98">
        <v>22</v>
      </c>
      <c r="K1517" s="89">
        <f t="shared" si="63"/>
        <v>1</v>
      </c>
      <c r="L1517" s="89">
        <v>8520.03</v>
      </c>
      <c r="M1517" s="89">
        <v>3046.38</v>
      </c>
      <c r="N1517" s="89">
        <v>1073.27</v>
      </c>
      <c r="O1517" s="89">
        <f t="shared" si="64"/>
        <v>12639.68</v>
      </c>
    </row>
    <row r="1518" spans="1:15">
      <c r="A1518" s="74" t="s">
        <v>113</v>
      </c>
      <c r="B1518" s="74" t="s">
        <v>256</v>
      </c>
      <c r="C1518" s="74" t="s">
        <v>257</v>
      </c>
      <c r="D1518" s="74" t="s">
        <v>86</v>
      </c>
      <c r="E1518" s="74" t="s">
        <v>87</v>
      </c>
      <c r="F1518" s="86" t="s">
        <v>258</v>
      </c>
      <c r="G1518" s="74" t="s">
        <v>252</v>
      </c>
      <c r="H1518" s="87">
        <v>44196</v>
      </c>
      <c r="I1518" s="98">
        <v>22</v>
      </c>
      <c r="J1518" s="98">
        <v>22</v>
      </c>
      <c r="K1518" s="89">
        <f t="shared" si="63"/>
        <v>1</v>
      </c>
      <c r="L1518" s="89">
        <v>7364.34</v>
      </c>
      <c r="M1518" s="89">
        <v>3093.39</v>
      </c>
      <c r="N1518" s="89">
        <v>965.76</v>
      </c>
      <c r="O1518" s="89">
        <f t="shared" si="64"/>
        <v>11423.49</v>
      </c>
    </row>
    <row r="1519" spans="1:15">
      <c r="A1519" s="74" t="s">
        <v>113</v>
      </c>
      <c r="B1519" s="74" t="s">
        <v>259</v>
      </c>
      <c r="C1519" s="74" t="s">
        <v>260</v>
      </c>
      <c r="D1519" s="74" t="s">
        <v>86</v>
      </c>
      <c r="E1519" s="74" t="s">
        <v>87</v>
      </c>
      <c r="F1519" s="86" t="s">
        <v>261</v>
      </c>
      <c r="G1519" s="74" t="s">
        <v>262</v>
      </c>
      <c r="H1519" s="87">
        <v>44196</v>
      </c>
      <c r="I1519" s="98">
        <v>22</v>
      </c>
      <c r="J1519" s="98">
        <v>22</v>
      </c>
      <c r="K1519" s="89">
        <f t="shared" si="63"/>
        <v>1</v>
      </c>
      <c r="L1519" s="89">
        <v>6606.32</v>
      </c>
      <c r="M1519" s="89">
        <v>3098.83</v>
      </c>
      <c r="N1519" s="89">
        <v>850.17</v>
      </c>
      <c r="O1519" s="89">
        <f t="shared" si="64"/>
        <v>10555.32</v>
      </c>
    </row>
    <row r="1520" spans="1:15">
      <c r="A1520" s="74" t="s">
        <v>113</v>
      </c>
      <c r="B1520" s="74" t="s">
        <v>263</v>
      </c>
      <c r="C1520" s="74" t="s">
        <v>264</v>
      </c>
      <c r="D1520" s="74" t="s">
        <v>86</v>
      </c>
      <c r="E1520" s="74" t="s">
        <v>88</v>
      </c>
      <c r="F1520" s="86" t="s">
        <v>149</v>
      </c>
      <c r="G1520" s="74" t="s">
        <v>265</v>
      </c>
      <c r="H1520" s="87">
        <v>44196</v>
      </c>
      <c r="I1520" s="98">
        <v>22</v>
      </c>
      <c r="J1520" s="98">
        <v>22</v>
      </c>
      <c r="K1520" s="89">
        <f t="shared" si="63"/>
        <v>1</v>
      </c>
      <c r="L1520" s="89">
        <v>13909.02</v>
      </c>
      <c r="M1520" s="89">
        <v>3183.37</v>
      </c>
      <c r="N1520" s="89">
        <v>1806.26</v>
      </c>
      <c r="O1520" s="89">
        <f t="shared" si="64"/>
        <v>18898.65</v>
      </c>
    </row>
    <row r="1521" spans="1:15">
      <c r="A1521" s="74" t="s">
        <v>113</v>
      </c>
      <c r="B1521" s="74" t="s">
        <v>266</v>
      </c>
      <c r="C1521" s="74" t="s">
        <v>267</v>
      </c>
      <c r="D1521" s="74" t="s">
        <v>86</v>
      </c>
      <c r="E1521" s="74" t="s">
        <v>88</v>
      </c>
      <c r="F1521" s="86" t="s">
        <v>243</v>
      </c>
      <c r="G1521" s="74" t="s">
        <v>268</v>
      </c>
      <c r="H1521" s="87">
        <v>44196</v>
      </c>
      <c r="I1521" s="98">
        <v>22</v>
      </c>
      <c r="J1521" s="98">
        <v>22</v>
      </c>
      <c r="K1521" s="89">
        <f t="shared" si="63"/>
        <v>1</v>
      </c>
      <c r="L1521" s="89">
        <v>10880.25</v>
      </c>
      <c r="M1521" s="89">
        <v>3237.71</v>
      </c>
      <c r="N1521" s="89">
        <v>1374.81</v>
      </c>
      <c r="O1521" s="89">
        <f t="shared" si="64"/>
        <v>15492.77</v>
      </c>
    </row>
    <row r="1522" spans="1:15">
      <c r="A1522" s="74" t="s">
        <v>113</v>
      </c>
      <c r="B1522" s="74" t="s">
        <v>269</v>
      </c>
      <c r="C1522" s="74" t="s">
        <v>270</v>
      </c>
      <c r="D1522" s="74" t="s">
        <v>86</v>
      </c>
      <c r="E1522" s="74" t="s">
        <v>88</v>
      </c>
      <c r="F1522" s="86" t="s">
        <v>247</v>
      </c>
      <c r="G1522" s="74" t="s">
        <v>268</v>
      </c>
      <c r="H1522" s="87">
        <v>44196</v>
      </c>
      <c r="I1522" s="98">
        <v>22</v>
      </c>
      <c r="J1522" s="98">
        <v>22</v>
      </c>
      <c r="K1522" s="89">
        <f t="shared" si="63"/>
        <v>1</v>
      </c>
      <c r="L1522" s="89">
        <v>10453.56</v>
      </c>
      <c r="M1522" s="89">
        <v>3077.58</v>
      </c>
      <c r="N1522" s="89">
        <v>1291.64</v>
      </c>
      <c r="O1522" s="89">
        <f t="shared" si="64"/>
        <v>14822.78</v>
      </c>
    </row>
    <row r="1523" spans="1:15">
      <c r="A1523" s="74" t="s">
        <v>113</v>
      </c>
      <c r="B1523" s="74" t="s">
        <v>271</v>
      </c>
      <c r="C1523" s="74" t="s">
        <v>272</v>
      </c>
      <c r="D1523" s="74" t="s">
        <v>86</v>
      </c>
      <c r="E1523" s="74" t="s">
        <v>88</v>
      </c>
      <c r="F1523" s="86" t="s">
        <v>251</v>
      </c>
      <c r="G1523" s="74" t="s">
        <v>268</v>
      </c>
      <c r="H1523" s="87">
        <v>44196</v>
      </c>
      <c r="I1523" s="98">
        <v>22</v>
      </c>
      <c r="J1523" s="98">
        <v>22</v>
      </c>
      <c r="K1523" s="89">
        <f t="shared" si="63"/>
        <v>1</v>
      </c>
      <c r="L1523" s="89">
        <v>9489.94</v>
      </c>
      <c r="M1523" s="89">
        <v>3251.24</v>
      </c>
      <c r="N1523" s="89">
        <v>1102.91</v>
      </c>
      <c r="O1523" s="89">
        <f t="shared" si="64"/>
        <v>13844.09</v>
      </c>
    </row>
    <row r="1524" spans="1:15">
      <c r="A1524" s="74" t="s">
        <v>113</v>
      </c>
      <c r="B1524" s="74" t="s">
        <v>273</v>
      </c>
      <c r="C1524" s="74" t="s">
        <v>274</v>
      </c>
      <c r="D1524" s="74" t="s">
        <v>86</v>
      </c>
      <c r="E1524" s="74" t="s">
        <v>88</v>
      </c>
      <c r="F1524" s="86" t="s">
        <v>255</v>
      </c>
      <c r="G1524" s="74" t="s">
        <v>268</v>
      </c>
      <c r="H1524" s="87">
        <v>44196</v>
      </c>
      <c r="I1524" s="98">
        <v>22</v>
      </c>
      <c r="J1524" s="98">
        <v>22</v>
      </c>
      <c r="K1524" s="89">
        <f t="shared" si="63"/>
        <v>1</v>
      </c>
      <c r="L1524" s="89">
        <v>8514.7</v>
      </c>
      <c r="M1524" s="89">
        <v>3136.2</v>
      </c>
      <c r="N1524" s="89">
        <v>1012.35</v>
      </c>
      <c r="O1524" s="89">
        <f t="shared" si="64"/>
        <v>12663.25</v>
      </c>
    </row>
    <row r="1525" spans="1:15">
      <c r="A1525" s="74" t="s">
        <v>113</v>
      </c>
      <c r="B1525" s="74" t="s">
        <v>275</v>
      </c>
      <c r="C1525" s="74" t="s">
        <v>276</v>
      </c>
      <c r="D1525" s="74" t="s">
        <v>86</v>
      </c>
      <c r="E1525" s="74" t="s">
        <v>88</v>
      </c>
      <c r="F1525" s="86" t="s">
        <v>258</v>
      </c>
      <c r="G1525" s="74" t="s">
        <v>268</v>
      </c>
      <c r="H1525" s="87">
        <v>44196</v>
      </c>
      <c r="I1525" s="98">
        <v>22</v>
      </c>
      <c r="J1525" s="98">
        <v>22</v>
      </c>
      <c r="K1525" s="89">
        <f t="shared" si="63"/>
        <v>1</v>
      </c>
      <c r="L1525" s="89">
        <v>7642.26</v>
      </c>
      <c r="M1525" s="89">
        <v>3211.63</v>
      </c>
      <c r="N1525" s="89">
        <v>933.74</v>
      </c>
      <c r="O1525" s="89">
        <f t="shared" si="64"/>
        <v>11787.63</v>
      </c>
    </row>
    <row r="1526" spans="1:15">
      <c r="A1526" s="74" t="s">
        <v>113</v>
      </c>
      <c r="B1526" s="74" t="s">
        <v>277</v>
      </c>
      <c r="C1526" s="74" t="s">
        <v>278</v>
      </c>
      <c r="D1526" s="74" t="s">
        <v>86</v>
      </c>
      <c r="E1526" s="74" t="s">
        <v>89</v>
      </c>
      <c r="F1526" s="86" t="s">
        <v>279</v>
      </c>
      <c r="G1526" s="74" t="s">
        <v>280</v>
      </c>
      <c r="H1526" s="87">
        <v>44196</v>
      </c>
      <c r="I1526" s="98">
        <v>22</v>
      </c>
      <c r="J1526" s="98">
        <v>22</v>
      </c>
      <c r="K1526" s="89">
        <f t="shared" si="63"/>
        <v>1</v>
      </c>
      <c r="L1526" s="89">
        <v>13020.96</v>
      </c>
      <c r="M1526" s="89">
        <v>3118.01</v>
      </c>
      <c r="N1526" s="89">
        <v>1539.42</v>
      </c>
      <c r="O1526" s="89">
        <f t="shared" si="64"/>
        <v>17678.39</v>
      </c>
    </row>
    <row r="1527" spans="1:15">
      <c r="A1527" s="74" t="s">
        <v>113</v>
      </c>
      <c r="B1527" s="74" t="s">
        <v>281</v>
      </c>
      <c r="C1527" s="74" t="s">
        <v>282</v>
      </c>
      <c r="D1527" s="74" t="s">
        <v>86</v>
      </c>
      <c r="E1527" s="74" t="s">
        <v>89</v>
      </c>
      <c r="F1527" s="86" t="s">
        <v>225</v>
      </c>
      <c r="G1527" s="74" t="s">
        <v>283</v>
      </c>
      <c r="H1527" s="87">
        <v>44196</v>
      </c>
      <c r="I1527" s="98">
        <v>22</v>
      </c>
      <c r="J1527" s="98">
        <v>22</v>
      </c>
      <c r="K1527" s="89">
        <f t="shared" si="63"/>
        <v>1</v>
      </c>
      <c r="L1527" s="89">
        <v>8005.98</v>
      </c>
      <c r="M1527" s="89">
        <v>3226.13</v>
      </c>
      <c r="N1527" s="89">
        <v>1015.23</v>
      </c>
      <c r="O1527" s="89">
        <f t="shared" si="64"/>
        <v>12247.34</v>
      </c>
    </row>
    <row r="1528" spans="1:15">
      <c r="A1528" s="74" t="s">
        <v>113</v>
      </c>
      <c r="B1528" s="74" t="s">
        <v>284</v>
      </c>
      <c r="C1528" s="74" t="s">
        <v>285</v>
      </c>
      <c r="D1528" s="74" t="s">
        <v>86</v>
      </c>
      <c r="E1528" s="74" t="s">
        <v>89</v>
      </c>
      <c r="F1528" s="86" t="s">
        <v>208</v>
      </c>
      <c r="G1528" s="74" t="s">
        <v>283</v>
      </c>
      <c r="H1528" s="87">
        <v>44196</v>
      </c>
      <c r="I1528" s="98">
        <v>22</v>
      </c>
      <c r="J1528" s="98">
        <v>22</v>
      </c>
      <c r="K1528" s="89">
        <f t="shared" si="63"/>
        <v>1</v>
      </c>
      <c r="L1528" s="89">
        <v>7387.88</v>
      </c>
      <c r="M1528" s="89">
        <v>3097.02</v>
      </c>
      <c r="N1528" s="89">
        <v>908.87</v>
      </c>
      <c r="O1528" s="89">
        <f t="shared" si="64"/>
        <v>11393.77</v>
      </c>
    </row>
    <row r="1529" spans="1:15">
      <c r="A1529" s="74" t="s">
        <v>113</v>
      </c>
      <c r="B1529" s="74" t="s">
        <v>286</v>
      </c>
      <c r="C1529" s="74" t="s">
        <v>287</v>
      </c>
      <c r="D1529" s="74" t="s">
        <v>82</v>
      </c>
      <c r="E1529" s="88" t="s">
        <v>85</v>
      </c>
      <c r="F1529" s="86" t="s">
        <v>288</v>
      </c>
      <c r="G1529" s="74" t="s">
        <v>289</v>
      </c>
      <c r="H1529" s="87">
        <v>44196</v>
      </c>
      <c r="I1529" s="98">
        <v>22</v>
      </c>
      <c r="J1529" s="98">
        <v>22</v>
      </c>
      <c r="K1529" s="89">
        <f t="shared" ref="K1529:K1537" si="65">I1529/J1529</f>
        <v>1</v>
      </c>
      <c r="L1529" s="89">
        <v>12607.82</v>
      </c>
      <c r="M1529" s="89">
        <v>3287.49</v>
      </c>
      <c r="N1529" s="89">
        <v>1244.93</v>
      </c>
      <c r="O1529" s="89">
        <f t="shared" si="64"/>
        <v>17140.24</v>
      </c>
    </row>
    <row r="1530" spans="1:15">
      <c r="A1530" s="74" t="s">
        <v>113</v>
      </c>
      <c r="B1530" s="74" t="s">
        <v>290</v>
      </c>
      <c r="C1530" s="74" t="s">
        <v>291</v>
      </c>
      <c r="D1530" s="74" t="s">
        <v>82</v>
      </c>
      <c r="E1530" s="88" t="s">
        <v>85</v>
      </c>
      <c r="F1530" s="86" t="s">
        <v>218</v>
      </c>
      <c r="G1530" s="74" t="s">
        <v>289</v>
      </c>
      <c r="H1530" s="87">
        <v>44196</v>
      </c>
      <c r="I1530" s="98">
        <v>22</v>
      </c>
      <c r="J1530" s="98">
        <v>22</v>
      </c>
      <c r="K1530" s="89">
        <f t="shared" si="65"/>
        <v>1</v>
      </c>
      <c r="L1530" s="89">
        <v>11433.11</v>
      </c>
      <c r="M1530" s="89">
        <v>3063.46</v>
      </c>
      <c r="N1530" s="89">
        <v>1134.98</v>
      </c>
      <c r="O1530" s="89">
        <f t="shared" si="64"/>
        <v>15631.55</v>
      </c>
    </row>
    <row r="1531" spans="1:15">
      <c r="A1531" s="74" t="s">
        <v>113</v>
      </c>
      <c r="B1531" s="74" t="s">
        <v>292</v>
      </c>
      <c r="C1531" s="74" t="s">
        <v>293</v>
      </c>
      <c r="D1531" s="74" t="s">
        <v>82</v>
      </c>
      <c r="E1531" s="88" t="s">
        <v>85</v>
      </c>
      <c r="F1531" s="86" t="s">
        <v>225</v>
      </c>
      <c r="G1531" s="74" t="s">
        <v>289</v>
      </c>
      <c r="H1531" s="87">
        <v>44196</v>
      </c>
      <c r="I1531" s="98">
        <v>22</v>
      </c>
      <c r="J1531" s="98">
        <v>22</v>
      </c>
      <c r="K1531" s="89">
        <f t="shared" si="65"/>
        <v>1</v>
      </c>
      <c r="L1531" s="89">
        <v>10569.42</v>
      </c>
      <c r="M1531" s="89">
        <v>3018.85</v>
      </c>
      <c r="N1531" s="89">
        <v>1044.98</v>
      </c>
      <c r="O1531" s="89">
        <f t="shared" si="64"/>
        <v>14633.25</v>
      </c>
    </row>
    <row r="1532" spans="1:15">
      <c r="A1532" s="74" t="s">
        <v>113</v>
      </c>
      <c r="B1532" s="74" t="s">
        <v>294</v>
      </c>
      <c r="C1532" s="74" t="s">
        <v>295</v>
      </c>
      <c r="D1532" s="74" t="s">
        <v>82</v>
      </c>
      <c r="E1532" s="88" t="s">
        <v>85</v>
      </c>
      <c r="F1532" s="86" t="s">
        <v>208</v>
      </c>
      <c r="G1532" s="74" t="s">
        <v>289</v>
      </c>
      <c r="H1532" s="87">
        <v>44196</v>
      </c>
      <c r="I1532" s="98">
        <v>22</v>
      </c>
      <c r="J1532" s="98">
        <v>22</v>
      </c>
      <c r="K1532" s="89">
        <f t="shared" si="65"/>
        <v>1</v>
      </c>
      <c r="L1532" s="89">
        <v>9246.76</v>
      </c>
      <c r="M1532" s="89">
        <v>3223.82</v>
      </c>
      <c r="N1532" s="89">
        <v>919.69</v>
      </c>
      <c r="O1532" s="89">
        <f t="shared" si="64"/>
        <v>13390.27</v>
      </c>
    </row>
    <row r="1533" spans="1:15">
      <c r="A1533" s="74" t="s">
        <v>113</v>
      </c>
      <c r="B1533" s="74" t="s">
        <v>296</v>
      </c>
      <c r="C1533" s="74" t="s">
        <v>297</v>
      </c>
      <c r="D1533" s="74" t="s">
        <v>82</v>
      </c>
      <c r="E1533" s="88" t="s">
        <v>85</v>
      </c>
      <c r="F1533" s="86" t="s">
        <v>116</v>
      </c>
      <c r="G1533" s="74" t="s">
        <v>289</v>
      </c>
      <c r="H1533" s="87">
        <v>44196</v>
      </c>
      <c r="I1533" s="98">
        <v>22</v>
      </c>
      <c r="J1533" s="98">
        <v>22</v>
      </c>
      <c r="K1533" s="89">
        <f t="shared" si="65"/>
        <v>1</v>
      </c>
      <c r="L1533" s="89">
        <v>8737.47</v>
      </c>
      <c r="M1533" s="89">
        <v>3083.1</v>
      </c>
      <c r="N1533" s="89">
        <v>855.18</v>
      </c>
      <c r="O1533" s="89">
        <f t="shared" si="64"/>
        <v>12675.75</v>
      </c>
    </row>
    <row r="1534" spans="1:15">
      <c r="A1534" s="74" t="s">
        <v>113</v>
      </c>
      <c r="B1534" s="74" t="s">
        <v>298</v>
      </c>
      <c r="C1534" s="74" t="s">
        <v>299</v>
      </c>
      <c r="D1534" s="74" t="s">
        <v>82</v>
      </c>
      <c r="E1534" s="88" t="s">
        <v>85</v>
      </c>
      <c r="F1534" s="86" t="s">
        <v>279</v>
      </c>
      <c r="G1534" s="74" t="s">
        <v>300</v>
      </c>
      <c r="H1534" s="87">
        <v>44196</v>
      </c>
      <c r="I1534" s="98">
        <v>22</v>
      </c>
      <c r="J1534" s="98">
        <v>22</v>
      </c>
      <c r="K1534" s="89">
        <f t="shared" si="65"/>
        <v>1</v>
      </c>
      <c r="L1534" s="89">
        <v>15314.28</v>
      </c>
      <c r="M1534" s="89">
        <v>3182.45</v>
      </c>
      <c r="N1534" s="89">
        <v>1574.9</v>
      </c>
      <c r="O1534" s="89">
        <f t="shared" si="64"/>
        <v>20071.63</v>
      </c>
    </row>
    <row r="1535" spans="1:15">
      <c r="A1535" s="74" t="s">
        <v>113</v>
      </c>
      <c r="B1535" s="74" t="s">
        <v>301</v>
      </c>
      <c r="C1535" s="74" t="s">
        <v>302</v>
      </c>
      <c r="D1535" s="74" t="s">
        <v>82</v>
      </c>
      <c r="E1535" s="88" t="s">
        <v>85</v>
      </c>
      <c r="F1535" s="86" t="s">
        <v>279</v>
      </c>
      <c r="G1535" s="74" t="s">
        <v>303</v>
      </c>
      <c r="H1535" s="87">
        <v>44196</v>
      </c>
      <c r="I1535" s="98">
        <v>22</v>
      </c>
      <c r="J1535" s="98">
        <v>22</v>
      </c>
      <c r="K1535" s="89">
        <f t="shared" si="65"/>
        <v>1</v>
      </c>
      <c r="L1535" s="89">
        <v>15642.47</v>
      </c>
      <c r="M1535" s="89">
        <v>3111.86</v>
      </c>
      <c r="N1535" s="89">
        <v>1646.24</v>
      </c>
      <c r="O1535" s="89">
        <f t="shared" si="64"/>
        <v>20400.57</v>
      </c>
    </row>
    <row r="1536" spans="1:15">
      <c r="A1536" s="74" t="s">
        <v>113</v>
      </c>
      <c r="B1536" s="74" t="s">
        <v>304</v>
      </c>
      <c r="C1536" s="74" t="s">
        <v>305</v>
      </c>
      <c r="D1536" s="74" t="s">
        <v>86</v>
      </c>
      <c r="E1536" s="74" t="s">
        <v>90</v>
      </c>
      <c r="F1536" s="86" t="s">
        <v>306</v>
      </c>
      <c r="G1536" s="74" t="s">
        <v>307</v>
      </c>
      <c r="H1536" s="87">
        <v>44196</v>
      </c>
      <c r="I1536" s="98">
        <v>22</v>
      </c>
      <c r="J1536" s="98">
        <v>22</v>
      </c>
      <c r="K1536" s="89">
        <f t="shared" si="65"/>
        <v>1</v>
      </c>
      <c r="L1536" s="89">
        <v>17291.73</v>
      </c>
      <c r="M1536" s="89">
        <v>3159.74</v>
      </c>
      <c r="N1536" s="89">
        <v>2125.34</v>
      </c>
      <c r="O1536" s="89">
        <f t="shared" si="64"/>
        <v>22576.81</v>
      </c>
    </row>
    <row r="1537" spans="1:15">
      <c r="A1537" s="74" t="s">
        <v>308</v>
      </c>
      <c r="B1537" s="74" t="s">
        <v>114</v>
      </c>
      <c r="C1537" s="74" t="s">
        <v>115</v>
      </c>
      <c r="D1537" s="74" t="s">
        <v>79</v>
      </c>
      <c r="E1537" s="74" t="s">
        <v>80</v>
      </c>
      <c r="F1537" s="86" t="s">
        <v>116</v>
      </c>
      <c r="G1537" s="74" t="s">
        <v>117</v>
      </c>
      <c r="H1537" s="87">
        <v>44500</v>
      </c>
      <c r="I1537" s="98">
        <v>22</v>
      </c>
      <c r="J1537" s="98">
        <v>22</v>
      </c>
      <c r="K1537" s="89">
        <f t="shared" si="65"/>
        <v>1</v>
      </c>
      <c r="L1537" s="89">
        <v>8355.51</v>
      </c>
      <c r="M1537" s="89">
        <v>3084.19</v>
      </c>
      <c r="N1537" s="89">
        <v>837.02</v>
      </c>
      <c r="O1537" s="89">
        <f t="shared" si="64"/>
        <v>12276.72</v>
      </c>
    </row>
    <row r="1538" spans="1:15">
      <c r="A1538" s="74" t="s">
        <v>308</v>
      </c>
      <c r="B1538" s="74" t="s">
        <v>118</v>
      </c>
      <c r="C1538" s="74" t="s">
        <v>119</v>
      </c>
      <c r="D1538" s="74" t="s">
        <v>79</v>
      </c>
      <c r="E1538" s="74" t="s">
        <v>80</v>
      </c>
      <c r="F1538" s="86" t="s">
        <v>120</v>
      </c>
      <c r="G1538" s="74" t="s">
        <v>117</v>
      </c>
      <c r="H1538" s="87">
        <v>44500</v>
      </c>
      <c r="I1538" s="98">
        <v>22</v>
      </c>
      <c r="J1538" s="98">
        <v>22</v>
      </c>
      <c r="K1538" s="89">
        <f t="shared" ref="K1538:K1601" si="66">I1538/J1538</f>
        <v>1</v>
      </c>
      <c r="L1538" s="89">
        <v>7461.95</v>
      </c>
      <c r="M1538" s="89">
        <v>3199.72</v>
      </c>
      <c r="N1538" s="89">
        <v>713.92</v>
      </c>
      <c r="O1538" s="89">
        <f t="shared" si="64"/>
        <v>11375.59</v>
      </c>
    </row>
    <row r="1539" spans="1:15">
      <c r="A1539" s="74" t="s">
        <v>308</v>
      </c>
      <c r="B1539" s="74" t="s">
        <v>121</v>
      </c>
      <c r="C1539" s="74" t="s">
        <v>122</v>
      </c>
      <c r="D1539" s="74" t="s">
        <v>79</v>
      </c>
      <c r="E1539" s="74" t="s">
        <v>80</v>
      </c>
      <c r="F1539" s="86" t="s">
        <v>123</v>
      </c>
      <c r="G1539" s="74" t="s">
        <v>117</v>
      </c>
      <c r="H1539" s="87">
        <v>44500</v>
      </c>
      <c r="I1539" s="98">
        <v>22</v>
      </c>
      <c r="J1539" s="98">
        <v>22</v>
      </c>
      <c r="K1539" s="89">
        <f t="shared" si="66"/>
        <v>1</v>
      </c>
      <c r="L1539" s="89">
        <v>6046.94</v>
      </c>
      <c r="M1539" s="89">
        <v>3210.92</v>
      </c>
      <c r="N1539" s="89">
        <v>639.82</v>
      </c>
      <c r="O1539" s="89">
        <f t="shared" si="64"/>
        <v>9897.68</v>
      </c>
    </row>
    <row r="1540" spans="1:15">
      <c r="A1540" s="74" t="s">
        <v>308</v>
      </c>
      <c r="B1540" s="74" t="s">
        <v>124</v>
      </c>
      <c r="C1540" s="74" t="s">
        <v>125</v>
      </c>
      <c r="D1540" s="74" t="s">
        <v>79</v>
      </c>
      <c r="E1540" s="74" t="s">
        <v>80</v>
      </c>
      <c r="F1540" s="86" t="s">
        <v>116</v>
      </c>
      <c r="G1540" s="74" t="s">
        <v>117</v>
      </c>
      <c r="H1540" s="87">
        <v>44500</v>
      </c>
      <c r="I1540" s="98">
        <v>22</v>
      </c>
      <c r="J1540" s="98">
        <v>22</v>
      </c>
      <c r="K1540" s="89">
        <f t="shared" si="66"/>
        <v>1</v>
      </c>
      <c r="L1540" s="89">
        <v>8421.71</v>
      </c>
      <c r="M1540" s="89">
        <v>3251.42</v>
      </c>
      <c r="N1540" s="89">
        <v>879.89</v>
      </c>
      <c r="O1540" s="89">
        <f t="shared" si="64"/>
        <v>12553.02</v>
      </c>
    </row>
    <row r="1541" spans="1:15">
      <c r="A1541" s="74" t="s">
        <v>308</v>
      </c>
      <c r="B1541" s="74" t="s">
        <v>126</v>
      </c>
      <c r="C1541" s="74" t="s">
        <v>127</v>
      </c>
      <c r="D1541" s="74" t="s">
        <v>79</v>
      </c>
      <c r="E1541" s="74" t="s">
        <v>80</v>
      </c>
      <c r="F1541" s="86" t="s">
        <v>120</v>
      </c>
      <c r="G1541" s="74" t="s">
        <v>117</v>
      </c>
      <c r="H1541" s="87">
        <v>44500</v>
      </c>
      <c r="I1541" s="98">
        <v>22</v>
      </c>
      <c r="J1541" s="98">
        <v>22</v>
      </c>
      <c r="K1541" s="89">
        <f t="shared" si="66"/>
        <v>1</v>
      </c>
      <c r="L1541" s="89">
        <v>7302.61</v>
      </c>
      <c r="M1541" s="89">
        <v>3160.01</v>
      </c>
      <c r="N1541" s="89">
        <v>757.36</v>
      </c>
      <c r="O1541" s="89">
        <f t="shared" ref="O1541:O1604" si="67">SUM(L1541:N1541)</f>
        <v>11219.98</v>
      </c>
    </row>
    <row r="1542" spans="1:15">
      <c r="A1542" s="74" t="s">
        <v>308</v>
      </c>
      <c r="B1542" s="74" t="s">
        <v>128</v>
      </c>
      <c r="C1542" s="74" t="s">
        <v>129</v>
      </c>
      <c r="D1542" s="74" t="s">
        <v>79</v>
      </c>
      <c r="E1542" s="74" t="s">
        <v>80</v>
      </c>
      <c r="F1542" s="86" t="s">
        <v>123</v>
      </c>
      <c r="G1542" s="74" t="s">
        <v>117</v>
      </c>
      <c r="H1542" s="87">
        <v>44500</v>
      </c>
      <c r="I1542" s="98">
        <v>22</v>
      </c>
      <c r="J1542" s="98">
        <v>22</v>
      </c>
      <c r="K1542" s="89">
        <f t="shared" si="66"/>
        <v>1</v>
      </c>
      <c r="L1542" s="89">
        <v>6134.7</v>
      </c>
      <c r="M1542" s="89">
        <v>3082.13</v>
      </c>
      <c r="N1542" s="89">
        <v>654.11</v>
      </c>
      <c r="O1542" s="89">
        <f t="shared" si="67"/>
        <v>9870.94</v>
      </c>
    </row>
    <row r="1543" spans="1:15">
      <c r="A1543" s="74" t="s">
        <v>308</v>
      </c>
      <c r="B1543" s="74" t="s">
        <v>130</v>
      </c>
      <c r="C1543" s="74" t="s">
        <v>131</v>
      </c>
      <c r="D1543" s="74" t="s">
        <v>79</v>
      </c>
      <c r="E1543" s="74" t="s">
        <v>80</v>
      </c>
      <c r="F1543" s="86" t="s">
        <v>116</v>
      </c>
      <c r="G1543" s="74" t="s">
        <v>117</v>
      </c>
      <c r="H1543" s="87">
        <v>44500</v>
      </c>
      <c r="I1543" s="98">
        <v>22</v>
      </c>
      <c r="J1543" s="98">
        <v>22</v>
      </c>
      <c r="K1543" s="89">
        <f t="shared" si="66"/>
        <v>1</v>
      </c>
      <c r="L1543" s="89">
        <v>8433.23</v>
      </c>
      <c r="M1543" s="89">
        <v>3086.07</v>
      </c>
      <c r="N1543" s="89">
        <v>870.72</v>
      </c>
      <c r="O1543" s="89">
        <f t="shared" si="67"/>
        <v>12390.02</v>
      </c>
    </row>
    <row r="1544" spans="1:15">
      <c r="A1544" s="74" t="s">
        <v>308</v>
      </c>
      <c r="B1544" s="74" t="s">
        <v>132</v>
      </c>
      <c r="C1544" s="74" t="s">
        <v>133</v>
      </c>
      <c r="D1544" s="74" t="s">
        <v>79</v>
      </c>
      <c r="E1544" s="74" t="s">
        <v>80</v>
      </c>
      <c r="F1544" s="86" t="s">
        <v>120</v>
      </c>
      <c r="G1544" s="74" t="s">
        <v>117</v>
      </c>
      <c r="H1544" s="87">
        <v>44500</v>
      </c>
      <c r="I1544" s="98">
        <v>22</v>
      </c>
      <c r="J1544" s="98">
        <v>22</v>
      </c>
      <c r="K1544" s="89">
        <f t="shared" si="66"/>
        <v>1</v>
      </c>
      <c r="L1544" s="89">
        <v>7090.52</v>
      </c>
      <c r="M1544" s="89">
        <v>3291.24</v>
      </c>
      <c r="N1544" s="89">
        <v>726.46</v>
      </c>
      <c r="O1544" s="89">
        <f t="shared" si="67"/>
        <v>11108.22</v>
      </c>
    </row>
    <row r="1545" spans="1:15">
      <c r="A1545" s="74" t="s">
        <v>308</v>
      </c>
      <c r="B1545" s="74" t="s">
        <v>134</v>
      </c>
      <c r="C1545" s="74" t="s">
        <v>135</v>
      </c>
      <c r="D1545" s="74" t="s">
        <v>79</v>
      </c>
      <c r="E1545" s="74" t="s">
        <v>80</v>
      </c>
      <c r="F1545" s="86" t="s">
        <v>123</v>
      </c>
      <c r="G1545" s="74" t="s">
        <v>117</v>
      </c>
      <c r="H1545" s="87">
        <v>44500</v>
      </c>
      <c r="I1545" s="98">
        <v>22</v>
      </c>
      <c r="J1545" s="98">
        <v>22</v>
      </c>
      <c r="K1545" s="89">
        <f t="shared" si="66"/>
        <v>1</v>
      </c>
      <c r="L1545" s="89">
        <v>6565.61</v>
      </c>
      <c r="M1545" s="89">
        <v>3090.56</v>
      </c>
      <c r="N1545" s="89">
        <v>631.6</v>
      </c>
      <c r="O1545" s="89">
        <f t="shared" si="67"/>
        <v>10287.77</v>
      </c>
    </row>
    <row r="1546" spans="1:15">
      <c r="A1546" s="74" t="s">
        <v>308</v>
      </c>
      <c r="B1546" s="74" t="s">
        <v>136</v>
      </c>
      <c r="C1546" s="74" t="s">
        <v>137</v>
      </c>
      <c r="D1546" s="74" t="s">
        <v>79</v>
      </c>
      <c r="E1546" s="74" t="s">
        <v>80</v>
      </c>
      <c r="F1546" s="86" t="s">
        <v>116</v>
      </c>
      <c r="G1546" s="74" t="s">
        <v>138</v>
      </c>
      <c r="H1546" s="87">
        <v>44500</v>
      </c>
      <c r="I1546" s="98">
        <v>22</v>
      </c>
      <c r="J1546" s="98">
        <v>22</v>
      </c>
      <c r="K1546" s="89">
        <f t="shared" si="66"/>
        <v>1</v>
      </c>
      <c r="L1546" s="89">
        <v>8464.97</v>
      </c>
      <c r="M1546" s="89">
        <v>3204.3</v>
      </c>
      <c r="N1546" s="89">
        <v>845</v>
      </c>
      <c r="O1546" s="89">
        <f t="shared" si="67"/>
        <v>12514.27</v>
      </c>
    </row>
    <row r="1547" spans="1:15">
      <c r="A1547" s="74" t="s">
        <v>308</v>
      </c>
      <c r="B1547" s="74" t="s">
        <v>139</v>
      </c>
      <c r="C1547" s="74" t="s">
        <v>140</v>
      </c>
      <c r="D1547" s="74" t="s">
        <v>79</v>
      </c>
      <c r="E1547" s="74" t="s">
        <v>80</v>
      </c>
      <c r="F1547" s="86" t="s">
        <v>120</v>
      </c>
      <c r="G1547" s="74" t="s">
        <v>138</v>
      </c>
      <c r="H1547" s="87">
        <v>44500</v>
      </c>
      <c r="I1547" s="98">
        <v>22</v>
      </c>
      <c r="J1547" s="98">
        <v>22</v>
      </c>
      <c r="K1547" s="89">
        <f t="shared" si="66"/>
        <v>1</v>
      </c>
      <c r="L1547" s="89">
        <v>7234.84</v>
      </c>
      <c r="M1547" s="89">
        <v>3293.38</v>
      </c>
      <c r="N1547" s="89">
        <v>740.77</v>
      </c>
      <c r="O1547" s="89">
        <f t="shared" si="67"/>
        <v>11268.99</v>
      </c>
    </row>
    <row r="1548" spans="1:15">
      <c r="A1548" s="74" t="s">
        <v>308</v>
      </c>
      <c r="B1548" s="74" t="s">
        <v>141</v>
      </c>
      <c r="C1548" s="74" t="s">
        <v>142</v>
      </c>
      <c r="D1548" s="74" t="s">
        <v>79</v>
      </c>
      <c r="E1548" s="74" t="s">
        <v>80</v>
      </c>
      <c r="F1548" s="86" t="s">
        <v>123</v>
      </c>
      <c r="G1548" s="74" t="s">
        <v>138</v>
      </c>
      <c r="H1548" s="87">
        <v>44500</v>
      </c>
      <c r="I1548" s="98">
        <v>22</v>
      </c>
      <c r="J1548" s="98">
        <v>22</v>
      </c>
      <c r="K1548" s="89">
        <f t="shared" si="66"/>
        <v>1</v>
      </c>
      <c r="L1548" s="89">
        <v>6029.56</v>
      </c>
      <c r="M1548" s="89">
        <v>3251.79</v>
      </c>
      <c r="N1548" s="89">
        <v>632.78</v>
      </c>
      <c r="O1548" s="89">
        <f t="shared" si="67"/>
        <v>9914.13</v>
      </c>
    </row>
    <row r="1549" spans="1:15">
      <c r="A1549" s="74" t="s">
        <v>308</v>
      </c>
      <c r="B1549" s="74" t="s">
        <v>143</v>
      </c>
      <c r="C1549" s="74" t="s">
        <v>144</v>
      </c>
      <c r="D1549" s="74" t="s">
        <v>79</v>
      </c>
      <c r="E1549" s="74" t="s">
        <v>80</v>
      </c>
      <c r="F1549" s="86" t="s">
        <v>145</v>
      </c>
      <c r="G1549" s="74" t="s">
        <v>146</v>
      </c>
      <c r="H1549" s="87">
        <v>44500</v>
      </c>
      <c r="I1549" s="98">
        <v>22</v>
      </c>
      <c r="J1549" s="98">
        <v>22</v>
      </c>
      <c r="K1549" s="89">
        <f t="shared" si="66"/>
        <v>1</v>
      </c>
      <c r="L1549" s="89">
        <v>20692.8</v>
      </c>
      <c r="M1549" s="89">
        <v>3258.67</v>
      </c>
      <c r="N1549" s="89">
        <v>2021.29</v>
      </c>
      <c r="O1549" s="89">
        <f t="shared" si="67"/>
        <v>25972.76</v>
      </c>
    </row>
    <row r="1550" spans="1:15">
      <c r="A1550" s="74" t="s">
        <v>308</v>
      </c>
      <c r="B1550" s="74" t="s">
        <v>147</v>
      </c>
      <c r="C1550" s="74" t="s">
        <v>148</v>
      </c>
      <c r="D1550" s="74" t="s">
        <v>79</v>
      </c>
      <c r="E1550" s="74" t="s">
        <v>80</v>
      </c>
      <c r="F1550" s="86" t="s">
        <v>149</v>
      </c>
      <c r="G1550" s="74" t="s">
        <v>150</v>
      </c>
      <c r="H1550" s="87">
        <v>44500</v>
      </c>
      <c r="I1550" s="98">
        <v>22</v>
      </c>
      <c r="J1550" s="98">
        <v>22</v>
      </c>
      <c r="K1550" s="89">
        <f t="shared" si="66"/>
        <v>1</v>
      </c>
      <c r="L1550" s="89">
        <v>18609.49</v>
      </c>
      <c r="M1550" s="89">
        <v>3124.52</v>
      </c>
      <c r="N1550" s="89">
        <v>1798.93</v>
      </c>
      <c r="O1550" s="89">
        <f t="shared" si="67"/>
        <v>23532.94</v>
      </c>
    </row>
    <row r="1551" spans="1:15">
      <c r="A1551" s="74" t="s">
        <v>308</v>
      </c>
      <c r="B1551" s="74" t="s">
        <v>151</v>
      </c>
      <c r="C1551" s="74" t="s">
        <v>152</v>
      </c>
      <c r="D1551" s="74" t="s">
        <v>79</v>
      </c>
      <c r="E1551" s="74" t="s">
        <v>81</v>
      </c>
      <c r="F1551" s="86" t="s">
        <v>123</v>
      </c>
      <c r="G1551" s="74" t="s">
        <v>153</v>
      </c>
      <c r="H1551" s="87">
        <v>44500</v>
      </c>
      <c r="I1551" s="98">
        <v>22</v>
      </c>
      <c r="J1551" s="98">
        <v>22</v>
      </c>
      <c r="K1551" s="89">
        <f t="shared" si="66"/>
        <v>1</v>
      </c>
      <c r="L1551" s="89">
        <v>6250.25</v>
      </c>
      <c r="M1551" s="89">
        <v>3162.14</v>
      </c>
      <c r="N1551" s="89">
        <v>614.24</v>
      </c>
      <c r="O1551" s="89">
        <f t="shared" si="67"/>
        <v>10026.63</v>
      </c>
    </row>
    <row r="1552" spans="1:15">
      <c r="A1552" s="74" t="s">
        <v>308</v>
      </c>
      <c r="B1552" s="74" t="s">
        <v>154</v>
      </c>
      <c r="C1552" s="74" t="s">
        <v>155</v>
      </c>
      <c r="D1552" s="74" t="s">
        <v>79</v>
      </c>
      <c r="E1552" s="74" t="s">
        <v>81</v>
      </c>
      <c r="F1552" s="86" t="s">
        <v>156</v>
      </c>
      <c r="G1552" s="74" t="s">
        <v>157</v>
      </c>
      <c r="H1552" s="87">
        <v>44500</v>
      </c>
      <c r="I1552" s="98">
        <v>22</v>
      </c>
      <c r="J1552" s="98">
        <v>22</v>
      </c>
      <c r="K1552" s="89">
        <f t="shared" si="66"/>
        <v>1</v>
      </c>
      <c r="L1552" s="89">
        <v>5434.34</v>
      </c>
      <c r="M1552" s="89">
        <v>3214</v>
      </c>
      <c r="N1552" s="89">
        <v>526.92</v>
      </c>
      <c r="O1552" s="89">
        <f t="shared" si="67"/>
        <v>9175.26</v>
      </c>
    </row>
    <row r="1553" spans="1:15">
      <c r="A1553" s="74" t="s">
        <v>308</v>
      </c>
      <c r="B1553" s="74" t="s">
        <v>158</v>
      </c>
      <c r="C1553" s="74" t="s">
        <v>159</v>
      </c>
      <c r="D1553" s="74" t="s">
        <v>79</v>
      </c>
      <c r="E1553" s="74" t="s">
        <v>81</v>
      </c>
      <c r="F1553" s="86" t="s">
        <v>160</v>
      </c>
      <c r="G1553" s="74" t="s">
        <v>161</v>
      </c>
      <c r="H1553" s="87">
        <v>44500</v>
      </c>
      <c r="I1553" s="98">
        <v>22</v>
      </c>
      <c r="J1553" s="98">
        <v>22</v>
      </c>
      <c r="K1553" s="89">
        <f t="shared" si="66"/>
        <v>1</v>
      </c>
      <c r="L1553" s="89">
        <v>4354.41</v>
      </c>
      <c r="M1553" s="89">
        <v>3024.7</v>
      </c>
      <c r="N1553" s="89">
        <v>415.58</v>
      </c>
      <c r="O1553" s="89">
        <f t="shared" si="67"/>
        <v>7794.69</v>
      </c>
    </row>
    <row r="1554" spans="1:15">
      <c r="A1554" s="74" t="s">
        <v>308</v>
      </c>
      <c r="B1554" s="74" t="s">
        <v>162</v>
      </c>
      <c r="C1554" s="74" t="s">
        <v>163</v>
      </c>
      <c r="D1554" s="74" t="s">
        <v>79</v>
      </c>
      <c r="E1554" s="74" t="s">
        <v>81</v>
      </c>
      <c r="F1554" s="86" t="s">
        <v>123</v>
      </c>
      <c r="G1554" s="74" t="s">
        <v>153</v>
      </c>
      <c r="H1554" s="87">
        <v>44500</v>
      </c>
      <c r="I1554" s="98">
        <v>22</v>
      </c>
      <c r="J1554" s="98">
        <v>22</v>
      </c>
      <c r="K1554" s="89">
        <f t="shared" si="66"/>
        <v>1</v>
      </c>
      <c r="L1554" s="89">
        <v>6069.95</v>
      </c>
      <c r="M1554" s="89">
        <v>3261.35</v>
      </c>
      <c r="N1554" s="89">
        <v>604.19</v>
      </c>
      <c r="O1554" s="89">
        <f t="shared" si="67"/>
        <v>9935.49</v>
      </c>
    </row>
    <row r="1555" spans="1:15">
      <c r="A1555" s="74" t="s">
        <v>308</v>
      </c>
      <c r="B1555" s="74" t="s">
        <v>164</v>
      </c>
      <c r="C1555" s="74" t="s">
        <v>165</v>
      </c>
      <c r="D1555" s="74" t="s">
        <v>79</v>
      </c>
      <c r="E1555" s="74" t="s">
        <v>81</v>
      </c>
      <c r="F1555" s="86" t="s">
        <v>156</v>
      </c>
      <c r="G1555" s="74" t="s">
        <v>157</v>
      </c>
      <c r="H1555" s="87">
        <v>44500</v>
      </c>
      <c r="I1555" s="98">
        <v>22</v>
      </c>
      <c r="J1555" s="98">
        <v>22</v>
      </c>
      <c r="K1555" s="89">
        <f t="shared" si="66"/>
        <v>1</v>
      </c>
      <c r="L1555" s="89">
        <v>5468.37</v>
      </c>
      <c r="M1555" s="89">
        <v>3133.04</v>
      </c>
      <c r="N1555" s="89">
        <v>541.12</v>
      </c>
      <c r="O1555" s="89">
        <f t="shared" si="67"/>
        <v>9142.53</v>
      </c>
    </row>
    <row r="1556" spans="1:15">
      <c r="A1556" s="74" t="s">
        <v>308</v>
      </c>
      <c r="B1556" s="74" t="s">
        <v>166</v>
      </c>
      <c r="C1556" s="74" t="s">
        <v>167</v>
      </c>
      <c r="D1556" s="74" t="s">
        <v>79</v>
      </c>
      <c r="E1556" s="74" t="s">
        <v>81</v>
      </c>
      <c r="F1556" s="86" t="s">
        <v>160</v>
      </c>
      <c r="G1556" s="74" t="s">
        <v>161</v>
      </c>
      <c r="H1556" s="87">
        <v>44500</v>
      </c>
      <c r="I1556" s="98">
        <v>22</v>
      </c>
      <c r="J1556" s="98">
        <v>22</v>
      </c>
      <c r="K1556" s="89">
        <f t="shared" si="66"/>
        <v>1</v>
      </c>
      <c r="L1556" s="89">
        <v>4360.06</v>
      </c>
      <c r="M1556" s="89">
        <v>3199.44</v>
      </c>
      <c r="N1556" s="89">
        <v>439</v>
      </c>
      <c r="O1556" s="89">
        <f t="shared" si="67"/>
        <v>7998.5</v>
      </c>
    </row>
    <row r="1557" spans="1:15">
      <c r="A1557" s="74" t="s">
        <v>308</v>
      </c>
      <c r="B1557" s="74" t="s">
        <v>168</v>
      </c>
      <c r="C1557" s="74" t="s">
        <v>169</v>
      </c>
      <c r="D1557" s="74" t="s">
        <v>79</v>
      </c>
      <c r="E1557" s="74" t="s">
        <v>81</v>
      </c>
      <c r="F1557" s="86" t="s">
        <v>123</v>
      </c>
      <c r="G1557" s="74" t="s">
        <v>153</v>
      </c>
      <c r="H1557" s="87">
        <v>44500</v>
      </c>
      <c r="I1557" s="98">
        <v>22</v>
      </c>
      <c r="J1557" s="98">
        <v>22</v>
      </c>
      <c r="K1557" s="89">
        <f t="shared" si="66"/>
        <v>1</v>
      </c>
      <c r="L1557" s="89">
        <v>6470.83</v>
      </c>
      <c r="M1557" s="89">
        <v>3115.42</v>
      </c>
      <c r="N1557" s="89">
        <v>656.5</v>
      </c>
      <c r="O1557" s="89">
        <f t="shared" si="67"/>
        <v>10242.75</v>
      </c>
    </row>
    <row r="1558" spans="1:15">
      <c r="A1558" s="74" t="s">
        <v>308</v>
      </c>
      <c r="B1558" s="74" t="s">
        <v>170</v>
      </c>
      <c r="C1558" s="74" t="s">
        <v>171</v>
      </c>
      <c r="D1558" s="74" t="s">
        <v>79</v>
      </c>
      <c r="E1558" s="74" t="s">
        <v>81</v>
      </c>
      <c r="F1558" s="86" t="s">
        <v>156</v>
      </c>
      <c r="G1558" s="74" t="s">
        <v>157</v>
      </c>
      <c r="H1558" s="87">
        <v>44500</v>
      </c>
      <c r="I1558" s="98">
        <v>22</v>
      </c>
      <c r="J1558" s="98">
        <v>22</v>
      </c>
      <c r="K1558" s="89">
        <f t="shared" si="66"/>
        <v>1</v>
      </c>
      <c r="L1558" s="89">
        <v>5075.47</v>
      </c>
      <c r="M1558" s="89">
        <v>3287.24</v>
      </c>
      <c r="N1558" s="89">
        <v>511.87</v>
      </c>
      <c r="O1558" s="89">
        <f t="shared" si="67"/>
        <v>8874.58</v>
      </c>
    </row>
    <row r="1559" spans="1:15">
      <c r="A1559" s="74" t="s">
        <v>308</v>
      </c>
      <c r="B1559" s="74" t="s">
        <v>172</v>
      </c>
      <c r="C1559" s="74" t="s">
        <v>173</v>
      </c>
      <c r="D1559" s="74" t="s">
        <v>79</v>
      </c>
      <c r="E1559" s="74" t="s">
        <v>81</v>
      </c>
      <c r="F1559" s="86" t="s">
        <v>160</v>
      </c>
      <c r="G1559" s="74" t="s">
        <v>161</v>
      </c>
      <c r="H1559" s="87">
        <v>44500</v>
      </c>
      <c r="I1559" s="98">
        <v>22</v>
      </c>
      <c r="J1559" s="98">
        <v>22</v>
      </c>
      <c r="K1559" s="89">
        <f t="shared" si="66"/>
        <v>1</v>
      </c>
      <c r="L1559" s="89">
        <v>4066.84</v>
      </c>
      <c r="M1559" s="89">
        <v>3004.92</v>
      </c>
      <c r="N1559" s="89">
        <v>438.83</v>
      </c>
      <c r="O1559" s="89">
        <f t="shared" si="67"/>
        <v>7510.59</v>
      </c>
    </row>
    <row r="1560" spans="1:15">
      <c r="A1560" s="74" t="s">
        <v>308</v>
      </c>
      <c r="B1560" s="74" t="s">
        <v>174</v>
      </c>
      <c r="C1560" s="74" t="s">
        <v>175</v>
      </c>
      <c r="D1560" s="74" t="s">
        <v>79</v>
      </c>
      <c r="E1560" s="74" t="s">
        <v>81</v>
      </c>
      <c r="F1560" s="86" t="s">
        <v>176</v>
      </c>
      <c r="G1560" s="74" t="s">
        <v>177</v>
      </c>
      <c r="H1560" s="87">
        <v>44500</v>
      </c>
      <c r="I1560" s="98">
        <v>22</v>
      </c>
      <c r="J1560" s="98">
        <v>22</v>
      </c>
      <c r="K1560" s="89">
        <f t="shared" si="66"/>
        <v>1</v>
      </c>
      <c r="L1560" s="89">
        <v>3068.12</v>
      </c>
      <c r="M1560" s="89">
        <v>3178.86</v>
      </c>
      <c r="N1560" s="89">
        <v>323.62</v>
      </c>
      <c r="O1560" s="89">
        <f t="shared" si="67"/>
        <v>6570.6</v>
      </c>
    </row>
    <row r="1561" spans="1:15">
      <c r="A1561" s="74" t="s">
        <v>308</v>
      </c>
      <c r="B1561" s="74" t="s">
        <v>178</v>
      </c>
      <c r="C1561" s="74" t="s">
        <v>179</v>
      </c>
      <c r="D1561" s="74" t="s">
        <v>79</v>
      </c>
      <c r="E1561" s="74" t="s">
        <v>81</v>
      </c>
      <c r="F1561" s="86" t="s">
        <v>180</v>
      </c>
      <c r="G1561" s="74" t="s">
        <v>177</v>
      </c>
      <c r="H1561" s="87">
        <v>44500</v>
      </c>
      <c r="I1561" s="98">
        <v>22</v>
      </c>
      <c r="J1561" s="98">
        <v>22</v>
      </c>
      <c r="K1561" s="89">
        <f t="shared" si="66"/>
        <v>1</v>
      </c>
      <c r="L1561" s="89">
        <v>2016.22</v>
      </c>
      <c r="M1561" s="89">
        <v>3174.46</v>
      </c>
      <c r="N1561" s="89">
        <v>217.26</v>
      </c>
      <c r="O1561" s="89">
        <f t="shared" si="67"/>
        <v>5407.94</v>
      </c>
    </row>
    <row r="1562" spans="1:15">
      <c r="A1562" s="74" t="s">
        <v>308</v>
      </c>
      <c r="B1562" s="74" t="s">
        <v>181</v>
      </c>
      <c r="C1562" s="74" t="s">
        <v>182</v>
      </c>
      <c r="D1562" s="74" t="s">
        <v>79</v>
      </c>
      <c r="E1562" s="74" t="s">
        <v>81</v>
      </c>
      <c r="F1562" s="86" t="s">
        <v>183</v>
      </c>
      <c r="G1562" s="74" t="s">
        <v>177</v>
      </c>
      <c r="H1562" s="87">
        <v>44500</v>
      </c>
      <c r="I1562" s="98">
        <v>22</v>
      </c>
      <c r="J1562" s="98">
        <v>22</v>
      </c>
      <c r="K1562" s="89">
        <f t="shared" si="66"/>
        <v>1</v>
      </c>
      <c r="L1562" s="89">
        <v>1082.8</v>
      </c>
      <c r="M1562" s="89">
        <v>3146.24</v>
      </c>
      <c r="N1562" s="89">
        <v>109.6</v>
      </c>
      <c r="O1562" s="89">
        <f t="shared" si="67"/>
        <v>4338.64</v>
      </c>
    </row>
    <row r="1563" spans="1:15">
      <c r="A1563" s="74" t="s">
        <v>308</v>
      </c>
      <c r="B1563" s="74" t="s">
        <v>184</v>
      </c>
      <c r="C1563" s="74" t="s">
        <v>185</v>
      </c>
      <c r="D1563" s="74" t="s">
        <v>79</v>
      </c>
      <c r="E1563" s="74" t="s">
        <v>81</v>
      </c>
      <c r="F1563" s="86" t="s">
        <v>176</v>
      </c>
      <c r="G1563" s="74" t="s">
        <v>177</v>
      </c>
      <c r="H1563" s="87">
        <v>44500</v>
      </c>
      <c r="I1563" s="98">
        <v>22</v>
      </c>
      <c r="J1563" s="98">
        <v>22</v>
      </c>
      <c r="K1563" s="89">
        <f t="shared" si="66"/>
        <v>1</v>
      </c>
      <c r="L1563" s="89">
        <v>3010.88</v>
      </c>
      <c r="M1563" s="89">
        <v>3254.72</v>
      </c>
      <c r="N1563" s="89">
        <v>324.59</v>
      </c>
      <c r="O1563" s="89">
        <f t="shared" si="67"/>
        <v>6590.19</v>
      </c>
    </row>
    <row r="1564" spans="1:15">
      <c r="A1564" s="74" t="s">
        <v>308</v>
      </c>
      <c r="B1564" s="74" t="s">
        <v>186</v>
      </c>
      <c r="C1564" s="74" t="s">
        <v>187</v>
      </c>
      <c r="D1564" s="74" t="s">
        <v>79</v>
      </c>
      <c r="E1564" s="74" t="s">
        <v>81</v>
      </c>
      <c r="F1564" s="86" t="s">
        <v>180</v>
      </c>
      <c r="G1564" s="74" t="s">
        <v>177</v>
      </c>
      <c r="H1564" s="87">
        <v>44500</v>
      </c>
      <c r="I1564" s="98">
        <v>22</v>
      </c>
      <c r="J1564" s="98">
        <v>22</v>
      </c>
      <c r="K1564" s="89">
        <f t="shared" si="66"/>
        <v>1</v>
      </c>
      <c r="L1564" s="89">
        <v>2090.67</v>
      </c>
      <c r="M1564" s="89">
        <v>3298.06</v>
      </c>
      <c r="N1564" s="89">
        <v>214.64</v>
      </c>
      <c r="O1564" s="89">
        <f t="shared" si="67"/>
        <v>5603.37</v>
      </c>
    </row>
    <row r="1565" spans="1:15">
      <c r="A1565" s="74" t="s">
        <v>308</v>
      </c>
      <c r="B1565" s="74" t="s">
        <v>188</v>
      </c>
      <c r="C1565" s="74" t="s">
        <v>189</v>
      </c>
      <c r="D1565" s="74" t="s">
        <v>79</v>
      </c>
      <c r="E1565" s="74" t="s">
        <v>81</v>
      </c>
      <c r="F1565" s="86" t="s">
        <v>183</v>
      </c>
      <c r="G1565" s="74" t="s">
        <v>177</v>
      </c>
      <c r="H1565" s="87">
        <v>44500</v>
      </c>
      <c r="I1565" s="98">
        <v>22</v>
      </c>
      <c r="J1565" s="98">
        <v>22</v>
      </c>
      <c r="K1565" s="89">
        <f t="shared" si="66"/>
        <v>1</v>
      </c>
      <c r="L1565" s="89">
        <v>1030</v>
      </c>
      <c r="M1565" s="89">
        <v>3126.44</v>
      </c>
      <c r="N1565" s="89">
        <v>101.07</v>
      </c>
      <c r="O1565" s="89">
        <f t="shared" si="67"/>
        <v>4257.51</v>
      </c>
    </row>
    <row r="1566" spans="1:15">
      <c r="A1566" s="74" t="s">
        <v>308</v>
      </c>
      <c r="B1566" s="74" t="s">
        <v>190</v>
      </c>
      <c r="C1566" s="74" t="s">
        <v>191</v>
      </c>
      <c r="D1566" s="74" t="s">
        <v>79</v>
      </c>
      <c r="E1566" s="74" t="s">
        <v>81</v>
      </c>
      <c r="F1566" s="86" t="s">
        <v>176</v>
      </c>
      <c r="G1566" s="74" t="s">
        <v>177</v>
      </c>
      <c r="H1566" s="87">
        <v>44500</v>
      </c>
      <c r="I1566" s="98">
        <v>22</v>
      </c>
      <c r="J1566" s="98">
        <v>22</v>
      </c>
      <c r="K1566" s="89">
        <f t="shared" si="66"/>
        <v>1</v>
      </c>
      <c r="L1566" s="89">
        <v>3177.16</v>
      </c>
      <c r="M1566" s="89">
        <v>3069.77</v>
      </c>
      <c r="N1566" s="89">
        <v>320.3</v>
      </c>
      <c r="O1566" s="89">
        <f t="shared" si="67"/>
        <v>6567.23</v>
      </c>
    </row>
    <row r="1567" spans="1:15">
      <c r="A1567" s="74" t="s">
        <v>308</v>
      </c>
      <c r="B1567" s="74" t="s">
        <v>192</v>
      </c>
      <c r="C1567" s="74" t="s">
        <v>193</v>
      </c>
      <c r="D1567" s="74" t="s">
        <v>79</v>
      </c>
      <c r="E1567" s="74" t="s">
        <v>81</v>
      </c>
      <c r="F1567" s="86" t="s">
        <v>180</v>
      </c>
      <c r="G1567" s="74" t="s">
        <v>177</v>
      </c>
      <c r="H1567" s="87">
        <v>44500</v>
      </c>
      <c r="I1567" s="98">
        <v>22</v>
      </c>
      <c r="J1567" s="98">
        <v>22</v>
      </c>
      <c r="K1567" s="89">
        <f t="shared" si="66"/>
        <v>1</v>
      </c>
      <c r="L1567" s="89">
        <v>2041.42</v>
      </c>
      <c r="M1567" s="89">
        <v>3256.37</v>
      </c>
      <c r="N1567" s="89">
        <v>214.51</v>
      </c>
      <c r="O1567" s="89">
        <f t="shared" si="67"/>
        <v>5512.3</v>
      </c>
    </row>
    <row r="1568" spans="1:15">
      <c r="A1568" s="74" t="s">
        <v>308</v>
      </c>
      <c r="B1568" s="74" t="s">
        <v>194</v>
      </c>
      <c r="C1568" s="74" t="s">
        <v>195</v>
      </c>
      <c r="D1568" s="74" t="s">
        <v>79</v>
      </c>
      <c r="E1568" s="74" t="s">
        <v>81</v>
      </c>
      <c r="F1568" s="86" t="s">
        <v>183</v>
      </c>
      <c r="G1568" s="74" t="s">
        <v>177</v>
      </c>
      <c r="H1568" s="87">
        <v>44500</v>
      </c>
      <c r="I1568" s="98">
        <v>22</v>
      </c>
      <c r="J1568" s="98">
        <v>22</v>
      </c>
      <c r="K1568" s="89">
        <f t="shared" si="66"/>
        <v>1</v>
      </c>
      <c r="L1568" s="89">
        <v>1089.07</v>
      </c>
      <c r="M1568" s="89">
        <v>3225.57</v>
      </c>
      <c r="N1568" s="89">
        <v>107.17</v>
      </c>
      <c r="O1568" s="89">
        <f t="shared" si="67"/>
        <v>4421.81</v>
      </c>
    </row>
    <row r="1569" spans="1:15">
      <c r="A1569" s="74" t="s">
        <v>308</v>
      </c>
      <c r="B1569" s="74" t="s">
        <v>196</v>
      </c>
      <c r="C1569" s="74" t="s">
        <v>197</v>
      </c>
      <c r="D1569" s="74" t="s">
        <v>79</v>
      </c>
      <c r="E1569" s="74" t="s">
        <v>81</v>
      </c>
      <c r="F1569" s="86" t="s">
        <v>176</v>
      </c>
      <c r="G1569" s="74" t="s">
        <v>177</v>
      </c>
      <c r="H1569" s="87">
        <v>44500</v>
      </c>
      <c r="I1569" s="98">
        <v>22</v>
      </c>
      <c r="J1569" s="98">
        <v>22</v>
      </c>
      <c r="K1569" s="89">
        <f t="shared" si="66"/>
        <v>1</v>
      </c>
      <c r="L1569" s="89">
        <v>3168.87</v>
      </c>
      <c r="M1569" s="89">
        <v>3162.71</v>
      </c>
      <c r="N1569" s="89">
        <v>312.86</v>
      </c>
      <c r="O1569" s="89">
        <f t="shared" si="67"/>
        <v>6644.44</v>
      </c>
    </row>
    <row r="1570" spans="1:15">
      <c r="A1570" s="74" t="s">
        <v>308</v>
      </c>
      <c r="B1570" s="74" t="s">
        <v>198</v>
      </c>
      <c r="C1570" s="74" t="s">
        <v>199</v>
      </c>
      <c r="D1570" s="74" t="s">
        <v>79</v>
      </c>
      <c r="E1570" s="74" t="s">
        <v>81</v>
      </c>
      <c r="F1570" s="86" t="s">
        <v>180</v>
      </c>
      <c r="G1570" s="74" t="s">
        <v>177</v>
      </c>
      <c r="H1570" s="87">
        <v>44500</v>
      </c>
      <c r="I1570" s="98">
        <v>22</v>
      </c>
      <c r="J1570" s="98">
        <v>22</v>
      </c>
      <c r="K1570" s="89">
        <f t="shared" si="66"/>
        <v>1</v>
      </c>
      <c r="L1570" s="89">
        <v>2150.88</v>
      </c>
      <c r="M1570" s="89">
        <v>3246.32</v>
      </c>
      <c r="N1570" s="89">
        <v>216.84</v>
      </c>
      <c r="O1570" s="89">
        <f t="shared" si="67"/>
        <v>5614.04</v>
      </c>
    </row>
    <row r="1571" spans="1:15">
      <c r="A1571" s="74" t="s">
        <v>308</v>
      </c>
      <c r="B1571" s="74" t="s">
        <v>200</v>
      </c>
      <c r="C1571" s="74" t="s">
        <v>201</v>
      </c>
      <c r="D1571" s="74" t="s">
        <v>79</v>
      </c>
      <c r="E1571" s="74" t="s">
        <v>81</v>
      </c>
      <c r="F1571" s="86" t="s">
        <v>183</v>
      </c>
      <c r="G1571" s="74" t="s">
        <v>177</v>
      </c>
      <c r="H1571" s="87">
        <v>44500</v>
      </c>
      <c r="I1571" s="98">
        <v>22</v>
      </c>
      <c r="J1571" s="98">
        <v>22</v>
      </c>
      <c r="K1571" s="89">
        <f t="shared" si="66"/>
        <v>1</v>
      </c>
      <c r="L1571" s="89">
        <v>1048.93</v>
      </c>
      <c r="M1571" s="89">
        <v>3136.55</v>
      </c>
      <c r="N1571" s="89">
        <v>106.15</v>
      </c>
      <c r="O1571" s="89">
        <f t="shared" si="67"/>
        <v>4291.63</v>
      </c>
    </row>
    <row r="1572" spans="1:15">
      <c r="A1572" s="74" t="s">
        <v>308</v>
      </c>
      <c r="B1572" s="74" t="s">
        <v>202</v>
      </c>
      <c r="C1572" s="74" t="s">
        <v>203</v>
      </c>
      <c r="D1572" s="74" t="s">
        <v>79</v>
      </c>
      <c r="E1572" s="74" t="s">
        <v>81</v>
      </c>
      <c r="F1572" s="86" t="s">
        <v>204</v>
      </c>
      <c r="G1572" s="74" t="s">
        <v>205</v>
      </c>
      <c r="H1572" s="87">
        <v>44500</v>
      </c>
      <c r="I1572" s="98">
        <v>22</v>
      </c>
      <c r="J1572" s="98">
        <v>22</v>
      </c>
      <c r="K1572" s="89">
        <f t="shared" si="66"/>
        <v>1</v>
      </c>
      <c r="L1572" s="89">
        <v>18251.77</v>
      </c>
      <c r="M1572" s="89">
        <v>3063.36</v>
      </c>
      <c r="N1572" s="89">
        <v>1940.82</v>
      </c>
      <c r="O1572" s="89">
        <f t="shared" si="67"/>
        <v>23255.95</v>
      </c>
    </row>
    <row r="1573" spans="1:15">
      <c r="A1573" s="74" t="s">
        <v>308</v>
      </c>
      <c r="B1573" s="74" t="s">
        <v>206</v>
      </c>
      <c r="C1573" s="74" t="s">
        <v>207</v>
      </c>
      <c r="D1573" s="88" t="s">
        <v>82</v>
      </c>
      <c r="E1573" s="88" t="s">
        <v>84</v>
      </c>
      <c r="F1573" s="86" t="s">
        <v>208</v>
      </c>
      <c r="G1573" s="74" t="s">
        <v>209</v>
      </c>
      <c r="H1573" s="87">
        <v>44500</v>
      </c>
      <c r="I1573" s="98">
        <v>22</v>
      </c>
      <c r="J1573" s="98">
        <v>22</v>
      </c>
      <c r="K1573" s="89">
        <f t="shared" si="66"/>
        <v>1</v>
      </c>
      <c r="L1573" s="89">
        <v>9140.63</v>
      </c>
      <c r="M1573" s="89">
        <v>3133.99</v>
      </c>
      <c r="N1573" s="89">
        <v>911.02</v>
      </c>
      <c r="O1573" s="89">
        <f t="shared" si="67"/>
        <v>13185.64</v>
      </c>
    </row>
    <row r="1574" spans="1:15">
      <c r="A1574" s="74" t="s">
        <v>308</v>
      </c>
      <c r="B1574" s="74" t="s">
        <v>210</v>
      </c>
      <c r="C1574" s="74" t="s">
        <v>211</v>
      </c>
      <c r="D1574" s="88" t="s">
        <v>82</v>
      </c>
      <c r="E1574" s="88" t="s">
        <v>84</v>
      </c>
      <c r="F1574" s="86" t="s">
        <v>116</v>
      </c>
      <c r="G1574" s="74" t="s">
        <v>209</v>
      </c>
      <c r="H1574" s="87">
        <v>44500</v>
      </c>
      <c r="I1574" s="98">
        <v>22</v>
      </c>
      <c r="J1574" s="98">
        <v>22</v>
      </c>
      <c r="K1574" s="89">
        <f t="shared" si="66"/>
        <v>1</v>
      </c>
      <c r="L1574" s="89">
        <v>8136.62</v>
      </c>
      <c r="M1574" s="89">
        <v>3011.79</v>
      </c>
      <c r="N1574" s="89">
        <v>867.1</v>
      </c>
      <c r="O1574" s="89">
        <f t="shared" si="67"/>
        <v>12015.51</v>
      </c>
    </row>
    <row r="1575" spans="1:15">
      <c r="A1575" s="74" t="s">
        <v>308</v>
      </c>
      <c r="B1575" s="74" t="s">
        <v>212</v>
      </c>
      <c r="C1575" s="74" t="s">
        <v>213</v>
      </c>
      <c r="D1575" s="88" t="s">
        <v>82</v>
      </c>
      <c r="E1575" s="88" t="s">
        <v>84</v>
      </c>
      <c r="F1575" s="86" t="s">
        <v>208</v>
      </c>
      <c r="G1575" s="74" t="s">
        <v>209</v>
      </c>
      <c r="H1575" s="87">
        <v>44500</v>
      </c>
      <c r="I1575" s="98">
        <v>22</v>
      </c>
      <c r="J1575" s="98">
        <v>22</v>
      </c>
      <c r="K1575" s="89">
        <f t="shared" si="66"/>
        <v>1</v>
      </c>
      <c r="L1575" s="89">
        <v>9150.19</v>
      </c>
      <c r="M1575" s="89">
        <v>3006.75</v>
      </c>
      <c r="N1575" s="89">
        <v>916.8</v>
      </c>
      <c r="O1575" s="89">
        <f t="shared" si="67"/>
        <v>13073.74</v>
      </c>
    </row>
    <row r="1576" spans="1:15">
      <c r="A1576" s="74" t="s">
        <v>308</v>
      </c>
      <c r="B1576" s="74" t="s">
        <v>214</v>
      </c>
      <c r="C1576" s="74" t="s">
        <v>215</v>
      </c>
      <c r="D1576" s="88" t="s">
        <v>82</v>
      </c>
      <c r="E1576" s="88" t="s">
        <v>84</v>
      </c>
      <c r="F1576" s="86" t="s">
        <v>116</v>
      </c>
      <c r="G1576" s="74" t="s">
        <v>209</v>
      </c>
      <c r="H1576" s="87">
        <v>44500</v>
      </c>
      <c r="I1576" s="98">
        <v>22</v>
      </c>
      <c r="J1576" s="98">
        <v>22</v>
      </c>
      <c r="K1576" s="89">
        <f t="shared" si="66"/>
        <v>1</v>
      </c>
      <c r="L1576" s="89">
        <v>8737.28</v>
      </c>
      <c r="M1576" s="89">
        <v>3068.21</v>
      </c>
      <c r="N1576" s="89">
        <v>811.18</v>
      </c>
      <c r="O1576" s="89">
        <f t="shared" si="67"/>
        <v>12616.67</v>
      </c>
    </row>
    <row r="1577" spans="1:15">
      <c r="A1577" s="74" t="s">
        <v>308</v>
      </c>
      <c r="B1577" s="74" t="s">
        <v>216</v>
      </c>
      <c r="C1577" s="74" t="s">
        <v>217</v>
      </c>
      <c r="D1577" s="88" t="s">
        <v>82</v>
      </c>
      <c r="E1577" s="88" t="s">
        <v>84</v>
      </c>
      <c r="F1577" s="86" t="s">
        <v>218</v>
      </c>
      <c r="G1577" s="74" t="s">
        <v>219</v>
      </c>
      <c r="H1577" s="87">
        <v>44500</v>
      </c>
      <c r="I1577" s="98">
        <v>22</v>
      </c>
      <c r="J1577" s="98">
        <v>22</v>
      </c>
      <c r="K1577" s="89">
        <f t="shared" si="66"/>
        <v>1</v>
      </c>
      <c r="L1577" s="89">
        <v>11066</v>
      </c>
      <c r="M1577" s="89">
        <v>3258.43</v>
      </c>
      <c r="N1577" s="89">
        <v>1140.28</v>
      </c>
      <c r="O1577" s="89">
        <f t="shared" si="67"/>
        <v>15464.71</v>
      </c>
    </row>
    <row r="1578" spans="1:15">
      <c r="A1578" s="74" t="s">
        <v>308</v>
      </c>
      <c r="B1578" s="74" t="s">
        <v>220</v>
      </c>
      <c r="C1578" s="74" t="s">
        <v>221</v>
      </c>
      <c r="D1578" s="88" t="s">
        <v>82</v>
      </c>
      <c r="E1578" s="74" t="s">
        <v>83</v>
      </c>
      <c r="F1578" s="86" t="s">
        <v>218</v>
      </c>
      <c r="G1578" s="74" t="s">
        <v>222</v>
      </c>
      <c r="H1578" s="87">
        <v>44500</v>
      </c>
      <c r="I1578" s="98">
        <v>22</v>
      </c>
      <c r="J1578" s="98">
        <v>22</v>
      </c>
      <c r="K1578" s="89">
        <f t="shared" si="66"/>
        <v>1</v>
      </c>
      <c r="L1578" s="89">
        <v>11832.92</v>
      </c>
      <c r="M1578" s="89">
        <v>3288.59</v>
      </c>
      <c r="N1578" s="89">
        <v>1126.24</v>
      </c>
      <c r="O1578" s="89">
        <f t="shared" si="67"/>
        <v>16247.75</v>
      </c>
    </row>
    <row r="1579" spans="1:15">
      <c r="A1579" s="74" t="s">
        <v>308</v>
      </c>
      <c r="B1579" s="74" t="s">
        <v>223</v>
      </c>
      <c r="C1579" s="74" t="s">
        <v>224</v>
      </c>
      <c r="D1579" s="88" t="s">
        <v>82</v>
      </c>
      <c r="E1579" s="74" t="s">
        <v>83</v>
      </c>
      <c r="F1579" s="86" t="s">
        <v>225</v>
      </c>
      <c r="G1579" s="74" t="s">
        <v>209</v>
      </c>
      <c r="H1579" s="87">
        <v>44500</v>
      </c>
      <c r="I1579" s="98">
        <v>22</v>
      </c>
      <c r="J1579" s="98">
        <v>22</v>
      </c>
      <c r="K1579" s="89">
        <f t="shared" si="66"/>
        <v>1</v>
      </c>
      <c r="L1579" s="89">
        <v>10376.99</v>
      </c>
      <c r="M1579" s="89">
        <v>3065.34</v>
      </c>
      <c r="N1579" s="89">
        <v>1018.33</v>
      </c>
      <c r="O1579" s="89">
        <f t="shared" si="67"/>
        <v>14460.66</v>
      </c>
    </row>
    <row r="1580" spans="1:15">
      <c r="A1580" s="74" t="s">
        <v>308</v>
      </c>
      <c r="B1580" s="74" t="s">
        <v>226</v>
      </c>
      <c r="C1580" s="74" t="s">
        <v>227</v>
      </c>
      <c r="D1580" s="88" t="s">
        <v>82</v>
      </c>
      <c r="E1580" s="74" t="s">
        <v>83</v>
      </c>
      <c r="F1580" s="86" t="s">
        <v>208</v>
      </c>
      <c r="G1580" s="74" t="s">
        <v>209</v>
      </c>
      <c r="H1580" s="87">
        <v>44500</v>
      </c>
      <c r="I1580" s="98">
        <v>22</v>
      </c>
      <c r="J1580" s="98">
        <v>22</v>
      </c>
      <c r="K1580" s="89">
        <f t="shared" si="66"/>
        <v>1</v>
      </c>
      <c r="L1580" s="89">
        <v>9632.88</v>
      </c>
      <c r="M1580" s="89">
        <v>3249.99</v>
      </c>
      <c r="N1580" s="89">
        <v>962.45</v>
      </c>
      <c r="O1580" s="89">
        <f t="shared" si="67"/>
        <v>13845.32</v>
      </c>
    </row>
    <row r="1581" spans="1:15">
      <c r="A1581" s="74" t="s">
        <v>308</v>
      </c>
      <c r="B1581" s="74" t="s">
        <v>228</v>
      </c>
      <c r="C1581" s="74" t="s">
        <v>229</v>
      </c>
      <c r="D1581" s="88" t="s">
        <v>82</v>
      </c>
      <c r="E1581" s="74" t="s">
        <v>83</v>
      </c>
      <c r="F1581" s="86" t="s">
        <v>116</v>
      </c>
      <c r="G1581" s="74" t="s">
        <v>209</v>
      </c>
      <c r="H1581" s="87">
        <v>44500</v>
      </c>
      <c r="I1581" s="98">
        <v>22</v>
      </c>
      <c r="J1581" s="98">
        <v>22</v>
      </c>
      <c r="K1581" s="89">
        <f t="shared" si="66"/>
        <v>1</v>
      </c>
      <c r="L1581" s="89">
        <v>8747.92</v>
      </c>
      <c r="M1581" s="89">
        <v>3225.58</v>
      </c>
      <c r="N1581" s="89">
        <v>801.55</v>
      </c>
      <c r="O1581" s="89">
        <f t="shared" si="67"/>
        <v>12775.05</v>
      </c>
    </row>
    <row r="1582" spans="1:15">
      <c r="A1582" s="74" t="s">
        <v>308</v>
      </c>
      <c r="B1582" s="74" t="s">
        <v>230</v>
      </c>
      <c r="C1582" s="74" t="s">
        <v>231</v>
      </c>
      <c r="D1582" s="88" t="s">
        <v>82</v>
      </c>
      <c r="E1582" s="74" t="s">
        <v>83</v>
      </c>
      <c r="F1582" s="86" t="s">
        <v>120</v>
      </c>
      <c r="G1582" s="74" t="s">
        <v>209</v>
      </c>
      <c r="H1582" s="87">
        <v>44500</v>
      </c>
      <c r="I1582" s="98">
        <v>22</v>
      </c>
      <c r="J1582" s="98">
        <v>22</v>
      </c>
      <c r="K1582" s="89">
        <f t="shared" si="66"/>
        <v>1</v>
      </c>
      <c r="L1582" s="89">
        <v>7033.52</v>
      </c>
      <c r="M1582" s="89">
        <v>3080.33</v>
      </c>
      <c r="N1582" s="89">
        <v>702.78</v>
      </c>
      <c r="O1582" s="89">
        <f t="shared" si="67"/>
        <v>10816.63</v>
      </c>
    </row>
    <row r="1583" spans="1:15">
      <c r="A1583" s="74" t="s">
        <v>308</v>
      </c>
      <c r="B1583" s="74" t="s">
        <v>232</v>
      </c>
      <c r="C1583" s="74" t="s">
        <v>233</v>
      </c>
      <c r="D1583" s="88" t="s">
        <v>82</v>
      </c>
      <c r="E1583" s="74" t="s">
        <v>83</v>
      </c>
      <c r="F1583" s="86" t="s">
        <v>123</v>
      </c>
      <c r="G1583" s="74" t="s">
        <v>209</v>
      </c>
      <c r="H1583" s="87">
        <v>44500</v>
      </c>
      <c r="I1583" s="98">
        <v>22</v>
      </c>
      <c r="J1583" s="98">
        <v>22</v>
      </c>
      <c r="K1583" s="89">
        <f t="shared" si="66"/>
        <v>1</v>
      </c>
      <c r="L1583" s="89">
        <v>6501.52</v>
      </c>
      <c r="M1583" s="89">
        <v>3138</v>
      </c>
      <c r="N1583" s="89">
        <v>602.31</v>
      </c>
      <c r="O1583" s="89">
        <f t="shared" si="67"/>
        <v>10241.83</v>
      </c>
    </row>
    <row r="1584" spans="1:15">
      <c r="A1584" s="74" t="s">
        <v>308</v>
      </c>
      <c r="B1584" s="74" t="s">
        <v>234</v>
      </c>
      <c r="C1584" s="74" t="s">
        <v>235</v>
      </c>
      <c r="D1584" s="88" t="s">
        <v>82</v>
      </c>
      <c r="E1584" s="74" t="s">
        <v>83</v>
      </c>
      <c r="F1584" s="86" t="s">
        <v>116</v>
      </c>
      <c r="G1584" s="74" t="s">
        <v>209</v>
      </c>
      <c r="H1584" s="87">
        <v>44500</v>
      </c>
      <c r="I1584" s="98">
        <v>22</v>
      </c>
      <c r="J1584" s="98">
        <v>22</v>
      </c>
      <c r="K1584" s="89">
        <f t="shared" si="66"/>
        <v>1</v>
      </c>
      <c r="L1584" s="89">
        <v>8742.26</v>
      </c>
      <c r="M1584" s="89">
        <v>3209.57</v>
      </c>
      <c r="N1584" s="89">
        <v>814.06</v>
      </c>
      <c r="O1584" s="89">
        <f t="shared" si="67"/>
        <v>12765.89</v>
      </c>
    </row>
    <row r="1585" spans="1:15">
      <c r="A1585" s="74" t="s">
        <v>308</v>
      </c>
      <c r="B1585" s="74" t="s">
        <v>236</v>
      </c>
      <c r="C1585" s="74" t="s">
        <v>237</v>
      </c>
      <c r="D1585" s="88" t="s">
        <v>82</v>
      </c>
      <c r="E1585" s="74" t="s">
        <v>83</v>
      </c>
      <c r="F1585" s="86" t="s">
        <v>120</v>
      </c>
      <c r="G1585" s="74" t="s">
        <v>209</v>
      </c>
      <c r="H1585" s="87">
        <v>44500</v>
      </c>
      <c r="I1585" s="98">
        <v>22</v>
      </c>
      <c r="J1585" s="98">
        <v>22</v>
      </c>
      <c r="K1585" s="89">
        <f t="shared" si="66"/>
        <v>1</v>
      </c>
      <c r="L1585" s="89">
        <v>7022.38</v>
      </c>
      <c r="M1585" s="89">
        <v>3291.83</v>
      </c>
      <c r="N1585" s="89">
        <v>767.35</v>
      </c>
      <c r="O1585" s="89">
        <f t="shared" si="67"/>
        <v>11081.56</v>
      </c>
    </row>
    <row r="1586" spans="1:15">
      <c r="A1586" s="74" t="s">
        <v>308</v>
      </c>
      <c r="B1586" s="74" t="s">
        <v>238</v>
      </c>
      <c r="C1586" s="74" t="s">
        <v>239</v>
      </c>
      <c r="D1586" s="74" t="s">
        <v>86</v>
      </c>
      <c r="E1586" s="74" t="s">
        <v>87</v>
      </c>
      <c r="F1586" s="86" t="s">
        <v>204</v>
      </c>
      <c r="G1586" s="74" t="s">
        <v>240</v>
      </c>
      <c r="H1586" s="87">
        <v>44500</v>
      </c>
      <c r="I1586" s="98">
        <v>22</v>
      </c>
      <c r="J1586" s="98">
        <v>22</v>
      </c>
      <c r="K1586" s="89">
        <f t="shared" si="66"/>
        <v>1</v>
      </c>
      <c r="L1586" s="89">
        <v>15371.77</v>
      </c>
      <c r="M1586" s="89">
        <v>3177.98</v>
      </c>
      <c r="N1586" s="89">
        <v>1894.07</v>
      </c>
      <c r="O1586" s="89">
        <f t="shared" si="67"/>
        <v>20443.82</v>
      </c>
    </row>
    <row r="1587" spans="1:15">
      <c r="A1587" s="74" t="s">
        <v>308</v>
      </c>
      <c r="B1587" s="74" t="s">
        <v>241</v>
      </c>
      <c r="C1587" s="74" t="s">
        <v>242</v>
      </c>
      <c r="D1587" s="74" t="s">
        <v>86</v>
      </c>
      <c r="E1587" s="74" t="s">
        <v>87</v>
      </c>
      <c r="F1587" s="86" t="s">
        <v>243</v>
      </c>
      <c r="G1587" s="74" t="s">
        <v>244</v>
      </c>
      <c r="H1587" s="87">
        <v>44500</v>
      </c>
      <c r="I1587" s="98">
        <v>22</v>
      </c>
      <c r="J1587" s="98">
        <v>22</v>
      </c>
      <c r="K1587" s="89">
        <f t="shared" si="66"/>
        <v>1</v>
      </c>
      <c r="L1587" s="89">
        <v>11324.43</v>
      </c>
      <c r="M1587" s="89">
        <v>3101.1</v>
      </c>
      <c r="N1587" s="89">
        <v>1403.54</v>
      </c>
      <c r="O1587" s="89">
        <f t="shared" si="67"/>
        <v>15829.07</v>
      </c>
    </row>
    <row r="1588" spans="1:15">
      <c r="A1588" s="74" t="s">
        <v>308</v>
      </c>
      <c r="B1588" s="74" t="s">
        <v>245</v>
      </c>
      <c r="C1588" s="74" t="s">
        <v>246</v>
      </c>
      <c r="D1588" s="74" t="s">
        <v>86</v>
      </c>
      <c r="E1588" s="74" t="s">
        <v>87</v>
      </c>
      <c r="F1588" s="86" t="s">
        <v>247</v>
      </c>
      <c r="G1588" s="74" t="s">
        <v>248</v>
      </c>
      <c r="H1588" s="87">
        <v>44500</v>
      </c>
      <c r="I1588" s="98">
        <v>22</v>
      </c>
      <c r="J1588" s="98">
        <v>22</v>
      </c>
      <c r="K1588" s="89">
        <f t="shared" si="66"/>
        <v>1</v>
      </c>
      <c r="L1588" s="89">
        <v>10492.66</v>
      </c>
      <c r="M1588" s="89">
        <v>3298.69</v>
      </c>
      <c r="N1588" s="89">
        <v>1289.51</v>
      </c>
      <c r="O1588" s="89">
        <f t="shared" si="67"/>
        <v>15080.86</v>
      </c>
    </row>
    <row r="1589" spans="1:15">
      <c r="A1589" s="74" t="s">
        <v>308</v>
      </c>
      <c r="B1589" s="74" t="s">
        <v>249</v>
      </c>
      <c r="C1589" s="74" t="s">
        <v>250</v>
      </c>
      <c r="D1589" s="74" t="s">
        <v>86</v>
      </c>
      <c r="E1589" s="74" t="s">
        <v>87</v>
      </c>
      <c r="F1589" s="86" t="s">
        <v>251</v>
      </c>
      <c r="G1589" s="74" t="s">
        <v>252</v>
      </c>
      <c r="H1589" s="87">
        <v>44500</v>
      </c>
      <c r="I1589" s="98">
        <v>22</v>
      </c>
      <c r="J1589" s="98">
        <v>22</v>
      </c>
      <c r="K1589" s="89">
        <f t="shared" si="66"/>
        <v>1</v>
      </c>
      <c r="L1589" s="89">
        <v>8940.05</v>
      </c>
      <c r="M1589" s="89">
        <v>3216.72</v>
      </c>
      <c r="N1589" s="89">
        <v>1208.48</v>
      </c>
      <c r="O1589" s="89">
        <f t="shared" si="67"/>
        <v>13365.25</v>
      </c>
    </row>
    <row r="1590" spans="1:15">
      <c r="A1590" s="74" t="s">
        <v>308</v>
      </c>
      <c r="B1590" s="74" t="s">
        <v>253</v>
      </c>
      <c r="C1590" s="74" t="s">
        <v>254</v>
      </c>
      <c r="D1590" s="74" t="s">
        <v>86</v>
      </c>
      <c r="E1590" s="74" t="s">
        <v>87</v>
      </c>
      <c r="F1590" s="86" t="s">
        <v>255</v>
      </c>
      <c r="G1590" s="74" t="s">
        <v>252</v>
      </c>
      <c r="H1590" s="87">
        <v>44500</v>
      </c>
      <c r="I1590" s="98">
        <v>22</v>
      </c>
      <c r="J1590" s="98">
        <v>22</v>
      </c>
      <c r="K1590" s="89">
        <f t="shared" si="66"/>
        <v>1</v>
      </c>
      <c r="L1590" s="89">
        <v>8744.16</v>
      </c>
      <c r="M1590" s="89">
        <v>3012.21</v>
      </c>
      <c r="N1590" s="89">
        <v>1081.53</v>
      </c>
      <c r="O1590" s="89">
        <f t="shared" si="67"/>
        <v>12837.9</v>
      </c>
    </row>
    <row r="1591" spans="1:15">
      <c r="A1591" s="74" t="s">
        <v>308</v>
      </c>
      <c r="B1591" s="74" t="s">
        <v>256</v>
      </c>
      <c r="C1591" s="74" t="s">
        <v>257</v>
      </c>
      <c r="D1591" s="74" t="s">
        <v>86</v>
      </c>
      <c r="E1591" s="74" t="s">
        <v>87</v>
      </c>
      <c r="F1591" s="86" t="s">
        <v>258</v>
      </c>
      <c r="G1591" s="74" t="s">
        <v>252</v>
      </c>
      <c r="H1591" s="87">
        <v>44500</v>
      </c>
      <c r="I1591" s="98">
        <v>22</v>
      </c>
      <c r="J1591" s="98">
        <v>22</v>
      </c>
      <c r="K1591" s="89">
        <f t="shared" si="66"/>
        <v>1</v>
      </c>
      <c r="L1591" s="89">
        <v>7565.53</v>
      </c>
      <c r="M1591" s="89">
        <v>3222.17</v>
      </c>
      <c r="N1591" s="89">
        <v>957.73</v>
      </c>
      <c r="O1591" s="89">
        <f t="shared" si="67"/>
        <v>11745.43</v>
      </c>
    </row>
    <row r="1592" spans="1:15">
      <c r="A1592" s="74" t="s">
        <v>308</v>
      </c>
      <c r="B1592" s="74" t="s">
        <v>259</v>
      </c>
      <c r="C1592" s="74" t="s">
        <v>260</v>
      </c>
      <c r="D1592" s="74" t="s">
        <v>86</v>
      </c>
      <c r="E1592" s="74" t="s">
        <v>87</v>
      </c>
      <c r="F1592" s="86" t="s">
        <v>261</v>
      </c>
      <c r="G1592" s="74" t="s">
        <v>262</v>
      </c>
      <c r="H1592" s="87">
        <v>44500</v>
      </c>
      <c r="I1592" s="98">
        <v>22</v>
      </c>
      <c r="J1592" s="98">
        <v>22</v>
      </c>
      <c r="K1592" s="89">
        <f t="shared" si="66"/>
        <v>1</v>
      </c>
      <c r="L1592" s="89">
        <v>6549.57</v>
      </c>
      <c r="M1592" s="89">
        <v>3223.88</v>
      </c>
      <c r="N1592" s="89">
        <v>844.43</v>
      </c>
      <c r="O1592" s="89">
        <f t="shared" si="67"/>
        <v>10617.88</v>
      </c>
    </row>
    <row r="1593" spans="1:15">
      <c r="A1593" s="74" t="s">
        <v>308</v>
      </c>
      <c r="B1593" s="74" t="s">
        <v>263</v>
      </c>
      <c r="C1593" s="74" t="s">
        <v>264</v>
      </c>
      <c r="D1593" s="74" t="s">
        <v>86</v>
      </c>
      <c r="E1593" s="74" t="s">
        <v>88</v>
      </c>
      <c r="F1593" s="86" t="s">
        <v>149</v>
      </c>
      <c r="G1593" s="74" t="s">
        <v>265</v>
      </c>
      <c r="H1593" s="87">
        <v>44500</v>
      </c>
      <c r="I1593" s="98">
        <v>22</v>
      </c>
      <c r="J1593" s="98">
        <v>22</v>
      </c>
      <c r="K1593" s="89">
        <f t="shared" si="66"/>
        <v>1</v>
      </c>
      <c r="L1593" s="89">
        <v>14958.28</v>
      </c>
      <c r="M1593" s="89">
        <v>3119.96</v>
      </c>
      <c r="N1593" s="89">
        <v>1772.05</v>
      </c>
      <c r="O1593" s="89">
        <f t="shared" si="67"/>
        <v>19850.29</v>
      </c>
    </row>
    <row r="1594" spans="1:15">
      <c r="A1594" s="74" t="s">
        <v>308</v>
      </c>
      <c r="B1594" s="74" t="s">
        <v>266</v>
      </c>
      <c r="C1594" s="74" t="s">
        <v>267</v>
      </c>
      <c r="D1594" s="74" t="s">
        <v>86</v>
      </c>
      <c r="E1594" s="74" t="s">
        <v>88</v>
      </c>
      <c r="F1594" s="86" t="s">
        <v>243</v>
      </c>
      <c r="G1594" s="74" t="s">
        <v>268</v>
      </c>
      <c r="H1594" s="87">
        <v>44500</v>
      </c>
      <c r="I1594" s="98">
        <v>22</v>
      </c>
      <c r="J1594" s="98">
        <v>22</v>
      </c>
      <c r="K1594" s="89">
        <f t="shared" si="66"/>
        <v>1</v>
      </c>
      <c r="L1594" s="89">
        <v>11026.88</v>
      </c>
      <c r="M1594" s="89">
        <v>3245.55</v>
      </c>
      <c r="N1594" s="89">
        <v>1351.13</v>
      </c>
      <c r="O1594" s="89">
        <f t="shared" si="67"/>
        <v>15623.56</v>
      </c>
    </row>
    <row r="1595" spans="1:15">
      <c r="A1595" s="74" t="s">
        <v>308</v>
      </c>
      <c r="B1595" s="74" t="s">
        <v>269</v>
      </c>
      <c r="C1595" s="74" t="s">
        <v>270</v>
      </c>
      <c r="D1595" s="74" t="s">
        <v>86</v>
      </c>
      <c r="E1595" s="74" t="s">
        <v>88</v>
      </c>
      <c r="F1595" s="86" t="s">
        <v>247</v>
      </c>
      <c r="G1595" s="74" t="s">
        <v>268</v>
      </c>
      <c r="H1595" s="87">
        <v>44500</v>
      </c>
      <c r="I1595" s="98">
        <v>22</v>
      </c>
      <c r="J1595" s="98">
        <v>22</v>
      </c>
      <c r="K1595" s="89">
        <f t="shared" si="66"/>
        <v>1</v>
      </c>
      <c r="L1595" s="89">
        <v>10541.39</v>
      </c>
      <c r="M1595" s="89">
        <v>3160.38</v>
      </c>
      <c r="N1595" s="89">
        <v>1290.54</v>
      </c>
      <c r="O1595" s="89">
        <f t="shared" si="67"/>
        <v>14992.31</v>
      </c>
    </row>
    <row r="1596" spans="1:15">
      <c r="A1596" s="74" t="s">
        <v>308</v>
      </c>
      <c r="B1596" s="74" t="s">
        <v>271</v>
      </c>
      <c r="C1596" s="74" t="s">
        <v>272</v>
      </c>
      <c r="D1596" s="74" t="s">
        <v>86</v>
      </c>
      <c r="E1596" s="74" t="s">
        <v>88</v>
      </c>
      <c r="F1596" s="86" t="s">
        <v>251</v>
      </c>
      <c r="G1596" s="74" t="s">
        <v>268</v>
      </c>
      <c r="H1596" s="87">
        <v>44500</v>
      </c>
      <c r="I1596" s="98">
        <v>22</v>
      </c>
      <c r="J1596" s="98">
        <v>22</v>
      </c>
      <c r="K1596" s="89">
        <f t="shared" si="66"/>
        <v>1</v>
      </c>
      <c r="L1596" s="89">
        <v>9419.19</v>
      </c>
      <c r="M1596" s="89">
        <v>3215.41</v>
      </c>
      <c r="N1596" s="89">
        <v>1107.52</v>
      </c>
      <c r="O1596" s="89">
        <f t="shared" si="67"/>
        <v>13742.12</v>
      </c>
    </row>
    <row r="1597" spans="1:15">
      <c r="A1597" s="74" t="s">
        <v>308</v>
      </c>
      <c r="B1597" s="74" t="s">
        <v>273</v>
      </c>
      <c r="C1597" s="74" t="s">
        <v>274</v>
      </c>
      <c r="D1597" s="74" t="s">
        <v>86</v>
      </c>
      <c r="E1597" s="74" t="s">
        <v>88</v>
      </c>
      <c r="F1597" s="86" t="s">
        <v>255</v>
      </c>
      <c r="G1597" s="74" t="s">
        <v>268</v>
      </c>
      <c r="H1597" s="87">
        <v>44500</v>
      </c>
      <c r="I1597" s="98">
        <v>22</v>
      </c>
      <c r="J1597" s="98">
        <v>22</v>
      </c>
      <c r="K1597" s="89">
        <f t="shared" si="66"/>
        <v>1</v>
      </c>
      <c r="L1597" s="89">
        <v>8360.51</v>
      </c>
      <c r="M1597" s="89">
        <v>3122.05</v>
      </c>
      <c r="N1597" s="89">
        <v>1024.78</v>
      </c>
      <c r="O1597" s="89">
        <f t="shared" si="67"/>
        <v>12507.34</v>
      </c>
    </row>
    <row r="1598" spans="1:15">
      <c r="A1598" s="74" t="s">
        <v>308</v>
      </c>
      <c r="B1598" s="74" t="s">
        <v>275</v>
      </c>
      <c r="C1598" s="74" t="s">
        <v>276</v>
      </c>
      <c r="D1598" s="74" t="s">
        <v>86</v>
      </c>
      <c r="E1598" s="74" t="s">
        <v>88</v>
      </c>
      <c r="F1598" s="86" t="s">
        <v>258</v>
      </c>
      <c r="G1598" s="74" t="s">
        <v>268</v>
      </c>
      <c r="H1598" s="87">
        <v>44500</v>
      </c>
      <c r="I1598" s="98">
        <v>22</v>
      </c>
      <c r="J1598" s="98">
        <v>22</v>
      </c>
      <c r="K1598" s="89">
        <f t="shared" si="66"/>
        <v>1</v>
      </c>
      <c r="L1598" s="89">
        <v>7276.77</v>
      </c>
      <c r="M1598" s="89">
        <v>3171.79</v>
      </c>
      <c r="N1598" s="89">
        <v>930.82</v>
      </c>
      <c r="O1598" s="89">
        <f t="shared" si="67"/>
        <v>11379.38</v>
      </c>
    </row>
    <row r="1599" spans="1:15">
      <c r="A1599" s="74" t="s">
        <v>308</v>
      </c>
      <c r="B1599" s="74" t="s">
        <v>277</v>
      </c>
      <c r="C1599" s="74" t="s">
        <v>278</v>
      </c>
      <c r="D1599" s="74" t="s">
        <v>86</v>
      </c>
      <c r="E1599" s="74" t="s">
        <v>89</v>
      </c>
      <c r="F1599" s="86" t="s">
        <v>279</v>
      </c>
      <c r="G1599" s="74" t="s">
        <v>280</v>
      </c>
      <c r="H1599" s="87">
        <v>44500</v>
      </c>
      <c r="I1599" s="98">
        <v>22</v>
      </c>
      <c r="J1599" s="98">
        <v>22</v>
      </c>
      <c r="K1599" s="89">
        <f t="shared" si="66"/>
        <v>1</v>
      </c>
      <c r="L1599" s="89">
        <v>12207.54</v>
      </c>
      <c r="M1599" s="89">
        <v>3128.51</v>
      </c>
      <c r="N1599" s="89">
        <v>1588.04</v>
      </c>
      <c r="O1599" s="89">
        <f t="shared" si="67"/>
        <v>16924.09</v>
      </c>
    </row>
    <row r="1600" spans="1:15">
      <c r="A1600" s="74" t="s">
        <v>308</v>
      </c>
      <c r="B1600" s="74" t="s">
        <v>281</v>
      </c>
      <c r="C1600" s="74" t="s">
        <v>282</v>
      </c>
      <c r="D1600" s="74" t="s">
        <v>86</v>
      </c>
      <c r="E1600" s="74" t="s">
        <v>89</v>
      </c>
      <c r="F1600" s="86" t="s">
        <v>225</v>
      </c>
      <c r="G1600" s="74" t="s">
        <v>283</v>
      </c>
      <c r="H1600" s="87">
        <v>44500</v>
      </c>
      <c r="I1600" s="98">
        <v>22</v>
      </c>
      <c r="J1600" s="98">
        <v>22</v>
      </c>
      <c r="K1600" s="89">
        <f t="shared" si="66"/>
        <v>1</v>
      </c>
      <c r="L1600" s="89">
        <v>8216.25</v>
      </c>
      <c r="M1600" s="89">
        <v>3124.1</v>
      </c>
      <c r="N1600" s="89">
        <v>1022.29</v>
      </c>
      <c r="O1600" s="89">
        <f t="shared" si="67"/>
        <v>12362.64</v>
      </c>
    </row>
    <row r="1601" spans="1:15">
      <c r="A1601" s="74" t="s">
        <v>308</v>
      </c>
      <c r="B1601" s="74" t="s">
        <v>284</v>
      </c>
      <c r="C1601" s="74" t="s">
        <v>285</v>
      </c>
      <c r="D1601" s="74" t="s">
        <v>86</v>
      </c>
      <c r="E1601" s="74" t="s">
        <v>89</v>
      </c>
      <c r="F1601" s="86" t="s">
        <v>208</v>
      </c>
      <c r="G1601" s="74" t="s">
        <v>283</v>
      </c>
      <c r="H1601" s="87">
        <v>44500</v>
      </c>
      <c r="I1601" s="98">
        <v>22</v>
      </c>
      <c r="J1601" s="98">
        <v>22</v>
      </c>
      <c r="K1601" s="89">
        <f t="shared" si="66"/>
        <v>1</v>
      </c>
      <c r="L1601" s="89">
        <v>7682.73</v>
      </c>
      <c r="M1601" s="89">
        <v>3022.99</v>
      </c>
      <c r="N1601" s="89">
        <v>974.22</v>
      </c>
      <c r="O1601" s="89">
        <f t="shared" si="67"/>
        <v>11679.94</v>
      </c>
    </row>
    <row r="1602" spans="1:15">
      <c r="A1602" s="74" t="s">
        <v>308</v>
      </c>
      <c r="B1602" s="74" t="s">
        <v>286</v>
      </c>
      <c r="C1602" s="74" t="s">
        <v>287</v>
      </c>
      <c r="D1602" s="74" t="s">
        <v>82</v>
      </c>
      <c r="E1602" s="88" t="s">
        <v>85</v>
      </c>
      <c r="F1602" s="86" t="s">
        <v>288</v>
      </c>
      <c r="G1602" s="74" t="s">
        <v>289</v>
      </c>
      <c r="H1602" s="87">
        <v>44500</v>
      </c>
      <c r="I1602" s="98">
        <v>22</v>
      </c>
      <c r="J1602" s="98">
        <v>22</v>
      </c>
      <c r="K1602" s="89">
        <f t="shared" ref="K1602:K1610" si="68">I1602/J1602</f>
        <v>1</v>
      </c>
      <c r="L1602" s="89">
        <v>12381.16</v>
      </c>
      <c r="M1602" s="89">
        <v>3035.39</v>
      </c>
      <c r="N1602" s="89">
        <v>1271.42</v>
      </c>
      <c r="O1602" s="89">
        <f t="shared" si="67"/>
        <v>16687.97</v>
      </c>
    </row>
    <row r="1603" spans="1:15">
      <c r="A1603" s="74" t="s">
        <v>308</v>
      </c>
      <c r="B1603" s="74" t="s">
        <v>290</v>
      </c>
      <c r="C1603" s="74" t="s">
        <v>291</v>
      </c>
      <c r="D1603" s="74" t="s">
        <v>82</v>
      </c>
      <c r="E1603" s="88" t="s">
        <v>85</v>
      </c>
      <c r="F1603" s="86" t="s">
        <v>218</v>
      </c>
      <c r="G1603" s="74" t="s">
        <v>289</v>
      </c>
      <c r="H1603" s="87">
        <v>44500</v>
      </c>
      <c r="I1603" s="98">
        <v>22</v>
      </c>
      <c r="J1603" s="98">
        <v>22</v>
      </c>
      <c r="K1603" s="89">
        <f t="shared" si="68"/>
        <v>1</v>
      </c>
      <c r="L1603" s="89">
        <v>11460.09</v>
      </c>
      <c r="M1603" s="89">
        <v>3282.06</v>
      </c>
      <c r="N1603" s="89">
        <v>1209.1</v>
      </c>
      <c r="O1603" s="89">
        <f t="shared" si="67"/>
        <v>15951.25</v>
      </c>
    </row>
    <row r="1604" spans="1:15">
      <c r="A1604" s="74" t="s">
        <v>308</v>
      </c>
      <c r="B1604" s="74" t="s">
        <v>292</v>
      </c>
      <c r="C1604" s="74" t="s">
        <v>293</v>
      </c>
      <c r="D1604" s="74" t="s">
        <v>82</v>
      </c>
      <c r="E1604" s="88" t="s">
        <v>85</v>
      </c>
      <c r="F1604" s="86" t="s">
        <v>225</v>
      </c>
      <c r="G1604" s="74" t="s">
        <v>289</v>
      </c>
      <c r="H1604" s="87">
        <v>44500</v>
      </c>
      <c r="I1604" s="98">
        <v>22</v>
      </c>
      <c r="J1604" s="98">
        <v>22</v>
      </c>
      <c r="K1604" s="89">
        <f t="shared" si="68"/>
        <v>1</v>
      </c>
      <c r="L1604" s="89">
        <v>10898.19</v>
      </c>
      <c r="M1604" s="89">
        <v>3159.22</v>
      </c>
      <c r="N1604" s="89">
        <v>1023.18</v>
      </c>
      <c r="O1604" s="89">
        <f t="shared" si="67"/>
        <v>15080.59</v>
      </c>
    </row>
    <row r="1605" spans="1:15">
      <c r="A1605" s="74" t="s">
        <v>308</v>
      </c>
      <c r="B1605" s="74" t="s">
        <v>294</v>
      </c>
      <c r="C1605" s="74" t="s">
        <v>295</v>
      </c>
      <c r="D1605" s="74" t="s">
        <v>82</v>
      </c>
      <c r="E1605" s="88" t="s">
        <v>85</v>
      </c>
      <c r="F1605" s="86" t="s">
        <v>208</v>
      </c>
      <c r="G1605" s="74" t="s">
        <v>289</v>
      </c>
      <c r="H1605" s="87">
        <v>44500</v>
      </c>
      <c r="I1605" s="98">
        <v>22</v>
      </c>
      <c r="J1605" s="98">
        <v>22</v>
      </c>
      <c r="K1605" s="89">
        <f t="shared" si="68"/>
        <v>1</v>
      </c>
      <c r="L1605" s="89">
        <v>9145.72</v>
      </c>
      <c r="M1605" s="89">
        <v>3096.58</v>
      </c>
      <c r="N1605" s="89">
        <v>929.44</v>
      </c>
      <c r="O1605" s="89">
        <f t="shared" ref="O1605:O1668" si="69">SUM(L1605:N1605)</f>
        <v>13171.74</v>
      </c>
    </row>
    <row r="1606" spans="1:15">
      <c r="A1606" s="74" t="s">
        <v>308</v>
      </c>
      <c r="B1606" s="74" t="s">
        <v>296</v>
      </c>
      <c r="C1606" s="74" t="s">
        <v>297</v>
      </c>
      <c r="D1606" s="74" t="s">
        <v>82</v>
      </c>
      <c r="E1606" s="88" t="s">
        <v>85</v>
      </c>
      <c r="F1606" s="86" t="s">
        <v>116</v>
      </c>
      <c r="G1606" s="74" t="s">
        <v>289</v>
      </c>
      <c r="H1606" s="87">
        <v>44500</v>
      </c>
      <c r="I1606" s="98">
        <v>22</v>
      </c>
      <c r="J1606" s="98">
        <v>22</v>
      </c>
      <c r="K1606" s="89">
        <f t="shared" si="68"/>
        <v>1</v>
      </c>
      <c r="L1606" s="89">
        <v>8300.96</v>
      </c>
      <c r="M1606" s="89">
        <v>3095.97</v>
      </c>
      <c r="N1606" s="89">
        <v>863.61</v>
      </c>
      <c r="O1606" s="89">
        <f t="shared" si="69"/>
        <v>12260.54</v>
      </c>
    </row>
    <row r="1607" spans="1:15">
      <c r="A1607" s="74" t="s">
        <v>308</v>
      </c>
      <c r="B1607" s="74" t="s">
        <v>298</v>
      </c>
      <c r="C1607" s="74" t="s">
        <v>299</v>
      </c>
      <c r="D1607" s="74" t="s">
        <v>82</v>
      </c>
      <c r="E1607" s="88" t="s">
        <v>85</v>
      </c>
      <c r="F1607" s="86" t="s">
        <v>279</v>
      </c>
      <c r="G1607" s="74" t="s">
        <v>300</v>
      </c>
      <c r="H1607" s="87">
        <v>44500</v>
      </c>
      <c r="I1607" s="98">
        <v>22</v>
      </c>
      <c r="J1607" s="98">
        <v>22</v>
      </c>
      <c r="K1607" s="89">
        <f t="shared" si="68"/>
        <v>1</v>
      </c>
      <c r="L1607" s="89">
        <v>16411.7</v>
      </c>
      <c r="M1607" s="89">
        <v>3036.64</v>
      </c>
      <c r="N1607" s="89">
        <v>1612.81</v>
      </c>
      <c r="O1607" s="89">
        <f t="shared" si="69"/>
        <v>21061.15</v>
      </c>
    </row>
    <row r="1608" spans="1:15">
      <c r="A1608" s="74" t="s">
        <v>308</v>
      </c>
      <c r="B1608" s="74" t="s">
        <v>301</v>
      </c>
      <c r="C1608" s="74" t="s">
        <v>302</v>
      </c>
      <c r="D1608" s="74" t="s">
        <v>82</v>
      </c>
      <c r="E1608" s="88" t="s">
        <v>85</v>
      </c>
      <c r="F1608" s="86" t="s">
        <v>279</v>
      </c>
      <c r="G1608" s="74" t="s">
        <v>303</v>
      </c>
      <c r="H1608" s="87">
        <v>44500</v>
      </c>
      <c r="I1608" s="98">
        <v>22</v>
      </c>
      <c r="J1608" s="98">
        <v>22</v>
      </c>
      <c r="K1608" s="89">
        <f t="shared" si="68"/>
        <v>1</v>
      </c>
      <c r="L1608" s="89">
        <v>16181.53</v>
      </c>
      <c r="M1608" s="89">
        <v>3290.17</v>
      </c>
      <c r="N1608" s="89">
        <v>1594.31</v>
      </c>
      <c r="O1608" s="89">
        <f t="shared" si="69"/>
        <v>21066.01</v>
      </c>
    </row>
    <row r="1609" spans="1:15">
      <c r="A1609" s="74" t="s">
        <v>308</v>
      </c>
      <c r="B1609" s="74" t="s">
        <v>304</v>
      </c>
      <c r="C1609" s="74" t="s">
        <v>305</v>
      </c>
      <c r="D1609" s="74" t="s">
        <v>86</v>
      </c>
      <c r="E1609" s="74" t="s">
        <v>90</v>
      </c>
      <c r="F1609" s="86" t="s">
        <v>306</v>
      </c>
      <c r="G1609" s="74" t="s">
        <v>307</v>
      </c>
      <c r="H1609" s="87">
        <v>44500</v>
      </c>
      <c r="I1609" s="98">
        <v>22</v>
      </c>
      <c r="J1609" s="98">
        <v>22</v>
      </c>
      <c r="K1609" s="89">
        <f t="shared" si="68"/>
        <v>1</v>
      </c>
      <c r="L1609" s="89">
        <v>16239.5</v>
      </c>
      <c r="M1609" s="89">
        <v>3183.71</v>
      </c>
      <c r="N1609" s="89">
        <v>2173.54</v>
      </c>
      <c r="O1609" s="89">
        <f t="shared" si="69"/>
        <v>21596.75</v>
      </c>
    </row>
    <row r="1610" spans="1:15">
      <c r="A1610" s="74" t="s">
        <v>308</v>
      </c>
      <c r="B1610" s="74" t="s">
        <v>114</v>
      </c>
      <c r="C1610" s="74" t="s">
        <v>115</v>
      </c>
      <c r="D1610" s="74" t="s">
        <v>79</v>
      </c>
      <c r="E1610" s="74" t="s">
        <v>80</v>
      </c>
      <c r="F1610" s="86" t="s">
        <v>116</v>
      </c>
      <c r="G1610" s="74" t="s">
        <v>117</v>
      </c>
      <c r="H1610" s="87">
        <v>44530</v>
      </c>
      <c r="I1610" s="98">
        <v>22</v>
      </c>
      <c r="J1610" s="98">
        <v>22</v>
      </c>
      <c r="K1610" s="89">
        <f t="shared" si="68"/>
        <v>1</v>
      </c>
      <c r="L1610" s="89">
        <v>8690.03</v>
      </c>
      <c r="M1610" s="89">
        <v>3138.96</v>
      </c>
      <c r="N1610" s="89">
        <v>874.88</v>
      </c>
      <c r="O1610" s="89">
        <f t="shared" si="69"/>
        <v>12703.87</v>
      </c>
    </row>
    <row r="1611" spans="1:15">
      <c r="A1611" s="74" t="s">
        <v>308</v>
      </c>
      <c r="B1611" s="74" t="s">
        <v>118</v>
      </c>
      <c r="C1611" s="74" t="s">
        <v>119</v>
      </c>
      <c r="D1611" s="74" t="s">
        <v>79</v>
      </c>
      <c r="E1611" s="74" t="s">
        <v>80</v>
      </c>
      <c r="F1611" s="86" t="s">
        <v>120</v>
      </c>
      <c r="G1611" s="74" t="s">
        <v>117</v>
      </c>
      <c r="H1611" s="87">
        <v>44530</v>
      </c>
      <c r="I1611" s="98">
        <v>22</v>
      </c>
      <c r="J1611" s="98">
        <v>22</v>
      </c>
      <c r="K1611" s="89">
        <f t="shared" ref="K1611:K1674" si="70">I1611/J1611</f>
        <v>1</v>
      </c>
      <c r="L1611" s="89">
        <v>7206.38</v>
      </c>
      <c r="M1611" s="89">
        <v>3005.2</v>
      </c>
      <c r="N1611" s="89">
        <v>749.58</v>
      </c>
      <c r="O1611" s="89">
        <f t="shared" si="69"/>
        <v>10961.16</v>
      </c>
    </row>
    <row r="1612" spans="1:15">
      <c r="A1612" s="74" t="s">
        <v>308</v>
      </c>
      <c r="B1612" s="74" t="s">
        <v>121</v>
      </c>
      <c r="C1612" s="74" t="s">
        <v>122</v>
      </c>
      <c r="D1612" s="74" t="s">
        <v>79</v>
      </c>
      <c r="E1612" s="74" t="s">
        <v>80</v>
      </c>
      <c r="F1612" s="86" t="s">
        <v>123</v>
      </c>
      <c r="G1612" s="74" t="s">
        <v>117</v>
      </c>
      <c r="H1612" s="87">
        <v>44530</v>
      </c>
      <c r="I1612" s="98">
        <v>22</v>
      </c>
      <c r="J1612" s="98">
        <v>22</v>
      </c>
      <c r="K1612" s="89">
        <f t="shared" si="70"/>
        <v>1</v>
      </c>
      <c r="L1612" s="89">
        <v>6210.75</v>
      </c>
      <c r="M1612" s="89">
        <v>3085.54</v>
      </c>
      <c r="N1612" s="89">
        <v>600.4</v>
      </c>
      <c r="O1612" s="89">
        <f t="shared" si="69"/>
        <v>9896.69</v>
      </c>
    </row>
    <row r="1613" spans="1:15">
      <c r="A1613" s="74" t="s">
        <v>308</v>
      </c>
      <c r="B1613" s="74" t="s">
        <v>124</v>
      </c>
      <c r="C1613" s="74" t="s">
        <v>125</v>
      </c>
      <c r="D1613" s="74" t="s">
        <v>79</v>
      </c>
      <c r="E1613" s="74" t="s">
        <v>80</v>
      </c>
      <c r="F1613" s="86" t="s">
        <v>116</v>
      </c>
      <c r="G1613" s="74" t="s">
        <v>117</v>
      </c>
      <c r="H1613" s="87">
        <v>44530</v>
      </c>
      <c r="I1613" s="98">
        <v>22</v>
      </c>
      <c r="J1613" s="98">
        <v>22</v>
      </c>
      <c r="K1613" s="89">
        <f t="shared" si="70"/>
        <v>1</v>
      </c>
      <c r="L1613" s="89">
        <v>8757.14</v>
      </c>
      <c r="M1613" s="89">
        <v>3223.93</v>
      </c>
      <c r="N1613" s="89">
        <v>843.41</v>
      </c>
      <c r="O1613" s="89">
        <f t="shared" si="69"/>
        <v>12824.48</v>
      </c>
    </row>
    <row r="1614" spans="1:15">
      <c r="A1614" s="74" t="s">
        <v>308</v>
      </c>
      <c r="B1614" s="74" t="s">
        <v>126</v>
      </c>
      <c r="C1614" s="74" t="s">
        <v>127</v>
      </c>
      <c r="D1614" s="74" t="s">
        <v>79</v>
      </c>
      <c r="E1614" s="74" t="s">
        <v>80</v>
      </c>
      <c r="F1614" s="86" t="s">
        <v>120</v>
      </c>
      <c r="G1614" s="74" t="s">
        <v>117</v>
      </c>
      <c r="H1614" s="87">
        <v>44530</v>
      </c>
      <c r="I1614" s="98">
        <v>22</v>
      </c>
      <c r="J1614" s="98">
        <v>22</v>
      </c>
      <c r="K1614" s="89">
        <f t="shared" si="70"/>
        <v>1</v>
      </c>
      <c r="L1614" s="89">
        <v>7584.83</v>
      </c>
      <c r="M1614" s="89">
        <v>3008.79</v>
      </c>
      <c r="N1614" s="89">
        <v>752.26</v>
      </c>
      <c r="O1614" s="89">
        <f t="shared" si="69"/>
        <v>11345.88</v>
      </c>
    </row>
    <row r="1615" spans="1:15">
      <c r="A1615" s="74" t="s">
        <v>308</v>
      </c>
      <c r="B1615" s="74" t="s">
        <v>128</v>
      </c>
      <c r="C1615" s="74" t="s">
        <v>129</v>
      </c>
      <c r="D1615" s="74" t="s">
        <v>79</v>
      </c>
      <c r="E1615" s="74" t="s">
        <v>80</v>
      </c>
      <c r="F1615" s="86" t="s">
        <v>123</v>
      </c>
      <c r="G1615" s="74" t="s">
        <v>117</v>
      </c>
      <c r="H1615" s="87">
        <v>44530</v>
      </c>
      <c r="I1615" s="98">
        <v>22</v>
      </c>
      <c r="J1615" s="98">
        <v>22</v>
      </c>
      <c r="K1615" s="89">
        <f t="shared" si="70"/>
        <v>1</v>
      </c>
      <c r="L1615" s="89">
        <v>6551.39</v>
      </c>
      <c r="M1615" s="89">
        <v>3158.03</v>
      </c>
      <c r="N1615" s="89">
        <v>629.84</v>
      </c>
      <c r="O1615" s="89">
        <f t="shared" si="69"/>
        <v>10339.26</v>
      </c>
    </row>
    <row r="1616" spans="1:15">
      <c r="A1616" s="74" t="s">
        <v>308</v>
      </c>
      <c r="B1616" s="74" t="s">
        <v>130</v>
      </c>
      <c r="C1616" s="74" t="s">
        <v>131</v>
      </c>
      <c r="D1616" s="74" t="s">
        <v>79</v>
      </c>
      <c r="E1616" s="74" t="s">
        <v>80</v>
      </c>
      <c r="F1616" s="86" t="s">
        <v>116</v>
      </c>
      <c r="G1616" s="74" t="s">
        <v>117</v>
      </c>
      <c r="H1616" s="87">
        <v>44530</v>
      </c>
      <c r="I1616" s="98">
        <v>22</v>
      </c>
      <c r="J1616" s="98">
        <v>22</v>
      </c>
      <c r="K1616" s="89">
        <f t="shared" si="70"/>
        <v>1</v>
      </c>
      <c r="L1616" s="89">
        <v>8575.66</v>
      </c>
      <c r="M1616" s="89">
        <v>3273.28</v>
      </c>
      <c r="N1616" s="89">
        <v>861.77</v>
      </c>
      <c r="O1616" s="89">
        <f t="shared" si="69"/>
        <v>12710.71</v>
      </c>
    </row>
    <row r="1617" spans="1:15">
      <c r="A1617" s="74" t="s">
        <v>308</v>
      </c>
      <c r="B1617" s="74" t="s">
        <v>132</v>
      </c>
      <c r="C1617" s="74" t="s">
        <v>133</v>
      </c>
      <c r="D1617" s="74" t="s">
        <v>79</v>
      </c>
      <c r="E1617" s="74" t="s">
        <v>80</v>
      </c>
      <c r="F1617" s="86" t="s">
        <v>120</v>
      </c>
      <c r="G1617" s="74" t="s">
        <v>117</v>
      </c>
      <c r="H1617" s="87">
        <v>44530</v>
      </c>
      <c r="I1617" s="98">
        <v>22</v>
      </c>
      <c r="J1617" s="98">
        <v>22</v>
      </c>
      <c r="K1617" s="89">
        <f t="shared" si="70"/>
        <v>1</v>
      </c>
      <c r="L1617" s="89">
        <v>7649.16</v>
      </c>
      <c r="M1617" s="89">
        <v>3184.14</v>
      </c>
      <c r="N1617" s="89">
        <v>704.24</v>
      </c>
      <c r="O1617" s="89">
        <f t="shared" si="69"/>
        <v>11537.54</v>
      </c>
    </row>
    <row r="1618" spans="1:15">
      <c r="A1618" s="74" t="s">
        <v>308</v>
      </c>
      <c r="B1618" s="74" t="s">
        <v>134</v>
      </c>
      <c r="C1618" s="74" t="s">
        <v>135</v>
      </c>
      <c r="D1618" s="74" t="s">
        <v>79</v>
      </c>
      <c r="E1618" s="74" t="s">
        <v>80</v>
      </c>
      <c r="F1618" s="86" t="s">
        <v>123</v>
      </c>
      <c r="G1618" s="74" t="s">
        <v>117</v>
      </c>
      <c r="H1618" s="87">
        <v>44530</v>
      </c>
      <c r="I1618" s="98">
        <v>22</v>
      </c>
      <c r="J1618" s="98">
        <v>22</v>
      </c>
      <c r="K1618" s="89">
        <f t="shared" si="70"/>
        <v>1</v>
      </c>
      <c r="L1618" s="89">
        <v>6288.73</v>
      </c>
      <c r="M1618" s="89">
        <v>3219.46</v>
      </c>
      <c r="N1618" s="89">
        <v>657.31</v>
      </c>
      <c r="O1618" s="89">
        <f t="shared" si="69"/>
        <v>10165.5</v>
      </c>
    </row>
    <row r="1619" spans="1:15">
      <c r="A1619" s="74" t="s">
        <v>308</v>
      </c>
      <c r="B1619" s="74" t="s">
        <v>136</v>
      </c>
      <c r="C1619" s="74" t="s">
        <v>137</v>
      </c>
      <c r="D1619" s="74" t="s">
        <v>79</v>
      </c>
      <c r="E1619" s="74" t="s">
        <v>80</v>
      </c>
      <c r="F1619" s="86" t="s">
        <v>116</v>
      </c>
      <c r="G1619" s="74" t="s">
        <v>138</v>
      </c>
      <c r="H1619" s="87">
        <v>44530</v>
      </c>
      <c r="I1619" s="98">
        <v>22</v>
      </c>
      <c r="J1619" s="98">
        <v>22</v>
      </c>
      <c r="K1619" s="89">
        <f t="shared" si="70"/>
        <v>1</v>
      </c>
      <c r="L1619" s="89">
        <v>8133.79</v>
      </c>
      <c r="M1619" s="89">
        <v>3295.88</v>
      </c>
      <c r="N1619" s="89">
        <v>846.94</v>
      </c>
      <c r="O1619" s="89">
        <f t="shared" si="69"/>
        <v>12276.61</v>
      </c>
    </row>
    <row r="1620" spans="1:15">
      <c r="A1620" s="74" t="s">
        <v>308</v>
      </c>
      <c r="B1620" s="74" t="s">
        <v>139</v>
      </c>
      <c r="C1620" s="74" t="s">
        <v>140</v>
      </c>
      <c r="D1620" s="74" t="s">
        <v>79</v>
      </c>
      <c r="E1620" s="74" t="s">
        <v>80</v>
      </c>
      <c r="F1620" s="86" t="s">
        <v>120</v>
      </c>
      <c r="G1620" s="74" t="s">
        <v>138</v>
      </c>
      <c r="H1620" s="87">
        <v>44530</v>
      </c>
      <c r="I1620" s="98">
        <v>22</v>
      </c>
      <c r="J1620" s="98">
        <v>22</v>
      </c>
      <c r="K1620" s="89">
        <f t="shared" si="70"/>
        <v>1</v>
      </c>
      <c r="L1620" s="89">
        <v>7089.61</v>
      </c>
      <c r="M1620" s="89">
        <v>3189.18</v>
      </c>
      <c r="N1620" s="89">
        <v>763.08</v>
      </c>
      <c r="O1620" s="89">
        <f t="shared" si="69"/>
        <v>11041.87</v>
      </c>
    </row>
    <row r="1621" spans="1:15">
      <c r="A1621" s="74" t="s">
        <v>308</v>
      </c>
      <c r="B1621" s="74" t="s">
        <v>141</v>
      </c>
      <c r="C1621" s="74" t="s">
        <v>142</v>
      </c>
      <c r="D1621" s="74" t="s">
        <v>79</v>
      </c>
      <c r="E1621" s="74" t="s">
        <v>80</v>
      </c>
      <c r="F1621" s="86" t="s">
        <v>123</v>
      </c>
      <c r="G1621" s="74" t="s">
        <v>138</v>
      </c>
      <c r="H1621" s="87">
        <v>44530</v>
      </c>
      <c r="I1621" s="98">
        <v>22</v>
      </c>
      <c r="J1621" s="98">
        <v>22</v>
      </c>
      <c r="K1621" s="89">
        <f t="shared" si="70"/>
        <v>1</v>
      </c>
      <c r="L1621" s="89">
        <v>6426.56</v>
      </c>
      <c r="M1621" s="89">
        <v>3249.42</v>
      </c>
      <c r="N1621" s="89">
        <v>659.6</v>
      </c>
      <c r="O1621" s="89">
        <f t="shared" si="69"/>
        <v>10335.58</v>
      </c>
    </row>
    <row r="1622" spans="1:15">
      <c r="A1622" s="74" t="s">
        <v>308</v>
      </c>
      <c r="B1622" s="74" t="s">
        <v>143</v>
      </c>
      <c r="C1622" s="74" t="s">
        <v>144</v>
      </c>
      <c r="D1622" s="74" t="s">
        <v>79</v>
      </c>
      <c r="E1622" s="74" t="s">
        <v>80</v>
      </c>
      <c r="F1622" s="86" t="s">
        <v>145</v>
      </c>
      <c r="G1622" s="74" t="s">
        <v>146</v>
      </c>
      <c r="H1622" s="87">
        <v>44530</v>
      </c>
      <c r="I1622" s="98">
        <v>22</v>
      </c>
      <c r="J1622" s="98">
        <v>22</v>
      </c>
      <c r="K1622" s="89">
        <f t="shared" si="70"/>
        <v>1</v>
      </c>
      <c r="L1622" s="89">
        <v>19721.5</v>
      </c>
      <c r="M1622" s="89">
        <v>3003.07</v>
      </c>
      <c r="N1622" s="89">
        <v>2061.21</v>
      </c>
      <c r="O1622" s="89">
        <f t="shared" si="69"/>
        <v>24785.78</v>
      </c>
    </row>
    <row r="1623" spans="1:15">
      <c r="A1623" s="74" t="s">
        <v>308</v>
      </c>
      <c r="B1623" s="74" t="s">
        <v>147</v>
      </c>
      <c r="C1623" s="74" t="s">
        <v>148</v>
      </c>
      <c r="D1623" s="74" t="s">
        <v>79</v>
      </c>
      <c r="E1623" s="74" t="s">
        <v>80</v>
      </c>
      <c r="F1623" s="86" t="s">
        <v>149</v>
      </c>
      <c r="G1623" s="74" t="s">
        <v>150</v>
      </c>
      <c r="H1623" s="87">
        <v>44530</v>
      </c>
      <c r="I1623" s="98">
        <v>22</v>
      </c>
      <c r="J1623" s="98">
        <v>22</v>
      </c>
      <c r="K1623" s="89">
        <f t="shared" si="70"/>
        <v>1</v>
      </c>
      <c r="L1623" s="89">
        <v>18634.04</v>
      </c>
      <c r="M1623" s="89">
        <v>3099.19</v>
      </c>
      <c r="N1623" s="89">
        <v>1808.19</v>
      </c>
      <c r="O1623" s="89">
        <f t="shared" si="69"/>
        <v>23541.42</v>
      </c>
    </row>
    <row r="1624" spans="1:15">
      <c r="A1624" s="74" t="s">
        <v>308</v>
      </c>
      <c r="B1624" s="74" t="s">
        <v>151</v>
      </c>
      <c r="C1624" s="74" t="s">
        <v>152</v>
      </c>
      <c r="D1624" s="74" t="s">
        <v>79</v>
      </c>
      <c r="E1624" s="74" t="s">
        <v>81</v>
      </c>
      <c r="F1624" s="86" t="s">
        <v>123</v>
      </c>
      <c r="G1624" s="74" t="s">
        <v>153</v>
      </c>
      <c r="H1624" s="87">
        <v>44530</v>
      </c>
      <c r="I1624" s="98">
        <v>22</v>
      </c>
      <c r="J1624" s="98">
        <v>22</v>
      </c>
      <c r="K1624" s="89">
        <f t="shared" si="70"/>
        <v>1</v>
      </c>
      <c r="L1624" s="89">
        <v>6471.42</v>
      </c>
      <c r="M1624" s="89">
        <v>3009.52</v>
      </c>
      <c r="N1624" s="89">
        <v>659.75</v>
      </c>
      <c r="O1624" s="89">
        <f t="shared" si="69"/>
        <v>10140.69</v>
      </c>
    </row>
    <row r="1625" spans="1:15">
      <c r="A1625" s="74" t="s">
        <v>308</v>
      </c>
      <c r="B1625" s="74" t="s">
        <v>154</v>
      </c>
      <c r="C1625" s="74" t="s">
        <v>155</v>
      </c>
      <c r="D1625" s="74" t="s">
        <v>79</v>
      </c>
      <c r="E1625" s="74" t="s">
        <v>81</v>
      </c>
      <c r="F1625" s="86" t="s">
        <v>156</v>
      </c>
      <c r="G1625" s="74" t="s">
        <v>157</v>
      </c>
      <c r="H1625" s="87">
        <v>44530</v>
      </c>
      <c r="I1625" s="98">
        <v>22</v>
      </c>
      <c r="J1625" s="98">
        <v>22</v>
      </c>
      <c r="K1625" s="89">
        <f t="shared" si="70"/>
        <v>1</v>
      </c>
      <c r="L1625" s="89">
        <v>5345.99</v>
      </c>
      <c r="M1625" s="89">
        <v>3100.28</v>
      </c>
      <c r="N1625" s="89">
        <v>543.62</v>
      </c>
      <c r="O1625" s="89">
        <f t="shared" si="69"/>
        <v>8989.89</v>
      </c>
    </row>
    <row r="1626" spans="1:15">
      <c r="A1626" s="74" t="s">
        <v>308</v>
      </c>
      <c r="B1626" s="74" t="s">
        <v>158</v>
      </c>
      <c r="C1626" s="74" t="s">
        <v>159</v>
      </c>
      <c r="D1626" s="74" t="s">
        <v>79</v>
      </c>
      <c r="E1626" s="74" t="s">
        <v>81</v>
      </c>
      <c r="F1626" s="86" t="s">
        <v>160</v>
      </c>
      <c r="G1626" s="74" t="s">
        <v>161</v>
      </c>
      <c r="H1626" s="87">
        <v>44530</v>
      </c>
      <c r="I1626" s="98">
        <v>22</v>
      </c>
      <c r="J1626" s="98">
        <v>22</v>
      </c>
      <c r="K1626" s="89">
        <f t="shared" si="70"/>
        <v>1</v>
      </c>
      <c r="L1626" s="89">
        <v>4235.3</v>
      </c>
      <c r="M1626" s="89">
        <v>3112.91</v>
      </c>
      <c r="N1626" s="89">
        <v>430.25</v>
      </c>
      <c r="O1626" s="89">
        <f t="shared" si="69"/>
        <v>7778.46</v>
      </c>
    </row>
    <row r="1627" spans="1:15">
      <c r="A1627" s="74" t="s">
        <v>308</v>
      </c>
      <c r="B1627" s="74" t="s">
        <v>162</v>
      </c>
      <c r="C1627" s="74" t="s">
        <v>163</v>
      </c>
      <c r="D1627" s="74" t="s">
        <v>79</v>
      </c>
      <c r="E1627" s="74" t="s">
        <v>81</v>
      </c>
      <c r="F1627" s="86" t="s">
        <v>123</v>
      </c>
      <c r="G1627" s="74" t="s">
        <v>153</v>
      </c>
      <c r="H1627" s="87">
        <v>44530</v>
      </c>
      <c r="I1627" s="98">
        <v>22</v>
      </c>
      <c r="J1627" s="98">
        <v>22</v>
      </c>
      <c r="K1627" s="89">
        <f t="shared" si="70"/>
        <v>1</v>
      </c>
      <c r="L1627" s="89">
        <v>6507.16</v>
      </c>
      <c r="M1627" s="89">
        <v>3018.79</v>
      </c>
      <c r="N1627" s="89">
        <v>629.33</v>
      </c>
      <c r="O1627" s="89">
        <f t="shared" si="69"/>
        <v>10155.28</v>
      </c>
    </row>
    <row r="1628" spans="1:15">
      <c r="A1628" s="74" t="s">
        <v>308</v>
      </c>
      <c r="B1628" s="74" t="s">
        <v>164</v>
      </c>
      <c r="C1628" s="74" t="s">
        <v>165</v>
      </c>
      <c r="D1628" s="74" t="s">
        <v>79</v>
      </c>
      <c r="E1628" s="74" t="s">
        <v>81</v>
      </c>
      <c r="F1628" s="86" t="s">
        <v>156</v>
      </c>
      <c r="G1628" s="74" t="s">
        <v>157</v>
      </c>
      <c r="H1628" s="87">
        <v>44530</v>
      </c>
      <c r="I1628" s="98">
        <v>22</v>
      </c>
      <c r="J1628" s="98">
        <v>22</v>
      </c>
      <c r="K1628" s="89">
        <f t="shared" si="70"/>
        <v>1</v>
      </c>
      <c r="L1628" s="89">
        <v>5170.64</v>
      </c>
      <c r="M1628" s="89">
        <v>3249.5</v>
      </c>
      <c r="N1628" s="89">
        <v>501.19</v>
      </c>
      <c r="O1628" s="89">
        <f t="shared" si="69"/>
        <v>8921.33</v>
      </c>
    </row>
    <row r="1629" spans="1:15">
      <c r="A1629" s="74" t="s">
        <v>308</v>
      </c>
      <c r="B1629" s="74" t="s">
        <v>166</v>
      </c>
      <c r="C1629" s="74" t="s">
        <v>167</v>
      </c>
      <c r="D1629" s="74" t="s">
        <v>79</v>
      </c>
      <c r="E1629" s="74" t="s">
        <v>81</v>
      </c>
      <c r="F1629" s="86" t="s">
        <v>160</v>
      </c>
      <c r="G1629" s="74" t="s">
        <v>161</v>
      </c>
      <c r="H1629" s="87">
        <v>44530</v>
      </c>
      <c r="I1629" s="98">
        <v>22</v>
      </c>
      <c r="J1629" s="98">
        <v>22</v>
      </c>
      <c r="K1629" s="89">
        <f t="shared" si="70"/>
        <v>1</v>
      </c>
      <c r="L1629" s="89">
        <v>4006.85</v>
      </c>
      <c r="M1629" s="89">
        <v>3133.26</v>
      </c>
      <c r="N1629" s="89">
        <v>428.91</v>
      </c>
      <c r="O1629" s="89">
        <f t="shared" si="69"/>
        <v>7569.02</v>
      </c>
    </row>
    <row r="1630" spans="1:15">
      <c r="A1630" s="74" t="s">
        <v>308</v>
      </c>
      <c r="B1630" s="74" t="s">
        <v>168</v>
      </c>
      <c r="C1630" s="74" t="s">
        <v>169</v>
      </c>
      <c r="D1630" s="74" t="s">
        <v>79</v>
      </c>
      <c r="E1630" s="74" t="s">
        <v>81</v>
      </c>
      <c r="F1630" s="86" t="s">
        <v>123</v>
      </c>
      <c r="G1630" s="74" t="s">
        <v>153</v>
      </c>
      <c r="H1630" s="87">
        <v>44530</v>
      </c>
      <c r="I1630" s="98">
        <v>22</v>
      </c>
      <c r="J1630" s="98">
        <v>22</v>
      </c>
      <c r="K1630" s="89">
        <f t="shared" si="70"/>
        <v>1</v>
      </c>
      <c r="L1630" s="89">
        <v>6072.29</v>
      </c>
      <c r="M1630" s="89">
        <v>3033.6</v>
      </c>
      <c r="N1630" s="89">
        <v>605.43</v>
      </c>
      <c r="O1630" s="89">
        <f t="shared" si="69"/>
        <v>9711.32</v>
      </c>
    </row>
    <row r="1631" spans="1:15">
      <c r="A1631" s="74" t="s">
        <v>308</v>
      </c>
      <c r="B1631" s="74" t="s">
        <v>170</v>
      </c>
      <c r="C1631" s="74" t="s">
        <v>171</v>
      </c>
      <c r="D1631" s="74" t="s">
        <v>79</v>
      </c>
      <c r="E1631" s="74" t="s">
        <v>81</v>
      </c>
      <c r="F1631" s="86" t="s">
        <v>156</v>
      </c>
      <c r="G1631" s="74" t="s">
        <v>157</v>
      </c>
      <c r="H1631" s="87">
        <v>44530</v>
      </c>
      <c r="I1631" s="98">
        <v>22</v>
      </c>
      <c r="J1631" s="98">
        <v>22</v>
      </c>
      <c r="K1631" s="89">
        <f t="shared" si="70"/>
        <v>1</v>
      </c>
      <c r="L1631" s="89">
        <v>5060.26</v>
      </c>
      <c r="M1631" s="89">
        <v>3264.46</v>
      </c>
      <c r="N1631" s="89">
        <v>546.33</v>
      </c>
      <c r="O1631" s="89">
        <f t="shared" si="69"/>
        <v>8871.05</v>
      </c>
    </row>
    <row r="1632" spans="1:15">
      <c r="A1632" s="74" t="s">
        <v>308</v>
      </c>
      <c r="B1632" s="74" t="s">
        <v>172</v>
      </c>
      <c r="C1632" s="74" t="s">
        <v>173</v>
      </c>
      <c r="D1632" s="74" t="s">
        <v>79</v>
      </c>
      <c r="E1632" s="74" t="s">
        <v>81</v>
      </c>
      <c r="F1632" s="86" t="s">
        <v>160</v>
      </c>
      <c r="G1632" s="74" t="s">
        <v>161</v>
      </c>
      <c r="H1632" s="87">
        <v>44530</v>
      </c>
      <c r="I1632" s="98">
        <v>22</v>
      </c>
      <c r="J1632" s="98">
        <v>22</v>
      </c>
      <c r="K1632" s="89">
        <f t="shared" si="70"/>
        <v>1</v>
      </c>
      <c r="L1632" s="89">
        <v>4244.42</v>
      </c>
      <c r="M1632" s="89">
        <v>3124.47</v>
      </c>
      <c r="N1632" s="89">
        <v>407.65</v>
      </c>
      <c r="O1632" s="89">
        <f t="shared" si="69"/>
        <v>7776.54</v>
      </c>
    </row>
    <row r="1633" spans="1:15">
      <c r="A1633" s="74" t="s">
        <v>308</v>
      </c>
      <c r="B1633" s="74" t="s">
        <v>174</v>
      </c>
      <c r="C1633" s="74" t="s">
        <v>175</v>
      </c>
      <c r="D1633" s="74" t="s">
        <v>79</v>
      </c>
      <c r="E1633" s="74" t="s">
        <v>81</v>
      </c>
      <c r="F1633" s="86" t="s">
        <v>176</v>
      </c>
      <c r="G1633" s="74" t="s">
        <v>177</v>
      </c>
      <c r="H1633" s="87">
        <v>44530</v>
      </c>
      <c r="I1633" s="98">
        <v>22</v>
      </c>
      <c r="J1633" s="98">
        <v>22</v>
      </c>
      <c r="K1633" s="89">
        <f t="shared" si="70"/>
        <v>1</v>
      </c>
      <c r="L1633" s="89">
        <v>3296.92</v>
      </c>
      <c r="M1633" s="89">
        <v>3099.04</v>
      </c>
      <c r="N1633" s="89">
        <v>304.19</v>
      </c>
      <c r="O1633" s="89">
        <f t="shared" si="69"/>
        <v>6700.15</v>
      </c>
    </row>
    <row r="1634" spans="1:15">
      <c r="A1634" s="74" t="s">
        <v>308</v>
      </c>
      <c r="B1634" s="74" t="s">
        <v>178</v>
      </c>
      <c r="C1634" s="74" t="s">
        <v>179</v>
      </c>
      <c r="D1634" s="74" t="s">
        <v>79</v>
      </c>
      <c r="E1634" s="74" t="s">
        <v>81</v>
      </c>
      <c r="F1634" s="86" t="s">
        <v>180</v>
      </c>
      <c r="G1634" s="74" t="s">
        <v>177</v>
      </c>
      <c r="H1634" s="87">
        <v>44530</v>
      </c>
      <c r="I1634" s="98">
        <v>22</v>
      </c>
      <c r="J1634" s="98">
        <v>22</v>
      </c>
      <c r="K1634" s="89">
        <f t="shared" si="70"/>
        <v>1</v>
      </c>
      <c r="L1634" s="89">
        <v>2029.77</v>
      </c>
      <c r="M1634" s="89">
        <v>3226.38</v>
      </c>
      <c r="N1634" s="89">
        <v>219.42</v>
      </c>
      <c r="O1634" s="89">
        <f t="shared" si="69"/>
        <v>5475.57</v>
      </c>
    </row>
    <row r="1635" spans="1:15">
      <c r="A1635" s="74" t="s">
        <v>308</v>
      </c>
      <c r="B1635" s="74" t="s">
        <v>181</v>
      </c>
      <c r="C1635" s="74" t="s">
        <v>182</v>
      </c>
      <c r="D1635" s="74" t="s">
        <v>79</v>
      </c>
      <c r="E1635" s="74" t="s">
        <v>81</v>
      </c>
      <c r="F1635" s="86" t="s">
        <v>183</v>
      </c>
      <c r="G1635" s="74" t="s">
        <v>177</v>
      </c>
      <c r="H1635" s="87">
        <v>44530</v>
      </c>
      <c r="I1635" s="98">
        <v>22</v>
      </c>
      <c r="J1635" s="98">
        <v>22</v>
      </c>
      <c r="K1635" s="89">
        <f t="shared" si="70"/>
        <v>1</v>
      </c>
      <c r="L1635" s="89">
        <v>1017.23</v>
      </c>
      <c r="M1635" s="89">
        <v>3232.94</v>
      </c>
      <c r="N1635" s="89">
        <v>108.71</v>
      </c>
      <c r="O1635" s="89">
        <f t="shared" si="69"/>
        <v>4358.88</v>
      </c>
    </row>
    <row r="1636" spans="1:15">
      <c r="A1636" s="74" t="s">
        <v>308</v>
      </c>
      <c r="B1636" s="74" t="s">
        <v>184</v>
      </c>
      <c r="C1636" s="74" t="s">
        <v>185</v>
      </c>
      <c r="D1636" s="74" t="s">
        <v>79</v>
      </c>
      <c r="E1636" s="74" t="s">
        <v>81</v>
      </c>
      <c r="F1636" s="86" t="s">
        <v>176</v>
      </c>
      <c r="G1636" s="74" t="s">
        <v>177</v>
      </c>
      <c r="H1636" s="87">
        <v>44530</v>
      </c>
      <c r="I1636" s="98">
        <v>22</v>
      </c>
      <c r="J1636" s="98">
        <v>22</v>
      </c>
      <c r="K1636" s="89">
        <f t="shared" si="70"/>
        <v>1</v>
      </c>
      <c r="L1636" s="89">
        <v>3115.32</v>
      </c>
      <c r="M1636" s="89">
        <v>3010.53</v>
      </c>
      <c r="N1636" s="89">
        <v>327.89</v>
      </c>
      <c r="O1636" s="89">
        <f t="shared" si="69"/>
        <v>6453.74</v>
      </c>
    </row>
    <row r="1637" spans="1:15">
      <c r="A1637" s="74" t="s">
        <v>308</v>
      </c>
      <c r="B1637" s="74" t="s">
        <v>186</v>
      </c>
      <c r="C1637" s="74" t="s">
        <v>187</v>
      </c>
      <c r="D1637" s="74" t="s">
        <v>79</v>
      </c>
      <c r="E1637" s="74" t="s">
        <v>81</v>
      </c>
      <c r="F1637" s="86" t="s">
        <v>180</v>
      </c>
      <c r="G1637" s="74" t="s">
        <v>177</v>
      </c>
      <c r="H1637" s="87">
        <v>44530</v>
      </c>
      <c r="I1637" s="98">
        <v>22</v>
      </c>
      <c r="J1637" s="98">
        <v>22</v>
      </c>
      <c r="K1637" s="89">
        <f t="shared" si="70"/>
        <v>1</v>
      </c>
      <c r="L1637" s="89">
        <v>2080</v>
      </c>
      <c r="M1637" s="89">
        <v>3108.46</v>
      </c>
      <c r="N1637" s="89">
        <v>208.88</v>
      </c>
      <c r="O1637" s="89">
        <f t="shared" si="69"/>
        <v>5397.34</v>
      </c>
    </row>
    <row r="1638" spans="1:15">
      <c r="A1638" s="74" t="s">
        <v>308</v>
      </c>
      <c r="B1638" s="74" t="s">
        <v>188</v>
      </c>
      <c r="C1638" s="74" t="s">
        <v>189</v>
      </c>
      <c r="D1638" s="74" t="s">
        <v>79</v>
      </c>
      <c r="E1638" s="74" t="s">
        <v>81</v>
      </c>
      <c r="F1638" s="86" t="s">
        <v>183</v>
      </c>
      <c r="G1638" s="74" t="s">
        <v>177</v>
      </c>
      <c r="H1638" s="87">
        <v>44530</v>
      </c>
      <c r="I1638" s="98">
        <v>22</v>
      </c>
      <c r="J1638" s="98">
        <v>22</v>
      </c>
      <c r="K1638" s="89">
        <f t="shared" si="70"/>
        <v>1</v>
      </c>
      <c r="L1638" s="89">
        <v>1074.39</v>
      </c>
      <c r="M1638" s="89">
        <v>3249.6</v>
      </c>
      <c r="N1638" s="89">
        <v>109.81</v>
      </c>
      <c r="O1638" s="89">
        <f t="shared" si="69"/>
        <v>4433.8</v>
      </c>
    </row>
    <row r="1639" spans="1:15">
      <c r="A1639" s="74" t="s">
        <v>308</v>
      </c>
      <c r="B1639" s="74" t="s">
        <v>190</v>
      </c>
      <c r="C1639" s="74" t="s">
        <v>191</v>
      </c>
      <c r="D1639" s="74" t="s">
        <v>79</v>
      </c>
      <c r="E1639" s="74" t="s">
        <v>81</v>
      </c>
      <c r="F1639" s="86" t="s">
        <v>176</v>
      </c>
      <c r="G1639" s="74" t="s">
        <v>177</v>
      </c>
      <c r="H1639" s="87">
        <v>44530</v>
      </c>
      <c r="I1639" s="98">
        <v>22</v>
      </c>
      <c r="J1639" s="98">
        <v>22</v>
      </c>
      <c r="K1639" s="89">
        <f t="shared" si="70"/>
        <v>1</v>
      </c>
      <c r="L1639" s="89">
        <v>3249.51</v>
      </c>
      <c r="M1639" s="89">
        <v>3151.55</v>
      </c>
      <c r="N1639" s="89">
        <v>320.68</v>
      </c>
      <c r="O1639" s="89">
        <f t="shared" si="69"/>
        <v>6721.74</v>
      </c>
    </row>
    <row r="1640" spans="1:15">
      <c r="A1640" s="74" t="s">
        <v>308</v>
      </c>
      <c r="B1640" s="74" t="s">
        <v>192</v>
      </c>
      <c r="C1640" s="74" t="s">
        <v>193</v>
      </c>
      <c r="D1640" s="74" t="s">
        <v>79</v>
      </c>
      <c r="E1640" s="74" t="s">
        <v>81</v>
      </c>
      <c r="F1640" s="86" t="s">
        <v>180</v>
      </c>
      <c r="G1640" s="74" t="s">
        <v>177</v>
      </c>
      <c r="H1640" s="87">
        <v>44530</v>
      </c>
      <c r="I1640" s="98">
        <v>22</v>
      </c>
      <c r="J1640" s="98">
        <v>22</v>
      </c>
      <c r="K1640" s="89">
        <f t="shared" si="70"/>
        <v>1</v>
      </c>
      <c r="L1640" s="89">
        <v>2165.83</v>
      </c>
      <c r="M1640" s="89">
        <v>3031.63</v>
      </c>
      <c r="N1640" s="89">
        <v>218.67</v>
      </c>
      <c r="O1640" s="89">
        <f t="shared" si="69"/>
        <v>5416.13</v>
      </c>
    </row>
    <row r="1641" spans="1:15">
      <c r="A1641" s="74" t="s">
        <v>308</v>
      </c>
      <c r="B1641" s="74" t="s">
        <v>194</v>
      </c>
      <c r="C1641" s="74" t="s">
        <v>195</v>
      </c>
      <c r="D1641" s="74" t="s">
        <v>79</v>
      </c>
      <c r="E1641" s="74" t="s">
        <v>81</v>
      </c>
      <c r="F1641" s="86" t="s">
        <v>183</v>
      </c>
      <c r="G1641" s="74" t="s">
        <v>177</v>
      </c>
      <c r="H1641" s="87">
        <v>44530</v>
      </c>
      <c r="I1641" s="98">
        <v>22</v>
      </c>
      <c r="J1641" s="98">
        <v>22</v>
      </c>
      <c r="K1641" s="89">
        <f t="shared" si="70"/>
        <v>1</v>
      </c>
      <c r="L1641" s="89">
        <v>1011.82</v>
      </c>
      <c r="M1641" s="89">
        <v>3047.86</v>
      </c>
      <c r="N1641" s="89">
        <v>104.67</v>
      </c>
      <c r="O1641" s="89">
        <f t="shared" si="69"/>
        <v>4164.35</v>
      </c>
    </row>
    <row r="1642" spans="1:15">
      <c r="A1642" s="74" t="s">
        <v>308</v>
      </c>
      <c r="B1642" s="74" t="s">
        <v>196</v>
      </c>
      <c r="C1642" s="74" t="s">
        <v>197</v>
      </c>
      <c r="D1642" s="74" t="s">
        <v>79</v>
      </c>
      <c r="E1642" s="74" t="s">
        <v>81</v>
      </c>
      <c r="F1642" s="86" t="s">
        <v>176</v>
      </c>
      <c r="G1642" s="74" t="s">
        <v>177</v>
      </c>
      <c r="H1642" s="87">
        <v>44530</v>
      </c>
      <c r="I1642" s="98">
        <v>22</v>
      </c>
      <c r="J1642" s="98">
        <v>22</v>
      </c>
      <c r="K1642" s="89">
        <f t="shared" si="70"/>
        <v>1</v>
      </c>
      <c r="L1642" s="89">
        <v>3179.13</v>
      </c>
      <c r="M1642" s="89">
        <v>3062.92</v>
      </c>
      <c r="N1642" s="89">
        <v>305.14</v>
      </c>
      <c r="O1642" s="89">
        <f t="shared" si="69"/>
        <v>6547.19</v>
      </c>
    </row>
    <row r="1643" spans="1:15">
      <c r="A1643" s="74" t="s">
        <v>308</v>
      </c>
      <c r="B1643" s="74" t="s">
        <v>198</v>
      </c>
      <c r="C1643" s="74" t="s">
        <v>199</v>
      </c>
      <c r="D1643" s="74" t="s">
        <v>79</v>
      </c>
      <c r="E1643" s="74" t="s">
        <v>81</v>
      </c>
      <c r="F1643" s="86" t="s">
        <v>180</v>
      </c>
      <c r="G1643" s="74" t="s">
        <v>177</v>
      </c>
      <c r="H1643" s="87">
        <v>44530</v>
      </c>
      <c r="I1643" s="98">
        <v>22</v>
      </c>
      <c r="J1643" s="98">
        <v>22</v>
      </c>
      <c r="K1643" s="89">
        <f t="shared" si="70"/>
        <v>1</v>
      </c>
      <c r="L1643" s="89">
        <v>2170.07</v>
      </c>
      <c r="M1643" s="89">
        <v>3215.05</v>
      </c>
      <c r="N1643" s="89">
        <v>208.12</v>
      </c>
      <c r="O1643" s="89">
        <f t="shared" si="69"/>
        <v>5593.24</v>
      </c>
    </row>
    <row r="1644" spans="1:15">
      <c r="A1644" s="74" t="s">
        <v>308</v>
      </c>
      <c r="B1644" s="74" t="s">
        <v>200</v>
      </c>
      <c r="C1644" s="74" t="s">
        <v>201</v>
      </c>
      <c r="D1644" s="74" t="s">
        <v>79</v>
      </c>
      <c r="E1644" s="74" t="s">
        <v>81</v>
      </c>
      <c r="F1644" s="86" t="s">
        <v>183</v>
      </c>
      <c r="G1644" s="74" t="s">
        <v>177</v>
      </c>
      <c r="H1644" s="87">
        <v>44530</v>
      </c>
      <c r="I1644" s="98">
        <v>22</v>
      </c>
      <c r="J1644" s="98">
        <v>22</v>
      </c>
      <c r="K1644" s="89">
        <f t="shared" si="70"/>
        <v>1</v>
      </c>
      <c r="L1644" s="89">
        <v>1041.7</v>
      </c>
      <c r="M1644" s="89">
        <v>3018.31</v>
      </c>
      <c r="N1644" s="89">
        <v>101.35</v>
      </c>
      <c r="O1644" s="89">
        <f t="shared" si="69"/>
        <v>4161.36</v>
      </c>
    </row>
    <row r="1645" spans="1:15">
      <c r="A1645" s="74" t="s">
        <v>308</v>
      </c>
      <c r="B1645" s="74" t="s">
        <v>202</v>
      </c>
      <c r="C1645" s="74" t="s">
        <v>203</v>
      </c>
      <c r="D1645" s="74" t="s">
        <v>79</v>
      </c>
      <c r="E1645" s="74" t="s">
        <v>81</v>
      </c>
      <c r="F1645" s="86" t="s">
        <v>204</v>
      </c>
      <c r="G1645" s="74" t="s">
        <v>205</v>
      </c>
      <c r="H1645" s="87">
        <v>44530</v>
      </c>
      <c r="I1645" s="98">
        <v>22</v>
      </c>
      <c r="J1645" s="98">
        <v>22</v>
      </c>
      <c r="K1645" s="89">
        <f t="shared" si="70"/>
        <v>1</v>
      </c>
      <c r="L1645" s="89">
        <v>18063.27</v>
      </c>
      <c r="M1645" s="89">
        <v>3172.5</v>
      </c>
      <c r="N1645" s="89">
        <v>1935.22</v>
      </c>
      <c r="O1645" s="89">
        <f t="shared" si="69"/>
        <v>23170.99</v>
      </c>
    </row>
    <row r="1646" spans="1:15">
      <c r="A1646" s="74" t="s">
        <v>308</v>
      </c>
      <c r="B1646" s="74" t="s">
        <v>206</v>
      </c>
      <c r="C1646" s="74" t="s">
        <v>207</v>
      </c>
      <c r="D1646" s="88" t="s">
        <v>82</v>
      </c>
      <c r="E1646" s="88" t="s">
        <v>84</v>
      </c>
      <c r="F1646" s="86" t="s">
        <v>208</v>
      </c>
      <c r="G1646" s="74" t="s">
        <v>209</v>
      </c>
      <c r="H1646" s="87">
        <v>44530</v>
      </c>
      <c r="I1646" s="98">
        <v>22</v>
      </c>
      <c r="J1646" s="98">
        <v>22</v>
      </c>
      <c r="K1646" s="89">
        <f t="shared" si="70"/>
        <v>1</v>
      </c>
      <c r="L1646" s="89">
        <v>9706.01</v>
      </c>
      <c r="M1646" s="89">
        <v>3095.79</v>
      </c>
      <c r="N1646" s="89">
        <v>904.52</v>
      </c>
      <c r="O1646" s="89">
        <f t="shared" si="69"/>
        <v>13706.32</v>
      </c>
    </row>
    <row r="1647" spans="1:15">
      <c r="A1647" s="74" t="s">
        <v>308</v>
      </c>
      <c r="B1647" s="74" t="s">
        <v>210</v>
      </c>
      <c r="C1647" s="74" t="s">
        <v>211</v>
      </c>
      <c r="D1647" s="88" t="s">
        <v>82</v>
      </c>
      <c r="E1647" s="88" t="s">
        <v>84</v>
      </c>
      <c r="F1647" s="86" t="s">
        <v>116</v>
      </c>
      <c r="G1647" s="74" t="s">
        <v>209</v>
      </c>
      <c r="H1647" s="87">
        <v>44530</v>
      </c>
      <c r="I1647" s="98">
        <v>22</v>
      </c>
      <c r="J1647" s="98">
        <v>22</v>
      </c>
      <c r="K1647" s="89">
        <f t="shared" si="70"/>
        <v>1</v>
      </c>
      <c r="L1647" s="89">
        <v>8773.7</v>
      </c>
      <c r="M1647" s="89">
        <v>3009.51</v>
      </c>
      <c r="N1647" s="89">
        <v>841.36</v>
      </c>
      <c r="O1647" s="89">
        <f t="shared" si="69"/>
        <v>12624.57</v>
      </c>
    </row>
    <row r="1648" spans="1:15">
      <c r="A1648" s="74" t="s">
        <v>308</v>
      </c>
      <c r="B1648" s="74" t="s">
        <v>212</v>
      </c>
      <c r="C1648" s="74" t="s">
        <v>213</v>
      </c>
      <c r="D1648" s="88" t="s">
        <v>82</v>
      </c>
      <c r="E1648" s="88" t="s">
        <v>84</v>
      </c>
      <c r="F1648" s="86" t="s">
        <v>208</v>
      </c>
      <c r="G1648" s="74" t="s">
        <v>209</v>
      </c>
      <c r="H1648" s="87">
        <v>44530</v>
      </c>
      <c r="I1648" s="98">
        <v>22</v>
      </c>
      <c r="J1648" s="98">
        <v>22</v>
      </c>
      <c r="K1648" s="89">
        <f t="shared" si="70"/>
        <v>1</v>
      </c>
      <c r="L1648" s="89">
        <v>9150.69</v>
      </c>
      <c r="M1648" s="89">
        <v>3294.29</v>
      </c>
      <c r="N1648" s="89">
        <v>976.29</v>
      </c>
      <c r="O1648" s="89">
        <f t="shared" si="69"/>
        <v>13421.27</v>
      </c>
    </row>
    <row r="1649" spans="1:15">
      <c r="A1649" s="74" t="s">
        <v>308</v>
      </c>
      <c r="B1649" s="74" t="s">
        <v>214</v>
      </c>
      <c r="C1649" s="74" t="s">
        <v>215</v>
      </c>
      <c r="D1649" s="88" t="s">
        <v>82</v>
      </c>
      <c r="E1649" s="88" t="s">
        <v>84</v>
      </c>
      <c r="F1649" s="86" t="s">
        <v>116</v>
      </c>
      <c r="G1649" s="74" t="s">
        <v>209</v>
      </c>
      <c r="H1649" s="87">
        <v>44530</v>
      </c>
      <c r="I1649" s="98">
        <v>22</v>
      </c>
      <c r="J1649" s="98">
        <v>22</v>
      </c>
      <c r="K1649" s="89">
        <f t="shared" si="70"/>
        <v>1</v>
      </c>
      <c r="L1649" s="89">
        <v>8707.7</v>
      </c>
      <c r="M1649" s="89">
        <v>3077.17</v>
      </c>
      <c r="N1649" s="89">
        <v>802.79</v>
      </c>
      <c r="O1649" s="89">
        <f t="shared" si="69"/>
        <v>12587.66</v>
      </c>
    </row>
    <row r="1650" spans="1:15">
      <c r="A1650" s="74" t="s">
        <v>308</v>
      </c>
      <c r="B1650" s="74" t="s">
        <v>216</v>
      </c>
      <c r="C1650" s="74" t="s">
        <v>217</v>
      </c>
      <c r="D1650" s="88" t="s">
        <v>82</v>
      </c>
      <c r="E1650" s="88" t="s">
        <v>84</v>
      </c>
      <c r="F1650" s="86" t="s">
        <v>218</v>
      </c>
      <c r="G1650" s="74" t="s">
        <v>219</v>
      </c>
      <c r="H1650" s="87">
        <v>44530</v>
      </c>
      <c r="I1650" s="98">
        <v>22</v>
      </c>
      <c r="J1650" s="98">
        <v>22</v>
      </c>
      <c r="K1650" s="89">
        <f t="shared" si="70"/>
        <v>1</v>
      </c>
      <c r="L1650" s="89">
        <v>11404.48</v>
      </c>
      <c r="M1650" s="89">
        <v>3265.16</v>
      </c>
      <c r="N1650" s="89">
        <v>1141.52</v>
      </c>
      <c r="O1650" s="89">
        <f t="shared" si="69"/>
        <v>15811.16</v>
      </c>
    </row>
    <row r="1651" spans="1:15">
      <c r="A1651" s="74" t="s">
        <v>308</v>
      </c>
      <c r="B1651" s="74" t="s">
        <v>220</v>
      </c>
      <c r="C1651" s="74" t="s">
        <v>221</v>
      </c>
      <c r="D1651" s="88" t="s">
        <v>82</v>
      </c>
      <c r="E1651" s="74" t="s">
        <v>83</v>
      </c>
      <c r="F1651" s="86" t="s">
        <v>218</v>
      </c>
      <c r="G1651" s="74" t="s">
        <v>222</v>
      </c>
      <c r="H1651" s="87">
        <v>44530</v>
      </c>
      <c r="I1651" s="98">
        <v>22</v>
      </c>
      <c r="J1651" s="98">
        <v>22</v>
      </c>
      <c r="K1651" s="89">
        <f t="shared" si="70"/>
        <v>1</v>
      </c>
      <c r="L1651" s="89">
        <v>11233.64</v>
      </c>
      <c r="M1651" s="89">
        <v>3169.95</v>
      </c>
      <c r="N1651" s="89">
        <v>1148.46</v>
      </c>
      <c r="O1651" s="89">
        <f t="shared" si="69"/>
        <v>15552.05</v>
      </c>
    </row>
    <row r="1652" spans="1:15">
      <c r="A1652" s="74" t="s">
        <v>308</v>
      </c>
      <c r="B1652" s="74" t="s">
        <v>223</v>
      </c>
      <c r="C1652" s="74" t="s">
        <v>224</v>
      </c>
      <c r="D1652" s="88" t="s">
        <v>82</v>
      </c>
      <c r="E1652" s="74" t="s">
        <v>83</v>
      </c>
      <c r="F1652" s="86" t="s">
        <v>225</v>
      </c>
      <c r="G1652" s="74" t="s">
        <v>209</v>
      </c>
      <c r="H1652" s="87">
        <v>44530</v>
      </c>
      <c r="I1652" s="98">
        <v>22</v>
      </c>
      <c r="J1652" s="98">
        <v>22</v>
      </c>
      <c r="K1652" s="89">
        <f t="shared" si="70"/>
        <v>1</v>
      </c>
      <c r="L1652" s="89">
        <v>10777.54</v>
      </c>
      <c r="M1652" s="89">
        <v>3236.76</v>
      </c>
      <c r="N1652" s="89">
        <v>1033.74</v>
      </c>
      <c r="O1652" s="89">
        <f t="shared" si="69"/>
        <v>15048.04</v>
      </c>
    </row>
    <row r="1653" spans="1:15">
      <c r="A1653" s="74" t="s">
        <v>308</v>
      </c>
      <c r="B1653" s="74" t="s">
        <v>226</v>
      </c>
      <c r="C1653" s="74" t="s">
        <v>227</v>
      </c>
      <c r="D1653" s="88" t="s">
        <v>82</v>
      </c>
      <c r="E1653" s="74" t="s">
        <v>83</v>
      </c>
      <c r="F1653" s="86" t="s">
        <v>208</v>
      </c>
      <c r="G1653" s="74" t="s">
        <v>209</v>
      </c>
      <c r="H1653" s="87">
        <v>44530</v>
      </c>
      <c r="I1653" s="98">
        <v>22</v>
      </c>
      <c r="J1653" s="98">
        <v>22</v>
      </c>
      <c r="K1653" s="89">
        <f t="shared" si="70"/>
        <v>1</v>
      </c>
      <c r="L1653" s="89">
        <v>9890.01</v>
      </c>
      <c r="M1653" s="89">
        <v>3081.73</v>
      </c>
      <c r="N1653" s="89">
        <v>910.1</v>
      </c>
      <c r="O1653" s="89">
        <f t="shared" si="69"/>
        <v>13881.84</v>
      </c>
    </row>
    <row r="1654" spans="1:15">
      <c r="A1654" s="74" t="s">
        <v>308</v>
      </c>
      <c r="B1654" s="74" t="s">
        <v>228</v>
      </c>
      <c r="C1654" s="74" t="s">
        <v>229</v>
      </c>
      <c r="D1654" s="88" t="s">
        <v>82</v>
      </c>
      <c r="E1654" s="74" t="s">
        <v>83</v>
      </c>
      <c r="F1654" s="86" t="s">
        <v>116</v>
      </c>
      <c r="G1654" s="74" t="s">
        <v>209</v>
      </c>
      <c r="H1654" s="87">
        <v>44530</v>
      </c>
      <c r="I1654" s="98">
        <v>22</v>
      </c>
      <c r="J1654" s="98">
        <v>22</v>
      </c>
      <c r="K1654" s="89">
        <f t="shared" si="70"/>
        <v>1</v>
      </c>
      <c r="L1654" s="89">
        <v>8591.39</v>
      </c>
      <c r="M1654" s="89">
        <v>3095.57</v>
      </c>
      <c r="N1654" s="89">
        <v>848.44</v>
      </c>
      <c r="O1654" s="89">
        <f t="shared" si="69"/>
        <v>12535.4</v>
      </c>
    </row>
    <row r="1655" spans="1:15">
      <c r="A1655" s="74" t="s">
        <v>308</v>
      </c>
      <c r="B1655" s="74" t="s">
        <v>230</v>
      </c>
      <c r="C1655" s="74" t="s">
        <v>231</v>
      </c>
      <c r="D1655" s="88" t="s">
        <v>82</v>
      </c>
      <c r="E1655" s="74" t="s">
        <v>83</v>
      </c>
      <c r="F1655" s="86" t="s">
        <v>120</v>
      </c>
      <c r="G1655" s="74" t="s">
        <v>209</v>
      </c>
      <c r="H1655" s="87">
        <v>44530</v>
      </c>
      <c r="I1655" s="98">
        <v>22</v>
      </c>
      <c r="J1655" s="98">
        <v>22</v>
      </c>
      <c r="K1655" s="89">
        <f t="shared" si="70"/>
        <v>1</v>
      </c>
      <c r="L1655" s="89">
        <v>7205.36</v>
      </c>
      <c r="M1655" s="89">
        <v>3282.09</v>
      </c>
      <c r="N1655" s="89">
        <v>743.74</v>
      </c>
      <c r="O1655" s="89">
        <f t="shared" si="69"/>
        <v>11231.19</v>
      </c>
    </row>
    <row r="1656" spans="1:15">
      <c r="A1656" s="74" t="s">
        <v>308</v>
      </c>
      <c r="B1656" s="74" t="s">
        <v>232</v>
      </c>
      <c r="C1656" s="74" t="s">
        <v>233</v>
      </c>
      <c r="D1656" s="88" t="s">
        <v>82</v>
      </c>
      <c r="E1656" s="74" t="s">
        <v>83</v>
      </c>
      <c r="F1656" s="86" t="s">
        <v>123</v>
      </c>
      <c r="G1656" s="74" t="s">
        <v>209</v>
      </c>
      <c r="H1656" s="87">
        <v>44530</v>
      </c>
      <c r="I1656" s="98">
        <v>22</v>
      </c>
      <c r="J1656" s="98">
        <v>22</v>
      </c>
      <c r="K1656" s="89">
        <f t="shared" si="70"/>
        <v>1</v>
      </c>
      <c r="L1656" s="89">
        <v>6273.61</v>
      </c>
      <c r="M1656" s="89">
        <v>3273.28</v>
      </c>
      <c r="N1656" s="89">
        <v>612.17</v>
      </c>
      <c r="O1656" s="89">
        <f t="shared" si="69"/>
        <v>10159.06</v>
      </c>
    </row>
    <row r="1657" spans="1:15">
      <c r="A1657" s="74" t="s">
        <v>308</v>
      </c>
      <c r="B1657" s="74" t="s">
        <v>234</v>
      </c>
      <c r="C1657" s="74" t="s">
        <v>235</v>
      </c>
      <c r="D1657" s="88" t="s">
        <v>82</v>
      </c>
      <c r="E1657" s="74" t="s">
        <v>83</v>
      </c>
      <c r="F1657" s="86" t="s">
        <v>116</v>
      </c>
      <c r="G1657" s="74" t="s">
        <v>209</v>
      </c>
      <c r="H1657" s="87">
        <v>44530</v>
      </c>
      <c r="I1657" s="98">
        <v>22</v>
      </c>
      <c r="J1657" s="98">
        <v>22</v>
      </c>
      <c r="K1657" s="89">
        <f t="shared" si="70"/>
        <v>1</v>
      </c>
      <c r="L1657" s="89">
        <v>8385.14</v>
      </c>
      <c r="M1657" s="89">
        <v>3262.2</v>
      </c>
      <c r="N1657" s="89">
        <v>822.88</v>
      </c>
      <c r="O1657" s="89">
        <f t="shared" si="69"/>
        <v>12470.22</v>
      </c>
    </row>
    <row r="1658" spans="1:15">
      <c r="A1658" s="74" t="s">
        <v>308</v>
      </c>
      <c r="B1658" s="74" t="s">
        <v>236</v>
      </c>
      <c r="C1658" s="74" t="s">
        <v>237</v>
      </c>
      <c r="D1658" s="88" t="s">
        <v>82</v>
      </c>
      <c r="E1658" s="74" t="s">
        <v>83</v>
      </c>
      <c r="F1658" s="86" t="s">
        <v>120</v>
      </c>
      <c r="G1658" s="74" t="s">
        <v>209</v>
      </c>
      <c r="H1658" s="87">
        <v>44530</v>
      </c>
      <c r="I1658" s="98">
        <v>22</v>
      </c>
      <c r="J1658" s="98">
        <v>22</v>
      </c>
      <c r="K1658" s="89">
        <f t="shared" si="70"/>
        <v>1</v>
      </c>
      <c r="L1658" s="89">
        <v>7641.06</v>
      </c>
      <c r="M1658" s="89">
        <v>3277.92</v>
      </c>
      <c r="N1658" s="89">
        <v>710.59</v>
      </c>
      <c r="O1658" s="89">
        <f t="shared" si="69"/>
        <v>11629.57</v>
      </c>
    </row>
    <row r="1659" spans="1:15">
      <c r="A1659" s="74" t="s">
        <v>308</v>
      </c>
      <c r="B1659" s="74" t="s">
        <v>238</v>
      </c>
      <c r="C1659" s="74" t="s">
        <v>239</v>
      </c>
      <c r="D1659" s="74" t="s">
        <v>86</v>
      </c>
      <c r="E1659" s="74" t="s">
        <v>87</v>
      </c>
      <c r="F1659" s="86" t="s">
        <v>204</v>
      </c>
      <c r="G1659" s="74" t="s">
        <v>240</v>
      </c>
      <c r="H1659" s="87">
        <v>44530</v>
      </c>
      <c r="I1659" s="98">
        <v>22</v>
      </c>
      <c r="J1659" s="98">
        <v>22</v>
      </c>
      <c r="K1659" s="89">
        <f t="shared" si="70"/>
        <v>1</v>
      </c>
      <c r="L1659" s="89">
        <v>15342.38</v>
      </c>
      <c r="M1659" s="89">
        <v>3154.9</v>
      </c>
      <c r="N1659" s="89">
        <v>1832.49</v>
      </c>
      <c r="O1659" s="89">
        <f t="shared" si="69"/>
        <v>20329.77</v>
      </c>
    </row>
    <row r="1660" spans="1:15">
      <c r="A1660" s="74" t="s">
        <v>308</v>
      </c>
      <c r="B1660" s="74" t="s">
        <v>241</v>
      </c>
      <c r="C1660" s="74" t="s">
        <v>242</v>
      </c>
      <c r="D1660" s="74" t="s">
        <v>86</v>
      </c>
      <c r="E1660" s="74" t="s">
        <v>87</v>
      </c>
      <c r="F1660" s="86" t="s">
        <v>243</v>
      </c>
      <c r="G1660" s="74" t="s">
        <v>244</v>
      </c>
      <c r="H1660" s="87">
        <v>44530</v>
      </c>
      <c r="I1660" s="98">
        <v>22</v>
      </c>
      <c r="J1660" s="98">
        <v>22</v>
      </c>
      <c r="K1660" s="89">
        <f t="shared" si="70"/>
        <v>1</v>
      </c>
      <c r="L1660" s="89">
        <v>10829.59</v>
      </c>
      <c r="M1660" s="89">
        <v>3164.79</v>
      </c>
      <c r="N1660" s="89">
        <v>1348.22</v>
      </c>
      <c r="O1660" s="89">
        <f t="shared" si="69"/>
        <v>15342.6</v>
      </c>
    </row>
    <row r="1661" spans="1:15">
      <c r="A1661" s="74" t="s">
        <v>308</v>
      </c>
      <c r="B1661" s="74" t="s">
        <v>245</v>
      </c>
      <c r="C1661" s="74" t="s">
        <v>246</v>
      </c>
      <c r="D1661" s="74" t="s">
        <v>86</v>
      </c>
      <c r="E1661" s="74" t="s">
        <v>87</v>
      </c>
      <c r="F1661" s="86" t="s">
        <v>247</v>
      </c>
      <c r="G1661" s="74" t="s">
        <v>248</v>
      </c>
      <c r="H1661" s="87">
        <v>44530</v>
      </c>
      <c r="I1661" s="98">
        <v>22</v>
      </c>
      <c r="J1661" s="98">
        <v>22</v>
      </c>
      <c r="K1661" s="89">
        <f t="shared" si="70"/>
        <v>1</v>
      </c>
      <c r="L1661" s="89">
        <v>9626.27</v>
      </c>
      <c r="M1661" s="89">
        <v>3064.61</v>
      </c>
      <c r="N1661" s="89">
        <v>1283.36</v>
      </c>
      <c r="O1661" s="89">
        <f t="shared" si="69"/>
        <v>13974.24</v>
      </c>
    </row>
    <row r="1662" spans="1:15">
      <c r="A1662" s="74" t="s">
        <v>308</v>
      </c>
      <c r="B1662" s="74" t="s">
        <v>249</v>
      </c>
      <c r="C1662" s="74" t="s">
        <v>250</v>
      </c>
      <c r="D1662" s="74" t="s">
        <v>86</v>
      </c>
      <c r="E1662" s="74" t="s">
        <v>87</v>
      </c>
      <c r="F1662" s="86" t="s">
        <v>251</v>
      </c>
      <c r="G1662" s="74" t="s">
        <v>252</v>
      </c>
      <c r="H1662" s="87">
        <v>44530</v>
      </c>
      <c r="I1662" s="98">
        <v>22</v>
      </c>
      <c r="J1662" s="98">
        <v>22</v>
      </c>
      <c r="K1662" s="89">
        <f t="shared" si="70"/>
        <v>1</v>
      </c>
      <c r="L1662" s="89">
        <v>9435.82</v>
      </c>
      <c r="M1662" s="89">
        <v>3173.53</v>
      </c>
      <c r="N1662" s="89">
        <v>1185.52</v>
      </c>
      <c r="O1662" s="89">
        <f t="shared" si="69"/>
        <v>13794.87</v>
      </c>
    </row>
    <row r="1663" spans="1:15">
      <c r="A1663" s="74" t="s">
        <v>308</v>
      </c>
      <c r="B1663" s="74" t="s">
        <v>253</v>
      </c>
      <c r="C1663" s="74" t="s">
        <v>254</v>
      </c>
      <c r="D1663" s="74" t="s">
        <v>86</v>
      </c>
      <c r="E1663" s="74" t="s">
        <v>87</v>
      </c>
      <c r="F1663" s="86" t="s">
        <v>255</v>
      </c>
      <c r="G1663" s="74" t="s">
        <v>252</v>
      </c>
      <c r="H1663" s="87">
        <v>44530</v>
      </c>
      <c r="I1663" s="98">
        <v>22</v>
      </c>
      <c r="J1663" s="98">
        <v>22</v>
      </c>
      <c r="K1663" s="89">
        <f t="shared" si="70"/>
        <v>1</v>
      </c>
      <c r="L1663" s="89">
        <v>8632.69</v>
      </c>
      <c r="M1663" s="89">
        <v>3122.2</v>
      </c>
      <c r="N1663" s="89">
        <v>1065.98</v>
      </c>
      <c r="O1663" s="89">
        <f t="shared" si="69"/>
        <v>12820.87</v>
      </c>
    </row>
    <row r="1664" spans="1:15">
      <c r="A1664" s="74" t="s">
        <v>308</v>
      </c>
      <c r="B1664" s="74" t="s">
        <v>256</v>
      </c>
      <c r="C1664" s="74" t="s">
        <v>257</v>
      </c>
      <c r="D1664" s="74" t="s">
        <v>86</v>
      </c>
      <c r="E1664" s="74" t="s">
        <v>87</v>
      </c>
      <c r="F1664" s="86" t="s">
        <v>258</v>
      </c>
      <c r="G1664" s="74" t="s">
        <v>252</v>
      </c>
      <c r="H1664" s="87">
        <v>44530</v>
      </c>
      <c r="I1664" s="98">
        <v>22</v>
      </c>
      <c r="J1664" s="98">
        <v>22</v>
      </c>
      <c r="K1664" s="89">
        <f t="shared" si="70"/>
        <v>1</v>
      </c>
      <c r="L1664" s="89">
        <v>7308.47</v>
      </c>
      <c r="M1664" s="89">
        <v>3220.79</v>
      </c>
      <c r="N1664" s="89">
        <v>918.76</v>
      </c>
      <c r="O1664" s="89">
        <f t="shared" si="69"/>
        <v>11448.02</v>
      </c>
    </row>
    <row r="1665" spans="1:15">
      <c r="A1665" s="74" t="s">
        <v>308</v>
      </c>
      <c r="B1665" s="74" t="s">
        <v>259</v>
      </c>
      <c r="C1665" s="74" t="s">
        <v>260</v>
      </c>
      <c r="D1665" s="74" t="s">
        <v>86</v>
      </c>
      <c r="E1665" s="74" t="s">
        <v>87</v>
      </c>
      <c r="F1665" s="86" t="s">
        <v>261</v>
      </c>
      <c r="G1665" s="74" t="s">
        <v>262</v>
      </c>
      <c r="H1665" s="87">
        <v>44530</v>
      </c>
      <c r="I1665" s="98">
        <v>22</v>
      </c>
      <c r="J1665" s="98">
        <v>22</v>
      </c>
      <c r="K1665" s="89">
        <f t="shared" si="70"/>
        <v>1</v>
      </c>
      <c r="L1665" s="89">
        <v>6852.31</v>
      </c>
      <c r="M1665" s="89">
        <v>3258.81</v>
      </c>
      <c r="N1665" s="89">
        <v>815.75</v>
      </c>
      <c r="O1665" s="89">
        <f t="shared" si="69"/>
        <v>10926.87</v>
      </c>
    </row>
    <row r="1666" spans="1:15">
      <c r="A1666" s="74" t="s">
        <v>308</v>
      </c>
      <c r="B1666" s="74" t="s">
        <v>263</v>
      </c>
      <c r="C1666" s="74" t="s">
        <v>264</v>
      </c>
      <c r="D1666" s="74" t="s">
        <v>86</v>
      </c>
      <c r="E1666" s="74" t="s">
        <v>88</v>
      </c>
      <c r="F1666" s="86" t="s">
        <v>149</v>
      </c>
      <c r="G1666" s="74" t="s">
        <v>265</v>
      </c>
      <c r="H1666" s="87">
        <v>44530</v>
      </c>
      <c r="I1666" s="98">
        <v>22</v>
      </c>
      <c r="J1666" s="98">
        <v>22</v>
      </c>
      <c r="K1666" s="89">
        <f t="shared" si="70"/>
        <v>1</v>
      </c>
      <c r="L1666" s="89">
        <v>14924.65</v>
      </c>
      <c r="M1666" s="89">
        <v>3188.3</v>
      </c>
      <c r="N1666" s="89">
        <v>1831.35</v>
      </c>
      <c r="O1666" s="89">
        <f t="shared" si="69"/>
        <v>19944.3</v>
      </c>
    </row>
    <row r="1667" spans="1:15">
      <c r="A1667" s="74" t="s">
        <v>308</v>
      </c>
      <c r="B1667" s="74" t="s">
        <v>266</v>
      </c>
      <c r="C1667" s="74" t="s">
        <v>267</v>
      </c>
      <c r="D1667" s="74" t="s">
        <v>86</v>
      </c>
      <c r="E1667" s="74" t="s">
        <v>88</v>
      </c>
      <c r="F1667" s="86" t="s">
        <v>243</v>
      </c>
      <c r="G1667" s="74" t="s">
        <v>268</v>
      </c>
      <c r="H1667" s="87">
        <v>44530</v>
      </c>
      <c r="I1667" s="98">
        <v>22</v>
      </c>
      <c r="J1667" s="98">
        <v>22</v>
      </c>
      <c r="K1667" s="89">
        <f t="shared" si="70"/>
        <v>1</v>
      </c>
      <c r="L1667" s="89">
        <v>10683.6</v>
      </c>
      <c r="M1667" s="89">
        <v>3127.63</v>
      </c>
      <c r="N1667" s="89">
        <v>1411.35</v>
      </c>
      <c r="O1667" s="89">
        <f t="shared" si="69"/>
        <v>15222.58</v>
      </c>
    </row>
    <row r="1668" spans="1:15">
      <c r="A1668" s="74" t="s">
        <v>308</v>
      </c>
      <c r="B1668" s="74" t="s">
        <v>269</v>
      </c>
      <c r="C1668" s="74" t="s">
        <v>270</v>
      </c>
      <c r="D1668" s="74" t="s">
        <v>86</v>
      </c>
      <c r="E1668" s="74" t="s">
        <v>88</v>
      </c>
      <c r="F1668" s="86" t="s">
        <v>247</v>
      </c>
      <c r="G1668" s="74" t="s">
        <v>268</v>
      </c>
      <c r="H1668" s="87">
        <v>44530</v>
      </c>
      <c r="I1668" s="98">
        <v>22</v>
      </c>
      <c r="J1668" s="98">
        <v>22</v>
      </c>
      <c r="K1668" s="89">
        <f t="shared" si="70"/>
        <v>1</v>
      </c>
      <c r="L1668" s="89">
        <v>9933.33</v>
      </c>
      <c r="M1668" s="89">
        <v>3050.18</v>
      </c>
      <c r="N1668" s="89">
        <v>1266.72</v>
      </c>
      <c r="O1668" s="89">
        <f t="shared" si="69"/>
        <v>14250.23</v>
      </c>
    </row>
    <row r="1669" spans="1:15">
      <c r="A1669" s="74" t="s">
        <v>308</v>
      </c>
      <c r="B1669" s="74" t="s">
        <v>271</v>
      </c>
      <c r="C1669" s="74" t="s">
        <v>272</v>
      </c>
      <c r="D1669" s="74" t="s">
        <v>86</v>
      </c>
      <c r="E1669" s="74" t="s">
        <v>88</v>
      </c>
      <c r="F1669" s="86" t="s">
        <v>251</v>
      </c>
      <c r="G1669" s="74" t="s">
        <v>268</v>
      </c>
      <c r="H1669" s="87">
        <v>44530</v>
      </c>
      <c r="I1669" s="98">
        <v>22</v>
      </c>
      <c r="J1669" s="98">
        <v>22</v>
      </c>
      <c r="K1669" s="89">
        <f t="shared" si="70"/>
        <v>1</v>
      </c>
      <c r="L1669" s="89">
        <v>9535.13</v>
      </c>
      <c r="M1669" s="89">
        <v>3153.63</v>
      </c>
      <c r="N1669" s="89">
        <v>1118.64</v>
      </c>
      <c r="O1669" s="89">
        <f t="shared" ref="O1669:O1732" si="71">SUM(L1669:N1669)</f>
        <v>13807.4</v>
      </c>
    </row>
    <row r="1670" spans="1:15">
      <c r="A1670" s="74" t="s">
        <v>308</v>
      </c>
      <c r="B1670" s="74" t="s">
        <v>273</v>
      </c>
      <c r="C1670" s="74" t="s">
        <v>274</v>
      </c>
      <c r="D1670" s="74" t="s">
        <v>86</v>
      </c>
      <c r="E1670" s="74" t="s">
        <v>88</v>
      </c>
      <c r="F1670" s="86" t="s">
        <v>255</v>
      </c>
      <c r="G1670" s="74" t="s">
        <v>268</v>
      </c>
      <c r="H1670" s="87">
        <v>44530</v>
      </c>
      <c r="I1670" s="98">
        <v>22</v>
      </c>
      <c r="J1670" s="98">
        <v>22</v>
      </c>
      <c r="K1670" s="89">
        <f t="shared" si="70"/>
        <v>1</v>
      </c>
      <c r="L1670" s="89">
        <v>8626.72</v>
      </c>
      <c r="M1670" s="89">
        <v>3213.78</v>
      </c>
      <c r="N1670" s="89">
        <v>1000.62</v>
      </c>
      <c r="O1670" s="89">
        <f t="shared" si="71"/>
        <v>12841.12</v>
      </c>
    </row>
    <row r="1671" spans="1:15">
      <c r="A1671" s="74" t="s">
        <v>308</v>
      </c>
      <c r="B1671" s="74" t="s">
        <v>275</v>
      </c>
      <c r="C1671" s="74" t="s">
        <v>276</v>
      </c>
      <c r="D1671" s="74" t="s">
        <v>86</v>
      </c>
      <c r="E1671" s="74" t="s">
        <v>88</v>
      </c>
      <c r="F1671" s="86" t="s">
        <v>258</v>
      </c>
      <c r="G1671" s="74" t="s">
        <v>268</v>
      </c>
      <c r="H1671" s="87">
        <v>44530</v>
      </c>
      <c r="I1671" s="98">
        <v>22</v>
      </c>
      <c r="J1671" s="98">
        <v>22</v>
      </c>
      <c r="K1671" s="89">
        <f t="shared" si="70"/>
        <v>1</v>
      </c>
      <c r="L1671" s="89">
        <v>7327.98</v>
      </c>
      <c r="M1671" s="89">
        <v>3087.12</v>
      </c>
      <c r="N1671" s="89">
        <v>952.95</v>
      </c>
      <c r="O1671" s="89">
        <f t="shared" si="71"/>
        <v>11368.05</v>
      </c>
    </row>
    <row r="1672" spans="1:15">
      <c r="A1672" s="74" t="s">
        <v>308</v>
      </c>
      <c r="B1672" s="74" t="s">
        <v>277</v>
      </c>
      <c r="C1672" s="74" t="s">
        <v>278</v>
      </c>
      <c r="D1672" s="74" t="s">
        <v>86</v>
      </c>
      <c r="E1672" s="74" t="s">
        <v>89</v>
      </c>
      <c r="F1672" s="86" t="s">
        <v>279</v>
      </c>
      <c r="G1672" s="74" t="s">
        <v>280</v>
      </c>
      <c r="H1672" s="87">
        <v>44530</v>
      </c>
      <c r="I1672" s="98">
        <v>22</v>
      </c>
      <c r="J1672" s="98">
        <v>22</v>
      </c>
      <c r="K1672" s="89">
        <f t="shared" si="70"/>
        <v>1</v>
      </c>
      <c r="L1672" s="89">
        <v>12984.82</v>
      </c>
      <c r="M1672" s="89">
        <v>3081.04</v>
      </c>
      <c r="N1672" s="89">
        <v>1620.88</v>
      </c>
      <c r="O1672" s="89">
        <f t="shared" si="71"/>
        <v>17686.74</v>
      </c>
    </row>
    <row r="1673" spans="1:15">
      <c r="A1673" s="74" t="s">
        <v>308</v>
      </c>
      <c r="B1673" s="74" t="s">
        <v>281</v>
      </c>
      <c r="C1673" s="74" t="s">
        <v>282</v>
      </c>
      <c r="D1673" s="74" t="s">
        <v>86</v>
      </c>
      <c r="E1673" s="74" t="s">
        <v>89</v>
      </c>
      <c r="F1673" s="86" t="s">
        <v>225</v>
      </c>
      <c r="G1673" s="74" t="s">
        <v>283</v>
      </c>
      <c r="H1673" s="87">
        <v>44530</v>
      </c>
      <c r="I1673" s="98">
        <v>22</v>
      </c>
      <c r="J1673" s="98">
        <v>22</v>
      </c>
      <c r="K1673" s="89">
        <f t="shared" si="70"/>
        <v>1</v>
      </c>
      <c r="L1673" s="89">
        <v>8346.35</v>
      </c>
      <c r="M1673" s="89">
        <v>3119.93</v>
      </c>
      <c r="N1673" s="89">
        <v>1098.46</v>
      </c>
      <c r="O1673" s="89">
        <f t="shared" si="71"/>
        <v>12564.74</v>
      </c>
    </row>
    <row r="1674" spans="1:15">
      <c r="A1674" s="74" t="s">
        <v>308</v>
      </c>
      <c r="B1674" s="74" t="s">
        <v>284</v>
      </c>
      <c r="C1674" s="74" t="s">
        <v>285</v>
      </c>
      <c r="D1674" s="74" t="s">
        <v>86</v>
      </c>
      <c r="E1674" s="74" t="s">
        <v>89</v>
      </c>
      <c r="F1674" s="86" t="s">
        <v>208</v>
      </c>
      <c r="G1674" s="74" t="s">
        <v>283</v>
      </c>
      <c r="H1674" s="87">
        <v>44530</v>
      </c>
      <c r="I1674" s="98">
        <v>22</v>
      </c>
      <c r="J1674" s="98">
        <v>22</v>
      </c>
      <c r="K1674" s="89">
        <f t="shared" si="70"/>
        <v>1</v>
      </c>
      <c r="L1674" s="89">
        <v>7612.26</v>
      </c>
      <c r="M1674" s="89">
        <v>3102.64</v>
      </c>
      <c r="N1674" s="89">
        <v>953.85</v>
      </c>
      <c r="O1674" s="89">
        <f t="shared" si="71"/>
        <v>11668.75</v>
      </c>
    </row>
    <row r="1675" spans="1:15">
      <c r="A1675" s="74" t="s">
        <v>308</v>
      </c>
      <c r="B1675" s="74" t="s">
        <v>286</v>
      </c>
      <c r="C1675" s="74" t="s">
        <v>287</v>
      </c>
      <c r="D1675" s="74" t="s">
        <v>82</v>
      </c>
      <c r="E1675" s="88" t="s">
        <v>85</v>
      </c>
      <c r="F1675" s="86" t="s">
        <v>288</v>
      </c>
      <c r="G1675" s="74" t="s">
        <v>289</v>
      </c>
      <c r="H1675" s="87">
        <v>44530</v>
      </c>
      <c r="I1675" s="98">
        <v>22</v>
      </c>
      <c r="J1675" s="98">
        <v>22</v>
      </c>
      <c r="K1675" s="89">
        <f t="shared" ref="K1675:K1683" si="72">I1675/J1675</f>
        <v>1</v>
      </c>
      <c r="L1675" s="89">
        <v>12749.44</v>
      </c>
      <c r="M1675" s="89">
        <v>3113.85</v>
      </c>
      <c r="N1675" s="89">
        <v>1283.97</v>
      </c>
      <c r="O1675" s="89">
        <f t="shared" si="71"/>
        <v>17147.26</v>
      </c>
    </row>
    <row r="1676" spans="1:15">
      <c r="A1676" s="74" t="s">
        <v>308</v>
      </c>
      <c r="B1676" s="74" t="s">
        <v>290</v>
      </c>
      <c r="C1676" s="74" t="s">
        <v>291</v>
      </c>
      <c r="D1676" s="74" t="s">
        <v>82</v>
      </c>
      <c r="E1676" s="88" t="s">
        <v>85</v>
      </c>
      <c r="F1676" s="86" t="s">
        <v>218</v>
      </c>
      <c r="G1676" s="74" t="s">
        <v>289</v>
      </c>
      <c r="H1676" s="87">
        <v>44530</v>
      </c>
      <c r="I1676" s="98">
        <v>22</v>
      </c>
      <c r="J1676" s="98">
        <v>22</v>
      </c>
      <c r="K1676" s="89">
        <f t="shared" si="72"/>
        <v>1</v>
      </c>
      <c r="L1676" s="89">
        <v>11471.11</v>
      </c>
      <c r="M1676" s="89">
        <v>3221.51</v>
      </c>
      <c r="N1676" s="89">
        <v>1154.46</v>
      </c>
      <c r="O1676" s="89">
        <f t="shared" si="71"/>
        <v>15847.08</v>
      </c>
    </row>
    <row r="1677" spans="1:15">
      <c r="A1677" s="74" t="s">
        <v>308</v>
      </c>
      <c r="B1677" s="74" t="s">
        <v>292</v>
      </c>
      <c r="C1677" s="74" t="s">
        <v>293</v>
      </c>
      <c r="D1677" s="74" t="s">
        <v>82</v>
      </c>
      <c r="E1677" s="88" t="s">
        <v>85</v>
      </c>
      <c r="F1677" s="86" t="s">
        <v>225</v>
      </c>
      <c r="G1677" s="74" t="s">
        <v>289</v>
      </c>
      <c r="H1677" s="87">
        <v>44530</v>
      </c>
      <c r="I1677" s="98">
        <v>22</v>
      </c>
      <c r="J1677" s="98">
        <v>22</v>
      </c>
      <c r="K1677" s="89">
        <f t="shared" si="72"/>
        <v>1</v>
      </c>
      <c r="L1677" s="89">
        <v>10733.28</v>
      </c>
      <c r="M1677" s="89">
        <v>3130.44</v>
      </c>
      <c r="N1677" s="89">
        <v>1095.61</v>
      </c>
      <c r="O1677" s="89">
        <f t="shared" si="71"/>
        <v>14959.33</v>
      </c>
    </row>
    <row r="1678" spans="1:15">
      <c r="A1678" s="74" t="s">
        <v>308</v>
      </c>
      <c r="B1678" s="74" t="s">
        <v>294</v>
      </c>
      <c r="C1678" s="74" t="s">
        <v>295</v>
      </c>
      <c r="D1678" s="74" t="s">
        <v>82</v>
      </c>
      <c r="E1678" s="88" t="s">
        <v>85</v>
      </c>
      <c r="F1678" s="86" t="s">
        <v>208</v>
      </c>
      <c r="G1678" s="74" t="s">
        <v>289</v>
      </c>
      <c r="H1678" s="87">
        <v>44530</v>
      </c>
      <c r="I1678" s="98">
        <v>22</v>
      </c>
      <c r="J1678" s="98">
        <v>22</v>
      </c>
      <c r="K1678" s="89">
        <f t="shared" si="72"/>
        <v>1</v>
      </c>
      <c r="L1678" s="89">
        <v>9803.9</v>
      </c>
      <c r="M1678" s="89">
        <v>3067.33</v>
      </c>
      <c r="N1678" s="89">
        <v>936.17</v>
      </c>
      <c r="O1678" s="89">
        <f t="shared" si="71"/>
        <v>13807.4</v>
      </c>
    </row>
    <row r="1679" spans="1:15">
      <c r="A1679" s="74" t="s">
        <v>308</v>
      </c>
      <c r="B1679" s="74" t="s">
        <v>296</v>
      </c>
      <c r="C1679" s="74" t="s">
        <v>297</v>
      </c>
      <c r="D1679" s="74" t="s">
        <v>82</v>
      </c>
      <c r="E1679" s="88" t="s">
        <v>85</v>
      </c>
      <c r="F1679" s="86" t="s">
        <v>116</v>
      </c>
      <c r="G1679" s="74" t="s">
        <v>289</v>
      </c>
      <c r="H1679" s="87">
        <v>44530</v>
      </c>
      <c r="I1679" s="98">
        <v>22</v>
      </c>
      <c r="J1679" s="98">
        <v>22</v>
      </c>
      <c r="K1679" s="89">
        <f t="shared" si="72"/>
        <v>1</v>
      </c>
      <c r="L1679" s="89">
        <v>8490.55</v>
      </c>
      <c r="M1679" s="89">
        <v>3160.95</v>
      </c>
      <c r="N1679" s="89">
        <v>845.74</v>
      </c>
      <c r="O1679" s="89">
        <f t="shared" si="71"/>
        <v>12497.24</v>
      </c>
    </row>
    <row r="1680" spans="1:15">
      <c r="A1680" s="74" t="s">
        <v>308</v>
      </c>
      <c r="B1680" s="74" t="s">
        <v>298</v>
      </c>
      <c r="C1680" s="74" t="s">
        <v>299</v>
      </c>
      <c r="D1680" s="74" t="s">
        <v>82</v>
      </c>
      <c r="E1680" s="88" t="s">
        <v>85</v>
      </c>
      <c r="F1680" s="86" t="s">
        <v>279</v>
      </c>
      <c r="G1680" s="74" t="s">
        <v>300</v>
      </c>
      <c r="H1680" s="87">
        <v>44530</v>
      </c>
      <c r="I1680" s="98">
        <v>22</v>
      </c>
      <c r="J1680" s="98">
        <v>22</v>
      </c>
      <c r="K1680" s="89">
        <f t="shared" si="72"/>
        <v>1</v>
      </c>
      <c r="L1680" s="89">
        <v>15090.5</v>
      </c>
      <c r="M1680" s="89">
        <v>3103.99</v>
      </c>
      <c r="N1680" s="89">
        <v>1642.18</v>
      </c>
      <c r="O1680" s="89">
        <f t="shared" si="71"/>
        <v>19836.67</v>
      </c>
    </row>
    <row r="1681" spans="1:15">
      <c r="A1681" s="74" t="s">
        <v>308</v>
      </c>
      <c r="B1681" s="74" t="s">
        <v>301</v>
      </c>
      <c r="C1681" s="74" t="s">
        <v>302</v>
      </c>
      <c r="D1681" s="74" t="s">
        <v>82</v>
      </c>
      <c r="E1681" s="88" t="s">
        <v>85</v>
      </c>
      <c r="F1681" s="86" t="s">
        <v>279</v>
      </c>
      <c r="G1681" s="74" t="s">
        <v>303</v>
      </c>
      <c r="H1681" s="87">
        <v>44530</v>
      </c>
      <c r="I1681" s="98">
        <v>22</v>
      </c>
      <c r="J1681" s="98">
        <v>22</v>
      </c>
      <c r="K1681" s="89">
        <f t="shared" si="72"/>
        <v>1</v>
      </c>
      <c r="L1681" s="89">
        <v>15598.48</v>
      </c>
      <c r="M1681" s="89">
        <v>3179.19</v>
      </c>
      <c r="N1681" s="89">
        <v>1507.38</v>
      </c>
      <c r="O1681" s="89">
        <f t="shared" si="71"/>
        <v>20285.05</v>
      </c>
    </row>
    <row r="1682" spans="1:15">
      <c r="A1682" s="74" t="s">
        <v>308</v>
      </c>
      <c r="B1682" s="74" t="s">
        <v>304</v>
      </c>
      <c r="C1682" s="74" t="s">
        <v>305</v>
      </c>
      <c r="D1682" s="74" t="s">
        <v>86</v>
      </c>
      <c r="E1682" s="74" t="s">
        <v>90</v>
      </c>
      <c r="F1682" s="86" t="s">
        <v>306</v>
      </c>
      <c r="G1682" s="74" t="s">
        <v>307</v>
      </c>
      <c r="H1682" s="87">
        <v>44530</v>
      </c>
      <c r="I1682" s="98">
        <v>22</v>
      </c>
      <c r="J1682" s="98">
        <v>22</v>
      </c>
      <c r="K1682" s="89">
        <f t="shared" si="72"/>
        <v>1</v>
      </c>
      <c r="L1682" s="89">
        <v>17138.08</v>
      </c>
      <c r="M1682" s="89">
        <v>3031.87</v>
      </c>
      <c r="N1682" s="89">
        <v>2034.85</v>
      </c>
      <c r="O1682" s="89">
        <f t="shared" si="71"/>
        <v>22204.8</v>
      </c>
    </row>
    <row r="1683" spans="1:15">
      <c r="A1683" s="74" t="s">
        <v>308</v>
      </c>
      <c r="B1683" s="74" t="s">
        <v>114</v>
      </c>
      <c r="C1683" s="74" t="s">
        <v>115</v>
      </c>
      <c r="D1683" s="74" t="s">
        <v>79</v>
      </c>
      <c r="E1683" s="74" t="s">
        <v>80</v>
      </c>
      <c r="F1683" s="86" t="s">
        <v>116</v>
      </c>
      <c r="G1683" s="74" t="s">
        <v>117</v>
      </c>
      <c r="H1683" s="87">
        <v>44561</v>
      </c>
      <c r="I1683" s="98">
        <v>22</v>
      </c>
      <c r="J1683" s="98">
        <v>22</v>
      </c>
      <c r="K1683" s="89">
        <f t="shared" si="72"/>
        <v>1</v>
      </c>
      <c r="L1683" s="89">
        <v>8558.94</v>
      </c>
      <c r="M1683" s="89">
        <v>3261.77</v>
      </c>
      <c r="N1683" s="89">
        <v>814.18</v>
      </c>
      <c r="O1683" s="89">
        <f t="shared" si="71"/>
        <v>12634.89</v>
      </c>
    </row>
    <row r="1684" spans="1:15">
      <c r="A1684" s="74" t="s">
        <v>308</v>
      </c>
      <c r="B1684" s="74" t="s">
        <v>118</v>
      </c>
      <c r="C1684" s="74" t="s">
        <v>119</v>
      </c>
      <c r="D1684" s="74" t="s">
        <v>79</v>
      </c>
      <c r="E1684" s="74" t="s">
        <v>80</v>
      </c>
      <c r="F1684" s="86" t="s">
        <v>120</v>
      </c>
      <c r="G1684" s="74" t="s">
        <v>117</v>
      </c>
      <c r="H1684" s="87">
        <v>44561</v>
      </c>
      <c r="I1684" s="98">
        <v>22</v>
      </c>
      <c r="J1684" s="98">
        <v>22</v>
      </c>
      <c r="K1684" s="89">
        <f t="shared" ref="K1684:K1747" si="73">I1684/J1684</f>
        <v>1</v>
      </c>
      <c r="L1684" s="89">
        <v>7322.03</v>
      </c>
      <c r="M1684" s="89">
        <v>3147.76</v>
      </c>
      <c r="N1684" s="89">
        <v>735.95</v>
      </c>
      <c r="O1684" s="89">
        <f t="shared" si="71"/>
        <v>11205.74</v>
      </c>
    </row>
    <row r="1685" spans="1:15">
      <c r="A1685" s="74" t="s">
        <v>308</v>
      </c>
      <c r="B1685" s="74" t="s">
        <v>121</v>
      </c>
      <c r="C1685" s="74" t="s">
        <v>122</v>
      </c>
      <c r="D1685" s="74" t="s">
        <v>79</v>
      </c>
      <c r="E1685" s="74" t="s">
        <v>80</v>
      </c>
      <c r="F1685" s="86" t="s">
        <v>123</v>
      </c>
      <c r="G1685" s="74" t="s">
        <v>117</v>
      </c>
      <c r="H1685" s="87">
        <v>44561</v>
      </c>
      <c r="I1685" s="98">
        <v>22</v>
      </c>
      <c r="J1685" s="98">
        <v>22</v>
      </c>
      <c r="K1685" s="89">
        <f t="shared" si="73"/>
        <v>1</v>
      </c>
      <c r="L1685" s="89">
        <v>6520.75</v>
      </c>
      <c r="M1685" s="89">
        <v>3183.49</v>
      </c>
      <c r="N1685" s="89">
        <v>622.48</v>
      </c>
      <c r="O1685" s="89">
        <f t="shared" si="71"/>
        <v>10326.72</v>
      </c>
    </row>
    <row r="1686" spans="1:15">
      <c r="A1686" s="74" t="s">
        <v>308</v>
      </c>
      <c r="B1686" s="74" t="s">
        <v>124</v>
      </c>
      <c r="C1686" s="74" t="s">
        <v>125</v>
      </c>
      <c r="D1686" s="74" t="s">
        <v>79</v>
      </c>
      <c r="E1686" s="74" t="s">
        <v>80</v>
      </c>
      <c r="F1686" s="86" t="s">
        <v>116</v>
      </c>
      <c r="G1686" s="74" t="s">
        <v>117</v>
      </c>
      <c r="H1686" s="87">
        <v>44561</v>
      </c>
      <c r="I1686" s="98">
        <v>22</v>
      </c>
      <c r="J1686" s="98">
        <v>22</v>
      </c>
      <c r="K1686" s="89">
        <f t="shared" si="73"/>
        <v>1</v>
      </c>
      <c r="L1686" s="89">
        <v>8345.47</v>
      </c>
      <c r="M1686" s="89">
        <v>3142.04</v>
      </c>
      <c r="N1686" s="89">
        <v>819.09</v>
      </c>
      <c r="O1686" s="89">
        <f t="shared" si="71"/>
        <v>12306.6</v>
      </c>
    </row>
    <row r="1687" spans="1:15">
      <c r="A1687" s="74" t="s">
        <v>308</v>
      </c>
      <c r="B1687" s="74" t="s">
        <v>126</v>
      </c>
      <c r="C1687" s="74" t="s">
        <v>127</v>
      </c>
      <c r="D1687" s="74" t="s">
        <v>79</v>
      </c>
      <c r="E1687" s="74" t="s">
        <v>80</v>
      </c>
      <c r="F1687" s="86" t="s">
        <v>120</v>
      </c>
      <c r="G1687" s="74" t="s">
        <v>117</v>
      </c>
      <c r="H1687" s="87">
        <v>44561</v>
      </c>
      <c r="I1687" s="98">
        <v>22</v>
      </c>
      <c r="J1687" s="98">
        <v>22</v>
      </c>
      <c r="K1687" s="89">
        <f t="shared" si="73"/>
        <v>1</v>
      </c>
      <c r="L1687" s="89">
        <v>7458.86</v>
      </c>
      <c r="M1687" s="89">
        <v>3016.32</v>
      </c>
      <c r="N1687" s="89">
        <v>716.4</v>
      </c>
      <c r="O1687" s="89">
        <f t="shared" si="71"/>
        <v>11191.58</v>
      </c>
    </row>
    <row r="1688" spans="1:15">
      <c r="A1688" s="74" t="s">
        <v>308</v>
      </c>
      <c r="B1688" s="74" t="s">
        <v>128</v>
      </c>
      <c r="C1688" s="74" t="s">
        <v>129</v>
      </c>
      <c r="D1688" s="74" t="s">
        <v>79</v>
      </c>
      <c r="E1688" s="74" t="s">
        <v>80</v>
      </c>
      <c r="F1688" s="86" t="s">
        <v>123</v>
      </c>
      <c r="G1688" s="74" t="s">
        <v>117</v>
      </c>
      <c r="H1688" s="87">
        <v>44561</v>
      </c>
      <c r="I1688" s="98">
        <v>22</v>
      </c>
      <c r="J1688" s="98">
        <v>22</v>
      </c>
      <c r="K1688" s="89">
        <f t="shared" si="73"/>
        <v>1</v>
      </c>
      <c r="L1688" s="89">
        <v>6058.83</v>
      </c>
      <c r="M1688" s="89">
        <v>3103.97</v>
      </c>
      <c r="N1688" s="89">
        <v>653.77</v>
      </c>
      <c r="O1688" s="89">
        <f t="shared" si="71"/>
        <v>9816.57</v>
      </c>
    </row>
    <row r="1689" spans="1:15">
      <c r="A1689" s="74" t="s">
        <v>308</v>
      </c>
      <c r="B1689" s="74" t="s">
        <v>130</v>
      </c>
      <c r="C1689" s="74" t="s">
        <v>131</v>
      </c>
      <c r="D1689" s="74" t="s">
        <v>79</v>
      </c>
      <c r="E1689" s="74" t="s">
        <v>80</v>
      </c>
      <c r="F1689" s="86" t="s">
        <v>116</v>
      </c>
      <c r="G1689" s="74" t="s">
        <v>117</v>
      </c>
      <c r="H1689" s="87">
        <v>44561</v>
      </c>
      <c r="I1689" s="98">
        <v>22</v>
      </c>
      <c r="J1689" s="98">
        <v>22</v>
      </c>
      <c r="K1689" s="89">
        <f t="shared" si="73"/>
        <v>1</v>
      </c>
      <c r="L1689" s="89">
        <v>8294.14</v>
      </c>
      <c r="M1689" s="89">
        <v>3270.84</v>
      </c>
      <c r="N1689" s="89">
        <v>837.72</v>
      </c>
      <c r="O1689" s="89">
        <f t="shared" si="71"/>
        <v>12402.7</v>
      </c>
    </row>
    <row r="1690" spans="1:15">
      <c r="A1690" s="74" t="s">
        <v>308</v>
      </c>
      <c r="B1690" s="74" t="s">
        <v>132</v>
      </c>
      <c r="C1690" s="74" t="s">
        <v>133</v>
      </c>
      <c r="D1690" s="74" t="s">
        <v>79</v>
      </c>
      <c r="E1690" s="74" t="s">
        <v>80</v>
      </c>
      <c r="F1690" s="86" t="s">
        <v>120</v>
      </c>
      <c r="G1690" s="74" t="s">
        <v>117</v>
      </c>
      <c r="H1690" s="87">
        <v>44561</v>
      </c>
      <c r="I1690" s="98">
        <v>22</v>
      </c>
      <c r="J1690" s="98">
        <v>22</v>
      </c>
      <c r="K1690" s="89">
        <f t="shared" si="73"/>
        <v>1</v>
      </c>
      <c r="L1690" s="89">
        <v>7163.09</v>
      </c>
      <c r="M1690" s="89">
        <v>3015.76</v>
      </c>
      <c r="N1690" s="89">
        <v>765.65</v>
      </c>
      <c r="O1690" s="89">
        <f t="shared" si="71"/>
        <v>10944.5</v>
      </c>
    </row>
    <row r="1691" spans="1:15">
      <c r="A1691" s="74" t="s">
        <v>308</v>
      </c>
      <c r="B1691" s="74" t="s">
        <v>134</v>
      </c>
      <c r="C1691" s="74" t="s">
        <v>135</v>
      </c>
      <c r="D1691" s="74" t="s">
        <v>79</v>
      </c>
      <c r="E1691" s="74" t="s">
        <v>80</v>
      </c>
      <c r="F1691" s="86" t="s">
        <v>123</v>
      </c>
      <c r="G1691" s="74" t="s">
        <v>117</v>
      </c>
      <c r="H1691" s="87">
        <v>44561</v>
      </c>
      <c r="I1691" s="98">
        <v>22</v>
      </c>
      <c r="J1691" s="98">
        <v>22</v>
      </c>
      <c r="K1691" s="89">
        <f t="shared" si="73"/>
        <v>1</v>
      </c>
      <c r="L1691" s="89">
        <v>6225.8</v>
      </c>
      <c r="M1691" s="89">
        <v>3287.51</v>
      </c>
      <c r="N1691" s="89">
        <v>611.88</v>
      </c>
      <c r="O1691" s="89">
        <f t="shared" si="71"/>
        <v>10125.19</v>
      </c>
    </row>
    <row r="1692" spans="1:15">
      <c r="A1692" s="74" t="s">
        <v>308</v>
      </c>
      <c r="B1692" s="74" t="s">
        <v>136</v>
      </c>
      <c r="C1692" s="74" t="s">
        <v>137</v>
      </c>
      <c r="D1692" s="74" t="s">
        <v>79</v>
      </c>
      <c r="E1692" s="74" t="s">
        <v>80</v>
      </c>
      <c r="F1692" s="86" t="s">
        <v>116</v>
      </c>
      <c r="G1692" s="74" t="s">
        <v>138</v>
      </c>
      <c r="H1692" s="87">
        <v>44561</v>
      </c>
      <c r="I1692" s="98">
        <v>22</v>
      </c>
      <c r="J1692" s="98">
        <v>22</v>
      </c>
      <c r="K1692" s="89">
        <f t="shared" si="73"/>
        <v>1</v>
      </c>
      <c r="L1692" s="89">
        <v>8032.88</v>
      </c>
      <c r="M1692" s="89">
        <v>3193.94</v>
      </c>
      <c r="N1692" s="89">
        <v>813.1</v>
      </c>
      <c r="O1692" s="89">
        <f t="shared" si="71"/>
        <v>12039.92</v>
      </c>
    </row>
    <row r="1693" spans="1:15">
      <c r="A1693" s="74" t="s">
        <v>308</v>
      </c>
      <c r="B1693" s="74" t="s">
        <v>139</v>
      </c>
      <c r="C1693" s="74" t="s">
        <v>140</v>
      </c>
      <c r="D1693" s="74" t="s">
        <v>79</v>
      </c>
      <c r="E1693" s="74" t="s">
        <v>80</v>
      </c>
      <c r="F1693" s="86" t="s">
        <v>120</v>
      </c>
      <c r="G1693" s="74" t="s">
        <v>138</v>
      </c>
      <c r="H1693" s="87">
        <v>44561</v>
      </c>
      <c r="I1693" s="98">
        <v>22</v>
      </c>
      <c r="J1693" s="98">
        <v>22</v>
      </c>
      <c r="K1693" s="89">
        <f t="shared" si="73"/>
        <v>1</v>
      </c>
      <c r="L1693" s="89">
        <v>7125.39</v>
      </c>
      <c r="M1693" s="89">
        <v>3233.19</v>
      </c>
      <c r="N1693" s="89">
        <v>709.11</v>
      </c>
      <c r="O1693" s="89">
        <f t="shared" si="71"/>
        <v>11067.69</v>
      </c>
    </row>
    <row r="1694" spans="1:15">
      <c r="A1694" s="74" t="s">
        <v>308</v>
      </c>
      <c r="B1694" s="74" t="s">
        <v>141</v>
      </c>
      <c r="C1694" s="74" t="s">
        <v>142</v>
      </c>
      <c r="D1694" s="74" t="s">
        <v>79</v>
      </c>
      <c r="E1694" s="74" t="s">
        <v>80</v>
      </c>
      <c r="F1694" s="86" t="s">
        <v>123</v>
      </c>
      <c r="G1694" s="74" t="s">
        <v>138</v>
      </c>
      <c r="H1694" s="87">
        <v>44561</v>
      </c>
      <c r="I1694" s="98">
        <v>22</v>
      </c>
      <c r="J1694" s="98">
        <v>22</v>
      </c>
      <c r="K1694" s="89">
        <f t="shared" si="73"/>
        <v>1</v>
      </c>
      <c r="L1694" s="89">
        <v>6404.03</v>
      </c>
      <c r="M1694" s="89">
        <v>3128.72</v>
      </c>
      <c r="N1694" s="89">
        <v>646.41</v>
      </c>
      <c r="O1694" s="89">
        <f t="shared" si="71"/>
        <v>10179.16</v>
      </c>
    </row>
    <row r="1695" spans="1:15">
      <c r="A1695" s="74" t="s">
        <v>308</v>
      </c>
      <c r="B1695" s="74" t="s">
        <v>143</v>
      </c>
      <c r="C1695" s="74" t="s">
        <v>144</v>
      </c>
      <c r="D1695" s="74" t="s">
        <v>79</v>
      </c>
      <c r="E1695" s="74" t="s">
        <v>80</v>
      </c>
      <c r="F1695" s="86" t="s">
        <v>145</v>
      </c>
      <c r="G1695" s="74" t="s">
        <v>146</v>
      </c>
      <c r="H1695" s="87">
        <v>44561</v>
      </c>
      <c r="I1695" s="98">
        <v>22</v>
      </c>
      <c r="J1695" s="98">
        <v>22</v>
      </c>
      <c r="K1695" s="89">
        <f t="shared" si="73"/>
        <v>1</v>
      </c>
      <c r="L1695" s="89">
        <v>20362.68</v>
      </c>
      <c r="M1695" s="89">
        <v>3290.9</v>
      </c>
      <c r="N1695" s="89">
        <v>1978.79</v>
      </c>
      <c r="O1695" s="89">
        <f t="shared" si="71"/>
        <v>25632.37</v>
      </c>
    </row>
    <row r="1696" spans="1:15">
      <c r="A1696" s="74" t="s">
        <v>308</v>
      </c>
      <c r="B1696" s="74" t="s">
        <v>147</v>
      </c>
      <c r="C1696" s="74" t="s">
        <v>148</v>
      </c>
      <c r="D1696" s="74" t="s">
        <v>79</v>
      </c>
      <c r="E1696" s="74" t="s">
        <v>80</v>
      </c>
      <c r="F1696" s="86" t="s">
        <v>149</v>
      </c>
      <c r="G1696" s="74" t="s">
        <v>150</v>
      </c>
      <c r="H1696" s="87">
        <v>44561</v>
      </c>
      <c r="I1696" s="98">
        <v>22</v>
      </c>
      <c r="J1696" s="98">
        <v>22</v>
      </c>
      <c r="K1696" s="89">
        <f t="shared" si="73"/>
        <v>1</v>
      </c>
      <c r="L1696" s="89">
        <v>17686.7</v>
      </c>
      <c r="M1696" s="89">
        <v>3009.56</v>
      </c>
      <c r="N1696" s="89">
        <v>1842.54</v>
      </c>
      <c r="O1696" s="89">
        <f t="shared" si="71"/>
        <v>22538.8</v>
      </c>
    </row>
    <row r="1697" spans="1:15">
      <c r="A1697" s="74" t="s">
        <v>308</v>
      </c>
      <c r="B1697" s="74" t="s">
        <v>151</v>
      </c>
      <c r="C1697" s="74" t="s">
        <v>152</v>
      </c>
      <c r="D1697" s="74" t="s">
        <v>79</v>
      </c>
      <c r="E1697" s="74" t="s">
        <v>81</v>
      </c>
      <c r="F1697" s="86" t="s">
        <v>123</v>
      </c>
      <c r="G1697" s="74" t="s">
        <v>153</v>
      </c>
      <c r="H1697" s="87">
        <v>44561</v>
      </c>
      <c r="I1697" s="98">
        <v>22</v>
      </c>
      <c r="J1697" s="98">
        <v>22</v>
      </c>
      <c r="K1697" s="89">
        <f t="shared" si="73"/>
        <v>1</v>
      </c>
      <c r="L1697" s="89">
        <v>6006.85</v>
      </c>
      <c r="M1697" s="89">
        <v>3216.4</v>
      </c>
      <c r="N1697" s="89">
        <v>659.78</v>
      </c>
      <c r="O1697" s="89">
        <f t="shared" si="71"/>
        <v>9883.03</v>
      </c>
    </row>
    <row r="1698" spans="1:15">
      <c r="A1698" s="74" t="s">
        <v>308</v>
      </c>
      <c r="B1698" s="74" t="s">
        <v>154</v>
      </c>
      <c r="C1698" s="74" t="s">
        <v>155</v>
      </c>
      <c r="D1698" s="74" t="s">
        <v>79</v>
      </c>
      <c r="E1698" s="74" t="s">
        <v>81</v>
      </c>
      <c r="F1698" s="86" t="s">
        <v>156</v>
      </c>
      <c r="G1698" s="74" t="s">
        <v>157</v>
      </c>
      <c r="H1698" s="87">
        <v>44561</v>
      </c>
      <c r="I1698" s="98">
        <v>22</v>
      </c>
      <c r="J1698" s="98">
        <v>22</v>
      </c>
      <c r="K1698" s="89">
        <f t="shared" si="73"/>
        <v>1</v>
      </c>
      <c r="L1698" s="89">
        <v>5024.44</v>
      </c>
      <c r="M1698" s="89">
        <v>3194.45</v>
      </c>
      <c r="N1698" s="89">
        <v>539.65</v>
      </c>
      <c r="O1698" s="89">
        <f t="shared" si="71"/>
        <v>8758.54</v>
      </c>
    </row>
    <row r="1699" spans="1:15">
      <c r="A1699" s="74" t="s">
        <v>308</v>
      </c>
      <c r="B1699" s="74" t="s">
        <v>158</v>
      </c>
      <c r="C1699" s="74" t="s">
        <v>159</v>
      </c>
      <c r="D1699" s="74" t="s">
        <v>79</v>
      </c>
      <c r="E1699" s="74" t="s">
        <v>81</v>
      </c>
      <c r="F1699" s="86" t="s">
        <v>160</v>
      </c>
      <c r="G1699" s="74" t="s">
        <v>161</v>
      </c>
      <c r="H1699" s="87">
        <v>44561</v>
      </c>
      <c r="I1699" s="98">
        <v>22</v>
      </c>
      <c r="J1699" s="98">
        <v>22</v>
      </c>
      <c r="K1699" s="89">
        <f t="shared" si="73"/>
        <v>1</v>
      </c>
      <c r="L1699" s="89">
        <v>4070.45</v>
      </c>
      <c r="M1699" s="89">
        <v>3070.54</v>
      </c>
      <c r="N1699" s="89">
        <v>438.66</v>
      </c>
      <c r="O1699" s="89">
        <f t="shared" si="71"/>
        <v>7579.65</v>
      </c>
    </row>
    <row r="1700" spans="1:15">
      <c r="A1700" s="74" t="s">
        <v>308</v>
      </c>
      <c r="B1700" s="74" t="s">
        <v>162</v>
      </c>
      <c r="C1700" s="74" t="s">
        <v>163</v>
      </c>
      <c r="D1700" s="74" t="s">
        <v>79</v>
      </c>
      <c r="E1700" s="74" t="s">
        <v>81</v>
      </c>
      <c r="F1700" s="86" t="s">
        <v>123</v>
      </c>
      <c r="G1700" s="74" t="s">
        <v>153</v>
      </c>
      <c r="H1700" s="87">
        <v>44561</v>
      </c>
      <c r="I1700" s="98">
        <v>22</v>
      </c>
      <c r="J1700" s="98">
        <v>22</v>
      </c>
      <c r="K1700" s="89">
        <f t="shared" si="73"/>
        <v>1</v>
      </c>
      <c r="L1700" s="89">
        <v>6413.57</v>
      </c>
      <c r="M1700" s="89">
        <v>3168.21</v>
      </c>
      <c r="N1700" s="89">
        <v>604.88</v>
      </c>
      <c r="O1700" s="89">
        <f t="shared" si="71"/>
        <v>10186.66</v>
      </c>
    </row>
    <row r="1701" spans="1:15">
      <c r="A1701" s="74" t="s">
        <v>308</v>
      </c>
      <c r="B1701" s="74" t="s">
        <v>164</v>
      </c>
      <c r="C1701" s="74" t="s">
        <v>165</v>
      </c>
      <c r="D1701" s="74" t="s">
        <v>79</v>
      </c>
      <c r="E1701" s="74" t="s">
        <v>81</v>
      </c>
      <c r="F1701" s="86" t="s">
        <v>156</v>
      </c>
      <c r="G1701" s="74" t="s">
        <v>157</v>
      </c>
      <c r="H1701" s="87">
        <v>44561</v>
      </c>
      <c r="I1701" s="98">
        <v>22</v>
      </c>
      <c r="J1701" s="98">
        <v>22</v>
      </c>
      <c r="K1701" s="89">
        <f t="shared" si="73"/>
        <v>1</v>
      </c>
      <c r="L1701" s="89">
        <v>5224.8</v>
      </c>
      <c r="M1701" s="89">
        <v>3098.94</v>
      </c>
      <c r="N1701" s="89">
        <v>548.47</v>
      </c>
      <c r="O1701" s="89">
        <f t="shared" si="71"/>
        <v>8872.21</v>
      </c>
    </row>
    <row r="1702" spans="1:15">
      <c r="A1702" s="74" t="s">
        <v>308</v>
      </c>
      <c r="B1702" s="74" t="s">
        <v>166</v>
      </c>
      <c r="C1702" s="74" t="s">
        <v>167</v>
      </c>
      <c r="D1702" s="74" t="s">
        <v>79</v>
      </c>
      <c r="E1702" s="74" t="s">
        <v>81</v>
      </c>
      <c r="F1702" s="86" t="s">
        <v>160</v>
      </c>
      <c r="G1702" s="74" t="s">
        <v>161</v>
      </c>
      <c r="H1702" s="87">
        <v>44561</v>
      </c>
      <c r="I1702" s="98">
        <v>22</v>
      </c>
      <c r="J1702" s="98">
        <v>22</v>
      </c>
      <c r="K1702" s="89">
        <f t="shared" si="73"/>
        <v>1</v>
      </c>
      <c r="L1702" s="89">
        <v>4085.95</v>
      </c>
      <c r="M1702" s="89">
        <v>3121.1</v>
      </c>
      <c r="N1702" s="89">
        <v>405.9</v>
      </c>
      <c r="O1702" s="89">
        <f t="shared" si="71"/>
        <v>7612.95</v>
      </c>
    </row>
    <row r="1703" spans="1:15">
      <c r="A1703" s="74" t="s">
        <v>308</v>
      </c>
      <c r="B1703" s="74" t="s">
        <v>168</v>
      </c>
      <c r="C1703" s="74" t="s">
        <v>169</v>
      </c>
      <c r="D1703" s="74" t="s">
        <v>79</v>
      </c>
      <c r="E1703" s="74" t="s">
        <v>81</v>
      </c>
      <c r="F1703" s="86" t="s">
        <v>123</v>
      </c>
      <c r="G1703" s="74" t="s">
        <v>153</v>
      </c>
      <c r="H1703" s="87">
        <v>44561</v>
      </c>
      <c r="I1703" s="98">
        <v>22</v>
      </c>
      <c r="J1703" s="98">
        <v>22</v>
      </c>
      <c r="K1703" s="89">
        <f t="shared" si="73"/>
        <v>1</v>
      </c>
      <c r="L1703" s="89">
        <v>6175.24</v>
      </c>
      <c r="M1703" s="89">
        <v>3138.93</v>
      </c>
      <c r="N1703" s="89">
        <v>623.49</v>
      </c>
      <c r="O1703" s="89">
        <f t="shared" si="71"/>
        <v>9937.66</v>
      </c>
    </row>
    <row r="1704" spans="1:15">
      <c r="A1704" s="74" t="s">
        <v>308</v>
      </c>
      <c r="B1704" s="74" t="s">
        <v>170</v>
      </c>
      <c r="C1704" s="74" t="s">
        <v>171</v>
      </c>
      <c r="D1704" s="74" t="s">
        <v>79</v>
      </c>
      <c r="E1704" s="74" t="s">
        <v>81</v>
      </c>
      <c r="F1704" s="86" t="s">
        <v>156</v>
      </c>
      <c r="G1704" s="74" t="s">
        <v>157</v>
      </c>
      <c r="H1704" s="87">
        <v>44561</v>
      </c>
      <c r="I1704" s="98">
        <v>22</v>
      </c>
      <c r="J1704" s="98">
        <v>22</v>
      </c>
      <c r="K1704" s="89">
        <f t="shared" si="73"/>
        <v>1</v>
      </c>
      <c r="L1704" s="89">
        <v>5481.07</v>
      </c>
      <c r="M1704" s="89">
        <v>3102.06</v>
      </c>
      <c r="N1704" s="89">
        <v>543.14</v>
      </c>
      <c r="O1704" s="89">
        <f t="shared" si="71"/>
        <v>9126.27</v>
      </c>
    </row>
    <row r="1705" spans="1:15">
      <c r="A1705" s="74" t="s">
        <v>308</v>
      </c>
      <c r="B1705" s="74" t="s">
        <v>172</v>
      </c>
      <c r="C1705" s="74" t="s">
        <v>173</v>
      </c>
      <c r="D1705" s="74" t="s">
        <v>79</v>
      </c>
      <c r="E1705" s="74" t="s">
        <v>81</v>
      </c>
      <c r="F1705" s="86" t="s">
        <v>160</v>
      </c>
      <c r="G1705" s="74" t="s">
        <v>161</v>
      </c>
      <c r="H1705" s="87">
        <v>44561</v>
      </c>
      <c r="I1705" s="98">
        <v>22</v>
      </c>
      <c r="J1705" s="98">
        <v>22</v>
      </c>
      <c r="K1705" s="89">
        <f t="shared" si="73"/>
        <v>1</v>
      </c>
      <c r="L1705" s="89">
        <v>4289.95</v>
      </c>
      <c r="M1705" s="89">
        <v>3155.92</v>
      </c>
      <c r="N1705" s="89">
        <v>402.74</v>
      </c>
      <c r="O1705" s="89">
        <f t="shared" si="71"/>
        <v>7848.61</v>
      </c>
    </row>
    <row r="1706" spans="1:15">
      <c r="A1706" s="74" t="s">
        <v>308</v>
      </c>
      <c r="B1706" s="74" t="s">
        <v>174</v>
      </c>
      <c r="C1706" s="74" t="s">
        <v>175</v>
      </c>
      <c r="D1706" s="74" t="s">
        <v>79</v>
      </c>
      <c r="E1706" s="74" t="s">
        <v>81</v>
      </c>
      <c r="F1706" s="86" t="s">
        <v>176</v>
      </c>
      <c r="G1706" s="74" t="s">
        <v>177</v>
      </c>
      <c r="H1706" s="87">
        <v>44561</v>
      </c>
      <c r="I1706" s="98">
        <v>22</v>
      </c>
      <c r="J1706" s="98">
        <v>22</v>
      </c>
      <c r="K1706" s="89">
        <f t="shared" si="73"/>
        <v>1</v>
      </c>
      <c r="L1706" s="89">
        <v>3171.29</v>
      </c>
      <c r="M1706" s="89">
        <v>3294.11</v>
      </c>
      <c r="N1706" s="89">
        <v>322.77</v>
      </c>
      <c r="O1706" s="89">
        <f t="shared" si="71"/>
        <v>6788.17</v>
      </c>
    </row>
    <row r="1707" spans="1:15">
      <c r="A1707" s="74" t="s">
        <v>308</v>
      </c>
      <c r="B1707" s="74" t="s">
        <v>178</v>
      </c>
      <c r="C1707" s="74" t="s">
        <v>179</v>
      </c>
      <c r="D1707" s="74" t="s">
        <v>79</v>
      </c>
      <c r="E1707" s="74" t="s">
        <v>81</v>
      </c>
      <c r="F1707" s="86" t="s">
        <v>180</v>
      </c>
      <c r="G1707" s="74" t="s">
        <v>177</v>
      </c>
      <c r="H1707" s="87">
        <v>44561</v>
      </c>
      <c r="I1707" s="98">
        <v>22</v>
      </c>
      <c r="J1707" s="98">
        <v>22</v>
      </c>
      <c r="K1707" s="89">
        <f t="shared" si="73"/>
        <v>1</v>
      </c>
      <c r="L1707" s="89">
        <v>2021.46</v>
      </c>
      <c r="M1707" s="89">
        <v>3259.42</v>
      </c>
      <c r="N1707" s="89">
        <v>215.87</v>
      </c>
      <c r="O1707" s="89">
        <f t="shared" si="71"/>
        <v>5496.75</v>
      </c>
    </row>
    <row r="1708" spans="1:15">
      <c r="A1708" s="74" t="s">
        <v>308</v>
      </c>
      <c r="B1708" s="74" t="s">
        <v>181</v>
      </c>
      <c r="C1708" s="74" t="s">
        <v>182</v>
      </c>
      <c r="D1708" s="74" t="s">
        <v>79</v>
      </c>
      <c r="E1708" s="74" t="s">
        <v>81</v>
      </c>
      <c r="F1708" s="86" t="s">
        <v>183</v>
      </c>
      <c r="G1708" s="74" t="s">
        <v>177</v>
      </c>
      <c r="H1708" s="87">
        <v>44561</v>
      </c>
      <c r="I1708" s="98">
        <v>22</v>
      </c>
      <c r="J1708" s="98">
        <v>22</v>
      </c>
      <c r="K1708" s="89">
        <f t="shared" si="73"/>
        <v>1</v>
      </c>
      <c r="L1708" s="89">
        <v>1013.83</v>
      </c>
      <c r="M1708" s="89">
        <v>3133.4</v>
      </c>
      <c r="N1708" s="89">
        <v>103.5</v>
      </c>
      <c r="O1708" s="89">
        <f t="shared" si="71"/>
        <v>4250.73</v>
      </c>
    </row>
    <row r="1709" spans="1:15">
      <c r="A1709" s="74" t="s">
        <v>308</v>
      </c>
      <c r="B1709" s="74" t="s">
        <v>184</v>
      </c>
      <c r="C1709" s="74" t="s">
        <v>185</v>
      </c>
      <c r="D1709" s="74" t="s">
        <v>79</v>
      </c>
      <c r="E1709" s="74" t="s">
        <v>81</v>
      </c>
      <c r="F1709" s="86" t="s">
        <v>176</v>
      </c>
      <c r="G1709" s="74" t="s">
        <v>177</v>
      </c>
      <c r="H1709" s="87">
        <v>44561</v>
      </c>
      <c r="I1709" s="98">
        <v>22</v>
      </c>
      <c r="J1709" s="98">
        <v>22</v>
      </c>
      <c r="K1709" s="89">
        <f t="shared" si="73"/>
        <v>1</v>
      </c>
      <c r="L1709" s="89">
        <v>3091.37</v>
      </c>
      <c r="M1709" s="89">
        <v>3233.95</v>
      </c>
      <c r="N1709" s="89">
        <v>305.57</v>
      </c>
      <c r="O1709" s="89">
        <f t="shared" si="71"/>
        <v>6630.89</v>
      </c>
    </row>
    <row r="1710" spans="1:15">
      <c r="A1710" s="74" t="s">
        <v>308</v>
      </c>
      <c r="B1710" s="74" t="s">
        <v>186</v>
      </c>
      <c r="C1710" s="74" t="s">
        <v>187</v>
      </c>
      <c r="D1710" s="74" t="s">
        <v>79</v>
      </c>
      <c r="E1710" s="74" t="s">
        <v>81</v>
      </c>
      <c r="F1710" s="86" t="s">
        <v>180</v>
      </c>
      <c r="G1710" s="74" t="s">
        <v>177</v>
      </c>
      <c r="H1710" s="87">
        <v>44561</v>
      </c>
      <c r="I1710" s="98">
        <v>22</v>
      </c>
      <c r="J1710" s="98">
        <v>22</v>
      </c>
      <c r="K1710" s="89">
        <f t="shared" si="73"/>
        <v>1</v>
      </c>
      <c r="L1710" s="89">
        <v>2108.2</v>
      </c>
      <c r="M1710" s="89">
        <v>3032.43</v>
      </c>
      <c r="N1710" s="89">
        <v>219.97</v>
      </c>
      <c r="O1710" s="89">
        <f t="shared" si="71"/>
        <v>5360.6</v>
      </c>
    </row>
    <row r="1711" spans="1:15">
      <c r="A1711" s="74" t="s">
        <v>308</v>
      </c>
      <c r="B1711" s="74" t="s">
        <v>188</v>
      </c>
      <c r="C1711" s="74" t="s">
        <v>189</v>
      </c>
      <c r="D1711" s="74" t="s">
        <v>79</v>
      </c>
      <c r="E1711" s="74" t="s">
        <v>81</v>
      </c>
      <c r="F1711" s="86" t="s">
        <v>183</v>
      </c>
      <c r="G1711" s="74" t="s">
        <v>177</v>
      </c>
      <c r="H1711" s="87">
        <v>44561</v>
      </c>
      <c r="I1711" s="98">
        <v>22</v>
      </c>
      <c r="J1711" s="98">
        <v>22</v>
      </c>
      <c r="K1711" s="89">
        <f t="shared" si="73"/>
        <v>1</v>
      </c>
      <c r="L1711" s="89">
        <v>1003.55</v>
      </c>
      <c r="M1711" s="89">
        <v>3091.14</v>
      </c>
      <c r="N1711" s="89">
        <v>101.05</v>
      </c>
      <c r="O1711" s="89">
        <f t="shared" si="71"/>
        <v>4195.74</v>
      </c>
    </row>
    <row r="1712" spans="1:15">
      <c r="A1712" s="74" t="s">
        <v>308</v>
      </c>
      <c r="B1712" s="74" t="s">
        <v>190</v>
      </c>
      <c r="C1712" s="74" t="s">
        <v>191</v>
      </c>
      <c r="D1712" s="74" t="s">
        <v>79</v>
      </c>
      <c r="E1712" s="74" t="s">
        <v>81</v>
      </c>
      <c r="F1712" s="86" t="s">
        <v>176</v>
      </c>
      <c r="G1712" s="74" t="s">
        <v>177</v>
      </c>
      <c r="H1712" s="87">
        <v>44561</v>
      </c>
      <c r="I1712" s="98">
        <v>22</v>
      </c>
      <c r="J1712" s="98">
        <v>22</v>
      </c>
      <c r="K1712" s="89">
        <f t="shared" si="73"/>
        <v>1</v>
      </c>
      <c r="L1712" s="89">
        <v>3281.45</v>
      </c>
      <c r="M1712" s="89">
        <v>3051.19</v>
      </c>
      <c r="N1712" s="89">
        <v>305.6</v>
      </c>
      <c r="O1712" s="89">
        <f t="shared" si="71"/>
        <v>6638.24</v>
      </c>
    </row>
    <row r="1713" spans="1:15">
      <c r="A1713" s="74" t="s">
        <v>308</v>
      </c>
      <c r="B1713" s="74" t="s">
        <v>192</v>
      </c>
      <c r="C1713" s="74" t="s">
        <v>193</v>
      </c>
      <c r="D1713" s="74" t="s">
        <v>79</v>
      </c>
      <c r="E1713" s="74" t="s">
        <v>81</v>
      </c>
      <c r="F1713" s="86" t="s">
        <v>180</v>
      </c>
      <c r="G1713" s="74" t="s">
        <v>177</v>
      </c>
      <c r="H1713" s="87">
        <v>44561</v>
      </c>
      <c r="I1713" s="98">
        <v>22</v>
      </c>
      <c r="J1713" s="98">
        <v>22</v>
      </c>
      <c r="K1713" s="89">
        <f t="shared" si="73"/>
        <v>1</v>
      </c>
      <c r="L1713" s="89">
        <v>2130.95</v>
      </c>
      <c r="M1713" s="89">
        <v>3106.48</v>
      </c>
      <c r="N1713" s="89">
        <v>209.65</v>
      </c>
      <c r="O1713" s="89">
        <f t="shared" si="71"/>
        <v>5447.08</v>
      </c>
    </row>
    <row r="1714" spans="1:15">
      <c r="A1714" s="74" t="s">
        <v>308</v>
      </c>
      <c r="B1714" s="74" t="s">
        <v>194</v>
      </c>
      <c r="C1714" s="74" t="s">
        <v>195</v>
      </c>
      <c r="D1714" s="74" t="s">
        <v>79</v>
      </c>
      <c r="E1714" s="74" t="s">
        <v>81</v>
      </c>
      <c r="F1714" s="86" t="s">
        <v>183</v>
      </c>
      <c r="G1714" s="74" t="s">
        <v>177</v>
      </c>
      <c r="H1714" s="87">
        <v>44561</v>
      </c>
      <c r="I1714" s="98">
        <v>22</v>
      </c>
      <c r="J1714" s="98">
        <v>22</v>
      </c>
      <c r="K1714" s="89">
        <f t="shared" si="73"/>
        <v>1</v>
      </c>
      <c r="L1714" s="89">
        <v>1002.22</v>
      </c>
      <c r="M1714" s="89">
        <v>3282.45</v>
      </c>
      <c r="N1714" s="89">
        <v>108.34</v>
      </c>
      <c r="O1714" s="89">
        <f t="shared" si="71"/>
        <v>4393.01</v>
      </c>
    </row>
    <row r="1715" spans="1:15">
      <c r="A1715" s="74" t="s">
        <v>308</v>
      </c>
      <c r="B1715" s="74" t="s">
        <v>196</v>
      </c>
      <c r="C1715" s="74" t="s">
        <v>197</v>
      </c>
      <c r="D1715" s="74" t="s">
        <v>79</v>
      </c>
      <c r="E1715" s="74" t="s">
        <v>81</v>
      </c>
      <c r="F1715" s="86" t="s">
        <v>176</v>
      </c>
      <c r="G1715" s="74" t="s">
        <v>177</v>
      </c>
      <c r="H1715" s="87">
        <v>44561</v>
      </c>
      <c r="I1715" s="98">
        <v>22</v>
      </c>
      <c r="J1715" s="98">
        <v>22</v>
      </c>
      <c r="K1715" s="89">
        <f t="shared" si="73"/>
        <v>1</v>
      </c>
      <c r="L1715" s="89">
        <v>3124.91</v>
      </c>
      <c r="M1715" s="89">
        <v>3215.35</v>
      </c>
      <c r="N1715" s="89">
        <v>326.67</v>
      </c>
      <c r="O1715" s="89">
        <f t="shared" si="71"/>
        <v>6666.93</v>
      </c>
    </row>
    <row r="1716" spans="1:15">
      <c r="A1716" s="74" t="s">
        <v>308</v>
      </c>
      <c r="B1716" s="74" t="s">
        <v>198</v>
      </c>
      <c r="C1716" s="74" t="s">
        <v>199</v>
      </c>
      <c r="D1716" s="74" t="s">
        <v>79</v>
      </c>
      <c r="E1716" s="74" t="s">
        <v>81</v>
      </c>
      <c r="F1716" s="86" t="s">
        <v>180</v>
      </c>
      <c r="G1716" s="74" t="s">
        <v>177</v>
      </c>
      <c r="H1716" s="87">
        <v>44561</v>
      </c>
      <c r="I1716" s="98">
        <v>22</v>
      </c>
      <c r="J1716" s="98">
        <v>22</v>
      </c>
      <c r="K1716" s="89">
        <f t="shared" si="73"/>
        <v>1</v>
      </c>
      <c r="L1716" s="89">
        <v>2189.09</v>
      </c>
      <c r="M1716" s="89">
        <v>3088.16</v>
      </c>
      <c r="N1716" s="89">
        <v>216.98</v>
      </c>
      <c r="O1716" s="89">
        <f t="shared" si="71"/>
        <v>5494.23</v>
      </c>
    </row>
    <row r="1717" spans="1:15">
      <c r="A1717" s="74" t="s">
        <v>308</v>
      </c>
      <c r="B1717" s="74" t="s">
        <v>200</v>
      </c>
      <c r="C1717" s="74" t="s">
        <v>201</v>
      </c>
      <c r="D1717" s="74" t="s">
        <v>79</v>
      </c>
      <c r="E1717" s="74" t="s">
        <v>81</v>
      </c>
      <c r="F1717" s="86" t="s">
        <v>183</v>
      </c>
      <c r="G1717" s="74" t="s">
        <v>177</v>
      </c>
      <c r="H1717" s="87">
        <v>44561</v>
      </c>
      <c r="I1717" s="98">
        <v>22</v>
      </c>
      <c r="J1717" s="98">
        <v>22</v>
      </c>
      <c r="K1717" s="89">
        <f t="shared" si="73"/>
        <v>1</v>
      </c>
      <c r="L1717" s="89">
        <v>1008.07</v>
      </c>
      <c r="M1717" s="89">
        <v>3159.64</v>
      </c>
      <c r="N1717" s="89">
        <v>102.08</v>
      </c>
      <c r="O1717" s="89">
        <f t="shared" si="71"/>
        <v>4269.79</v>
      </c>
    </row>
    <row r="1718" spans="1:15">
      <c r="A1718" s="74" t="s">
        <v>308</v>
      </c>
      <c r="B1718" s="74" t="s">
        <v>202</v>
      </c>
      <c r="C1718" s="74" t="s">
        <v>203</v>
      </c>
      <c r="D1718" s="74" t="s">
        <v>79</v>
      </c>
      <c r="E1718" s="74" t="s">
        <v>81</v>
      </c>
      <c r="F1718" s="86" t="s">
        <v>204</v>
      </c>
      <c r="G1718" s="74" t="s">
        <v>205</v>
      </c>
      <c r="H1718" s="87">
        <v>44561</v>
      </c>
      <c r="I1718" s="98">
        <v>22</v>
      </c>
      <c r="J1718" s="98">
        <v>22</v>
      </c>
      <c r="K1718" s="89">
        <f t="shared" si="73"/>
        <v>1</v>
      </c>
      <c r="L1718" s="89">
        <v>18050.82</v>
      </c>
      <c r="M1718" s="89">
        <v>3074.25</v>
      </c>
      <c r="N1718" s="89">
        <v>1868.53</v>
      </c>
      <c r="O1718" s="89">
        <f t="shared" si="71"/>
        <v>22993.6</v>
      </c>
    </row>
    <row r="1719" spans="1:15">
      <c r="A1719" s="74" t="s">
        <v>308</v>
      </c>
      <c r="B1719" s="74" t="s">
        <v>206</v>
      </c>
      <c r="C1719" s="74" t="s">
        <v>207</v>
      </c>
      <c r="D1719" s="88" t="s">
        <v>82</v>
      </c>
      <c r="E1719" s="88" t="s">
        <v>84</v>
      </c>
      <c r="F1719" s="86" t="s">
        <v>208</v>
      </c>
      <c r="G1719" s="74" t="s">
        <v>209</v>
      </c>
      <c r="H1719" s="87">
        <v>44561</v>
      </c>
      <c r="I1719" s="98">
        <v>22</v>
      </c>
      <c r="J1719" s="98">
        <v>22</v>
      </c>
      <c r="K1719" s="89">
        <f t="shared" si="73"/>
        <v>1</v>
      </c>
      <c r="L1719" s="89">
        <v>9265.34</v>
      </c>
      <c r="M1719" s="89">
        <v>3125.96</v>
      </c>
      <c r="N1719" s="89">
        <v>946.69</v>
      </c>
      <c r="O1719" s="89">
        <f t="shared" si="71"/>
        <v>13337.99</v>
      </c>
    </row>
    <row r="1720" spans="1:15">
      <c r="A1720" s="74" t="s">
        <v>308</v>
      </c>
      <c r="B1720" s="74" t="s">
        <v>210</v>
      </c>
      <c r="C1720" s="74" t="s">
        <v>211</v>
      </c>
      <c r="D1720" s="88" t="s">
        <v>82</v>
      </c>
      <c r="E1720" s="88" t="s">
        <v>84</v>
      </c>
      <c r="F1720" s="86" t="s">
        <v>116</v>
      </c>
      <c r="G1720" s="74" t="s">
        <v>209</v>
      </c>
      <c r="H1720" s="87">
        <v>44561</v>
      </c>
      <c r="I1720" s="98">
        <v>22</v>
      </c>
      <c r="J1720" s="98">
        <v>22</v>
      </c>
      <c r="K1720" s="89">
        <f t="shared" si="73"/>
        <v>1</v>
      </c>
      <c r="L1720" s="89">
        <v>8230.67</v>
      </c>
      <c r="M1720" s="89">
        <v>3056.34</v>
      </c>
      <c r="N1720" s="89">
        <v>828.4</v>
      </c>
      <c r="O1720" s="89">
        <f t="shared" si="71"/>
        <v>12115.41</v>
      </c>
    </row>
    <row r="1721" spans="1:15">
      <c r="A1721" s="74" t="s">
        <v>308</v>
      </c>
      <c r="B1721" s="74" t="s">
        <v>212</v>
      </c>
      <c r="C1721" s="74" t="s">
        <v>213</v>
      </c>
      <c r="D1721" s="88" t="s">
        <v>82</v>
      </c>
      <c r="E1721" s="88" t="s">
        <v>84</v>
      </c>
      <c r="F1721" s="86" t="s">
        <v>208</v>
      </c>
      <c r="G1721" s="74" t="s">
        <v>209</v>
      </c>
      <c r="H1721" s="87">
        <v>44561</v>
      </c>
      <c r="I1721" s="98">
        <v>22</v>
      </c>
      <c r="J1721" s="98">
        <v>22</v>
      </c>
      <c r="K1721" s="89">
        <f t="shared" si="73"/>
        <v>1</v>
      </c>
      <c r="L1721" s="89">
        <v>9442.86</v>
      </c>
      <c r="M1721" s="89">
        <v>3285.39</v>
      </c>
      <c r="N1721" s="89">
        <v>915.22</v>
      </c>
      <c r="O1721" s="89">
        <f t="shared" si="71"/>
        <v>13643.47</v>
      </c>
    </row>
    <row r="1722" spans="1:15">
      <c r="A1722" s="74" t="s">
        <v>308</v>
      </c>
      <c r="B1722" s="74" t="s">
        <v>214</v>
      </c>
      <c r="C1722" s="74" t="s">
        <v>215</v>
      </c>
      <c r="D1722" s="88" t="s">
        <v>82</v>
      </c>
      <c r="E1722" s="88" t="s">
        <v>84</v>
      </c>
      <c r="F1722" s="86" t="s">
        <v>116</v>
      </c>
      <c r="G1722" s="74" t="s">
        <v>209</v>
      </c>
      <c r="H1722" s="87">
        <v>44561</v>
      </c>
      <c r="I1722" s="98">
        <v>22</v>
      </c>
      <c r="J1722" s="98">
        <v>22</v>
      </c>
      <c r="K1722" s="89">
        <f t="shared" si="73"/>
        <v>1</v>
      </c>
      <c r="L1722" s="89">
        <v>8244.9</v>
      </c>
      <c r="M1722" s="89">
        <v>3167.31</v>
      </c>
      <c r="N1722" s="89">
        <v>803.79</v>
      </c>
      <c r="O1722" s="89">
        <f t="shared" si="71"/>
        <v>12216</v>
      </c>
    </row>
    <row r="1723" spans="1:15">
      <c r="A1723" s="74" t="s">
        <v>308</v>
      </c>
      <c r="B1723" s="74" t="s">
        <v>216</v>
      </c>
      <c r="C1723" s="74" t="s">
        <v>217</v>
      </c>
      <c r="D1723" s="88" t="s">
        <v>82</v>
      </c>
      <c r="E1723" s="88" t="s">
        <v>84</v>
      </c>
      <c r="F1723" s="86" t="s">
        <v>218</v>
      </c>
      <c r="G1723" s="74" t="s">
        <v>219</v>
      </c>
      <c r="H1723" s="87">
        <v>44561</v>
      </c>
      <c r="I1723" s="98">
        <v>22</v>
      </c>
      <c r="J1723" s="98">
        <v>22</v>
      </c>
      <c r="K1723" s="89">
        <f t="shared" si="73"/>
        <v>1</v>
      </c>
      <c r="L1723" s="89">
        <v>11088.31</v>
      </c>
      <c r="M1723" s="89">
        <v>3255.83</v>
      </c>
      <c r="N1723" s="89">
        <v>1178.57</v>
      </c>
      <c r="O1723" s="89">
        <f t="shared" si="71"/>
        <v>15522.71</v>
      </c>
    </row>
    <row r="1724" spans="1:15">
      <c r="A1724" s="74" t="s">
        <v>308</v>
      </c>
      <c r="B1724" s="74" t="s">
        <v>220</v>
      </c>
      <c r="C1724" s="74" t="s">
        <v>221</v>
      </c>
      <c r="D1724" s="88" t="s">
        <v>82</v>
      </c>
      <c r="E1724" s="74" t="s">
        <v>83</v>
      </c>
      <c r="F1724" s="86" t="s">
        <v>218</v>
      </c>
      <c r="G1724" s="74" t="s">
        <v>222</v>
      </c>
      <c r="H1724" s="87">
        <v>44561</v>
      </c>
      <c r="I1724" s="98">
        <v>22</v>
      </c>
      <c r="J1724" s="98">
        <v>22</v>
      </c>
      <c r="K1724" s="89">
        <f t="shared" si="73"/>
        <v>1</v>
      </c>
      <c r="L1724" s="89">
        <v>11556.03</v>
      </c>
      <c r="M1724" s="89">
        <v>3227.08</v>
      </c>
      <c r="N1724" s="89">
        <v>1110.34</v>
      </c>
      <c r="O1724" s="89">
        <f t="shared" si="71"/>
        <v>15893.45</v>
      </c>
    </row>
    <row r="1725" spans="1:15">
      <c r="A1725" s="74" t="s">
        <v>308</v>
      </c>
      <c r="B1725" s="74" t="s">
        <v>223</v>
      </c>
      <c r="C1725" s="74" t="s">
        <v>224</v>
      </c>
      <c r="D1725" s="88" t="s">
        <v>82</v>
      </c>
      <c r="E1725" s="74" t="s">
        <v>83</v>
      </c>
      <c r="F1725" s="86" t="s">
        <v>225</v>
      </c>
      <c r="G1725" s="74" t="s">
        <v>209</v>
      </c>
      <c r="H1725" s="87">
        <v>44561</v>
      </c>
      <c r="I1725" s="98">
        <v>22</v>
      </c>
      <c r="J1725" s="98">
        <v>22</v>
      </c>
      <c r="K1725" s="89">
        <f t="shared" si="73"/>
        <v>1</v>
      </c>
      <c r="L1725" s="89">
        <v>10261.68</v>
      </c>
      <c r="M1725" s="89">
        <v>3274.75</v>
      </c>
      <c r="N1725" s="89">
        <v>1006.32</v>
      </c>
      <c r="O1725" s="89">
        <f t="shared" si="71"/>
        <v>14542.75</v>
      </c>
    </row>
    <row r="1726" spans="1:15">
      <c r="A1726" s="74" t="s">
        <v>308</v>
      </c>
      <c r="B1726" s="74" t="s">
        <v>226</v>
      </c>
      <c r="C1726" s="74" t="s">
        <v>227</v>
      </c>
      <c r="D1726" s="88" t="s">
        <v>82</v>
      </c>
      <c r="E1726" s="74" t="s">
        <v>83</v>
      </c>
      <c r="F1726" s="86" t="s">
        <v>208</v>
      </c>
      <c r="G1726" s="74" t="s">
        <v>209</v>
      </c>
      <c r="H1726" s="87">
        <v>44561</v>
      </c>
      <c r="I1726" s="98">
        <v>22</v>
      </c>
      <c r="J1726" s="98">
        <v>22</v>
      </c>
      <c r="K1726" s="89">
        <f t="shared" si="73"/>
        <v>1</v>
      </c>
      <c r="L1726" s="89">
        <v>9784.03</v>
      </c>
      <c r="M1726" s="89">
        <v>3043.83</v>
      </c>
      <c r="N1726" s="89">
        <v>941.08</v>
      </c>
      <c r="O1726" s="89">
        <f t="shared" si="71"/>
        <v>13768.94</v>
      </c>
    </row>
    <row r="1727" spans="1:15">
      <c r="A1727" s="74" t="s">
        <v>308</v>
      </c>
      <c r="B1727" s="74" t="s">
        <v>228</v>
      </c>
      <c r="C1727" s="74" t="s">
        <v>229</v>
      </c>
      <c r="D1727" s="88" t="s">
        <v>82</v>
      </c>
      <c r="E1727" s="74" t="s">
        <v>83</v>
      </c>
      <c r="F1727" s="86" t="s">
        <v>116</v>
      </c>
      <c r="G1727" s="74" t="s">
        <v>209</v>
      </c>
      <c r="H1727" s="87">
        <v>44561</v>
      </c>
      <c r="I1727" s="98">
        <v>22</v>
      </c>
      <c r="J1727" s="98">
        <v>22</v>
      </c>
      <c r="K1727" s="89">
        <f t="shared" si="73"/>
        <v>1</v>
      </c>
      <c r="L1727" s="89">
        <v>8444.39</v>
      </c>
      <c r="M1727" s="89">
        <v>3235.23</v>
      </c>
      <c r="N1727" s="89">
        <v>823.2</v>
      </c>
      <c r="O1727" s="89">
        <f t="shared" si="71"/>
        <v>12502.82</v>
      </c>
    </row>
    <row r="1728" spans="1:15">
      <c r="A1728" s="74" t="s">
        <v>308</v>
      </c>
      <c r="B1728" s="74" t="s">
        <v>230</v>
      </c>
      <c r="C1728" s="74" t="s">
        <v>231</v>
      </c>
      <c r="D1728" s="88" t="s">
        <v>82</v>
      </c>
      <c r="E1728" s="74" t="s">
        <v>83</v>
      </c>
      <c r="F1728" s="86" t="s">
        <v>120</v>
      </c>
      <c r="G1728" s="74" t="s">
        <v>209</v>
      </c>
      <c r="H1728" s="87">
        <v>44561</v>
      </c>
      <c r="I1728" s="98">
        <v>22</v>
      </c>
      <c r="J1728" s="98">
        <v>22</v>
      </c>
      <c r="K1728" s="89">
        <f t="shared" si="73"/>
        <v>1</v>
      </c>
      <c r="L1728" s="89">
        <v>7650.08</v>
      </c>
      <c r="M1728" s="89">
        <v>3248.32</v>
      </c>
      <c r="N1728" s="89">
        <v>730.38</v>
      </c>
      <c r="O1728" s="89">
        <f t="shared" si="71"/>
        <v>11628.78</v>
      </c>
    </row>
    <row r="1729" spans="1:15">
      <c r="A1729" s="74" t="s">
        <v>308</v>
      </c>
      <c r="B1729" s="74" t="s">
        <v>232</v>
      </c>
      <c r="C1729" s="74" t="s">
        <v>233</v>
      </c>
      <c r="D1729" s="88" t="s">
        <v>82</v>
      </c>
      <c r="E1729" s="74" t="s">
        <v>83</v>
      </c>
      <c r="F1729" s="86" t="s">
        <v>123</v>
      </c>
      <c r="G1729" s="74" t="s">
        <v>209</v>
      </c>
      <c r="H1729" s="87">
        <v>44561</v>
      </c>
      <c r="I1729" s="98">
        <v>22</v>
      </c>
      <c r="J1729" s="98">
        <v>22</v>
      </c>
      <c r="K1729" s="89">
        <f t="shared" si="73"/>
        <v>1</v>
      </c>
      <c r="L1729" s="89">
        <v>6015.76</v>
      </c>
      <c r="M1729" s="89">
        <v>3183.96</v>
      </c>
      <c r="N1729" s="89">
        <v>630.66</v>
      </c>
      <c r="O1729" s="89">
        <f t="shared" si="71"/>
        <v>9830.38</v>
      </c>
    </row>
    <row r="1730" spans="1:15">
      <c r="A1730" s="74" t="s">
        <v>308</v>
      </c>
      <c r="B1730" s="74" t="s">
        <v>234</v>
      </c>
      <c r="C1730" s="74" t="s">
        <v>235</v>
      </c>
      <c r="D1730" s="88" t="s">
        <v>82</v>
      </c>
      <c r="E1730" s="74" t="s">
        <v>83</v>
      </c>
      <c r="F1730" s="86" t="s">
        <v>116</v>
      </c>
      <c r="G1730" s="74" t="s">
        <v>209</v>
      </c>
      <c r="H1730" s="87">
        <v>44561</v>
      </c>
      <c r="I1730" s="98">
        <v>22</v>
      </c>
      <c r="J1730" s="98">
        <v>22</v>
      </c>
      <c r="K1730" s="89">
        <f t="shared" si="73"/>
        <v>1</v>
      </c>
      <c r="L1730" s="89">
        <v>8604.61</v>
      </c>
      <c r="M1730" s="89">
        <v>3025.25</v>
      </c>
      <c r="N1730" s="89">
        <v>863.28</v>
      </c>
      <c r="O1730" s="89">
        <f t="shared" si="71"/>
        <v>12493.14</v>
      </c>
    </row>
    <row r="1731" spans="1:15">
      <c r="A1731" s="74" t="s">
        <v>308</v>
      </c>
      <c r="B1731" s="74" t="s">
        <v>236</v>
      </c>
      <c r="C1731" s="74" t="s">
        <v>237</v>
      </c>
      <c r="D1731" s="88" t="s">
        <v>82</v>
      </c>
      <c r="E1731" s="74" t="s">
        <v>83</v>
      </c>
      <c r="F1731" s="86" t="s">
        <v>120</v>
      </c>
      <c r="G1731" s="74" t="s">
        <v>209</v>
      </c>
      <c r="H1731" s="87">
        <v>44561</v>
      </c>
      <c r="I1731" s="98">
        <v>22</v>
      </c>
      <c r="J1731" s="98">
        <v>22</v>
      </c>
      <c r="K1731" s="89">
        <f t="shared" si="73"/>
        <v>1</v>
      </c>
      <c r="L1731" s="89">
        <v>7474.82</v>
      </c>
      <c r="M1731" s="89">
        <v>3216.12</v>
      </c>
      <c r="N1731" s="89">
        <v>718.76</v>
      </c>
      <c r="O1731" s="89">
        <f t="shared" si="71"/>
        <v>11409.7</v>
      </c>
    </row>
    <row r="1732" spans="1:15">
      <c r="A1732" s="74" t="s">
        <v>308</v>
      </c>
      <c r="B1732" s="74" t="s">
        <v>238</v>
      </c>
      <c r="C1732" s="74" t="s">
        <v>239</v>
      </c>
      <c r="D1732" s="74" t="s">
        <v>86</v>
      </c>
      <c r="E1732" s="74" t="s">
        <v>87</v>
      </c>
      <c r="F1732" s="86" t="s">
        <v>204</v>
      </c>
      <c r="G1732" s="74" t="s">
        <v>240</v>
      </c>
      <c r="H1732" s="87">
        <v>44561</v>
      </c>
      <c r="I1732" s="98">
        <v>22</v>
      </c>
      <c r="J1732" s="98">
        <v>22</v>
      </c>
      <c r="K1732" s="89">
        <f t="shared" si="73"/>
        <v>1</v>
      </c>
      <c r="L1732" s="89">
        <v>15218.94</v>
      </c>
      <c r="M1732" s="89">
        <v>3289.54</v>
      </c>
      <c r="N1732" s="89">
        <v>1810.02</v>
      </c>
      <c r="O1732" s="89">
        <f t="shared" si="71"/>
        <v>20318.5</v>
      </c>
    </row>
    <row r="1733" spans="1:15">
      <c r="A1733" s="74" t="s">
        <v>308</v>
      </c>
      <c r="B1733" s="74" t="s">
        <v>241</v>
      </c>
      <c r="C1733" s="74" t="s">
        <v>242</v>
      </c>
      <c r="D1733" s="74" t="s">
        <v>86</v>
      </c>
      <c r="E1733" s="74" t="s">
        <v>87</v>
      </c>
      <c r="F1733" s="86" t="s">
        <v>243</v>
      </c>
      <c r="G1733" s="74" t="s">
        <v>244</v>
      </c>
      <c r="H1733" s="87">
        <v>44561</v>
      </c>
      <c r="I1733" s="98">
        <v>22</v>
      </c>
      <c r="J1733" s="98">
        <v>22</v>
      </c>
      <c r="K1733" s="89">
        <f t="shared" si="73"/>
        <v>1</v>
      </c>
      <c r="L1733" s="89">
        <v>11213.79</v>
      </c>
      <c r="M1733" s="89">
        <v>3024.16</v>
      </c>
      <c r="N1733" s="89">
        <v>1400.38</v>
      </c>
      <c r="O1733" s="89">
        <f t="shared" ref="O1733:O1796" si="74">SUM(L1733:N1733)</f>
        <v>15638.33</v>
      </c>
    </row>
    <row r="1734" spans="1:15">
      <c r="A1734" s="74" t="s">
        <v>308</v>
      </c>
      <c r="B1734" s="74" t="s">
        <v>245</v>
      </c>
      <c r="C1734" s="74" t="s">
        <v>246</v>
      </c>
      <c r="D1734" s="74" t="s">
        <v>86</v>
      </c>
      <c r="E1734" s="74" t="s">
        <v>87</v>
      </c>
      <c r="F1734" s="86" t="s">
        <v>247</v>
      </c>
      <c r="G1734" s="74" t="s">
        <v>248</v>
      </c>
      <c r="H1734" s="87">
        <v>44561</v>
      </c>
      <c r="I1734" s="98">
        <v>22</v>
      </c>
      <c r="J1734" s="98">
        <v>22</v>
      </c>
      <c r="K1734" s="89">
        <f t="shared" si="73"/>
        <v>1</v>
      </c>
      <c r="L1734" s="89">
        <v>10196.98</v>
      </c>
      <c r="M1734" s="89">
        <v>3025.65</v>
      </c>
      <c r="N1734" s="89">
        <v>1256.88</v>
      </c>
      <c r="O1734" s="89">
        <f t="shared" si="74"/>
        <v>14479.51</v>
      </c>
    </row>
    <row r="1735" spans="1:15">
      <c r="A1735" s="74" t="s">
        <v>308</v>
      </c>
      <c r="B1735" s="74" t="s">
        <v>249</v>
      </c>
      <c r="C1735" s="74" t="s">
        <v>250</v>
      </c>
      <c r="D1735" s="74" t="s">
        <v>86</v>
      </c>
      <c r="E1735" s="74" t="s">
        <v>87</v>
      </c>
      <c r="F1735" s="86" t="s">
        <v>251</v>
      </c>
      <c r="G1735" s="74" t="s">
        <v>252</v>
      </c>
      <c r="H1735" s="87">
        <v>44561</v>
      </c>
      <c r="I1735" s="98">
        <v>22</v>
      </c>
      <c r="J1735" s="98">
        <v>22</v>
      </c>
      <c r="K1735" s="89">
        <f t="shared" si="73"/>
        <v>1</v>
      </c>
      <c r="L1735" s="89">
        <v>9333.79</v>
      </c>
      <c r="M1735" s="89">
        <v>3023.59</v>
      </c>
      <c r="N1735" s="89">
        <v>1123.7</v>
      </c>
      <c r="O1735" s="89">
        <f t="shared" si="74"/>
        <v>13481.08</v>
      </c>
    </row>
    <row r="1736" spans="1:15">
      <c r="A1736" s="74" t="s">
        <v>308</v>
      </c>
      <c r="B1736" s="74" t="s">
        <v>253</v>
      </c>
      <c r="C1736" s="74" t="s">
        <v>254</v>
      </c>
      <c r="D1736" s="74" t="s">
        <v>86</v>
      </c>
      <c r="E1736" s="74" t="s">
        <v>87</v>
      </c>
      <c r="F1736" s="86" t="s">
        <v>255</v>
      </c>
      <c r="G1736" s="74" t="s">
        <v>252</v>
      </c>
      <c r="H1736" s="87">
        <v>44561</v>
      </c>
      <c r="I1736" s="98">
        <v>22</v>
      </c>
      <c r="J1736" s="98">
        <v>22</v>
      </c>
      <c r="K1736" s="89">
        <f t="shared" si="73"/>
        <v>1</v>
      </c>
      <c r="L1736" s="89">
        <v>8331.37</v>
      </c>
      <c r="M1736" s="89">
        <v>3088.26</v>
      </c>
      <c r="N1736" s="89">
        <v>1087.4</v>
      </c>
      <c r="O1736" s="89">
        <f t="shared" si="74"/>
        <v>12507.03</v>
      </c>
    </row>
    <row r="1737" spans="1:15">
      <c r="A1737" s="74" t="s">
        <v>308</v>
      </c>
      <c r="B1737" s="74" t="s">
        <v>256</v>
      </c>
      <c r="C1737" s="74" t="s">
        <v>257</v>
      </c>
      <c r="D1737" s="74" t="s">
        <v>86</v>
      </c>
      <c r="E1737" s="74" t="s">
        <v>87</v>
      </c>
      <c r="F1737" s="86" t="s">
        <v>258</v>
      </c>
      <c r="G1737" s="74" t="s">
        <v>252</v>
      </c>
      <c r="H1737" s="87">
        <v>44561</v>
      </c>
      <c r="I1737" s="98">
        <v>22</v>
      </c>
      <c r="J1737" s="98">
        <v>22</v>
      </c>
      <c r="K1737" s="89">
        <f t="shared" si="73"/>
        <v>1</v>
      </c>
      <c r="L1737" s="89">
        <v>7276.31</v>
      </c>
      <c r="M1737" s="89">
        <v>3162.37</v>
      </c>
      <c r="N1737" s="89">
        <v>935.94</v>
      </c>
      <c r="O1737" s="89">
        <f t="shared" si="74"/>
        <v>11374.62</v>
      </c>
    </row>
    <row r="1738" spans="1:15">
      <c r="A1738" s="74" t="s">
        <v>308</v>
      </c>
      <c r="B1738" s="74" t="s">
        <v>259</v>
      </c>
      <c r="C1738" s="74" t="s">
        <v>260</v>
      </c>
      <c r="D1738" s="74" t="s">
        <v>86</v>
      </c>
      <c r="E1738" s="74" t="s">
        <v>87</v>
      </c>
      <c r="F1738" s="86" t="s">
        <v>261</v>
      </c>
      <c r="G1738" s="74" t="s">
        <v>262</v>
      </c>
      <c r="H1738" s="87">
        <v>44561</v>
      </c>
      <c r="I1738" s="98">
        <v>22</v>
      </c>
      <c r="J1738" s="98">
        <v>22</v>
      </c>
      <c r="K1738" s="89">
        <f t="shared" si="73"/>
        <v>1</v>
      </c>
      <c r="L1738" s="89">
        <v>6413.19</v>
      </c>
      <c r="M1738" s="89">
        <v>3065.69</v>
      </c>
      <c r="N1738" s="89">
        <v>861.48</v>
      </c>
      <c r="O1738" s="89">
        <f t="shared" si="74"/>
        <v>10340.36</v>
      </c>
    </row>
    <row r="1739" spans="1:15">
      <c r="A1739" s="74" t="s">
        <v>308</v>
      </c>
      <c r="B1739" s="74" t="s">
        <v>263</v>
      </c>
      <c r="C1739" s="74" t="s">
        <v>264</v>
      </c>
      <c r="D1739" s="74" t="s">
        <v>86</v>
      </c>
      <c r="E1739" s="74" t="s">
        <v>88</v>
      </c>
      <c r="F1739" s="86" t="s">
        <v>149</v>
      </c>
      <c r="G1739" s="74" t="s">
        <v>265</v>
      </c>
      <c r="H1739" s="87">
        <v>44561</v>
      </c>
      <c r="I1739" s="98">
        <v>22</v>
      </c>
      <c r="J1739" s="98">
        <v>22</v>
      </c>
      <c r="K1739" s="89">
        <f t="shared" si="73"/>
        <v>1</v>
      </c>
      <c r="L1739" s="89">
        <v>14729.12</v>
      </c>
      <c r="M1739" s="89">
        <v>3244.84</v>
      </c>
      <c r="N1739" s="89">
        <v>1773.99</v>
      </c>
      <c r="O1739" s="89">
        <f t="shared" si="74"/>
        <v>19747.95</v>
      </c>
    </row>
    <row r="1740" spans="1:15">
      <c r="A1740" s="74" t="s">
        <v>308</v>
      </c>
      <c r="B1740" s="74" t="s">
        <v>266</v>
      </c>
      <c r="C1740" s="74" t="s">
        <v>267</v>
      </c>
      <c r="D1740" s="74" t="s">
        <v>86</v>
      </c>
      <c r="E1740" s="74" t="s">
        <v>88</v>
      </c>
      <c r="F1740" s="86" t="s">
        <v>243</v>
      </c>
      <c r="G1740" s="74" t="s">
        <v>268</v>
      </c>
      <c r="H1740" s="87">
        <v>44561</v>
      </c>
      <c r="I1740" s="98">
        <v>22</v>
      </c>
      <c r="J1740" s="98">
        <v>22</v>
      </c>
      <c r="K1740" s="89">
        <f t="shared" si="73"/>
        <v>1</v>
      </c>
      <c r="L1740" s="89">
        <v>10590.59</v>
      </c>
      <c r="M1740" s="89">
        <v>3140.23</v>
      </c>
      <c r="N1740" s="89">
        <v>1361.82</v>
      </c>
      <c r="O1740" s="89">
        <f t="shared" si="74"/>
        <v>15092.64</v>
      </c>
    </row>
    <row r="1741" spans="1:15">
      <c r="A1741" s="74" t="s">
        <v>308</v>
      </c>
      <c r="B1741" s="74" t="s">
        <v>269</v>
      </c>
      <c r="C1741" s="74" t="s">
        <v>270</v>
      </c>
      <c r="D1741" s="74" t="s">
        <v>86</v>
      </c>
      <c r="E1741" s="74" t="s">
        <v>88</v>
      </c>
      <c r="F1741" s="86" t="s">
        <v>247</v>
      </c>
      <c r="G1741" s="74" t="s">
        <v>268</v>
      </c>
      <c r="H1741" s="87">
        <v>44561</v>
      </c>
      <c r="I1741" s="98">
        <v>22</v>
      </c>
      <c r="J1741" s="98">
        <v>22</v>
      </c>
      <c r="K1741" s="89">
        <f t="shared" si="73"/>
        <v>1</v>
      </c>
      <c r="L1741" s="89">
        <v>10439.28</v>
      </c>
      <c r="M1741" s="89">
        <v>3138.41</v>
      </c>
      <c r="N1741" s="89">
        <v>1259.78</v>
      </c>
      <c r="O1741" s="89">
        <f t="shared" si="74"/>
        <v>14837.47</v>
      </c>
    </row>
    <row r="1742" spans="1:15">
      <c r="A1742" s="74" t="s">
        <v>308</v>
      </c>
      <c r="B1742" s="74" t="s">
        <v>271</v>
      </c>
      <c r="C1742" s="74" t="s">
        <v>272</v>
      </c>
      <c r="D1742" s="74" t="s">
        <v>86</v>
      </c>
      <c r="E1742" s="74" t="s">
        <v>88</v>
      </c>
      <c r="F1742" s="86" t="s">
        <v>251</v>
      </c>
      <c r="G1742" s="74" t="s">
        <v>268</v>
      </c>
      <c r="H1742" s="87">
        <v>44561</v>
      </c>
      <c r="I1742" s="98">
        <v>22</v>
      </c>
      <c r="J1742" s="98">
        <v>22</v>
      </c>
      <c r="K1742" s="89">
        <f t="shared" si="73"/>
        <v>1</v>
      </c>
      <c r="L1742" s="89">
        <v>9274.64</v>
      </c>
      <c r="M1742" s="89">
        <v>3212.25</v>
      </c>
      <c r="N1742" s="89">
        <v>1132.36</v>
      </c>
      <c r="O1742" s="89">
        <f t="shared" si="74"/>
        <v>13619.25</v>
      </c>
    </row>
    <row r="1743" spans="1:15">
      <c r="A1743" s="74" t="s">
        <v>308</v>
      </c>
      <c r="B1743" s="74" t="s">
        <v>273</v>
      </c>
      <c r="C1743" s="74" t="s">
        <v>274</v>
      </c>
      <c r="D1743" s="74" t="s">
        <v>86</v>
      </c>
      <c r="E1743" s="74" t="s">
        <v>88</v>
      </c>
      <c r="F1743" s="86" t="s">
        <v>255</v>
      </c>
      <c r="G1743" s="74" t="s">
        <v>268</v>
      </c>
      <c r="H1743" s="87">
        <v>44561</v>
      </c>
      <c r="I1743" s="98">
        <v>22</v>
      </c>
      <c r="J1743" s="98">
        <v>22</v>
      </c>
      <c r="K1743" s="89">
        <f t="shared" si="73"/>
        <v>1</v>
      </c>
      <c r="L1743" s="89">
        <v>8275.72</v>
      </c>
      <c r="M1743" s="89">
        <v>3040.54</v>
      </c>
      <c r="N1743" s="89">
        <v>1061.75</v>
      </c>
      <c r="O1743" s="89">
        <f t="shared" si="74"/>
        <v>12378.01</v>
      </c>
    </row>
    <row r="1744" spans="1:15">
      <c r="A1744" s="74" t="s">
        <v>308</v>
      </c>
      <c r="B1744" s="74" t="s">
        <v>275</v>
      </c>
      <c r="C1744" s="74" t="s">
        <v>276</v>
      </c>
      <c r="D1744" s="74" t="s">
        <v>86</v>
      </c>
      <c r="E1744" s="74" t="s">
        <v>88</v>
      </c>
      <c r="F1744" s="86" t="s">
        <v>258</v>
      </c>
      <c r="G1744" s="74" t="s">
        <v>268</v>
      </c>
      <c r="H1744" s="87">
        <v>44561</v>
      </c>
      <c r="I1744" s="98">
        <v>22</v>
      </c>
      <c r="J1744" s="98">
        <v>22</v>
      </c>
      <c r="K1744" s="89">
        <f t="shared" si="73"/>
        <v>1</v>
      </c>
      <c r="L1744" s="89">
        <v>7243.74</v>
      </c>
      <c r="M1744" s="89">
        <v>3160.29</v>
      </c>
      <c r="N1744" s="89">
        <v>939.57</v>
      </c>
      <c r="O1744" s="89">
        <f t="shared" si="74"/>
        <v>11343.6</v>
      </c>
    </row>
    <row r="1745" spans="1:15">
      <c r="A1745" s="74" t="s">
        <v>308</v>
      </c>
      <c r="B1745" s="74" t="s">
        <v>277</v>
      </c>
      <c r="C1745" s="74" t="s">
        <v>278</v>
      </c>
      <c r="D1745" s="74" t="s">
        <v>86</v>
      </c>
      <c r="E1745" s="74" t="s">
        <v>89</v>
      </c>
      <c r="F1745" s="86" t="s">
        <v>279</v>
      </c>
      <c r="G1745" s="74" t="s">
        <v>280</v>
      </c>
      <c r="H1745" s="87">
        <v>44561</v>
      </c>
      <c r="I1745" s="98">
        <v>22</v>
      </c>
      <c r="J1745" s="98">
        <v>22</v>
      </c>
      <c r="K1745" s="89">
        <f t="shared" si="73"/>
        <v>1</v>
      </c>
      <c r="L1745" s="89">
        <v>12184.55</v>
      </c>
      <c r="M1745" s="89">
        <v>3132.89</v>
      </c>
      <c r="N1745" s="89">
        <v>1645.81</v>
      </c>
      <c r="O1745" s="89">
        <f t="shared" si="74"/>
        <v>16963.25</v>
      </c>
    </row>
    <row r="1746" spans="1:15">
      <c r="A1746" s="74" t="s">
        <v>308</v>
      </c>
      <c r="B1746" s="74" t="s">
        <v>281</v>
      </c>
      <c r="C1746" s="74" t="s">
        <v>282</v>
      </c>
      <c r="D1746" s="74" t="s">
        <v>86</v>
      </c>
      <c r="E1746" s="74" t="s">
        <v>89</v>
      </c>
      <c r="F1746" s="86" t="s">
        <v>225</v>
      </c>
      <c r="G1746" s="74" t="s">
        <v>283</v>
      </c>
      <c r="H1746" s="87">
        <v>44561</v>
      </c>
      <c r="I1746" s="98">
        <v>22</v>
      </c>
      <c r="J1746" s="98">
        <v>22</v>
      </c>
      <c r="K1746" s="89">
        <f t="shared" si="73"/>
        <v>1</v>
      </c>
      <c r="L1746" s="89">
        <v>8609.9</v>
      </c>
      <c r="M1746" s="89">
        <v>3116.03</v>
      </c>
      <c r="N1746" s="89">
        <v>1072.82</v>
      </c>
      <c r="O1746" s="89">
        <f t="shared" si="74"/>
        <v>12798.75</v>
      </c>
    </row>
    <row r="1747" spans="1:15">
      <c r="A1747" s="74" t="s">
        <v>308</v>
      </c>
      <c r="B1747" s="74" t="s">
        <v>284</v>
      </c>
      <c r="C1747" s="74" t="s">
        <v>285</v>
      </c>
      <c r="D1747" s="74" t="s">
        <v>86</v>
      </c>
      <c r="E1747" s="74" t="s">
        <v>89</v>
      </c>
      <c r="F1747" s="86" t="s">
        <v>208</v>
      </c>
      <c r="G1747" s="74" t="s">
        <v>283</v>
      </c>
      <c r="H1747" s="87">
        <v>44561</v>
      </c>
      <c r="I1747" s="98">
        <v>22</v>
      </c>
      <c r="J1747" s="98">
        <v>22</v>
      </c>
      <c r="K1747" s="89">
        <f t="shared" si="73"/>
        <v>1</v>
      </c>
      <c r="L1747" s="89">
        <v>7729.55</v>
      </c>
      <c r="M1747" s="89">
        <v>3276.73</v>
      </c>
      <c r="N1747" s="89">
        <v>967.71</v>
      </c>
      <c r="O1747" s="89">
        <f t="shared" si="74"/>
        <v>11973.99</v>
      </c>
    </row>
    <row r="1748" spans="1:15">
      <c r="A1748" s="74" t="s">
        <v>308</v>
      </c>
      <c r="B1748" s="74" t="s">
        <v>286</v>
      </c>
      <c r="C1748" s="74" t="s">
        <v>287</v>
      </c>
      <c r="D1748" s="74" t="s">
        <v>82</v>
      </c>
      <c r="E1748" s="88" t="s">
        <v>85</v>
      </c>
      <c r="F1748" s="86" t="s">
        <v>288</v>
      </c>
      <c r="G1748" s="74" t="s">
        <v>289</v>
      </c>
      <c r="H1748" s="87">
        <v>44561</v>
      </c>
      <c r="I1748" s="98">
        <v>22</v>
      </c>
      <c r="J1748" s="98">
        <v>22</v>
      </c>
      <c r="K1748" s="89">
        <f t="shared" ref="K1748:K1756" si="75">I1748/J1748</f>
        <v>1</v>
      </c>
      <c r="L1748" s="89">
        <v>13116.21</v>
      </c>
      <c r="M1748" s="89">
        <v>3196.33</v>
      </c>
      <c r="N1748" s="89">
        <v>1217.59</v>
      </c>
      <c r="O1748" s="89">
        <f t="shared" si="74"/>
        <v>17530.13</v>
      </c>
    </row>
    <row r="1749" spans="1:15">
      <c r="A1749" s="74" t="s">
        <v>308</v>
      </c>
      <c r="B1749" s="74" t="s">
        <v>290</v>
      </c>
      <c r="C1749" s="74" t="s">
        <v>291</v>
      </c>
      <c r="D1749" s="74" t="s">
        <v>82</v>
      </c>
      <c r="E1749" s="88" t="s">
        <v>85</v>
      </c>
      <c r="F1749" s="86" t="s">
        <v>218</v>
      </c>
      <c r="G1749" s="74" t="s">
        <v>289</v>
      </c>
      <c r="H1749" s="87">
        <v>44561</v>
      </c>
      <c r="I1749" s="98">
        <v>22</v>
      </c>
      <c r="J1749" s="98">
        <v>22</v>
      </c>
      <c r="K1749" s="89">
        <f t="shared" si="75"/>
        <v>1</v>
      </c>
      <c r="L1749" s="89">
        <v>11498.28</v>
      </c>
      <c r="M1749" s="89">
        <v>3110.96</v>
      </c>
      <c r="N1749" s="89">
        <v>1186.44</v>
      </c>
      <c r="O1749" s="89">
        <f t="shared" si="74"/>
        <v>15795.68</v>
      </c>
    </row>
    <row r="1750" spans="1:15">
      <c r="A1750" s="74" t="s">
        <v>308</v>
      </c>
      <c r="B1750" s="74" t="s">
        <v>292</v>
      </c>
      <c r="C1750" s="74" t="s">
        <v>293</v>
      </c>
      <c r="D1750" s="74" t="s">
        <v>82</v>
      </c>
      <c r="E1750" s="88" t="s">
        <v>85</v>
      </c>
      <c r="F1750" s="86" t="s">
        <v>225</v>
      </c>
      <c r="G1750" s="74" t="s">
        <v>289</v>
      </c>
      <c r="H1750" s="87">
        <v>44561</v>
      </c>
      <c r="I1750" s="98">
        <v>22</v>
      </c>
      <c r="J1750" s="98">
        <v>22</v>
      </c>
      <c r="K1750" s="89">
        <f t="shared" si="75"/>
        <v>1</v>
      </c>
      <c r="L1750" s="89">
        <v>10375.63</v>
      </c>
      <c r="M1750" s="89">
        <v>3048.86</v>
      </c>
      <c r="N1750" s="89">
        <v>1082.08</v>
      </c>
      <c r="O1750" s="89">
        <f t="shared" si="74"/>
        <v>14506.57</v>
      </c>
    </row>
    <row r="1751" spans="1:15">
      <c r="A1751" s="74" t="s">
        <v>308</v>
      </c>
      <c r="B1751" s="74" t="s">
        <v>294</v>
      </c>
      <c r="C1751" s="74" t="s">
        <v>295</v>
      </c>
      <c r="D1751" s="74" t="s">
        <v>82</v>
      </c>
      <c r="E1751" s="88" t="s">
        <v>85</v>
      </c>
      <c r="F1751" s="86" t="s">
        <v>208</v>
      </c>
      <c r="G1751" s="74" t="s">
        <v>289</v>
      </c>
      <c r="H1751" s="87">
        <v>44561</v>
      </c>
      <c r="I1751" s="98">
        <v>22</v>
      </c>
      <c r="J1751" s="98">
        <v>22</v>
      </c>
      <c r="K1751" s="89">
        <f t="shared" si="75"/>
        <v>1</v>
      </c>
      <c r="L1751" s="89">
        <v>9418.26</v>
      </c>
      <c r="M1751" s="89">
        <v>3043.64</v>
      </c>
      <c r="N1751" s="89">
        <v>928.43</v>
      </c>
      <c r="O1751" s="89">
        <f t="shared" si="74"/>
        <v>13390.33</v>
      </c>
    </row>
    <row r="1752" spans="1:15">
      <c r="A1752" s="74" t="s">
        <v>308</v>
      </c>
      <c r="B1752" s="74" t="s">
        <v>296</v>
      </c>
      <c r="C1752" s="74" t="s">
        <v>297</v>
      </c>
      <c r="D1752" s="74" t="s">
        <v>82</v>
      </c>
      <c r="E1752" s="88" t="s">
        <v>85</v>
      </c>
      <c r="F1752" s="86" t="s">
        <v>116</v>
      </c>
      <c r="G1752" s="74" t="s">
        <v>289</v>
      </c>
      <c r="H1752" s="87">
        <v>44561</v>
      </c>
      <c r="I1752" s="98">
        <v>22</v>
      </c>
      <c r="J1752" s="98">
        <v>22</v>
      </c>
      <c r="K1752" s="89">
        <f t="shared" si="75"/>
        <v>1</v>
      </c>
      <c r="L1752" s="89">
        <v>8074.43</v>
      </c>
      <c r="M1752" s="89">
        <v>3137.08</v>
      </c>
      <c r="N1752" s="89">
        <v>809.49</v>
      </c>
      <c r="O1752" s="89">
        <f t="shared" si="74"/>
        <v>12021</v>
      </c>
    </row>
    <row r="1753" spans="1:15">
      <c r="A1753" s="74" t="s">
        <v>308</v>
      </c>
      <c r="B1753" s="74" t="s">
        <v>298</v>
      </c>
      <c r="C1753" s="74" t="s">
        <v>299</v>
      </c>
      <c r="D1753" s="74" t="s">
        <v>82</v>
      </c>
      <c r="E1753" s="88" t="s">
        <v>85</v>
      </c>
      <c r="F1753" s="86" t="s">
        <v>279</v>
      </c>
      <c r="G1753" s="74" t="s">
        <v>300</v>
      </c>
      <c r="H1753" s="87">
        <v>44561</v>
      </c>
      <c r="I1753" s="98">
        <v>22</v>
      </c>
      <c r="J1753" s="98">
        <v>22</v>
      </c>
      <c r="K1753" s="89">
        <f t="shared" si="75"/>
        <v>1</v>
      </c>
      <c r="L1753" s="89">
        <v>15154.59</v>
      </c>
      <c r="M1753" s="89">
        <v>3261.69</v>
      </c>
      <c r="N1753" s="89">
        <v>1537.21</v>
      </c>
      <c r="O1753" s="89">
        <f t="shared" si="74"/>
        <v>19953.49</v>
      </c>
    </row>
    <row r="1754" spans="1:15">
      <c r="A1754" s="74" t="s">
        <v>308</v>
      </c>
      <c r="B1754" s="74" t="s">
        <v>301</v>
      </c>
      <c r="C1754" s="74" t="s">
        <v>302</v>
      </c>
      <c r="D1754" s="74" t="s">
        <v>82</v>
      </c>
      <c r="E1754" s="88" t="s">
        <v>85</v>
      </c>
      <c r="F1754" s="86" t="s">
        <v>279</v>
      </c>
      <c r="G1754" s="74" t="s">
        <v>303</v>
      </c>
      <c r="H1754" s="87">
        <v>44561</v>
      </c>
      <c r="I1754" s="98">
        <v>22</v>
      </c>
      <c r="J1754" s="98">
        <v>22</v>
      </c>
      <c r="K1754" s="89">
        <f t="shared" si="75"/>
        <v>1</v>
      </c>
      <c r="L1754" s="89">
        <v>15057.91</v>
      </c>
      <c r="M1754" s="89">
        <v>3012.71</v>
      </c>
      <c r="N1754" s="89">
        <v>1537.24</v>
      </c>
      <c r="O1754" s="89">
        <f t="shared" si="74"/>
        <v>19607.86</v>
      </c>
    </row>
    <row r="1755" spans="1:15">
      <c r="A1755" s="74" t="s">
        <v>308</v>
      </c>
      <c r="B1755" s="74" t="s">
        <v>304</v>
      </c>
      <c r="C1755" s="74" t="s">
        <v>305</v>
      </c>
      <c r="D1755" s="74" t="s">
        <v>86</v>
      </c>
      <c r="E1755" s="74" t="s">
        <v>90</v>
      </c>
      <c r="F1755" s="86" t="s">
        <v>306</v>
      </c>
      <c r="G1755" s="74" t="s">
        <v>307</v>
      </c>
      <c r="H1755" s="87">
        <v>44561</v>
      </c>
      <c r="I1755" s="98">
        <v>22</v>
      </c>
      <c r="J1755" s="98">
        <v>22</v>
      </c>
      <c r="K1755" s="89">
        <f t="shared" si="75"/>
        <v>1</v>
      </c>
      <c r="L1755" s="89">
        <v>17116.08</v>
      </c>
      <c r="M1755" s="89">
        <v>3145.1</v>
      </c>
      <c r="N1755" s="89">
        <v>2143.48</v>
      </c>
      <c r="O1755" s="89">
        <f t="shared" si="74"/>
        <v>22404.66</v>
      </c>
    </row>
    <row r="1756" spans="1:15">
      <c r="A1756" s="74" t="s">
        <v>309</v>
      </c>
      <c r="B1756" s="74" t="s">
        <v>114</v>
      </c>
      <c r="C1756" s="74" t="s">
        <v>115</v>
      </c>
      <c r="D1756" s="74" t="s">
        <v>79</v>
      </c>
      <c r="E1756" s="74" t="s">
        <v>80</v>
      </c>
      <c r="F1756" s="86" t="s">
        <v>116</v>
      </c>
      <c r="G1756" s="74" t="s">
        <v>117</v>
      </c>
      <c r="H1756" s="87">
        <v>44592</v>
      </c>
      <c r="I1756" s="98">
        <v>23</v>
      </c>
      <c r="J1756" s="98">
        <v>23</v>
      </c>
      <c r="K1756" s="89">
        <f t="shared" si="75"/>
        <v>1</v>
      </c>
      <c r="L1756" s="89">
        <v>8507.63</v>
      </c>
      <c r="M1756" s="89">
        <v>3125.03</v>
      </c>
      <c r="N1756" s="89">
        <v>852.32</v>
      </c>
      <c r="O1756" s="89">
        <f t="shared" si="74"/>
        <v>12484.98</v>
      </c>
    </row>
    <row r="1757" spans="1:15">
      <c r="A1757" s="74" t="s">
        <v>309</v>
      </c>
      <c r="B1757" s="74" t="s">
        <v>118</v>
      </c>
      <c r="C1757" s="74" t="s">
        <v>119</v>
      </c>
      <c r="D1757" s="74" t="s">
        <v>79</v>
      </c>
      <c r="E1757" s="74" t="s">
        <v>80</v>
      </c>
      <c r="F1757" s="86" t="s">
        <v>120</v>
      </c>
      <c r="G1757" s="74" t="s">
        <v>117</v>
      </c>
      <c r="H1757" s="87">
        <v>44592</v>
      </c>
      <c r="I1757" s="98">
        <v>23</v>
      </c>
      <c r="J1757" s="98">
        <v>23</v>
      </c>
      <c r="K1757" s="89">
        <f t="shared" ref="K1757:K1820" si="76">I1757/J1757</f>
        <v>1</v>
      </c>
      <c r="L1757" s="89">
        <v>7503.67</v>
      </c>
      <c r="M1757" s="89">
        <v>3043.49</v>
      </c>
      <c r="N1757" s="89">
        <v>745.04</v>
      </c>
      <c r="O1757" s="89">
        <f t="shared" si="74"/>
        <v>11292.2</v>
      </c>
    </row>
    <row r="1758" spans="1:15">
      <c r="A1758" s="74" t="s">
        <v>309</v>
      </c>
      <c r="B1758" s="74" t="s">
        <v>121</v>
      </c>
      <c r="C1758" s="74" t="s">
        <v>122</v>
      </c>
      <c r="D1758" s="74" t="s">
        <v>79</v>
      </c>
      <c r="E1758" s="74" t="s">
        <v>80</v>
      </c>
      <c r="F1758" s="86" t="s">
        <v>123</v>
      </c>
      <c r="G1758" s="74" t="s">
        <v>117</v>
      </c>
      <c r="H1758" s="87">
        <v>44592</v>
      </c>
      <c r="I1758" s="98">
        <v>23</v>
      </c>
      <c r="J1758" s="98">
        <v>23</v>
      </c>
      <c r="K1758" s="89">
        <f t="shared" si="76"/>
        <v>1</v>
      </c>
      <c r="L1758" s="89">
        <v>6335.93</v>
      </c>
      <c r="M1758" s="89">
        <v>3222.04</v>
      </c>
      <c r="N1758" s="89">
        <v>601.58</v>
      </c>
      <c r="O1758" s="89">
        <f t="shared" si="74"/>
        <v>10159.55</v>
      </c>
    </row>
    <row r="1759" spans="1:15">
      <c r="A1759" s="74" t="s">
        <v>309</v>
      </c>
      <c r="B1759" s="74" t="s">
        <v>124</v>
      </c>
      <c r="C1759" s="74" t="s">
        <v>125</v>
      </c>
      <c r="D1759" s="74" t="s">
        <v>79</v>
      </c>
      <c r="E1759" s="74" t="s">
        <v>80</v>
      </c>
      <c r="F1759" s="86" t="s">
        <v>116</v>
      </c>
      <c r="G1759" s="74" t="s">
        <v>117</v>
      </c>
      <c r="H1759" s="87">
        <v>44592</v>
      </c>
      <c r="I1759" s="98">
        <v>23</v>
      </c>
      <c r="J1759" s="98">
        <v>23</v>
      </c>
      <c r="K1759" s="89">
        <f t="shared" si="76"/>
        <v>1</v>
      </c>
      <c r="L1759" s="89">
        <v>8462.26</v>
      </c>
      <c r="M1759" s="89">
        <v>3107.29</v>
      </c>
      <c r="N1759" s="89">
        <v>845.22</v>
      </c>
      <c r="O1759" s="89">
        <f t="shared" si="74"/>
        <v>12414.77</v>
      </c>
    </row>
    <row r="1760" spans="1:15">
      <c r="A1760" s="74" t="s">
        <v>309</v>
      </c>
      <c r="B1760" s="74" t="s">
        <v>126</v>
      </c>
      <c r="C1760" s="74" t="s">
        <v>127</v>
      </c>
      <c r="D1760" s="74" t="s">
        <v>79</v>
      </c>
      <c r="E1760" s="74" t="s">
        <v>80</v>
      </c>
      <c r="F1760" s="86" t="s">
        <v>120</v>
      </c>
      <c r="G1760" s="74" t="s">
        <v>117</v>
      </c>
      <c r="H1760" s="87">
        <v>44592</v>
      </c>
      <c r="I1760" s="98">
        <v>23</v>
      </c>
      <c r="J1760" s="98">
        <v>23</v>
      </c>
      <c r="K1760" s="89">
        <f t="shared" si="76"/>
        <v>1</v>
      </c>
      <c r="L1760" s="89">
        <v>7260.01</v>
      </c>
      <c r="M1760" s="89">
        <v>3255.48</v>
      </c>
      <c r="N1760" s="89">
        <v>744.45</v>
      </c>
      <c r="O1760" s="89">
        <f t="shared" si="74"/>
        <v>11259.94</v>
      </c>
    </row>
    <row r="1761" spans="1:15">
      <c r="A1761" s="74" t="s">
        <v>309</v>
      </c>
      <c r="B1761" s="74" t="s">
        <v>128</v>
      </c>
      <c r="C1761" s="74" t="s">
        <v>129</v>
      </c>
      <c r="D1761" s="74" t="s">
        <v>79</v>
      </c>
      <c r="E1761" s="74" t="s">
        <v>80</v>
      </c>
      <c r="F1761" s="86" t="s">
        <v>123</v>
      </c>
      <c r="G1761" s="74" t="s">
        <v>117</v>
      </c>
      <c r="H1761" s="87">
        <v>44592</v>
      </c>
      <c r="I1761" s="98">
        <v>23</v>
      </c>
      <c r="J1761" s="98">
        <v>23</v>
      </c>
      <c r="K1761" s="89">
        <f t="shared" si="76"/>
        <v>1</v>
      </c>
      <c r="L1761" s="89">
        <v>6548.23</v>
      </c>
      <c r="M1761" s="89">
        <v>3293.38</v>
      </c>
      <c r="N1761" s="89">
        <v>611.36</v>
      </c>
      <c r="O1761" s="89">
        <f t="shared" si="74"/>
        <v>10452.97</v>
      </c>
    </row>
    <row r="1762" spans="1:15">
      <c r="A1762" s="74" t="s">
        <v>309</v>
      </c>
      <c r="B1762" s="74" t="s">
        <v>130</v>
      </c>
      <c r="C1762" s="74" t="s">
        <v>131</v>
      </c>
      <c r="D1762" s="74" t="s">
        <v>79</v>
      </c>
      <c r="E1762" s="74" t="s">
        <v>80</v>
      </c>
      <c r="F1762" s="86" t="s">
        <v>116</v>
      </c>
      <c r="G1762" s="74" t="s">
        <v>117</v>
      </c>
      <c r="H1762" s="87">
        <v>44592</v>
      </c>
      <c r="I1762" s="98">
        <v>23</v>
      </c>
      <c r="J1762" s="98">
        <v>23</v>
      </c>
      <c r="K1762" s="89">
        <f t="shared" si="76"/>
        <v>1</v>
      </c>
      <c r="L1762" s="89">
        <v>8157.62</v>
      </c>
      <c r="M1762" s="89">
        <v>3127.68</v>
      </c>
      <c r="N1762" s="89">
        <v>829.7</v>
      </c>
      <c r="O1762" s="89">
        <f t="shared" si="74"/>
        <v>12115</v>
      </c>
    </row>
    <row r="1763" spans="1:15">
      <c r="A1763" s="74" t="s">
        <v>309</v>
      </c>
      <c r="B1763" s="74" t="s">
        <v>132</v>
      </c>
      <c r="C1763" s="74" t="s">
        <v>133</v>
      </c>
      <c r="D1763" s="74" t="s">
        <v>79</v>
      </c>
      <c r="E1763" s="74" t="s">
        <v>80</v>
      </c>
      <c r="F1763" s="86" t="s">
        <v>120</v>
      </c>
      <c r="G1763" s="74" t="s">
        <v>117</v>
      </c>
      <c r="H1763" s="87">
        <v>44592</v>
      </c>
      <c r="I1763" s="98">
        <v>23</v>
      </c>
      <c r="J1763" s="98">
        <v>23</v>
      </c>
      <c r="K1763" s="89">
        <f t="shared" si="76"/>
        <v>1</v>
      </c>
      <c r="L1763" s="89">
        <v>7378.91</v>
      </c>
      <c r="M1763" s="89">
        <v>3276.2</v>
      </c>
      <c r="N1763" s="89">
        <v>769.87</v>
      </c>
      <c r="O1763" s="89">
        <f t="shared" si="74"/>
        <v>11424.98</v>
      </c>
    </row>
    <row r="1764" spans="1:15">
      <c r="A1764" s="74" t="s">
        <v>309</v>
      </c>
      <c r="B1764" s="74" t="s">
        <v>134</v>
      </c>
      <c r="C1764" s="74" t="s">
        <v>135</v>
      </c>
      <c r="D1764" s="74" t="s">
        <v>79</v>
      </c>
      <c r="E1764" s="74" t="s">
        <v>80</v>
      </c>
      <c r="F1764" s="86" t="s">
        <v>123</v>
      </c>
      <c r="G1764" s="74" t="s">
        <v>117</v>
      </c>
      <c r="H1764" s="87">
        <v>44592</v>
      </c>
      <c r="I1764" s="98">
        <v>23</v>
      </c>
      <c r="J1764" s="98">
        <v>23</v>
      </c>
      <c r="K1764" s="89">
        <f t="shared" si="76"/>
        <v>1</v>
      </c>
      <c r="L1764" s="89">
        <v>6081.64</v>
      </c>
      <c r="M1764" s="89">
        <v>3039.66</v>
      </c>
      <c r="N1764" s="89">
        <v>651.74</v>
      </c>
      <c r="O1764" s="89">
        <f t="shared" si="74"/>
        <v>9773.04</v>
      </c>
    </row>
    <row r="1765" spans="1:15">
      <c r="A1765" s="74" t="s">
        <v>309</v>
      </c>
      <c r="B1765" s="74" t="s">
        <v>136</v>
      </c>
      <c r="C1765" s="74" t="s">
        <v>137</v>
      </c>
      <c r="D1765" s="74" t="s">
        <v>79</v>
      </c>
      <c r="E1765" s="74" t="s">
        <v>80</v>
      </c>
      <c r="F1765" s="86" t="s">
        <v>116</v>
      </c>
      <c r="G1765" s="74" t="s">
        <v>138</v>
      </c>
      <c r="H1765" s="87">
        <v>44592</v>
      </c>
      <c r="I1765" s="98">
        <v>23</v>
      </c>
      <c r="J1765" s="98">
        <v>23</v>
      </c>
      <c r="K1765" s="89">
        <f t="shared" si="76"/>
        <v>1</v>
      </c>
      <c r="L1765" s="89">
        <v>8217.82</v>
      </c>
      <c r="M1765" s="89">
        <v>3204.21</v>
      </c>
      <c r="N1765" s="89">
        <v>865.73</v>
      </c>
      <c r="O1765" s="89">
        <f t="shared" si="74"/>
        <v>12287.76</v>
      </c>
    </row>
    <row r="1766" spans="1:15">
      <c r="A1766" s="74" t="s">
        <v>309</v>
      </c>
      <c r="B1766" s="74" t="s">
        <v>139</v>
      </c>
      <c r="C1766" s="74" t="s">
        <v>140</v>
      </c>
      <c r="D1766" s="74" t="s">
        <v>79</v>
      </c>
      <c r="E1766" s="74" t="s">
        <v>80</v>
      </c>
      <c r="F1766" s="86" t="s">
        <v>120</v>
      </c>
      <c r="G1766" s="74" t="s">
        <v>138</v>
      </c>
      <c r="H1766" s="87">
        <v>44592</v>
      </c>
      <c r="I1766" s="98">
        <v>23</v>
      </c>
      <c r="J1766" s="98">
        <v>23</v>
      </c>
      <c r="K1766" s="89">
        <f t="shared" si="76"/>
        <v>1</v>
      </c>
      <c r="L1766" s="89">
        <v>7192.48</v>
      </c>
      <c r="M1766" s="89">
        <v>3067.21</v>
      </c>
      <c r="N1766" s="89">
        <v>732.03</v>
      </c>
      <c r="O1766" s="89">
        <f t="shared" si="74"/>
        <v>10991.72</v>
      </c>
    </row>
    <row r="1767" spans="1:15">
      <c r="A1767" s="74" t="s">
        <v>309</v>
      </c>
      <c r="B1767" s="74" t="s">
        <v>141</v>
      </c>
      <c r="C1767" s="74" t="s">
        <v>142</v>
      </c>
      <c r="D1767" s="74" t="s">
        <v>79</v>
      </c>
      <c r="E1767" s="74" t="s">
        <v>80</v>
      </c>
      <c r="F1767" s="86" t="s">
        <v>123</v>
      </c>
      <c r="G1767" s="74" t="s">
        <v>138</v>
      </c>
      <c r="H1767" s="87">
        <v>44592</v>
      </c>
      <c r="I1767" s="98">
        <v>23</v>
      </c>
      <c r="J1767" s="98">
        <v>23</v>
      </c>
      <c r="K1767" s="89">
        <f t="shared" si="76"/>
        <v>1</v>
      </c>
      <c r="L1767" s="89">
        <v>6103.31</v>
      </c>
      <c r="M1767" s="89">
        <v>3148.8</v>
      </c>
      <c r="N1767" s="89">
        <v>614.14</v>
      </c>
      <c r="O1767" s="89">
        <f t="shared" si="74"/>
        <v>9866.25</v>
      </c>
    </row>
    <row r="1768" spans="1:15">
      <c r="A1768" s="74" t="s">
        <v>309</v>
      </c>
      <c r="B1768" s="74" t="s">
        <v>143</v>
      </c>
      <c r="C1768" s="74" t="s">
        <v>144</v>
      </c>
      <c r="D1768" s="74" t="s">
        <v>79</v>
      </c>
      <c r="E1768" s="74" t="s">
        <v>80</v>
      </c>
      <c r="F1768" s="86" t="s">
        <v>145</v>
      </c>
      <c r="G1768" s="74" t="s">
        <v>146</v>
      </c>
      <c r="H1768" s="87">
        <v>44592</v>
      </c>
      <c r="I1768" s="98">
        <v>23</v>
      </c>
      <c r="J1768" s="98">
        <v>23</v>
      </c>
      <c r="K1768" s="89">
        <f t="shared" si="76"/>
        <v>1</v>
      </c>
      <c r="L1768" s="89">
        <v>20479.68</v>
      </c>
      <c r="M1768" s="89">
        <v>3103.48</v>
      </c>
      <c r="N1768" s="89">
        <v>1963.07</v>
      </c>
      <c r="O1768" s="89">
        <f t="shared" si="74"/>
        <v>25546.23</v>
      </c>
    </row>
    <row r="1769" spans="1:15">
      <c r="A1769" s="74" t="s">
        <v>309</v>
      </c>
      <c r="B1769" s="74" t="s">
        <v>147</v>
      </c>
      <c r="C1769" s="74" t="s">
        <v>148</v>
      </c>
      <c r="D1769" s="74" t="s">
        <v>79</v>
      </c>
      <c r="E1769" s="74" t="s">
        <v>80</v>
      </c>
      <c r="F1769" s="86" t="s">
        <v>149</v>
      </c>
      <c r="G1769" s="74" t="s">
        <v>150</v>
      </c>
      <c r="H1769" s="87">
        <v>44592</v>
      </c>
      <c r="I1769" s="98">
        <v>23</v>
      </c>
      <c r="J1769" s="98">
        <v>23</v>
      </c>
      <c r="K1769" s="89">
        <f t="shared" si="76"/>
        <v>1</v>
      </c>
      <c r="L1769" s="89">
        <v>17062.05</v>
      </c>
      <c r="M1769" s="89">
        <v>3177.29</v>
      </c>
      <c r="N1769" s="89">
        <v>1706.17</v>
      </c>
      <c r="O1769" s="89">
        <f t="shared" si="74"/>
        <v>21945.51</v>
      </c>
    </row>
    <row r="1770" spans="1:15">
      <c r="A1770" s="74" t="s">
        <v>309</v>
      </c>
      <c r="B1770" s="74" t="s">
        <v>151</v>
      </c>
      <c r="C1770" s="74" t="s">
        <v>152</v>
      </c>
      <c r="D1770" s="74" t="s">
        <v>79</v>
      </c>
      <c r="E1770" s="74" t="s">
        <v>81</v>
      </c>
      <c r="F1770" s="86" t="s">
        <v>123</v>
      </c>
      <c r="G1770" s="74" t="s">
        <v>153</v>
      </c>
      <c r="H1770" s="87">
        <v>44592</v>
      </c>
      <c r="I1770" s="98">
        <v>23</v>
      </c>
      <c r="J1770" s="98">
        <v>23</v>
      </c>
      <c r="K1770" s="89">
        <f t="shared" si="76"/>
        <v>1</v>
      </c>
      <c r="L1770" s="89">
        <v>6399.35</v>
      </c>
      <c r="M1770" s="89">
        <v>3131.24</v>
      </c>
      <c r="N1770" s="89">
        <v>610.58</v>
      </c>
      <c r="O1770" s="89">
        <f t="shared" si="74"/>
        <v>10141.17</v>
      </c>
    </row>
    <row r="1771" spans="1:15">
      <c r="A1771" s="74" t="s">
        <v>309</v>
      </c>
      <c r="B1771" s="74" t="s">
        <v>154</v>
      </c>
      <c r="C1771" s="74" t="s">
        <v>155</v>
      </c>
      <c r="D1771" s="74" t="s">
        <v>79</v>
      </c>
      <c r="E1771" s="74" t="s">
        <v>81</v>
      </c>
      <c r="F1771" s="86" t="s">
        <v>156</v>
      </c>
      <c r="G1771" s="74" t="s">
        <v>157</v>
      </c>
      <c r="H1771" s="87">
        <v>44592</v>
      </c>
      <c r="I1771" s="98">
        <v>23</v>
      </c>
      <c r="J1771" s="98">
        <v>23</v>
      </c>
      <c r="K1771" s="89">
        <f t="shared" si="76"/>
        <v>1</v>
      </c>
      <c r="L1771" s="89">
        <v>5277</v>
      </c>
      <c r="M1771" s="89">
        <v>3178.47</v>
      </c>
      <c r="N1771" s="89">
        <v>541.74</v>
      </c>
      <c r="O1771" s="89">
        <f t="shared" si="74"/>
        <v>8997.21</v>
      </c>
    </row>
    <row r="1772" spans="1:15">
      <c r="A1772" s="74" t="s">
        <v>309</v>
      </c>
      <c r="B1772" s="74" t="s">
        <v>158</v>
      </c>
      <c r="C1772" s="74" t="s">
        <v>159</v>
      </c>
      <c r="D1772" s="74" t="s">
        <v>79</v>
      </c>
      <c r="E1772" s="74" t="s">
        <v>81</v>
      </c>
      <c r="F1772" s="86" t="s">
        <v>160</v>
      </c>
      <c r="G1772" s="74" t="s">
        <v>161</v>
      </c>
      <c r="H1772" s="87">
        <v>44592</v>
      </c>
      <c r="I1772" s="98">
        <v>23</v>
      </c>
      <c r="J1772" s="98">
        <v>23</v>
      </c>
      <c r="K1772" s="89">
        <f t="shared" si="76"/>
        <v>1</v>
      </c>
      <c r="L1772" s="89">
        <v>4232.4</v>
      </c>
      <c r="M1772" s="89">
        <v>3017.28</v>
      </c>
      <c r="N1772" s="89">
        <v>439.49</v>
      </c>
      <c r="O1772" s="89">
        <f t="shared" si="74"/>
        <v>7689.17</v>
      </c>
    </row>
    <row r="1773" spans="1:15">
      <c r="A1773" s="74" t="s">
        <v>309</v>
      </c>
      <c r="B1773" s="74" t="s">
        <v>162</v>
      </c>
      <c r="C1773" s="74" t="s">
        <v>163</v>
      </c>
      <c r="D1773" s="74" t="s">
        <v>79</v>
      </c>
      <c r="E1773" s="74" t="s">
        <v>81</v>
      </c>
      <c r="F1773" s="86" t="s">
        <v>123</v>
      </c>
      <c r="G1773" s="74" t="s">
        <v>153</v>
      </c>
      <c r="H1773" s="87">
        <v>44592</v>
      </c>
      <c r="I1773" s="98">
        <v>23</v>
      </c>
      <c r="J1773" s="98">
        <v>23</v>
      </c>
      <c r="K1773" s="89">
        <f t="shared" si="76"/>
        <v>1</v>
      </c>
      <c r="L1773" s="89">
        <v>6546.76</v>
      </c>
      <c r="M1773" s="89">
        <v>3273.34</v>
      </c>
      <c r="N1773" s="89">
        <v>612.87</v>
      </c>
      <c r="O1773" s="89">
        <f t="shared" si="74"/>
        <v>10432.97</v>
      </c>
    </row>
    <row r="1774" spans="1:15">
      <c r="A1774" s="74" t="s">
        <v>309</v>
      </c>
      <c r="B1774" s="74" t="s">
        <v>164</v>
      </c>
      <c r="C1774" s="74" t="s">
        <v>165</v>
      </c>
      <c r="D1774" s="74" t="s">
        <v>79</v>
      </c>
      <c r="E1774" s="74" t="s">
        <v>81</v>
      </c>
      <c r="F1774" s="86" t="s">
        <v>156</v>
      </c>
      <c r="G1774" s="74" t="s">
        <v>157</v>
      </c>
      <c r="H1774" s="87">
        <v>44592</v>
      </c>
      <c r="I1774" s="98">
        <v>23</v>
      </c>
      <c r="J1774" s="98">
        <v>23</v>
      </c>
      <c r="K1774" s="89">
        <f t="shared" si="76"/>
        <v>1</v>
      </c>
      <c r="L1774" s="89">
        <v>5246.37</v>
      </c>
      <c r="M1774" s="89">
        <v>3113.82</v>
      </c>
      <c r="N1774" s="89">
        <v>527.36</v>
      </c>
      <c r="O1774" s="89">
        <f t="shared" si="74"/>
        <v>8887.55</v>
      </c>
    </row>
    <row r="1775" spans="1:15">
      <c r="A1775" s="74" t="s">
        <v>309</v>
      </c>
      <c r="B1775" s="74" t="s">
        <v>166</v>
      </c>
      <c r="C1775" s="74" t="s">
        <v>167</v>
      </c>
      <c r="D1775" s="74" t="s">
        <v>79</v>
      </c>
      <c r="E1775" s="74" t="s">
        <v>81</v>
      </c>
      <c r="F1775" s="86" t="s">
        <v>160</v>
      </c>
      <c r="G1775" s="74" t="s">
        <v>161</v>
      </c>
      <c r="H1775" s="87">
        <v>44592</v>
      </c>
      <c r="I1775" s="98">
        <v>23</v>
      </c>
      <c r="J1775" s="98">
        <v>23</v>
      </c>
      <c r="K1775" s="89">
        <f t="shared" si="76"/>
        <v>1</v>
      </c>
      <c r="L1775" s="89">
        <v>4239.41</v>
      </c>
      <c r="M1775" s="89">
        <v>3025.23</v>
      </c>
      <c r="N1775" s="89">
        <v>406.32</v>
      </c>
      <c r="O1775" s="89">
        <f t="shared" si="74"/>
        <v>7670.96</v>
      </c>
    </row>
    <row r="1776" spans="1:15">
      <c r="A1776" s="74" t="s">
        <v>309</v>
      </c>
      <c r="B1776" s="74" t="s">
        <v>168</v>
      </c>
      <c r="C1776" s="74" t="s">
        <v>169</v>
      </c>
      <c r="D1776" s="74" t="s">
        <v>79</v>
      </c>
      <c r="E1776" s="74" t="s">
        <v>81</v>
      </c>
      <c r="F1776" s="86" t="s">
        <v>123</v>
      </c>
      <c r="G1776" s="74" t="s">
        <v>153</v>
      </c>
      <c r="H1776" s="87">
        <v>44592</v>
      </c>
      <c r="I1776" s="98">
        <v>23</v>
      </c>
      <c r="J1776" s="98">
        <v>23</v>
      </c>
      <c r="K1776" s="89">
        <f t="shared" si="76"/>
        <v>1</v>
      </c>
      <c r="L1776" s="89">
        <v>6433.12</v>
      </c>
      <c r="M1776" s="89">
        <v>3280.56</v>
      </c>
      <c r="N1776" s="89">
        <v>604.57</v>
      </c>
      <c r="O1776" s="89">
        <f t="shared" si="74"/>
        <v>10318.25</v>
      </c>
    </row>
    <row r="1777" spans="1:15">
      <c r="A1777" s="74" t="s">
        <v>309</v>
      </c>
      <c r="B1777" s="74" t="s">
        <v>170</v>
      </c>
      <c r="C1777" s="74" t="s">
        <v>171</v>
      </c>
      <c r="D1777" s="74" t="s">
        <v>79</v>
      </c>
      <c r="E1777" s="74" t="s">
        <v>81</v>
      </c>
      <c r="F1777" s="86" t="s">
        <v>156</v>
      </c>
      <c r="G1777" s="74" t="s">
        <v>157</v>
      </c>
      <c r="H1777" s="87">
        <v>44592</v>
      </c>
      <c r="I1777" s="98">
        <v>23</v>
      </c>
      <c r="J1777" s="98">
        <v>23</v>
      </c>
      <c r="K1777" s="89">
        <f t="shared" si="76"/>
        <v>1</v>
      </c>
      <c r="L1777" s="89">
        <v>5030.21</v>
      </c>
      <c r="M1777" s="89">
        <v>3232.54</v>
      </c>
      <c r="N1777" s="89">
        <v>534.23</v>
      </c>
      <c r="O1777" s="89">
        <f t="shared" si="74"/>
        <v>8796.98</v>
      </c>
    </row>
    <row r="1778" spans="1:15">
      <c r="A1778" s="74" t="s">
        <v>309</v>
      </c>
      <c r="B1778" s="74" t="s">
        <v>172</v>
      </c>
      <c r="C1778" s="74" t="s">
        <v>173</v>
      </c>
      <c r="D1778" s="74" t="s">
        <v>79</v>
      </c>
      <c r="E1778" s="74" t="s">
        <v>81</v>
      </c>
      <c r="F1778" s="86" t="s">
        <v>160</v>
      </c>
      <c r="G1778" s="74" t="s">
        <v>161</v>
      </c>
      <c r="H1778" s="87">
        <v>44592</v>
      </c>
      <c r="I1778" s="98">
        <v>23</v>
      </c>
      <c r="J1778" s="98">
        <v>23</v>
      </c>
      <c r="K1778" s="89">
        <f t="shared" si="76"/>
        <v>1</v>
      </c>
      <c r="L1778" s="89">
        <v>4359.74</v>
      </c>
      <c r="M1778" s="89">
        <v>3222.03</v>
      </c>
      <c r="N1778" s="89">
        <v>408.06</v>
      </c>
      <c r="O1778" s="89">
        <f t="shared" si="74"/>
        <v>7989.83</v>
      </c>
    </row>
    <row r="1779" spans="1:15">
      <c r="A1779" s="74" t="s">
        <v>309</v>
      </c>
      <c r="B1779" s="74" t="s">
        <v>174</v>
      </c>
      <c r="C1779" s="74" t="s">
        <v>175</v>
      </c>
      <c r="D1779" s="74" t="s">
        <v>79</v>
      </c>
      <c r="E1779" s="74" t="s">
        <v>81</v>
      </c>
      <c r="F1779" s="86" t="s">
        <v>176</v>
      </c>
      <c r="G1779" s="74" t="s">
        <v>177</v>
      </c>
      <c r="H1779" s="87">
        <v>44592</v>
      </c>
      <c r="I1779" s="98">
        <v>23</v>
      </c>
      <c r="J1779" s="98">
        <v>23</v>
      </c>
      <c r="K1779" s="89">
        <f t="shared" si="76"/>
        <v>1</v>
      </c>
      <c r="L1779" s="89">
        <v>3288.93</v>
      </c>
      <c r="M1779" s="89">
        <v>3045.59</v>
      </c>
      <c r="N1779" s="89">
        <v>325.64</v>
      </c>
      <c r="O1779" s="89">
        <f t="shared" si="74"/>
        <v>6660.16</v>
      </c>
    </row>
    <row r="1780" spans="1:15">
      <c r="A1780" s="74" t="s">
        <v>309</v>
      </c>
      <c r="B1780" s="74" t="s">
        <v>178</v>
      </c>
      <c r="C1780" s="74" t="s">
        <v>179</v>
      </c>
      <c r="D1780" s="74" t="s">
        <v>79</v>
      </c>
      <c r="E1780" s="74" t="s">
        <v>81</v>
      </c>
      <c r="F1780" s="86" t="s">
        <v>180</v>
      </c>
      <c r="G1780" s="74" t="s">
        <v>177</v>
      </c>
      <c r="H1780" s="87">
        <v>44592</v>
      </c>
      <c r="I1780" s="98">
        <v>23</v>
      </c>
      <c r="J1780" s="98">
        <v>23</v>
      </c>
      <c r="K1780" s="89">
        <f t="shared" si="76"/>
        <v>1</v>
      </c>
      <c r="L1780" s="89">
        <v>2031.33</v>
      </c>
      <c r="M1780" s="89">
        <v>3213.67</v>
      </c>
      <c r="N1780" s="89">
        <v>213.97</v>
      </c>
      <c r="O1780" s="89">
        <f t="shared" si="74"/>
        <v>5458.97</v>
      </c>
    </row>
    <row r="1781" spans="1:15">
      <c r="A1781" s="74" t="s">
        <v>309</v>
      </c>
      <c r="B1781" s="74" t="s">
        <v>181</v>
      </c>
      <c r="C1781" s="74" t="s">
        <v>182</v>
      </c>
      <c r="D1781" s="74" t="s">
        <v>79</v>
      </c>
      <c r="E1781" s="74" t="s">
        <v>81</v>
      </c>
      <c r="F1781" s="86" t="s">
        <v>183</v>
      </c>
      <c r="G1781" s="74" t="s">
        <v>177</v>
      </c>
      <c r="H1781" s="87">
        <v>44592</v>
      </c>
      <c r="I1781" s="98">
        <v>23</v>
      </c>
      <c r="J1781" s="98">
        <v>23</v>
      </c>
      <c r="K1781" s="89">
        <f t="shared" si="76"/>
        <v>1</v>
      </c>
      <c r="L1781" s="89">
        <v>1023.27</v>
      </c>
      <c r="M1781" s="89">
        <v>3246.05</v>
      </c>
      <c r="N1781" s="89">
        <v>105.42</v>
      </c>
      <c r="O1781" s="89">
        <f t="shared" si="74"/>
        <v>4374.74</v>
      </c>
    </row>
    <row r="1782" spans="1:15">
      <c r="A1782" s="74" t="s">
        <v>309</v>
      </c>
      <c r="B1782" s="74" t="s">
        <v>184</v>
      </c>
      <c r="C1782" s="74" t="s">
        <v>185</v>
      </c>
      <c r="D1782" s="74" t="s">
        <v>79</v>
      </c>
      <c r="E1782" s="74" t="s">
        <v>81</v>
      </c>
      <c r="F1782" s="86" t="s">
        <v>176</v>
      </c>
      <c r="G1782" s="74" t="s">
        <v>177</v>
      </c>
      <c r="H1782" s="87">
        <v>44592</v>
      </c>
      <c r="I1782" s="98">
        <v>23</v>
      </c>
      <c r="J1782" s="98">
        <v>23</v>
      </c>
      <c r="K1782" s="89">
        <f t="shared" si="76"/>
        <v>1</v>
      </c>
      <c r="L1782" s="89">
        <v>3053.5</v>
      </c>
      <c r="M1782" s="89">
        <v>3140.08</v>
      </c>
      <c r="N1782" s="89">
        <v>315.38</v>
      </c>
      <c r="O1782" s="89">
        <f t="shared" si="74"/>
        <v>6508.96</v>
      </c>
    </row>
    <row r="1783" spans="1:15">
      <c r="A1783" s="74" t="s">
        <v>309</v>
      </c>
      <c r="B1783" s="74" t="s">
        <v>186</v>
      </c>
      <c r="C1783" s="74" t="s">
        <v>187</v>
      </c>
      <c r="D1783" s="74" t="s">
        <v>79</v>
      </c>
      <c r="E1783" s="74" t="s">
        <v>81</v>
      </c>
      <c r="F1783" s="86" t="s">
        <v>180</v>
      </c>
      <c r="G1783" s="74" t="s">
        <v>177</v>
      </c>
      <c r="H1783" s="87">
        <v>44592</v>
      </c>
      <c r="I1783" s="98">
        <v>23</v>
      </c>
      <c r="J1783" s="98">
        <v>23</v>
      </c>
      <c r="K1783" s="89">
        <f t="shared" si="76"/>
        <v>1</v>
      </c>
      <c r="L1783" s="89">
        <v>2094.87</v>
      </c>
      <c r="M1783" s="89">
        <v>3071.37</v>
      </c>
      <c r="N1783" s="89">
        <v>214.59</v>
      </c>
      <c r="O1783" s="89">
        <f t="shared" si="74"/>
        <v>5380.83</v>
      </c>
    </row>
    <row r="1784" spans="1:15">
      <c r="A1784" s="74" t="s">
        <v>309</v>
      </c>
      <c r="B1784" s="74" t="s">
        <v>188</v>
      </c>
      <c r="C1784" s="74" t="s">
        <v>189</v>
      </c>
      <c r="D1784" s="74" t="s">
        <v>79</v>
      </c>
      <c r="E1784" s="74" t="s">
        <v>81</v>
      </c>
      <c r="F1784" s="86" t="s">
        <v>183</v>
      </c>
      <c r="G1784" s="74" t="s">
        <v>177</v>
      </c>
      <c r="H1784" s="87">
        <v>44592</v>
      </c>
      <c r="I1784" s="98">
        <v>23</v>
      </c>
      <c r="J1784" s="98">
        <v>23</v>
      </c>
      <c r="K1784" s="89">
        <f t="shared" si="76"/>
        <v>1</v>
      </c>
      <c r="L1784" s="89">
        <v>1079.13</v>
      </c>
      <c r="M1784" s="89">
        <v>3206.89</v>
      </c>
      <c r="N1784" s="89">
        <v>101.64</v>
      </c>
      <c r="O1784" s="89">
        <f t="shared" si="74"/>
        <v>4387.66</v>
      </c>
    </row>
    <row r="1785" spans="1:15">
      <c r="A1785" s="74" t="s">
        <v>309</v>
      </c>
      <c r="B1785" s="74" t="s">
        <v>190</v>
      </c>
      <c r="C1785" s="74" t="s">
        <v>191</v>
      </c>
      <c r="D1785" s="74" t="s">
        <v>79</v>
      </c>
      <c r="E1785" s="74" t="s">
        <v>81</v>
      </c>
      <c r="F1785" s="86" t="s">
        <v>176</v>
      </c>
      <c r="G1785" s="74" t="s">
        <v>177</v>
      </c>
      <c r="H1785" s="87">
        <v>44592</v>
      </c>
      <c r="I1785" s="98">
        <v>23</v>
      </c>
      <c r="J1785" s="98">
        <v>23</v>
      </c>
      <c r="K1785" s="89">
        <f t="shared" si="76"/>
        <v>1</v>
      </c>
      <c r="L1785" s="89">
        <v>3181.84</v>
      </c>
      <c r="M1785" s="89">
        <v>3142.51</v>
      </c>
      <c r="N1785" s="89">
        <v>322.86</v>
      </c>
      <c r="O1785" s="89">
        <f t="shared" si="74"/>
        <v>6647.21</v>
      </c>
    </row>
    <row r="1786" spans="1:15">
      <c r="A1786" s="74" t="s">
        <v>309</v>
      </c>
      <c r="B1786" s="74" t="s">
        <v>192</v>
      </c>
      <c r="C1786" s="74" t="s">
        <v>193</v>
      </c>
      <c r="D1786" s="74" t="s">
        <v>79</v>
      </c>
      <c r="E1786" s="74" t="s">
        <v>81</v>
      </c>
      <c r="F1786" s="86" t="s">
        <v>180</v>
      </c>
      <c r="G1786" s="74" t="s">
        <v>177</v>
      </c>
      <c r="H1786" s="87">
        <v>44592</v>
      </c>
      <c r="I1786" s="98">
        <v>23</v>
      </c>
      <c r="J1786" s="98">
        <v>23</v>
      </c>
      <c r="K1786" s="89">
        <f t="shared" si="76"/>
        <v>1</v>
      </c>
      <c r="L1786" s="89">
        <v>2169.89</v>
      </c>
      <c r="M1786" s="89">
        <v>3001.21</v>
      </c>
      <c r="N1786" s="89">
        <v>218.66</v>
      </c>
      <c r="O1786" s="89">
        <f t="shared" si="74"/>
        <v>5389.76</v>
      </c>
    </row>
    <row r="1787" spans="1:15">
      <c r="A1787" s="74" t="s">
        <v>309</v>
      </c>
      <c r="B1787" s="74" t="s">
        <v>194</v>
      </c>
      <c r="C1787" s="74" t="s">
        <v>195</v>
      </c>
      <c r="D1787" s="74" t="s">
        <v>79</v>
      </c>
      <c r="E1787" s="74" t="s">
        <v>81</v>
      </c>
      <c r="F1787" s="86" t="s">
        <v>183</v>
      </c>
      <c r="G1787" s="74" t="s">
        <v>177</v>
      </c>
      <c r="H1787" s="87">
        <v>44592</v>
      </c>
      <c r="I1787" s="98">
        <v>23</v>
      </c>
      <c r="J1787" s="98">
        <v>23</v>
      </c>
      <c r="K1787" s="89">
        <f t="shared" si="76"/>
        <v>1</v>
      </c>
      <c r="L1787" s="89">
        <v>1017.86</v>
      </c>
      <c r="M1787" s="89">
        <v>3063.49</v>
      </c>
      <c r="N1787" s="89">
        <v>107.8</v>
      </c>
      <c r="O1787" s="89">
        <f t="shared" si="74"/>
        <v>4189.15</v>
      </c>
    </row>
    <row r="1788" spans="1:15">
      <c r="A1788" s="74" t="s">
        <v>309</v>
      </c>
      <c r="B1788" s="74" t="s">
        <v>196</v>
      </c>
      <c r="C1788" s="74" t="s">
        <v>197</v>
      </c>
      <c r="D1788" s="74" t="s">
        <v>79</v>
      </c>
      <c r="E1788" s="74" t="s">
        <v>81</v>
      </c>
      <c r="F1788" s="86" t="s">
        <v>176</v>
      </c>
      <c r="G1788" s="74" t="s">
        <v>177</v>
      </c>
      <c r="H1788" s="87">
        <v>44592</v>
      </c>
      <c r="I1788" s="98">
        <v>23</v>
      </c>
      <c r="J1788" s="98">
        <v>23</v>
      </c>
      <c r="K1788" s="89">
        <f t="shared" si="76"/>
        <v>1</v>
      </c>
      <c r="L1788" s="89">
        <v>3200.11</v>
      </c>
      <c r="M1788" s="89">
        <v>3188.74</v>
      </c>
      <c r="N1788" s="89">
        <v>302.22</v>
      </c>
      <c r="O1788" s="89">
        <f t="shared" si="74"/>
        <v>6691.07</v>
      </c>
    </row>
    <row r="1789" spans="1:15">
      <c r="A1789" s="74" t="s">
        <v>309</v>
      </c>
      <c r="B1789" s="74" t="s">
        <v>198</v>
      </c>
      <c r="C1789" s="74" t="s">
        <v>199</v>
      </c>
      <c r="D1789" s="74" t="s">
        <v>79</v>
      </c>
      <c r="E1789" s="74" t="s">
        <v>81</v>
      </c>
      <c r="F1789" s="86" t="s">
        <v>180</v>
      </c>
      <c r="G1789" s="74" t="s">
        <v>177</v>
      </c>
      <c r="H1789" s="87">
        <v>44592</v>
      </c>
      <c r="I1789" s="98">
        <v>23</v>
      </c>
      <c r="J1789" s="98">
        <v>23</v>
      </c>
      <c r="K1789" s="89">
        <f t="shared" si="76"/>
        <v>1</v>
      </c>
      <c r="L1789" s="89">
        <v>2019.23</v>
      </c>
      <c r="M1789" s="89">
        <v>3092.6</v>
      </c>
      <c r="N1789" s="89">
        <v>212.07</v>
      </c>
      <c r="O1789" s="89">
        <f t="shared" si="74"/>
        <v>5323.9</v>
      </c>
    </row>
    <row r="1790" spans="1:15">
      <c r="A1790" s="74" t="s">
        <v>309</v>
      </c>
      <c r="B1790" s="74" t="s">
        <v>200</v>
      </c>
      <c r="C1790" s="74" t="s">
        <v>201</v>
      </c>
      <c r="D1790" s="74" t="s">
        <v>79</v>
      </c>
      <c r="E1790" s="74" t="s">
        <v>81</v>
      </c>
      <c r="F1790" s="86" t="s">
        <v>183</v>
      </c>
      <c r="G1790" s="74" t="s">
        <v>177</v>
      </c>
      <c r="H1790" s="87">
        <v>44592</v>
      </c>
      <c r="I1790" s="98">
        <v>23</v>
      </c>
      <c r="J1790" s="98">
        <v>23</v>
      </c>
      <c r="K1790" s="89">
        <f t="shared" si="76"/>
        <v>1</v>
      </c>
      <c r="L1790" s="89">
        <v>1042.37</v>
      </c>
      <c r="M1790" s="89">
        <v>3153.78</v>
      </c>
      <c r="N1790" s="89">
        <v>107.45</v>
      </c>
      <c r="O1790" s="89">
        <f t="shared" si="74"/>
        <v>4303.6</v>
      </c>
    </row>
    <row r="1791" spans="1:15">
      <c r="A1791" s="74" t="s">
        <v>309</v>
      </c>
      <c r="B1791" s="74" t="s">
        <v>202</v>
      </c>
      <c r="C1791" s="74" t="s">
        <v>203</v>
      </c>
      <c r="D1791" s="74" t="s">
        <v>79</v>
      </c>
      <c r="E1791" s="74" t="s">
        <v>81</v>
      </c>
      <c r="F1791" s="86" t="s">
        <v>204</v>
      </c>
      <c r="G1791" s="74" t="s">
        <v>205</v>
      </c>
      <c r="H1791" s="87">
        <v>44592</v>
      </c>
      <c r="I1791" s="98">
        <v>23</v>
      </c>
      <c r="J1791" s="98">
        <v>23</v>
      </c>
      <c r="K1791" s="89">
        <f t="shared" si="76"/>
        <v>1</v>
      </c>
      <c r="L1791" s="89">
        <v>18279.52</v>
      </c>
      <c r="M1791" s="89">
        <v>3066.79</v>
      </c>
      <c r="N1791" s="89">
        <v>1872.17</v>
      </c>
      <c r="O1791" s="89">
        <f t="shared" si="74"/>
        <v>23218.48</v>
      </c>
    </row>
    <row r="1792" spans="1:15">
      <c r="A1792" s="74" t="s">
        <v>309</v>
      </c>
      <c r="B1792" s="74" t="s">
        <v>206</v>
      </c>
      <c r="C1792" s="74" t="s">
        <v>207</v>
      </c>
      <c r="D1792" s="88" t="s">
        <v>82</v>
      </c>
      <c r="E1792" s="88" t="s">
        <v>84</v>
      </c>
      <c r="F1792" s="86" t="s">
        <v>208</v>
      </c>
      <c r="G1792" s="74" t="s">
        <v>209</v>
      </c>
      <c r="H1792" s="87">
        <v>44592</v>
      </c>
      <c r="I1792" s="98">
        <v>23</v>
      </c>
      <c r="J1792" s="98">
        <v>23</v>
      </c>
      <c r="K1792" s="89">
        <f t="shared" si="76"/>
        <v>1</v>
      </c>
      <c r="L1792" s="89">
        <v>9142.97</v>
      </c>
      <c r="M1792" s="89">
        <v>3002.54</v>
      </c>
      <c r="N1792" s="89">
        <v>971.58</v>
      </c>
      <c r="O1792" s="89">
        <f t="shared" si="74"/>
        <v>13117.09</v>
      </c>
    </row>
    <row r="1793" spans="1:15">
      <c r="A1793" s="74" t="s">
        <v>309</v>
      </c>
      <c r="B1793" s="74" t="s">
        <v>210</v>
      </c>
      <c r="C1793" s="74" t="s">
        <v>211</v>
      </c>
      <c r="D1793" s="88" t="s">
        <v>82</v>
      </c>
      <c r="E1793" s="88" t="s">
        <v>84</v>
      </c>
      <c r="F1793" s="86" t="s">
        <v>116</v>
      </c>
      <c r="G1793" s="74" t="s">
        <v>209</v>
      </c>
      <c r="H1793" s="87">
        <v>44592</v>
      </c>
      <c r="I1793" s="98">
        <v>23</v>
      </c>
      <c r="J1793" s="98">
        <v>23</v>
      </c>
      <c r="K1793" s="89">
        <f t="shared" si="76"/>
        <v>1</v>
      </c>
      <c r="L1793" s="89">
        <v>8601.79</v>
      </c>
      <c r="M1793" s="89">
        <v>3281.68</v>
      </c>
      <c r="N1793" s="89">
        <v>812.03</v>
      </c>
      <c r="O1793" s="89">
        <f t="shared" si="74"/>
        <v>12695.5</v>
      </c>
    </row>
    <row r="1794" spans="1:15">
      <c r="A1794" s="74" t="s">
        <v>309</v>
      </c>
      <c r="B1794" s="74" t="s">
        <v>212</v>
      </c>
      <c r="C1794" s="74" t="s">
        <v>213</v>
      </c>
      <c r="D1794" s="88" t="s">
        <v>82</v>
      </c>
      <c r="E1794" s="88" t="s">
        <v>84</v>
      </c>
      <c r="F1794" s="86" t="s">
        <v>208</v>
      </c>
      <c r="G1794" s="74" t="s">
        <v>209</v>
      </c>
      <c r="H1794" s="87">
        <v>44592</v>
      </c>
      <c r="I1794" s="98">
        <v>23</v>
      </c>
      <c r="J1794" s="98">
        <v>23</v>
      </c>
      <c r="K1794" s="89">
        <f t="shared" si="76"/>
        <v>1</v>
      </c>
      <c r="L1794" s="89">
        <v>9611.18</v>
      </c>
      <c r="M1794" s="89">
        <v>3244.42</v>
      </c>
      <c r="N1794" s="89">
        <v>951.95</v>
      </c>
      <c r="O1794" s="89">
        <f t="shared" si="74"/>
        <v>13807.55</v>
      </c>
    </row>
    <row r="1795" spans="1:15">
      <c r="A1795" s="74" t="s">
        <v>309</v>
      </c>
      <c r="B1795" s="74" t="s">
        <v>214</v>
      </c>
      <c r="C1795" s="74" t="s">
        <v>215</v>
      </c>
      <c r="D1795" s="88" t="s">
        <v>82</v>
      </c>
      <c r="E1795" s="88" t="s">
        <v>84</v>
      </c>
      <c r="F1795" s="86" t="s">
        <v>116</v>
      </c>
      <c r="G1795" s="74" t="s">
        <v>209</v>
      </c>
      <c r="H1795" s="87">
        <v>44592</v>
      </c>
      <c r="I1795" s="98">
        <v>23</v>
      </c>
      <c r="J1795" s="98">
        <v>23</v>
      </c>
      <c r="K1795" s="89">
        <f t="shared" si="76"/>
        <v>1</v>
      </c>
      <c r="L1795" s="89">
        <v>8471.15</v>
      </c>
      <c r="M1795" s="89">
        <v>3229.85</v>
      </c>
      <c r="N1795" s="89">
        <v>854.16</v>
      </c>
      <c r="O1795" s="89">
        <f t="shared" si="74"/>
        <v>12555.16</v>
      </c>
    </row>
    <row r="1796" spans="1:15">
      <c r="A1796" s="74" t="s">
        <v>309</v>
      </c>
      <c r="B1796" s="74" t="s">
        <v>216</v>
      </c>
      <c r="C1796" s="74" t="s">
        <v>217</v>
      </c>
      <c r="D1796" s="88" t="s">
        <v>82</v>
      </c>
      <c r="E1796" s="88" t="s">
        <v>84</v>
      </c>
      <c r="F1796" s="86" t="s">
        <v>218</v>
      </c>
      <c r="G1796" s="74" t="s">
        <v>219</v>
      </c>
      <c r="H1796" s="87">
        <v>44592</v>
      </c>
      <c r="I1796" s="98">
        <v>23</v>
      </c>
      <c r="J1796" s="98">
        <v>23</v>
      </c>
      <c r="K1796" s="89">
        <f t="shared" si="76"/>
        <v>1</v>
      </c>
      <c r="L1796" s="89">
        <v>11958.05</v>
      </c>
      <c r="M1796" s="89">
        <v>3272.33</v>
      </c>
      <c r="N1796" s="89">
        <v>1124.57</v>
      </c>
      <c r="O1796" s="89">
        <f t="shared" si="74"/>
        <v>16354.95</v>
      </c>
    </row>
    <row r="1797" spans="1:15">
      <c r="A1797" s="74" t="s">
        <v>309</v>
      </c>
      <c r="B1797" s="74" t="s">
        <v>220</v>
      </c>
      <c r="C1797" s="74" t="s">
        <v>221</v>
      </c>
      <c r="D1797" s="88" t="s">
        <v>82</v>
      </c>
      <c r="E1797" s="74" t="s">
        <v>83</v>
      </c>
      <c r="F1797" s="86" t="s">
        <v>218</v>
      </c>
      <c r="G1797" s="74" t="s">
        <v>222</v>
      </c>
      <c r="H1797" s="87">
        <v>44592</v>
      </c>
      <c r="I1797" s="98">
        <v>23</v>
      </c>
      <c r="J1797" s="98">
        <v>23</v>
      </c>
      <c r="K1797" s="89">
        <f t="shared" si="76"/>
        <v>1</v>
      </c>
      <c r="L1797" s="89">
        <v>11415.21</v>
      </c>
      <c r="M1797" s="89">
        <v>3064.45</v>
      </c>
      <c r="N1797" s="89">
        <v>1127.09</v>
      </c>
      <c r="O1797" s="89">
        <f t="shared" ref="O1797:O1860" si="77">SUM(L1797:N1797)</f>
        <v>15606.75</v>
      </c>
    </row>
    <row r="1798" spans="1:15">
      <c r="A1798" s="74" t="s">
        <v>309</v>
      </c>
      <c r="B1798" s="74" t="s">
        <v>223</v>
      </c>
      <c r="C1798" s="74" t="s">
        <v>224</v>
      </c>
      <c r="D1798" s="88" t="s">
        <v>82</v>
      </c>
      <c r="E1798" s="74" t="s">
        <v>83</v>
      </c>
      <c r="F1798" s="86" t="s">
        <v>225</v>
      </c>
      <c r="G1798" s="74" t="s">
        <v>209</v>
      </c>
      <c r="H1798" s="87">
        <v>44592</v>
      </c>
      <c r="I1798" s="98">
        <v>23</v>
      </c>
      <c r="J1798" s="98">
        <v>23</v>
      </c>
      <c r="K1798" s="89">
        <f t="shared" si="76"/>
        <v>1</v>
      </c>
      <c r="L1798" s="89">
        <v>10358.58</v>
      </c>
      <c r="M1798" s="89">
        <v>3138.56</v>
      </c>
      <c r="N1798" s="89">
        <v>1057.8</v>
      </c>
      <c r="O1798" s="89">
        <f t="shared" si="77"/>
        <v>14554.94</v>
      </c>
    </row>
    <row r="1799" spans="1:15">
      <c r="A1799" s="74" t="s">
        <v>309</v>
      </c>
      <c r="B1799" s="74" t="s">
        <v>226</v>
      </c>
      <c r="C1799" s="74" t="s">
        <v>227</v>
      </c>
      <c r="D1799" s="88" t="s">
        <v>82</v>
      </c>
      <c r="E1799" s="74" t="s">
        <v>83</v>
      </c>
      <c r="F1799" s="86" t="s">
        <v>208</v>
      </c>
      <c r="G1799" s="74" t="s">
        <v>209</v>
      </c>
      <c r="H1799" s="87">
        <v>44592</v>
      </c>
      <c r="I1799" s="98">
        <v>23</v>
      </c>
      <c r="J1799" s="98">
        <v>23</v>
      </c>
      <c r="K1799" s="89">
        <f t="shared" si="76"/>
        <v>1</v>
      </c>
      <c r="L1799" s="89">
        <v>9773.25</v>
      </c>
      <c r="M1799" s="89">
        <v>3179.81</v>
      </c>
      <c r="N1799" s="89">
        <v>969.97</v>
      </c>
      <c r="O1799" s="89">
        <f t="shared" si="77"/>
        <v>13923.03</v>
      </c>
    </row>
    <row r="1800" spans="1:15">
      <c r="A1800" s="74" t="s">
        <v>309</v>
      </c>
      <c r="B1800" s="74" t="s">
        <v>228</v>
      </c>
      <c r="C1800" s="74" t="s">
        <v>229</v>
      </c>
      <c r="D1800" s="88" t="s">
        <v>82</v>
      </c>
      <c r="E1800" s="74" t="s">
        <v>83</v>
      </c>
      <c r="F1800" s="86" t="s">
        <v>116</v>
      </c>
      <c r="G1800" s="74" t="s">
        <v>209</v>
      </c>
      <c r="H1800" s="87">
        <v>44592</v>
      </c>
      <c r="I1800" s="98">
        <v>23</v>
      </c>
      <c r="J1800" s="98">
        <v>23</v>
      </c>
      <c r="K1800" s="89">
        <f t="shared" si="76"/>
        <v>1</v>
      </c>
      <c r="L1800" s="89">
        <v>8732.2</v>
      </c>
      <c r="M1800" s="89">
        <v>3034.39</v>
      </c>
      <c r="N1800" s="89">
        <v>813.99</v>
      </c>
      <c r="O1800" s="89">
        <f t="shared" si="77"/>
        <v>12580.58</v>
      </c>
    </row>
    <row r="1801" spans="1:15">
      <c r="A1801" s="74" t="s">
        <v>309</v>
      </c>
      <c r="B1801" s="74" t="s">
        <v>230</v>
      </c>
      <c r="C1801" s="74" t="s">
        <v>231</v>
      </c>
      <c r="D1801" s="88" t="s">
        <v>82</v>
      </c>
      <c r="E1801" s="74" t="s">
        <v>83</v>
      </c>
      <c r="F1801" s="86" t="s">
        <v>120</v>
      </c>
      <c r="G1801" s="74" t="s">
        <v>209</v>
      </c>
      <c r="H1801" s="87">
        <v>44592</v>
      </c>
      <c r="I1801" s="98">
        <v>23</v>
      </c>
      <c r="J1801" s="98">
        <v>23</v>
      </c>
      <c r="K1801" s="89">
        <f t="shared" si="76"/>
        <v>1</v>
      </c>
      <c r="L1801" s="89">
        <v>7105.61</v>
      </c>
      <c r="M1801" s="89">
        <v>3204.25</v>
      </c>
      <c r="N1801" s="89">
        <v>767.78</v>
      </c>
      <c r="O1801" s="89">
        <f t="shared" si="77"/>
        <v>11077.64</v>
      </c>
    </row>
    <row r="1802" spans="1:15">
      <c r="A1802" s="74" t="s">
        <v>309</v>
      </c>
      <c r="B1802" s="74" t="s">
        <v>232</v>
      </c>
      <c r="C1802" s="74" t="s">
        <v>233</v>
      </c>
      <c r="D1802" s="88" t="s">
        <v>82</v>
      </c>
      <c r="E1802" s="74" t="s">
        <v>83</v>
      </c>
      <c r="F1802" s="86" t="s">
        <v>123</v>
      </c>
      <c r="G1802" s="74" t="s">
        <v>209</v>
      </c>
      <c r="H1802" s="87">
        <v>44592</v>
      </c>
      <c r="I1802" s="98">
        <v>23</v>
      </c>
      <c r="J1802" s="98">
        <v>23</v>
      </c>
      <c r="K1802" s="89">
        <f t="shared" si="76"/>
        <v>1</v>
      </c>
      <c r="L1802" s="89">
        <v>6291.62</v>
      </c>
      <c r="M1802" s="89">
        <v>3236.66</v>
      </c>
      <c r="N1802" s="89">
        <v>618.74</v>
      </c>
      <c r="O1802" s="89">
        <f t="shared" si="77"/>
        <v>10147.02</v>
      </c>
    </row>
    <row r="1803" spans="1:15">
      <c r="A1803" s="74" t="s">
        <v>309</v>
      </c>
      <c r="B1803" s="74" t="s">
        <v>234</v>
      </c>
      <c r="C1803" s="74" t="s">
        <v>235</v>
      </c>
      <c r="D1803" s="88" t="s">
        <v>82</v>
      </c>
      <c r="E1803" s="74" t="s">
        <v>83</v>
      </c>
      <c r="F1803" s="86" t="s">
        <v>116</v>
      </c>
      <c r="G1803" s="74" t="s">
        <v>209</v>
      </c>
      <c r="H1803" s="87">
        <v>44592</v>
      </c>
      <c r="I1803" s="98">
        <v>23</v>
      </c>
      <c r="J1803" s="98">
        <v>23</v>
      </c>
      <c r="K1803" s="89">
        <f t="shared" si="76"/>
        <v>1</v>
      </c>
      <c r="L1803" s="89">
        <v>8404.5</v>
      </c>
      <c r="M1803" s="89">
        <v>3282.7</v>
      </c>
      <c r="N1803" s="89">
        <v>844.62</v>
      </c>
      <c r="O1803" s="89">
        <f t="shared" si="77"/>
        <v>12531.82</v>
      </c>
    </row>
    <row r="1804" spans="1:15">
      <c r="A1804" s="74" t="s">
        <v>309</v>
      </c>
      <c r="B1804" s="74" t="s">
        <v>236</v>
      </c>
      <c r="C1804" s="74" t="s">
        <v>237</v>
      </c>
      <c r="D1804" s="88" t="s">
        <v>82</v>
      </c>
      <c r="E1804" s="74" t="s">
        <v>83</v>
      </c>
      <c r="F1804" s="86" t="s">
        <v>120</v>
      </c>
      <c r="G1804" s="74" t="s">
        <v>209</v>
      </c>
      <c r="H1804" s="87">
        <v>44592</v>
      </c>
      <c r="I1804" s="98">
        <v>23</v>
      </c>
      <c r="J1804" s="98">
        <v>23</v>
      </c>
      <c r="K1804" s="89">
        <f t="shared" si="76"/>
        <v>1</v>
      </c>
      <c r="L1804" s="89">
        <v>7435.62</v>
      </c>
      <c r="M1804" s="89">
        <v>3058.15</v>
      </c>
      <c r="N1804" s="89">
        <v>721.8</v>
      </c>
      <c r="O1804" s="89">
        <f t="shared" si="77"/>
        <v>11215.57</v>
      </c>
    </row>
    <row r="1805" spans="1:15">
      <c r="A1805" s="74" t="s">
        <v>309</v>
      </c>
      <c r="B1805" s="74" t="s">
        <v>238</v>
      </c>
      <c r="C1805" s="74" t="s">
        <v>239</v>
      </c>
      <c r="D1805" s="74" t="s">
        <v>86</v>
      </c>
      <c r="E1805" s="74" t="s">
        <v>87</v>
      </c>
      <c r="F1805" s="86" t="s">
        <v>204</v>
      </c>
      <c r="G1805" s="74" t="s">
        <v>240</v>
      </c>
      <c r="H1805" s="87">
        <v>44592</v>
      </c>
      <c r="I1805" s="98">
        <v>23</v>
      </c>
      <c r="J1805" s="98">
        <v>23</v>
      </c>
      <c r="K1805" s="89">
        <f t="shared" si="76"/>
        <v>1</v>
      </c>
      <c r="L1805" s="89">
        <v>15524.29</v>
      </c>
      <c r="M1805" s="89">
        <v>3054.2</v>
      </c>
      <c r="N1805" s="89">
        <v>1805.02</v>
      </c>
      <c r="O1805" s="89">
        <f t="shared" si="77"/>
        <v>20383.51</v>
      </c>
    </row>
    <row r="1806" spans="1:15">
      <c r="A1806" s="74" t="s">
        <v>309</v>
      </c>
      <c r="B1806" s="74" t="s">
        <v>241</v>
      </c>
      <c r="C1806" s="74" t="s">
        <v>242</v>
      </c>
      <c r="D1806" s="74" t="s">
        <v>86</v>
      </c>
      <c r="E1806" s="74" t="s">
        <v>87</v>
      </c>
      <c r="F1806" s="86" t="s">
        <v>243</v>
      </c>
      <c r="G1806" s="74" t="s">
        <v>244</v>
      </c>
      <c r="H1806" s="87">
        <v>44592</v>
      </c>
      <c r="I1806" s="98">
        <v>23</v>
      </c>
      <c r="J1806" s="98">
        <v>23</v>
      </c>
      <c r="K1806" s="89">
        <f t="shared" si="76"/>
        <v>1</v>
      </c>
      <c r="L1806" s="89">
        <v>10415.2</v>
      </c>
      <c r="M1806" s="89">
        <v>3068.25</v>
      </c>
      <c r="N1806" s="89">
        <v>1351.72</v>
      </c>
      <c r="O1806" s="89">
        <f t="shared" si="77"/>
        <v>14835.17</v>
      </c>
    </row>
    <row r="1807" spans="1:15">
      <c r="A1807" s="74" t="s">
        <v>309</v>
      </c>
      <c r="B1807" s="74" t="s">
        <v>245</v>
      </c>
      <c r="C1807" s="74" t="s">
        <v>246</v>
      </c>
      <c r="D1807" s="74" t="s">
        <v>86</v>
      </c>
      <c r="E1807" s="74" t="s">
        <v>87</v>
      </c>
      <c r="F1807" s="86" t="s">
        <v>247</v>
      </c>
      <c r="G1807" s="74" t="s">
        <v>248</v>
      </c>
      <c r="H1807" s="87">
        <v>44592</v>
      </c>
      <c r="I1807" s="98">
        <v>23</v>
      </c>
      <c r="J1807" s="98">
        <v>23</v>
      </c>
      <c r="K1807" s="89">
        <f t="shared" si="76"/>
        <v>1</v>
      </c>
      <c r="L1807" s="89">
        <v>9910.69</v>
      </c>
      <c r="M1807" s="89">
        <v>3110.62</v>
      </c>
      <c r="N1807" s="89">
        <v>1312.84</v>
      </c>
      <c r="O1807" s="89">
        <f t="shared" si="77"/>
        <v>14334.15</v>
      </c>
    </row>
    <row r="1808" spans="1:15">
      <c r="A1808" s="74" t="s">
        <v>309</v>
      </c>
      <c r="B1808" s="74" t="s">
        <v>249</v>
      </c>
      <c r="C1808" s="74" t="s">
        <v>250</v>
      </c>
      <c r="D1808" s="74" t="s">
        <v>86</v>
      </c>
      <c r="E1808" s="74" t="s">
        <v>87</v>
      </c>
      <c r="F1808" s="86" t="s">
        <v>251</v>
      </c>
      <c r="G1808" s="74" t="s">
        <v>252</v>
      </c>
      <c r="H1808" s="87">
        <v>44592</v>
      </c>
      <c r="I1808" s="98">
        <v>23</v>
      </c>
      <c r="J1808" s="98">
        <v>23</v>
      </c>
      <c r="K1808" s="89">
        <f t="shared" si="76"/>
        <v>1</v>
      </c>
      <c r="L1808" s="89">
        <v>9150.63</v>
      </c>
      <c r="M1808" s="89">
        <v>3176.49</v>
      </c>
      <c r="N1808" s="89">
        <v>1159.09</v>
      </c>
      <c r="O1808" s="89">
        <f t="shared" si="77"/>
        <v>13486.21</v>
      </c>
    </row>
    <row r="1809" spans="1:15">
      <c r="A1809" s="74" t="s">
        <v>309</v>
      </c>
      <c r="B1809" s="74" t="s">
        <v>253</v>
      </c>
      <c r="C1809" s="74" t="s">
        <v>254</v>
      </c>
      <c r="D1809" s="74" t="s">
        <v>86</v>
      </c>
      <c r="E1809" s="74" t="s">
        <v>87</v>
      </c>
      <c r="F1809" s="86" t="s">
        <v>255</v>
      </c>
      <c r="G1809" s="74" t="s">
        <v>252</v>
      </c>
      <c r="H1809" s="87">
        <v>44592</v>
      </c>
      <c r="I1809" s="98">
        <v>23</v>
      </c>
      <c r="J1809" s="98">
        <v>23</v>
      </c>
      <c r="K1809" s="89">
        <f t="shared" si="76"/>
        <v>1</v>
      </c>
      <c r="L1809" s="89">
        <v>8117.94</v>
      </c>
      <c r="M1809" s="89">
        <v>3000</v>
      </c>
      <c r="N1809" s="89">
        <v>1069.15</v>
      </c>
      <c r="O1809" s="89">
        <f t="shared" si="77"/>
        <v>12187.09</v>
      </c>
    </row>
    <row r="1810" spans="1:15">
      <c r="A1810" s="74" t="s">
        <v>309</v>
      </c>
      <c r="B1810" s="74" t="s">
        <v>256</v>
      </c>
      <c r="C1810" s="74" t="s">
        <v>257</v>
      </c>
      <c r="D1810" s="74" t="s">
        <v>86</v>
      </c>
      <c r="E1810" s="74" t="s">
        <v>87</v>
      </c>
      <c r="F1810" s="86" t="s">
        <v>258</v>
      </c>
      <c r="G1810" s="74" t="s">
        <v>252</v>
      </c>
      <c r="H1810" s="87">
        <v>44592</v>
      </c>
      <c r="I1810" s="98">
        <v>23</v>
      </c>
      <c r="J1810" s="98">
        <v>23</v>
      </c>
      <c r="K1810" s="89">
        <f t="shared" si="76"/>
        <v>1</v>
      </c>
      <c r="L1810" s="89">
        <v>7513.42</v>
      </c>
      <c r="M1810" s="89">
        <v>3170.79</v>
      </c>
      <c r="N1810" s="89">
        <v>917.73</v>
      </c>
      <c r="O1810" s="89">
        <f t="shared" si="77"/>
        <v>11601.94</v>
      </c>
    </row>
    <row r="1811" spans="1:15">
      <c r="A1811" s="74" t="s">
        <v>309</v>
      </c>
      <c r="B1811" s="74" t="s">
        <v>259</v>
      </c>
      <c r="C1811" s="74" t="s">
        <v>260</v>
      </c>
      <c r="D1811" s="74" t="s">
        <v>86</v>
      </c>
      <c r="E1811" s="74" t="s">
        <v>87</v>
      </c>
      <c r="F1811" s="86" t="s">
        <v>261</v>
      </c>
      <c r="G1811" s="74" t="s">
        <v>262</v>
      </c>
      <c r="H1811" s="87">
        <v>44592</v>
      </c>
      <c r="I1811" s="98">
        <v>23</v>
      </c>
      <c r="J1811" s="98">
        <v>23</v>
      </c>
      <c r="K1811" s="89">
        <f t="shared" si="76"/>
        <v>1</v>
      </c>
      <c r="L1811" s="89">
        <v>6436.58</v>
      </c>
      <c r="M1811" s="89">
        <v>3002.8</v>
      </c>
      <c r="N1811" s="89">
        <v>824.53</v>
      </c>
      <c r="O1811" s="89">
        <f t="shared" si="77"/>
        <v>10263.91</v>
      </c>
    </row>
    <row r="1812" spans="1:15">
      <c r="A1812" s="74" t="s">
        <v>309</v>
      </c>
      <c r="B1812" s="74" t="s">
        <v>263</v>
      </c>
      <c r="C1812" s="74" t="s">
        <v>264</v>
      </c>
      <c r="D1812" s="74" t="s">
        <v>86</v>
      </c>
      <c r="E1812" s="74" t="s">
        <v>88</v>
      </c>
      <c r="F1812" s="86" t="s">
        <v>149</v>
      </c>
      <c r="G1812" s="74" t="s">
        <v>265</v>
      </c>
      <c r="H1812" s="87">
        <v>44592</v>
      </c>
      <c r="I1812" s="98">
        <v>23</v>
      </c>
      <c r="J1812" s="98">
        <v>23</v>
      </c>
      <c r="K1812" s="89">
        <f t="shared" si="76"/>
        <v>1</v>
      </c>
      <c r="L1812" s="89">
        <v>13890.95</v>
      </c>
      <c r="M1812" s="89">
        <v>3293.12</v>
      </c>
      <c r="N1812" s="89">
        <v>1815.05</v>
      </c>
      <c r="O1812" s="89">
        <f t="shared" si="77"/>
        <v>18999.12</v>
      </c>
    </row>
    <row r="1813" spans="1:15">
      <c r="A1813" s="74" t="s">
        <v>309</v>
      </c>
      <c r="B1813" s="74" t="s">
        <v>266</v>
      </c>
      <c r="C1813" s="74" t="s">
        <v>267</v>
      </c>
      <c r="D1813" s="74" t="s">
        <v>86</v>
      </c>
      <c r="E1813" s="74" t="s">
        <v>88</v>
      </c>
      <c r="F1813" s="86" t="s">
        <v>243</v>
      </c>
      <c r="G1813" s="74" t="s">
        <v>268</v>
      </c>
      <c r="H1813" s="87">
        <v>44592</v>
      </c>
      <c r="I1813" s="98">
        <v>23</v>
      </c>
      <c r="J1813" s="98">
        <v>23</v>
      </c>
      <c r="K1813" s="89">
        <f t="shared" si="76"/>
        <v>1</v>
      </c>
      <c r="L1813" s="89">
        <v>10441.18</v>
      </c>
      <c r="M1813" s="89">
        <v>3272.08</v>
      </c>
      <c r="N1813" s="89">
        <v>1318.35</v>
      </c>
      <c r="O1813" s="89">
        <f t="shared" si="77"/>
        <v>15031.61</v>
      </c>
    </row>
    <row r="1814" spans="1:15">
      <c r="A1814" s="74" t="s">
        <v>309</v>
      </c>
      <c r="B1814" s="74" t="s">
        <v>269</v>
      </c>
      <c r="C1814" s="74" t="s">
        <v>270</v>
      </c>
      <c r="D1814" s="74" t="s">
        <v>86</v>
      </c>
      <c r="E1814" s="74" t="s">
        <v>88</v>
      </c>
      <c r="F1814" s="86" t="s">
        <v>247</v>
      </c>
      <c r="G1814" s="74" t="s">
        <v>268</v>
      </c>
      <c r="H1814" s="87">
        <v>44592</v>
      </c>
      <c r="I1814" s="98">
        <v>23</v>
      </c>
      <c r="J1814" s="98">
        <v>23</v>
      </c>
      <c r="K1814" s="89">
        <f t="shared" si="76"/>
        <v>1</v>
      </c>
      <c r="L1814" s="89">
        <v>9735.24</v>
      </c>
      <c r="M1814" s="89">
        <v>3125.94</v>
      </c>
      <c r="N1814" s="89">
        <v>1285.63</v>
      </c>
      <c r="O1814" s="89">
        <f t="shared" si="77"/>
        <v>14146.81</v>
      </c>
    </row>
    <row r="1815" spans="1:15">
      <c r="A1815" s="74" t="s">
        <v>309</v>
      </c>
      <c r="B1815" s="74" t="s">
        <v>271</v>
      </c>
      <c r="C1815" s="74" t="s">
        <v>272</v>
      </c>
      <c r="D1815" s="74" t="s">
        <v>86</v>
      </c>
      <c r="E1815" s="74" t="s">
        <v>88</v>
      </c>
      <c r="F1815" s="86" t="s">
        <v>251</v>
      </c>
      <c r="G1815" s="74" t="s">
        <v>268</v>
      </c>
      <c r="H1815" s="87">
        <v>44592</v>
      </c>
      <c r="I1815" s="98">
        <v>23</v>
      </c>
      <c r="J1815" s="98">
        <v>23</v>
      </c>
      <c r="K1815" s="89">
        <f t="shared" si="76"/>
        <v>1</v>
      </c>
      <c r="L1815" s="89">
        <v>9564.41</v>
      </c>
      <c r="M1815" s="89">
        <v>3130.33</v>
      </c>
      <c r="N1815" s="89">
        <v>1161.31</v>
      </c>
      <c r="O1815" s="89">
        <f t="shared" si="77"/>
        <v>13856.05</v>
      </c>
    </row>
    <row r="1816" spans="1:15">
      <c r="A1816" s="74" t="s">
        <v>309</v>
      </c>
      <c r="B1816" s="74" t="s">
        <v>273</v>
      </c>
      <c r="C1816" s="74" t="s">
        <v>274</v>
      </c>
      <c r="D1816" s="74" t="s">
        <v>86</v>
      </c>
      <c r="E1816" s="74" t="s">
        <v>88</v>
      </c>
      <c r="F1816" s="86" t="s">
        <v>255</v>
      </c>
      <c r="G1816" s="74" t="s">
        <v>268</v>
      </c>
      <c r="H1816" s="87">
        <v>44592</v>
      </c>
      <c r="I1816" s="98">
        <v>23</v>
      </c>
      <c r="J1816" s="98">
        <v>23</v>
      </c>
      <c r="K1816" s="89">
        <f t="shared" si="76"/>
        <v>1</v>
      </c>
      <c r="L1816" s="89">
        <v>8247.92</v>
      </c>
      <c r="M1816" s="89">
        <v>3045.8</v>
      </c>
      <c r="N1816" s="89">
        <v>1090.1</v>
      </c>
      <c r="O1816" s="89">
        <f t="shared" si="77"/>
        <v>12383.82</v>
      </c>
    </row>
    <row r="1817" spans="1:15">
      <c r="A1817" s="74" t="s">
        <v>309</v>
      </c>
      <c r="B1817" s="74" t="s">
        <v>275</v>
      </c>
      <c r="C1817" s="74" t="s">
        <v>276</v>
      </c>
      <c r="D1817" s="74" t="s">
        <v>86</v>
      </c>
      <c r="E1817" s="74" t="s">
        <v>88</v>
      </c>
      <c r="F1817" s="86" t="s">
        <v>258</v>
      </c>
      <c r="G1817" s="74" t="s">
        <v>268</v>
      </c>
      <c r="H1817" s="87">
        <v>44592</v>
      </c>
      <c r="I1817" s="98">
        <v>23</v>
      </c>
      <c r="J1817" s="98">
        <v>23</v>
      </c>
      <c r="K1817" s="89">
        <f t="shared" si="76"/>
        <v>1</v>
      </c>
      <c r="L1817" s="89">
        <v>7396.39</v>
      </c>
      <c r="M1817" s="89">
        <v>3239.52</v>
      </c>
      <c r="N1817" s="89">
        <v>985.2</v>
      </c>
      <c r="O1817" s="89">
        <f t="shared" si="77"/>
        <v>11621.11</v>
      </c>
    </row>
    <row r="1818" spans="1:15">
      <c r="A1818" s="74" t="s">
        <v>309</v>
      </c>
      <c r="B1818" s="74" t="s">
        <v>277</v>
      </c>
      <c r="C1818" s="74" t="s">
        <v>278</v>
      </c>
      <c r="D1818" s="74" t="s">
        <v>86</v>
      </c>
      <c r="E1818" s="74" t="s">
        <v>89</v>
      </c>
      <c r="F1818" s="86" t="s">
        <v>279</v>
      </c>
      <c r="G1818" s="74" t="s">
        <v>280</v>
      </c>
      <c r="H1818" s="87">
        <v>44592</v>
      </c>
      <c r="I1818" s="98">
        <v>23</v>
      </c>
      <c r="J1818" s="98">
        <v>23</v>
      </c>
      <c r="K1818" s="89">
        <f t="shared" si="76"/>
        <v>1</v>
      </c>
      <c r="L1818" s="89">
        <v>12416.82</v>
      </c>
      <c r="M1818" s="89">
        <v>3185.96</v>
      </c>
      <c r="N1818" s="89">
        <v>1641.28</v>
      </c>
      <c r="O1818" s="89">
        <f t="shared" si="77"/>
        <v>17244.06</v>
      </c>
    </row>
    <row r="1819" spans="1:15">
      <c r="A1819" s="74" t="s">
        <v>309</v>
      </c>
      <c r="B1819" s="74" t="s">
        <v>281</v>
      </c>
      <c r="C1819" s="74" t="s">
        <v>282</v>
      </c>
      <c r="D1819" s="74" t="s">
        <v>86</v>
      </c>
      <c r="E1819" s="74" t="s">
        <v>89</v>
      </c>
      <c r="F1819" s="86" t="s">
        <v>225</v>
      </c>
      <c r="G1819" s="74" t="s">
        <v>283</v>
      </c>
      <c r="H1819" s="87">
        <v>44592</v>
      </c>
      <c r="I1819" s="98">
        <v>23</v>
      </c>
      <c r="J1819" s="98">
        <v>23</v>
      </c>
      <c r="K1819" s="89">
        <f t="shared" si="76"/>
        <v>1</v>
      </c>
      <c r="L1819" s="89">
        <v>8514.31</v>
      </c>
      <c r="M1819" s="89">
        <v>3252.72</v>
      </c>
      <c r="N1819" s="89">
        <v>1085.32</v>
      </c>
      <c r="O1819" s="89">
        <f t="shared" si="77"/>
        <v>12852.35</v>
      </c>
    </row>
    <row r="1820" spans="1:15">
      <c r="A1820" s="74" t="s">
        <v>309</v>
      </c>
      <c r="B1820" s="74" t="s">
        <v>284</v>
      </c>
      <c r="C1820" s="74" t="s">
        <v>285</v>
      </c>
      <c r="D1820" s="74" t="s">
        <v>86</v>
      </c>
      <c r="E1820" s="74" t="s">
        <v>89</v>
      </c>
      <c r="F1820" s="86" t="s">
        <v>208</v>
      </c>
      <c r="G1820" s="74" t="s">
        <v>283</v>
      </c>
      <c r="H1820" s="87">
        <v>44592</v>
      </c>
      <c r="I1820" s="98">
        <v>23</v>
      </c>
      <c r="J1820" s="98">
        <v>23</v>
      </c>
      <c r="K1820" s="89">
        <f t="shared" si="76"/>
        <v>1</v>
      </c>
      <c r="L1820" s="89">
        <v>7653.87</v>
      </c>
      <c r="M1820" s="89">
        <v>3101.26</v>
      </c>
      <c r="N1820" s="89">
        <v>948.15</v>
      </c>
      <c r="O1820" s="89">
        <f t="shared" si="77"/>
        <v>11703.28</v>
      </c>
    </row>
    <row r="1821" spans="1:15">
      <c r="A1821" s="74" t="s">
        <v>309</v>
      </c>
      <c r="B1821" s="74" t="s">
        <v>286</v>
      </c>
      <c r="C1821" s="74" t="s">
        <v>287</v>
      </c>
      <c r="D1821" s="74" t="s">
        <v>82</v>
      </c>
      <c r="E1821" s="88" t="s">
        <v>85</v>
      </c>
      <c r="F1821" s="86" t="s">
        <v>288</v>
      </c>
      <c r="G1821" s="74" t="s">
        <v>289</v>
      </c>
      <c r="H1821" s="87">
        <v>44592</v>
      </c>
      <c r="I1821" s="98">
        <v>23</v>
      </c>
      <c r="J1821" s="98">
        <v>23</v>
      </c>
      <c r="K1821" s="89">
        <f t="shared" ref="K1821:K1829" si="78">I1821/J1821</f>
        <v>1</v>
      </c>
      <c r="L1821" s="89">
        <v>13023.77</v>
      </c>
      <c r="M1821" s="89">
        <v>3143.57</v>
      </c>
      <c r="N1821" s="89">
        <v>1211.93</v>
      </c>
      <c r="O1821" s="89">
        <f t="shared" si="77"/>
        <v>17379.27</v>
      </c>
    </row>
    <row r="1822" spans="1:15">
      <c r="A1822" s="74" t="s">
        <v>309</v>
      </c>
      <c r="B1822" s="74" t="s">
        <v>290</v>
      </c>
      <c r="C1822" s="74" t="s">
        <v>291</v>
      </c>
      <c r="D1822" s="74" t="s">
        <v>82</v>
      </c>
      <c r="E1822" s="88" t="s">
        <v>85</v>
      </c>
      <c r="F1822" s="86" t="s">
        <v>218</v>
      </c>
      <c r="G1822" s="74" t="s">
        <v>289</v>
      </c>
      <c r="H1822" s="87">
        <v>44592</v>
      </c>
      <c r="I1822" s="98">
        <v>23</v>
      </c>
      <c r="J1822" s="98">
        <v>23</v>
      </c>
      <c r="K1822" s="89">
        <f t="shared" si="78"/>
        <v>1</v>
      </c>
      <c r="L1822" s="89">
        <v>11105.3</v>
      </c>
      <c r="M1822" s="89">
        <v>3241.63</v>
      </c>
      <c r="N1822" s="89">
        <v>1144.29</v>
      </c>
      <c r="O1822" s="89">
        <f t="shared" si="77"/>
        <v>15491.22</v>
      </c>
    </row>
    <row r="1823" spans="1:15">
      <c r="A1823" s="74" t="s">
        <v>309</v>
      </c>
      <c r="B1823" s="74" t="s">
        <v>292</v>
      </c>
      <c r="C1823" s="74" t="s">
        <v>293</v>
      </c>
      <c r="D1823" s="74" t="s">
        <v>82</v>
      </c>
      <c r="E1823" s="88" t="s">
        <v>85</v>
      </c>
      <c r="F1823" s="86" t="s">
        <v>225</v>
      </c>
      <c r="G1823" s="74" t="s">
        <v>289</v>
      </c>
      <c r="H1823" s="87">
        <v>44592</v>
      </c>
      <c r="I1823" s="98">
        <v>23</v>
      </c>
      <c r="J1823" s="98">
        <v>23</v>
      </c>
      <c r="K1823" s="89">
        <f t="shared" si="78"/>
        <v>1</v>
      </c>
      <c r="L1823" s="89">
        <v>10513.47</v>
      </c>
      <c r="M1823" s="89">
        <v>3104.68</v>
      </c>
      <c r="N1823" s="89">
        <v>1059.36</v>
      </c>
      <c r="O1823" s="89">
        <f t="shared" si="77"/>
        <v>14677.51</v>
      </c>
    </row>
    <row r="1824" spans="1:15">
      <c r="A1824" s="74" t="s">
        <v>309</v>
      </c>
      <c r="B1824" s="74" t="s">
        <v>294</v>
      </c>
      <c r="C1824" s="74" t="s">
        <v>295</v>
      </c>
      <c r="D1824" s="74" t="s">
        <v>82</v>
      </c>
      <c r="E1824" s="88" t="s">
        <v>85</v>
      </c>
      <c r="F1824" s="86" t="s">
        <v>208</v>
      </c>
      <c r="G1824" s="74" t="s">
        <v>289</v>
      </c>
      <c r="H1824" s="87">
        <v>44592</v>
      </c>
      <c r="I1824" s="98">
        <v>23</v>
      </c>
      <c r="J1824" s="98">
        <v>23</v>
      </c>
      <c r="K1824" s="89">
        <f t="shared" si="78"/>
        <v>1</v>
      </c>
      <c r="L1824" s="89">
        <v>9068.73</v>
      </c>
      <c r="M1824" s="89">
        <v>3279.7</v>
      </c>
      <c r="N1824" s="89">
        <v>970.08</v>
      </c>
      <c r="O1824" s="89">
        <f t="shared" si="77"/>
        <v>13318.51</v>
      </c>
    </row>
    <row r="1825" spans="1:15">
      <c r="A1825" s="74" t="s">
        <v>309</v>
      </c>
      <c r="B1825" s="74" t="s">
        <v>296</v>
      </c>
      <c r="C1825" s="74" t="s">
        <v>297</v>
      </c>
      <c r="D1825" s="74" t="s">
        <v>82</v>
      </c>
      <c r="E1825" s="88" t="s">
        <v>85</v>
      </c>
      <c r="F1825" s="86" t="s">
        <v>116</v>
      </c>
      <c r="G1825" s="74" t="s">
        <v>289</v>
      </c>
      <c r="H1825" s="87">
        <v>44592</v>
      </c>
      <c r="I1825" s="98">
        <v>23</v>
      </c>
      <c r="J1825" s="98">
        <v>23</v>
      </c>
      <c r="K1825" s="89">
        <f t="shared" si="78"/>
        <v>1</v>
      </c>
      <c r="L1825" s="89">
        <v>8546.62</v>
      </c>
      <c r="M1825" s="89">
        <v>3049.55</v>
      </c>
      <c r="N1825" s="89">
        <v>850.67</v>
      </c>
      <c r="O1825" s="89">
        <f t="shared" si="77"/>
        <v>12446.84</v>
      </c>
    </row>
    <row r="1826" spans="1:15">
      <c r="A1826" s="74" t="s">
        <v>309</v>
      </c>
      <c r="B1826" s="74" t="s">
        <v>298</v>
      </c>
      <c r="C1826" s="74" t="s">
        <v>299</v>
      </c>
      <c r="D1826" s="74" t="s">
        <v>82</v>
      </c>
      <c r="E1826" s="88" t="s">
        <v>85</v>
      </c>
      <c r="F1826" s="86" t="s">
        <v>279</v>
      </c>
      <c r="G1826" s="74" t="s">
        <v>300</v>
      </c>
      <c r="H1826" s="87">
        <v>44592</v>
      </c>
      <c r="I1826" s="98">
        <v>23</v>
      </c>
      <c r="J1826" s="98">
        <v>23</v>
      </c>
      <c r="K1826" s="89">
        <f t="shared" si="78"/>
        <v>1</v>
      </c>
      <c r="L1826" s="89">
        <v>16165.18</v>
      </c>
      <c r="M1826" s="89">
        <v>3083.38</v>
      </c>
      <c r="N1826" s="89">
        <v>1598.82</v>
      </c>
      <c r="O1826" s="89">
        <f t="shared" si="77"/>
        <v>20847.38</v>
      </c>
    </row>
    <row r="1827" spans="1:15">
      <c r="A1827" s="74" t="s">
        <v>309</v>
      </c>
      <c r="B1827" s="74" t="s">
        <v>301</v>
      </c>
      <c r="C1827" s="74" t="s">
        <v>302</v>
      </c>
      <c r="D1827" s="74" t="s">
        <v>82</v>
      </c>
      <c r="E1827" s="88" t="s">
        <v>85</v>
      </c>
      <c r="F1827" s="86" t="s">
        <v>279</v>
      </c>
      <c r="G1827" s="74" t="s">
        <v>303</v>
      </c>
      <c r="H1827" s="87">
        <v>44592</v>
      </c>
      <c r="I1827" s="98">
        <v>23</v>
      </c>
      <c r="J1827" s="98">
        <v>23</v>
      </c>
      <c r="K1827" s="89">
        <f t="shared" si="78"/>
        <v>1</v>
      </c>
      <c r="L1827" s="89">
        <v>15756.19</v>
      </c>
      <c r="M1827" s="89">
        <v>3153.16</v>
      </c>
      <c r="N1827" s="89">
        <v>1618.69</v>
      </c>
      <c r="O1827" s="89">
        <f t="shared" si="77"/>
        <v>20528.04</v>
      </c>
    </row>
    <row r="1828" spans="1:15">
      <c r="A1828" s="74" t="s">
        <v>309</v>
      </c>
      <c r="B1828" s="74" t="s">
        <v>304</v>
      </c>
      <c r="C1828" s="74" t="s">
        <v>305</v>
      </c>
      <c r="D1828" s="74" t="s">
        <v>86</v>
      </c>
      <c r="E1828" s="74" t="s">
        <v>90</v>
      </c>
      <c r="F1828" s="86" t="s">
        <v>306</v>
      </c>
      <c r="G1828" s="74" t="s">
        <v>307</v>
      </c>
      <c r="H1828" s="87">
        <v>44592</v>
      </c>
      <c r="I1828" s="98">
        <v>23</v>
      </c>
      <c r="J1828" s="98">
        <v>23</v>
      </c>
      <c r="K1828" s="89">
        <f t="shared" si="78"/>
        <v>1</v>
      </c>
      <c r="L1828" s="89">
        <v>17514.08</v>
      </c>
      <c r="M1828" s="89">
        <v>3199.92</v>
      </c>
      <c r="N1828" s="89">
        <v>2013.22</v>
      </c>
      <c r="O1828" s="89">
        <f t="shared" si="77"/>
        <v>22727.22</v>
      </c>
    </row>
    <row r="1829" spans="1:15">
      <c r="A1829" s="74" t="s">
        <v>309</v>
      </c>
      <c r="B1829" s="74" t="s">
        <v>114</v>
      </c>
      <c r="C1829" s="74" t="s">
        <v>115</v>
      </c>
      <c r="D1829" s="74" t="s">
        <v>79</v>
      </c>
      <c r="E1829" s="74" t="s">
        <v>80</v>
      </c>
      <c r="F1829" s="86" t="s">
        <v>116</v>
      </c>
      <c r="G1829" s="74" t="s">
        <v>117</v>
      </c>
      <c r="H1829" s="87">
        <v>44620</v>
      </c>
      <c r="I1829" s="98">
        <v>15</v>
      </c>
      <c r="J1829" s="98">
        <v>15</v>
      </c>
      <c r="K1829" s="89">
        <f t="shared" si="78"/>
        <v>1</v>
      </c>
      <c r="L1829" s="89">
        <v>8693.74</v>
      </c>
      <c r="M1829" s="89">
        <v>3169.01</v>
      </c>
      <c r="N1829" s="89">
        <v>803.78</v>
      </c>
      <c r="O1829" s="89">
        <f t="shared" si="77"/>
        <v>12666.53</v>
      </c>
    </row>
    <row r="1830" spans="1:15">
      <c r="A1830" s="74" t="s">
        <v>309</v>
      </c>
      <c r="B1830" s="74" t="s">
        <v>118</v>
      </c>
      <c r="C1830" s="74" t="s">
        <v>119</v>
      </c>
      <c r="D1830" s="74" t="s">
        <v>79</v>
      </c>
      <c r="E1830" s="74" t="s">
        <v>80</v>
      </c>
      <c r="F1830" s="86" t="s">
        <v>120</v>
      </c>
      <c r="G1830" s="74" t="s">
        <v>117</v>
      </c>
      <c r="H1830" s="87">
        <v>44620</v>
      </c>
      <c r="I1830" s="98">
        <v>15</v>
      </c>
      <c r="J1830" s="98">
        <v>15</v>
      </c>
      <c r="K1830" s="89">
        <f t="shared" ref="K1830:K1893" si="79">I1830/J1830</f>
        <v>1</v>
      </c>
      <c r="L1830" s="89">
        <v>7159.56</v>
      </c>
      <c r="M1830" s="89">
        <v>3252.09</v>
      </c>
      <c r="N1830" s="89">
        <v>715.94</v>
      </c>
      <c r="O1830" s="89">
        <f t="shared" si="77"/>
        <v>11127.59</v>
      </c>
    </row>
    <row r="1831" spans="1:15">
      <c r="A1831" s="74" t="s">
        <v>309</v>
      </c>
      <c r="B1831" s="74" t="s">
        <v>121</v>
      </c>
      <c r="C1831" s="74" t="s">
        <v>122</v>
      </c>
      <c r="D1831" s="74" t="s">
        <v>79</v>
      </c>
      <c r="E1831" s="74" t="s">
        <v>80</v>
      </c>
      <c r="F1831" s="86" t="s">
        <v>123</v>
      </c>
      <c r="G1831" s="74" t="s">
        <v>117</v>
      </c>
      <c r="H1831" s="87">
        <v>44620</v>
      </c>
      <c r="I1831" s="98">
        <v>15</v>
      </c>
      <c r="J1831" s="98">
        <v>15</v>
      </c>
      <c r="K1831" s="89">
        <f t="shared" si="79"/>
        <v>1</v>
      </c>
      <c r="L1831" s="89">
        <v>6021.26</v>
      </c>
      <c r="M1831" s="89">
        <v>3218.71</v>
      </c>
      <c r="N1831" s="89">
        <v>636.47</v>
      </c>
      <c r="O1831" s="89">
        <f t="shared" si="77"/>
        <v>9876.44</v>
      </c>
    </row>
    <row r="1832" spans="1:15">
      <c r="A1832" s="74" t="s">
        <v>309</v>
      </c>
      <c r="B1832" s="74" t="s">
        <v>124</v>
      </c>
      <c r="C1832" s="74" t="s">
        <v>125</v>
      </c>
      <c r="D1832" s="74" t="s">
        <v>79</v>
      </c>
      <c r="E1832" s="74" t="s">
        <v>80</v>
      </c>
      <c r="F1832" s="86" t="s">
        <v>116</v>
      </c>
      <c r="G1832" s="74" t="s">
        <v>117</v>
      </c>
      <c r="H1832" s="87">
        <v>44620</v>
      </c>
      <c r="I1832" s="98">
        <v>15</v>
      </c>
      <c r="J1832" s="98">
        <v>15</v>
      </c>
      <c r="K1832" s="89">
        <f t="shared" si="79"/>
        <v>1</v>
      </c>
      <c r="L1832" s="89">
        <v>8030.02</v>
      </c>
      <c r="M1832" s="89">
        <v>3004.65</v>
      </c>
      <c r="N1832" s="89">
        <v>802.63</v>
      </c>
      <c r="O1832" s="89">
        <f t="shared" si="77"/>
        <v>11837.3</v>
      </c>
    </row>
    <row r="1833" spans="1:15">
      <c r="A1833" s="74" t="s">
        <v>309</v>
      </c>
      <c r="B1833" s="74" t="s">
        <v>126</v>
      </c>
      <c r="C1833" s="74" t="s">
        <v>127</v>
      </c>
      <c r="D1833" s="74" t="s">
        <v>79</v>
      </c>
      <c r="E1833" s="74" t="s">
        <v>80</v>
      </c>
      <c r="F1833" s="86" t="s">
        <v>120</v>
      </c>
      <c r="G1833" s="74" t="s">
        <v>117</v>
      </c>
      <c r="H1833" s="87">
        <v>44620</v>
      </c>
      <c r="I1833" s="98">
        <v>15</v>
      </c>
      <c r="J1833" s="98">
        <v>15</v>
      </c>
      <c r="K1833" s="89">
        <f t="shared" si="79"/>
        <v>1</v>
      </c>
      <c r="L1833" s="89">
        <v>7446.42</v>
      </c>
      <c r="M1833" s="89">
        <v>3137.63</v>
      </c>
      <c r="N1833" s="89">
        <v>705.21</v>
      </c>
      <c r="O1833" s="89">
        <f t="shared" si="77"/>
        <v>11289.26</v>
      </c>
    </row>
    <row r="1834" spans="1:15">
      <c r="A1834" s="74" t="s">
        <v>309</v>
      </c>
      <c r="B1834" s="74" t="s">
        <v>128</v>
      </c>
      <c r="C1834" s="74" t="s">
        <v>129</v>
      </c>
      <c r="D1834" s="74" t="s">
        <v>79</v>
      </c>
      <c r="E1834" s="74" t="s">
        <v>80</v>
      </c>
      <c r="F1834" s="86" t="s">
        <v>123</v>
      </c>
      <c r="G1834" s="74" t="s">
        <v>117</v>
      </c>
      <c r="H1834" s="87">
        <v>44620</v>
      </c>
      <c r="I1834" s="98">
        <v>15</v>
      </c>
      <c r="J1834" s="98">
        <v>15</v>
      </c>
      <c r="K1834" s="89">
        <f t="shared" si="79"/>
        <v>1</v>
      </c>
      <c r="L1834" s="89">
        <v>6543.48</v>
      </c>
      <c r="M1834" s="89">
        <v>3084.99</v>
      </c>
      <c r="N1834" s="89">
        <v>615.51</v>
      </c>
      <c r="O1834" s="89">
        <f t="shared" si="77"/>
        <v>10243.98</v>
      </c>
    </row>
    <row r="1835" spans="1:15">
      <c r="A1835" s="74" t="s">
        <v>309</v>
      </c>
      <c r="B1835" s="74" t="s">
        <v>130</v>
      </c>
      <c r="C1835" s="74" t="s">
        <v>131</v>
      </c>
      <c r="D1835" s="74" t="s">
        <v>79</v>
      </c>
      <c r="E1835" s="74" t="s">
        <v>80</v>
      </c>
      <c r="F1835" s="86" t="s">
        <v>116</v>
      </c>
      <c r="G1835" s="74" t="s">
        <v>117</v>
      </c>
      <c r="H1835" s="87">
        <v>44620</v>
      </c>
      <c r="I1835" s="98">
        <v>15</v>
      </c>
      <c r="J1835" s="98">
        <v>15</v>
      </c>
      <c r="K1835" s="89">
        <f t="shared" si="79"/>
        <v>1</v>
      </c>
      <c r="L1835" s="89">
        <v>8599.7</v>
      </c>
      <c r="M1835" s="89">
        <v>3212.54</v>
      </c>
      <c r="N1835" s="89">
        <v>860.45</v>
      </c>
      <c r="O1835" s="89">
        <f t="shared" si="77"/>
        <v>12672.69</v>
      </c>
    </row>
    <row r="1836" spans="1:15">
      <c r="A1836" s="74" t="s">
        <v>309</v>
      </c>
      <c r="B1836" s="74" t="s">
        <v>132</v>
      </c>
      <c r="C1836" s="74" t="s">
        <v>133</v>
      </c>
      <c r="D1836" s="74" t="s">
        <v>79</v>
      </c>
      <c r="E1836" s="74" t="s">
        <v>80</v>
      </c>
      <c r="F1836" s="86" t="s">
        <v>120</v>
      </c>
      <c r="G1836" s="74" t="s">
        <v>117</v>
      </c>
      <c r="H1836" s="87">
        <v>44620</v>
      </c>
      <c r="I1836" s="98">
        <v>15</v>
      </c>
      <c r="J1836" s="98">
        <v>15</v>
      </c>
      <c r="K1836" s="89">
        <f t="shared" si="79"/>
        <v>1</v>
      </c>
      <c r="L1836" s="89">
        <v>7502.56</v>
      </c>
      <c r="M1836" s="89">
        <v>3248.01</v>
      </c>
      <c r="N1836" s="89">
        <v>755.78</v>
      </c>
      <c r="O1836" s="89">
        <f t="shared" si="77"/>
        <v>11506.35</v>
      </c>
    </row>
    <row r="1837" spans="1:15">
      <c r="A1837" s="74" t="s">
        <v>309</v>
      </c>
      <c r="B1837" s="74" t="s">
        <v>134</v>
      </c>
      <c r="C1837" s="74" t="s">
        <v>135</v>
      </c>
      <c r="D1837" s="74" t="s">
        <v>79</v>
      </c>
      <c r="E1837" s="74" t="s">
        <v>80</v>
      </c>
      <c r="F1837" s="86" t="s">
        <v>123</v>
      </c>
      <c r="G1837" s="74" t="s">
        <v>117</v>
      </c>
      <c r="H1837" s="87">
        <v>44620</v>
      </c>
      <c r="I1837" s="98">
        <v>15</v>
      </c>
      <c r="J1837" s="98">
        <v>15</v>
      </c>
      <c r="K1837" s="89">
        <f t="shared" si="79"/>
        <v>1</v>
      </c>
      <c r="L1837" s="89">
        <v>6481.6</v>
      </c>
      <c r="M1837" s="89">
        <v>3280.31</v>
      </c>
      <c r="N1837" s="89">
        <v>618.26</v>
      </c>
      <c r="O1837" s="89">
        <f t="shared" si="77"/>
        <v>10380.17</v>
      </c>
    </row>
    <row r="1838" spans="1:15">
      <c r="A1838" s="74" t="s">
        <v>309</v>
      </c>
      <c r="B1838" s="74" t="s">
        <v>136</v>
      </c>
      <c r="C1838" s="74" t="s">
        <v>137</v>
      </c>
      <c r="D1838" s="74" t="s">
        <v>79</v>
      </c>
      <c r="E1838" s="74" t="s">
        <v>80</v>
      </c>
      <c r="F1838" s="86" t="s">
        <v>116</v>
      </c>
      <c r="G1838" s="74" t="s">
        <v>138</v>
      </c>
      <c r="H1838" s="87">
        <v>44620</v>
      </c>
      <c r="I1838" s="98">
        <v>15</v>
      </c>
      <c r="J1838" s="98">
        <v>15</v>
      </c>
      <c r="K1838" s="89">
        <f t="shared" si="79"/>
        <v>1</v>
      </c>
      <c r="L1838" s="89">
        <v>8400.68</v>
      </c>
      <c r="M1838" s="89">
        <v>3214.79</v>
      </c>
      <c r="N1838" s="89">
        <v>868.63</v>
      </c>
      <c r="O1838" s="89">
        <f t="shared" si="77"/>
        <v>12484.1</v>
      </c>
    </row>
    <row r="1839" spans="1:15">
      <c r="A1839" s="74" t="s">
        <v>309</v>
      </c>
      <c r="B1839" s="74" t="s">
        <v>139</v>
      </c>
      <c r="C1839" s="74" t="s">
        <v>140</v>
      </c>
      <c r="D1839" s="74" t="s">
        <v>79</v>
      </c>
      <c r="E1839" s="74" t="s">
        <v>80</v>
      </c>
      <c r="F1839" s="86" t="s">
        <v>120</v>
      </c>
      <c r="G1839" s="74" t="s">
        <v>138</v>
      </c>
      <c r="H1839" s="87">
        <v>44620</v>
      </c>
      <c r="I1839" s="98">
        <v>15</v>
      </c>
      <c r="J1839" s="98">
        <v>15</v>
      </c>
      <c r="K1839" s="89">
        <f t="shared" si="79"/>
        <v>1</v>
      </c>
      <c r="L1839" s="89">
        <v>7144.2</v>
      </c>
      <c r="M1839" s="89">
        <v>3163.2</v>
      </c>
      <c r="N1839" s="89">
        <v>757.42</v>
      </c>
      <c r="O1839" s="89">
        <f t="shared" si="77"/>
        <v>11064.82</v>
      </c>
    </row>
    <row r="1840" spans="1:15">
      <c r="A1840" s="74" t="s">
        <v>309</v>
      </c>
      <c r="B1840" s="74" t="s">
        <v>141</v>
      </c>
      <c r="C1840" s="74" t="s">
        <v>142</v>
      </c>
      <c r="D1840" s="74" t="s">
        <v>79</v>
      </c>
      <c r="E1840" s="74" t="s">
        <v>80</v>
      </c>
      <c r="F1840" s="86" t="s">
        <v>123</v>
      </c>
      <c r="G1840" s="74" t="s">
        <v>138</v>
      </c>
      <c r="H1840" s="87">
        <v>44620</v>
      </c>
      <c r="I1840" s="98">
        <v>15</v>
      </c>
      <c r="J1840" s="98">
        <v>15</v>
      </c>
      <c r="K1840" s="89">
        <f t="shared" si="79"/>
        <v>1</v>
      </c>
      <c r="L1840" s="89">
        <v>6495.26</v>
      </c>
      <c r="M1840" s="89">
        <v>3210.98</v>
      </c>
      <c r="N1840" s="89">
        <v>607.18</v>
      </c>
      <c r="O1840" s="89">
        <f t="shared" si="77"/>
        <v>10313.42</v>
      </c>
    </row>
    <row r="1841" spans="1:15">
      <c r="A1841" s="74" t="s">
        <v>309</v>
      </c>
      <c r="B1841" s="74" t="s">
        <v>143</v>
      </c>
      <c r="C1841" s="74" t="s">
        <v>144</v>
      </c>
      <c r="D1841" s="74" t="s">
        <v>79</v>
      </c>
      <c r="E1841" s="74" t="s">
        <v>80</v>
      </c>
      <c r="F1841" s="86" t="s">
        <v>145</v>
      </c>
      <c r="G1841" s="74" t="s">
        <v>146</v>
      </c>
      <c r="H1841" s="87">
        <v>44620</v>
      </c>
      <c r="I1841" s="98">
        <v>15</v>
      </c>
      <c r="J1841" s="98">
        <v>15</v>
      </c>
      <c r="K1841" s="89">
        <f t="shared" si="79"/>
        <v>1</v>
      </c>
      <c r="L1841" s="89">
        <v>20681.4</v>
      </c>
      <c r="M1841" s="89">
        <v>3060.12</v>
      </c>
      <c r="N1841" s="89">
        <v>2020.42</v>
      </c>
      <c r="O1841" s="89">
        <f t="shared" si="77"/>
        <v>25761.94</v>
      </c>
    </row>
    <row r="1842" spans="1:15">
      <c r="A1842" s="74" t="s">
        <v>309</v>
      </c>
      <c r="B1842" s="74" t="s">
        <v>147</v>
      </c>
      <c r="C1842" s="74" t="s">
        <v>148</v>
      </c>
      <c r="D1842" s="74" t="s">
        <v>79</v>
      </c>
      <c r="E1842" s="74" t="s">
        <v>80</v>
      </c>
      <c r="F1842" s="86" t="s">
        <v>149</v>
      </c>
      <c r="G1842" s="74" t="s">
        <v>150</v>
      </c>
      <c r="H1842" s="87">
        <v>44620</v>
      </c>
      <c r="I1842" s="98">
        <v>15</v>
      </c>
      <c r="J1842" s="98">
        <v>15</v>
      </c>
      <c r="K1842" s="89">
        <f t="shared" si="79"/>
        <v>1</v>
      </c>
      <c r="L1842" s="89">
        <v>17698.19</v>
      </c>
      <c r="M1842" s="89">
        <v>3201.15</v>
      </c>
      <c r="N1842" s="89">
        <v>1703.19</v>
      </c>
      <c r="O1842" s="89">
        <f t="shared" si="77"/>
        <v>22602.53</v>
      </c>
    </row>
    <row r="1843" spans="1:15">
      <c r="A1843" s="74" t="s">
        <v>309</v>
      </c>
      <c r="B1843" s="74" t="s">
        <v>151</v>
      </c>
      <c r="C1843" s="74" t="s">
        <v>152</v>
      </c>
      <c r="D1843" s="74" t="s">
        <v>79</v>
      </c>
      <c r="E1843" s="74" t="s">
        <v>81</v>
      </c>
      <c r="F1843" s="86" t="s">
        <v>123</v>
      </c>
      <c r="G1843" s="74" t="s">
        <v>153</v>
      </c>
      <c r="H1843" s="87">
        <v>44620</v>
      </c>
      <c r="I1843" s="98">
        <v>15</v>
      </c>
      <c r="J1843" s="98">
        <v>15</v>
      </c>
      <c r="K1843" s="89">
        <f t="shared" si="79"/>
        <v>1</v>
      </c>
      <c r="L1843" s="89">
        <v>6490.42</v>
      </c>
      <c r="M1843" s="89">
        <v>3252.18</v>
      </c>
      <c r="N1843" s="89">
        <v>603.99</v>
      </c>
      <c r="O1843" s="89">
        <f t="shared" si="77"/>
        <v>10346.59</v>
      </c>
    </row>
    <row r="1844" spans="1:15">
      <c r="A1844" s="74" t="s">
        <v>309</v>
      </c>
      <c r="B1844" s="74" t="s">
        <v>154</v>
      </c>
      <c r="C1844" s="74" t="s">
        <v>155</v>
      </c>
      <c r="D1844" s="74" t="s">
        <v>79</v>
      </c>
      <c r="E1844" s="74" t="s">
        <v>81</v>
      </c>
      <c r="F1844" s="86" t="s">
        <v>156</v>
      </c>
      <c r="G1844" s="74" t="s">
        <v>157</v>
      </c>
      <c r="H1844" s="87">
        <v>44620</v>
      </c>
      <c r="I1844" s="98">
        <v>15</v>
      </c>
      <c r="J1844" s="98">
        <v>15</v>
      </c>
      <c r="K1844" s="89">
        <f t="shared" si="79"/>
        <v>1</v>
      </c>
      <c r="L1844" s="89">
        <v>5012.48</v>
      </c>
      <c r="M1844" s="89">
        <v>3126.64</v>
      </c>
      <c r="N1844" s="89">
        <v>502.93</v>
      </c>
      <c r="O1844" s="89">
        <f t="shared" si="77"/>
        <v>8642.05</v>
      </c>
    </row>
    <row r="1845" spans="1:15">
      <c r="A1845" s="74" t="s">
        <v>309</v>
      </c>
      <c r="B1845" s="74" t="s">
        <v>158</v>
      </c>
      <c r="C1845" s="74" t="s">
        <v>159</v>
      </c>
      <c r="D1845" s="74" t="s">
        <v>79</v>
      </c>
      <c r="E1845" s="74" t="s">
        <v>81</v>
      </c>
      <c r="F1845" s="86" t="s">
        <v>160</v>
      </c>
      <c r="G1845" s="74" t="s">
        <v>161</v>
      </c>
      <c r="H1845" s="87">
        <v>44620</v>
      </c>
      <c r="I1845" s="98">
        <v>15</v>
      </c>
      <c r="J1845" s="98">
        <v>15</v>
      </c>
      <c r="K1845" s="89">
        <f t="shared" si="79"/>
        <v>1</v>
      </c>
      <c r="L1845" s="89">
        <v>4117.98</v>
      </c>
      <c r="M1845" s="89">
        <v>3180.28</v>
      </c>
      <c r="N1845" s="89">
        <v>415.67</v>
      </c>
      <c r="O1845" s="89">
        <f t="shared" si="77"/>
        <v>7713.93</v>
      </c>
    </row>
    <row r="1846" spans="1:15">
      <c r="A1846" s="74" t="s">
        <v>309</v>
      </c>
      <c r="B1846" s="74" t="s">
        <v>162</v>
      </c>
      <c r="C1846" s="74" t="s">
        <v>163</v>
      </c>
      <c r="D1846" s="74" t="s">
        <v>79</v>
      </c>
      <c r="E1846" s="74" t="s">
        <v>81</v>
      </c>
      <c r="F1846" s="86" t="s">
        <v>123</v>
      </c>
      <c r="G1846" s="74" t="s">
        <v>153</v>
      </c>
      <c r="H1846" s="87">
        <v>44620</v>
      </c>
      <c r="I1846" s="98">
        <v>15</v>
      </c>
      <c r="J1846" s="98">
        <v>15</v>
      </c>
      <c r="K1846" s="89">
        <f t="shared" si="79"/>
        <v>1</v>
      </c>
      <c r="L1846" s="89">
        <v>6152.17</v>
      </c>
      <c r="M1846" s="89">
        <v>3293.9</v>
      </c>
      <c r="N1846" s="89">
        <v>623.08</v>
      </c>
      <c r="O1846" s="89">
        <f t="shared" si="77"/>
        <v>10069.15</v>
      </c>
    </row>
    <row r="1847" spans="1:15">
      <c r="A1847" s="74" t="s">
        <v>309</v>
      </c>
      <c r="B1847" s="74" t="s">
        <v>164</v>
      </c>
      <c r="C1847" s="74" t="s">
        <v>165</v>
      </c>
      <c r="D1847" s="74" t="s">
        <v>79</v>
      </c>
      <c r="E1847" s="74" t="s">
        <v>81</v>
      </c>
      <c r="F1847" s="86" t="s">
        <v>156</v>
      </c>
      <c r="G1847" s="74" t="s">
        <v>157</v>
      </c>
      <c r="H1847" s="87">
        <v>44620</v>
      </c>
      <c r="I1847" s="98">
        <v>15</v>
      </c>
      <c r="J1847" s="98">
        <v>15</v>
      </c>
      <c r="K1847" s="89">
        <f t="shared" si="79"/>
        <v>1</v>
      </c>
      <c r="L1847" s="89">
        <v>5076.46</v>
      </c>
      <c r="M1847" s="89">
        <v>3287.66</v>
      </c>
      <c r="N1847" s="89">
        <v>531.66</v>
      </c>
      <c r="O1847" s="89">
        <f t="shared" si="77"/>
        <v>8895.78</v>
      </c>
    </row>
    <row r="1848" spans="1:15">
      <c r="A1848" s="74" t="s">
        <v>309</v>
      </c>
      <c r="B1848" s="74" t="s">
        <v>166</v>
      </c>
      <c r="C1848" s="74" t="s">
        <v>167</v>
      </c>
      <c r="D1848" s="74" t="s">
        <v>79</v>
      </c>
      <c r="E1848" s="74" t="s">
        <v>81</v>
      </c>
      <c r="F1848" s="86" t="s">
        <v>160</v>
      </c>
      <c r="G1848" s="74" t="s">
        <v>161</v>
      </c>
      <c r="H1848" s="87">
        <v>44620</v>
      </c>
      <c r="I1848" s="98">
        <v>15</v>
      </c>
      <c r="J1848" s="98">
        <v>15</v>
      </c>
      <c r="K1848" s="89">
        <f t="shared" si="79"/>
        <v>1</v>
      </c>
      <c r="L1848" s="89">
        <v>4132.38</v>
      </c>
      <c r="M1848" s="89">
        <v>3221.63</v>
      </c>
      <c r="N1848" s="89">
        <v>435.53</v>
      </c>
      <c r="O1848" s="89">
        <f t="shared" si="77"/>
        <v>7789.54</v>
      </c>
    </row>
    <row r="1849" spans="1:15">
      <c r="A1849" s="74" t="s">
        <v>309</v>
      </c>
      <c r="B1849" s="74" t="s">
        <v>168</v>
      </c>
      <c r="C1849" s="74" t="s">
        <v>169</v>
      </c>
      <c r="D1849" s="74" t="s">
        <v>79</v>
      </c>
      <c r="E1849" s="74" t="s">
        <v>81</v>
      </c>
      <c r="F1849" s="86" t="s">
        <v>123</v>
      </c>
      <c r="G1849" s="74" t="s">
        <v>153</v>
      </c>
      <c r="H1849" s="87">
        <v>44620</v>
      </c>
      <c r="I1849" s="98">
        <v>15</v>
      </c>
      <c r="J1849" s="98">
        <v>15</v>
      </c>
      <c r="K1849" s="89">
        <f t="shared" si="79"/>
        <v>1</v>
      </c>
      <c r="L1849" s="89">
        <v>6400.05</v>
      </c>
      <c r="M1849" s="89">
        <v>3114.6</v>
      </c>
      <c r="N1849" s="89">
        <v>620.63</v>
      </c>
      <c r="O1849" s="89">
        <f t="shared" si="77"/>
        <v>10135.28</v>
      </c>
    </row>
    <row r="1850" spans="1:15">
      <c r="A1850" s="74" t="s">
        <v>309</v>
      </c>
      <c r="B1850" s="74" t="s">
        <v>170</v>
      </c>
      <c r="C1850" s="74" t="s">
        <v>171</v>
      </c>
      <c r="D1850" s="74" t="s">
        <v>79</v>
      </c>
      <c r="E1850" s="74" t="s">
        <v>81</v>
      </c>
      <c r="F1850" s="86" t="s">
        <v>156</v>
      </c>
      <c r="G1850" s="74" t="s">
        <v>157</v>
      </c>
      <c r="H1850" s="87">
        <v>44620</v>
      </c>
      <c r="I1850" s="98">
        <v>15</v>
      </c>
      <c r="J1850" s="98">
        <v>15</v>
      </c>
      <c r="K1850" s="89">
        <f t="shared" si="79"/>
        <v>1</v>
      </c>
      <c r="L1850" s="89">
        <v>5178.18</v>
      </c>
      <c r="M1850" s="89">
        <v>3219.78</v>
      </c>
      <c r="N1850" s="89">
        <v>535.62</v>
      </c>
      <c r="O1850" s="89">
        <f t="shared" si="77"/>
        <v>8933.58</v>
      </c>
    </row>
    <row r="1851" spans="1:15">
      <c r="A1851" s="74" t="s">
        <v>309</v>
      </c>
      <c r="B1851" s="74" t="s">
        <v>172</v>
      </c>
      <c r="C1851" s="74" t="s">
        <v>173</v>
      </c>
      <c r="D1851" s="74" t="s">
        <v>79</v>
      </c>
      <c r="E1851" s="74" t="s">
        <v>81</v>
      </c>
      <c r="F1851" s="86" t="s">
        <v>160</v>
      </c>
      <c r="G1851" s="74" t="s">
        <v>161</v>
      </c>
      <c r="H1851" s="87">
        <v>44620</v>
      </c>
      <c r="I1851" s="98">
        <v>15</v>
      </c>
      <c r="J1851" s="98">
        <v>15</v>
      </c>
      <c r="K1851" s="89">
        <f t="shared" si="79"/>
        <v>1</v>
      </c>
      <c r="L1851" s="89">
        <v>4372.96</v>
      </c>
      <c r="M1851" s="89">
        <v>3280.25</v>
      </c>
      <c r="N1851" s="89">
        <v>403.41</v>
      </c>
      <c r="O1851" s="89">
        <f t="shared" si="77"/>
        <v>8056.62</v>
      </c>
    </row>
    <row r="1852" spans="1:15">
      <c r="A1852" s="74" t="s">
        <v>309</v>
      </c>
      <c r="B1852" s="74" t="s">
        <v>174</v>
      </c>
      <c r="C1852" s="74" t="s">
        <v>175</v>
      </c>
      <c r="D1852" s="74" t="s">
        <v>79</v>
      </c>
      <c r="E1852" s="74" t="s">
        <v>81</v>
      </c>
      <c r="F1852" s="86" t="s">
        <v>176</v>
      </c>
      <c r="G1852" s="74" t="s">
        <v>177</v>
      </c>
      <c r="H1852" s="87">
        <v>44620</v>
      </c>
      <c r="I1852" s="98">
        <v>15</v>
      </c>
      <c r="J1852" s="98">
        <v>15</v>
      </c>
      <c r="K1852" s="89">
        <f t="shared" si="79"/>
        <v>1</v>
      </c>
      <c r="L1852" s="89">
        <v>3269.21</v>
      </c>
      <c r="M1852" s="89">
        <v>3034.63</v>
      </c>
      <c r="N1852" s="89">
        <v>307.5</v>
      </c>
      <c r="O1852" s="89">
        <f t="shared" si="77"/>
        <v>6611.34</v>
      </c>
    </row>
    <row r="1853" spans="1:15">
      <c r="A1853" s="74" t="s">
        <v>309</v>
      </c>
      <c r="B1853" s="74" t="s">
        <v>178</v>
      </c>
      <c r="C1853" s="74" t="s">
        <v>179</v>
      </c>
      <c r="D1853" s="74" t="s">
        <v>79</v>
      </c>
      <c r="E1853" s="74" t="s">
        <v>81</v>
      </c>
      <c r="F1853" s="86" t="s">
        <v>180</v>
      </c>
      <c r="G1853" s="74" t="s">
        <v>177</v>
      </c>
      <c r="H1853" s="87">
        <v>44620</v>
      </c>
      <c r="I1853" s="98">
        <v>15</v>
      </c>
      <c r="J1853" s="98">
        <v>15</v>
      </c>
      <c r="K1853" s="89">
        <f t="shared" si="79"/>
        <v>1</v>
      </c>
      <c r="L1853" s="89">
        <v>2047.01</v>
      </c>
      <c r="M1853" s="89">
        <v>3134.46</v>
      </c>
      <c r="N1853" s="89">
        <v>218.85</v>
      </c>
      <c r="O1853" s="89">
        <f t="shared" si="77"/>
        <v>5400.32</v>
      </c>
    </row>
    <row r="1854" spans="1:15">
      <c r="A1854" s="74" t="s">
        <v>309</v>
      </c>
      <c r="B1854" s="74" t="s">
        <v>181</v>
      </c>
      <c r="C1854" s="74" t="s">
        <v>182</v>
      </c>
      <c r="D1854" s="74" t="s">
        <v>79</v>
      </c>
      <c r="E1854" s="74" t="s">
        <v>81</v>
      </c>
      <c r="F1854" s="86" t="s">
        <v>183</v>
      </c>
      <c r="G1854" s="74" t="s">
        <v>177</v>
      </c>
      <c r="H1854" s="87">
        <v>44620</v>
      </c>
      <c r="I1854" s="98">
        <v>15</v>
      </c>
      <c r="J1854" s="98">
        <v>15</v>
      </c>
      <c r="K1854" s="89">
        <f t="shared" si="79"/>
        <v>1</v>
      </c>
      <c r="L1854" s="89">
        <v>1005.68</v>
      </c>
      <c r="M1854" s="89">
        <v>3202.7</v>
      </c>
      <c r="N1854" s="89">
        <v>107.16</v>
      </c>
      <c r="O1854" s="89">
        <f t="shared" si="77"/>
        <v>4315.54</v>
      </c>
    </row>
    <row r="1855" spans="1:15">
      <c r="A1855" s="74" t="s">
        <v>309</v>
      </c>
      <c r="B1855" s="74" t="s">
        <v>184</v>
      </c>
      <c r="C1855" s="74" t="s">
        <v>185</v>
      </c>
      <c r="D1855" s="74" t="s">
        <v>79</v>
      </c>
      <c r="E1855" s="74" t="s">
        <v>81</v>
      </c>
      <c r="F1855" s="86" t="s">
        <v>176</v>
      </c>
      <c r="G1855" s="74" t="s">
        <v>177</v>
      </c>
      <c r="H1855" s="87">
        <v>44620</v>
      </c>
      <c r="I1855" s="98">
        <v>15</v>
      </c>
      <c r="J1855" s="98">
        <v>15</v>
      </c>
      <c r="K1855" s="89">
        <f t="shared" si="79"/>
        <v>1</v>
      </c>
      <c r="L1855" s="89">
        <v>3098.17</v>
      </c>
      <c r="M1855" s="89">
        <v>3133.04</v>
      </c>
      <c r="N1855" s="89">
        <v>317.94</v>
      </c>
      <c r="O1855" s="89">
        <f t="shared" si="77"/>
        <v>6549.15</v>
      </c>
    </row>
    <row r="1856" spans="1:15">
      <c r="A1856" s="74" t="s">
        <v>309</v>
      </c>
      <c r="B1856" s="74" t="s">
        <v>186</v>
      </c>
      <c r="C1856" s="74" t="s">
        <v>187</v>
      </c>
      <c r="D1856" s="74" t="s">
        <v>79</v>
      </c>
      <c r="E1856" s="74" t="s">
        <v>81</v>
      </c>
      <c r="F1856" s="86" t="s">
        <v>180</v>
      </c>
      <c r="G1856" s="74" t="s">
        <v>177</v>
      </c>
      <c r="H1856" s="87">
        <v>44620</v>
      </c>
      <c r="I1856" s="98">
        <v>15</v>
      </c>
      <c r="J1856" s="98">
        <v>15</v>
      </c>
      <c r="K1856" s="89">
        <f t="shared" si="79"/>
        <v>1</v>
      </c>
      <c r="L1856" s="89">
        <v>2003.62</v>
      </c>
      <c r="M1856" s="89">
        <v>3026.96</v>
      </c>
      <c r="N1856" s="89">
        <v>214.65</v>
      </c>
      <c r="O1856" s="89">
        <f t="shared" si="77"/>
        <v>5245.23</v>
      </c>
    </row>
    <row r="1857" spans="1:15">
      <c r="A1857" s="74" t="s">
        <v>309</v>
      </c>
      <c r="B1857" s="74" t="s">
        <v>188</v>
      </c>
      <c r="C1857" s="74" t="s">
        <v>189</v>
      </c>
      <c r="D1857" s="74" t="s">
        <v>79</v>
      </c>
      <c r="E1857" s="74" t="s">
        <v>81</v>
      </c>
      <c r="F1857" s="86" t="s">
        <v>183</v>
      </c>
      <c r="G1857" s="74" t="s">
        <v>177</v>
      </c>
      <c r="H1857" s="87">
        <v>44620</v>
      </c>
      <c r="I1857" s="98">
        <v>15</v>
      </c>
      <c r="J1857" s="98">
        <v>15</v>
      </c>
      <c r="K1857" s="89">
        <f t="shared" si="79"/>
        <v>1</v>
      </c>
      <c r="L1857" s="89">
        <v>1085.27</v>
      </c>
      <c r="M1857" s="89">
        <v>3049.32</v>
      </c>
      <c r="N1857" s="89">
        <v>105.46</v>
      </c>
      <c r="O1857" s="89">
        <f t="shared" si="77"/>
        <v>4240.05</v>
      </c>
    </row>
    <row r="1858" spans="1:15">
      <c r="A1858" s="74" t="s">
        <v>309</v>
      </c>
      <c r="B1858" s="74" t="s">
        <v>190</v>
      </c>
      <c r="C1858" s="74" t="s">
        <v>191</v>
      </c>
      <c r="D1858" s="74" t="s">
        <v>79</v>
      </c>
      <c r="E1858" s="74" t="s">
        <v>81</v>
      </c>
      <c r="F1858" s="86" t="s">
        <v>176</v>
      </c>
      <c r="G1858" s="74" t="s">
        <v>177</v>
      </c>
      <c r="H1858" s="87">
        <v>44620</v>
      </c>
      <c r="I1858" s="98">
        <v>15</v>
      </c>
      <c r="J1858" s="98">
        <v>15</v>
      </c>
      <c r="K1858" s="89">
        <f t="shared" si="79"/>
        <v>1</v>
      </c>
      <c r="L1858" s="89">
        <v>3035.68</v>
      </c>
      <c r="M1858" s="89">
        <v>3176.38</v>
      </c>
      <c r="N1858" s="89">
        <v>305.48</v>
      </c>
      <c r="O1858" s="89">
        <f t="shared" si="77"/>
        <v>6517.54</v>
      </c>
    </row>
    <row r="1859" spans="1:15">
      <c r="A1859" s="74" t="s">
        <v>309</v>
      </c>
      <c r="B1859" s="74" t="s">
        <v>192</v>
      </c>
      <c r="C1859" s="74" t="s">
        <v>193</v>
      </c>
      <c r="D1859" s="74" t="s">
        <v>79</v>
      </c>
      <c r="E1859" s="74" t="s">
        <v>81</v>
      </c>
      <c r="F1859" s="86" t="s">
        <v>180</v>
      </c>
      <c r="G1859" s="74" t="s">
        <v>177</v>
      </c>
      <c r="H1859" s="87">
        <v>44620</v>
      </c>
      <c r="I1859" s="98">
        <v>15</v>
      </c>
      <c r="J1859" s="98">
        <v>15</v>
      </c>
      <c r="K1859" s="89">
        <f t="shared" si="79"/>
        <v>1</v>
      </c>
      <c r="L1859" s="89">
        <v>2110.68</v>
      </c>
      <c r="M1859" s="89">
        <v>3065.54</v>
      </c>
      <c r="N1859" s="89">
        <v>209.02</v>
      </c>
      <c r="O1859" s="89">
        <f t="shared" si="77"/>
        <v>5385.24</v>
      </c>
    </row>
    <row r="1860" spans="1:15">
      <c r="A1860" s="74" t="s">
        <v>309</v>
      </c>
      <c r="B1860" s="74" t="s">
        <v>194</v>
      </c>
      <c r="C1860" s="74" t="s">
        <v>195</v>
      </c>
      <c r="D1860" s="74" t="s">
        <v>79</v>
      </c>
      <c r="E1860" s="74" t="s">
        <v>81</v>
      </c>
      <c r="F1860" s="86" t="s">
        <v>183</v>
      </c>
      <c r="G1860" s="74" t="s">
        <v>177</v>
      </c>
      <c r="H1860" s="87">
        <v>44620</v>
      </c>
      <c r="I1860" s="98">
        <v>15</v>
      </c>
      <c r="J1860" s="98">
        <v>15</v>
      </c>
      <c r="K1860" s="89">
        <f t="shared" si="79"/>
        <v>1</v>
      </c>
      <c r="L1860" s="89">
        <v>1013</v>
      </c>
      <c r="M1860" s="89">
        <v>3034.83</v>
      </c>
      <c r="N1860" s="89">
        <v>108.21</v>
      </c>
      <c r="O1860" s="89">
        <f t="shared" si="77"/>
        <v>4156.04</v>
      </c>
    </row>
    <row r="1861" spans="1:15">
      <c r="A1861" s="74" t="s">
        <v>309</v>
      </c>
      <c r="B1861" s="74" t="s">
        <v>196</v>
      </c>
      <c r="C1861" s="74" t="s">
        <v>197</v>
      </c>
      <c r="D1861" s="74" t="s">
        <v>79</v>
      </c>
      <c r="E1861" s="74" t="s">
        <v>81</v>
      </c>
      <c r="F1861" s="86" t="s">
        <v>176</v>
      </c>
      <c r="G1861" s="74" t="s">
        <v>177</v>
      </c>
      <c r="H1861" s="87">
        <v>44620</v>
      </c>
      <c r="I1861" s="98">
        <v>15</v>
      </c>
      <c r="J1861" s="98">
        <v>15</v>
      </c>
      <c r="K1861" s="89">
        <f t="shared" si="79"/>
        <v>1</v>
      </c>
      <c r="L1861" s="89">
        <v>3227.62</v>
      </c>
      <c r="M1861" s="89">
        <v>3147.57</v>
      </c>
      <c r="N1861" s="89">
        <v>320.84</v>
      </c>
      <c r="O1861" s="89">
        <f t="shared" ref="O1861:O1924" si="80">SUM(L1861:N1861)</f>
        <v>6696.03</v>
      </c>
    </row>
    <row r="1862" spans="1:15">
      <c r="A1862" s="74" t="s">
        <v>309</v>
      </c>
      <c r="B1862" s="74" t="s">
        <v>198</v>
      </c>
      <c r="C1862" s="74" t="s">
        <v>199</v>
      </c>
      <c r="D1862" s="74" t="s">
        <v>79</v>
      </c>
      <c r="E1862" s="74" t="s">
        <v>81</v>
      </c>
      <c r="F1862" s="86" t="s">
        <v>180</v>
      </c>
      <c r="G1862" s="74" t="s">
        <v>177</v>
      </c>
      <c r="H1862" s="87">
        <v>44620</v>
      </c>
      <c r="I1862" s="98">
        <v>15</v>
      </c>
      <c r="J1862" s="98">
        <v>15</v>
      </c>
      <c r="K1862" s="89">
        <f t="shared" si="79"/>
        <v>1</v>
      </c>
      <c r="L1862" s="89">
        <v>2188.9</v>
      </c>
      <c r="M1862" s="89">
        <v>3075.17</v>
      </c>
      <c r="N1862" s="89">
        <v>215.82</v>
      </c>
      <c r="O1862" s="89">
        <f t="shared" si="80"/>
        <v>5479.89</v>
      </c>
    </row>
    <row r="1863" spans="1:15">
      <c r="A1863" s="74" t="s">
        <v>309</v>
      </c>
      <c r="B1863" s="74" t="s">
        <v>200</v>
      </c>
      <c r="C1863" s="74" t="s">
        <v>201</v>
      </c>
      <c r="D1863" s="74" t="s">
        <v>79</v>
      </c>
      <c r="E1863" s="74" t="s">
        <v>81</v>
      </c>
      <c r="F1863" s="86" t="s">
        <v>183</v>
      </c>
      <c r="G1863" s="74" t="s">
        <v>177</v>
      </c>
      <c r="H1863" s="87">
        <v>44620</v>
      </c>
      <c r="I1863" s="98">
        <v>15</v>
      </c>
      <c r="J1863" s="98">
        <v>15</v>
      </c>
      <c r="K1863" s="89">
        <f t="shared" si="79"/>
        <v>1</v>
      </c>
      <c r="L1863" s="89">
        <v>1020.65</v>
      </c>
      <c r="M1863" s="89">
        <v>3228.74</v>
      </c>
      <c r="N1863" s="89">
        <v>102.22</v>
      </c>
      <c r="O1863" s="89">
        <f t="shared" si="80"/>
        <v>4351.61</v>
      </c>
    </row>
    <row r="1864" spans="1:15">
      <c r="A1864" s="74" t="s">
        <v>309</v>
      </c>
      <c r="B1864" s="74" t="s">
        <v>202</v>
      </c>
      <c r="C1864" s="74" t="s">
        <v>203</v>
      </c>
      <c r="D1864" s="74" t="s">
        <v>79</v>
      </c>
      <c r="E1864" s="74" t="s">
        <v>81</v>
      </c>
      <c r="F1864" s="86" t="s">
        <v>204</v>
      </c>
      <c r="G1864" s="74" t="s">
        <v>205</v>
      </c>
      <c r="H1864" s="87">
        <v>44620</v>
      </c>
      <c r="I1864" s="98">
        <v>15</v>
      </c>
      <c r="J1864" s="98">
        <v>15</v>
      </c>
      <c r="K1864" s="89">
        <f t="shared" si="79"/>
        <v>1</v>
      </c>
      <c r="L1864" s="89">
        <v>19467.87</v>
      </c>
      <c r="M1864" s="89">
        <v>3134.92</v>
      </c>
      <c r="N1864" s="89">
        <v>1809.51</v>
      </c>
      <c r="O1864" s="89">
        <f t="shared" si="80"/>
        <v>24412.3</v>
      </c>
    </row>
    <row r="1865" spans="1:15">
      <c r="A1865" s="74" t="s">
        <v>309</v>
      </c>
      <c r="B1865" s="74" t="s">
        <v>206</v>
      </c>
      <c r="C1865" s="74" t="s">
        <v>207</v>
      </c>
      <c r="D1865" s="88" t="s">
        <v>82</v>
      </c>
      <c r="E1865" s="88" t="s">
        <v>84</v>
      </c>
      <c r="F1865" s="86" t="s">
        <v>208</v>
      </c>
      <c r="G1865" s="74" t="s">
        <v>209</v>
      </c>
      <c r="H1865" s="87">
        <v>44620</v>
      </c>
      <c r="I1865" s="98">
        <v>15</v>
      </c>
      <c r="J1865" s="98">
        <v>15</v>
      </c>
      <c r="K1865" s="89">
        <f t="shared" si="79"/>
        <v>1</v>
      </c>
      <c r="L1865" s="89">
        <v>9476.13</v>
      </c>
      <c r="M1865" s="89">
        <v>3102.77</v>
      </c>
      <c r="N1865" s="89">
        <v>918.23</v>
      </c>
      <c r="O1865" s="89">
        <f t="shared" si="80"/>
        <v>13497.13</v>
      </c>
    </row>
    <row r="1866" spans="1:15">
      <c r="A1866" s="74" t="s">
        <v>309</v>
      </c>
      <c r="B1866" s="74" t="s">
        <v>210</v>
      </c>
      <c r="C1866" s="74" t="s">
        <v>211</v>
      </c>
      <c r="D1866" s="88" t="s">
        <v>82</v>
      </c>
      <c r="E1866" s="88" t="s">
        <v>84</v>
      </c>
      <c r="F1866" s="86" t="s">
        <v>116</v>
      </c>
      <c r="G1866" s="74" t="s">
        <v>209</v>
      </c>
      <c r="H1866" s="87">
        <v>44620</v>
      </c>
      <c r="I1866" s="98">
        <v>15</v>
      </c>
      <c r="J1866" s="98">
        <v>15</v>
      </c>
      <c r="K1866" s="89">
        <f t="shared" si="79"/>
        <v>1</v>
      </c>
      <c r="L1866" s="89">
        <v>8159.03</v>
      </c>
      <c r="M1866" s="89">
        <v>3077.49</v>
      </c>
      <c r="N1866" s="89">
        <v>851.07</v>
      </c>
      <c r="O1866" s="89">
        <f t="shared" si="80"/>
        <v>12087.59</v>
      </c>
    </row>
    <row r="1867" spans="1:15">
      <c r="A1867" s="74" t="s">
        <v>309</v>
      </c>
      <c r="B1867" s="74" t="s">
        <v>212</v>
      </c>
      <c r="C1867" s="74" t="s">
        <v>213</v>
      </c>
      <c r="D1867" s="88" t="s">
        <v>82</v>
      </c>
      <c r="E1867" s="88" t="s">
        <v>84</v>
      </c>
      <c r="F1867" s="86" t="s">
        <v>208</v>
      </c>
      <c r="G1867" s="74" t="s">
        <v>209</v>
      </c>
      <c r="H1867" s="87">
        <v>44620</v>
      </c>
      <c r="I1867" s="98">
        <v>15</v>
      </c>
      <c r="J1867" s="98">
        <v>15</v>
      </c>
      <c r="K1867" s="89">
        <f t="shared" si="79"/>
        <v>1</v>
      </c>
      <c r="L1867" s="89">
        <v>9351.34</v>
      </c>
      <c r="M1867" s="89">
        <v>3120.02</v>
      </c>
      <c r="N1867" s="89">
        <v>905.15</v>
      </c>
      <c r="O1867" s="89">
        <f t="shared" si="80"/>
        <v>13376.51</v>
      </c>
    </row>
    <row r="1868" spans="1:15">
      <c r="A1868" s="74" t="s">
        <v>309</v>
      </c>
      <c r="B1868" s="74" t="s">
        <v>214</v>
      </c>
      <c r="C1868" s="74" t="s">
        <v>215</v>
      </c>
      <c r="D1868" s="88" t="s">
        <v>82</v>
      </c>
      <c r="E1868" s="88" t="s">
        <v>84</v>
      </c>
      <c r="F1868" s="86" t="s">
        <v>116</v>
      </c>
      <c r="G1868" s="74" t="s">
        <v>209</v>
      </c>
      <c r="H1868" s="87">
        <v>44620</v>
      </c>
      <c r="I1868" s="98">
        <v>15</v>
      </c>
      <c r="J1868" s="98">
        <v>15</v>
      </c>
      <c r="K1868" s="89">
        <f t="shared" si="79"/>
        <v>1</v>
      </c>
      <c r="L1868" s="89">
        <v>8442.26</v>
      </c>
      <c r="M1868" s="89">
        <v>3022.31</v>
      </c>
      <c r="N1868" s="89">
        <v>853.87</v>
      </c>
      <c r="O1868" s="89">
        <f t="shared" si="80"/>
        <v>12318.44</v>
      </c>
    </row>
    <row r="1869" spans="1:15">
      <c r="A1869" s="74" t="s">
        <v>309</v>
      </c>
      <c r="B1869" s="74" t="s">
        <v>216</v>
      </c>
      <c r="C1869" s="74" t="s">
        <v>217</v>
      </c>
      <c r="D1869" s="88" t="s">
        <v>82</v>
      </c>
      <c r="E1869" s="88" t="s">
        <v>84</v>
      </c>
      <c r="F1869" s="86" t="s">
        <v>218</v>
      </c>
      <c r="G1869" s="74" t="s">
        <v>219</v>
      </c>
      <c r="H1869" s="87">
        <v>44620</v>
      </c>
      <c r="I1869" s="98">
        <v>15</v>
      </c>
      <c r="J1869" s="98">
        <v>15</v>
      </c>
      <c r="K1869" s="89">
        <f t="shared" si="79"/>
        <v>1</v>
      </c>
      <c r="L1869" s="89">
        <v>11548.66</v>
      </c>
      <c r="M1869" s="89">
        <v>3222.97</v>
      </c>
      <c r="N1869" s="89">
        <v>1118.87</v>
      </c>
      <c r="O1869" s="89">
        <f t="shared" si="80"/>
        <v>15890.5</v>
      </c>
    </row>
    <row r="1870" spans="1:15">
      <c r="A1870" s="74" t="s">
        <v>309</v>
      </c>
      <c r="B1870" s="74" t="s">
        <v>220</v>
      </c>
      <c r="C1870" s="74" t="s">
        <v>221</v>
      </c>
      <c r="D1870" s="88" t="s">
        <v>82</v>
      </c>
      <c r="E1870" s="74" t="s">
        <v>83</v>
      </c>
      <c r="F1870" s="86" t="s">
        <v>218</v>
      </c>
      <c r="G1870" s="74" t="s">
        <v>222</v>
      </c>
      <c r="H1870" s="87">
        <v>44620</v>
      </c>
      <c r="I1870" s="98">
        <v>15</v>
      </c>
      <c r="J1870" s="98">
        <v>15</v>
      </c>
      <c r="K1870" s="89">
        <f t="shared" si="79"/>
        <v>1</v>
      </c>
      <c r="L1870" s="89">
        <v>11610.53</v>
      </c>
      <c r="M1870" s="89">
        <v>3215.2</v>
      </c>
      <c r="N1870" s="89">
        <v>1201.13</v>
      </c>
      <c r="O1870" s="89">
        <f t="shared" si="80"/>
        <v>16026.86</v>
      </c>
    </row>
    <row r="1871" spans="1:15">
      <c r="A1871" s="74" t="s">
        <v>309</v>
      </c>
      <c r="B1871" s="74" t="s">
        <v>223</v>
      </c>
      <c r="C1871" s="74" t="s">
        <v>224</v>
      </c>
      <c r="D1871" s="88" t="s">
        <v>82</v>
      </c>
      <c r="E1871" s="74" t="s">
        <v>83</v>
      </c>
      <c r="F1871" s="86" t="s">
        <v>225</v>
      </c>
      <c r="G1871" s="74" t="s">
        <v>209</v>
      </c>
      <c r="H1871" s="87">
        <v>44620</v>
      </c>
      <c r="I1871" s="98">
        <v>15</v>
      </c>
      <c r="J1871" s="98">
        <v>15</v>
      </c>
      <c r="K1871" s="89">
        <f t="shared" si="79"/>
        <v>1</v>
      </c>
      <c r="L1871" s="89">
        <v>10079.83</v>
      </c>
      <c r="M1871" s="89">
        <v>3069.98</v>
      </c>
      <c r="N1871" s="89">
        <v>1044.41</v>
      </c>
      <c r="O1871" s="89">
        <f t="shared" si="80"/>
        <v>14194.22</v>
      </c>
    </row>
    <row r="1872" spans="1:15">
      <c r="A1872" s="74" t="s">
        <v>309</v>
      </c>
      <c r="B1872" s="74" t="s">
        <v>226</v>
      </c>
      <c r="C1872" s="74" t="s">
        <v>227</v>
      </c>
      <c r="D1872" s="88" t="s">
        <v>82</v>
      </c>
      <c r="E1872" s="74" t="s">
        <v>83</v>
      </c>
      <c r="F1872" s="86" t="s">
        <v>208</v>
      </c>
      <c r="G1872" s="74" t="s">
        <v>209</v>
      </c>
      <c r="H1872" s="87">
        <v>44620</v>
      </c>
      <c r="I1872" s="98">
        <v>15</v>
      </c>
      <c r="J1872" s="98">
        <v>15</v>
      </c>
      <c r="K1872" s="89">
        <f t="shared" si="79"/>
        <v>1</v>
      </c>
      <c r="L1872" s="89">
        <v>9388.64</v>
      </c>
      <c r="M1872" s="89">
        <v>3074.66</v>
      </c>
      <c r="N1872" s="89">
        <v>912.95</v>
      </c>
      <c r="O1872" s="89">
        <f t="shared" si="80"/>
        <v>13376.25</v>
      </c>
    </row>
    <row r="1873" spans="1:15">
      <c r="A1873" s="74" t="s">
        <v>309</v>
      </c>
      <c r="B1873" s="74" t="s">
        <v>228</v>
      </c>
      <c r="C1873" s="74" t="s">
        <v>229</v>
      </c>
      <c r="D1873" s="88" t="s">
        <v>82</v>
      </c>
      <c r="E1873" s="74" t="s">
        <v>83</v>
      </c>
      <c r="F1873" s="86" t="s">
        <v>116</v>
      </c>
      <c r="G1873" s="74" t="s">
        <v>209</v>
      </c>
      <c r="H1873" s="87">
        <v>44620</v>
      </c>
      <c r="I1873" s="98">
        <v>15</v>
      </c>
      <c r="J1873" s="98">
        <v>15</v>
      </c>
      <c r="K1873" s="89">
        <f t="shared" si="79"/>
        <v>1</v>
      </c>
      <c r="L1873" s="89">
        <v>8134.13</v>
      </c>
      <c r="M1873" s="89">
        <v>3148.67</v>
      </c>
      <c r="N1873" s="89">
        <v>855.84</v>
      </c>
      <c r="O1873" s="89">
        <f t="shared" si="80"/>
        <v>12138.64</v>
      </c>
    </row>
    <row r="1874" spans="1:15">
      <c r="A1874" s="74" t="s">
        <v>309</v>
      </c>
      <c r="B1874" s="74" t="s">
        <v>230</v>
      </c>
      <c r="C1874" s="74" t="s">
        <v>231</v>
      </c>
      <c r="D1874" s="88" t="s">
        <v>82</v>
      </c>
      <c r="E1874" s="74" t="s">
        <v>83</v>
      </c>
      <c r="F1874" s="86" t="s">
        <v>120</v>
      </c>
      <c r="G1874" s="74" t="s">
        <v>209</v>
      </c>
      <c r="H1874" s="87">
        <v>44620</v>
      </c>
      <c r="I1874" s="98">
        <v>15</v>
      </c>
      <c r="J1874" s="98">
        <v>15</v>
      </c>
      <c r="K1874" s="89">
        <f t="shared" si="79"/>
        <v>1</v>
      </c>
      <c r="L1874" s="89">
        <v>7513.34</v>
      </c>
      <c r="M1874" s="89">
        <v>3096.45</v>
      </c>
      <c r="N1874" s="89">
        <v>745.56</v>
      </c>
      <c r="O1874" s="89">
        <f t="shared" si="80"/>
        <v>11355.35</v>
      </c>
    </row>
    <row r="1875" spans="1:15">
      <c r="A1875" s="74" t="s">
        <v>309</v>
      </c>
      <c r="B1875" s="74" t="s">
        <v>232</v>
      </c>
      <c r="C1875" s="74" t="s">
        <v>233</v>
      </c>
      <c r="D1875" s="88" t="s">
        <v>82</v>
      </c>
      <c r="E1875" s="74" t="s">
        <v>83</v>
      </c>
      <c r="F1875" s="86" t="s">
        <v>123</v>
      </c>
      <c r="G1875" s="74" t="s">
        <v>209</v>
      </c>
      <c r="H1875" s="87">
        <v>44620</v>
      </c>
      <c r="I1875" s="98">
        <v>15</v>
      </c>
      <c r="J1875" s="98">
        <v>15</v>
      </c>
      <c r="K1875" s="89">
        <f t="shared" si="79"/>
        <v>1</v>
      </c>
      <c r="L1875" s="89">
        <v>6024.82</v>
      </c>
      <c r="M1875" s="89">
        <v>3227.37</v>
      </c>
      <c r="N1875" s="89">
        <v>631.36</v>
      </c>
      <c r="O1875" s="89">
        <f t="shared" si="80"/>
        <v>9883.55</v>
      </c>
    </row>
    <row r="1876" spans="1:15">
      <c r="A1876" s="74" t="s">
        <v>309</v>
      </c>
      <c r="B1876" s="74" t="s">
        <v>234</v>
      </c>
      <c r="C1876" s="74" t="s">
        <v>235</v>
      </c>
      <c r="D1876" s="88" t="s">
        <v>82</v>
      </c>
      <c r="E1876" s="74" t="s">
        <v>83</v>
      </c>
      <c r="F1876" s="86" t="s">
        <v>116</v>
      </c>
      <c r="G1876" s="74" t="s">
        <v>209</v>
      </c>
      <c r="H1876" s="87">
        <v>44620</v>
      </c>
      <c r="I1876" s="98">
        <v>15</v>
      </c>
      <c r="J1876" s="98">
        <v>15</v>
      </c>
      <c r="K1876" s="89">
        <f t="shared" si="79"/>
        <v>1</v>
      </c>
      <c r="L1876" s="89">
        <v>8385.91</v>
      </c>
      <c r="M1876" s="89">
        <v>3032.84</v>
      </c>
      <c r="N1876" s="89">
        <v>849.13</v>
      </c>
      <c r="O1876" s="89">
        <f t="shared" si="80"/>
        <v>12267.88</v>
      </c>
    </row>
    <row r="1877" spans="1:15">
      <c r="A1877" s="74" t="s">
        <v>309</v>
      </c>
      <c r="B1877" s="74" t="s">
        <v>236</v>
      </c>
      <c r="C1877" s="74" t="s">
        <v>237</v>
      </c>
      <c r="D1877" s="88" t="s">
        <v>82</v>
      </c>
      <c r="E1877" s="74" t="s">
        <v>83</v>
      </c>
      <c r="F1877" s="86" t="s">
        <v>120</v>
      </c>
      <c r="G1877" s="74" t="s">
        <v>209</v>
      </c>
      <c r="H1877" s="87">
        <v>44620</v>
      </c>
      <c r="I1877" s="98">
        <v>15</v>
      </c>
      <c r="J1877" s="98">
        <v>15</v>
      </c>
      <c r="K1877" s="89">
        <f t="shared" si="79"/>
        <v>1</v>
      </c>
      <c r="L1877" s="89">
        <v>7232.34</v>
      </c>
      <c r="M1877" s="89">
        <v>3262.19</v>
      </c>
      <c r="N1877" s="89">
        <v>743.82</v>
      </c>
      <c r="O1877" s="89">
        <f t="shared" si="80"/>
        <v>11238.35</v>
      </c>
    </row>
    <row r="1878" spans="1:15">
      <c r="A1878" s="74" t="s">
        <v>309</v>
      </c>
      <c r="B1878" s="74" t="s">
        <v>238</v>
      </c>
      <c r="C1878" s="74" t="s">
        <v>239</v>
      </c>
      <c r="D1878" s="74" t="s">
        <v>86</v>
      </c>
      <c r="E1878" s="74" t="s">
        <v>87</v>
      </c>
      <c r="F1878" s="86" t="s">
        <v>204</v>
      </c>
      <c r="G1878" s="74" t="s">
        <v>240</v>
      </c>
      <c r="H1878" s="87">
        <v>44620</v>
      </c>
      <c r="I1878" s="98">
        <v>15</v>
      </c>
      <c r="J1878" s="98">
        <v>15</v>
      </c>
      <c r="K1878" s="89">
        <f t="shared" si="79"/>
        <v>1</v>
      </c>
      <c r="L1878" s="89">
        <v>15816</v>
      </c>
      <c r="M1878" s="89">
        <v>3030.79</v>
      </c>
      <c r="N1878" s="89">
        <v>1861.47</v>
      </c>
      <c r="O1878" s="89">
        <f t="shared" si="80"/>
        <v>20708.26</v>
      </c>
    </row>
    <row r="1879" spans="1:15">
      <c r="A1879" s="74" t="s">
        <v>309</v>
      </c>
      <c r="B1879" s="74" t="s">
        <v>241</v>
      </c>
      <c r="C1879" s="74" t="s">
        <v>242</v>
      </c>
      <c r="D1879" s="74" t="s">
        <v>86</v>
      </c>
      <c r="E1879" s="74" t="s">
        <v>87</v>
      </c>
      <c r="F1879" s="86" t="s">
        <v>243</v>
      </c>
      <c r="G1879" s="74" t="s">
        <v>244</v>
      </c>
      <c r="H1879" s="87">
        <v>44620</v>
      </c>
      <c r="I1879" s="98">
        <v>15</v>
      </c>
      <c r="J1879" s="98">
        <v>15</v>
      </c>
      <c r="K1879" s="89">
        <f t="shared" si="79"/>
        <v>1</v>
      </c>
      <c r="L1879" s="89">
        <v>11319.43</v>
      </c>
      <c r="M1879" s="89">
        <v>3102.7</v>
      </c>
      <c r="N1879" s="89">
        <v>1357.12</v>
      </c>
      <c r="O1879" s="89">
        <f t="shared" si="80"/>
        <v>15779.25</v>
      </c>
    </row>
    <row r="1880" spans="1:15">
      <c r="A1880" s="74" t="s">
        <v>309</v>
      </c>
      <c r="B1880" s="74" t="s">
        <v>245</v>
      </c>
      <c r="C1880" s="74" t="s">
        <v>246</v>
      </c>
      <c r="D1880" s="74" t="s">
        <v>86</v>
      </c>
      <c r="E1880" s="74" t="s">
        <v>87</v>
      </c>
      <c r="F1880" s="86" t="s">
        <v>247</v>
      </c>
      <c r="G1880" s="74" t="s">
        <v>248</v>
      </c>
      <c r="H1880" s="87">
        <v>44620</v>
      </c>
      <c r="I1880" s="98">
        <v>15</v>
      </c>
      <c r="J1880" s="98">
        <v>15</v>
      </c>
      <c r="K1880" s="89">
        <f t="shared" si="79"/>
        <v>1</v>
      </c>
      <c r="L1880" s="89">
        <v>10417.51</v>
      </c>
      <c r="M1880" s="89">
        <v>3227.54</v>
      </c>
      <c r="N1880" s="89">
        <v>1237.91</v>
      </c>
      <c r="O1880" s="89">
        <f t="shared" si="80"/>
        <v>14882.96</v>
      </c>
    </row>
    <row r="1881" spans="1:15">
      <c r="A1881" s="74" t="s">
        <v>309</v>
      </c>
      <c r="B1881" s="74" t="s">
        <v>249</v>
      </c>
      <c r="C1881" s="74" t="s">
        <v>250</v>
      </c>
      <c r="D1881" s="74" t="s">
        <v>86</v>
      </c>
      <c r="E1881" s="74" t="s">
        <v>87</v>
      </c>
      <c r="F1881" s="86" t="s">
        <v>251</v>
      </c>
      <c r="G1881" s="74" t="s">
        <v>252</v>
      </c>
      <c r="H1881" s="87">
        <v>44620</v>
      </c>
      <c r="I1881" s="98">
        <v>15</v>
      </c>
      <c r="J1881" s="98">
        <v>15</v>
      </c>
      <c r="K1881" s="89">
        <f t="shared" si="79"/>
        <v>1</v>
      </c>
      <c r="L1881" s="89">
        <v>9358.43</v>
      </c>
      <c r="M1881" s="89">
        <v>3222.3</v>
      </c>
      <c r="N1881" s="89">
        <v>1184.76</v>
      </c>
      <c r="O1881" s="89">
        <f t="shared" si="80"/>
        <v>13765.49</v>
      </c>
    </row>
    <row r="1882" spans="1:15">
      <c r="A1882" s="74" t="s">
        <v>309</v>
      </c>
      <c r="B1882" s="74" t="s">
        <v>253</v>
      </c>
      <c r="C1882" s="74" t="s">
        <v>254</v>
      </c>
      <c r="D1882" s="74" t="s">
        <v>86</v>
      </c>
      <c r="E1882" s="74" t="s">
        <v>87</v>
      </c>
      <c r="F1882" s="86" t="s">
        <v>255</v>
      </c>
      <c r="G1882" s="74" t="s">
        <v>252</v>
      </c>
      <c r="H1882" s="87">
        <v>44620</v>
      </c>
      <c r="I1882" s="98">
        <v>15</v>
      </c>
      <c r="J1882" s="98">
        <v>15</v>
      </c>
      <c r="K1882" s="89">
        <f t="shared" si="79"/>
        <v>1</v>
      </c>
      <c r="L1882" s="89">
        <v>8390.58</v>
      </c>
      <c r="M1882" s="89">
        <v>3093.17</v>
      </c>
      <c r="N1882" s="89">
        <v>1020.45</v>
      </c>
      <c r="O1882" s="89">
        <f t="shared" si="80"/>
        <v>12504.2</v>
      </c>
    </row>
    <row r="1883" spans="1:15">
      <c r="A1883" s="74" t="s">
        <v>309</v>
      </c>
      <c r="B1883" s="74" t="s">
        <v>256</v>
      </c>
      <c r="C1883" s="74" t="s">
        <v>257</v>
      </c>
      <c r="D1883" s="74" t="s">
        <v>86</v>
      </c>
      <c r="E1883" s="74" t="s">
        <v>87</v>
      </c>
      <c r="F1883" s="86" t="s">
        <v>258</v>
      </c>
      <c r="G1883" s="74" t="s">
        <v>252</v>
      </c>
      <c r="H1883" s="87">
        <v>44620</v>
      </c>
      <c r="I1883" s="98">
        <v>15</v>
      </c>
      <c r="J1883" s="98">
        <v>15</v>
      </c>
      <c r="K1883" s="89">
        <f t="shared" si="79"/>
        <v>1</v>
      </c>
      <c r="L1883" s="89">
        <v>7721.54</v>
      </c>
      <c r="M1883" s="89">
        <v>3084.46</v>
      </c>
      <c r="N1883" s="89">
        <v>984.73</v>
      </c>
      <c r="O1883" s="89">
        <f t="shared" si="80"/>
        <v>11790.73</v>
      </c>
    </row>
    <row r="1884" spans="1:15">
      <c r="A1884" s="74" t="s">
        <v>309</v>
      </c>
      <c r="B1884" s="74" t="s">
        <v>259</v>
      </c>
      <c r="C1884" s="74" t="s">
        <v>260</v>
      </c>
      <c r="D1884" s="74" t="s">
        <v>86</v>
      </c>
      <c r="E1884" s="74" t="s">
        <v>87</v>
      </c>
      <c r="F1884" s="86" t="s">
        <v>261</v>
      </c>
      <c r="G1884" s="74" t="s">
        <v>262</v>
      </c>
      <c r="H1884" s="87">
        <v>44620</v>
      </c>
      <c r="I1884" s="98">
        <v>15</v>
      </c>
      <c r="J1884" s="98">
        <v>15</v>
      </c>
      <c r="K1884" s="89">
        <f t="shared" si="79"/>
        <v>1</v>
      </c>
      <c r="L1884" s="89">
        <v>6527.23</v>
      </c>
      <c r="M1884" s="89">
        <v>3083.25</v>
      </c>
      <c r="N1884" s="89">
        <v>826.8</v>
      </c>
      <c r="O1884" s="89">
        <f t="shared" si="80"/>
        <v>10437.28</v>
      </c>
    </row>
    <row r="1885" spans="1:15">
      <c r="A1885" s="74" t="s">
        <v>309</v>
      </c>
      <c r="B1885" s="74" t="s">
        <v>263</v>
      </c>
      <c r="C1885" s="74" t="s">
        <v>264</v>
      </c>
      <c r="D1885" s="74" t="s">
        <v>86</v>
      </c>
      <c r="E1885" s="74" t="s">
        <v>88</v>
      </c>
      <c r="F1885" s="86" t="s">
        <v>149</v>
      </c>
      <c r="G1885" s="74" t="s">
        <v>265</v>
      </c>
      <c r="H1885" s="87">
        <v>44620</v>
      </c>
      <c r="I1885" s="98">
        <v>15</v>
      </c>
      <c r="J1885" s="98">
        <v>15</v>
      </c>
      <c r="K1885" s="89">
        <f t="shared" si="79"/>
        <v>1</v>
      </c>
      <c r="L1885" s="89">
        <v>14627.05</v>
      </c>
      <c r="M1885" s="89">
        <v>3138.32</v>
      </c>
      <c r="N1885" s="89">
        <v>1707.4</v>
      </c>
      <c r="O1885" s="89">
        <f t="shared" si="80"/>
        <v>19472.77</v>
      </c>
    </row>
    <row r="1886" spans="1:15">
      <c r="A1886" s="74" t="s">
        <v>309</v>
      </c>
      <c r="B1886" s="74" t="s">
        <v>266</v>
      </c>
      <c r="C1886" s="74" t="s">
        <v>267</v>
      </c>
      <c r="D1886" s="74" t="s">
        <v>86</v>
      </c>
      <c r="E1886" s="74" t="s">
        <v>88</v>
      </c>
      <c r="F1886" s="86" t="s">
        <v>243</v>
      </c>
      <c r="G1886" s="74" t="s">
        <v>268</v>
      </c>
      <c r="H1886" s="87">
        <v>44620</v>
      </c>
      <c r="I1886" s="98">
        <v>15</v>
      </c>
      <c r="J1886" s="98">
        <v>15</v>
      </c>
      <c r="K1886" s="89">
        <f t="shared" si="79"/>
        <v>1</v>
      </c>
      <c r="L1886" s="89">
        <v>10952.73</v>
      </c>
      <c r="M1886" s="89">
        <v>3032.69</v>
      </c>
      <c r="N1886" s="89">
        <v>1400.5</v>
      </c>
      <c r="O1886" s="89">
        <f t="shared" si="80"/>
        <v>15385.92</v>
      </c>
    </row>
    <row r="1887" spans="1:15">
      <c r="A1887" s="74" t="s">
        <v>309</v>
      </c>
      <c r="B1887" s="74" t="s">
        <v>269</v>
      </c>
      <c r="C1887" s="74" t="s">
        <v>270</v>
      </c>
      <c r="D1887" s="74" t="s">
        <v>86</v>
      </c>
      <c r="E1887" s="74" t="s">
        <v>88</v>
      </c>
      <c r="F1887" s="86" t="s">
        <v>247</v>
      </c>
      <c r="G1887" s="74" t="s">
        <v>268</v>
      </c>
      <c r="H1887" s="87">
        <v>44620</v>
      </c>
      <c r="I1887" s="98">
        <v>15</v>
      </c>
      <c r="J1887" s="98">
        <v>15</v>
      </c>
      <c r="K1887" s="89">
        <f t="shared" si="79"/>
        <v>1</v>
      </c>
      <c r="L1887" s="89">
        <v>10035.09</v>
      </c>
      <c r="M1887" s="89">
        <v>3072.91</v>
      </c>
      <c r="N1887" s="89">
        <v>1306.72</v>
      </c>
      <c r="O1887" s="89">
        <f t="shared" si="80"/>
        <v>14414.72</v>
      </c>
    </row>
    <row r="1888" spans="1:15">
      <c r="A1888" s="74" t="s">
        <v>309</v>
      </c>
      <c r="B1888" s="74" t="s">
        <v>271</v>
      </c>
      <c r="C1888" s="74" t="s">
        <v>272</v>
      </c>
      <c r="D1888" s="74" t="s">
        <v>86</v>
      </c>
      <c r="E1888" s="74" t="s">
        <v>88</v>
      </c>
      <c r="F1888" s="86" t="s">
        <v>251</v>
      </c>
      <c r="G1888" s="74" t="s">
        <v>268</v>
      </c>
      <c r="H1888" s="87">
        <v>44620</v>
      </c>
      <c r="I1888" s="98">
        <v>15</v>
      </c>
      <c r="J1888" s="98">
        <v>15</v>
      </c>
      <c r="K1888" s="89">
        <f t="shared" si="79"/>
        <v>1</v>
      </c>
      <c r="L1888" s="89">
        <v>9300.6</v>
      </c>
      <c r="M1888" s="89">
        <v>3241.23</v>
      </c>
      <c r="N1888" s="89">
        <v>1103.66</v>
      </c>
      <c r="O1888" s="89">
        <f t="shared" si="80"/>
        <v>13645.49</v>
      </c>
    </row>
    <row r="1889" spans="1:15">
      <c r="A1889" s="74" t="s">
        <v>309</v>
      </c>
      <c r="B1889" s="74" t="s">
        <v>273</v>
      </c>
      <c r="C1889" s="74" t="s">
        <v>274</v>
      </c>
      <c r="D1889" s="74" t="s">
        <v>86</v>
      </c>
      <c r="E1889" s="74" t="s">
        <v>88</v>
      </c>
      <c r="F1889" s="86" t="s">
        <v>255</v>
      </c>
      <c r="G1889" s="74" t="s">
        <v>268</v>
      </c>
      <c r="H1889" s="87">
        <v>44620</v>
      </c>
      <c r="I1889" s="98">
        <v>15</v>
      </c>
      <c r="J1889" s="98">
        <v>15</v>
      </c>
      <c r="K1889" s="89">
        <f t="shared" si="79"/>
        <v>1</v>
      </c>
      <c r="L1889" s="89">
        <v>8526.4</v>
      </c>
      <c r="M1889" s="89">
        <v>3133.1</v>
      </c>
      <c r="N1889" s="89">
        <v>1024.28</v>
      </c>
      <c r="O1889" s="89">
        <f t="shared" si="80"/>
        <v>12683.78</v>
      </c>
    </row>
    <row r="1890" spans="1:15">
      <c r="A1890" s="74" t="s">
        <v>309</v>
      </c>
      <c r="B1890" s="74" t="s">
        <v>275</v>
      </c>
      <c r="C1890" s="74" t="s">
        <v>276</v>
      </c>
      <c r="D1890" s="74" t="s">
        <v>86</v>
      </c>
      <c r="E1890" s="74" t="s">
        <v>88</v>
      </c>
      <c r="F1890" s="86" t="s">
        <v>258</v>
      </c>
      <c r="G1890" s="74" t="s">
        <v>268</v>
      </c>
      <c r="H1890" s="87">
        <v>44620</v>
      </c>
      <c r="I1890" s="98">
        <v>15</v>
      </c>
      <c r="J1890" s="98">
        <v>15</v>
      </c>
      <c r="K1890" s="89">
        <f t="shared" si="79"/>
        <v>1</v>
      </c>
      <c r="L1890" s="89">
        <v>7729.91</v>
      </c>
      <c r="M1890" s="89">
        <v>3084.93</v>
      </c>
      <c r="N1890" s="89">
        <v>924.84</v>
      </c>
      <c r="O1890" s="89">
        <f t="shared" si="80"/>
        <v>11739.68</v>
      </c>
    </row>
    <row r="1891" spans="1:15">
      <c r="A1891" s="74" t="s">
        <v>309</v>
      </c>
      <c r="B1891" s="74" t="s">
        <v>277</v>
      </c>
      <c r="C1891" s="74" t="s">
        <v>278</v>
      </c>
      <c r="D1891" s="74" t="s">
        <v>86</v>
      </c>
      <c r="E1891" s="74" t="s">
        <v>89</v>
      </c>
      <c r="F1891" s="86" t="s">
        <v>279</v>
      </c>
      <c r="G1891" s="74" t="s">
        <v>280</v>
      </c>
      <c r="H1891" s="87">
        <v>44620</v>
      </c>
      <c r="I1891" s="98">
        <v>15</v>
      </c>
      <c r="J1891" s="98">
        <v>15</v>
      </c>
      <c r="K1891" s="89">
        <f t="shared" si="79"/>
        <v>1</v>
      </c>
      <c r="L1891" s="89">
        <v>13166.19</v>
      </c>
      <c r="M1891" s="89">
        <v>3158</v>
      </c>
      <c r="N1891" s="89">
        <v>1605.6</v>
      </c>
      <c r="O1891" s="89">
        <f t="shared" si="80"/>
        <v>17929.79</v>
      </c>
    </row>
    <row r="1892" spans="1:15">
      <c r="A1892" s="74" t="s">
        <v>309</v>
      </c>
      <c r="B1892" s="74" t="s">
        <v>281</v>
      </c>
      <c r="C1892" s="74" t="s">
        <v>282</v>
      </c>
      <c r="D1892" s="74" t="s">
        <v>86</v>
      </c>
      <c r="E1892" s="74" t="s">
        <v>89</v>
      </c>
      <c r="F1892" s="86" t="s">
        <v>225</v>
      </c>
      <c r="G1892" s="74" t="s">
        <v>283</v>
      </c>
      <c r="H1892" s="87">
        <v>44620</v>
      </c>
      <c r="I1892" s="98">
        <v>15</v>
      </c>
      <c r="J1892" s="98">
        <v>15</v>
      </c>
      <c r="K1892" s="89">
        <f t="shared" si="79"/>
        <v>1</v>
      </c>
      <c r="L1892" s="89">
        <v>8683.48</v>
      </c>
      <c r="M1892" s="89">
        <v>3121.7</v>
      </c>
      <c r="N1892" s="89">
        <v>1065.71</v>
      </c>
      <c r="O1892" s="89">
        <f t="shared" si="80"/>
        <v>12870.89</v>
      </c>
    </row>
    <row r="1893" spans="1:15">
      <c r="A1893" s="74" t="s">
        <v>309</v>
      </c>
      <c r="B1893" s="74" t="s">
        <v>284</v>
      </c>
      <c r="C1893" s="74" t="s">
        <v>285</v>
      </c>
      <c r="D1893" s="74" t="s">
        <v>86</v>
      </c>
      <c r="E1893" s="74" t="s">
        <v>89</v>
      </c>
      <c r="F1893" s="86" t="s">
        <v>208</v>
      </c>
      <c r="G1893" s="74" t="s">
        <v>283</v>
      </c>
      <c r="H1893" s="87">
        <v>44620</v>
      </c>
      <c r="I1893" s="98">
        <v>15</v>
      </c>
      <c r="J1893" s="98">
        <v>15</v>
      </c>
      <c r="K1893" s="89">
        <f t="shared" si="79"/>
        <v>1</v>
      </c>
      <c r="L1893" s="89">
        <v>7744.88</v>
      </c>
      <c r="M1893" s="89">
        <v>3179.74</v>
      </c>
      <c r="N1893" s="89">
        <v>952.33</v>
      </c>
      <c r="O1893" s="89">
        <f t="shared" si="80"/>
        <v>11876.95</v>
      </c>
    </row>
    <row r="1894" spans="1:15">
      <c r="A1894" s="74" t="s">
        <v>309</v>
      </c>
      <c r="B1894" s="74" t="s">
        <v>286</v>
      </c>
      <c r="C1894" s="74" t="s">
        <v>287</v>
      </c>
      <c r="D1894" s="74" t="s">
        <v>82</v>
      </c>
      <c r="E1894" s="88" t="s">
        <v>85</v>
      </c>
      <c r="F1894" s="86" t="s">
        <v>288</v>
      </c>
      <c r="G1894" s="74" t="s">
        <v>289</v>
      </c>
      <c r="H1894" s="87">
        <v>44620</v>
      </c>
      <c r="I1894" s="98">
        <v>15</v>
      </c>
      <c r="J1894" s="98">
        <v>15</v>
      </c>
      <c r="K1894" s="89">
        <f t="shared" ref="K1894:K1902" si="81">I1894/J1894</f>
        <v>1</v>
      </c>
      <c r="L1894" s="89">
        <v>12295.15</v>
      </c>
      <c r="M1894" s="89">
        <v>3047.66</v>
      </c>
      <c r="N1894" s="89">
        <v>1319.3</v>
      </c>
      <c r="O1894" s="89">
        <f t="shared" si="80"/>
        <v>16662.11</v>
      </c>
    </row>
    <row r="1895" spans="1:15">
      <c r="A1895" s="74" t="s">
        <v>309</v>
      </c>
      <c r="B1895" s="74" t="s">
        <v>290</v>
      </c>
      <c r="C1895" s="74" t="s">
        <v>291</v>
      </c>
      <c r="D1895" s="74" t="s">
        <v>82</v>
      </c>
      <c r="E1895" s="88" t="s">
        <v>85</v>
      </c>
      <c r="F1895" s="86" t="s">
        <v>218</v>
      </c>
      <c r="G1895" s="74" t="s">
        <v>289</v>
      </c>
      <c r="H1895" s="87">
        <v>44620</v>
      </c>
      <c r="I1895" s="98">
        <v>15</v>
      </c>
      <c r="J1895" s="98">
        <v>15</v>
      </c>
      <c r="K1895" s="89">
        <f t="shared" si="81"/>
        <v>1</v>
      </c>
      <c r="L1895" s="89">
        <v>11462.94</v>
      </c>
      <c r="M1895" s="89">
        <v>3021.02</v>
      </c>
      <c r="N1895" s="89">
        <v>1150.6</v>
      </c>
      <c r="O1895" s="89">
        <f t="shared" si="80"/>
        <v>15634.56</v>
      </c>
    </row>
    <row r="1896" spans="1:15">
      <c r="A1896" s="74" t="s">
        <v>309</v>
      </c>
      <c r="B1896" s="74" t="s">
        <v>292</v>
      </c>
      <c r="C1896" s="74" t="s">
        <v>293</v>
      </c>
      <c r="D1896" s="74" t="s">
        <v>82</v>
      </c>
      <c r="E1896" s="88" t="s">
        <v>85</v>
      </c>
      <c r="F1896" s="86" t="s">
        <v>225</v>
      </c>
      <c r="G1896" s="74" t="s">
        <v>289</v>
      </c>
      <c r="H1896" s="87">
        <v>44620</v>
      </c>
      <c r="I1896" s="98">
        <v>15</v>
      </c>
      <c r="J1896" s="98">
        <v>15</v>
      </c>
      <c r="K1896" s="89">
        <f t="shared" si="81"/>
        <v>1</v>
      </c>
      <c r="L1896" s="89">
        <v>10178.98</v>
      </c>
      <c r="M1896" s="89">
        <v>3039.91</v>
      </c>
      <c r="N1896" s="89">
        <v>1090.98</v>
      </c>
      <c r="O1896" s="89">
        <f t="shared" si="80"/>
        <v>14309.87</v>
      </c>
    </row>
    <row r="1897" spans="1:15">
      <c r="A1897" s="74" t="s">
        <v>309</v>
      </c>
      <c r="B1897" s="74" t="s">
        <v>294</v>
      </c>
      <c r="C1897" s="74" t="s">
        <v>295</v>
      </c>
      <c r="D1897" s="74" t="s">
        <v>82</v>
      </c>
      <c r="E1897" s="88" t="s">
        <v>85</v>
      </c>
      <c r="F1897" s="86" t="s">
        <v>208</v>
      </c>
      <c r="G1897" s="74" t="s">
        <v>289</v>
      </c>
      <c r="H1897" s="87">
        <v>44620</v>
      </c>
      <c r="I1897" s="98">
        <v>15</v>
      </c>
      <c r="J1897" s="98">
        <v>15</v>
      </c>
      <c r="K1897" s="89">
        <f t="shared" si="81"/>
        <v>1</v>
      </c>
      <c r="L1897" s="89">
        <v>9663.07</v>
      </c>
      <c r="M1897" s="89">
        <v>3142.06</v>
      </c>
      <c r="N1897" s="89">
        <v>947.03</v>
      </c>
      <c r="O1897" s="89">
        <f t="shared" si="80"/>
        <v>13752.16</v>
      </c>
    </row>
    <row r="1898" spans="1:15">
      <c r="A1898" s="74" t="s">
        <v>309</v>
      </c>
      <c r="B1898" s="74" t="s">
        <v>296</v>
      </c>
      <c r="C1898" s="74" t="s">
        <v>297</v>
      </c>
      <c r="D1898" s="74" t="s">
        <v>82</v>
      </c>
      <c r="E1898" s="88" t="s">
        <v>85</v>
      </c>
      <c r="F1898" s="86" t="s">
        <v>116</v>
      </c>
      <c r="G1898" s="74" t="s">
        <v>289</v>
      </c>
      <c r="H1898" s="87">
        <v>44620</v>
      </c>
      <c r="I1898" s="98">
        <v>15</v>
      </c>
      <c r="J1898" s="98">
        <v>15</v>
      </c>
      <c r="K1898" s="89">
        <f t="shared" si="81"/>
        <v>1</v>
      </c>
      <c r="L1898" s="89">
        <v>8550.41</v>
      </c>
      <c r="M1898" s="89">
        <v>3275.43</v>
      </c>
      <c r="N1898" s="89">
        <v>871.45</v>
      </c>
      <c r="O1898" s="89">
        <f t="shared" si="80"/>
        <v>12697.29</v>
      </c>
    </row>
    <row r="1899" spans="1:15">
      <c r="A1899" s="74" t="s">
        <v>309</v>
      </c>
      <c r="B1899" s="74" t="s">
        <v>298</v>
      </c>
      <c r="C1899" s="74" t="s">
        <v>299</v>
      </c>
      <c r="D1899" s="74" t="s">
        <v>82</v>
      </c>
      <c r="E1899" s="88" t="s">
        <v>85</v>
      </c>
      <c r="F1899" s="86" t="s">
        <v>279</v>
      </c>
      <c r="G1899" s="74" t="s">
        <v>300</v>
      </c>
      <c r="H1899" s="87">
        <v>44620</v>
      </c>
      <c r="I1899" s="98">
        <v>15</v>
      </c>
      <c r="J1899" s="98">
        <v>15</v>
      </c>
      <c r="K1899" s="89">
        <f t="shared" si="81"/>
        <v>1</v>
      </c>
      <c r="L1899" s="89">
        <v>16437.76</v>
      </c>
      <c r="M1899" s="89">
        <v>3219.93</v>
      </c>
      <c r="N1899" s="89">
        <v>1508.24</v>
      </c>
      <c r="O1899" s="89">
        <f t="shared" si="80"/>
        <v>21165.93</v>
      </c>
    </row>
    <row r="1900" spans="1:15">
      <c r="A1900" s="74" t="s">
        <v>309</v>
      </c>
      <c r="B1900" s="74" t="s">
        <v>301</v>
      </c>
      <c r="C1900" s="74" t="s">
        <v>302</v>
      </c>
      <c r="D1900" s="74" t="s">
        <v>82</v>
      </c>
      <c r="E1900" s="88" t="s">
        <v>85</v>
      </c>
      <c r="F1900" s="86" t="s">
        <v>279</v>
      </c>
      <c r="G1900" s="74" t="s">
        <v>303</v>
      </c>
      <c r="H1900" s="87">
        <v>44620</v>
      </c>
      <c r="I1900" s="98">
        <v>15</v>
      </c>
      <c r="J1900" s="98">
        <v>15</v>
      </c>
      <c r="K1900" s="89">
        <f t="shared" si="81"/>
        <v>1</v>
      </c>
      <c r="L1900" s="89">
        <v>15365.43</v>
      </c>
      <c r="M1900" s="89">
        <v>3112.61</v>
      </c>
      <c r="N1900" s="89">
        <v>1556.11</v>
      </c>
      <c r="O1900" s="89">
        <f t="shared" si="80"/>
        <v>20034.15</v>
      </c>
    </row>
    <row r="1901" spans="1:15">
      <c r="A1901" s="74" t="s">
        <v>309</v>
      </c>
      <c r="B1901" s="74" t="s">
        <v>304</v>
      </c>
      <c r="C1901" s="74" t="s">
        <v>305</v>
      </c>
      <c r="D1901" s="74" t="s">
        <v>86</v>
      </c>
      <c r="E1901" s="74" t="s">
        <v>90</v>
      </c>
      <c r="F1901" s="86" t="s">
        <v>306</v>
      </c>
      <c r="G1901" s="74" t="s">
        <v>307</v>
      </c>
      <c r="H1901" s="87">
        <v>44620</v>
      </c>
      <c r="I1901" s="98">
        <v>15</v>
      </c>
      <c r="J1901" s="98">
        <v>15</v>
      </c>
      <c r="K1901" s="89">
        <f t="shared" si="81"/>
        <v>1</v>
      </c>
      <c r="L1901" s="89">
        <v>17050.87</v>
      </c>
      <c r="M1901" s="89">
        <v>3097.29</v>
      </c>
      <c r="N1901" s="89">
        <v>2166.03</v>
      </c>
      <c r="O1901" s="89">
        <f t="shared" si="80"/>
        <v>22314.19</v>
      </c>
    </row>
    <row r="1902" spans="1:15">
      <c r="A1902" s="74" t="s">
        <v>309</v>
      </c>
      <c r="B1902" s="74" t="s">
        <v>114</v>
      </c>
      <c r="C1902" s="74" t="s">
        <v>115</v>
      </c>
      <c r="D1902" s="74" t="s">
        <v>79</v>
      </c>
      <c r="E1902" s="74" t="s">
        <v>80</v>
      </c>
      <c r="F1902" s="86" t="s">
        <v>116</v>
      </c>
      <c r="G1902" s="74" t="s">
        <v>117</v>
      </c>
      <c r="H1902" s="87">
        <v>44651</v>
      </c>
      <c r="I1902" s="98">
        <v>22</v>
      </c>
      <c r="J1902" s="98">
        <v>22</v>
      </c>
      <c r="K1902" s="89">
        <f t="shared" si="81"/>
        <v>1</v>
      </c>
      <c r="L1902" s="89">
        <v>8546.16</v>
      </c>
      <c r="M1902" s="89">
        <v>3031.96</v>
      </c>
      <c r="N1902" s="89">
        <v>852.64</v>
      </c>
      <c r="O1902" s="89">
        <f t="shared" si="80"/>
        <v>12430.76</v>
      </c>
    </row>
    <row r="1903" spans="1:15">
      <c r="A1903" s="74" t="s">
        <v>309</v>
      </c>
      <c r="B1903" s="74" t="s">
        <v>118</v>
      </c>
      <c r="C1903" s="74" t="s">
        <v>119</v>
      </c>
      <c r="D1903" s="74" t="s">
        <v>79</v>
      </c>
      <c r="E1903" s="74" t="s">
        <v>80</v>
      </c>
      <c r="F1903" s="86" t="s">
        <v>120</v>
      </c>
      <c r="G1903" s="74" t="s">
        <v>117</v>
      </c>
      <c r="H1903" s="87">
        <v>44651</v>
      </c>
      <c r="I1903" s="98">
        <v>22</v>
      </c>
      <c r="J1903" s="98">
        <v>22</v>
      </c>
      <c r="K1903" s="89">
        <f t="shared" ref="K1903:K1966" si="82">I1903/J1903</f>
        <v>1</v>
      </c>
      <c r="L1903" s="89">
        <v>7576.78</v>
      </c>
      <c r="M1903" s="89">
        <v>3143.79</v>
      </c>
      <c r="N1903" s="89">
        <v>769.59</v>
      </c>
      <c r="O1903" s="89">
        <f t="shared" si="80"/>
        <v>11490.16</v>
      </c>
    </row>
    <row r="1904" spans="1:15">
      <c r="A1904" s="74" t="s">
        <v>309</v>
      </c>
      <c r="B1904" s="74" t="s">
        <v>121</v>
      </c>
      <c r="C1904" s="74" t="s">
        <v>122</v>
      </c>
      <c r="D1904" s="74" t="s">
        <v>79</v>
      </c>
      <c r="E1904" s="74" t="s">
        <v>80</v>
      </c>
      <c r="F1904" s="86" t="s">
        <v>123</v>
      </c>
      <c r="G1904" s="74" t="s">
        <v>117</v>
      </c>
      <c r="H1904" s="87">
        <v>44651</v>
      </c>
      <c r="I1904" s="98">
        <v>22</v>
      </c>
      <c r="J1904" s="98">
        <v>22</v>
      </c>
      <c r="K1904" s="89">
        <f t="shared" si="82"/>
        <v>1</v>
      </c>
      <c r="L1904" s="89">
        <v>6120</v>
      </c>
      <c r="M1904" s="89">
        <v>3096.73</v>
      </c>
      <c r="N1904" s="89">
        <v>651.42</v>
      </c>
      <c r="O1904" s="89">
        <f t="shared" si="80"/>
        <v>9868.15</v>
      </c>
    </row>
    <row r="1905" spans="1:15">
      <c r="A1905" s="74" t="s">
        <v>309</v>
      </c>
      <c r="B1905" s="74" t="s">
        <v>124</v>
      </c>
      <c r="C1905" s="74" t="s">
        <v>125</v>
      </c>
      <c r="D1905" s="74" t="s">
        <v>79</v>
      </c>
      <c r="E1905" s="74" t="s">
        <v>80</v>
      </c>
      <c r="F1905" s="86" t="s">
        <v>116</v>
      </c>
      <c r="G1905" s="74" t="s">
        <v>117</v>
      </c>
      <c r="H1905" s="87">
        <v>44651</v>
      </c>
      <c r="I1905" s="98">
        <v>22</v>
      </c>
      <c r="J1905" s="98">
        <v>22</v>
      </c>
      <c r="K1905" s="89">
        <f t="shared" si="82"/>
        <v>1</v>
      </c>
      <c r="L1905" s="89">
        <v>8038.59</v>
      </c>
      <c r="M1905" s="89">
        <v>3019.38</v>
      </c>
      <c r="N1905" s="89">
        <v>875.32</v>
      </c>
      <c r="O1905" s="89">
        <f t="shared" si="80"/>
        <v>11933.29</v>
      </c>
    </row>
    <row r="1906" spans="1:15">
      <c r="A1906" s="74" t="s">
        <v>309</v>
      </c>
      <c r="B1906" s="74" t="s">
        <v>126</v>
      </c>
      <c r="C1906" s="74" t="s">
        <v>127</v>
      </c>
      <c r="D1906" s="74" t="s">
        <v>79</v>
      </c>
      <c r="E1906" s="74" t="s">
        <v>80</v>
      </c>
      <c r="F1906" s="86" t="s">
        <v>120</v>
      </c>
      <c r="G1906" s="74" t="s">
        <v>117</v>
      </c>
      <c r="H1906" s="87">
        <v>44651</v>
      </c>
      <c r="I1906" s="98">
        <v>22</v>
      </c>
      <c r="J1906" s="98">
        <v>22</v>
      </c>
      <c r="K1906" s="89">
        <f t="shared" si="82"/>
        <v>1</v>
      </c>
      <c r="L1906" s="89">
        <v>7369.43</v>
      </c>
      <c r="M1906" s="89">
        <v>3142.92</v>
      </c>
      <c r="N1906" s="89">
        <v>713.14</v>
      </c>
      <c r="O1906" s="89">
        <f t="shared" si="80"/>
        <v>11225.49</v>
      </c>
    </row>
    <row r="1907" spans="1:15">
      <c r="A1907" s="74" t="s">
        <v>309</v>
      </c>
      <c r="B1907" s="74" t="s">
        <v>128</v>
      </c>
      <c r="C1907" s="74" t="s">
        <v>129</v>
      </c>
      <c r="D1907" s="74" t="s">
        <v>79</v>
      </c>
      <c r="E1907" s="74" t="s">
        <v>80</v>
      </c>
      <c r="F1907" s="86" t="s">
        <v>123</v>
      </c>
      <c r="G1907" s="74" t="s">
        <v>117</v>
      </c>
      <c r="H1907" s="87">
        <v>44651</v>
      </c>
      <c r="I1907" s="98">
        <v>22</v>
      </c>
      <c r="J1907" s="98">
        <v>22</v>
      </c>
      <c r="K1907" s="89">
        <f t="shared" si="82"/>
        <v>1</v>
      </c>
      <c r="L1907" s="89">
        <v>6599.63</v>
      </c>
      <c r="M1907" s="89">
        <v>3260.43</v>
      </c>
      <c r="N1907" s="89">
        <v>659.38</v>
      </c>
      <c r="O1907" s="89">
        <f t="shared" si="80"/>
        <v>10519.44</v>
      </c>
    </row>
    <row r="1908" spans="1:15">
      <c r="A1908" s="74" t="s">
        <v>309</v>
      </c>
      <c r="B1908" s="74" t="s">
        <v>130</v>
      </c>
      <c r="C1908" s="74" t="s">
        <v>131</v>
      </c>
      <c r="D1908" s="74" t="s">
        <v>79</v>
      </c>
      <c r="E1908" s="74" t="s">
        <v>80</v>
      </c>
      <c r="F1908" s="86" t="s">
        <v>116</v>
      </c>
      <c r="G1908" s="74" t="s">
        <v>117</v>
      </c>
      <c r="H1908" s="87">
        <v>44651</v>
      </c>
      <c r="I1908" s="98">
        <v>22</v>
      </c>
      <c r="J1908" s="98">
        <v>22</v>
      </c>
      <c r="K1908" s="89">
        <f t="shared" si="82"/>
        <v>1</v>
      </c>
      <c r="L1908" s="89">
        <v>8529.99</v>
      </c>
      <c r="M1908" s="89">
        <v>3277</v>
      </c>
      <c r="N1908" s="89">
        <v>843.52</v>
      </c>
      <c r="O1908" s="89">
        <f t="shared" si="80"/>
        <v>12650.51</v>
      </c>
    </row>
    <row r="1909" spans="1:15">
      <c r="A1909" s="74" t="s">
        <v>309</v>
      </c>
      <c r="B1909" s="74" t="s">
        <v>132</v>
      </c>
      <c r="C1909" s="74" t="s">
        <v>133</v>
      </c>
      <c r="D1909" s="74" t="s">
        <v>79</v>
      </c>
      <c r="E1909" s="74" t="s">
        <v>80</v>
      </c>
      <c r="F1909" s="86" t="s">
        <v>120</v>
      </c>
      <c r="G1909" s="74" t="s">
        <v>117</v>
      </c>
      <c r="H1909" s="87">
        <v>44651</v>
      </c>
      <c r="I1909" s="98">
        <v>22</v>
      </c>
      <c r="J1909" s="98">
        <v>22</v>
      </c>
      <c r="K1909" s="89">
        <f t="shared" si="82"/>
        <v>1</v>
      </c>
      <c r="L1909" s="89">
        <v>7562.55</v>
      </c>
      <c r="M1909" s="89">
        <v>3257.55</v>
      </c>
      <c r="N1909" s="89">
        <v>726.28</v>
      </c>
      <c r="O1909" s="89">
        <f t="shared" si="80"/>
        <v>11546.38</v>
      </c>
    </row>
    <row r="1910" spans="1:15">
      <c r="A1910" s="74" t="s">
        <v>309</v>
      </c>
      <c r="B1910" s="74" t="s">
        <v>134</v>
      </c>
      <c r="C1910" s="74" t="s">
        <v>135</v>
      </c>
      <c r="D1910" s="74" t="s">
        <v>79</v>
      </c>
      <c r="E1910" s="74" t="s">
        <v>80</v>
      </c>
      <c r="F1910" s="86" t="s">
        <v>123</v>
      </c>
      <c r="G1910" s="74" t="s">
        <v>117</v>
      </c>
      <c r="H1910" s="87">
        <v>44651</v>
      </c>
      <c r="I1910" s="98">
        <v>22</v>
      </c>
      <c r="J1910" s="98">
        <v>22</v>
      </c>
      <c r="K1910" s="89">
        <f t="shared" si="82"/>
        <v>1</v>
      </c>
      <c r="L1910" s="89">
        <v>6133.49</v>
      </c>
      <c r="M1910" s="89">
        <v>3259.8</v>
      </c>
      <c r="N1910" s="89">
        <v>647.93</v>
      </c>
      <c r="O1910" s="89">
        <f t="shared" si="80"/>
        <v>10041.22</v>
      </c>
    </row>
    <row r="1911" spans="1:15">
      <c r="A1911" s="74" t="s">
        <v>309</v>
      </c>
      <c r="B1911" s="74" t="s">
        <v>136</v>
      </c>
      <c r="C1911" s="74" t="s">
        <v>137</v>
      </c>
      <c r="D1911" s="74" t="s">
        <v>79</v>
      </c>
      <c r="E1911" s="74" t="s">
        <v>80</v>
      </c>
      <c r="F1911" s="86" t="s">
        <v>116</v>
      </c>
      <c r="G1911" s="74" t="s">
        <v>138</v>
      </c>
      <c r="H1911" s="87">
        <v>44651</v>
      </c>
      <c r="I1911" s="98">
        <v>22</v>
      </c>
      <c r="J1911" s="98">
        <v>22</v>
      </c>
      <c r="K1911" s="89">
        <f t="shared" si="82"/>
        <v>1</v>
      </c>
      <c r="L1911" s="89">
        <v>8691.42</v>
      </c>
      <c r="M1911" s="89">
        <v>3005.34</v>
      </c>
      <c r="N1911" s="89">
        <v>852.71</v>
      </c>
      <c r="O1911" s="89">
        <f t="shared" si="80"/>
        <v>12549.47</v>
      </c>
    </row>
    <row r="1912" spans="1:15">
      <c r="A1912" s="74" t="s">
        <v>309</v>
      </c>
      <c r="B1912" s="74" t="s">
        <v>139</v>
      </c>
      <c r="C1912" s="74" t="s">
        <v>140</v>
      </c>
      <c r="D1912" s="74" t="s">
        <v>79</v>
      </c>
      <c r="E1912" s="74" t="s">
        <v>80</v>
      </c>
      <c r="F1912" s="86" t="s">
        <v>120</v>
      </c>
      <c r="G1912" s="74" t="s">
        <v>138</v>
      </c>
      <c r="H1912" s="87">
        <v>44651</v>
      </c>
      <c r="I1912" s="98">
        <v>22</v>
      </c>
      <c r="J1912" s="98">
        <v>22</v>
      </c>
      <c r="K1912" s="89">
        <f t="shared" si="82"/>
        <v>1</v>
      </c>
      <c r="L1912" s="89">
        <v>7315.18</v>
      </c>
      <c r="M1912" s="89">
        <v>3270.02</v>
      </c>
      <c r="N1912" s="89">
        <v>767.12</v>
      </c>
      <c r="O1912" s="89">
        <f t="shared" si="80"/>
        <v>11352.32</v>
      </c>
    </row>
    <row r="1913" spans="1:15">
      <c r="A1913" s="74" t="s">
        <v>309</v>
      </c>
      <c r="B1913" s="74" t="s">
        <v>141</v>
      </c>
      <c r="C1913" s="74" t="s">
        <v>142</v>
      </c>
      <c r="D1913" s="74" t="s">
        <v>79</v>
      </c>
      <c r="E1913" s="74" t="s">
        <v>80</v>
      </c>
      <c r="F1913" s="86" t="s">
        <v>123</v>
      </c>
      <c r="G1913" s="74" t="s">
        <v>138</v>
      </c>
      <c r="H1913" s="87">
        <v>44651</v>
      </c>
      <c r="I1913" s="98">
        <v>22</v>
      </c>
      <c r="J1913" s="98">
        <v>22</v>
      </c>
      <c r="K1913" s="89">
        <f t="shared" si="82"/>
        <v>1</v>
      </c>
      <c r="L1913" s="89">
        <v>6500.65</v>
      </c>
      <c r="M1913" s="89">
        <v>3144.35</v>
      </c>
      <c r="N1913" s="89">
        <v>617.64</v>
      </c>
      <c r="O1913" s="89">
        <f t="shared" si="80"/>
        <v>10262.64</v>
      </c>
    </row>
    <row r="1914" spans="1:15">
      <c r="A1914" s="74" t="s">
        <v>309</v>
      </c>
      <c r="B1914" s="74" t="s">
        <v>143</v>
      </c>
      <c r="C1914" s="74" t="s">
        <v>144</v>
      </c>
      <c r="D1914" s="74" t="s">
        <v>79</v>
      </c>
      <c r="E1914" s="74" t="s">
        <v>80</v>
      </c>
      <c r="F1914" s="86" t="s">
        <v>145</v>
      </c>
      <c r="G1914" s="74" t="s">
        <v>146</v>
      </c>
      <c r="H1914" s="87">
        <v>44651</v>
      </c>
      <c r="I1914" s="98">
        <v>22</v>
      </c>
      <c r="J1914" s="98">
        <v>22</v>
      </c>
      <c r="K1914" s="89">
        <f t="shared" si="82"/>
        <v>1</v>
      </c>
      <c r="L1914" s="89">
        <v>20737.67</v>
      </c>
      <c r="M1914" s="89">
        <v>3062.41</v>
      </c>
      <c r="N1914" s="89">
        <v>1953.73</v>
      </c>
      <c r="O1914" s="89">
        <f t="shared" si="80"/>
        <v>25753.81</v>
      </c>
    </row>
    <row r="1915" spans="1:15">
      <c r="A1915" s="74" t="s">
        <v>309</v>
      </c>
      <c r="B1915" s="74" t="s">
        <v>147</v>
      </c>
      <c r="C1915" s="74" t="s">
        <v>148</v>
      </c>
      <c r="D1915" s="74" t="s">
        <v>79</v>
      </c>
      <c r="E1915" s="74" t="s">
        <v>80</v>
      </c>
      <c r="F1915" s="86" t="s">
        <v>149</v>
      </c>
      <c r="G1915" s="74" t="s">
        <v>150</v>
      </c>
      <c r="H1915" s="87">
        <v>44651</v>
      </c>
      <c r="I1915" s="98">
        <v>22</v>
      </c>
      <c r="J1915" s="98">
        <v>22</v>
      </c>
      <c r="K1915" s="89">
        <f t="shared" si="82"/>
        <v>1</v>
      </c>
      <c r="L1915" s="89">
        <v>17599.36</v>
      </c>
      <c r="M1915" s="89">
        <v>3077.26</v>
      </c>
      <c r="N1915" s="89">
        <v>1822.51</v>
      </c>
      <c r="O1915" s="89">
        <f t="shared" si="80"/>
        <v>22499.13</v>
      </c>
    </row>
    <row r="1916" spans="1:15">
      <c r="A1916" s="74" t="s">
        <v>309</v>
      </c>
      <c r="B1916" s="74" t="s">
        <v>151</v>
      </c>
      <c r="C1916" s="74" t="s">
        <v>152</v>
      </c>
      <c r="D1916" s="74" t="s">
        <v>79</v>
      </c>
      <c r="E1916" s="74" t="s">
        <v>81</v>
      </c>
      <c r="F1916" s="86" t="s">
        <v>123</v>
      </c>
      <c r="G1916" s="74" t="s">
        <v>153</v>
      </c>
      <c r="H1916" s="87">
        <v>44651</v>
      </c>
      <c r="I1916" s="98">
        <v>22</v>
      </c>
      <c r="J1916" s="98">
        <v>22</v>
      </c>
      <c r="K1916" s="89">
        <f t="shared" si="82"/>
        <v>1</v>
      </c>
      <c r="L1916" s="89">
        <v>6594.34</v>
      </c>
      <c r="M1916" s="89">
        <v>3280.76</v>
      </c>
      <c r="N1916" s="89">
        <v>613.89</v>
      </c>
      <c r="O1916" s="89">
        <f t="shared" si="80"/>
        <v>10488.99</v>
      </c>
    </row>
    <row r="1917" spans="1:15">
      <c r="A1917" s="74" t="s">
        <v>309</v>
      </c>
      <c r="B1917" s="74" t="s">
        <v>154</v>
      </c>
      <c r="C1917" s="74" t="s">
        <v>155</v>
      </c>
      <c r="D1917" s="74" t="s">
        <v>79</v>
      </c>
      <c r="E1917" s="74" t="s">
        <v>81</v>
      </c>
      <c r="F1917" s="86" t="s">
        <v>156</v>
      </c>
      <c r="G1917" s="74" t="s">
        <v>157</v>
      </c>
      <c r="H1917" s="87">
        <v>44651</v>
      </c>
      <c r="I1917" s="98">
        <v>22</v>
      </c>
      <c r="J1917" s="98">
        <v>22</v>
      </c>
      <c r="K1917" s="89">
        <f t="shared" si="82"/>
        <v>1</v>
      </c>
      <c r="L1917" s="89">
        <v>5478.08</v>
      </c>
      <c r="M1917" s="89">
        <v>3044.51</v>
      </c>
      <c r="N1917" s="89">
        <v>534.63</v>
      </c>
      <c r="O1917" s="89">
        <f t="shared" si="80"/>
        <v>9057.22</v>
      </c>
    </row>
    <row r="1918" spans="1:15">
      <c r="A1918" s="74" t="s">
        <v>309</v>
      </c>
      <c r="B1918" s="74" t="s">
        <v>158</v>
      </c>
      <c r="C1918" s="74" t="s">
        <v>159</v>
      </c>
      <c r="D1918" s="74" t="s">
        <v>79</v>
      </c>
      <c r="E1918" s="74" t="s">
        <v>81</v>
      </c>
      <c r="F1918" s="86" t="s">
        <v>160</v>
      </c>
      <c r="G1918" s="74" t="s">
        <v>161</v>
      </c>
      <c r="H1918" s="87">
        <v>44651</v>
      </c>
      <c r="I1918" s="98">
        <v>22</v>
      </c>
      <c r="J1918" s="98">
        <v>22</v>
      </c>
      <c r="K1918" s="89">
        <f t="shared" si="82"/>
        <v>1</v>
      </c>
      <c r="L1918" s="89">
        <v>4276.14</v>
      </c>
      <c r="M1918" s="89">
        <v>3082.69</v>
      </c>
      <c r="N1918" s="89">
        <v>410.35</v>
      </c>
      <c r="O1918" s="89">
        <f t="shared" si="80"/>
        <v>7769.18</v>
      </c>
    </row>
    <row r="1919" spans="1:15">
      <c r="A1919" s="74" t="s">
        <v>309</v>
      </c>
      <c r="B1919" s="74" t="s">
        <v>162</v>
      </c>
      <c r="C1919" s="74" t="s">
        <v>163</v>
      </c>
      <c r="D1919" s="74" t="s">
        <v>79</v>
      </c>
      <c r="E1919" s="74" t="s">
        <v>81</v>
      </c>
      <c r="F1919" s="86" t="s">
        <v>123</v>
      </c>
      <c r="G1919" s="74" t="s">
        <v>153</v>
      </c>
      <c r="H1919" s="87">
        <v>44651</v>
      </c>
      <c r="I1919" s="98">
        <v>22</v>
      </c>
      <c r="J1919" s="98">
        <v>22</v>
      </c>
      <c r="K1919" s="89">
        <f t="shared" si="82"/>
        <v>1</v>
      </c>
      <c r="L1919" s="89">
        <v>6571.41</v>
      </c>
      <c r="M1919" s="89">
        <v>3033.96</v>
      </c>
      <c r="N1919" s="89">
        <v>627.36</v>
      </c>
      <c r="O1919" s="89">
        <f t="shared" si="80"/>
        <v>10232.73</v>
      </c>
    </row>
    <row r="1920" spans="1:15">
      <c r="A1920" s="74" t="s">
        <v>309</v>
      </c>
      <c r="B1920" s="74" t="s">
        <v>164</v>
      </c>
      <c r="C1920" s="74" t="s">
        <v>165</v>
      </c>
      <c r="D1920" s="74" t="s">
        <v>79</v>
      </c>
      <c r="E1920" s="74" t="s">
        <v>81</v>
      </c>
      <c r="F1920" s="86" t="s">
        <v>156</v>
      </c>
      <c r="G1920" s="74" t="s">
        <v>157</v>
      </c>
      <c r="H1920" s="87">
        <v>44651</v>
      </c>
      <c r="I1920" s="98">
        <v>22</v>
      </c>
      <c r="J1920" s="98">
        <v>22</v>
      </c>
      <c r="K1920" s="89">
        <f t="shared" si="82"/>
        <v>1</v>
      </c>
      <c r="L1920" s="89">
        <v>5041.19</v>
      </c>
      <c r="M1920" s="89">
        <v>3202.25</v>
      </c>
      <c r="N1920" s="89">
        <v>548.31</v>
      </c>
      <c r="O1920" s="89">
        <f t="shared" si="80"/>
        <v>8791.75</v>
      </c>
    </row>
    <row r="1921" spans="1:15">
      <c r="A1921" s="74" t="s">
        <v>309</v>
      </c>
      <c r="B1921" s="74" t="s">
        <v>166</v>
      </c>
      <c r="C1921" s="74" t="s">
        <v>167</v>
      </c>
      <c r="D1921" s="74" t="s">
        <v>79</v>
      </c>
      <c r="E1921" s="74" t="s">
        <v>81</v>
      </c>
      <c r="F1921" s="86" t="s">
        <v>160</v>
      </c>
      <c r="G1921" s="74" t="s">
        <v>161</v>
      </c>
      <c r="H1921" s="87">
        <v>44651</v>
      </c>
      <c r="I1921" s="98">
        <v>22</v>
      </c>
      <c r="J1921" s="98">
        <v>22</v>
      </c>
      <c r="K1921" s="89">
        <f t="shared" si="82"/>
        <v>1</v>
      </c>
      <c r="L1921" s="89">
        <v>4366.74</v>
      </c>
      <c r="M1921" s="89">
        <v>3292.66</v>
      </c>
      <c r="N1921" s="89">
        <v>429.14</v>
      </c>
      <c r="O1921" s="89">
        <f t="shared" si="80"/>
        <v>8088.54</v>
      </c>
    </row>
    <row r="1922" spans="1:15">
      <c r="A1922" s="74" t="s">
        <v>309</v>
      </c>
      <c r="B1922" s="74" t="s">
        <v>168</v>
      </c>
      <c r="C1922" s="74" t="s">
        <v>169</v>
      </c>
      <c r="D1922" s="74" t="s">
        <v>79</v>
      </c>
      <c r="E1922" s="74" t="s">
        <v>81</v>
      </c>
      <c r="F1922" s="86" t="s">
        <v>123</v>
      </c>
      <c r="G1922" s="74" t="s">
        <v>153</v>
      </c>
      <c r="H1922" s="87">
        <v>44651</v>
      </c>
      <c r="I1922" s="98">
        <v>22</v>
      </c>
      <c r="J1922" s="98">
        <v>22</v>
      </c>
      <c r="K1922" s="89">
        <f t="shared" si="82"/>
        <v>1</v>
      </c>
      <c r="L1922" s="89">
        <v>6317.19</v>
      </c>
      <c r="M1922" s="89">
        <v>3249.12</v>
      </c>
      <c r="N1922" s="89">
        <v>657.29</v>
      </c>
      <c r="O1922" s="89">
        <f t="shared" si="80"/>
        <v>10223.6</v>
      </c>
    </row>
    <row r="1923" spans="1:15">
      <c r="A1923" s="74" t="s">
        <v>309</v>
      </c>
      <c r="B1923" s="74" t="s">
        <v>170</v>
      </c>
      <c r="C1923" s="74" t="s">
        <v>171</v>
      </c>
      <c r="D1923" s="74" t="s">
        <v>79</v>
      </c>
      <c r="E1923" s="74" t="s">
        <v>81</v>
      </c>
      <c r="F1923" s="86" t="s">
        <v>156</v>
      </c>
      <c r="G1923" s="74" t="s">
        <v>157</v>
      </c>
      <c r="H1923" s="87">
        <v>44651</v>
      </c>
      <c r="I1923" s="98">
        <v>22</v>
      </c>
      <c r="J1923" s="98">
        <v>22</v>
      </c>
      <c r="K1923" s="89">
        <f t="shared" si="82"/>
        <v>1</v>
      </c>
      <c r="L1923" s="89">
        <v>5412.95</v>
      </c>
      <c r="M1923" s="89">
        <v>3127.02</v>
      </c>
      <c r="N1923" s="89">
        <v>549.14</v>
      </c>
      <c r="O1923" s="89">
        <f t="shared" si="80"/>
        <v>9089.11</v>
      </c>
    </row>
    <row r="1924" spans="1:15">
      <c r="A1924" s="74" t="s">
        <v>309</v>
      </c>
      <c r="B1924" s="74" t="s">
        <v>172</v>
      </c>
      <c r="C1924" s="74" t="s">
        <v>173</v>
      </c>
      <c r="D1924" s="74" t="s">
        <v>79</v>
      </c>
      <c r="E1924" s="74" t="s">
        <v>81</v>
      </c>
      <c r="F1924" s="86" t="s">
        <v>160</v>
      </c>
      <c r="G1924" s="74" t="s">
        <v>161</v>
      </c>
      <c r="H1924" s="87">
        <v>44651</v>
      </c>
      <c r="I1924" s="98">
        <v>22</v>
      </c>
      <c r="J1924" s="98">
        <v>22</v>
      </c>
      <c r="K1924" s="89">
        <f t="shared" si="82"/>
        <v>1</v>
      </c>
      <c r="L1924" s="89">
        <v>4149.87</v>
      </c>
      <c r="M1924" s="89">
        <v>3023.49</v>
      </c>
      <c r="N1924" s="89">
        <v>429.98</v>
      </c>
      <c r="O1924" s="89">
        <f t="shared" si="80"/>
        <v>7603.34</v>
      </c>
    </row>
    <row r="1925" spans="1:15">
      <c r="A1925" s="74" t="s">
        <v>309</v>
      </c>
      <c r="B1925" s="74" t="s">
        <v>174</v>
      </c>
      <c r="C1925" s="74" t="s">
        <v>175</v>
      </c>
      <c r="D1925" s="74" t="s">
        <v>79</v>
      </c>
      <c r="E1925" s="74" t="s">
        <v>81</v>
      </c>
      <c r="F1925" s="86" t="s">
        <v>176</v>
      </c>
      <c r="G1925" s="74" t="s">
        <v>177</v>
      </c>
      <c r="H1925" s="87">
        <v>44651</v>
      </c>
      <c r="I1925" s="98">
        <v>22</v>
      </c>
      <c r="J1925" s="98">
        <v>22</v>
      </c>
      <c r="K1925" s="89">
        <f t="shared" si="82"/>
        <v>1</v>
      </c>
      <c r="L1925" s="89">
        <v>3206.38</v>
      </c>
      <c r="M1925" s="89">
        <v>3082.74</v>
      </c>
      <c r="N1925" s="89">
        <v>320.23</v>
      </c>
      <c r="O1925" s="89">
        <f t="shared" ref="O1925:O1988" si="83">SUM(L1925:N1925)</f>
        <v>6609.35</v>
      </c>
    </row>
    <row r="1926" spans="1:15">
      <c r="A1926" s="74" t="s">
        <v>309</v>
      </c>
      <c r="B1926" s="74" t="s">
        <v>178</v>
      </c>
      <c r="C1926" s="74" t="s">
        <v>179</v>
      </c>
      <c r="D1926" s="74" t="s">
        <v>79</v>
      </c>
      <c r="E1926" s="74" t="s">
        <v>81</v>
      </c>
      <c r="F1926" s="86" t="s">
        <v>180</v>
      </c>
      <c r="G1926" s="74" t="s">
        <v>177</v>
      </c>
      <c r="H1926" s="87">
        <v>44651</v>
      </c>
      <c r="I1926" s="98">
        <v>22</v>
      </c>
      <c r="J1926" s="98">
        <v>22</v>
      </c>
      <c r="K1926" s="89">
        <f t="shared" si="82"/>
        <v>1</v>
      </c>
      <c r="L1926" s="89">
        <v>2142.73</v>
      </c>
      <c r="M1926" s="89">
        <v>3114.5</v>
      </c>
      <c r="N1926" s="89">
        <v>204.04</v>
      </c>
      <c r="O1926" s="89">
        <f t="shared" si="83"/>
        <v>5461.27</v>
      </c>
    </row>
    <row r="1927" spans="1:15">
      <c r="A1927" s="74" t="s">
        <v>309</v>
      </c>
      <c r="B1927" s="74" t="s">
        <v>181</v>
      </c>
      <c r="C1927" s="74" t="s">
        <v>182</v>
      </c>
      <c r="D1927" s="74" t="s">
        <v>79</v>
      </c>
      <c r="E1927" s="74" t="s">
        <v>81</v>
      </c>
      <c r="F1927" s="86" t="s">
        <v>183</v>
      </c>
      <c r="G1927" s="74" t="s">
        <v>177</v>
      </c>
      <c r="H1927" s="87">
        <v>44651</v>
      </c>
      <c r="I1927" s="98">
        <v>22</v>
      </c>
      <c r="J1927" s="98">
        <v>22</v>
      </c>
      <c r="K1927" s="89">
        <f t="shared" si="82"/>
        <v>1</v>
      </c>
      <c r="L1927" s="89">
        <v>1067.47</v>
      </c>
      <c r="M1927" s="89">
        <v>3248.38</v>
      </c>
      <c r="N1927" s="89">
        <v>100.87</v>
      </c>
      <c r="O1927" s="89">
        <f t="shared" si="83"/>
        <v>4416.72</v>
      </c>
    </row>
    <row r="1928" spans="1:15">
      <c r="A1928" s="74" t="s">
        <v>309</v>
      </c>
      <c r="B1928" s="74" t="s">
        <v>184</v>
      </c>
      <c r="C1928" s="74" t="s">
        <v>185</v>
      </c>
      <c r="D1928" s="74" t="s">
        <v>79</v>
      </c>
      <c r="E1928" s="74" t="s">
        <v>81</v>
      </c>
      <c r="F1928" s="86" t="s">
        <v>176</v>
      </c>
      <c r="G1928" s="74" t="s">
        <v>177</v>
      </c>
      <c r="H1928" s="87">
        <v>44651</v>
      </c>
      <c r="I1928" s="98">
        <v>22</v>
      </c>
      <c r="J1928" s="98">
        <v>22</v>
      </c>
      <c r="K1928" s="89">
        <f t="shared" si="82"/>
        <v>1</v>
      </c>
      <c r="L1928" s="89">
        <v>3052.32</v>
      </c>
      <c r="M1928" s="89">
        <v>3057.84</v>
      </c>
      <c r="N1928" s="89">
        <v>300.04</v>
      </c>
      <c r="O1928" s="89">
        <f t="shared" si="83"/>
        <v>6410.2</v>
      </c>
    </row>
    <row r="1929" spans="1:15">
      <c r="A1929" s="74" t="s">
        <v>309</v>
      </c>
      <c r="B1929" s="74" t="s">
        <v>186</v>
      </c>
      <c r="C1929" s="74" t="s">
        <v>187</v>
      </c>
      <c r="D1929" s="74" t="s">
        <v>79</v>
      </c>
      <c r="E1929" s="74" t="s">
        <v>81</v>
      </c>
      <c r="F1929" s="86" t="s">
        <v>180</v>
      </c>
      <c r="G1929" s="74" t="s">
        <v>177</v>
      </c>
      <c r="H1929" s="87">
        <v>44651</v>
      </c>
      <c r="I1929" s="98">
        <v>22</v>
      </c>
      <c r="J1929" s="98">
        <v>22</v>
      </c>
      <c r="K1929" s="89">
        <f t="shared" si="82"/>
        <v>1</v>
      </c>
      <c r="L1929" s="89">
        <v>2072.12</v>
      </c>
      <c r="M1929" s="89">
        <v>3068.67</v>
      </c>
      <c r="N1929" s="89">
        <v>204.66</v>
      </c>
      <c r="O1929" s="89">
        <f t="shared" si="83"/>
        <v>5345.45</v>
      </c>
    </row>
    <row r="1930" spans="1:15">
      <c r="A1930" s="74" t="s">
        <v>309</v>
      </c>
      <c r="B1930" s="74" t="s">
        <v>188</v>
      </c>
      <c r="C1930" s="74" t="s">
        <v>189</v>
      </c>
      <c r="D1930" s="74" t="s">
        <v>79</v>
      </c>
      <c r="E1930" s="74" t="s">
        <v>81</v>
      </c>
      <c r="F1930" s="86" t="s">
        <v>183</v>
      </c>
      <c r="G1930" s="74" t="s">
        <v>177</v>
      </c>
      <c r="H1930" s="87">
        <v>44651</v>
      </c>
      <c r="I1930" s="98">
        <v>22</v>
      </c>
      <c r="J1930" s="98">
        <v>22</v>
      </c>
      <c r="K1930" s="89">
        <f t="shared" si="82"/>
        <v>1</v>
      </c>
      <c r="L1930" s="89">
        <v>1002.47</v>
      </c>
      <c r="M1930" s="89">
        <v>3293.3</v>
      </c>
      <c r="N1930" s="89">
        <v>102.36</v>
      </c>
      <c r="O1930" s="89">
        <f t="shared" si="83"/>
        <v>4398.13</v>
      </c>
    </row>
    <row r="1931" spans="1:15">
      <c r="A1931" s="74" t="s">
        <v>309</v>
      </c>
      <c r="B1931" s="74" t="s">
        <v>190</v>
      </c>
      <c r="C1931" s="74" t="s">
        <v>191</v>
      </c>
      <c r="D1931" s="74" t="s">
        <v>79</v>
      </c>
      <c r="E1931" s="74" t="s">
        <v>81</v>
      </c>
      <c r="F1931" s="86" t="s">
        <v>176</v>
      </c>
      <c r="G1931" s="74" t="s">
        <v>177</v>
      </c>
      <c r="H1931" s="87">
        <v>44651</v>
      </c>
      <c r="I1931" s="98">
        <v>22</v>
      </c>
      <c r="J1931" s="98">
        <v>22</v>
      </c>
      <c r="K1931" s="89">
        <f t="shared" si="82"/>
        <v>1</v>
      </c>
      <c r="L1931" s="89">
        <v>3110.74</v>
      </c>
      <c r="M1931" s="89">
        <v>3297.71</v>
      </c>
      <c r="N1931" s="89">
        <v>312.65</v>
      </c>
      <c r="O1931" s="89">
        <f t="shared" si="83"/>
        <v>6721.1</v>
      </c>
    </row>
    <row r="1932" spans="1:15">
      <c r="A1932" s="74" t="s">
        <v>309</v>
      </c>
      <c r="B1932" s="74" t="s">
        <v>192</v>
      </c>
      <c r="C1932" s="74" t="s">
        <v>193</v>
      </c>
      <c r="D1932" s="74" t="s">
        <v>79</v>
      </c>
      <c r="E1932" s="74" t="s">
        <v>81</v>
      </c>
      <c r="F1932" s="86" t="s">
        <v>180</v>
      </c>
      <c r="G1932" s="74" t="s">
        <v>177</v>
      </c>
      <c r="H1932" s="87">
        <v>44651</v>
      </c>
      <c r="I1932" s="98">
        <v>22</v>
      </c>
      <c r="J1932" s="98">
        <v>22</v>
      </c>
      <c r="K1932" s="89">
        <f t="shared" si="82"/>
        <v>1</v>
      </c>
      <c r="L1932" s="89">
        <v>2051.83</v>
      </c>
      <c r="M1932" s="89">
        <v>3118.57</v>
      </c>
      <c r="N1932" s="89">
        <v>215.58</v>
      </c>
      <c r="O1932" s="89">
        <f t="shared" si="83"/>
        <v>5385.98</v>
      </c>
    </row>
    <row r="1933" spans="1:15">
      <c r="A1933" s="74" t="s">
        <v>309</v>
      </c>
      <c r="B1933" s="74" t="s">
        <v>194</v>
      </c>
      <c r="C1933" s="74" t="s">
        <v>195</v>
      </c>
      <c r="D1933" s="74" t="s">
        <v>79</v>
      </c>
      <c r="E1933" s="74" t="s">
        <v>81</v>
      </c>
      <c r="F1933" s="86" t="s">
        <v>183</v>
      </c>
      <c r="G1933" s="74" t="s">
        <v>177</v>
      </c>
      <c r="H1933" s="87">
        <v>44651</v>
      </c>
      <c r="I1933" s="98">
        <v>22</v>
      </c>
      <c r="J1933" s="98">
        <v>22</v>
      </c>
      <c r="K1933" s="89">
        <f t="shared" si="82"/>
        <v>1</v>
      </c>
      <c r="L1933" s="89">
        <v>1095</v>
      </c>
      <c r="M1933" s="89">
        <v>3275.26</v>
      </c>
      <c r="N1933" s="89">
        <v>108.81</v>
      </c>
      <c r="O1933" s="89">
        <f t="shared" si="83"/>
        <v>4479.07</v>
      </c>
    </row>
    <row r="1934" spans="1:15">
      <c r="A1934" s="74" t="s">
        <v>309</v>
      </c>
      <c r="B1934" s="74" t="s">
        <v>196</v>
      </c>
      <c r="C1934" s="74" t="s">
        <v>197</v>
      </c>
      <c r="D1934" s="74" t="s">
        <v>79</v>
      </c>
      <c r="E1934" s="74" t="s">
        <v>81</v>
      </c>
      <c r="F1934" s="86" t="s">
        <v>176</v>
      </c>
      <c r="G1934" s="74" t="s">
        <v>177</v>
      </c>
      <c r="H1934" s="87">
        <v>44651</v>
      </c>
      <c r="I1934" s="98">
        <v>22</v>
      </c>
      <c r="J1934" s="98">
        <v>22</v>
      </c>
      <c r="K1934" s="89">
        <f t="shared" si="82"/>
        <v>1</v>
      </c>
      <c r="L1934" s="89">
        <v>3196.15</v>
      </c>
      <c r="M1934" s="89">
        <v>3042.68</v>
      </c>
      <c r="N1934" s="89">
        <v>306.27</v>
      </c>
      <c r="O1934" s="89">
        <f t="shared" si="83"/>
        <v>6545.1</v>
      </c>
    </row>
    <row r="1935" spans="1:15">
      <c r="A1935" s="74" t="s">
        <v>309</v>
      </c>
      <c r="B1935" s="74" t="s">
        <v>198</v>
      </c>
      <c r="C1935" s="74" t="s">
        <v>199</v>
      </c>
      <c r="D1935" s="74" t="s">
        <v>79</v>
      </c>
      <c r="E1935" s="74" t="s">
        <v>81</v>
      </c>
      <c r="F1935" s="86" t="s">
        <v>180</v>
      </c>
      <c r="G1935" s="74" t="s">
        <v>177</v>
      </c>
      <c r="H1935" s="87">
        <v>44651</v>
      </c>
      <c r="I1935" s="98">
        <v>22</v>
      </c>
      <c r="J1935" s="98">
        <v>22</v>
      </c>
      <c r="K1935" s="89">
        <f t="shared" si="82"/>
        <v>1</v>
      </c>
      <c r="L1935" s="89">
        <v>2162.22</v>
      </c>
      <c r="M1935" s="89">
        <v>3001.81</v>
      </c>
      <c r="N1935" s="89">
        <v>215.83</v>
      </c>
      <c r="O1935" s="89">
        <f t="shared" si="83"/>
        <v>5379.86</v>
      </c>
    </row>
    <row r="1936" spans="1:15">
      <c r="A1936" s="74" t="s">
        <v>309</v>
      </c>
      <c r="B1936" s="74" t="s">
        <v>200</v>
      </c>
      <c r="C1936" s="74" t="s">
        <v>201</v>
      </c>
      <c r="D1936" s="74" t="s">
        <v>79</v>
      </c>
      <c r="E1936" s="74" t="s">
        <v>81</v>
      </c>
      <c r="F1936" s="86" t="s">
        <v>183</v>
      </c>
      <c r="G1936" s="74" t="s">
        <v>177</v>
      </c>
      <c r="H1936" s="87">
        <v>44651</v>
      </c>
      <c r="I1936" s="98">
        <v>22</v>
      </c>
      <c r="J1936" s="98">
        <v>22</v>
      </c>
      <c r="K1936" s="89">
        <f t="shared" si="82"/>
        <v>1</v>
      </c>
      <c r="L1936" s="89">
        <v>1037.27</v>
      </c>
      <c r="M1936" s="89">
        <v>3018.44</v>
      </c>
      <c r="N1936" s="89">
        <v>102.79</v>
      </c>
      <c r="O1936" s="89">
        <f t="shared" si="83"/>
        <v>4158.5</v>
      </c>
    </row>
    <row r="1937" spans="1:15">
      <c r="A1937" s="74" t="s">
        <v>309</v>
      </c>
      <c r="B1937" s="74" t="s">
        <v>202</v>
      </c>
      <c r="C1937" s="74" t="s">
        <v>203</v>
      </c>
      <c r="D1937" s="74" t="s">
        <v>79</v>
      </c>
      <c r="E1937" s="74" t="s">
        <v>81</v>
      </c>
      <c r="F1937" s="86" t="s">
        <v>204</v>
      </c>
      <c r="G1937" s="74" t="s">
        <v>205</v>
      </c>
      <c r="H1937" s="87">
        <v>44651</v>
      </c>
      <c r="I1937" s="98">
        <v>22</v>
      </c>
      <c r="J1937" s="98">
        <v>22</v>
      </c>
      <c r="K1937" s="89">
        <f t="shared" si="82"/>
        <v>1</v>
      </c>
      <c r="L1937" s="89">
        <v>19556.77</v>
      </c>
      <c r="M1937" s="89">
        <v>3137.19</v>
      </c>
      <c r="N1937" s="89">
        <v>1951.59</v>
      </c>
      <c r="O1937" s="89">
        <f t="shared" si="83"/>
        <v>24645.55</v>
      </c>
    </row>
    <row r="1938" spans="1:15">
      <c r="A1938" s="74" t="s">
        <v>309</v>
      </c>
      <c r="B1938" s="74" t="s">
        <v>206</v>
      </c>
      <c r="C1938" s="74" t="s">
        <v>207</v>
      </c>
      <c r="D1938" s="88" t="s">
        <v>82</v>
      </c>
      <c r="E1938" s="88" t="s">
        <v>84</v>
      </c>
      <c r="F1938" s="86" t="s">
        <v>208</v>
      </c>
      <c r="G1938" s="74" t="s">
        <v>209</v>
      </c>
      <c r="H1938" s="87">
        <v>44651</v>
      </c>
      <c r="I1938" s="98">
        <v>22</v>
      </c>
      <c r="J1938" s="98">
        <v>22</v>
      </c>
      <c r="K1938" s="89">
        <f t="shared" si="82"/>
        <v>1</v>
      </c>
      <c r="L1938" s="89">
        <v>9023.88</v>
      </c>
      <c r="M1938" s="89">
        <v>3083.83</v>
      </c>
      <c r="N1938" s="89">
        <v>924.72</v>
      </c>
      <c r="O1938" s="89">
        <f t="shared" si="83"/>
        <v>13032.43</v>
      </c>
    </row>
    <row r="1939" spans="1:15">
      <c r="A1939" s="74" t="s">
        <v>309</v>
      </c>
      <c r="B1939" s="74" t="s">
        <v>210</v>
      </c>
      <c r="C1939" s="74" t="s">
        <v>211</v>
      </c>
      <c r="D1939" s="88" t="s">
        <v>82</v>
      </c>
      <c r="E1939" s="88" t="s">
        <v>84</v>
      </c>
      <c r="F1939" s="86" t="s">
        <v>116</v>
      </c>
      <c r="G1939" s="74" t="s">
        <v>209</v>
      </c>
      <c r="H1939" s="87">
        <v>44651</v>
      </c>
      <c r="I1939" s="98">
        <v>22</v>
      </c>
      <c r="J1939" s="98">
        <v>22</v>
      </c>
      <c r="K1939" s="89">
        <f t="shared" si="82"/>
        <v>1</v>
      </c>
      <c r="L1939" s="89">
        <v>8334.96</v>
      </c>
      <c r="M1939" s="89">
        <v>3011.65</v>
      </c>
      <c r="N1939" s="89">
        <v>826.68</v>
      </c>
      <c r="O1939" s="89">
        <f t="shared" si="83"/>
        <v>12173.29</v>
      </c>
    </row>
    <row r="1940" spans="1:15">
      <c r="A1940" s="74" t="s">
        <v>309</v>
      </c>
      <c r="B1940" s="74" t="s">
        <v>212</v>
      </c>
      <c r="C1940" s="74" t="s">
        <v>213</v>
      </c>
      <c r="D1940" s="88" t="s">
        <v>82</v>
      </c>
      <c r="E1940" s="88" t="s">
        <v>84</v>
      </c>
      <c r="F1940" s="86" t="s">
        <v>208</v>
      </c>
      <c r="G1940" s="74" t="s">
        <v>209</v>
      </c>
      <c r="H1940" s="87">
        <v>44651</v>
      </c>
      <c r="I1940" s="98">
        <v>22</v>
      </c>
      <c r="J1940" s="98">
        <v>22</v>
      </c>
      <c r="K1940" s="89">
        <f t="shared" si="82"/>
        <v>1</v>
      </c>
      <c r="L1940" s="89">
        <v>9590.82</v>
      </c>
      <c r="M1940" s="89">
        <v>3074.15</v>
      </c>
      <c r="N1940" s="89">
        <v>971.21</v>
      </c>
      <c r="O1940" s="89">
        <f t="shared" si="83"/>
        <v>13636.18</v>
      </c>
    </row>
    <row r="1941" spans="1:15">
      <c r="A1941" s="74" t="s">
        <v>309</v>
      </c>
      <c r="B1941" s="74" t="s">
        <v>214</v>
      </c>
      <c r="C1941" s="74" t="s">
        <v>215</v>
      </c>
      <c r="D1941" s="88" t="s">
        <v>82</v>
      </c>
      <c r="E1941" s="88" t="s">
        <v>84</v>
      </c>
      <c r="F1941" s="86" t="s">
        <v>116</v>
      </c>
      <c r="G1941" s="74" t="s">
        <v>209</v>
      </c>
      <c r="H1941" s="87">
        <v>44651</v>
      </c>
      <c r="I1941" s="98">
        <v>22</v>
      </c>
      <c r="J1941" s="98">
        <v>22</v>
      </c>
      <c r="K1941" s="89">
        <f t="shared" si="82"/>
        <v>1</v>
      </c>
      <c r="L1941" s="89">
        <v>8337.38</v>
      </c>
      <c r="M1941" s="89">
        <v>3052.99</v>
      </c>
      <c r="N1941" s="89">
        <v>860.02</v>
      </c>
      <c r="O1941" s="89">
        <f t="shared" si="83"/>
        <v>12250.39</v>
      </c>
    </row>
    <row r="1942" spans="1:15">
      <c r="A1942" s="74" t="s">
        <v>309</v>
      </c>
      <c r="B1942" s="74" t="s">
        <v>216</v>
      </c>
      <c r="C1942" s="74" t="s">
        <v>217</v>
      </c>
      <c r="D1942" s="88" t="s">
        <v>82</v>
      </c>
      <c r="E1942" s="88" t="s">
        <v>84</v>
      </c>
      <c r="F1942" s="86" t="s">
        <v>218</v>
      </c>
      <c r="G1942" s="74" t="s">
        <v>219</v>
      </c>
      <c r="H1942" s="87">
        <v>44651</v>
      </c>
      <c r="I1942" s="98">
        <v>22</v>
      </c>
      <c r="J1942" s="98">
        <v>22</v>
      </c>
      <c r="K1942" s="89">
        <f t="shared" si="82"/>
        <v>1</v>
      </c>
      <c r="L1942" s="89">
        <v>11548.95</v>
      </c>
      <c r="M1942" s="89">
        <v>3066.84</v>
      </c>
      <c r="N1942" s="89">
        <v>1185.15</v>
      </c>
      <c r="O1942" s="89">
        <f t="shared" si="83"/>
        <v>15800.94</v>
      </c>
    </row>
    <row r="1943" spans="1:15">
      <c r="A1943" s="74" t="s">
        <v>309</v>
      </c>
      <c r="B1943" s="74" t="s">
        <v>220</v>
      </c>
      <c r="C1943" s="74" t="s">
        <v>221</v>
      </c>
      <c r="D1943" s="88" t="s">
        <v>82</v>
      </c>
      <c r="E1943" s="74" t="s">
        <v>83</v>
      </c>
      <c r="F1943" s="86" t="s">
        <v>218</v>
      </c>
      <c r="G1943" s="74" t="s">
        <v>222</v>
      </c>
      <c r="H1943" s="87">
        <v>44651</v>
      </c>
      <c r="I1943" s="98">
        <v>22</v>
      </c>
      <c r="J1943" s="98">
        <v>22</v>
      </c>
      <c r="K1943" s="89">
        <f t="shared" si="82"/>
        <v>1</v>
      </c>
      <c r="L1943" s="89">
        <v>11014.59</v>
      </c>
      <c r="M1943" s="89">
        <v>3259.54</v>
      </c>
      <c r="N1943" s="89">
        <v>1112.56</v>
      </c>
      <c r="O1943" s="89">
        <f t="shared" si="83"/>
        <v>15386.69</v>
      </c>
    </row>
    <row r="1944" spans="1:15">
      <c r="A1944" s="74" t="s">
        <v>309</v>
      </c>
      <c r="B1944" s="74" t="s">
        <v>223</v>
      </c>
      <c r="C1944" s="74" t="s">
        <v>224</v>
      </c>
      <c r="D1944" s="88" t="s">
        <v>82</v>
      </c>
      <c r="E1944" s="74" t="s">
        <v>83</v>
      </c>
      <c r="F1944" s="86" t="s">
        <v>225</v>
      </c>
      <c r="G1944" s="74" t="s">
        <v>209</v>
      </c>
      <c r="H1944" s="87">
        <v>44651</v>
      </c>
      <c r="I1944" s="98">
        <v>22</v>
      </c>
      <c r="J1944" s="98">
        <v>22</v>
      </c>
      <c r="K1944" s="89">
        <f t="shared" si="82"/>
        <v>1</v>
      </c>
      <c r="L1944" s="89">
        <v>10411.2</v>
      </c>
      <c r="M1944" s="89">
        <v>3158.61</v>
      </c>
      <c r="N1944" s="89">
        <v>1024.03</v>
      </c>
      <c r="O1944" s="89">
        <f t="shared" si="83"/>
        <v>14593.84</v>
      </c>
    </row>
    <row r="1945" spans="1:15">
      <c r="A1945" s="74" t="s">
        <v>309</v>
      </c>
      <c r="B1945" s="74" t="s">
        <v>226</v>
      </c>
      <c r="C1945" s="74" t="s">
        <v>227</v>
      </c>
      <c r="D1945" s="88" t="s">
        <v>82</v>
      </c>
      <c r="E1945" s="74" t="s">
        <v>83</v>
      </c>
      <c r="F1945" s="86" t="s">
        <v>208</v>
      </c>
      <c r="G1945" s="74" t="s">
        <v>209</v>
      </c>
      <c r="H1945" s="87">
        <v>44651</v>
      </c>
      <c r="I1945" s="98">
        <v>22</v>
      </c>
      <c r="J1945" s="98">
        <v>22</v>
      </c>
      <c r="K1945" s="89">
        <f t="shared" si="82"/>
        <v>1</v>
      </c>
      <c r="L1945" s="89">
        <v>9007.42</v>
      </c>
      <c r="M1945" s="89">
        <v>3047.5</v>
      </c>
      <c r="N1945" s="89">
        <v>954.53</v>
      </c>
      <c r="O1945" s="89">
        <f t="shared" si="83"/>
        <v>13009.45</v>
      </c>
    </row>
    <row r="1946" spans="1:15">
      <c r="A1946" s="74" t="s">
        <v>309</v>
      </c>
      <c r="B1946" s="74" t="s">
        <v>228</v>
      </c>
      <c r="C1946" s="74" t="s">
        <v>229</v>
      </c>
      <c r="D1946" s="88" t="s">
        <v>82</v>
      </c>
      <c r="E1946" s="74" t="s">
        <v>83</v>
      </c>
      <c r="F1946" s="86" t="s">
        <v>116</v>
      </c>
      <c r="G1946" s="74" t="s">
        <v>209</v>
      </c>
      <c r="H1946" s="87">
        <v>44651</v>
      </c>
      <c r="I1946" s="98">
        <v>22</v>
      </c>
      <c r="J1946" s="98">
        <v>22</v>
      </c>
      <c r="K1946" s="89">
        <f t="shared" si="82"/>
        <v>1</v>
      </c>
      <c r="L1946" s="89">
        <v>8399.4</v>
      </c>
      <c r="M1946" s="89">
        <v>3032.3</v>
      </c>
      <c r="N1946" s="89">
        <v>831.34</v>
      </c>
      <c r="O1946" s="89">
        <f t="shared" si="83"/>
        <v>12263.04</v>
      </c>
    </row>
    <row r="1947" spans="1:15">
      <c r="A1947" s="74" t="s">
        <v>309</v>
      </c>
      <c r="B1947" s="74" t="s">
        <v>230</v>
      </c>
      <c r="C1947" s="74" t="s">
        <v>231</v>
      </c>
      <c r="D1947" s="88" t="s">
        <v>82</v>
      </c>
      <c r="E1947" s="74" t="s">
        <v>83</v>
      </c>
      <c r="F1947" s="86" t="s">
        <v>120</v>
      </c>
      <c r="G1947" s="74" t="s">
        <v>209</v>
      </c>
      <c r="H1947" s="87">
        <v>44651</v>
      </c>
      <c r="I1947" s="98">
        <v>22</v>
      </c>
      <c r="J1947" s="98">
        <v>22</v>
      </c>
      <c r="K1947" s="89">
        <f t="shared" si="82"/>
        <v>1</v>
      </c>
      <c r="L1947" s="89">
        <v>7682.37</v>
      </c>
      <c r="M1947" s="89">
        <v>3176.07</v>
      </c>
      <c r="N1947" s="89">
        <v>758.55</v>
      </c>
      <c r="O1947" s="89">
        <f t="shared" si="83"/>
        <v>11616.99</v>
      </c>
    </row>
    <row r="1948" spans="1:15">
      <c r="A1948" s="74" t="s">
        <v>309</v>
      </c>
      <c r="B1948" s="74" t="s">
        <v>232</v>
      </c>
      <c r="C1948" s="74" t="s">
        <v>233</v>
      </c>
      <c r="D1948" s="88" t="s">
        <v>82</v>
      </c>
      <c r="E1948" s="74" t="s">
        <v>83</v>
      </c>
      <c r="F1948" s="86" t="s">
        <v>123</v>
      </c>
      <c r="G1948" s="74" t="s">
        <v>209</v>
      </c>
      <c r="H1948" s="87">
        <v>44651</v>
      </c>
      <c r="I1948" s="98">
        <v>22</v>
      </c>
      <c r="J1948" s="98">
        <v>22</v>
      </c>
      <c r="K1948" s="89">
        <f t="shared" si="82"/>
        <v>1</v>
      </c>
      <c r="L1948" s="89">
        <v>6295.96</v>
      </c>
      <c r="M1948" s="89">
        <v>3072.89</v>
      </c>
      <c r="N1948" s="89">
        <v>625.47</v>
      </c>
      <c r="O1948" s="89">
        <f t="shared" si="83"/>
        <v>9994.32</v>
      </c>
    </row>
    <row r="1949" spans="1:15">
      <c r="A1949" s="74" t="s">
        <v>309</v>
      </c>
      <c r="B1949" s="74" t="s">
        <v>234</v>
      </c>
      <c r="C1949" s="74" t="s">
        <v>235</v>
      </c>
      <c r="D1949" s="88" t="s">
        <v>82</v>
      </c>
      <c r="E1949" s="74" t="s">
        <v>83</v>
      </c>
      <c r="F1949" s="86" t="s">
        <v>116</v>
      </c>
      <c r="G1949" s="74" t="s">
        <v>209</v>
      </c>
      <c r="H1949" s="87">
        <v>44651</v>
      </c>
      <c r="I1949" s="98">
        <v>22</v>
      </c>
      <c r="J1949" s="98">
        <v>22</v>
      </c>
      <c r="K1949" s="89">
        <f t="shared" si="82"/>
        <v>1</v>
      </c>
      <c r="L1949" s="89">
        <v>8352.62</v>
      </c>
      <c r="M1949" s="89">
        <v>3297.81</v>
      </c>
      <c r="N1949" s="89">
        <v>841.28</v>
      </c>
      <c r="O1949" s="89">
        <f t="shared" si="83"/>
        <v>12491.71</v>
      </c>
    </row>
    <row r="1950" spans="1:15">
      <c r="A1950" s="74" t="s">
        <v>309</v>
      </c>
      <c r="B1950" s="74" t="s">
        <v>236</v>
      </c>
      <c r="C1950" s="74" t="s">
        <v>237</v>
      </c>
      <c r="D1950" s="88" t="s">
        <v>82</v>
      </c>
      <c r="E1950" s="74" t="s">
        <v>83</v>
      </c>
      <c r="F1950" s="86" t="s">
        <v>120</v>
      </c>
      <c r="G1950" s="74" t="s">
        <v>209</v>
      </c>
      <c r="H1950" s="87">
        <v>44651</v>
      </c>
      <c r="I1950" s="98">
        <v>22</v>
      </c>
      <c r="J1950" s="98">
        <v>22</v>
      </c>
      <c r="K1950" s="89">
        <f t="shared" si="82"/>
        <v>1</v>
      </c>
      <c r="L1950" s="89">
        <v>7596.26</v>
      </c>
      <c r="M1950" s="89">
        <v>3278.07</v>
      </c>
      <c r="N1950" s="89">
        <v>730.82</v>
      </c>
      <c r="O1950" s="89">
        <f t="shared" si="83"/>
        <v>11605.15</v>
      </c>
    </row>
    <row r="1951" spans="1:15">
      <c r="A1951" s="74" t="s">
        <v>309</v>
      </c>
      <c r="B1951" s="74" t="s">
        <v>238</v>
      </c>
      <c r="C1951" s="74" t="s">
        <v>239</v>
      </c>
      <c r="D1951" s="74" t="s">
        <v>86</v>
      </c>
      <c r="E1951" s="74" t="s">
        <v>87</v>
      </c>
      <c r="F1951" s="86" t="s">
        <v>204</v>
      </c>
      <c r="G1951" s="74" t="s">
        <v>240</v>
      </c>
      <c r="H1951" s="87">
        <v>44651</v>
      </c>
      <c r="I1951" s="98">
        <v>22</v>
      </c>
      <c r="J1951" s="98">
        <v>22</v>
      </c>
      <c r="K1951" s="89">
        <f t="shared" si="82"/>
        <v>1</v>
      </c>
      <c r="L1951" s="89">
        <v>15177.1</v>
      </c>
      <c r="M1951" s="89">
        <v>3202.99</v>
      </c>
      <c r="N1951" s="89">
        <v>1919.44</v>
      </c>
      <c r="O1951" s="89">
        <f t="shared" si="83"/>
        <v>20299.53</v>
      </c>
    </row>
    <row r="1952" spans="1:15">
      <c r="A1952" s="74" t="s">
        <v>309</v>
      </c>
      <c r="B1952" s="74" t="s">
        <v>241</v>
      </c>
      <c r="C1952" s="74" t="s">
        <v>242</v>
      </c>
      <c r="D1952" s="74" t="s">
        <v>86</v>
      </c>
      <c r="E1952" s="74" t="s">
        <v>87</v>
      </c>
      <c r="F1952" s="86" t="s">
        <v>243</v>
      </c>
      <c r="G1952" s="74" t="s">
        <v>244</v>
      </c>
      <c r="H1952" s="87">
        <v>44651</v>
      </c>
      <c r="I1952" s="98">
        <v>22</v>
      </c>
      <c r="J1952" s="98">
        <v>22</v>
      </c>
      <c r="K1952" s="89">
        <f t="shared" si="82"/>
        <v>1</v>
      </c>
      <c r="L1952" s="89">
        <v>10545.44</v>
      </c>
      <c r="M1952" s="89">
        <v>3117.49</v>
      </c>
      <c r="N1952" s="89">
        <v>1386.63</v>
      </c>
      <c r="O1952" s="89">
        <f t="shared" si="83"/>
        <v>15049.56</v>
      </c>
    </row>
    <row r="1953" spans="1:15">
      <c r="A1953" s="74" t="s">
        <v>309</v>
      </c>
      <c r="B1953" s="74" t="s">
        <v>245</v>
      </c>
      <c r="C1953" s="74" t="s">
        <v>246</v>
      </c>
      <c r="D1953" s="74" t="s">
        <v>86</v>
      </c>
      <c r="E1953" s="74" t="s">
        <v>87</v>
      </c>
      <c r="F1953" s="86" t="s">
        <v>247</v>
      </c>
      <c r="G1953" s="74" t="s">
        <v>248</v>
      </c>
      <c r="H1953" s="87">
        <v>44651</v>
      </c>
      <c r="I1953" s="98">
        <v>22</v>
      </c>
      <c r="J1953" s="98">
        <v>22</v>
      </c>
      <c r="K1953" s="89">
        <f t="shared" si="82"/>
        <v>1</v>
      </c>
      <c r="L1953" s="89">
        <v>10138.72</v>
      </c>
      <c r="M1953" s="89">
        <v>3232.55</v>
      </c>
      <c r="N1953" s="89">
        <v>1283.2</v>
      </c>
      <c r="O1953" s="89">
        <f t="shared" si="83"/>
        <v>14654.47</v>
      </c>
    </row>
    <row r="1954" spans="1:15">
      <c r="A1954" s="74" t="s">
        <v>309</v>
      </c>
      <c r="B1954" s="74" t="s">
        <v>249</v>
      </c>
      <c r="C1954" s="74" t="s">
        <v>250</v>
      </c>
      <c r="D1954" s="74" t="s">
        <v>86</v>
      </c>
      <c r="E1954" s="74" t="s">
        <v>87</v>
      </c>
      <c r="F1954" s="86" t="s">
        <v>251</v>
      </c>
      <c r="G1954" s="74" t="s">
        <v>252</v>
      </c>
      <c r="H1954" s="87">
        <v>44651</v>
      </c>
      <c r="I1954" s="98">
        <v>22</v>
      </c>
      <c r="J1954" s="98">
        <v>22</v>
      </c>
      <c r="K1954" s="89">
        <f t="shared" si="82"/>
        <v>1</v>
      </c>
      <c r="L1954" s="89">
        <v>9171.99</v>
      </c>
      <c r="M1954" s="89">
        <v>3226.58</v>
      </c>
      <c r="N1954" s="89">
        <v>1168.32</v>
      </c>
      <c r="O1954" s="89">
        <f t="shared" si="83"/>
        <v>13566.89</v>
      </c>
    </row>
    <row r="1955" spans="1:15">
      <c r="A1955" s="74" t="s">
        <v>309</v>
      </c>
      <c r="B1955" s="74" t="s">
        <v>253</v>
      </c>
      <c r="C1955" s="74" t="s">
        <v>254</v>
      </c>
      <c r="D1955" s="74" t="s">
        <v>86</v>
      </c>
      <c r="E1955" s="74" t="s">
        <v>87</v>
      </c>
      <c r="F1955" s="86" t="s">
        <v>255</v>
      </c>
      <c r="G1955" s="74" t="s">
        <v>252</v>
      </c>
      <c r="H1955" s="87">
        <v>44651</v>
      </c>
      <c r="I1955" s="98">
        <v>22</v>
      </c>
      <c r="J1955" s="98">
        <v>22</v>
      </c>
      <c r="K1955" s="89">
        <f t="shared" si="82"/>
        <v>1</v>
      </c>
      <c r="L1955" s="89">
        <v>8129.72</v>
      </c>
      <c r="M1955" s="89">
        <v>3046.12</v>
      </c>
      <c r="N1955" s="89">
        <v>1085.89</v>
      </c>
      <c r="O1955" s="89">
        <f t="shared" si="83"/>
        <v>12261.73</v>
      </c>
    </row>
    <row r="1956" spans="1:15">
      <c r="A1956" s="74" t="s">
        <v>309</v>
      </c>
      <c r="B1956" s="74" t="s">
        <v>256</v>
      </c>
      <c r="C1956" s="74" t="s">
        <v>257</v>
      </c>
      <c r="D1956" s="74" t="s">
        <v>86</v>
      </c>
      <c r="E1956" s="74" t="s">
        <v>87</v>
      </c>
      <c r="F1956" s="86" t="s">
        <v>258</v>
      </c>
      <c r="G1956" s="74" t="s">
        <v>252</v>
      </c>
      <c r="H1956" s="87">
        <v>44651</v>
      </c>
      <c r="I1956" s="98">
        <v>22</v>
      </c>
      <c r="J1956" s="98">
        <v>22</v>
      </c>
      <c r="K1956" s="89">
        <f t="shared" si="82"/>
        <v>1</v>
      </c>
      <c r="L1956" s="89">
        <v>7464.38</v>
      </c>
      <c r="M1956" s="89">
        <v>3208.25</v>
      </c>
      <c r="N1956" s="89">
        <v>961.48</v>
      </c>
      <c r="O1956" s="89">
        <f t="shared" si="83"/>
        <v>11634.11</v>
      </c>
    </row>
    <row r="1957" spans="1:15">
      <c r="A1957" s="74" t="s">
        <v>309</v>
      </c>
      <c r="B1957" s="74" t="s">
        <v>259</v>
      </c>
      <c r="C1957" s="74" t="s">
        <v>260</v>
      </c>
      <c r="D1957" s="74" t="s">
        <v>86</v>
      </c>
      <c r="E1957" s="74" t="s">
        <v>87</v>
      </c>
      <c r="F1957" s="86" t="s">
        <v>261</v>
      </c>
      <c r="G1957" s="74" t="s">
        <v>262</v>
      </c>
      <c r="H1957" s="87">
        <v>44651</v>
      </c>
      <c r="I1957" s="98">
        <v>22</v>
      </c>
      <c r="J1957" s="98">
        <v>22</v>
      </c>
      <c r="K1957" s="89">
        <f t="shared" si="82"/>
        <v>1</v>
      </c>
      <c r="L1957" s="89">
        <v>6681.94</v>
      </c>
      <c r="M1957" s="89">
        <v>3027.07</v>
      </c>
      <c r="N1957" s="89">
        <v>832.82</v>
      </c>
      <c r="O1957" s="89">
        <f t="shared" si="83"/>
        <v>10541.83</v>
      </c>
    </row>
    <row r="1958" spans="1:15">
      <c r="A1958" s="74" t="s">
        <v>309</v>
      </c>
      <c r="B1958" s="74" t="s">
        <v>263</v>
      </c>
      <c r="C1958" s="74" t="s">
        <v>264</v>
      </c>
      <c r="D1958" s="74" t="s">
        <v>86</v>
      </c>
      <c r="E1958" s="74" t="s">
        <v>88</v>
      </c>
      <c r="F1958" s="86" t="s">
        <v>149</v>
      </c>
      <c r="G1958" s="74" t="s">
        <v>265</v>
      </c>
      <c r="H1958" s="87">
        <v>44651</v>
      </c>
      <c r="I1958" s="98">
        <v>22</v>
      </c>
      <c r="J1958" s="98">
        <v>22</v>
      </c>
      <c r="K1958" s="89">
        <f t="shared" si="82"/>
        <v>1</v>
      </c>
      <c r="L1958" s="89">
        <v>14941.45</v>
      </c>
      <c r="M1958" s="89">
        <v>3198.26</v>
      </c>
      <c r="N1958" s="89">
        <v>1788.37</v>
      </c>
      <c r="O1958" s="89">
        <f t="shared" si="83"/>
        <v>19928.08</v>
      </c>
    </row>
    <row r="1959" spans="1:15">
      <c r="A1959" s="74" t="s">
        <v>309</v>
      </c>
      <c r="B1959" s="74" t="s">
        <v>266</v>
      </c>
      <c r="C1959" s="74" t="s">
        <v>267</v>
      </c>
      <c r="D1959" s="74" t="s">
        <v>86</v>
      </c>
      <c r="E1959" s="74" t="s">
        <v>88</v>
      </c>
      <c r="F1959" s="86" t="s">
        <v>243</v>
      </c>
      <c r="G1959" s="74" t="s">
        <v>268</v>
      </c>
      <c r="H1959" s="87">
        <v>44651</v>
      </c>
      <c r="I1959" s="98">
        <v>22</v>
      </c>
      <c r="J1959" s="98">
        <v>22</v>
      </c>
      <c r="K1959" s="89">
        <f t="shared" si="82"/>
        <v>1</v>
      </c>
      <c r="L1959" s="89">
        <v>11186.13</v>
      </c>
      <c r="M1959" s="89">
        <v>3193.34</v>
      </c>
      <c r="N1959" s="89">
        <v>1348.94</v>
      </c>
      <c r="O1959" s="89">
        <f t="shared" si="83"/>
        <v>15728.41</v>
      </c>
    </row>
    <row r="1960" spans="1:15">
      <c r="A1960" s="74" t="s">
        <v>309</v>
      </c>
      <c r="B1960" s="74" t="s">
        <v>269</v>
      </c>
      <c r="C1960" s="74" t="s">
        <v>270</v>
      </c>
      <c r="D1960" s="74" t="s">
        <v>86</v>
      </c>
      <c r="E1960" s="74" t="s">
        <v>88</v>
      </c>
      <c r="F1960" s="86" t="s">
        <v>247</v>
      </c>
      <c r="G1960" s="74" t="s">
        <v>268</v>
      </c>
      <c r="H1960" s="87">
        <v>44651</v>
      </c>
      <c r="I1960" s="98">
        <v>22</v>
      </c>
      <c r="J1960" s="98">
        <v>22</v>
      </c>
      <c r="K1960" s="89">
        <f t="shared" si="82"/>
        <v>1</v>
      </c>
      <c r="L1960" s="89">
        <v>9611.2</v>
      </c>
      <c r="M1960" s="89">
        <v>3034.3</v>
      </c>
      <c r="N1960" s="89">
        <v>1224.72</v>
      </c>
      <c r="O1960" s="89">
        <f t="shared" si="83"/>
        <v>13870.22</v>
      </c>
    </row>
    <row r="1961" spans="1:15">
      <c r="A1961" s="74" t="s">
        <v>309</v>
      </c>
      <c r="B1961" s="74" t="s">
        <v>271</v>
      </c>
      <c r="C1961" s="74" t="s">
        <v>272</v>
      </c>
      <c r="D1961" s="74" t="s">
        <v>86</v>
      </c>
      <c r="E1961" s="74" t="s">
        <v>88</v>
      </c>
      <c r="F1961" s="86" t="s">
        <v>251</v>
      </c>
      <c r="G1961" s="74" t="s">
        <v>268</v>
      </c>
      <c r="H1961" s="87">
        <v>44651</v>
      </c>
      <c r="I1961" s="98">
        <v>22</v>
      </c>
      <c r="J1961" s="98">
        <v>22</v>
      </c>
      <c r="K1961" s="89">
        <f t="shared" si="82"/>
        <v>1</v>
      </c>
      <c r="L1961" s="89">
        <v>8850.86</v>
      </c>
      <c r="M1961" s="89">
        <v>3164.4</v>
      </c>
      <c r="N1961" s="89">
        <v>1127.16</v>
      </c>
      <c r="O1961" s="89">
        <f t="shared" si="83"/>
        <v>13142.42</v>
      </c>
    </row>
    <row r="1962" spans="1:15">
      <c r="A1962" s="74" t="s">
        <v>309</v>
      </c>
      <c r="B1962" s="74" t="s">
        <v>273</v>
      </c>
      <c r="C1962" s="74" t="s">
        <v>274</v>
      </c>
      <c r="D1962" s="74" t="s">
        <v>86</v>
      </c>
      <c r="E1962" s="74" t="s">
        <v>88</v>
      </c>
      <c r="F1962" s="86" t="s">
        <v>255</v>
      </c>
      <c r="G1962" s="74" t="s">
        <v>268</v>
      </c>
      <c r="H1962" s="87">
        <v>44651</v>
      </c>
      <c r="I1962" s="98">
        <v>22</v>
      </c>
      <c r="J1962" s="98">
        <v>22</v>
      </c>
      <c r="K1962" s="89">
        <f t="shared" si="82"/>
        <v>1</v>
      </c>
      <c r="L1962" s="89">
        <v>8303.05</v>
      </c>
      <c r="M1962" s="89">
        <v>3039.81</v>
      </c>
      <c r="N1962" s="89">
        <v>1077.46</v>
      </c>
      <c r="O1962" s="89">
        <f t="shared" si="83"/>
        <v>12420.32</v>
      </c>
    </row>
    <row r="1963" spans="1:15">
      <c r="A1963" s="74" t="s">
        <v>309</v>
      </c>
      <c r="B1963" s="74" t="s">
        <v>275</v>
      </c>
      <c r="C1963" s="74" t="s">
        <v>276</v>
      </c>
      <c r="D1963" s="74" t="s">
        <v>86</v>
      </c>
      <c r="E1963" s="74" t="s">
        <v>88</v>
      </c>
      <c r="F1963" s="86" t="s">
        <v>258</v>
      </c>
      <c r="G1963" s="74" t="s">
        <v>268</v>
      </c>
      <c r="H1963" s="87">
        <v>44651</v>
      </c>
      <c r="I1963" s="98">
        <v>22</v>
      </c>
      <c r="J1963" s="98">
        <v>22</v>
      </c>
      <c r="K1963" s="89">
        <f t="shared" si="82"/>
        <v>1</v>
      </c>
      <c r="L1963" s="89">
        <v>7330.86</v>
      </c>
      <c r="M1963" s="89">
        <v>3187.45</v>
      </c>
      <c r="N1963" s="89">
        <v>981.5</v>
      </c>
      <c r="O1963" s="89">
        <f t="shared" si="83"/>
        <v>11499.81</v>
      </c>
    </row>
    <row r="1964" spans="1:15">
      <c r="A1964" s="74" t="s">
        <v>309</v>
      </c>
      <c r="B1964" s="74" t="s">
        <v>277</v>
      </c>
      <c r="C1964" s="74" t="s">
        <v>278</v>
      </c>
      <c r="D1964" s="74" t="s">
        <v>86</v>
      </c>
      <c r="E1964" s="74" t="s">
        <v>89</v>
      </c>
      <c r="F1964" s="86" t="s">
        <v>279</v>
      </c>
      <c r="G1964" s="74" t="s">
        <v>280</v>
      </c>
      <c r="H1964" s="87">
        <v>44651</v>
      </c>
      <c r="I1964" s="98">
        <v>22</v>
      </c>
      <c r="J1964" s="98">
        <v>22</v>
      </c>
      <c r="K1964" s="89">
        <f t="shared" si="82"/>
        <v>1</v>
      </c>
      <c r="L1964" s="89">
        <v>12046.64</v>
      </c>
      <c r="M1964" s="89">
        <v>3219.21</v>
      </c>
      <c r="N1964" s="89">
        <v>1589.39</v>
      </c>
      <c r="O1964" s="89">
        <f t="shared" si="83"/>
        <v>16855.24</v>
      </c>
    </row>
    <row r="1965" spans="1:15">
      <c r="A1965" s="74" t="s">
        <v>309</v>
      </c>
      <c r="B1965" s="74" t="s">
        <v>281</v>
      </c>
      <c r="C1965" s="74" t="s">
        <v>282</v>
      </c>
      <c r="D1965" s="74" t="s">
        <v>86</v>
      </c>
      <c r="E1965" s="74" t="s">
        <v>89</v>
      </c>
      <c r="F1965" s="86" t="s">
        <v>225</v>
      </c>
      <c r="G1965" s="74" t="s">
        <v>283</v>
      </c>
      <c r="H1965" s="87">
        <v>44651</v>
      </c>
      <c r="I1965" s="98">
        <v>22</v>
      </c>
      <c r="J1965" s="98">
        <v>22</v>
      </c>
      <c r="K1965" s="89">
        <f t="shared" si="82"/>
        <v>1</v>
      </c>
      <c r="L1965" s="89">
        <v>8171.88</v>
      </c>
      <c r="M1965" s="89">
        <v>3269.51</v>
      </c>
      <c r="N1965" s="89">
        <v>1057.63</v>
      </c>
      <c r="O1965" s="89">
        <f t="shared" si="83"/>
        <v>12499.02</v>
      </c>
    </row>
    <row r="1966" spans="1:15">
      <c r="A1966" s="74" t="s">
        <v>309</v>
      </c>
      <c r="B1966" s="74" t="s">
        <v>284</v>
      </c>
      <c r="C1966" s="74" t="s">
        <v>285</v>
      </c>
      <c r="D1966" s="74" t="s">
        <v>86</v>
      </c>
      <c r="E1966" s="74" t="s">
        <v>89</v>
      </c>
      <c r="F1966" s="86" t="s">
        <v>208</v>
      </c>
      <c r="G1966" s="74" t="s">
        <v>283</v>
      </c>
      <c r="H1966" s="87">
        <v>44651</v>
      </c>
      <c r="I1966" s="98">
        <v>22</v>
      </c>
      <c r="J1966" s="98">
        <v>22</v>
      </c>
      <c r="K1966" s="89">
        <f t="shared" si="82"/>
        <v>1</v>
      </c>
      <c r="L1966" s="89">
        <v>7809.08</v>
      </c>
      <c r="M1966" s="89">
        <v>3068.72</v>
      </c>
      <c r="N1966" s="89">
        <v>957.78</v>
      </c>
      <c r="O1966" s="89">
        <f t="shared" si="83"/>
        <v>11835.58</v>
      </c>
    </row>
    <row r="1967" spans="1:15">
      <c r="A1967" s="74" t="s">
        <v>309</v>
      </c>
      <c r="B1967" s="74" t="s">
        <v>286</v>
      </c>
      <c r="C1967" s="74" t="s">
        <v>287</v>
      </c>
      <c r="D1967" s="74" t="s">
        <v>82</v>
      </c>
      <c r="E1967" s="88" t="s">
        <v>85</v>
      </c>
      <c r="F1967" s="86" t="s">
        <v>288</v>
      </c>
      <c r="G1967" s="74" t="s">
        <v>289</v>
      </c>
      <c r="H1967" s="87">
        <v>44651</v>
      </c>
      <c r="I1967" s="98">
        <v>22</v>
      </c>
      <c r="J1967" s="98">
        <v>22</v>
      </c>
      <c r="K1967" s="89">
        <f t="shared" ref="K1967:K1975" si="84">I1967/J1967</f>
        <v>1</v>
      </c>
      <c r="L1967" s="89">
        <v>12670.22</v>
      </c>
      <c r="M1967" s="89">
        <v>3181.32</v>
      </c>
      <c r="N1967" s="89">
        <v>1256.61</v>
      </c>
      <c r="O1967" s="89">
        <f t="shared" si="83"/>
        <v>17108.15</v>
      </c>
    </row>
    <row r="1968" spans="1:15">
      <c r="A1968" s="74" t="s">
        <v>309</v>
      </c>
      <c r="B1968" s="74" t="s">
        <v>290</v>
      </c>
      <c r="C1968" s="74" t="s">
        <v>291</v>
      </c>
      <c r="D1968" s="74" t="s">
        <v>82</v>
      </c>
      <c r="E1968" s="88" t="s">
        <v>85</v>
      </c>
      <c r="F1968" s="86" t="s">
        <v>218</v>
      </c>
      <c r="G1968" s="74" t="s">
        <v>289</v>
      </c>
      <c r="H1968" s="87">
        <v>44651</v>
      </c>
      <c r="I1968" s="98">
        <v>22</v>
      </c>
      <c r="J1968" s="98">
        <v>22</v>
      </c>
      <c r="K1968" s="89">
        <f t="shared" si="84"/>
        <v>1</v>
      </c>
      <c r="L1968" s="89">
        <v>11465.02</v>
      </c>
      <c r="M1968" s="89">
        <v>3264.94</v>
      </c>
      <c r="N1968" s="89">
        <v>1147.99</v>
      </c>
      <c r="O1968" s="89">
        <f t="shared" si="83"/>
        <v>15877.95</v>
      </c>
    </row>
    <row r="1969" spans="1:15">
      <c r="A1969" s="74" t="s">
        <v>309</v>
      </c>
      <c r="B1969" s="74" t="s">
        <v>292</v>
      </c>
      <c r="C1969" s="74" t="s">
        <v>293</v>
      </c>
      <c r="D1969" s="74" t="s">
        <v>82</v>
      </c>
      <c r="E1969" s="88" t="s">
        <v>85</v>
      </c>
      <c r="F1969" s="86" t="s">
        <v>225</v>
      </c>
      <c r="G1969" s="74" t="s">
        <v>289</v>
      </c>
      <c r="H1969" s="87">
        <v>44651</v>
      </c>
      <c r="I1969" s="98">
        <v>22</v>
      </c>
      <c r="J1969" s="98">
        <v>22</v>
      </c>
      <c r="K1969" s="89">
        <f t="shared" si="84"/>
        <v>1</v>
      </c>
      <c r="L1969" s="89">
        <v>10659.32</v>
      </c>
      <c r="M1969" s="89">
        <v>3161.99</v>
      </c>
      <c r="N1969" s="89">
        <v>1039.23</v>
      </c>
      <c r="O1969" s="89">
        <f t="shared" si="83"/>
        <v>14860.54</v>
      </c>
    </row>
    <row r="1970" spans="1:15">
      <c r="A1970" s="74" t="s">
        <v>309</v>
      </c>
      <c r="B1970" s="74" t="s">
        <v>294</v>
      </c>
      <c r="C1970" s="74" t="s">
        <v>295</v>
      </c>
      <c r="D1970" s="74" t="s">
        <v>82</v>
      </c>
      <c r="E1970" s="88" t="s">
        <v>85</v>
      </c>
      <c r="F1970" s="86" t="s">
        <v>208</v>
      </c>
      <c r="G1970" s="74" t="s">
        <v>289</v>
      </c>
      <c r="H1970" s="87">
        <v>44651</v>
      </c>
      <c r="I1970" s="98">
        <v>22</v>
      </c>
      <c r="J1970" s="98">
        <v>22</v>
      </c>
      <c r="K1970" s="89">
        <f t="shared" si="84"/>
        <v>1</v>
      </c>
      <c r="L1970" s="89">
        <v>9656.85</v>
      </c>
      <c r="M1970" s="89">
        <v>3185.25</v>
      </c>
      <c r="N1970" s="89">
        <v>988.41</v>
      </c>
      <c r="O1970" s="89">
        <f t="shared" si="83"/>
        <v>13830.51</v>
      </c>
    </row>
    <row r="1971" spans="1:15">
      <c r="A1971" s="74" t="s">
        <v>309</v>
      </c>
      <c r="B1971" s="74" t="s">
        <v>296</v>
      </c>
      <c r="C1971" s="74" t="s">
        <v>297</v>
      </c>
      <c r="D1971" s="74" t="s">
        <v>82</v>
      </c>
      <c r="E1971" s="88" t="s">
        <v>85</v>
      </c>
      <c r="F1971" s="86" t="s">
        <v>116</v>
      </c>
      <c r="G1971" s="74" t="s">
        <v>289</v>
      </c>
      <c r="H1971" s="87">
        <v>44651</v>
      </c>
      <c r="I1971" s="98">
        <v>22</v>
      </c>
      <c r="J1971" s="98">
        <v>22</v>
      </c>
      <c r="K1971" s="89">
        <f t="shared" si="84"/>
        <v>1</v>
      </c>
      <c r="L1971" s="89">
        <v>8567.48</v>
      </c>
      <c r="M1971" s="89">
        <v>3020.51</v>
      </c>
      <c r="N1971" s="89">
        <v>812.5</v>
      </c>
      <c r="O1971" s="89">
        <f t="shared" si="83"/>
        <v>12400.49</v>
      </c>
    </row>
    <row r="1972" spans="1:15">
      <c r="A1972" s="74" t="s">
        <v>309</v>
      </c>
      <c r="B1972" s="74" t="s">
        <v>298</v>
      </c>
      <c r="C1972" s="74" t="s">
        <v>299</v>
      </c>
      <c r="D1972" s="74" t="s">
        <v>82</v>
      </c>
      <c r="E1972" s="88" t="s">
        <v>85</v>
      </c>
      <c r="F1972" s="86" t="s">
        <v>279</v>
      </c>
      <c r="G1972" s="74" t="s">
        <v>300</v>
      </c>
      <c r="H1972" s="87">
        <v>44651</v>
      </c>
      <c r="I1972" s="98">
        <v>22</v>
      </c>
      <c r="J1972" s="98">
        <v>22</v>
      </c>
      <c r="K1972" s="89">
        <f t="shared" si="84"/>
        <v>1</v>
      </c>
      <c r="L1972" s="89">
        <v>15366.29</v>
      </c>
      <c r="M1972" s="89">
        <v>3130.69</v>
      </c>
      <c r="N1972" s="89">
        <v>1593.51</v>
      </c>
      <c r="O1972" s="89">
        <f t="shared" si="83"/>
        <v>20090.49</v>
      </c>
    </row>
    <row r="1973" spans="1:15">
      <c r="A1973" s="74" t="s">
        <v>309</v>
      </c>
      <c r="B1973" s="74" t="s">
        <v>301</v>
      </c>
      <c r="C1973" s="74" t="s">
        <v>302</v>
      </c>
      <c r="D1973" s="74" t="s">
        <v>82</v>
      </c>
      <c r="E1973" s="88" t="s">
        <v>85</v>
      </c>
      <c r="F1973" s="86" t="s">
        <v>279</v>
      </c>
      <c r="G1973" s="74" t="s">
        <v>303</v>
      </c>
      <c r="H1973" s="87">
        <v>44651</v>
      </c>
      <c r="I1973" s="98">
        <v>22</v>
      </c>
      <c r="J1973" s="98">
        <v>22</v>
      </c>
      <c r="K1973" s="89">
        <f t="shared" si="84"/>
        <v>1</v>
      </c>
      <c r="L1973" s="89">
        <v>15926.84</v>
      </c>
      <c r="M1973" s="89">
        <v>3157.09</v>
      </c>
      <c r="N1973" s="89">
        <v>1597.78</v>
      </c>
      <c r="O1973" s="89">
        <f t="shared" si="83"/>
        <v>20681.71</v>
      </c>
    </row>
    <row r="1974" spans="1:15">
      <c r="A1974" s="74" t="s">
        <v>309</v>
      </c>
      <c r="B1974" s="74" t="s">
        <v>304</v>
      </c>
      <c r="C1974" s="74" t="s">
        <v>305</v>
      </c>
      <c r="D1974" s="74" t="s">
        <v>86</v>
      </c>
      <c r="E1974" s="74" t="s">
        <v>90</v>
      </c>
      <c r="F1974" s="86" t="s">
        <v>306</v>
      </c>
      <c r="G1974" s="74" t="s">
        <v>307</v>
      </c>
      <c r="H1974" s="87">
        <v>44651</v>
      </c>
      <c r="I1974" s="98">
        <v>22</v>
      </c>
      <c r="J1974" s="98">
        <v>22</v>
      </c>
      <c r="K1974" s="89">
        <f t="shared" si="84"/>
        <v>1</v>
      </c>
      <c r="L1974" s="89">
        <v>16672.44</v>
      </c>
      <c r="M1974" s="89">
        <v>3176.36</v>
      </c>
      <c r="N1974" s="89">
        <v>2003.38</v>
      </c>
      <c r="O1974" s="89">
        <f t="shared" si="83"/>
        <v>21852.18</v>
      </c>
    </row>
    <row r="1975" spans="1:15">
      <c r="A1975" s="74" t="s">
        <v>309</v>
      </c>
      <c r="B1975" s="74" t="s">
        <v>114</v>
      </c>
      <c r="C1975" s="74" t="s">
        <v>115</v>
      </c>
      <c r="D1975" s="74" t="s">
        <v>79</v>
      </c>
      <c r="E1975" s="74" t="s">
        <v>80</v>
      </c>
      <c r="F1975" s="86" t="s">
        <v>116</v>
      </c>
      <c r="G1975" s="74" t="s">
        <v>117</v>
      </c>
      <c r="H1975" s="87">
        <v>44681</v>
      </c>
      <c r="I1975" s="98">
        <v>22</v>
      </c>
      <c r="J1975" s="98">
        <v>22</v>
      </c>
      <c r="K1975" s="89">
        <f t="shared" si="84"/>
        <v>1</v>
      </c>
      <c r="L1975" s="89">
        <v>8408.83</v>
      </c>
      <c r="M1975" s="89">
        <v>3044.04</v>
      </c>
      <c r="N1975" s="89">
        <v>821.22</v>
      </c>
      <c r="O1975" s="89">
        <f t="shared" si="83"/>
        <v>12274.09</v>
      </c>
    </row>
    <row r="1976" spans="1:15">
      <c r="A1976" s="74" t="s">
        <v>309</v>
      </c>
      <c r="B1976" s="74" t="s">
        <v>118</v>
      </c>
      <c r="C1976" s="74" t="s">
        <v>119</v>
      </c>
      <c r="D1976" s="74" t="s">
        <v>79</v>
      </c>
      <c r="E1976" s="74" t="s">
        <v>80</v>
      </c>
      <c r="F1976" s="86" t="s">
        <v>120</v>
      </c>
      <c r="G1976" s="74" t="s">
        <v>117</v>
      </c>
      <c r="H1976" s="87">
        <v>44681</v>
      </c>
      <c r="I1976" s="98">
        <v>22</v>
      </c>
      <c r="J1976" s="98">
        <v>22</v>
      </c>
      <c r="K1976" s="89">
        <f t="shared" ref="K1976:K2039" si="85">I1976/J1976</f>
        <v>1</v>
      </c>
      <c r="L1976" s="89">
        <v>7122.64</v>
      </c>
      <c r="M1976" s="89">
        <v>3153.51</v>
      </c>
      <c r="N1976" s="89">
        <v>758.78</v>
      </c>
      <c r="O1976" s="89">
        <f t="shared" si="83"/>
        <v>11034.93</v>
      </c>
    </row>
    <row r="1977" spans="1:15">
      <c r="A1977" s="74" t="s">
        <v>309</v>
      </c>
      <c r="B1977" s="74" t="s">
        <v>121</v>
      </c>
      <c r="C1977" s="74" t="s">
        <v>122</v>
      </c>
      <c r="D1977" s="74" t="s">
        <v>79</v>
      </c>
      <c r="E1977" s="74" t="s">
        <v>80</v>
      </c>
      <c r="F1977" s="86" t="s">
        <v>123</v>
      </c>
      <c r="G1977" s="74" t="s">
        <v>117</v>
      </c>
      <c r="H1977" s="87">
        <v>44681</v>
      </c>
      <c r="I1977" s="98">
        <v>22</v>
      </c>
      <c r="J1977" s="98">
        <v>22</v>
      </c>
      <c r="K1977" s="89">
        <f t="shared" si="85"/>
        <v>1</v>
      </c>
      <c r="L1977" s="89">
        <v>6367.3</v>
      </c>
      <c r="M1977" s="89">
        <v>3213.44</v>
      </c>
      <c r="N1977" s="89">
        <v>609.38</v>
      </c>
      <c r="O1977" s="89">
        <f t="shared" si="83"/>
        <v>10190.12</v>
      </c>
    </row>
    <row r="1978" spans="1:15">
      <c r="A1978" s="74" t="s">
        <v>309</v>
      </c>
      <c r="B1978" s="74" t="s">
        <v>124</v>
      </c>
      <c r="C1978" s="74" t="s">
        <v>125</v>
      </c>
      <c r="D1978" s="74" t="s">
        <v>79</v>
      </c>
      <c r="E1978" s="74" t="s">
        <v>80</v>
      </c>
      <c r="F1978" s="86" t="s">
        <v>116</v>
      </c>
      <c r="G1978" s="74" t="s">
        <v>117</v>
      </c>
      <c r="H1978" s="87">
        <v>44681</v>
      </c>
      <c r="I1978" s="98">
        <v>22</v>
      </c>
      <c r="J1978" s="98">
        <v>22</v>
      </c>
      <c r="K1978" s="89">
        <f t="shared" si="85"/>
        <v>1</v>
      </c>
      <c r="L1978" s="89">
        <v>8457.7</v>
      </c>
      <c r="M1978" s="89">
        <v>3034.75</v>
      </c>
      <c r="N1978" s="89">
        <v>803.47</v>
      </c>
      <c r="O1978" s="89">
        <f t="shared" si="83"/>
        <v>12295.92</v>
      </c>
    </row>
    <row r="1979" spans="1:15">
      <c r="A1979" s="74" t="s">
        <v>309</v>
      </c>
      <c r="B1979" s="74" t="s">
        <v>126</v>
      </c>
      <c r="C1979" s="74" t="s">
        <v>127</v>
      </c>
      <c r="D1979" s="74" t="s">
        <v>79</v>
      </c>
      <c r="E1979" s="74" t="s">
        <v>80</v>
      </c>
      <c r="F1979" s="86" t="s">
        <v>120</v>
      </c>
      <c r="G1979" s="74" t="s">
        <v>117</v>
      </c>
      <c r="H1979" s="87">
        <v>44681</v>
      </c>
      <c r="I1979" s="98">
        <v>22</v>
      </c>
      <c r="J1979" s="98">
        <v>22</v>
      </c>
      <c r="K1979" s="89">
        <f t="shared" si="85"/>
        <v>1</v>
      </c>
      <c r="L1979" s="89">
        <v>7621.99</v>
      </c>
      <c r="M1979" s="89">
        <v>3061.44</v>
      </c>
      <c r="N1979" s="89">
        <v>753.51</v>
      </c>
      <c r="O1979" s="89">
        <f t="shared" si="83"/>
        <v>11436.94</v>
      </c>
    </row>
    <row r="1980" spans="1:15">
      <c r="A1980" s="74" t="s">
        <v>309</v>
      </c>
      <c r="B1980" s="74" t="s">
        <v>128</v>
      </c>
      <c r="C1980" s="74" t="s">
        <v>129</v>
      </c>
      <c r="D1980" s="74" t="s">
        <v>79</v>
      </c>
      <c r="E1980" s="74" t="s">
        <v>80</v>
      </c>
      <c r="F1980" s="86" t="s">
        <v>123</v>
      </c>
      <c r="G1980" s="74" t="s">
        <v>117</v>
      </c>
      <c r="H1980" s="87">
        <v>44681</v>
      </c>
      <c r="I1980" s="98">
        <v>22</v>
      </c>
      <c r="J1980" s="98">
        <v>22</v>
      </c>
      <c r="K1980" s="89">
        <f t="shared" si="85"/>
        <v>1</v>
      </c>
      <c r="L1980" s="89">
        <v>6365.18</v>
      </c>
      <c r="M1980" s="89">
        <v>3271.27</v>
      </c>
      <c r="N1980" s="89">
        <v>620.47</v>
      </c>
      <c r="O1980" s="89">
        <f t="shared" si="83"/>
        <v>10256.92</v>
      </c>
    </row>
    <row r="1981" spans="1:15">
      <c r="A1981" s="74" t="s">
        <v>309</v>
      </c>
      <c r="B1981" s="74" t="s">
        <v>130</v>
      </c>
      <c r="C1981" s="74" t="s">
        <v>131</v>
      </c>
      <c r="D1981" s="74" t="s">
        <v>79</v>
      </c>
      <c r="E1981" s="74" t="s">
        <v>80</v>
      </c>
      <c r="F1981" s="86" t="s">
        <v>116</v>
      </c>
      <c r="G1981" s="74" t="s">
        <v>117</v>
      </c>
      <c r="H1981" s="87">
        <v>44681</v>
      </c>
      <c r="I1981" s="98">
        <v>22</v>
      </c>
      <c r="J1981" s="98">
        <v>22</v>
      </c>
      <c r="K1981" s="89">
        <f t="shared" si="85"/>
        <v>1</v>
      </c>
      <c r="L1981" s="89">
        <v>8609.38</v>
      </c>
      <c r="M1981" s="89">
        <v>3122.44</v>
      </c>
      <c r="N1981" s="89">
        <v>842.53</v>
      </c>
      <c r="O1981" s="89">
        <f t="shared" si="83"/>
        <v>12574.35</v>
      </c>
    </row>
    <row r="1982" spans="1:15">
      <c r="A1982" s="74" t="s">
        <v>309</v>
      </c>
      <c r="B1982" s="74" t="s">
        <v>132</v>
      </c>
      <c r="C1982" s="74" t="s">
        <v>133</v>
      </c>
      <c r="D1982" s="74" t="s">
        <v>79</v>
      </c>
      <c r="E1982" s="74" t="s">
        <v>80</v>
      </c>
      <c r="F1982" s="86" t="s">
        <v>120</v>
      </c>
      <c r="G1982" s="74" t="s">
        <v>117</v>
      </c>
      <c r="H1982" s="87">
        <v>44681</v>
      </c>
      <c r="I1982" s="98">
        <v>22</v>
      </c>
      <c r="J1982" s="98">
        <v>22</v>
      </c>
      <c r="K1982" s="89">
        <f t="shared" si="85"/>
        <v>1</v>
      </c>
      <c r="L1982" s="89">
        <v>7343.37</v>
      </c>
      <c r="M1982" s="89">
        <v>3013.13</v>
      </c>
      <c r="N1982" s="89">
        <v>759.58</v>
      </c>
      <c r="O1982" s="89">
        <f t="shared" si="83"/>
        <v>11116.08</v>
      </c>
    </row>
    <row r="1983" spans="1:15">
      <c r="A1983" s="74" t="s">
        <v>309</v>
      </c>
      <c r="B1983" s="74" t="s">
        <v>134</v>
      </c>
      <c r="C1983" s="74" t="s">
        <v>135</v>
      </c>
      <c r="D1983" s="74" t="s">
        <v>79</v>
      </c>
      <c r="E1983" s="74" t="s">
        <v>80</v>
      </c>
      <c r="F1983" s="86" t="s">
        <v>123</v>
      </c>
      <c r="G1983" s="74" t="s">
        <v>117</v>
      </c>
      <c r="H1983" s="87">
        <v>44681</v>
      </c>
      <c r="I1983" s="98">
        <v>22</v>
      </c>
      <c r="J1983" s="98">
        <v>22</v>
      </c>
      <c r="K1983" s="89">
        <f t="shared" si="85"/>
        <v>1</v>
      </c>
      <c r="L1983" s="89">
        <v>6084.59</v>
      </c>
      <c r="M1983" s="89">
        <v>3094.56</v>
      </c>
      <c r="N1983" s="89">
        <v>616</v>
      </c>
      <c r="O1983" s="89">
        <f t="shared" si="83"/>
        <v>9795.15</v>
      </c>
    </row>
    <row r="1984" spans="1:15">
      <c r="A1984" s="74" t="s">
        <v>309</v>
      </c>
      <c r="B1984" s="74" t="s">
        <v>136</v>
      </c>
      <c r="C1984" s="74" t="s">
        <v>137</v>
      </c>
      <c r="D1984" s="74" t="s">
        <v>79</v>
      </c>
      <c r="E1984" s="74" t="s">
        <v>80</v>
      </c>
      <c r="F1984" s="86" t="s">
        <v>116</v>
      </c>
      <c r="G1984" s="74" t="s">
        <v>138</v>
      </c>
      <c r="H1984" s="87">
        <v>44681</v>
      </c>
      <c r="I1984" s="98">
        <v>22</v>
      </c>
      <c r="J1984" s="98">
        <v>22</v>
      </c>
      <c r="K1984" s="89">
        <f t="shared" si="85"/>
        <v>1</v>
      </c>
      <c r="L1984" s="89">
        <v>8774.98</v>
      </c>
      <c r="M1984" s="89">
        <v>3261.95</v>
      </c>
      <c r="N1984" s="89">
        <v>864.32</v>
      </c>
      <c r="O1984" s="89">
        <f t="shared" si="83"/>
        <v>12901.25</v>
      </c>
    </row>
    <row r="1985" spans="1:15">
      <c r="A1985" s="74" t="s">
        <v>309</v>
      </c>
      <c r="B1985" s="74" t="s">
        <v>139</v>
      </c>
      <c r="C1985" s="74" t="s">
        <v>140</v>
      </c>
      <c r="D1985" s="74" t="s">
        <v>79</v>
      </c>
      <c r="E1985" s="74" t="s">
        <v>80</v>
      </c>
      <c r="F1985" s="86" t="s">
        <v>120</v>
      </c>
      <c r="G1985" s="74" t="s">
        <v>138</v>
      </c>
      <c r="H1985" s="87">
        <v>44681</v>
      </c>
      <c r="I1985" s="98">
        <v>22</v>
      </c>
      <c r="J1985" s="98">
        <v>22</v>
      </c>
      <c r="K1985" s="89">
        <f t="shared" si="85"/>
        <v>1</v>
      </c>
      <c r="L1985" s="89">
        <v>7278.64</v>
      </c>
      <c r="M1985" s="89">
        <v>3023.07</v>
      </c>
      <c r="N1985" s="89">
        <v>766.3</v>
      </c>
      <c r="O1985" s="89">
        <f t="shared" si="83"/>
        <v>11068.01</v>
      </c>
    </row>
    <row r="1986" spans="1:15">
      <c r="A1986" s="74" t="s">
        <v>309</v>
      </c>
      <c r="B1986" s="74" t="s">
        <v>141</v>
      </c>
      <c r="C1986" s="74" t="s">
        <v>142</v>
      </c>
      <c r="D1986" s="74" t="s">
        <v>79</v>
      </c>
      <c r="E1986" s="74" t="s">
        <v>80</v>
      </c>
      <c r="F1986" s="86" t="s">
        <v>123</v>
      </c>
      <c r="G1986" s="74" t="s">
        <v>138</v>
      </c>
      <c r="H1986" s="87">
        <v>44681</v>
      </c>
      <c r="I1986" s="98">
        <v>22</v>
      </c>
      <c r="J1986" s="98">
        <v>22</v>
      </c>
      <c r="K1986" s="89">
        <f t="shared" si="85"/>
        <v>1</v>
      </c>
      <c r="L1986" s="89">
        <v>6433.19</v>
      </c>
      <c r="M1986" s="89">
        <v>3281.9</v>
      </c>
      <c r="N1986" s="89">
        <v>626.45</v>
      </c>
      <c r="O1986" s="89">
        <f t="shared" si="83"/>
        <v>10341.54</v>
      </c>
    </row>
    <row r="1987" spans="1:15">
      <c r="A1987" s="74" t="s">
        <v>309</v>
      </c>
      <c r="B1987" s="74" t="s">
        <v>143</v>
      </c>
      <c r="C1987" s="74" t="s">
        <v>144</v>
      </c>
      <c r="D1987" s="74" t="s">
        <v>79</v>
      </c>
      <c r="E1987" s="74" t="s">
        <v>80</v>
      </c>
      <c r="F1987" s="86" t="s">
        <v>145</v>
      </c>
      <c r="G1987" s="74" t="s">
        <v>146</v>
      </c>
      <c r="H1987" s="87">
        <v>44681</v>
      </c>
      <c r="I1987" s="98">
        <v>22</v>
      </c>
      <c r="J1987" s="98">
        <v>22</v>
      </c>
      <c r="K1987" s="89">
        <f t="shared" si="85"/>
        <v>1</v>
      </c>
      <c r="L1987" s="89">
        <v>19636.78</v>
      </c>
      <c r="M1987" s="89">
        <v>3200.73</v>
      </c>
      <c r="N1987" s="89">
        <v>1995.95</v>
      </c>
      <c r="O1987" s="89">
        <f t="shared" si="83"/>
        <v>24833.46</v>
      </c>
    </row>
    <row r="1988" spans="1:15">
      <c r="A1988" s="74" t="s">
        <v>309</v>
      </c>
      <c r="B1988" s="74" t="s">
        <v>147</v>
      </c>
      <c r="C1988" s="74" t="s">
        <v>148</v>
      </c>
      <c r="D1988" s="74" t="s">
        <v>79</v>
      </c>
      <c r="E1988" s="74" t="s">
        <v>80</v>
      </c>
      <c r="F1988" s="86" t="s">
        <v>149</v>
      </c>
      <c r="G1988" s="74" t="s">
        <v>150</v>
      </c>
      <c r="H1988" s="87">
        <v>44681</v>
      </c>
      <c r="I1988" s="98">
        <v>22</v>
      </c>
      <c r="J1988" s="98">
        <v>22</v>
      </c>
      <c r="K1988" s="89">
        <f t="shared" si="85"/>
        <v>1</v>
      </c>
      <c r="L1988" s="89">
        <v>18571.46</v>
      </c>
      <c r="M1988" s="89">
        <v>3016.48</v>
      </c>
      <c r="N1988" s="89">
        <v>1791.81</v>
      </c>
      <c r="O1988" s="89">
        <f t="shared" si="83"/>
        <v>23379.75</v>
      </c>
    </row>
    <row r="1989" spans="1:15">
      <c r="A1989" s="74" t="s">
        <v>309</v>
      </c>
      <c r="B1989" s="74" t="s">
        <v>151</v>
      </c>
      <c r="C1989" s="74" t="s">
        <v>152</v>
      </c>
      <c r="D1989" s="74" t="s">
        <v>79</v>
      </c>
      <c r="E1989" s="74" t="s">
        <v>81</v>
      </c>
      <c r="F1989" s="86" t="s">
        <v>123</v>
      </c>
      <c r="G1989" s="74" t="s">
        <v>153</v>
      </c>
      <c r="H1989" s="87">
        <v>44681</v>
      </c>
      <c r="I1989" s="98">
        <v>22</v>
      </c>
      <c r="J1989" s="98">
        <v>22</v>
      </c>
      <c r="K1989" s="89">
        <f t="shared" si="85"/>
        <v>1</v>
      </c>
      <c r="L1989" s="89">
        <v>6397.55</v>
      </c>
      <c r="M1989" s="89">
        <v>3187.84</v>
      </c>
      <c r="N1989" s="89">
        <v>621.08</v>
      </c>
      <c r="O1989" s="89">
        <f t="shared" ref="O1989:O2052" si="86">SUM(L1989:N1989)</f>
        <v>10206.47</v>
      </c>
    </row>
    <row r="1990" spans="1:15">
      <c r="A1990" s="74" t="s">
        <v>309</v>
      </c>
      <c r="B1990" s="74" t="s">
        <v>154</v>
      </c>
      <c r="C1990" s="74" t="s">
        <v>155</v>
      </c>
      <c r="D1990" s="74" t="s">
        <v>79</v>
      </c>
      <c r="E1990" s="74" t="s">
        <v>81</v>
      </c>
      <c r="F1990" s="86" t="s">
        <v>156</v>
      </c>
      <c r="G1990" s="74" t="s">
        <v>157</v>
      </c>
      <c r="H1990" s="87">
        <v>44681</v>
      </c>
      <c r="I1990" s="98">
        <v>22</v>
      </c>
      <c r="J1990" s="98">
        <v>22</v>
      </c>
      <c r="K1990" s="89">
        <f t="shared" si="85"/>
        <v>1</v>
      </c>
      <c r="L1990" s="89">
        <v>5389.92</v>
      </c>
      <c r="M1990" s="89">
        <v>3229.51</v>
      </c>
      <c r="N1990" s="89">
        <v>545.03</v>
      </c>
      <c r="O1990" s="89">
        <f t="shared" si="86"/>
        <v>9164.46</v>
      </c>
    </row>
    <row r="1991" spans="1:15">
      <c r="A1991" s="74" t="s">
        <v>309</v>
      </c>
      <c r="B1991" s="74" t="s">
        <v>158</v>
      </c>
      <c r="C1991" s="74" t="s">
        <v>159</v>
      </c>
      <c r="D1991" s="74" t="s">
        <v>79</v>
      </c>
      <c r="E1991" s="74" t="s">
        <v>81</v>
      </c>
      <c r="F1991" s="86" t="s">
        <v>160</v>
      </c>
      <c r="G1991" s="74" t="s">
        <v>161</v>
      </c>
      <c r="H1991" s="87">
        <v>44681</v>
      </c>
      <c r="I1991" s="98">
        <v>22</v>
      </c>
      <c r="J1991" s="98">
        <v>22</v>
      </c>
      <c r="K1991" s="89">
        <f t="shared" si="85"/>
        <v>1</v>
      </c>
      <c r="L1991" s="89">
        <v>4132.89</v>
      </c>
      <c r="M1991" s="89">
        <v>3006.31</v>
      </c>
      <c r="N1991" s="89">
        <v>418.04</v>
      </c>
      <c r="O1991" s="89">
        <f t="shared" si="86"/>
        <v>7557.24</v>
      </c>
    </row>
    <row r="1992" spans="1:15">
      <c r="A1992" s="74" t="s">
        <v>309</v>
      </c>
      <c r="B1992" s="74" t="s">
        <v>162</v>
      </c>
      <c r="C1992" s="74" t="s">
        <v>163</v>
      </c>
      <c r="D1992" s="74" t="s">
        <v>79</v>
      </c>
      <c r="E1992" s="74" t="s">
        <v>81</v>
      </c>
      <c r="F1992" s="86" t="s">
        <v>123</v>
      </c>
      <c r="G1992" s="74" t="s">
        <v>153</v>
      </c>
      <c r="H1992" s="87">
        <v>44681</v>
      </c>
      <c r="I1992" s="98">
        <v>22</v>
      </c>
      <c r="J1992" s="98">
        <v>22</v>
      </c>
      <c r="K1992" s="89">
        <f t="shared" si="85"/>
        <v>1</v>
      </c>
      <c r="L1992" s="89">
        <v>6117.04</v>
      </c>
      <c r="M1992" s="89">
        <v>3175.26</v>
      </c>
      <c r="N1992" s="89">
        <v>646.72</v>
      </c>
      <c r="O1992" s="89">
        <f t="shared" si="86"/>
        <v>9939.02</v>
      </c>
    </row>
    <row r="1993" spans="1:15">
      <c r="A1993" s="74" t="s">
        <v>309</v>
      </c>
      <c r="B1993" s="74" t="s">
        <v>164</v>
      </c>
      <c r="C1993" s="74" t="s">
        <v>165</v>
      </c>
      <c r="D1993" s="74" t="s">
        <v>79</v>
      </c>
      <c r="E1993" s="74" t="s">
        <v>81</v>
      </c>
      <c r="F1993" s="86" t="s">
        <v>156</v>
      </c>
      <c r="G1993" s="74" t="s">
        <v>157</v>
      </c>
      <c r="H1993" s="87">
        <v>44681</v>
      </c>
      <c r="I1993" s="98">
        <v>22</v>
      </c>
      <c r="J1993" s="98">
        <v>22</v>
      </c>
      <c r="K1993" s="89">
        <f t="shared" si="85"/>
        <v>1</v>
      </c>
      <c r="L1993" s="89">
        <v>5126.07</v>
      </c>
      <c r="M1993" s="89">
        <v>3139.52</v>
      </c>
      <c r="N1993" s="89">
        <v>508.12</v>
      </c>
      <c r="O1993" s="89">
        <f t="shared" si="86"/>
        <v>8773.71</v>
      </c>
    </row>
    <row r="1994" spans="1:15">
      <c r="A1994" s="74" t="s">
        <v>309</v>
      </c>
      <c r="B1994" s="74" t="s">
        <v>166</v>
      </c>
      <c r="C1994" s="74" t="s">
        <v>167</v>
      </c>
      <c r="D1994" s="74" t="s">
        <v>79</v>
      </c>
      <c r="E1994" s="74" t="s">
        <v>81</v>
      </c>
      <c r="F1994" s="86" t="s">
        <v>160</v>
      </c>
      <c r="G1994" s="74" t="s">
        <v>161</v>
      </c>
      <c r="H1994" s="87">
        <v>44681</v>
      </c>
      <c r="I1994" s="98">
        <v>22</v>
      </c>
      <c r="J1994" s="98">
        <v>22</v>
      </c>
      <c r="K1994" s="89">
        <f t="shared" si="85"/>
        <v>1</v>
      </c>
      <c r="L1994" s="89">
        <v>4290.76</v>
      </c>
      <c r="M1994" s="89">
        <v>3222.86</v>
      </c>
      <c r="N1994" s="89">
        <v>430.73</v>
      </c>
      <c r="O1994" s="89">
        <f t="shared" si="86"/>
        <v>7944.35</v>
      </c>
    </row>
    <row r="1995" spans="1:15">
      <c r="A1995" s="74" t="s">
        <v>309</v>
      </c>
      <c r="B1995" s="74" t="s">
        <v>168</v>
      </c>
      <c r="C1995" s="74" t="s">
        <v>169</v>
      </c>
      <c r="D1995" s="74" t="s">
        <v>79</v>
      </c>
      <c r="E1995" s="74" t="s">
        <v>81</v>
      </c>
      <c r="F1995" s="86" t="s">
        <v>123</v>
      </c>
      <c r="G1995" s="74" t="s">
        <v>153</v>
      </c>
      <c r="H1995" s="87">
        <v>44681</v>
      </c>
      <c r="I1995" s="98">
        <v>22</v>
      </c>
      <c r="J1995" s="98">
        <v>22</v>
      </c>
      <c r="K1995" s="89">
        <f t="shared" si="85"/>
        <v>1</v>
      </c>
      <c r="L1995" s="89">
        <v>6594.78</v>
      </c>
      <c r="M1995" s="89">
        <v>3142.55</v>
      </c>
      <c r="N1995" s="89">
        <v>639.24</v>
      </c>
      <c r="O1995" s="89">
        <f t="shared" si="86"/>
        <v>10376.57</v>
      </c>
    </row>
    <row r="1996" spans="1:15">
      <c r="A1996" s="74" t="s">
        <v>309</v>
      </c>
      <c r="B1996" s="74" t="s">
        <v>170</v>
      </c>
      <c r="C1996" s="74" t="s">
        <v>171</v>
      </c>
      <c r="D1996" s="74" t="s">
        <v>79</v>
      </c>
      <c r="E1996" s="74" t="s">
        <v>81</v>
      </c>
      <c r="F1996" s="86" t="s">
        <v>156</v>
      </c>
      <c r="G1996" s="74" t="s">
        <v>157</v>
      </c>
      <c r="H1996" s="87">
        <v>44681</v>
      </c>
      <c r="I1996" s="98">
        <v>22</v>
      </c>
      <c r="J1996" s="98">
        <v>22</v>
      </c>
      <c r="K1996" s="89">
        <f t="shared" si="85"/>
        <v>1</v>
      </c>
      <c r="L1996" s="89">
        <v>5105.78</v>
      </c>
      <c r="M1996" s="89">
        <v>3140.86</v>
      </c>
      <c r="N1996" s="89">
        <v>530.42</v>
      </c>
      <c r="O1996" s="89">
        <f t="shared" si="86"/>
        <v>8777.06</v>
      </c>
    </row>
    <row r="1997" spans="1:15">
      <c r="A1997" s="74" t="s">
        <v>309</v>
      </c>
      <c r="B1997" s="74" t="s">
        <v>172</v>
      </c>
      <c r="C1997" s="74" t="s">
        <v>173</v>
      </c>
      <c r="D1997" s="74" t="s">
        <v>79</v>
      </c>
      <c r="E1997" s="74" t="s">
        <v>81</v>
      </c>
      <c r="F1997" s="86" t="s">
        <v>160</v>
      </c>
      <c r="G1997" s="74" t="s">
        <v>161</v>
      </c>
      <c r="H1997" s="87">
        <v>44681</v>
      </c>
      <c r="I1997" s="98">
        <v>22</v>
      </c>
      <c r="J1997" s="98">
        <v>22</v>
      </c>
      <c r="K1997" s="89">
        <f t="shared" si="85"/>
        <v>1</v>
      </c>
      <c r="L1997" s="89">
        <v>4324.96</v>
      </c>
      <c r="M1997" s="89">
        <v>3092.01</v>
      </c>
      <c r="N1997" s="89">
        <v>425.91</v>
      </c>
      <c r="O1997" s="89">
        <f t="shared" si="86"/>
        <v>7842.88</v>
      </c>
    </row>
    <row r="1998" spans="1:15">
      <c r="A1998" s="74" t="s">
        <v>309</v>
      </c>
      <c r="B1998" s="74" t="s">
        <v>174</v>
      </c>
      <c r="C1998" s="74" t="s">
        <v>175</v>
      </c>
      <c r="D1998" s="74" t="s">
        <v>79</v>
      </c>
      <c r="E1998" s="74" t="s">
        <v>81</v>
      </c>
      <c r="F1998" s="86" t="s">
        <v>176</v>
      </c>
      <c r="G1998" s="74" t="s">
        <v>177</v>
      </c>
      <c r="H1998" s="87">
        <v>44681</v>
      </c>
      <c r="I1998" s="98">
        <v>22</v>
      </c>
      <c r="J1998" s="98">
        <v>22</v>
      </c>
      <c r="K1998" s="89">
        <f t="shared" si="85"/>
        <v>1</v>
      </c>
      <c r="L1998" s="89">
        <v>3100.75</v>
      </c>
      <c r="M1998" s="89">
        <v>3102.42</v>
      </c>
      <c r="N1998" s="89">
        <v>314.84</v>
      </c>
      <c r="O1998" s="89">
        <f t="shared" si="86"/>
        <v>6518.01</v>
      </c>
    </row>
    <row r="1999" spans="1:15">
      <c r="A1999" s="74" t="s">
        <v>309</v>
      </c>
      <c r="B1999" s="74" t="s">
        <v>178</v>
      </c>
      <c r="C1999" s="74" t="s">
        <v>179</v>
      </c>
      <c r="D1999" s="74" t="s">
        <v>79</v>
      </c>
      <c r="E1999" s="74" t="s">
        <v>81</v>
      </c>
      <c r="F1999" s="86" t="s">
        <v>180</v>
      </c>
      <c r="G1999" s="74" t="s">
        <v>177</v>
      </c>
      <c r="H1999" s="87">
        <v>44681</v>
      </c>
      <c r="I1999" s="98">
        <v>22</v>
      </c>
      <c r="J1999" s="98">
        <v>22</v>
      </c>
      <c r="K1999" s="89">
        <f t="shared" si="85"/>
        <v>1</v>
      </c>
      <c r="L1999" s="89">
        <v>2061.89</v>
      </c>
      <c r="M1999" s="89">
        <v>3062.29</v>
      </c>
      <c r="N1999" s="89">
        <v>202.6</v>
      </c>
      <c r="O1999" s="89">
        <f t="shared" si="86"/>
        <v>5326.78</v>
      </c>
    </row>
    <row r="2000" spans="1:15">
      <c r="A2000" s="74" t="s">
        <v>309</v>
      </c>
      <c r="B2000" s="74" t="s">
        <v>181</v>
      </c>
      <c r="C2000" s="74" t="s">
        <v>182</v>
      </c>
      <c r="D2000" s="74" t="s">
        <v>79</v>
      </c>
      <c r="E2000" s="74" t="s">
        <v>81</v>
      </c>
      <c r="F2000" s="86" t="s">
        <v>183</v>
      </c>
      <c r="G2000" s="74" t="s">
        <v>177</v>
      </c>
      <c r="H2000" s="87">
        <v>44681</v>
      </c>
      <c r="I2000" s="98">
        <v>22</v>
      </c>
      <c r="J2000" s="98">
        <v>22</v>
      </c>
      <c r="K2000" s="89">
        <f t="shared" si="85"/>
        <v>1</v>
      </c>
      <c r="L2000" s="89">
        <v>1055.67</v>
      </c>
      <c r="M2000" s="89">
        <v>3254.56</v>
      </c>
      <c r="N2000" s="89">
        <v>101.46</v>
      </c>
      <c r="O2000" s="89">
        <f t="shared" si="86"/>
        <v>4411.69</v>
      </c>
    </row>
    <row r="2001" spans="1:15">
      <c r="A2001" s="74" t="s">
        <v>309</v>
      </c>
      <c r="B2001" s="74" t="s">
        <v>184</v>
      </c>
      <c r="C2001" s="74" t="s">
        <v>185</v>
      </c>
      <c r="D2001" s="74" t="s">
        <v>79</v>
      </c>
      <c r="E2001" s="74" t="s">
        <v>81</v>
      </c>
      <c r="F2001" s="86" t="s">
        <v>176</v>
      </c>
      <c r="G2001" s="74" t="s">
        <v>177</v>
      </c>
      <c r="H2001" s="87">
        <v>44681</v>
      </c>
      <c r="I2001" s="98">
        <v>22</v>
      </c>
      <c r="J2001" s="98">
        <v>22</v>
      </c>
      <c r="K2001" s="89">
        <f t="shared" si="85"/>
        <v>1</v>
      </c>
      <c r="L2001" s="89">
        <v>3055.28</v>
      </c>
      <c r="M2001" s="89">
        <v>3006.29</v>
      </c>
      <c r="N2001" s="89">
        <v>305.86</v>
      </c>
      <c r="O2001" s="89">
        <f t="shared" si="86"/>
        <v>6367.43</v>
      </c>
    </row>
    <row r="2002" spans="1:15">
      <c r="A2002" s="74" t="s">
        <v>309</v>
      </c>
      <c r="B2002" s="74" t="s">
        <v>186</v>
      </c>
      <c r="C2002" s="74" t="s">
        <v>187</v>
      </c>
      <c r="D2002" s="74" t="s">
        <v>79</v>
      </c>
      <c r="E2002" s="74" t="s">
        <v>81</v>
      </c>
      <c r="F2002" s="86" t="s">
        <v>180</v>
      </c>
      <c r="G2002" s="74" t="s">
        <v>177</v>
      </c>
      <c r="H2002" s="87">
        <v>44681</v>
      </c>
      <c r="I2002" s="98">
        <v>22</v>
      </c>
      <c r="J2002" s="98">
        <v>22</v>
      </c>
      <c r="K2002" s="89">
        <f t="shared" si="85"/>
        <v>1</v>
      </c>
      <c r="L2002" s="89">
        <v>2189.36</v>
      </c>
      <c r="M2002" s="89">
        <v>3261.34</v>
      </c>
      <c r="N2002" s="89">
        <v>211.48</v>
      </c>
      <c r="O2002" s="89">
        <f t="shared" si="86"/>
        <v>5662.18</v>
      </c>
    </row>
    <row r="2003" spans="1:15">
      <c r="A2003" s="74" t="s">
        <v>309</v>
      </c>
      <c r="B2003" s="74" t="s">
        <v>188</v>
      </c>
      <c r="C2003" s="74" t="s">
        <v>189</v>
      </c>
      <c r="D2003" s="74" t="s">
        <v>79</v>
      </c>
      <c r="E2003" s="74" t="s">
        <v>81</v>
      </c>
      <c r="F2003" s="86" t="s">
        <v>183</v>
      </c>
      <c r="G2003" s="74" t="s">
        <v>177</v>
      </c>
      <c r="H2003" s="87">
        <v>44681</v>
      </c>
      <c r="I2003" s="98">
        <v>22</v>
      </c>
      <c r="J2003" s="98">
        <v>22</v>
      </c>
      <c r="K2003" s="89">
        <f t="shared" si="85"/>
        <v>1</v>
      </c>
      <c r="L2003" s="89">
        <v>1088.66</v>
      </c>
      <c r="M2003" s="89">
        <v>3015.4</v>
      </c>
      <c r="N2003" s="89">
        <v>106.06</v>
      </c>
      <c r="O2003" s="89">
        <f t="shared" si="86"/>
        <v>4210.12</v>
      </c>
    </row>
    <row r="2004" spans="1:15">
      <c r="A2004" s="74" t="s">
        <v>309</v>
      </c>
      <c r="B2004" s="74" t="s">
        <v>190</v>
      </c>
      <c r="C2004" s="74" t="s">
        <v>191</v>
      </c>
      <c r="D2004" s="74" t="s">
        <v>79</v>
      </c>
      <c r="E2004" s="74" t="s">
        <v>81</v>
      </c>
      <c r="F2004" s="86" t="s">
        <v>176</v>
      </c>
      <c r="G2004" s="74" t="s">
        <v>177</v>
      </c>
      <c r="H2004" s="87">
        <v>44681</v>
      </c>
      <c r="I2004" s="98">
        <v>22</v>
      </c>
      <c r="J2004" s="98">
        <v>22</v>
      </c>
      <c r="K2004" s="89">
        <f t="shared" si="85"/>
        <v>1</v>
      </c>
      <c r="L2004" s="89">
        <v>3144.66</v>
      </c>
      <c r="M2004" s="89">
        <v>3058.73</v>
      </c>
      <c r="N2004" s="89">
        <v>304.61</v>
      </c>
      <c r="O2004" s="89">
        <f t="shared" si="86"/>
        <v>6508</v>
      </c>
    </row>
    <row r="2005" spans="1:15">
      <c r="A2005" s="74" t="s">
        <v>309</v>
      </c>
      <c r="B2005" s="74" t="s">
        <v>192</v>
      </c>
      <c r="C2005" s="74" t="s">
        <v>193</v>
      </c>
      <c r="D2005" s="74" t="s">
        <v>79</v>
      </c>
      <c r="E2005" s="74" t="s">
        <v>81</v>
      </c>
      <c r="F2005" s="86" t="s">
        <v>180</v>
      </c>
      <c r="G2005" s="74" t="s">
        <v>177</v>
      </c>
      <c r="H2005" s="87">
        <v>44681</v>
      </c>
      <c r="I2005" s="98">
        <v>22</v>
      </c>
      <c r="J2005" s="98">
        <v>22</v>
      </c>
      <c r="K2005" s="89">
        <f t="shared" si="85"/>
        <v>1</v>
      </c>
      <c r="L2005" s="89">
        <v>2099.63</v>
      </c>
      <c r="M2005" s="89">
        <v>3157.47</v>
      </c>
      <c r="N2005" s="89">
        <v>217.55</v>
      </c>
      <c r="O2005" s="89">
        <f t="shared" si="86"/>
        <v>5474.65</v>
      </c>
    </row>
    <row r="2006" spans="1:15">
      <c r="A2006" s="74" t="s">
        <v>309</v>
      </c>
      <c r="B2006" s="74" t="s">
        <v>194</v>
      </c>
      <c r="C2006" s="74" t="s">
        <v>195</v>
      </c>
      <c r="D2006" s="74" t="s">
        <v>79</v>
      </c>
      <c r="E2006" s="74" t="s">
        <v>81</v>
      </c>
      <c r="F2006" s="86" t="s">
        <v>183</v>
      </c>
      <c r="G2006" s="74" t="s">
        <v>177</v>
      </c>
      <c r="H2006" s="87">
        <v>44681</v>
      </c>
      <c r="I2006" s="98">
        <v>22</v>
      </c>
      <c r="J2006" s="98">
        <v>22</v>
      </c>
      <c r="K2006" s="89">
        <f t="shared" si="85"/>
        <v>1</v>
      </c>
      <c r="L2006" s="89">
        <v>1024.22</v>
      </c>
      <c r="M2006" s="89">
        <v>3283.07</v>
      </c>
      <c r="N2006" s="89">
        <v>105.66</v>
      </c>
      <c r="O2006" s="89">
        <f t="shared" si="86"/>
        <v>4412.95</v>
      </c>
    </row>
    <row r="2007" spans="1:15">
      <c r="A2007" s="74" t="s">
        <v>309</v>
      </c>
      <c r="B2007" s="74" t="s">
        <v>196</v>
      </c>
      <c r="C2007" s="74" t="s">
        <v>197</v>
      </c>
      <c r="D2007" s="74" t="s">
        <v>79</v>
      </c>
      <c r="E2007" s="74" t="s">
        <v>81</v>
      </c>
      <c r="F2007" s="86" t="s">
        <v>176</v>
      </c>
      <c r="G2007" s="74" t="s">
        <v>177</v>
      </c>
      <c r="H2007" s="87">
        <v>44681</v>
      </c>
      <c r="I2007" s="98">
        <v>22</v>
      </c>
      <c r="J2007" s="98">
        <v>22</v>
      </c>
      <c r="K2007" s="89">
        <f t="shared" si="85"/>
        <v>1</v>
      </c>
      <c r="L2007" s="89">
        <v>3014.56</v>
      </c>
      <c r="M2007" s="89">
        <v>3038.3</v>
      </c>
      <c r="N2007" s="89">
        <v>300.1</v>
      </c>
      <c r="O2007" s="89">
        <f t="shared" si="86"/>
        <v>6352.96</v>
      </c>
    </row>
    <row r="2008" spans="1:15">
      <c r="A2008" s="74" t="s">
        <v>309</v>
      </c>
      <c r="B2008" s="74" t="s">
        <v>198</v>
      </c>
      <c r="C2008" s="74" t="s">
        <v>199</v>
      </c>
      <c r="D2008" s="74" t="s">
        <v>79</v>
      </c>
      <c r="E2008" s="74" t="s">
        <v>81</v>
      </c>
      <c r="F2008" s="86" t="s">
        <v>180</v>
      </c>
      <c r="G2008" s="74" t="s">
        <v>177</v>
      </c>
      <c r="H2008" s="87">
        <v>44681</v>
      </c>
      <c r="I2008" s="98">
        <v>22</v>
      </c>
      <c r="J2008" s="98">
        <v>22</v>
      </c>
      <c r="K2008" s="89">
        <f t="shared" si="85"/>
        <v>1</v>
      </c>
      <c r="L2008" s="89">
        <v>2021.27</v>
      </c>
      <c r="M2008" s="89">
        <v>3143.56</v>
      </c>
      <c r="N2008" s="89">
        <v>209.66</v>
      </c>
      <c r="O2008" s="89">
        <f t="shared" si="86"/>
        <v>5374.49</v>
      </c>
    </row>
    <row r="2009" spans="1:15">
      <c r="A2009" s="74" t="s">
        <v>309</v>
      </c>
      <c r="B2009" s="74" t="s">
        <v>200</v>
      </c>
      <c r="C2009" s="74" t="s">
        <v>201</v>
      </c>
      <c r="D2009" s="74" t="s">
        <v>79</v>
      </c>
      <c r="E2009" s="74" t="s">
        <v>81</v>
      </c>
      <c r="F2009" s="86" t="s">
        <v>183</v>
      </c>
      <c r="G2009" s="74" t="s">
        <v>177</v>
      </c>
      <c r="H2009" s="87">
        <v>44681</v>
      </c>
      <c r="I2009" s="98">
        <v>22</v>
      </c>
      <c r="J2009" s="98">
        <v>22</v>
      </c>
      <c r="K2009" s="89">
        <f t="shared" si="85"/>
        <v>1</v>
      </c>
      <c r="L2009" s="89">
        <v>1073.02</v>
      </c>
      <c r="M2009" s="89">
        <v>3041.51</v>
      </c>
      <c r="N2009" s="89">
        <v>101.53</v>
      </c>
      <c r="O2009" s="89">
        <f t="shared" si="86"/>
        <v>4216.06</v>
      </c>
    </row>
    <row r="2010" spans="1:15">
      <c r="A2010" s="74" t="s">
        <v>309</v>
      </c>
      <c r="B2010" s="74" t="s">
        <v>202</v>
      </c>
      <c r="C2010" s="74" t="s">
        <v>203</v>
      </c>
      <c r="D2010" s="74" t="s">
        <v>79</v>
      </c>
      <c r="E2010" s="74" t="s">
        <v>81</v>
      </c>
      <c r="F2010" s="86" t="s">
        <v>204</v>
      </c>
      <c r="G2010" s="74" t="s">
        <v>205</v>
      </c>
      <c r="H2010" s="87">
        <v>44681</v>
      </c>
      <c r="I2010" s="98">
        <v>22</v>
      </c>
      <c r="J2010" s="98">
        <v>22</v>
      </c>
      <c r="K2010" s="89">
        <f t="shared" si="85"/>
        <v>1</v>
      </c>
      <c r="L2010" s="89">
        <v>18270.03</v>
      </c>
      <c r="M2010" s="89">
        <v>3018.13</v>
      </c>
      <c r="N2010" s="89">
        <v>1811.33</v>
      </c>
      <c r="O2010" s="89">
        <f t="shared" si="86"/>
        <v>23099.49</v>
      </c>
    </row>
    <row r="2011" spans="1:15">
      <c r="A2011" s="74" t="s">
        <v>309</v>
      </c>
      <c r="B2011" s="74" t="s">
        <v>206</v>
      </c>
      <c r="C2011" s="74" t="s">
        <v>207</v>
      </c>
      <c r="D2011" s="88" t="s">
        <v>82</v>
      </c>
      <c r="E2011" s="88" t="s">
        <v>84</v>
      </c>
      <c r="F2011" s="86" t="s">
        <v>208</v>
      </c>
      <c r="G2011" s="74" t="s">
        <v>209</v>
      </c>
      <c r="H2011" s="87">
        <v>44681</v>
      </c>
      <c r="I2011" s="98">
        <v>22</v>
      </c>
      <c r="J2011" s="98">
        <v>22</v>
      </c>
      <c r="K2011" s="89">
        <f t="shared" si="85"/>
        <v>1</v>
      </c>
      <c r="L2011" s="89">
        <v>9163.1</v>
      </c>
      <c r="M2011" s="89">
        <v>3271.28</v>
      </c>
      <c r="N2011" s="89">
        <v>982.21</v>
      </c>
      <c r="O2011" s="89">
        <f t="shared" si="86"/>
        <v>13416.59</v>
      </c>
    </row>
    <row r="2012" spans="1:15">
      <c r="A2012" s="74" t="s">
        <v>309</v>
      </c>
      <c r="B2012" s="74" t="s">
        <v>210</v>
      </c>
      <c r="C2012" s="74" t="s">
        <v>211</v>
      </c>
      <c r="D2012" s="88" t="s">
        <v>82</v>
      </c>
      <c r="E2012" s="88" t="s">
        <v>84</v>
      </c>
      <c r="F2012" s="86" t="s">
        <v>116</v>
      </c>
      <c r="G2012" s="74" t="s">
        <v>209</v>
      </c>
      <c r="H2012" s="87">
        <v>44681</v>
      </c>
      <c r="I2012" s="98">
        <v>22</v>
      </c>
      <c r="J2012" s="98">
        <v>22</v>
      </c>
      <c r="K2012" s="89">
        <f t="shared" si="85"/>
        <v>1</v>
      </c>
      <c r="L2012" s="89">
        <v>8447.4</v>
      </c>
      <c r="M2012" s="89">
        <v>3281.81</v>
      </c>
      <c r="N2012" s="89">
        <v>817.8</v>
      </c>
      <c r="O2012" s="89">
        <f t="shared" si="86"/>
        <v>12547.01</v>
      </c>
    </row>
    <row r="2013" spans="1:15">
      <c r="A2013" s="74" t="s">
        <v>309</v>
      </c>
      <c r="B2013" s="74" t="s">
        <v>212</v>
      </c>
      <c r="C2013" s="74" t="s">
        <v>213</v>
      </c>
      <c r="D2013" s="88" t="s">
        <v>82</v>
      </c>
      <c r="E2013" s="88" t="s">
        <v>84</v>
      </c>
      <c r="F2013" s="86" t="s">
        <v>208</v>
      </c>
      <c r="G2013" s="74" t="s">
        <v>209</v>
      </c>
      <c r="H2013" s="87">
        <v>44681</v>
      </c>
      <c r="I2013" s="98">
        <v>22</v>
      </c>
      <c r="J2013" s="98">
        <v>22</v>
      </c>
      <c r="K2013" s="89">
        <f t="shared" si="85"/>
        <v>1</v>
      </c>
      <c r="L2013" s="89">
        <v>9348.36</v>
      </c>
      <c r="M2013" s="89">
        <v>3002.74</v>
      </c>
      <c r="N2013" s="89">
        <v>985.9</v>
      </c>
      <c r="O2013" s="89">
        <f t="shared" si="86"/>
        <v>13337</v>
      </c>
    </row>
    <row r="2014" spans="1:15">
      <c r="A2014" s="74" t="s">
        <v>309</v>
      </c>
      <c r="B2014" s="74" t="s">
        <v>214</v>
      </c>
      <c r="C2014" s="74" t="s">
        <v>215</v>
      </c>
      <c r="D2014" s="88" t="s">
        <v>82</v>
      </c>
      <c r="E2014" s="88" t="s">
        <v>84</v>
      </c>
      <c r="F2014" s="86" t="s">
        <v>116</v>
      </c>
      <c r="G2014" s="74" t="s">
        <v>209</v>
      </c>
      <c r="H2014" s="87">
        <v>44681</v>
      </c>
      <c r="I2014" s="98">
        <v>22</v>
      </c>
      <c r="J2014" s="98">
        <v>22</v>
      </c>
      <c r="K2014" s="89">
        <f t="shared" si="85"/>
        <v>1</v>
      </c>
      <c r="L2014" s="89">
        <v>8082.85</v>
      </c>
      <c r="M2014" s="89">
        <v>3018.5</v>
      </c>
      <c r="N2014" s="89">
        <v>845.29</v>
      </c>
      <c r="O2014" s="89">
        <f t="shared" si="86"/>
        <v>11946.64</v>
      </c>
    </row>
    <row r="2015" spans="1:15">
      <c r="A2015" s="74" t="s">
        <v>309</v>
      </c>
      <c r="B2015" s="74" t="s">
        <v>216</v>
      </c>
      <c r="C2015" s="74" t="s">
        <v>217</v>
      </c>
      <c r="D2015" s="88" t="s">
        <v>82</v>
      </c>
      <c r="E2015" s="88" t="s">
        <v>84</v>
      </c>
      <c r="F2015" s="86" t="s">
        <v>218</v>
      </c>
      <c r="G2015" s="74" t="s">
        <v>219</v>
      </c>
      <c r="H2015" s="87">
        <v>44681</v>
      </c>
      <c r="I2015" s="98">
        <v>22</v>
      </c>
      <c r="J2015" s="98">
        <v>22</v>
      </c>
      <c r="K2015" s="89">
        <f t="shared" si="85"/>
        <v>1</v>
      </c>
      <c r="L2015" s="89">
        <v>11533.76</v>
      </c>
      <c r="M2015" s="89">
        <v>3131.13</v>
      </c>
      <c r="N2015" s="89">
        <v>1183.55</v>
      </c>
      <c r="O2015" s="89">
        <f t="shared" si="86"/>
        <v>15848.44</v>
      </c>
    </row>
    <row r="2016" spans="1:15">
      <c r="A2016" s="74" t="s">
        <v>309</v>
      </c>
      <c r="B2016" s="74" t="s">
        <v>220</v>
      </c>
      <c r="C2016" s="74" t="s">
        <v>221</v>
      </c>
      <c r="D2016" s="88" t="s">
        <v>82</v>
      </c>
      <c r="E2016" s="74" t="s">
        <v>83</v>
      </c>
      <c r="F2016" s="86" t="s">
        <v>218</v>
      </c>
      <c r="G2016" s="74" t="s">
        <v>222</v>
      </c>
      <c r="H2016" s="87">
        <v>44681</v>
      </c>
      <c r="I2016" s="98">
        <v>22</v>
      </c>
      <c r="J2016" s="98">
        <v>22</v>
      </c>
      <c r="K2016" s="89">
        <f t="shared" si="85"/>
        <v>1</v>
      </c>
      <c r="L2016" s="89">
        <v>11415.01</v>
      </c>
      <c r="M2016" s="89">
        <v>3148.65</v>
      </c>
      <c r="N2016" s="89">
        <v>1106</v>
      </c>
      <c r="O2016" s="89">
        <f t="shared" si="86"/>
        <v>15669.66</v>
      </c>
    </row>
    <row r="2017" spans="1:15">
      <c r="A2017" s="74" t="s">
        <v>309</v>
      </c>
      <c r="B2017" s="74" t="s">
        <v>223</v>
      </c>
      <c r="C2017" s="74" t="s">
        <v>224</v>
      </c>
      <c r="D2017" s="88" t="s">
        <v>82</v>
      </c>
      <c r="E2017" s="74" t="s">
        <v>83</v>
      </c>
      <c r="F2017" s="86" t="s">
        <v>225</v>
      </c>
      <c r="G2017" s="74" t="s">
        <v>209</v>
      </c>
      <c r="H2017" s="87">
        <v>44681</v>
      </c>
      <c r="I2017" s="98">
        <v>22</v>
      </c>
      <c r="J2017" s="98">
        <v>22</v>
      </c>
      <c r="K2017" s="89">
        <f t="shared" si="85"/>
        <v>1</v>
      </c>
      <c r="L2017" s="89">
        <v>10811.25</v>
      </c>
      <c r="M2017" s="89">
        <v>3019.9</v>
      </c>
      <c r="N2017" s="89">
        <v>1012.4</v>
      </c>
      <c r="O2017" s="89">
        <f t="shared" si="86"/>
        <v>14843.55</v>
      </c>
    </row>
    <row r="2018" spans="1:15">
      <c r="A2018" s="74" t="s">
        <v>309</v>
      </c>
      <c r="B2018" s="74" t="s">
        <v>226</v>
      </c>
      <c r="C2018" s="74" t="s">
        <v>227</v>
      </c>
      <c r="D2018" s="88" t="s">
        <v>82</v>
      </c>
      <c r="E2018" s="74" t="s">
        <v>83</v>
      </c>
      <c r="F2018" s="86" t="s">
        <v>208</v>
      </c>
      <c r="G2018" s="74" t="s">
        <v>209</v>
      </c>
      <c r="H2018" s="87">
        <v>44681</v>
      </c>
      <c r="I2018" s="98">
        <v>22</v>
      </c>
      <c r="J2018" s="98">
        <v>22</v>
      </c>
      <c r="K2018" s="89">
        <f t="shared" si="85"/>
        <v>1</v>
      </c>
      <c r="L2018" s="89">
        <v>9659.08</v>
      </c>
      <c r="M2018" s="89">
        <v>3234.32</v>
      </c>
      <c r="N2018" s="89">
        <v>941.5</v>
      </c>
      <c r="O2018" s="89">
        <f t="shared" si="86"/>
        <v>13834.9</v>
      </c>
    </row>
    <row r="2019" spans="1:15">
      <c r="A2019" s="74" t="s">
        <v>309</v>
      </c>
      <c r="B2019" s="74" t="s">
        <v>228</v>
      </c>
      <c r="C2019" s="74" t="s">
        <v>229</v>
      </c>
      <c r="D2019" s="88" t="s">
        <v>82</v>
      </c>
      <c r="E2019" s="74" t="s">
        <v>83</v>
      </c>
      <c r="F2019" s="86" t="s">
        <v>116</v>
      </c>
      <c r="G2019" s="74" t="s">
        <v>209</v>
      </c>
      <c r="H2019" s="87">
        <v>44681</v>
      </c>
      <c r="I2019" s="98">
        <v>22</v>
      </c>
      <c r="J2019" s="98">
        <v>22</v>
      </c>
      <c r="K2019" s="89">
        <f t="shared" si="85"/>
        <v>1</v>
      </c>
      <c r="L2019" s="89">
        <v>8436.66</v>
      </c>
      <c r="M2019" s="89">
        <v>3001.53</v>
      </c>
      <c r="N2019" s="89">
        <v>833.34</v>
      </c>
      <c r="O2019" s="89">
        <f t="shared" si="86"/>
        <v>12271.53</v>
      </c>
    </row>
    <row r="2020" spans="1:15">
      <c r="A2020" s="74" t="s">
        <v>309</v>
      </c>
      <c r="B2020" s="74" t="s">
        <v>230</v>
      </c>
      <c r="C2020" s="74" t="s">
        <v>231</v>
      </c>
      <c r="D2020" s="88" t="s">
        <v>82</v>
      </c>
      <c r="E2020" s="74" t="s">
        <v>83</v>
      </c>
      <c r="F2020" s="86" t="s">
        <v>120</v>
      </c>
      <c r="G2020" s="74" t="s">
        <v>209</v>
      </c>
      <c r="H2020" s="87">
        <v>44681</v>
      </c>
      <c r="I2020" s="98">
        <v>22</v>
      </c>
      <c r="J2020" s="98">
        <v>22</v>
      </c>
      <c r="K2020" s="89">
        <f t="shared" si="85"/>
        <v>1</v>
      </c>
      <c r="L2020" s="89">
        <v>7175.56</v>
      </c>
      <c r="M2020" s="89">
        <v>3077.42</v>
      </c>
      <c r="N2020" s="89">
        <v>736.04</v>
      </c>
      <c r="O2020" s="89">
        <f t="shared" si="86"/>
        <v>10989.02</v>
      </c>
    </row>
    <row r="2021" spans="1:15">
      <c r="A2021" s="74" t="s">
        <v>309</v>
      </c>
      <c r="B2021" s="74" t="s">
        <v>232</v>
      </c>
      <c r="C2021" s="74" t="s">
        <v>233</v>
      </c>
      <c r="D2021" s="88" t="s">
        <v>82</v>
      </c>
      <c r="E2021" s="74" t="s">
        <v>83</v>
      </c>
      <c r="F2021" s="86" t="s">
        <v>123</v>
      </c>
      <c r="G2021" s="74" t="s">
        <v>209</v>
      </c>
      <c r="H2021" s="87">
        <v>44681</v>
      </c>
      <c r="I2021" s="98">
        <v>22</v>
      </c>
      <c r="J2021" s="98">
        <v>22</v>
      </c>
      <c r="K2021" s="89">
        <f t="shared" si="85"/>
        <v>1</v>
      </c>
      <c r="L2021" s="89">
        <v>6003.84</v>
      </c>
      <c r="M2021" s="89">
        <v>3038.49</v>
      </c>
      <c r="N2021" s="89">
        <v>600.94</v>
      </c>
      <c r="O2021" s="89">
        <f t="shared" si="86"/>
        <v>9643.27</v>
      </c>
    </row>
    <row r="2022" spans="1:15">
      <c r="A2022" s="74" t="s">
        <v>309</v>
      </c>
      <c r="B2022" s="74" t="s">
        <v>234</v>
      </c>
      <c r="C2022" s="74" t="s">
        <v>235</v>
      </c>
      <c r="D2022" s="88" t="s">
        <v>82</v>
      </c>
      <c r="E2022" s="74" t="s">
        <v>83</v>
      </c>
      <c r="F2022" s="86" t="s">
        <v>116</v>
      </c>
      <c r="G2022" s="74" t="s">
        <v>209</v>
      </c>
      <c r="H2022" s="87">
        <v>44681</v>
      </c>
      <c r="I2022" s="98">
        <v>22</v>
      </c>
      <c r="J2022" s="98">
        <v>22</v>
      </c>
      <c r="K2022" s="89">
        <f t="shared" si="85"/>
        <v>1</v>
      </c>
      <c r="L2022" s="89">
        <v>8562.89</v>
      </c>
      <c r="M2022" s="89">
        <v>3287.4</v>
      </c>
      <c r="N2022" s="89">
        <v>828.64</v>
      </c>
      <c r="O2022" s="89">
        <f t="shared" si="86"/>
        <v>12678.93</v>
      </c>
    </row>
    <row r="2023" spans="1:15">
      <c r="A2023" s="74" t="s">
        <v>309</v>
      </c>
      <c r="B2023" s="74" t="s">
        <v>236</v>
      </c>
      <c r="C2023" s="74" t="s">
        <v>237</v>
      </c>
      <c r="D2023" s="88" t="s">
        <v>82</v>
      </c>
      <c r="E2023" s="74" t="s">
        <v>83</v>
      </c>
      <c r="F2023" s="86" t="s">
        <v>120</v>
      </c>
      <c r="G2023" s="74" t="s">
        <v>209</v>
      </c>
      <c r="H2023" s="87">
        <v>44681</v>
      </c>
      <c r="I2023" s="98">
        <v>22</v>
      </c>
      <c r="J2023" s="98">
        <v>22</v>
      </c>
      <c r="K2023" s="89">
        <f t="shared" si="85"/>
        <v>1</v>
      </c>
      <c r="L2023" s="89">
        <v>7360.63</v>
      </c>
      <c r="M2023" s="89">
        <v>3055.92</v>
      </c>
      <c r="N2023" s="89">
        <v>704.4</v>
      </c>
      <c r="O2023" s="89">
        <f t="shared" si="86"/>
        <v>11120.95</v>
      </c>
    </row>
    <row r="2024" spans="1:15">
      <c r="A2024" s="74" t="s">
        <v>309</v>
      </c>
      <c r="B2024" s="74" t="s">
        <v>238</v>
      </c>
      <c r="C2024" s="74" t="s">
        <v>239</v>
      </c>
      <c r="D2024" s="74" t="s">
        <v>86</v>
      </c>
      <c r="E2024" s="74" t="s">
        <v>87</v>
      </c>
      <c r="F2024" s="86" t="s">
        <v>204</v>
      </c>
      <c r="G2024" s="74" t="s">
        <v>240</v>
      </c>
      <c r="H2024" s="87">
        <v>44681</v>
      </c>
      <c r="I2024" s="98">
        <v>22</v>
      </c>
      <c r="J2024" s="98">
        <v>22</v>
      </c>
      <c r="K2024" s="89">
        <f t="shared" si="85"/>
        <v>1</v>
      </c>
      <c r="L2024" s="89">
        <v>15408.16</v>
      </c>
      <c r="M2024" s="89">
        <v>3067.86</v>
      </c>
      <c r="N2024" s="89">
        <v>1834.99</v>
      </c>
      <c r="O2024" s="89">
        <f t="shared" si="86"/>
        <v>20311.01</v>
      </c>
    </row>
    <row r="2025" spans="1:15">
      <c r="A2025" s="74" t="s">
        <v>309</v>
      </c>
      <c r="B2025" s="74" t="s">
        <v>241</v>
      </c>
      <c r="C2025" s="74" t="s">
        <v>242</v>
      </c>
      <c r="D2025" s="74" t="s">
        <v>86</v>
      </c>
      <c r="E2025" s="74" t="s">
        <v>87</v>
      </c>
      <c r="F2025" s="86" t="s">
        <v>243</v>
      </c>
      <c r="G2025" s="74" t="s">
        <v>244</v>
      </c>
      <c r="H2025" s="87">
        <v>44681</v>
      </c>
      <c r="I2025" s="98">
        <v>22</v>
      </c>
      <c r="J2025" s="98">
        <v>22</v>
      </c>
      <c r="K2025" s="89">
        <f t="shared" si="85"/>
        <v>1</v>
      </c>
      <c r="L2025" s="89">
        <v>10689.27</v>
      </c>
      <c r="M2025" s="89">
        <v>3166.42</v>
      </c>
      <c r="N2025" s="89">
        <v>1321.32</v>
      </c>
      <c r="O2025" s="89">
        <f t="shared" si="86"/>
        <v>15177.01</v>
      </c>
    </row>
    <row r="2026" spans="1:15">
      <c r="A2026" s="74" t="s">
        <v>309</v>
      </c>
      <c r="B2026" s="74" t="s">
        <v>245</v>
      </c>
      <c r="C2026" s="74" t="s">
        <v>246</v>
      </c>
      <c r="D2026" s="74" t="s">
        <v>86</v>
      </c>
      <c r="E2026" s="74" t="s">
        <v>87</v>
      </c>
      <c r="F2026" s="86" t="s">
        <v>247</v>
      </c>
      <c r="G2026" s="74" t="s">
        <v>248</v>
      </c>
      <c r="H2026" s="87">
        <v>44681</v>
      </c>
      <c r="I2026" s="98">
        <v>22</v>
      </c>
      <c r="J2026" s="98">
        <v>22</v>
      </c>
      <c r="K2026" s="89">
        <f t="shared" si="85"/>
        <v>1</v>
      </c>
      <c r="L2026" s="89">
        <v>10501.78</v>
      </c>
      <c r="M2026" s="89">
        <v>3042.66</v>
      </c>
      <c r="N2026" s="89">
        <v>1244.1</v>
      </c>
      <c r="O2026" s="89">
        <f t="shared" si="86"/>
        <v>14788.54</v>
      </c>
    </row>
    <row r="2027" spans="1:15">
      <c r="A2027" s="74" t="s">
        <v>309</v>
      </c>
      <c r="B2027" s="74" t="s">
        <v>249</v>
      </c>
      <c r="C2027" s="74" t="s">
        <v>250</v>
      </c>
      <c r="D2027" s="74" t="s">
        <v>86</v>
      </c>
      <c r="E2027" s="74" t="s">
        <v>87</v>
      </c>
      <c r="F2027" s="86" t="s">
        <v>251</v>
      </c>
      <c r="G2027" s="74" t="s">
        <v>252</v>
      </c>
      <c r="H2027" s="87">
        <v>44681</v>
      </c>
      <c r="I2027" s="98">
        <v>22</v>
      </c>
      <c r="J2027" s="98">
        <v>22</v>
      </c>
      <c r="K2027" s="89">
        <f t="shared" si="85"/>
        <v>1</v>
      </c>
      <c r="L2027" s="89">
        <v>9059.27</v>
      </c>
      <c r="M2027" s="89">
        <v>3265.17</v>
      </c>
      <c r="N2027" s="89">
        <v>1206.27</v>
      </c>
      <c r="O2027" s="89">
        <f t="shared" si="86"/>
        <v>13530.71</v>
      </c>
    </row>
    <row r="2028" spans="1:15">
      <c r="A2028" s="74" t="s">
        <v>309</v>
      </c>
      <c r="B2028" s="74" t="s">
        <v>253</v>
      </c>
      <c r="C2028" s="74" t="s">
        <v>254</v>
      </c>
      <c r="D2028" s="74" t="s">
        <v>86</v>
      </c>
      <c r="E2028" s="74" t="s">
        <v>87</v>
      </c>
      <c r="F2028" s="86" t="s">
        <v>255</v>
      </c>
      <c r="G2028" s="74" t="s">
        <v>252</v>
      </c>
      <c r="H2028" s="87">
        <v>44681</v>
      </c>
      <c r="I2028" s="98">
        <v>22</v>
      </c>
      <c r="J2028" s="98">
        <v>22</v>
      </c>
      <c r="K2028" s="89">
        <f t="shared" si="85"/>
        <v>1</v>
      </c>
      <c r="L2028" s="89">
        <v>8534.66</v>
      </c>
      <c r="M2028" s="89">
        <v>3078.45</v>
      </c>
      <c r="N2028" s="89">
        <v>1095.55</v>
      </c>
      <c r="O2028" s="89">
        <f t="shared" si="86"/>
        <v>12708.66</v>
      </c>
    </row>
    <row r="2029" spans="1:15">
      <c r="A2029" s="74" t="s">
        <v>309</v>
      </c>
      <c r="B2029" s="74" t="s">
        <v>256</v>
      </c>
      <c r="C2029" s="74" t="s">
        <v>257</v>
      </c>
      <c r="D2029" s="74" t="s">
        <v>86</v>
      </c>
      <c r="E2029" s="74" t="s">
        <v>87</v>
      </c>
      <c r="F2029" s="86" t="s">
        <v>258</v>
      </c>
      <c r="G2029" s="74" t="s">
        <v>252</v>
      </c>
      <c r="H2029" s="87">
        <v>44681</v>
      </c>
      <c r="I2029" s="98">
        <v>22</v>
      </c>
      <c r="J2029" s="98">
        <v>22</v>
      </c>
      <c r="K2029" s="89">
        <f t="shared" si="85"/>
        <v>1</v>
      </c>
      <c r="L2029" s="89">
        <v>7732.8</v>
      </c>
      <c r="M2029" s="89">
        <v>3135.44</v>
      </c>
      <c r="N2029" s="89">
        <v>936.73</v>
      </c>
      <c r="O2029" s="89">
        <f t="shared" si="86"/>
        <v>11804.97</v>
      </c>
    </row>
    <row r="2030" spans="1:15">
      <c r="A2030" s="74" t="s">
        <v>309</v>
      </c>
      <c r="B2030" s="74" t="s">
        <v>259</v>
      </c>
      <c r="C2030" s="74" t="s">
        <v>260</v>
      </c>
      <c r="D2030" s="74" t="s">
        <v>86</v>
      </c>
      <c r="E2030" s="74" t="s">
        <v>87</v>
      </c>
      <c r="F2030" s="86" t="s">
        <v>261</v>
      </c>
      <c r="G2030" s="74" t="s">
        <v>262</v>
      </c>
      <c r="H2030" s="87">
        <v>44681</v>
      </c>
      <c r="I2030" s="98">
        <v>22</v>
      </c>
      <c r="J2030" s="98">
        <v>22</v>
      </c>
      <c r="K2030" s="89">
        <f t="shared" si="85"/>
        <v>1</v>
      </c>
      <c r="L2030" s="89">
        <v>6871.96</v>
      </c>
      <c r="M2030" s="89">
        <v>3087.98</v>
      </c>
      <c r="N2030" s="89">
        <v>836.54</v>
      </c>
      <c r="O2030" s="89">
        <f t="shared" si="86"/>
        <v>10796.48</v>
      </c>
    </row>
    <row r="2031" spans="1:15">
      <c r="A2031" s="74" t="s">
        <v>309</v>
      </c>
      <c r="B2031" s="74" t="s">
        <v>263</v>
      </c>
      <c r="C2031" s="74" t="s">
        <v>264</v>
      </c>
      <c r="D2031" s="74" t="s">
        <v>86</v>
      </c>
      <c r="E2031" s="74" t="s">
        <v>88</v>
      </c>
      <c r="F2031" s="86" t="s">
        <v>149</v>
      </c>
      <c r="G2031" s="74" t="s">
        <v>265</v>
      </c>
      <c r="H2031" s="87">
        <v>44681</v>
      </c>
      <c r="I2031" s="98">
        <v>22</v>
      </c>
      <c r="J2031" s="98">
        <v>22</v>
      </c>
      <c r="K2031" s="89">
        <f t="shared" si="85"/>
        <v>1</v>
      </c>
      <c r="L2031" s="89">
        <v>13948.1</v>
      </c>
      <c r="M2031" s="89">
        <v>3219.62</v>
      </c>
      <c r="N2031" s="89">
        <v>1719.17</v>
      </c>
      <c r="O2031" s="89">
        <f t="shared" si="86"/>
        <v>18886.89</v>
      </c>
    </row>
    <row r="2032" spans="1:15">
      <c r="A2032" s="74" t="s">
        <v>309</v>
      </c>
      <c r="B2032" s="74" t="s">
        <v>266</v>
      </c>
      <c r="C2032" s="74" t="s">
        <v>267</v>
      </c>
      <c r="D2032" s="74" t="s">
        <v>86</v>
      </c>
      <c r="E2032" s="74" t="s">
        <v>88</v>
      </c>
      <c r="F2032" s="86" t="s">
        <v>243</v>
      </c>
      <c r="G2032" s="74" t="s">
        <v>268</v>
      </c>
      <c r="H2032" s="87">
        <v>44681</v>
      </c>
      <c r="I2032" s="98">
        <v>22</v>
      </c>
      <c r="J2032" s="98">
        <v>22</v>
      </c>
      <c r="K2032" s="89">
        <f t="shared" si="85"/>
        <v>1</v>
      </c>
      <c r="L2032" s="89">
        <v>11331.05</v>
      </c>
      <c r="M2032" s="89">
        <v>3084.02</v>
      </c>
      <c r="N2032" s="89">
        <v>1307.24</v>
      </c>
      <c r="O2032" s="89">
        <f t="shared" si="86"/>
        <v>15722.31</v>
      </c>
    </row>
    <row r="2033" spans="1:15">
      <c r="A2033" s="74" t="s">
        <v>309</v>
      </c>
      <c r="B2033" s="74" t="s">
        <v>269</v>
      </c>
      <c r="C2033" s="74" t="s">
        <v>270</v>
      </c>
      <c r="D2033" s="74" t="s">
        <v>86</v>
      </c>
      <c r="E2033" s="74" t="s">
        <v>88</v>
      </c>
      <c r="F2033" s="86" t="s">
        <v>247</v>
      </c>
      <c r="G2033" s="74" t="s">
        <v>268</v>
      </c>
      <c r="H2033" s="87">
        <v>44681</v>
      </c>
      <c r="I2033" s="98">
        <v>22</v>
      </c>
      <c r="J2033" s="98">
        <v>22</v>
      </c>
      <c r="K2033" s="89">
        <f t="shared" si="85"/>
        <v>1</v>
      </c>
      <c r="L2033" s="89">
        <v>9698.17</v>
      </c>
      <c r="M2033" s="89">
        <v>3221.15</v>
      </c>
      <c r="N2033" s="89">
        <v>1314.14</v>
      </c>
      <c r="O2033" s="89">
        <f t="shared" si="86"/>
        <v>14233.46</v>
      </c>
    </row>
    <row r="2034" spans="1:15">
      <c r="A2034" s="74" t="s">
        <v>309</v>
      </c>
      <c r="B2034" s="74" t="s">
        <v>271</v>
      </c>
      <c r="C2034" s="74" t="s">
        <v>272</v>
      </c>
      <c r="D2034" s="74" t="s">
        <v>86</v>
      </c>
      <c r="E2034" s="74" t="s">
        <v>88</v>
      </c>
      <c r="F2034" s="86" t="s">
        <v>251</v>
      </c>
      <c r="G2034" s="74" t="s">
        <v>268</v>
      </c>
      <c r="H2034" s="87">
        <v>44681</v>
      </c>
      <c r="I2034" s="98">
        <v>22</v>
      </c>
      <c r="J2034" s="98">
        <v>22</v>
      </c>
      <c r="K2034" s="89">
        <f t="shared" si="85"/>
        <v>1</v>
      </c>
      <c r="L2034" s="89">
        <v>9214.66</v>
      </c>
      <c r="M2034" s="89">
        <v>3214.7</v>
      </c>
      <c r="N2034" s="89">
        <v>1201.72</v>
      </c>
      <c r="O2034" s="89">
        <f t="shared" si="86"/>
        <v>13631.08</v>
      </c>
    </row>
    <row r="2035" spans="1:15">
      <c r="A2035" s="74" t="s">
        <v>309</v>
      </c>
      <c r="B2035" s="74" t="s">
        <v>273</v>
      </c>
      <c r="C2035" s="74" t="s">
        <v>274</v>
      </c>
      <c r="D2035" s="74" t="s">
        <v>86</v>
      </c>
      <c r="E2035" s="74" t="s">
        <v>88</v>
      </c>
      <c r="F2035" s="86" t="s">
        <v>255</v>
      </c>
      <c r="G2035" s="74" t="s">
        <v>268</v>
      </c>
      <c r="H2035" s="87">
        <v>44681</v>
      </c>
      <c r="I2035" s="98">
        <v>22</v>
      </c>
      <c r="J2035" s="98">
        <v>22</v>
      </c>
      <c r="K2035" s="89">
        <f t="shared" si="85"/>
        <v>1</v>
      </c>
      <c r="L2035" s="89">
        <v>8436.58</v>
      </c>
      <c r="M2035" s="89">
        <v>3093.43</v>
      </c>
      <c r="N2035" s="89">
        <v>1029.63</v>
      </c>
      <c r="O2035" s="89">
        <f t="shared" si="86"/>
        <v>12559.64</v>
      </c>
    </row>
    <row r="2036" spans="1:15">
      <c r="A2036" s="74" t="s">
        <v>309</v>
      </c>
      <c r="B2036" s="74" t="s">
        <v>275</v>
      </c>
      <c r="C2036" s="74" t="s">
        <v>276</v>
      </c>
      <c r="D2036" s="74" t="s">
        <v>86</v>
      </c>
      <c r="E2036" s="74" t="s">
        <v>88</v>
      </c>
      <c r="F2036" s="86" t="s">
        <v>258</v>
      </c>
      <c r="G2036" s="74" t="s">
        <v>268</v>
      </c>
      <c r="H2036" s="87">
        <v>44681</v>
      </c>
      <c r="I2036" s="98">
        <v>22</v>
      </c>
      <c r="J2036" s="98">
        <v>22</v>
      </c>
      <c r="K2036" s="89">
        <f t="shared" si="85"/>
        <v>1</v>
      </c>
      <c r="L2036" s="89">
        <v>7707.38</v>
      </c>
      <c r="M2036" s="89">
        <v>3136.45</v>
      </c>
      <c r="N2036" s="89">
        <v>962.47</v>
      </c>
      <c r="O2036" s="89">
        <f t="shared" si="86"/>
        <v>11806.3</v>
      </c>
    </row>
    <row r="2037" spans="1:15">
      <c r="A2037" s="74" t="s">
        <v>309</v>
      </c>
      <c r="B2037" s="74" t="s">
        <v>277</v>
      </c>
      <c r="C2037" s="74" t="s">
        <v>278</v>
      </c>
      <c r="D2037" s="74" t="s">
        <v>86</v>
      </c>
      <c r="E2037" s="74" t="s">
        <v>89</v>
      </c>
      <c r="F2037" s="86" t="s">
        <v>279</v>
      </c>
      <c r="G2037" s="74" t="s">
        <v>280</v>
      </c>
      <c r="H2037" s="87">
        <v>44681</v>
      </c>
      <c r="I2037" s="98">
        <v>22</v>
      </c>
      <c r="J2037" s="98">
        <v>22</v>
      </c>
      <c r="K2037" s="89">
        <f t="shared" si="85"/>
        <v>1</v>
      </c>
      <c r="L2037" s="89">
        <v>12897.94</v>
      </c>
      <c r="M2037" s="89">
        <v>3036.44</v>
      </c>
      <c r="N2037" s="89">
        <v>1640.22</v>
      </c>
      <c r="O2037" s="89">
        <f t="shared" si="86"/>
        <v>17574.6</v>
      </c>
    </row>
    <row r="2038" spans="1:15">
      <c r="A2038" s="74" t="s">
        <v>309</v>
      </c>
      <c r="B2038" s="74" t="s">
        <v>281</v>
      </c>
      <c r="C2038" s="74" t="s">
        <v>282</v>
      </c>
      <c r="D2038" s="74" t="s">
        <v>86</v>
      </c>
      <c r="E2038" s="74" t="s">
        <v>89</v>
      </c>
      <c r="F2038" s="86" t="s">
        <v>225</v>
      </c>
      <c r="G2038" s="74" t="s">
        <v>283</v>
      </c>
      <c r="H2038" s="87">
        <v>44681</v>
      </c>
      <c r="I2038" s="98">
        <v>22</v>
      </c>
      <c r="J2038" s="98">
        <v>22</v>
      </c>
      <c r="K2038" s="89">
        <f t="shared" si="85"/>
        <v>1</v>
      </c>
      <c r="L2038" s="89">
        <v>8291.69</v>
      </c>
      <c r="M2038" s="89">
        <v>3266.47</v>
      </c>
      <c r="N2038" s="89">
        <v>1092.98</v>
      </c>
      <c r="O2038" s="89">
        <f t="shared" si="86"/>
        <v>12651.14</v>
      </c>
    </row>
    <row r="2039" spans="1:15">
      <c r="A2039" s="74" t="s">
        <v>309</v>
      </c>
      <c r="B2039" s="74" t="s">
        <v>284</v>
      </c>
      <c r="C2039" s="74" t="s">
        <v>285</v>
      </c>
      <c r="D2039" s="74" t="s">
        <v>86</v>
      </c>
      <c r="E2039" s="74" t="s">
        <v>89</v>
      </c>
      <c r="F2039" s="86" t="s">
        <v>208</v>
      </c>
      <c r="G2039" s="74" t="s">
        <v>283</v>
      </c>
      <c r="H2039" s="87">
        <v>44681</v>
      </c>
      <c r="I2039" s="98">
        <v>22</v>
      </c>
      <c r="J2039" s="98">
        <v>22</v>
      </c>
      <c r="K2039" s="89">
        <f t="shared" si="85"/>
        <v>1</v>
      </c>
      <c r="L2039" s="89">
        <v>7419.3</v>
      </c>
      <c r="M2039" s="89">
        <v>3239.5</v>
      </c>
      <c r="N2039" s="89">
        <v>950.82</v>
      </c>
      <c r="O2039" s="89">
        <f t="shared" si="86"/>
        <v>11609.62</v>
      </c>
    </row>
    <row r="2040" spans="1:15">
      <c r="A2040" s="74" t="s">
        <v>309</v>
      </c>
      <c r="B2040" s="74" t="s">
        <v>286</v>
      </c>
      <c r="C2040" s="74" t="s">
        <v>287</v>
      </c>
      <c r="D2040" s="74" t="s">
        <v>82</v>
      </c>
      <c r="E2040" s="88" t="s">
        <v>85</v>
      </c>
      <c r="F2040" s="86" t="s">
        <v>288</v>
      </c>
      <c r="G2040" s="74" t="s">
        <v>289</v>
      </c>
      <c r="H2040" s="87">
        <v>44681</v>
      </c>
      <c r="I2040" s="98">
        <v>22</v>
      </c>
      <c r="J2040" s="98">
        <v>22</v>
      </c>
      <c r="K2040" s="89">
        <f t="shared" ref="K2040:K2048" si="87">I2040/J2040</f>
        <v>1</v>
      </c>
      <c r="L2040" s="89">
        <v>12549.21</v>
      </c>
      <c r="M2040" s="89">
        <v>3017.75</v>
      </c>
      <c r="N2040" s="89">
        <v>1213.54</v>
      </c>
      <c r="O2040" s="89">
        <f t="shared" si="86"/>
        <v>16780.5</v>
      </c>
    </row>
    <row r="2041" spans="1:15">
      <c r="A2041" s="74" t="s">
        <v>309</v>
      </c>
      <c r="B2041" s="74" t="s">
        <v>290</v>
      </c>
      <c r="C2041" s="74" t="s">
        <v>291</v>
      </c>
      <c r="D2041" s="74" t="s">
        <v>82</v>
      </c>
      <c r="E2041" s="88" t="s">
        <v>85</v>
      </c>
      <c r="F2041" s="86" t="s">
        <v>218</v>
      </c>
      <c r="G2041" s="74" t="s">
        <v>289</v>
      </c>
      <c r="H2041" s="87">
        <v>44681</v>
      </c>
      <c r="I2041" s="98">
        <v>22</v>
      </c>
      <c r="J2041" s="98">
        <v>22</v>
      </c>
      <c r="K2041" s="89">
        <f t="shared" si="87"/>
        <v>1</v>
      </c>
      <c r="L2041" s="89">
        <v>11412.91</v>
      </c>
      <c r="M2041" s="89">
        <v>3174.22</v>
      </c>
      <c r="N2041" s="89">
        <v>1184.91</v>
      </c>
      <c r="O2041" s="89">
        <f t="shared" si="86"/>
        <v>15772.04</v>
      </c>
    </row>
    <row r="2042" spans="1:15">
      <c r="A2042" s="74" t="s">
        <v>309</v>
      </c>
      <c r="B2042" s="74" t="s">
        <v>292</v>
      </c>
      <c r="C2042" s="74" t="s">
        <v>293</v>
      </c>
      <c r="D2042" s="74" t="s">
        <v>82</v>
      </c>
      <c r="E2042" s="88" t="s">
        <v>85</v>
      </c>
      <c r="F2042" s="86" t="s">
        <v>225</v>
      </c>
      <c r="G2042" s="74" t="s">
        <v>289</v>
      </c>
      <c r="H2042" s="87">
        <v>44681</v>
      </c>
      <c r="I2042" s="98">
        <v>22</v>
      </c>
      <c r="J2042" s="98">
        <v>22</v>
      </c>
      <c r="K2042" s="89">
        <f t="shared" si="87"/>
        <v>1</v>
      </c>
      <c r="L2042" s="89">
        <v>10740.75</v>
      </c>
      <c r="M2042" s="89">
        <v>3189.31</v>
      </c>
      <c r="N2042" s="89">
        <v>1071.91</v>
      </c>
      <c r="O2042" s="89">
        <f t="shared" si="86"/>
        <v>15001.97</v>
      </c>
    </row>
    <row r="2043" spans="1:15">
      <c r="A2043" s="74" t="s">
        <v>309</v>
      </c>
      <c r="B2043" s="74" t="s">
        <v>294</v>
      </c>
      <c r="C2043" s="74" t="s">
        <v>295</v>
      </c>
      <c r="D2043" s="74" t="s">
        <v>82</v>
      </c>
      <c r="E2043" s="88" t="s">
        <v>85</v>
      </c>
      <c r="F2043" s="86" t="s">
        <v>208</v>
      </c>
      <c r="G2043" s="74" t="s">
        <v>289</v>
      </c>
      <c r="H2043" s="87">
        <v>44681</v>
      </c>
      <c r="I2043" s="98">
        <v>22</v>
      </c>
      <c r="J2043" s="98">
        <v>22</v>
      </c>
      <c r="K2043" s="89">
        <f t="shared" si="87"/>
        <v>1</v>
      </c>
      <c r="L2043" s="89">
        <v>9635.16</v>
      </c>
      <c r="M2043" s="89">
        <v>3288.9</v>
      </c>
      <c r="N2043" s="89">
        <v>959.77</v>
      </c>
      <c r="O2043" s="89">
        <f t="shared" si="86"/>
        <v>13883.83</v>
      </c>
    </row>
    <row r="2044" spans="1:15">
      <c r="A2044" s="74" t="s">
        <v>309</v>
      </c>
      <c r="B2044" s="74" t="s">
        <v>296</v>
      </c>
      <c r="C2044" s="74" t="s">
        <v>297</v>
      </c>
      <c r="D2044" s="74" t="s">
        <v>82</v>
      </c>
      <c r="E2044" s="88" t="s">
        <v>85</v>
      </c>
      <c r="F2044" s="86" t="s">
        <v>116</v>
      </c>
      <c r="G2044" s="74" t="s">
        <v>289</v>
      </c>
      <c r="H2044" s="87">
        <v>44681</v>
      </c>
      <c r="I2044" s="98">
        <v>22</v>
      </c>
      <c r="J2044" s="98">
        <v>22</v>
      </c>
      <c r="K2044" s="89">
        <f t="shared" si="87"/>
        <v>1</v>
      </c>
      <c r="L2044" s="89">
        <v>8212</v>
      </c>
      <c r="M2044" s="89">
        <v>3245.61</v>
      </c>
      <c r="N2044" s="89">
        <v>852.97</v>
      </c>
      <c r="O2044" s="89">
        <f t="shared" si="86"/>
        <v>12310.58</v>
      </c>
    </row>
    <row r="2045" spans="1:15">
      <c r="A2045" s="74" t="s">
        <v>309</v>
      </c>
      <c r="B2045" s="74" t="s">
        <v>298</v>
      </c>
      <c r="C2045" s="74" t="s">
        <v>299</v>
      </c>
      <c r="D2045" s="74" t="s">
        <v>82</v>
      </c>
      <c r="E2045" s="88" t="s">
        <v>85</v>
      </c>
      <c r="F2045" s="86" t="s">
        <v>279</v>
      </c>
      <c r="G2045" s="74" t="s">
        <v>300</v>
      </c>
      <c r="H2045" s="87">
        <v>44681</v>
      </c>
      <c r="I2045" s="98">
        <v>22</v>
      </c>
      <c r="J2045" s="98">
        <v>22</v>
      </c>
      <c r="K2045" s="89">
        <f t="shared" si="87"/>
        <v>1</v>
      </c>
      <c r="L2045" s="89">
        <v>15484.33</v>
      </c>
      <c r="M2045" s="89">
        <v>3262.12</v>
      </c>
      <c r="N2045" s="89">
        <v>1524.9</v>
      </c>
      <c r="O2045" s="89">
        <f t="shared" si="86"/>
        <v>20271.35</v>
      </c>
    </row>
    <row r="2046" spans="1:15">
      <c r="A2046" s="74" t="s">
        <v>309</v>
      </c>
      <c r="B2046" s="74" t="s">
        <v>301</v>
      </c>
      <c r="C2046" s="74" t="s">
        <v>302</v>
      </c>
      <c r="D2046" s="74" t="s">
        <v>82</v>
      </c>
      <c r="E2046" s="88" t="s">
        <v>85</v>
      </c>
      <c r="F2046" s="86" t="s">
        <v>279</v>
      </c>
      <c r="G2046" s="74" t="s">
        <v>303</v>
      </c>
      <c r="H2046" s="87">
        <v>44681</v>
      </c>
      <c r="I2046" s="98">
        <v>22</v>
      </c>
      <c r="J2046" s="98">
        <v>22</v>
      </c>
      <c r="K2046" s="89">
        <f t="shared" si="87"/>
        <v>1</v>
      </c>
      <c r="L2046" s="89">
        <v>15821.42</v>
      </c>
      <c r="M2046" s="89">
        <v>3268.47</v>
      </c>
      <c r="N2046" s="89">
        <v>1540.29</v>
      </c>
      <c r="O2046" s="89">
        <f t="shared" si="86"/>
        <v>20630.18</v>
      </c>
    </row>
    <row r="2047" spans="1:15">
      <c r="A2047" s="74" t="s">
        <v>309</v>
      </c>
      <c r="B2047" s="74" t="s">
        <v>304</v>
      </c>
      <c r="C2047" s="74" t="s">
        <v>305</v>
      </c>
      <c r="D2047" s="74" t="s">
        <v>86</v>
      </c>
      <c r="E2047" s="74" t="s">
        <v>90</v>
      </c>
      <c r="F2047" s="86" t="s">
        <v>306</v>
      </c>
      <c r="G2047" s="74" t="s">
        <v>307</v>
      </c>
      <c r="H2047" s="87">
        <v>44681</v>
      </c>
      <c r="I2047" s="98">
        <v>22</v>
      </c>
      <c r="J2047" s="98">
        <v>22</v>
      </c>
      <c r="K2047" s="89">
        <f t="shared" si="87"/>
        <v>1</v>
      </c>
      <c r="L2047" s="89">
        <v>16477.9</v>
      </c>
      <c r="M2047" s="89">
        <v>3229.4</v>
      </c>
      <c r="N2047" s="89">
        <v>2139.94</v>
      </c>
      <c r="O2047" s="89">
        <f t="shared" si="86"/>
        <v>21847.24</v>
      </c>
    </row>
    <row r="2048" spans="1:15">
      <c r="A2048" s="74" t="s">
        <v>309</v>
      </c>
      <c r="B2048" s="74" t="s">
        <v>114</v>
      </c>
      <c r="C2048" s="74" t="s">
        <v>115</v>
      </c>
      <c r="D2048" s="74" t="s">
        <v>79</v>
      </c>
      <c r="E2048" s="74" t="s">
        <v>80</v>
      </c>
      <c r="F2048" s="86" t="s">
        <v>116</v>
      </c>
      <c r="G2048" s="74" t="s">
        <v>117</v>
      </c>
      <c r="H2048" s="87">
        <v>44711</v>
      </c>
      <c r="I2048" s="98">
        <v>22</v>
      </c>
      <c r="J2048" s="98">
        <v>22</v>
      </c>
      <c r="K2048" s="89">
        <f t="shared" si="87"/>
        <v>1</v>
      </c>
      <c r="L2048" s="89">
        <v>8076.9</v>
      </c>
      <c r="M2048" s="89">
        <v>3278.98</v>
      </c>
      <c r="N2048" s="89">
        <v>813.42</v>
      </c>
      <c r="O2048" s="89">
        <f t="shared" si="86"/>
        <v>12169.3</v>
      </c>
    </row>
    <row r="2049" spans="1:15">
      <c r="A2049" s="74" t="s">
        <v>309</v>
      </c>
      <c r="B2049" s="74" t="s">
        <v>118</v>
      </c>
      <c r="C2049" s="74" t="s">
        <v>119</v>
      </c>
      <c r="D2049" s="74" t="s">
        <v>79</v>
      </c>
      <c r="E2049" s="74" t="s">
        <v>80</v>
      </c>
      <c r="F2049" s="86" t="s">
        <v>120</v>
      </c>
      <c r="G2049" s="74" t="s">
        <v>117</v>
      </c>
      <c r="H2049" s="87">
        <v>44711</v>
      </c>
      <c r="I2049" s="98">
        <v>22</v>
      </c>
      <c r="J2049" s="98">
        <v>22</v>
      </c>
      <c r="K2049" s="89">
        <f t="shared" ref="K2049:K2112" si="88">I2049/J2049</f>
        <v>1</v>
      </c>
      <c r="L2049" s="89">
        <v>7689.24</v>
      </c>
      <c r="M2049" s="89">
        <v>3254.71</v>
      </c>
      <c r="N2049" s="89">
        <v>744.99</v>
      </c>
      <c r="O2049" s="89">
        <f t="shared" si="86"/>
        <v>11688.94</v>
      </c>
    </row>
    <row r="2050" spans="1:15">
      <c r="A2050" s="74" t="s">
        <v>309</v>
      </c>
      <c r="B2050" s="74" t="s">
        <v>121</v>
      </c>
      <c r="C2050" s="74" t="s">
        <v>122</v>
      </c>
      <c r="D2050" s="74" t="s">
        <v>79</v>
      </c>
      <c r="E2050" s="74" t="s">
        <v>80</v>
      </c>
      <c r="F2050" s="86" t="s">
        <v>123</v>
      </c>
      <c r="G2050" s="74" t="s">
        <v>117</v>
      </c>
      <c r="H2050" s="87">
        <v>44711</v>
      </c>
      <c r="I2050" s="98">
        <v>22</v>
      </c>
      <c r="J2050" s="98">
        <v>22</v>
      </c>
      <c r="K2050" s="89">
        <f t="shared" si="88"/>
        <v>1</v>
      </c>
      <c r="L2050" s="89">
        <v>6370.55</v>
      </c>
      <c r="M2050" s="89">
        <v>3100.5</v>
      </c>
      <c r="N2050" s="89">
        <v>644.55</v>
      </c>
      <c r="O2050" s="89">
        <f t="shared" si="86"/>
        <v>10115.6</v>
      </c>
    </row>
    <row r="2051" spans="1:15">
      <c r="A2051" s="74" t="s">
        <v>309</v>
      </c>
      <c r="B2051" s="74" t="s">
        <v>124</v>
      </c>
      <c r="C2051" s="74" t="s">
        <v>125</v>
      </c>
      <c r="D2051" s="74" t="s">
        <v>79</v>
      </c>
      <c r="E2051" s="74" t="s">
        <v>80</v>
      </c>
      <c r="F2051" s="86" t="s">
        <v>116</v>
      </c>
      <c r="G2051" s="74" t="s">
        <v>117</v>
      </c>
      <c r="H2051" s="87">
        <v>44711</v>
      </c>
      <c r="I2051" s="98">
        <v>22</v>
      </c>
      <c r="J2051" s="98">
        <v>22</v>
      </c>
      <c r="K2051" s="89">
        <f t="shared" si="88"/>
        <v>1</v>
      </c>
      <c r="L2051" s="89">
        <v>8158.79</v>
      </c>
      <c r="M2051" s="89">
        <v>3061.57</v>
      </c>
      <c r="N2051" s="89">
        <v>860.65</v>
      </c>
      <c r="O2051" s="89">
        <f t="shared" si="86"/>
        <v>12081.01</v>
      </c>
    </row>
    <row r="2052" spans="1:15">
      <c r="A2052" s="74" t="s">
        <v>309</v>
      </c>
      <c r="B2052" s="74" t="s">
        <v>126</v>
      </c>
      <c r="C2052" s="74" t="s">
        <v>127</v>
      </c>
      <c r="D2052" s="74" t="s">
        <v>79</v>
      </c>
      <c r="E2052" s="74" t="s">
        <v>80</v>
      </c>
      <c r="F2052" s="86" t="s">
        <v>120</v>
      </c>
      <c r="G2052" s="74" t="s">
        <v>117</v>
      </c>
      <c r="H2052" s="87">
        <v>44711</v>
      </c>
      <c r="I2052" s="98">
        <v>22</v>
      </c>
      <c r="J2052" s="98">
        <v>22</v>
      </c>
      <c r="K2052" s="89">
        <f t="shared" si="88"/>
        <v>1</v>
      </c>
      <c r="L2052" s="89">
        <v>7432.59</v>
      </c>
      <c r="M2052" s="89">
        <v>3077.13</v>
      </c>
      <c r="N2052" s="89">
        <v>702.47</v>
      </c>
      <c r="O2052" s="89">
        <f t="shared" si="86"/>
        <v>11212.19</v>
      </c>
    </row>
    <row r="2053" spans="1:15">
      <c r="A2053" s="74" t="s">
        <v>309</v>
      </c>
      <c r="B2053" s="74" t="s">
        <v>128</v>
      </c>
      <c r="C2053" s="74" t="s">
        <v>129</v>
      </c>
      <c r="D2053" s="74" t="s">
        <v>79</v>
      </c>
      <c r="E2053" s="74" t="s">
        <v>80</v>
      </c>
      <c r="F2053" s="86" t="s">
        <v>123</v>
      </c>
      <c r="G2053" s="74" t="s">
        <v>117</v>
      </c>
      <c r="H2053" s="87">
        <v>44711</v>
      </c>
      <c r="I2053" s="98">
        <v>22</v>
      </c>
      <c r="J2053" s="98">
        <v>22</v>
      </c>
      <c r="K2053" s="89">
        <f t="shared" si="88"/>
        <v>1</v>
      </c>
      <c r="L2053" s="89">
        <v>6053.22</v>
      </c>
      <c r="M2053" s="89">
        <v>3293.89</v>
      </c>
      <c r="N2053" s="89">
        <v>625.34</v>
      </c>
      <c r="O2053" s="89">
        <f t="shared" ref="O2053:O2116" si="89">SUM(L2053:N2053)</f>
        <v>9972.45</v>
      </c>
    </row>
    <row r="2054" spans="1:15">
      <c r="A2054" s="74" t="s">
        <v>309</v>
      </c>
      <c r="B2054" s="74" t="s">
        <v>130</v>
      </c>
      <c r="C2054" s="74" t="s">
        <v>131</v>
      </c>
      <c r="D2054" s="74" t="s">
        <v>79</v>
      </c>
      <c r="E2054" s="74" t="s">
        <v>80</v>
      </c>
      <c r="F2054" s="86" t="s">
        <v>116</v>
      </c>
      <c r="G2054" s="74" t="s">
        <v>117</v>
      </c>
      <c r="H2054" s="87">
        <v>44711</v>
      </c>
      <c r="I2054" s="98">
        <v>22</v>
      </c>
      <c r="J2054" s="98">
        <v>22</v>
      </c>
      <c r="K2054" s="89">
        <f t="shared" si="88"/>
        <v>1</v>
      </c>
      <c r="L2054" s="89">
        <v>8068.72</v>
      </c>
      <c r="M2054" s="89">
        <v>3060.95</v>
      </c>
      <c r="N2054" s="89">
        <v>863.16</v>
      </c>
      <c r="O2054" s="89">
        <f t="shared" si="89"/>
        <v>11992.83</v>
      </c>
    </row>
    <row r="2055" spans="1:15">
      <c r="A2055" s="74" t="s">
        <v>309</v>
      </c>
      <c r="B2055" s="74" t="s">
        <v>132</v>
      </c>
      <c r="C2055" s="74" t="s">
        <v>133</v>
      </c>
      <c r="D2055" s="74" t="s">
        <v>79</v>
      </c>
      <c r="E2055" s="74" t="s">
        <v>80</v>
      </c>
      <c r="F2055" s="86" t="s">
        <v>120</v>
      </c>
      <c r="G2055" s="74" t="s">
        <v>117</v>
      </c>
      <c r="H2055" s="87">
        <v>44711</v>
      </c>
      <c r="I2055" s="98">
        <v>22</v>
      </c>
      <c r="J2055" s="98">
        <v>22</v>
      </c>
      <c r="K2055" s="89">
        <f t="shared" si="88"/>
        <v>1</v>
      </c>
      <c r="L2055" s="89">
        <v>7251.1</v>
      </c>
      <c r="M2055" s="89">
        <v>3270.13</v>
      </c>
      <c r="N2055" s="89">
        <v>724.94</v>
      </c>
      <c r="O2055" s="89">
        <f t="shared" si="89"/>
        <v>11246.17</v>
      </c>
    </row>
    <row r="2056" spans="1:15">
      <c r="A2056" s="74" t="s">
        <v>309</v>
      </c>
      <c r="B2056" s="74" t="s">
        <v>134</v>
      </c>
      <c r="C2056" s="74" t="s">
        <v>135</v>
      </c>
      <c r="D2056" s="74" t="s">
        <v>79</v>
      </c>
      <c r="E2056" s="74" t="s">
        <v>80</v>
      </c>
      <c r="F2056" s="86" t="s">
        <v>123</v>
      </c>
      <c r="G2056" s="74" t="s">
        <v>117</v>
      </c>
      <c r="H2056" s="87">
        <v>44711</v>
      </c>
      <c r="I2056" s="98">
        <v>22</v>
      </c>
      <c r="J2056" s="98">
        <v>22</v>
      </c>
      <c r="K2056" s="89">
        <f t="shared" si="88"/>
        <v>1</v>
      </c>
      <c r="L2056" s="89">
        <v>6341.27</v>
      </c>
      <c r="M2056" s="89">
        <v>3117.43</v>
      </c>
      <c r="N2056" s="89">
        <v>630.45</v>
      </c>
      <c r="O2056" s="89">
        <f t="shared" si="89"/>
        <v>10089.15</v>
      </c>
    </row>
    <row r="2057" spans="1:15">
      <c r="A2057" s="74" t="s">
        <v>309</v>
      </c>
      <c r="B2057" s="74" t="s">
        <v>136</v>
      </c>
      <c r="C2057" s="74" t="s">
        <v>137</v>
      </c>
      <c r="D2057" s="74" t="s">
        <v>79</v>
      </c>
      <c r="E2057" s="74" t="s">
        <v>80</v>
      </c>
      <c r="F2057" s="86" t="s">
        <v>116</v>
      </c>
      <c r="G2057" s="74" t="s">
        <v>138</v>
      </c>
      <c r="H2057" s="87">
        <v>44711</v>
      </c>
      <c r="I2057" s="98">
        <v>22</v>
      </c>
      <c r="J2057" s="98">
        <v>22</v>
      </c>
      <c r="K2057" s="89">
        <f t="shared" si="88"/>
        <v>1</v>
      </c>
      <c r="L2057" s="89">
        <v>8138.96</v>
      </c>
      <c r="M2057" s="89">
        <v>3292.39</v>
      </c>
      <c r="N2057" s="89">
        <v>804.62</v>
      </c>
      <c r="O2057" s="89">
        <f t="shared" si="89"/>
        <v>12235.97</v>
      </c>
    </row>
    <row r="2058" spans="1:15">
      <c r="A2058" s="74" t="s">
        <v>309</v>
      </c>
      <c r="B2058" s="74" t="s">
        <v>139</v>
      </c>
      <c r="C2058" s="74" t="s">
        <v>140</v>
      </c>
      <c r="D2058" s="74" t="s">
        <v>79</v>
      </c>
      <c r="E2058" s="74" t="s">
        <v>80</v>
      </c>
      <c r="F2058" s="86" t="s">
        <v>120</v>
      </c>
      <c r="G2058" s="74" t="s">
        <v>138</v>
      </c>
      <c r="H2058" s="87">
        <v>44711</v>
      </c>
      <c r="I2058" s="98">
        <v>22</v>
      </c>
      <c r="J2058" s="98">
        <v>22</v>
      </c>
      <c r="K2058" s="89">
        <f t="shared" si="88"/>
        <v>1</v>
      </c>
      <c r="L2058" s="89">
        <v>7602.34</v>
      </c>
      <c r="M2058" s="89">
        <v>3167.51</v>
      </c>
      <c r="N2058" s="89">
        <v>754.29</v>
      </c>
      <c r="O2058" s="89">
        <f t="shared" si="89"/>
        <v>11524.14</v>
      </c>
    </row>
    <row r="2059" spans="1:15">
      <c r="A2059" s="74" t="s">
        <v>309</v>
      </c>
      <c r="B2059" s="74" t="s">
        <v>141</v>
      </c>
      <c r="C2059" s="74" t="s">
        <v>142</v>
      </c>
      <c r="D2059" s="74" t="s">
        <v>79</v>
      </c>
      <c r="E2059" s="74" t="s">
        <v>80</v>
      </c>
      <c r="F2059" s="86" t="s">
        <v>123</v>
      </c>
      <c r="G2059" s="74" t="s">
        <v>138</v>
      </c>
      <c r="H2059" s="87">
        <v>44711</v>
      </c>
      <c r="I2059" s="98">
        <v>22</v>
      </c>
      <c r="J2059" s="98">
        <v>22</v>
      </c>
      <c r="K2059" s="89">
        <f t="shared" si="88"/>
        <v>1</v>
      </c>
      <c r="L2059" s="89">
        <v>6261.02</v>
      </c>
      <c r="M2059" s="89">
        <v>3205.18</v>
      </c>
      <c r="N2059" s="89">
        <v>618.91</v>
      </c>
      <c r="O2059" s="89">
        <f t="shared" si="89"/>
        <v>10085.11</v>
      </c>
    </row>
    <row r="2060" spans="1:15">
      <c r="A2060" s="74" t="s">
        <v>309</v>
      </c>
      <c r="B2060" s="74" t="s">
        <v>143</v>
      </c>
      <c r="C2060" s="74" t="s">
        <v>144</v>
      </c>
      <c r="D2060" s="74" t="s">
        <v>79</v>
      </c>
      <c r="E2060" s="74" t="s">
        <v>80</v>
      </c>
      <c r="F2060" s="86" t="s">
        <v>145</v>
      </c>
      <c r="G2060" s="74" t="s">
        <v>146</v>
      </c>
      <c r="H2060" s="87">
        <v>44711</v>
      </c>
      <c r="I2060" s="98">
        <v>22</v>
      </c>
      <c r="J2060" s="98">
        <v>22</v>
      </c>
      <c r="K2060" s="89">
        <f t="shared" si="88"/>
        <v>1</v>
      </c>
      <c r="L2060" s="89">
        <v>20788.23</v>
      </c>
      <c r="M2060" s="89">
        <v>3153.6</v>
      </c>
      <c r="N2060" s="89">
        <v>1908.4</v>
      </c>
      <c r="O2060" s="89">
        <f t="shared" si="89"/>
        <v>25850.23</v>
      </c>
    </row>
    <row r="2061" spans="1:15">
      <c r="A2061" s="74" t="s">
        <v>309</v>
      </c>
      <c r="B2061" s="74" t="s">
        <v>147</v>
      </c>
      <c r="C2061" s="74" t="s">
        <v>148</v>
      </c>
      <c r="D2061" s="74" t="s">
        <v>79</v>
      </c>
      <c r="E2061" s="74" t="s">
        <v>80</v>
      </c>
      <c r="F2061" s="86" t="s">
        <v>149</v>
      </c>
      <c r="G2061" s="74" t="s">
        <v>150</v>
      </c>
      <c r="H2061" s="87">
        <v>44711</v>
      </c>
      <c r="I2061" s="98">
        <v>22</v>
      </c>
      <c r="J2061" s="98">
        <v>22</v>
      </c>
      <c r="K2061" s="89">
        <f t="shared" si="88"/>
        <v>1</v>
      </c>
      <c r="L2061" s="89">
        <v>18475.77</v>
      </c>
      <c r="M2061" s="89">
        <v>3274.19</v>
      </c>
      <c r="N2061" s="89">
        <v>1855.77</v>
      </c>
      <c r="O2061" s="89">
        <f t="shared" si="89"/>
        <v>23605.73</v>
      </c>
    </row>
    <row r="2062" spans="1:15">
      <c r="A2062" s="74" t="s">
        <v>309</v>
      </c>
      <c r="B2062" s="74" t="s">
        <v>151</v>
      </c>
      <c r="C2062" s="74" t="s">
        <v>152</v>
      </c>
      <c r="D2062" s="74" t="s">
        <v>79</v>
      </c>
      <c r="E2062" s="74" t="s">
        <v>81</v>
      </c>
      <c r="F2062" s="86" t="s">
        <v>123</v>
      </c>
      <c r="G2062" s="74" t="s">
        <v>153</v>
      </c>
      <c r="H2062" s="87">
        <v>44711</v>
      </c>
      <c r="I2062" s="98">
        <v>22</v>
      </c>
      <c r="J2062" s="98">
        <v>22</v>
      </c>
      <c r="K2062" s="89">
        <f t="shared" si="88"/>
        <v>1</v>
      </c>
      <c r="L2062" s="89">
        <v>6084.45</v>
      </c>
      <c r="M2062" s="89">
        <v>3022.83</v>
      </c>
      <c r="N2062" s="89">
        <v>628.91</v>
      </c>
      <c r="O2062" s="89">
        <f t="shared" si="89"/>
        <v>9736.19</v>
      </c>
    </row>
    <row r="2063" spans="1:15">
      <c r="A2063" s="74" t="s">
        <v>309</v>
      </c>
      <c r="B2063" s="74" t="s">
        <v>154</v>
      </c>
      <c r="C2063" s="74" t="s">
        <v>155</v>
      </c>
      <c r="D2063" s="74" t="s">
        <v>79</v>
      </c>
      <c r="E2063" s="74" t="s">
        <v>81</v>
      </c>
      <c r="F2063" s="86" t="s">
        <v>156</v>
      </c>
      <c r="G2063" s="74" t="s">
        <v>157</v>
      </c>
      <c r="H2063" s="87">
        <v>44711</v>
      </c>
      <c r="I2063" s="98">
        <v>22</v>
      </c>
      <c r="J2063" s="98">
        <v>22</v>
      </c>
      <c r="K2063" s="89">
        <f t="shared" si="88"/>
        <v>1</v>
      </c>
      <c r="L2063" s="89">
        <v>5197.56</v>
      </c>
      <c r="M2063" s="89">
        <v>3032.09</v>
      </c>
      <c r="N2063" s="89">
        <v>543.3</v>
      </c>
      <c r="O2063" s="89">
        <f t="shared" si="89"/>
        <v>8772.95</v>
      </c>
    </row>
    <row r="2064" spans="1:15">
      <c r="A2064" s="74" t="s">
        <v>309</v>
      </c>
      <c r="B2064" s="74" t="s">
        <v>158</v>
      </c>
      <c r="C2064" s="74" t="s">
        <v>159</v>
      </c>
      <c r="D2064" s="74" t="s">
        <v>79</v>
      </c>
      <c r="E2064" s="74" t="s">
        <v>81</v>
      </c>
      <c r="F2064" s="86" t="s">
        <v>160</v>
      </c>
      <c r="G2064" s="74" t="s">
        <v>161</v>
      </c>
      <c r="H2064" s="87">
        <v>44711</v>
      </c>
      <c r="I2064" s="98">
        <v>22</v>
      </c>
      <c r="J2064" s="98">
        <v>22</v>
      </c>
      <c r="K2064" s="89">
        <f t="shared" si="88"/>
        <v>1</v>
      </c>
      <c r="L2064" s="89">
        <v>4097.87</v>
      </c>
      <c r="M2064" s="89">
        <v>3254.46</v>
      </c>
      <c r="N2064" s="89">
        <v>437.98</v>
      </c>
      <c r="O2064" s="89">
        <f t="shared" si="89"/>
        <v>7790.31</v>
      </c>
    </row>
    <row r="2065" spans="1:15">
      <c r="A2065" s="74" t="s">
        <v>309</v>
      </c>
      <c r="B2065" s="74" t="s">
        <v>162</v>
      </c>
      <c r="C2065" s="74" t="s">
        <v>163</v>
      </c>
      <c r="D2065" s="74" t="s">
        <v>79</v>
      </c>
      <c r="E2065" s="74" t="s">
        <v>81</v>
      </c>
      <c r="F2065" s="86" t="s">
        <v>123</v>
      </c>
      <c r="G2065" s="74" t="s">
        <v>153</v>
      </c>
      <c r="H2065" s="87">
        <v>44711</v>
      </c>
      <c r="I2065" s="98">
        <v>22</v>
      </c>
      <c r="J2065" s="98">
        <v>22</v>
      </c>
      <c r="K2065" s="89">
        <f t="shared" si="88"/>
        <v>1</v>
      </c>
      <c r="L2065" s="89">
        <v>6339.28</v>
      </c>
      <c r="M2065" s="89">
        <v>3031.66</v>
      </c>
      <c r="N2065" s="89">
        <v>655.91</v>
      </c>
      <c r="O2065" s="89">
        <f t="shared" si="89"/>
        <v>10026.85</v>
      </c>
    </row>
    <row r="2066" spans="1:15">
      <c r="A2066" s="74" t="s">
        <v>309</v>
      </c>
      <c r="B2066" s="74" t="s">
        <v>164</v>
      </c>
      <c r="C2066" s="74" t="s">
        <v>165</v>
      </c>
      <c r="D2066" s="74" t="s">
        <v>79</v>
      </c>
      <c r="E2066" s="74" t="s">
        <v>81</v>
      </c>
      <c r="F2066" s="86" t="s">
        <v>156</v>
      </c>
      <c r="G2066" s="74" t="s">
        <v>157</v>
      </c>
      <c r="H2066" s="87">
        <v>44711</v>
      </c>
      <c r="I2066" s="98">
        <v>22</v>
      </c>
      <c r="J2066" s="98">
        <v>22</v>
      </c>
      <c r="K2066" s="89">
        <f t="shared" si="88"/>
        <v>1</v>
      </c>
      <c r="L2066" s="89">
        <v>5482.38</v>
      </c>
      <c r="M2066" s="89">
        <v>3176.92</v>
      </c>
      <c r="N2066" s="89">
        <v>548.29</v>
      </c>
      <c r="O2066" s="89">
        <f t="shared" si="89"/>
        <v>9207.59</v>
      </c>
    </row>
    <row r="2067" spans="1:15">
      <c r="A2067" s="74" t="s">
        <v>309</v>
      </c>
      <c r="B2067" s="74" t="s">
        <v>166</v>
      </c>
      <c r="C2067" s="74" t="s">
        <v>167</v>
      </c>
      <c r="D2067" s="74" t="s">
        <v>79</v>
      </c>
      <c r="E2067" s="74" t="s">
        <v>81</v>
      </c>
      <c r="F2067" s="86" t="s">
        <v>160</v>
      </c>
      <c r="G2067" s="74" t="s">
        <v>161</v>
      </c>
      <c r="H2067" s="87">
        <v>44711</v>
      </c>
      <c r="I2067" s="98">
        <v>22</v>
      </c>
      <c r="J2067" s="98">
        <v>22</v>
      </c>
      <c r="K2067" s="89">
        <f t="shared" si="88"/>
        <v>1</v>
      </c>
      <c r="L2067" s="89">
        <v>4146.54</v>
      </c>
      <c r="M2067" s="89">
        <v>3004.95</v>
      </c>
      <c r="N2067" s="89">
        <v>438.85</v>
      </c>
      <c r="O2067" s="89">
        <f t="shared" si="89"/>
        <v>7590.34</v>
      </c>
    </row>
    <row r="2068" spans="1:15">
      <c r="A2068" s="74" t="s">
        <v>309</v>
      </c>
      <c r="B2068" s="74" t="s">
        <v>168</v>
      </c>
      <c r="C2068" s="74" t="s">
        <v>169</v>
      </c>
      <c r="D2068" s="74" t="s">
        <v>79</v>
      </c>
      <c r="E2068" s="74" t="s">
        <v>81</v>
      </c>
      <c r="F2068" s="86" t="s">
        <v>123</v>
      </c>
      <c r="G2068" s="74" t="s">
        <v>153</v>
      </c>
      <c r="H2068" s="87">
        <v>44711</v>
      </c>
      <c r="I2068" s="98">
        <v>22</v>
      </c>
      <c r="J2068" s="98">
        <v>22</v>
      </c>
      <c r="K2068" s="89">
        <f t="shared" si="88"/>
        <v>1</v>
      </c>
      <c r="L2068" s="89">
        <v>6275.3</v>
      </c>
      <c r="M2068" s="89">
        <v>3129.17</v>
      </c>
      <c r="N2068" s="89">
        <v>614.39</v>
      </c>
      <c r="O2068" s="89">
        <f t="shared" si="89"/>
        <v>10018.86</v>
      </c>
    </row>
    <row r="2069" spans="1:15">
      <c r="A2069" s="74" t="s">
        <v>309</v>
      </c>
      <c r="B2069" s="74" t="s">
        <v>170</v>
      </c>
      <c r="C2069" s="74" t="s">
        <v>171</v>
      </c>
      <c r="D2069" s="74" t="s">
        <v>79</v>
      </c>
      <c r="E2069" s="74" t="s">
        <v>81</v>
      </c>
      <c r="F2069" s="86" t="s">
        <v>156</v>
      </c>
      <c r="G2069" s="74" t="s">
        <v>157</v>
      </c>
      <c r="H2069" s="87">
        <v>44711</v>
      </c>
      <c r="I2069" s="98">
        <v>22</v>
      </c>
      <c r="J2069" s="98">
        <v>22</v>
      </c>
      <c r="K2069" s="89">
        <f t="shared" si="88"/>
        <v>1</v>
      </c>
      <c r="L2069" s="89">
        <v>5000.84</v>
      </c>
      <c r="M2069" s="89">
        <v>3110.34</v>
      </c>
      <c r="N2069" s="89">
        <v>500.8</v>
      </c>
      <c r="O2069" s="89">
        <f t="shared" si="89"/>
        <v>8611.98</v>
      </c>
    </row>
    <row r="2070" spans="1:15">
      <c r="A2070" s="74" t="s">
        <v>309</v>
      </c>
      <c r="B2070" s="74" t="s">
        <v>172</v>
      </c>
      <c r="C2070" s="74" t="s">
        <v>173</v>
      </c>
      <c r="D2070" s="74" t="s">
        <v>79</v>
      </c>
      <c r="E2070" s="74" t="s">
        <v>81</v>
      </c>
      <c r="F2070" s="86" t="s">
        <v>160</v>
      </c>
      <c r="G2070" s="74" t="s">
        <v>161</v>
      </c>
      <c r="H2070" s="87">
        <v>44711</v>
      </c>
      <c r="I2070" s="98">
        <v>22</v>
      </c>
      <c r="J2070" s="98">
        <v>22</v>
      </c>
      <c r="K2070" s="89">
        <f t="shared" si="88"/>
        <v>1</v>
      </c>
      <c r="L2070" s="89">
        <v>4330.58</v>
      </c>
      <c r="M2070" s="89">
        <v>3140.27</v>
      </c>
      <c r="N2070" s="89">
        <v>409.01</v>
      </c>
      <c r="O2070" s="89">
        <f t="shared" si="89"/>
        <v>7879.86</v>
      </c>
    </row>
    <row r="2071" spans="1:15">
      <c r="A2071" s="74" t="s">
        <v>309</v>
      </c>
      <c r="B2071" s="74" t="s">
        <v>174</v>
      </c>
      <c r="C2071" s="74" t="s">
        <v>175</v>
      </c>
      <c r="D2071" s="74" t="s">
        <v>79</v>
      </c>
      <c r="E2071" s="74" t="s">
        <v>81</v>
      </c>
      <c r="F2071" s="86" t="s">
        <v>176</v>
      </c>
      <c r="G2071" s="74" t="s">
        <v>177</v>
      </c>
      <c r="H2071" s="87">
        <v>44711</v>
      </c>
      <c r="I2071" s="98">
        <v>22</v>
      </c>
      <c r="J2071" s="98">
        <v>22</v>
      </c>
      <c r="K2071" s="89">
        <f t="shared" si="88"/>
        <v>1</v>
      </c>
      <c r="L2071" s="89">
        <v>3081.36</v>
      </c>
      <c r="M2071" s="89">
        <v>3023.43</v>
      </c>
      <c r="N2071" s="89">
        <v>319.68</v>
      </c>
      <c r="O2071" s="89">
        <f t="shared" si="89"/>
        <v>6424.47</v>
      </c>
    </row>
    <row r="2072" spans="1:15">
      <c r="A2072" s="74" t="s">
        <v>309</v>
      </c>
      <c r="B2072" s="74" t="s">
        <v>178</v>
      </c>
      <c r="C2072" s="74" t="s">
        <v>179</v>
      </c>
      <c r="D2072" s="74" t="s">
        <v>79</v>
      </c>
      <c r="E2072" s="74" t="s">
        <v>81</v>
      </c>
      <c r="F2072" s="86" t="s">
        <v>180</v>
      </c>
      <c r="G2072" s="74" t="s">
        <v>177</v>
      </c>
      <c r="H2072" s="87">
        <v>44711</v>
      </c>
      <c r="I2072" s="98">
        <v>22</v>
      </c>
      <c r="J2072" s="98">
        <v>22</v>
      </c>
      <c r="K2072" s="89">
        <f t="shared" si="88"/>
        <v>1</v>
      </c>
      <c r="L2072" s="89">
        <v>2105.17</v>
      </c>
      <c r="M2072" s="89">
        <v>3058.29</v>
      </c>
      <c r="N2072" s="89">
        <v>203.04</v>
      </c>
      <c r="O2072" s="89">
        <f t="shared" si="89"/>
        <v>5366.5</v>
      </c>
    </row>
    <row r="2073" spans="1:15">
      <c r="A2073" s="74" t="s">
        <v>309</v>
      </c>
      <c r="B2073" s="74" t="s">
        <v>181</v>
      </c>
      <c r="C2073" s="74" t="s">
        <v>182</v>
      </c>
      <c r="D2073" s="74" t="s">
        <v>79</v>
      </c>
      <c r="E2073" s="74" t="s">
        <v>81</v>
      </c>
      <c r="F2073" s="86" t="s">
        <v>183</v>
      </c>
      <c r="G2073" s="74" t="s">
        <v>177</v>
      </c>
      <c r="H2073" s="87">
        <v>44711</v>
      </c>
      <c r="I2073" s="98">
        <v>22</v>
      </c>
      <c r="J2073" s="98">
        <v>22</v>
      </c>
      <c r="K2073" s="89">
        <f t="shared" si="88"/>
        <v>1</v>
      </c>
      <c r="L2073" s="89">
        <v>1068.17</v>
      </c>
      <c r="M2073" s="89">
        <v>3284.88</v>
      </c>
      <c r="N2073" s="89">
        <v>106.94</v>
      </c>
      <c r="O2073" s="89">
        <f t="shared" si="89"/>
        <v>4459.99</v>
      </c>
    </row>
    <row r="2074" spans="1:15">
      <c r="A2074" s="74" t="s">
        <v>309</v>
      </c>
      <c r="B2074" s="74" t="s">
        <v>184</v>
      </c>
      <c r="C2074" s="74" t="s">
        <v>185</v>
      </c>
      <c r="D2074" s="74" t="s">
        <v>79</v>
      </c>
      <c r="E2074" s="74" t="s">
        <v>81</v>
      </c>
      <c r="F2074" s="86" t="s">
        <v>176</v>
      </c>
      <c r="G2074" s="74" t="s">
        <v>177</v>
      </c>
      <c r="H2074" s="87">
        <v>44711</v>
      </c>
      <c r="I2074" s="98">
        <v>22</v>
      </c>
      <c r="J2074" s="98">
        <v>22</v>
      </c>
      <c r="K2074" s="89">
        <f t="shared" si="88"/>
        <v>1</v>
      </c>
      <c r="L2074" s="89">
        <v>3055.19</v>
      </c>
      <c r="M2074" s="89">
        <v>3265.11</v>
      </c>
      <c r="N2074" s="89">
        <v>304.06</v>
      </c>
      <c r="O2074" s="89">
        <f t="shared" si="89"/>
        <v>6624.36</v>
      </c>
    </row>
    <row r="2075" spans="1:15">
      <c r="A2075" s="74" t="s">
        <v>309</v>
      </c>
      <c r="B2075" s="74" t="s">
        <v>186</v>
      </c>
      <c r="C2075" s="74" t="s">
        <v>187</v>
      </c>
      <c r="D2075" s="74" t="s">
        <v>79</v>
      </c>
      <c r="E2075" s="74" t="s">
        <v>81</v>
      </c>
      <c r="F2075" s="86" t="s">
        <v>180</v>
      </c>
      <c r="G2075" s="74" t="s">
        <v>177</v>
      </c>
      <c r="H2075" s="87">
        <v>44711</v>
      </c>
      <c r="I2075" s="98">
        <v>22</v>
      </c>
      <c r="J2075" s="98">
        <v>22</v>
      </c>
      <c r="K2075" s="89">
        <f t="shared" si="88"/>
        <v>1</v>
      </c>
      <c r="L2075" s="89">
        <v>2054.82</v>
      </c>
      <c r="M2075" s="89">
        <v>3209.23</v>
      </c>
      <c r="N2075" s="89">
        <v>200.77</v>
      </c>
      <c r="O2075" s="89">
        <f t="shared" si="89"/>
        <v>5464.82</v>
      </c>
    </row>
    <row r="2076" spans="1:15">
      <c r="A2076" s="74" t="s">
        <v>309</v>
      </c>
      <c r="B2076" s="74" t="s">
        <v>188</v>
      </c>
      <c r="C2076" s="74" t="s">
        <v>189</v>
      </c>
      <c r="D2076" s="74" t="s">
        <v>79</v>
      </c>
      <c r="E2076" s="74" t="s">
        <v>81</v>
      </c>
      <c r="F2076" s="86" t="s">
        <v>183</v>
      </c>
      <c r="G2076" s="74" t="s">
        <v>177</v>
      </c>
      <c r="H2076" s="87">
        <v>44711</v>
      </c>
      <c r="I2076" s="98">
        <v>22</v>
      </c>
      <c r="J2076" s="98">
        <v>22</v>
      </c>
      <c r="K2076" s="89">
        <f t="shared" si="88"/>
        <v>1</v>
      </c>
      <c r="L2076" s="89">
        <v>1071.18</v>
      </c>
      <c r="M2076" s="89">
        <v>3090.69</v>
      </c>
      <c r="N2076" s="89">
        <v>109.12</v>
      </c>
      <c r="O2076" s="89">
        <f t="shared" si="89"/>
        <v>4270.99</v>
      </c>
    </row>
    <row r="2077" spans="1:15">
      <c r="A2077" s="74" t="s">
        <v>309</v>
      </c>
      <c r="B2077" s="74" t="s">
        <v>190</v>
      </c>
      <c r="C2077" s="74" t="s">
        <v>191</v>
      </c>
      <c r="D2077" s="74" t="s">
        <v>79</v>
      </c>
      <c r="E2077" s="74" t="s">
        <v>81</v>
      </c>
      <c r="F2077" s="86" t="s">
        <v>176</v>
      </c>
      <c r="G2077" s="74" t="s">
        <v>177</v>
      </c>
      <c r="H2077" s="87">
        <v>44711</v>
      </c>
      <c r="I2077" s="98">
        <v>22</v>
      </c>
      <c r="J2077" s="98">
        <v>22</v>
      </c>
      <c r="K2077" s="89">
        <f t="shared" si="88"/>
        <v>1</v>
      </c>
      <c r="L2077" s="89">
        <v>3175.63</v>
      </c>
      <c r="M2077" s="89">
        <v>3109.6</v>
      </c>
      <c r="N2077" s="89">
        <v>326.05</v>
      </c>
      <c r="O2077" s="89">
        <f t="shared" si="89"/>
        <v>6611.28</v>
      </c>
    </row>
    <row r="2078" spans="1:15">
      <c r="A2078" s="74" t="s">
        <v>309</v>
      </c>
      <c r="B2078" s="74" t="s">
        <v>192</v>
      </c>
      <c r="C2078" s="74" t="s">
        <v>193</v>
      </c>
      <c r="D2078" s="74" t="s">
        <v>79</v>
      </c>
      <c r="E2078" s="74" t="s">
        <v>81</v>
      </c>
      <c r="F2078" s="86" t="s">
        <v>180</v>
      </c>
      <c r="G2078" s="74" t="s">
        <v>177</v>
      </c>
      <c r="H2078" s="87">
        <v>44711</v>
      </c>
      <c r="I2078" s="98">
        <v>22</v>
      </c>
      <c r="J2078" s="98">
        <v>22</v>
      </c>
      <c r="K2078" s="89">
        <f t="shared" si="88"/>
        <v>1</v>
      </c>
      <c r="L2078" s="89">
        <v>2047.55</v>
      </c>
      <c r="M2078" s="89">
        <v>3112.56</v>
      </c>
      <c r="N2078" s="89">
        <v>206</v>
      </c>
      <c r="O2078" s="89">
        <f t="shared" si="89"/>
        <v>5366.11</v>
      </c>
    </row>
    <row r="2079" spans="1:15">
      <c r="A2079" s="74" t="s">
        <v>309</v>
      </c>
      <c r="B2079" s="74" t="s">
        <v>194</v>
      </c>
      <c r="C2079" s="74" t="s">
        <v>195</v>
      </c>
      <c r="D2079" s="74" t="s">
        <v>79</v>
      </c>
      <c r="E2079" s="74" t="s">
        <v>81</v>
      </c>
      <c r="F2079" s="86" t="s">
        <v>183</v>
      </c>
      <c r="G2079" s="74" t="s">
        <v>177</v>
      </c>
      <c r="H2079" s="87">
        <v>44711</v>
      </c>
      <c r="I2079" s="98">
        <v>22</v>
      </c>
      <c r="J2079" s="98">
        <v>22</v>
      </c>
      <c r="K2079" s="89">
        <f t="shared" si="88"/>
        <v>1</v>
      </c>
      <c r="L2079" s="89">
        <v>1017.52</v>
      </c>
      <c r="M2079" s="89">
        <v>3224.63</v>
      </c>
      <c r="N2079" s="89">
        <v>107.76</v>
      </c>
      <c r="O2079" s="89">
        <f t="shared" si="89"/>
        <v>4349.91</v>
      </c>
    </row>
    <row r="2080" spans="1:15">
      <c r="A2080" s="74" t="s">
        <v>309</v>
      </c>
      <c r="B2080" s="74" t="s">
        <v>196</v>
      </c>
      <c r="C2080" s="74" t="s">
        <v>197</v>
      </c>
      <c r="D2080" s="74" t="s">
        <v>79</v>
      </c>
      <c r="E2080" s="74" t="s">
        <v>81</v>
      </c>
      <c r="F2080" s="86" t="s">
        <v>176</v>
      </c>
      <c r="G2080" s="74" t="s">
        <v>177</v>
      </c>
      <c r="H2080" s="87">
        <v>44711</v>
      </c>
      <c r="I2080" s="98">
        <v>22</v>
      </c>
      <c r="J2080" s="98">
        <v>22</v>
      </c>
      <c r="K2080" s="89">
        <f t="shared" si="88"/>
        <v>1</v>
      </c>
      <c r="L2080" s="89">
        <v>3291.21</v>
      </c>
      <c r="M2080" s="89">
        <v>3050.03</v>
      </c>
      <c r="N2080" s="89">
        <v>301.61</v>
      </c>
      <c r="O2080" s="89">
        <f t="shared" si="89"/>
        <v>6642.85</v>
      </c>
    </row>
    <row r="2081" spans="1:15">
      <c r="A2081" s="74" t="s">
        <v>309</v>
      </c>
      <c r="B2081" s="74" t="s">
        <v>198</v>
      </c>
      <c r="C2081" s="74" t="s">
        <v>199</v>
      </c>
      <c r="D2081" s="74" t="s">
        <v>79</v>
      </c>
      <c r="E2081" s="74" t="s">
        <v>81</v>
      </c>
      <c r="F2081" s="86" t="s">
        <v>180</v>
      </c>
      <c r="G2081" s="74" t="s">
        <v>177</v>
      </c>
      <c r="H2081" s="87">
        <v>44711</v>
      </c>
      <c r="I2081" s="98">
        <v>22</v>
      </c>
      <c r="J2081" s="98">
        <v>22</v>
      </c>
      <c r="K2081" s="89">
        <f t="shared" si="88"/>
        <v>1</v>
      </c>
      <c r="L2081" s="89">
        <v>2015.37</v>
      </c>
      <c r="M2081" s="89">
        <v>3042.73</v>
      </c>
      <c r="N2081" s="89">
        <v>209.25</v>
      </c>
      <c r="O2081" s="89">
        <f t="shared" si="89"/>
        <v>5267.35</v>
      </c>
    </row>
    <row r="2082" spans="1:15">
      <c r="A2082" s="74" t="s">
        <v>309</v>
      </c>
      <c r="B2082" s="74" t="s">
        <v>200</v>
      </c>
      <c r="C2082" s="74" t="s">
        <v>201</v>
      </c>
      <c r="D2082" s="74" t="s">
        <v>79</v>
      </c>
      <c r="E2082" s="74" t="s">
        <v>81</v>
      </c>
      <c r="F2082" s="86" t="s">
        <v>183</v>
      </c>
      <c r="G2082" s="74" t="s">
        <v>177</v>
      </c>
      <c r="H2082" s="87">
        <v>44711</v>
      </c>
      <c r="I2082" s="98">
        <v>22</v>
      </c>
      <c r="J2082" s="98">
        <v>22</v>
      </c>
      <c r="K2082" s="89">
        <f t="shared" si="88"/>
        <v>1</v>
      </c>
      <c r="L2082" s="89">
        <v>1023.73</v>
      </c>
      <c r="M2082" s="89">
        <v>3109.9</v>
      </c>
      <c r="N2082" s="89">
        <v>106.59</v>
      </c>
      <c r="O2082" s="89">
        <f t="shared" si="89"/>
        <v>4240.22</v>
      </c>
    </row>
    <row r="2083" spans="1:15">
      <c r="A2083" s="74" t="s">
        <v>309</v>
      </c>
      <c r="B2083" s="74" t="s">
        <v>202</v>
      </c>
      <c r="C2083" s="74" t="s">
        <v>203</v>
      </c>
      <c r="D2083" s="74" t="s">
        <v>79</v>
      </c>
      <c r="E2083" s="74" t="s">
        <v>81</v>
      </c>
      <c r="F2083" s="86" t="s">
        <v>204</v>
      </c>
      <c r="G2083" s="74" t="s">
        <v>205</v>
      </c>
      <c r="H2083" s="87">
        <v>44711</v>
      </c>
      <c r="I2083" s="98">
        <v>22</v>
      </c>
      <c r="J2083" s="98">
        <v>22</v>
      </c>
      <c r="K2083" s="89">
        <f t="shared" si="88"/>
        <v>1</v>
      </c>
      <c r="L2083" s="89">
        <v>19460.85</v>
      </c>
      <c r="M2083" s="89">
        <v>3026.52</v>
      </c>
      <c r="N2083" s="89">
        <v>1949.25</v>
      </c>
      <c r="O2083" s="89">
        <f t="shared" si="89"/>
        <v>24436.62</v>
      </c>
    </row>
    <row r="2084" spans="1:15">
      <c r="A2084" s="74" t="s">
        <v>309</v>
      </c>
      <c r="B2084" s="74" t="s">
        <v>206</v>
      </c>
      <c r="C2084" s="74" t="s">
        <v>207</v>
      </c>
      <c r="D2084" s="88" t="s">
        <v>82</v>
      </c>
      <c r="E2084" s="88" t="s">
        <v>84</v>
      </c>
      <c r="F2084" s="86" t="s">
        <v>208</v>
      </c>
      <c r="G2084" s="74" t="s">
        <v>209</v>
      </c>
      <c r="H2084" s="87">
        <v>44711</v>
      </c>
      <c r="I2084" s="98">
        <v>22</v>
      </c>
      <c r="J2084" s="98">
        <v>22</v>
      </c>
      <c r="K2084" s="89">
        <f t="shared" si="88"/>
        <v>1</v>
      </c>
      <c r="L2084" s="89">
        <v>9283.38</v>
      </c>
      <c r="M2084" s="89">
        <v>3042.1</v>
      </c>
      <c r="N2084" s="89">
        <v>928.17</v>
      </c>
      <c r="O2084" s="89">
        <f t="shared" si="89"/>
        <v>13253.65</v>
      </c>
    </row>
    <row r="2085" spans="1:15">
      <c r="A2085" s="74" t="s">
        <v>309</v>
      </c>
      <c r="B2085" s="74" t="s">
        <v>210</v>
      </c>
      <c r="C2085" s="74" t="s">
        <v>211</v>
      </c>
      <c r="D2085" s="88" t="s">
        <v>82</v>
      </c>
      <c r="E2085" s="88" t="s">
        <v>84</v>
      </c>
      <c r="F2085" s="86" t="s">
        <v>116</v>
      </c>
      <c r="G2085" s="74" t="s">
        <v>209</v>
      </c>
      <c r="H2085" s="87">
        <v>44711</v>
      </c>
      <c r="I2085" s="98">
        <v>22</v>
      </c>
      <c r="J2085" s="98">
        <v>22</v>
      </c>
      <c r="K2085" s="89">
        <f t="shared" si="88"/>
        <v>1</v>
      </c>
      <c r="L2085" s="89">
        <v>8736.32</v>
      </c>
      <c r="M2085" s="89">
        <v>3135.79</v>
      </c>
      <c r="N2085" s="89">
        <v>813.84</v>
      </c>
      <c r="O2085" s="89">
        <f t="shared" si="89"/>
        <v>12685.95</v>
      </c>
    </row>
    <row r="2086" spans="1:15">
      <c r="A2086" s="74" t="s">
        <v>309</v>
      </c>
      <c r="B2086" s="74" t="s">
        <v>212</v>
      </c>
      <c r="C2086" s="74" t="s">
        <v>213</v>
      </c>
      <c r="D2086" s="88" t="s">
        <v>82</v>
      </c>
      <c r="E2086" s="88" t="s">
        <v>84</v>
      </c>
      <c r="F2086" s="86" t="s">
        <v>208</v>
      </c>
      <c r="G2086" s="74" t="s">
        <v>209</v>
      </c>
      <c r="H2086" s="87">
        <v>44711</v>
      </c>
      <c r="I2086" s="98">
        <v>22</v>
      </c>
      <c r="J2086" s="98">
        <v>22</v>
      </c>
      <c r="K2086" s="89">
        <f t="shared" si="88"/>
        <v>1</v>
      </c>
      <c r="L2086" s="89">
        <v>9748.77</v>
      </c>
      <c r="M2086" s="89">
        <v>3059.12</v>
      </c>
      <c r="N2086" s="89">
        <v>958.74</v>
      </c>
      <c r="O2086" s="89">
        <f t="shared" si="89"/>
        <v>13766.63</v>
      </c>
    </row>
    <row r="2087" spans="1:15">
      <c r="A2087" s="74" t="s">
        <v>309</v>
      </c>
      <c r="B2087" s="74" t="s">
        <v>214</v>
      </c>
      <c r="C2087" s="74" t="s">
        <v>215</v>
      </c>
      <c r="D2087" s="88" t="s">
        <v>82</v>
      </c>
      <c r="E2087" s="88" t="s">
        <v>84</v>
      </c>
      <c r="F2087" s="86" t="s">
        <v>116</v>
      </c>
      <c r="G2087" s="74" t="s">
        <v>209</v>
      </c>
      <c r="H2087" s="87">
        <v>44711</v>
      </c>
      <c r="I2087" s="98">
        <v>22</v>
      </c>
      <c r="J2087" s="98">
        <v>22</v>
      </c>
      <c r="K2087" s="89">
        <f t="shared" si="88"/>
        <v>1</v>
      </c>
      <c r="L2087" s="89">
        <v>8637.62</v>
      </c>
      <c r="M2087" s="89">
        <v>3187.06</v>
      </c>
      <c r="N2087" s="89">
        <v>820.87</v>
      </c>
      <c r="O2087" s="89">
        <f t="shared" si="89"/>
        <v>12645.55</v>
      </c>
    </row>
    <row r="2088" spans="1:15">
      <c r="A2088" s="74" t="s">
        <v>309</v>
      </c>
      <c r="B2088" s="74" t="s">
        <v>216</v>
      </c>
      <c r="C2088" s="74" t="s">
        <v>217</v>
      </c>
      <c r="D2088" s="88" t="s">
        <v>82</v>
      </c>
      <c r="E2088" s="88" t="s">
        <v>84</v>
      </c>
      <c r="F2088" s="86" t="s">
        <v>218</v>
      </c>
      <c r="G2088" s="74" t="s">
        <v>219</v>
      </c>
      <c r="H2088" s="87">
        <v>44711</v>
      </c>
      <c r="I2088" s="98">
        <v>22</v>
      </c>
      <c r="J2088" s="98">
        <v>22</v>
      </c>
      <c r="K2088" s="89">
        <f t="shared" si="88"/>
        <v>1</v>
      </c>
      <c r="L2088" s="89">
        <v>11908.65</v>
      </c>
      <c r="M2088" s="89">
        <v>3201.88</v>
      </c>
      <c r="N2088" s="89">
        <v>1160.75</v>
      </c>
      <c r="O2088" s="89">
        <f t="shared" si="89"/>
        <v>16271.28</v>
      </c>
    </row>
    <row r="2089" spans="1:15">
      <c r="A2089" s="74" t="s">
        <v>309</v>
      </c>
      <c r="B2089" s="74" t="s">
        <v>220</v>
      </c>
      <c r="C2089" s="74" t="s">
        <v>221</v>
      </c>
      <c r="D2089" s="88" t="s">
        <v>82</v>
      </c>
      <c r="E2089" s="74" t="s">
        <v>83</v>
      </c>
      <c r="F2089" s="86" t="s">
        <v>218</v>
      </c>
      <c r="G2089" s="74" t="s">
        <v>222</v>
      </c>
      <c r="H2089" s="87">
        <v>44711</v>
      </c>
      <c r="I2089" s="98">
        <v>22</v>
      </c>
      <c r="J2089" s="98">
        <v>22</v>
      </c>
      <c r="K2089" s="89">
        <f t="shared" si="88"/>
        <v>1</v>
      </c>
      <c r="L2089" s="89">
        <v>11745.78</v>
      </c>
      <c r="M2089" s="89">
        <v>3009.64</v>
      </c>
      <c r="N2089" s="89">
        <v>1143.38</v>
      </c>
      <c r="O2089" s="89">
        <f t="shared" si="89"/>
        <v>15898.8</v>
      </c>
    </row>
    <row r="2090" spans="1:15">
      <c r="A2090" s="74" t="s">
        <v>309</v>
      </c>
      <c r="B2090" s="74" t="s">
        <v>223</v>
      </c>
      <c r="C2090" s="74" t="s">
        <v>224</v>
      </c>
      <c r="D2090" s="88" t="s">
        <v>82</v>
      </c>
      <c r="E2090" s="74" t="s">
        <v>83</v>
      </c>
      <c r="F2090" s="86" t="s">
        <v>225</v>
      </c>
      <c r="G2090" s="74" t="s">
        <v>209</v>
      </c>
      <c r="H2090" s="87">
        <v>44711</v>
      </c>
      <c r="I2090" s="98">
        <v>22</v>
      </c>
      <c r="J2090" s="98">
        <v>22</v>
      </c>
      <c r="K2090" s="89">
        <f t="shared" si="88"/>
        <v>1</v>
      </c>
      <c r="L2090" s="89">
        <v>10033.46</v>
      </c>
      <c r="M2090" s="89">
        <v>3273.17</v>
      </c>
      <c r="N2090" s="89">
        <v>1078.31</v>
      </c>
      <c r="O2090" s="89">
        <f t="shared" si="89"/>
        <v>14384.94</v>
      </c>
    </row>
    <row r="2091" spans="1:15">
      <c r="A2091" s="74" t="s">
        <v>309</v>
      </c>
      <c r="B2091" s="74" t="s">
        <v>226</v>
      </c>
      <c r="C2091" s="74" t="s">
        <v>227</v>
      </c>
      <c r="D2091" s="88" t="s">
        <v>82</v>
      </c>
      <c r="E2091" s="74" t="s">
        <v>83</v>
      </c>
      <c r="F2091" s="86" t="s">
        <v>208</v>
      </c>
      <c r="G2091" s="74" t="s">
        <v>209</v>
      </c>
      <c r="H2091" s="87">
        <v>44711</v>
      </c>
      <c r="I2091" s="98">
        <v>22</v>
      </c>
      <c r="J2091" s="98">
        <v>22</v>
      </c>
      <c r="K2091" s="89">
        <f t="shared" si="88"/>
        <v>1</v>
      </c>
      <c r="L2091" s="89">
        <v>9256.7</v>
      </c>
      <c r="M2091" s="89">
        <v>3298.01</v>
      </c>
      <c r="N2091" s="89">
        <v>918.34</v>
      </c>
      <c r="O2091" s="89">
        <f t="shared" si="89"/>
        <v>13473.05</v>
      </c>
    </row>
    <row r="2092" spans="1:15">
      <c r="A2092" s="74" t="s">
        <v>309</v>
      </c>
      <c r="B2092" s="74" t="s">
        <v>228</v>
      </c>
      <c r="C2092" s="74" t="s">
        <v>229</v>
      </c>
      <c r="D2092" s="88" t="s">
        <v>82</v>
      </c>
      <c r="E2092" s="74" t="s">
        <v>83</v>
      </c>
      <c r="F2092" s="86" t="s">
        <v>116</v>
      </c>
      <c r="G2092" s="74" t="s">
        <v>209</v>
      </c>
      <c r="H2092" s="87">
        <v>44711</v>
      </c>
      <c r="I2092" s="98">
        <v>22</v>
      </c>
      <c r="J2092" s="98">
        <v>22</v>
      </c>
      <c r="K2092" s="89">
        <f t="shared" si="88"/>
        <v>1</v>
      </c>
      <c r="L2092" s="89">
        <v>8164.6</v>
      </c>
      <c r="M2092" s="89">
        <v>3010.2</v>
      </c>
      <c r="N2092" s="89">
        <v>854.45</v>
      </c>
      <c r="O2092" s="89">
        <f t="shared" si="89"/>
        <v>12029.25</v>
      </c>
    </row>
    <row r="2093" spans="1:15">
      <c r="A2093" s="74" t="s">
        <v>309</v>
      </c>
      <c r="B2093" s="74" t="s">
        <v>230</v>
      </c>
      <c r="C2093" s="74" t="s">
        <v>231</v>
      </c>
      <c r="D2093" s="88" t="s">
        <v>82</v>
      </c>
      <c r="E2093" s="74" t="s">
        <v>83</v>
      </c>
      <c r="F2093" s="86" t="s">
        <v>120</v>
      </c>
      <c r="G2093" s="74" t="s">
        <v>209</v>
      </c>
      <c r="H2093" s="87">
        <v>44711</v>
      </c>
      <c r="I2093" s="98">
        <v>22</v>
      </c>
      <c r="J2093" s="98">
        <v>22</v>
      </c>
      <c r="K2093" s="89">
        <f t="shared" si="88"/>
        <v>1</v>
      </c>
      <c r="L2093" s="89">
        <v>7575.41</v>
      </c>
      <c r="M2093" s="89">
        <v>3015.46</v>
      </c>
      <c r="N2093" s="89">
        <v>738.14</v>
      </c>
      <c r="O2093" s="89">
        <f t="shared" si="89"/>
        <v>11329.01</v>
      </c>
    </row>
    <row r="2094" spans="1:15">
      <c r="A2094" s="74" t="s">
        <v>309</v>
      </c>
      <c r="B2094" s="74" t="s">
        <v>232</v>
      </c>
      <c r="C2094" s="74" t="s">
        <v>233</v>
      </c>
      <c r="D2094" s="88" t="s">
        <v>82</v>
      </c>
      <c r="E2094" s="74" t="s">
        <v>83</v>
      </c>
      <c r="F2094" s="86" t="s">
        <v>123</v>
      </c>
      <c r="G2094" s="74" t="s">
        <v>209</v>
      </c>
      <c r="H2094" s="87">
        <v>44711</v>
      </c>
      <c r="I2094" s="98">
        <v>22</v>
      </c>
      <c r="J2094" s="98">
        <v>22</v>
      </c>
      <c r="K2094" s="89">
        <f t="shared" si="88"/>
        <v>1</v>
      </c>
      <c r="L2094" s="89">
        <v>6576.17</v>
      </c>
      <c r="M2094" s="89">
        <v>3194.88</v>
      </c>
      <c r="N2094" s="89">
        <v>650.79</v>
      </c>
      <c r="O2094" s="89">
        <f t="shared" si="89"/>
        <v>10421.84</v>
      </c>
    </row>
    <row r="2095" spans="1:15">
      <c r="A2095" s="74" t="s">
        <v>309</v>
      </c>
      <c r="B2095" s="74" t="s">
        <v>234</v>
      </c>
      <c r="C2095" s="74" t="s">
        <v>235</v>
      </c>
      <c r="D2095" s="88" t="s">
        <v>82</v>
      </c>
      <c r="E2095" s="74" t="s">
        <v>83</v>
      </c>
      <c r="F2095" s="86" t="s">
        <v>116</v>
      </c>
      <c r="G2095" s="74" t="s">
        <v>209</v>
      </c>
      <c r="H2095" s="87">
        <v>44711</v>
      </c>
      <c r="I2095" s="98">
        <v>22</v>
      </c>
      <c r="J2095" s="98">
        <v>22</v>
      </c>
      <c r="K2095" s="89">
        <f t="shared" si="88"/>
        <v>1</v>
      </c>
      <c r="L2095" s="89">
        <v>8527.26</v>
      </c>
      <c r="M2095" s="89">
        <v>3217.19</v>
      </c>
      <c r="N2095" s="89">
        <v>837.26</v>
      </c>
      <c r="O2095" s="89">
        <f t="shared" si="89"/>
        <v>12581.71</v>
      </c>
    </row>
    <row r="2096" spans="1:15">
      <c r="A2096" s="74" t="s">
        <v>309</v>
      </c>
      <c r="B2096" s="74" t="s">
        <v>236</v>
      </c>
      <c r="C2096" s="74" t="s">
        <v>237</v>
      </c>
      <c r="D2096" s="88" t="s">
        <v>82</v>
      </c>
      <c r="E2096" s="74" t="s">
        <v>83</v>
      </c>
      <c r="F2096" s="86" t="s">
        <v>120</v>
      </c>
      <c r="G2096" s="74" t="s">
        <v>209</v>
      </c>
      <c r="H2096" s="87">
        <v>44711</v>
      </c>
      <c r="I2096" s="98">
        <v>22</v>
      </c>
      <c r="J2096" s="98">
        <v>22</v>
      </c>
      <c r="K2096" s="89">
        <f t="shared" si="88"/>
        <v>1</v>
      </c>
      <c r="L2096" s="89">
        <v>7113.67</v>
      </c>
      <c r="M2096" s="89">
        <v>3252.46</v>
      </c>
      <c r="N2096" s="89">
        <v>767</v>
      </c>
      <c r="O2096" s="89">
        <f t="shared" si="89"/>
        <v>11133.13</v>
      </c>
    </row>
    <row r="2097" spans="1:15">
      <c r="A2097" s="74" t="s">
        <v>309</v>
      </c>
      <c r="B2097" s="74" t="s">
        <v>238</v>
      </c>
      <c r="C2097" s="74" t="s">
        <v>239</v>
      </c>
      <c r="D2097" s="74" t="s">
        <v>86</v>
      </c>
      <c r="E2097" s="74" t="s">
        <v>87</v>
      </c>
      <c r="F2097" s="86" t="s">
        <v>204</v>
      </c>
      <c r="G2097" s="74" t="s">
        <v>240</v>
      </c>
      <c r="H2097" s="87">
        <v>44711</v>
      </c>
      <c r="I2097" s="98">
        <v>22</v>
      </c>
      <c r="J2097" s="98">
        <v>22</v>
      </c>
      <c r="K2097" s="89">
        <f t="shared" si="88"/>
        <v>1</v>
      </c>
      <c r="L2097" s="89">
        <v>14811.25</v>
      </c>
      <c r="M2097" s="89">
        <v>3112.21</v>
      </c>
      <c r="N2097" s="89">
        <v>1912.42</v>
      </c>
      <c r="O2097" s="89">
        <f t="shared" si="89"/>
        <v>19835.88</v>
      </c>
    </row>
    <row r="2098" spans="1:15">
      <c r="A2098" s="74" t="s">
        <v>309</v>
      </c>
      <c r="B2098" s="74" t="s">
        <v>241</v>
      </c>
      <c r="C2098" s="74" t="s">
        <v>242</v>
      </c>
      <c r="D2098" s="74" t="s">
        <v>86</v>
      </c>
      <c r="E2098" s="74" t="s">
        <v>87</v>
      </c>
      <c r="F2098" s="86" t="s">
        <v>243</v>
      </c>
      <c r="G2098" s="74" t="s">
        <v>244</v>
      </c>
      <c r="H2098" s="87">
        <v>44711</v>
      </c>
      <c r="I2098" s="98">
        <v>22</v>
      </c>
      <c r="J2098" s="98">
        <v>22</v>
      </c>
      <c r="K2098" s="89">
        <f t="shared" si="88"/>
        <v>1</v>
      </c>
      <c r="L2098" s="89">
        <v>10971.99</v>
      </c>
      <c r="M2098" s="89">
        <v>3162.35</v>
      </c>
      <c r="N2098" s="89">
        <v>1353.47</v>
      </c>
      <c r="O2098" s="89">
        <f t="shared" si="89"/>
        <v>15487.81</v>
      </c>
    </row>
    <row r="2099" spans="1:15">
      <c r="A2099" s="74" t="s">
        <v>309</v>
      </c>
      <c r="B2099" s="74" t="s">
        <v>245</v>
      </c>
      <c r="C2099" s="74" t="s">
        <v>246</v>
      </c>
      <c r="D2099" s="74" t="s">
        <v>86</v>
      </c>
      <c r="E2099" s="74" t="s">
        <v>87</v>
      </c>
      <c r="F2099" s="86" t="s">
        <v>247</v>
      </c>
      <c r="G2099" s="74" t="s">
        <v>248</v>
      </c>
      <c r="H2099" s="87">
        <v>44711</v>
      </c>
      <c r="I2099" s="98">
        <v>22</v>
      </c>
      <c r="J2099" s="98">
        <v>22</v>
      </c>
      <c r="K2099" s="89">
        <f t="shared" si="88"/>
        <v>1</v>
      </c>
      <c r="L2099" s="89">
        <v>10011.45</v>
      </c>
      <c r="M2099" s="89">
        <v>3100.37</v>
      </c>
      <c r="N2099" s="89">
        <v>1257.23</v>
      </c>
      <c r="O2099" s="89">
        <f t="shared" si="89"/>
        <v>14369.05</v>
      </c>
    </row>
    <row r="2100" spans="1:15">
      <c r="A2100" s="74" t="s">
        <v>309</v>
      </c>
      <c r="B2100" s="74" t="s">
        <v>249</v>
      </c>
      <c r="C2100" s="74" t="s">
        <v>250</v>
      </c>
      <c r="D2100" s="74" t="s">
        <v>86</v>
      </c>
      <c r="E2100" s="74" t="s">
        <v>87</v>
      </c>
      <c r="F2100" s="86" t="s">
        <v>251</v>
      </c>
      <c r="G2100" s="74" t="s">
        <v>252</v>
      </c>
      <c r="H2100" s="87">
        <v>44711</v>
      </c>
      <c r="I2100" s="98">
        <v>22</v>
      </c>
      <c r="J2100" s="98">
        <v>22</v>
      </c>
      <c r="K2100" s="89">
        <f t="shared" si="88"/>
        <v>1</v>
      </c>
      <c r="L2100" s="89">
        <v>9649.34</v>
      </c>
      <c r="M2100" s="89">
        <v>3024</v>
      </c>
      <c r="N2100" s="89">
        <v>1156.26</v>
      </c>
      <c r="O2100" s="89">
        <f t="shared" si="89"/>
        <v>13829.6</v>
      </c>
    </row>
    <row r="2101" spans="1:15">
      <c r="A2101" s="74" t="s">
        <v>309</v>
      </c>
      <c r="B2101" s="74" t="s">
        <v>253</v>
      </c>
      <c r="C2101" s="74" t="s">
        <v>254</v>
      </c>
      <c r="D2101" s="74" t="s">
        <v>86</v>
      </c>
      <c r="E2101" s="74" t="s">
        <v>87</v>
      </c>
      <c r="F2101" s="86" t="s">
        <v>255</v>
      </c>
      <c r="G2101" s="74" t="s">
        <v>252</v>
      </c>
      <c r="H2101" s="87">
        <v>44711</v>
      </c>
      <c r="I2101" s="98">
        <v>22</v>
      </c>
      <c r="J2101" s="98">
        <v>22</v>
      </c>
      <c r="K2101" s="89">
        <f t="shared" si="88"/>
        <v>1</v>
      </c>
      <c r="L2101" s="89">
        <v>8330.92</v>
      </c>
      <c r="M2101" s="89">
        <v>3031.98</v>
      </c>
      <c r="N2101" s="89">
        <v>1076.26</v>
      </c>
      <c r="O2101" s="89">
        <f t="shared" si="89"/>
        <v>12439.16</v>
      </c>
    </row>
    <row r="2102" spans="1:15">
      <c r="A2102" s="74" t="s">
        <v>309</v>
      </c>
      <c r="B2102" s="74" t="s">
        <v>256</v>
      </c>
      <c r="C2102" s="74" t="s">
        <v>257</v>
      </c>
      <c r="D2102" s="74" t="s">
        <v>86</v>
      </c>
      <c r="E2102" s="74" t="s">
        <v>87</v>
      </c>
      <c r="F2102" s="86" t="s">
        <v>258</v>
      </c>
      <c r="G2102" s="74" t="s">
        <v>252</v>
      </c>
      <c r="H2102" s="87">
        <v>44711</v>
      </c>
      <c r="I2102" s="98">
        <v>22</v>
      </c>
      <c r="J2102" s="98">
        <v>22</v>
      </c>
      <c r="K2102" s="89">
        <f t="shared" si="88"/>
        <v>1</v>
      </c>
      <c r="L2102" s="89">
        <v>7707.77</v>
      </c>
      <c r="M2102" s="89">
        <v>3090.99</v>
      </c>
      <c r="N2102" s="89">
        <v>908.09</v>
      </c>
      <c r="O2102" s="89">
        <f t="shared" si="89"/>
        <v>11706.85</v>
      </c>
    </row>
    <row r="2103" spans="1:15">
      <c r="A2103" s="74" t="s">
        <v>309</v>
      </c>
      <c r="B2103" s="74" t="s">
        <v>259</v>
      </c>
      <c r="C2103" s="74" t="s">
        <v>260</v>
      </c>
      <c r="D2103" s="74" t="s">
        <v>86</v>
      </c>
      <c r="E2103" s="74" t="s">
        <v>87</v>
      </c>
      <c r="F2103" s="86" t="s">
        <v>261</v>
      </c>
      <c r="G2103" s="74" t="s">
        <v>262</v>
      </c>
      <c r="H2103" s="87">
        <v>44711</v>
      </c>
      <c r="I2103" s="98">
        <v>22</v>
      </c>
      <c r="J2103" s="98">
        <v>22</v>
      </c>
      <c r="K2103" s="89">
        <f t="shared" si="88"/>
        <v>1</v>
      </c>
      <c r="L2103" s="89">
        <v>6460.73</v>
      </c>
      <c r="M2103" s="89">
        <v>3192.84</v>
      </c>
      <c r="N2103" s="89">
        <v>806.02</v>
      </c>
      <c r="O2103" s="89">
        <f t="shared" si="89"/>
        <v>10459.59</v>
      </c>
    </row>
    <row r="2104" spans="1:15">
      <c r="A2104" s="74" t="s">
        <v>309</v>
      </c>
      <c r="B2104" s="74" t="s">
        <v>263</v>
      </c>
      <c r="C2104" s="74" t="s">
        <v>264</v>
      </c>
      <c r="D2104" s="74" t="s">
        <v>86</v>
      </c>
      <c r="E2104" s="74" t="s">
        <v>88</v>
      </c>
      <c r="F2104" s="86" t="s">
        <v>149</v>
      </c>
      <c r="G2104" s="74" t="s">
        <v>265</v>
      </c>
      <c r="H2104" s="87">
        <v>44711</v>
      </c>
      <c r="I2104" s="98">
        <v>22</v>
      </c>
      <c r="J2104" s="98">
        <v>22</v>
      </c>
      <c r="K2104" s="89">
        <f t="shared" si="88"/>
        <v>1</v>
      </c>
      <c r="L2104" s="89">
        <v>14510.66</v>
      </c>
      <c r="M2104" s="89">
        <v>3029.09</v>
      </c>
      <c r="N2104" s="89">
        <v>1844.86</v>
      </c>
      <c r="O2104" s="89">
        <f t="shared" si="89"/>
        <v>19384.61</v>
      </c>
    </row>
    <row r="2105" spans="1:15">
      <c r="A2105" s="74" t="s">
        <v>309</v>
      </c>
      <c r="B2105" s="74" t="s">
        <v>266</v>
      </c>
      <c r="C2105" s="74" t="s">
        <v>267</v>
      </c>
      <c r="D2105" s="74" t="s">
        <v>86</v>
      </c>
      <c r="E2105" s="74" t="s">
        <v>88</v>
      </c>
      <c r="F2105" s="86" t="s">
        <v>243</v>
      </c>
      <c r="G2105" s="74" t="s">
        <v>268</v>
      </c>
      <c r="H2105" s="87">
        <v>44711</v>
      </c>
      <c r="I2105" s="98">
        <v>22</v>
      </c>
      <c r="J2105" s="98">
        <v>22</v>
      </c>
      <c r="K2105" s="89">
        <f t="shared" si="88"/>
        <v>1</v>
      </c>
      <c r="L2105" s="89">
        <v>11210.57</v>
      </c>
      <c r="M2105" s="89">
        <v>3073.74</v>
      </c>
      <c r="N2105" s="89">
        <v>1418.52</v>
      </c>
      <c r="O2105" s="89">
        <f t="shared" si="89"/>
        <v>15702.83</v>
      </c>
    </row>
    <row r="2106" spans="1:15">
      <c r="A2106" s="74" t="s">
        <v>309</v>
      </c>
      <c r="B2106" s="74" t="s">
        <v>269</v>
      </c>
      <c r="C2106" s="74" t="s">
        <v>270</v>
      </c>
      <c r="D2106" s="74" t="s">
        <v>86</v>
      </c>
      <c r="E2106" s="74" t="s">
        <v>88</v>
      </c>
      <c r="F2106" s="86" t="s">
        <v>247</v>
      </c>
      <c r="G2106" s="74" t="s">
        <v>268</v>
      </c>
      <c r="H2106" s="87">
        <v>44711</v>
      </c>
      <c r="I2106" s="98">
        <v>22</v>
      </c>
      <c r="J2106" s="98">
        <v>22</v>
      </c>
      <c r="K2106" s="89">
        <f t="shared" si="88"/>
        <v>1</v>
      </c>
      <c r="L2106" s="89">
        <v>10420.33</v>
      </c>
      <c r="M2106" s="89">
        <v>3025.36</v>
      </c>
      <c r="N2106" s="89">
        <v>1266.71</v>
      </c>
      <c r="O2106" s="89">
        <f t="shared" si="89"/>
        <v>14712.4</v>
      </c>
    </row>
    <row r="2107" spans="1:15">
      <c r="A2107" s="74" t="s">
        <v>309</v>
      </c>
      <c r="B2107" s="74" t="s">
        <v>271</v>
      </c>
      <c r="C2107" s="74" t="s">
        <v>272</v>
      </c>
      <c r="D2107" s="74" t="s">
        <v>86</v>
      </c>
      <c r="E2107" s="74" t="s">
        <v>88</v>
      </c>
      <c r="F2107" s="86" t="s">
        <v>251</v>
      </c>
      <c r="G2107" s="74" t="s">
        <v>268</v>
      </c>
      <c r="H2107" s="87">
        <v>44711</v>
      </c>
      <c r="I2107" s="98">
        <v>22</v>
      </c>
      <c r="J2107" s="98">
        <v>22</v>
      </c>
      <c r="K2107" s="89">
        <f t="shared" si="88"/>
        <v>1</v>
      </c>
      <c r="L2107" s="89">
        <v>8958.75</v>
      </c>
      <c r="M2107" s="89">
        <v>3244.98</v>
      </c>
      <c r="N2107" s="89">
        <v>1163.91</v>
      </c>
      <c r="O2107" s="89">
        <f t="shared" si="89"/>
        <v>13367.64</v>
      </c>
    </row>
    <row r="2108" spans="1:15">
      <c r="A2108" s="74" t="s">
        <v>309</v>
      </c>
      <c r="B2108" s="74" t="s">
        <v>273</v>
      </c>
      <c r="C2108" s="74" t="s">
        <v>274</v>
      </c>
      <c r="D2108" s="74" t="s">
        <v>86</v>
      </c>
      <c r="E2108" s="74" t="s">
        <v>88</v>
      </c>
      <c r="F2108" s="86" t="s">
        <v>255</v>
      </c>
      <c r="G2108" s="74" t="s">
        <v>268</v>
      </c>
      <c r="H2108" s="87">
        <v>44711</v>
      </c>
      <c r="I2108" s="98">
        <v>22</v>
      </c>
      <c r="J2108" s="98">
        <v>22</v>
      </c>
      <c r="K2108" s="89">
        <f t="shared" si="88"/>
        <v>1</v>
      </c>
      <c r="L2108" s="89">
        <v>8255.92</v>
      </c>
      <c r="M2108" s="89">
        <v>3148.74</v>
      </c>
      <c r="N2108" s="89">
        <v>1062.23</v>
      </c>
      <c r="O2108" s="89">
        <f t="shared" si="89"/>
        <v>12466.89</v>
      </c>
    </row>
    <row r="2109" spans="1:15">
      <c r="A2109" s="74" t="s">
        <v>309</v>
      </c>
      <c r="B2109" s="74" t="s">
        <v>275</v>
      </c>
      <c r="C2109" s="74" t="s">
        <v>276</v>
      </c>
      <c r="D2109" s="74" t="s">
        <v>86</v>
      </c>
      <c r="E2109" s="74" t="s">
        <v>88</v>
      </c>
      <c r="F2109" s="86" t="s">
        <v>258</v>
      </c>
      <c r="G2109" s="74" t="s">
        <v>268</v>
      </c>
      <c r="H2109" s="87">
        <v>44711</v>
      </c>
      <c r="I2109" s="98">
        <v>22</v>
      </c>
      <c r="J2109" s="98">
        <v>22</v>
      </c>
      <c r="K2109" s="89">
        <f t="shared" si="88"/>
        <v>1</v>
      </c>
      <c r="L2109" s="89">
        <v>7304.23</v>
      </c>
      <c r="M2109" s="89">
        <v>3232.37</v>
      </c>
      <c r="N2109" s="89">
        <v>976.44</v>
      </c>
      <c r="O2109" s="89">
        <f t="shared" si="89"/>
        <v>11513.04</v>
      </c>
    </row>
    <row r="2110" spans="1:15">
      <c r="A2110" s="74" t="s">
        <v>309</v>
      </c>
      <c r="B2110" s="74" t="s">
        <v>277</v>
      </c>
      <c r="C2110" s="74" t="s">
        <v>278</v>
      </c>
      <c r="D2110" s="74" t="s">
        <v>86</v>
      </c>
      <c r="E2110" s="74" t="s">
        <v>89</v>
      </c>
      <c r="F2110" s="86" t="s">
        <v>279</v>
      </c>
      <c r="G2110" s="74" t="s">
        <v>280</v>
      </c>
      <c r="H2110" s="87">
        <v>44711</v>
      </c>
      <c r="I2110" s="98">
        <v>22</v>
      </c>
      <c r="J2110" s="98">
        <v>22</v>
      </c>
      <c r="K2110" s="89">
        <f t="shared" si="88"/>
        <v>1</v>
      </c>
      <c r="L2110" s="89">
        <v>12544.83</v>
      </c>
      <c r="M2110" s="89">
        <v>3171.34</v>
      </c>
      <c r="N2110" s="89">
        <v>1610.67</v>
      </c>
      <c r="O2110" s="89">
        <f t="shared" si="89"/>
        <v>17326.84</v>
      </c>
    </row>
    <row r="2111" spans="1:15">
      <c r="A2111" s="74" t="s">
        <v>309</v>
      </c>
      <c r="B2111" s="74" t="s">
        <v>281</v>
      </c>
      <c r="C2111" s="74" t="s">
        <v>282</v>
      </c>
      <c r="D2111" s="74" t="s">
        <v>86</v>
      </c>
      <c r="E2111" s="74" t="s">
        <v>89</v>
      </c>
      <c r="F2111" s="86" t="s">
        <v>225</v>
      </c>
      <c r="G2111" s="74" t="s">
        <v>283</v>
      </c>
      <c r="H2111" s="87">
        <v>44711</v>
      </c>
      <c r="I2111" s="98">
        <v>22</v>
      </c>
      <c r="J2111" s="98">
        <v>22</v>
      </c>
      <c r="K2111" s="89">
        <f t="shared" si="88"/>
        <v>1</v>
      </c>
      <c r="L2111" s="89">
        <v>8273.93</v>
      </c>
      <c r="M2111" s="89">
        <v>3217.96</v>
      </c>
      <c r="N2111" s="89">
        <v>1090.85</v>
      </c>
      <c r="O2111" s="89">
        <f t="shared" si="89"/>
        <v>12582.74</v>
      </c>
    </row>
    <row r="2112" spans="1:15">
      <c r="A2112" s="74" t="s">
        <v>309</v>
      </c>
      <c r="B2112" s="74" t="s">
        <v>284</v>
      </c>
      <c r="C2112" s="74" t="s">
        <v>285</v>
      </c>
      <c r="D2112" s="74" t="s">
        <v>86</v>
      </c>
      <c r="E2112" s="74" t="s">
        <v>89</v>
      </c>
      <c r="F2112" s="86" t="s">
        <v>208</v>
      </c>
      <c r="G2112" s="74" t="s">
        <v>283</v>
      </c>
      <c r="H2112" s="87">
        <v>44711</v>
      </c>
      <c r="I2112" s="98">
        <v>22</v>
      </c>
      <c r="J2112" s="98">
        <v>22</v>
      </c>
      <c r="K2112" s="89">
        <f t="shared" si="88"/>
        <v>1</v>
      </c>
      <c r="L2112" s="89">
        <v>7288.82</v>
      </c>
      <c r="M2112" s="89">
        <v>3031.6</v>
      </c>
      <c r="N2112" s="89">
        <v>964.94</v>
      </c>
      <c r="O2112" s="89">
        <f t="shared" si="89"/>
        <v>11285.36</v>
      </c>
    </row>
    <row r="2113" spans="1:15">
      <c r="A2113" s="74" t="s">
        <v>309</v>
      </c>
      <c r="B2113" s="74" t="s">
        <v>286</v>
      </c>
      <c r="C2113" s="74" t="s">
        <v>287</v>
      </c>
      <c r="D2113" s="74" t="s">
        <v>82</v>
      </c>
      <c r="E2113" s="88" t="s">
        <v>85</v>
      </c>
      <c r="F2113" s="86" t="s">
        <v>288</v>
      </c>
      <c r="G2113" s="74" t="s">
        <v>289</v>
      </c>
      <c r="H2113" s="87">
        <v>44711</v>
      </c>
      <c r="I2113" s="98">
        <v>22</v>
      </c>
      <c r="J2113" s="98">
        <v>22</v>
      </c>
      <c r="K2113" s="89">
        <f t="shared" ref="K2113:K2121" si="90">I2113/J2113</f>
        <v>1</v>
      </c>
      <c r="L2113" s="89">
        <v>12979.1</v>
      </c>
      <c r="M2113" s="89">
        <v>3174.01</v>
      </c>
      <c r="N2113" s="89">
        <v>1293.89</v>
      </c>
      <c r="O2113" s="89">
        <f t="shared" si="89"/>
        <v>17447</v>
      </c>
    </row>
    <row r="2114" spans="1:15">
      <c r="A2114" s="74" t="s">
        <v>309</v>
      </c>
      <c r="B2114" s="74" t="s">
        <v>290</v>
      </c>
      <c r="C2114" s="74" t="s">
        <v>291</v>
      </c>
      <c r="D2114" s="74" t="s">
        <v>82</v>
      </c>
      <c r="E2114" s="88" t="s">
        <v>85</v>
      </c>
      <c r="F2114" s="86" t="s">
        <v>218</v>
      </c>
      <c r="G2114" s="74" t="s">
        <v>289</v>
      </c>
      <c r="H2114" s="87">
        <v>44711</v>
      </c>
      <c r="I2114" s="98">
        <v>22</v>
      </c>
      <c r="J2114" s="98">
        <v>22</v>
      </c>
      <c r="K2114" s="89">
        <f t="shared" si="90"/>
        <v>1</v>
      </c>
      <c r="L2114" s="89">
        <v>11505.97</v>
      </c>
      <c r="M2114" s="89">
        <v>3134.1</v>
      </c>
      <c r="N2114" s="89">
        <v>1172.51</v>
      </c>
      <c r="O2114" s="89">
        <f t="shared" si="89"/>
        <v>15812.58</v>
      </c>
    </row>
    <row r="2115" spans="1:15">
      <c r="A2115" s="74" t="s">
        <v>309</v>
      </c>
      <c r="B2115" s="74" t="s">
        <v>292</v>
      </c>
      <c r="C2115" s="74" t="s">
        <v>293</v>
      </c>
      <c r="D2115" s="74" t="s">
        <v>82</v>
      </c>
      <c r="E2115" s="88" t="s">
        <v>85</v>
      </c>
      <c r="F2115" s="86" t="s">
        <v>225</v>
      </c>
      <c r="G2115" s="74" t="s">
        <v>289</v>
      </c>
      <c r="H2115" s="87">
        <v>44711</v>
      </c>
      <c r="I2115" s="98">
        <v>22</v>
      </c>
      <c r="J2115" s="98">
        <v>22</v>
      </c>
      <c r="K2115" s="89">
        <f t="shared" si="90"/>
        <v>1</v>
      </c>
      <c r="L2115" s="89">
        <v>10424.8</v>
      </c>
      <c r="M2115" s="89">
        <v>3284.92</v>
      </c>
      <c r="N2115" s="89">
        <v>1097.22</v>
      </c>
      <c r="O2115" s="89">
        <f t="shared" si="89"/>
        <v>14806.94</v>
      </c>
    </row>
    <row r="2116" spans="1:15">
      <c r="A2116" s="74" t="s">
        <v>309</v>
      </c>
      <c r="B2116" s="74" t="s">
        <v>294</v>
      </c>
      <c r="C2116" s="74" t="s">
        <v>295</v>
      </c>
      <c r="D2116" s="74" t="s">
        <v>82</v>
      </c>
      <c r="E2116" s="88" t="s">
        <v>85</v>
      </c>
      <c r="F2116" s="86" t="s">
        <v>208</v>
      </c>
      <c r="G2116" s="74" t="s">
        <v>289</v>
      </c>
      <c r="H2116" s="87">
        <v>44711</v>
      </c>
      <c r="I2116" s="98">
        <v>22</v>
      </c>
      <c r="J2116" s="98">
        <v>22</v>
      </c>
      <c r="K2116" s="89">
        <f t="shared" si="90"/>
        <v>1</v>
      </c>
      <c r="L2116" s="89">
        <v>9814.34</v>
      </c>
      <c r="M2116" s="89">
        <v>3256.15</v>
      </c>
      <c r="N2116" s="89">
        <v>967.33</v>
      </c>
      <c r="O2116" s="89">
        <f t="shared" si="89"/>
        <v>14037.82</v>
      </c>
    </row>
    <row r="2117" spans="1:15">
      <c r="A2117" s="74" t="s">
        <v>309</v>
      </c>
      <c r="B2117" s="74" t="s">
        <v>296</v>
      </c>
      <c r="C2117" s="74" t="s">
        <v>297</v>
      </c>
      <c r="D2117" s="74" t="s">
        <v>82</v>
      </c>
      <c r="E2117" s="88" t="s">
        <v>85</v>
      </c>
      <c r="F2117" s="86" t="s">
        <v>116</v>
      </c>
      <c r="G2117" s="74" t="s">
        <v>289</v>
      </c>
      <c r="H2117" s="87">
        <v>44711</v>
      </c>
      <c r="I2117" s="98">
        <v>22</v>
      </c>
      <c r="J2117" s="98">
        <v>22</v>
      </c>
      <c r="K2117" s="89">
        <f t="shared" si="90"/>
        <v>1</v>
      </c>
      <c r="L2117" s="89">
        <v>8165.27</v>
      </c>
      <c r="M2117" s="89">
        <v>3297.14</v>
      </c>
      <c r="N2117" s="89">
        <v>844.29</v>
      </c>
      <c r="O2117" s="89">
        <f t="shared" ref="O2117:O2180" si="91">SUM(L2117:N2117)</f>
        <v>12306.7</v>
      </c>
    </row>
    <row r="2118" spans="1:15">
      <c r="A2118" s="74" t="s">
        <v>309</v>
      </c>
      <c r="B2118" s="74" t="s">
        <v>298</v>
      </c>
      <c r="C2118" s="74" t="s">
        <v>299</v>
      </c>
      <c r="D2118" s="74" t="s">
        <v>82</v>
      </c>
      <c r="E2118" s="88" t="s">
        <v>85</v>
      </c>
      <c r="F2118" s="86" t="s">
        <v>279</v>
      </c>
      <c r="G2118" s="74" t="s">
        <v>300</v>
      </c>
      <c r="H2118" s="87">
        <v>44711</v>
      </c>
      <c r="I2118" s="98">
        <v>22</v>
      </c>
      <c r="J2118" s="98">
        <v>22</v>
      </c>
      <c r="K2118" s="89">
        <f t="shared" si="90"/>
        <v>1</v>
      </c>
      <c r="L2118" s="89">
        <v>15497.49</v>
      </c>
      <c r="M2118" s="89">
        <v>3043.47</v>
      </c>
      <c r="N2118" s="89">
        <v>1563.14</v>
      </c>
      <c r="O2118" s="89">
        <f t="shared" si="91"/>
        <v>20104.1</v>
      </c>
    </row>
    <row r="2119" spans="1:15">
      <c r="A2119" s="74" t="s">
        <v>309</v>
      </c>
      <c r="B2119" s="74" t="s">
        <v>301</v>
      </c>
      <c r="C2119" s="74" t="s">
        <v>302</v>
      </c>
      <c r="D2119" s="74" t="s">
        <v>82</v>
      </c>
      <c r="E2119" s="88" t="s">
        <v>85</v>
      </c>
      <c r="F2119" s="86" t="s">
        <v>279</v>
      </c>
      <c r="G2119" s="74" t="s">
        <v>303</v>
      </c>
      <c r="H2119" s="87">
        <v>44711</v>
      </c>
      <c r="I2119" s="98">
        <v>22</v>
      </c>
      <c r="J2119" s="98">
        <v>22</v>
      </c>
      <c r="K2119" s="89">
        <f t="shared" si="90"/>
        <v>1</v>
      </c>
      <c r="L2119" s="89">
        <v>16016.02</v>
      </c>
      <c r="M2119" s="89">
        <v>3026.17</v>
      </c>
      <c r="N2119" s="89">
        <v>1630.77</v>
      </c>
      <c r="O2119" s="89">
        <f t="shared" si="91"/>
        <v>20672.96</v>
      </c>
    </row>
    <row r="2120" spans="1:15">
      <c r="A2120" s="74" t="s">
        <v>309</v>
      </c>
      <c r="B2120" s="74" t="s">
        <v>304</v>
      </c>
      <c r="C2120" s="74" t="s">
        <v>305</v>
      </c>
      <c r="D2120" s="74" t="s">
        <v>86</v>
      </c>
      <c r="E2120" s="74" t="s">
        <v>90</v>
      </c>
      <c r="F2120" s="86" t="s">
        <v>306</v>
      </c>
      <c r="G2120" s="74" t="s">
        <v>307</v>
      </c>
      <c r="H2120" s="87">
        <v>44711</v>
      </c>
      <c r="I2120" s="98">
        <v>22</v>
      </c>
      <c r="J2120" s="98">
        <v>22</v>
      </c>
      <c r="K2120" s="89">
        <f t="shared" si="90"/>
        <v>1</v>
      </c>
      <c r="L2120" s="89">
        <v>17434.44</v>
      </c>
      <c r="M2120" s="89">
        <v>3017.12</v>
      </c>
      <c r="N2120" s="89">
        <v>2184.89</v>
      </c>
      <c r="O2120" s="89">
        <f t="shared" si="91"/>
        <v>22636.45</v>
      </c>
    </row>
    <row r="2121" spans="1:15">
      <c r="A2121" s="74" t="s">
        <v>309</v>
      </c>
      <c r="B2121" s="74" t="s">
        <v>114</v>
      </c>
      <c r="C2121" s="74" t="s">
        <v>115</v>
      </c>
      <c r="D2121" s="74" t="s">
        <v>79</v>
      </c>
      <c r="E2121" s="74" t="s">
        <v>80</v>
      </c>
      <c r="F2121" s="86" t="s">
        <v>116</v>
      </c>
      <c r="G2121" s="74" t="s">
        <v>117</v>
      </c>
      <c r="H2121" s="87">
        <v>44742</v>
      </c>
      <c r="I2121" s="98">
        <v>22</v>
      </c>
      <c r="J2121" s="98">
        <v>22</v>
      </c>
      <c r="K2121" s="89">
        <f t="shared" si="90"/>
        <v>1</v>
      </c>
      <c r="L2121" s="89">
        <v>8671</v>
      </c>
      <c r="M2121" s="89">
        <v>3140.42</v>
      </c>
      <c r="N2121" s="89">
        <v>821.24</v>
      </c>
      <c r="O2121" s="89">
        <f t="shared" si="91"/>
        <v>12632.66</v>
      </c>
    </row>
    <row r="2122" spans="1:15">
      <c r="A2122" s="74" t="s">
        <v>309</v>
      </c>
      <c r="B2122" s="74" t="s">
        <v>118</v>
      </c>
      <c r="C2122" s="74" t="s">
        <v>119</v>
      </c>
      <c r="D2122" s="74" t="s">
        <v>79</v>
      </c>
      <c r="E2122" s="74" t="s">
        <v>80</v>
      </c>
      <c r="F2122" s="86" t="s">
        <v>120</v>
      </c>
      <c r="G2122" s="74" t="s">
        <v>117</v>
      </c>
      <c r="H2122" s="87">
        <v>44742</v>
      </c>
      <c r="I2122" s="98">
        <v>22</v>
      </c>
      <c r="J2122" s="98">
        <v>22</v>
      </c>
      <c r="K2122" s="89">
        <f t="shared" ref="K2122:K2185" si="92">I2122/J2122</f>
        <v>1</v>
      </c>
      <c r="L2122" s="89">
        <v>7567.13</v>
      </c>
      <c r="M2122" s="89">
        <v>3140.44</v>
      </c>
      <c r="N2122" s="89">
        <v>708.9</v>
      </c>
      <c r="O2122" s="89">
        <f t="shared" si="91"/>
        <v>11416.47</v>
      </c>
    </row>
    <row r="2123" spans="1:15">
      <c r="A2123" s="74" t="s">
        <v>309</v>
      </c>
      <c r="B2123" s="74" t="s">
        <v>121</v>
      </c>
      <c r="C2123" s="74" t="s">
        <v>122</v>
      </c>
      <c r="D2123" s="74" t="s">
        <v>79</v>
      </c>
      <c r="E2123" s="74" t="s">
        <v>80</v>
      </c>
      <c r="F2123" s="86" t="s">
        <v>123</v>
      </c>
      <c r="G2123" s="74" t="s">
        <v>117</v>
      </c>
      <c r="H2123" s="87">
        <v>44742</v>
      </c>
      <c r="I2123" s="98">
        <v>22</v>
      </c>
      <c r="J2123" s="98">
        <v>22</v>
      </c>
      <c r="K2123" s="89">
        <f t="shared" si="92"/>
        <v>1</v>
      </c>
      <c r="L2123" s="89">
        <v>6508.09</v>
      </c>
      <c r="M2123" s="89">
        <v>3128.99</v>
      </c>
      <c r="N2123" s="89">
        <v>605.73</v>
      </c>
      <c r="O2123" s="89">
        <f t="shared" si="91"/>
        <v>10242.81</v>
      </c>
    </row>
    <row r="2124" spans="1:15">
      <c r="A2124" s="74" t="s">
        <v>309</v>
      </c>
      <c r="B2124" s="74" t="s">
        <v>124</v>
      </c>
      <c r="C2124" s="74" t="s">
        <v>125</v>
      </c>
      <c r="D2124" s="74" t="s">
        <v>79</v>
      </c>
      <c r="E2124" s="74" t="s">
        <v>80</v>
      </c>
      <c r="F2124" s="86" t="s">
        <v>116</v>
      </c>
      <c r="G2124" s="74" t="s">
        <v>117</v>
      </c>
      <c r="H2124" s="87">
        <v>44742</v>
      </c>
      <c r="I2124" s="98">
        <v>22</v>
      </c>
      <c r="J2124" s="98">
        <v>22</v>
      </c>
      <c r="K2124" s="89">
        <f t="shared" si="92"/>
        <v>1</v>
      </c>
      <c r="L2124" s="89">
        <v>8420.13</v>
      </c>
      <c r="M2124" s="89">
        <v>3065.45</v>
      </c>
      <c r="N2124" s="89">
        <v>842.52</v>
      </c>
      <c r="O2124" s="89">
        <f t="shared" si="91"/>
        <v>12328.1</v>
      </c>
    </row>
    <row r="2125" spans="1:15">
      <c r="A2125" s="74" t="s">
        <v>309</v>
      </c>
      <c r="B2125" s="74" t="s">
        <v>126</v>
      </c>
      <c r="C2125" s="74" t="s">
        <v>127</v>
      </c>
      <c r="D2125" s="74" t="s">
        <v>79</v>
      </c>
      <c r="E2125" s="74" t="s">
        <v>80</v>
      </c>
      <c r="F2125" s="86" t="s">
        <v>120</v>
      </c>
      <c r="G2125" s="74" t="s">
        <v>117</v>
      </c>
      <c r="H2125" s="87">
        <v>44742</v>
      </c>
      <c r="I2125" s="98">
        <v>22</v>
      </c>
      <c r="J2125" s="98">
        <v>22</v>
      </c>
      <c r="K2125" s="89">
        <f t="shared" si="92"/>
        <v>1</v>
      </c>
      <c r="L2125" s="89">
        <v>7491.68</v>
      </c>
      <c r="M2125" s="89">
        <v>3270.49</v>
      </c>
      <c r="N2125" s="89">
        <v>720.02</v>
      </c>
      <c r="O2125" s="89">
        <f t="shared" si="91"/>
        <v>11482.19</v>
      </c>
    </row>
    <row r="2126" spans="1:15">
      <c r="A2126" s="74" t="s">
        <v>309</v>
      </c>
      <c r="B2126" s="74" t="s">
        <v>128</v>
      </c>
      <c r="C2126" s="74" t="s">
        <v>129</v>
      </c>
      <c r="D2126" s="74" t="s">
        <v>79</v>
      </c>
      <c r="E2126" s="74" t="s">
        <v>80</v>
      </c>
      <c r="F2126" s="86" t="s">
        <v>123</v>
      </c>
      <c r="G2126" s="74" t="s">
        <v>117</v>
      </c>
      <c r="H2126" s="87">
        <v>44742</v>
      </c>
      <c r="I2126" s="98">
        <v>22</v>
      </c>
      <c r="J2126" s="98">
        <v>22</v>
      </c>
      <c r="K2126" s="89">
        <f t="shared" si="92"/>
        <v>1</v>
      </c>
      <c r="L2126" s="89">
        <v>6112.59</v>
      </c>
      <c r="M2126" s="89">
        <v>3046.9</v>
      </c>
      <c r="N2126" s="89">
        <v>638.21</v>
      </c>
      <c r="O2126" s="89">
        <f t="shared" si="91"/>
        <v>9797.7</v>
      </c>
    </row>
    <row r="2127" spans="1:15">
      <c r="A2127" s="74" t="s">
        <v>309</v>
      </c>
      <c r="B2127" s="74" t="s">
        <v>130</v>
      </c>
      <c r="C2127" s="74" t="s">
        <v>131</v>
      </c>
      <c r="D2127" s="74" t="s">
        <v>79</v>
      </c>
      <c r="E2127" s="74" t="s">
        <v>80</v>
      </c>
      <c r="F2127" s="86" t="s">
        <v>116</v>
      </c>
      <c r="G2127" s="74" t="s">
        <v>117</v>
      </c>
      <c r="H2127" s="87">
        <v>44742</v>
      </c>
      <c r="I2127" s="98">
        <v>22</v>
      </c>
      <c r="J2127" s="98">
        <v>22</v>
      </c>
      <c r="K2127" s="89">
        <f t="shared" si="92"/>
        <v>1</v>
      </c>
      <c r="L2127" s="89">
        <v>8228.95</v>
      </c>
      <c r="M2127" s="89">
        <v>3057.67</v>
      </c>
      <c r="N2127" s="89">
        <v>851.41</v>
      </c>
      <c r="O2127" s="89">
        <f t="shared" si="91"/>
        <v>12138.03</v>
      </c>
    </row>
    <row r="2128" spans="1:15">
      <c r="A2128" s="74" t="s">
        <v>309</v>
      </c>
      <c r="B2128" s="74" t="s">
        <v>132</v>
      </c>
      <c r="C2128" s="74" t="s">
        <v>133</v>
      </c>
      <c r="D2128" s="74" t="s">
        <v>79</v>
      </c>
      <c r="E2128" s="74" t="s">
        <v>80</v>
      </c>
      <c r="F2128" s="86" t="s">
        <v>120</v>
      </c>
      <c r="G2128" s="74" t="s">
        <v>117</v>
      </c>
      <c r="H2128" s="87">
        <v>44742</v>
      </c>
      <c r="I2128" s="98">
        <v>22</v>
      </c>
      <c r="J2128" s="98">
        <v>22</v>
      </c>
      <c r="K2128" s="89">
        <f t="shared" si="92"/>
        <v>1</v>
      </c>
      <c r="L2128" s="89">
        <v>7080.78</v>
      </c>
      <c r="M2128" s="89">
        <v>3064.77</v>
      </c>
      <c r="N2128" s="89">
        <v>742.19</v>
      </c>
      <c r="O2128" s="89">
        <f t="shared" si="91"/>
        <v>10887.74</v>
      </c>
    </row>
    <row r="2129" spans="1:15">
      <c r="A2129" s="74" t="s">
        <v>309</v>
      </c>
      <c r="B2129" s="74" t="s">
        <v>134</v>
      </c>
      <c r="C2129" s="74" t="s">
        <v>135</v>
      </c>
      <c r="D2129" s="74" t="s">
        <v>79</v>
      </c>
      <c r="E2129" s="74" t="s">
        <v>80</v>
      </c>
      <c r="F2129" s="86" t="s">
        <v>123</v>
      </c>
      <c r="G2129" s="74" t="s">
        <v>117</v>
      </c>
      <c r="H2129" s="87">
        <v>44742</v>
      </c>
      <c r="I2129" s="98">
        <v>22</v>
      </c>
      <c r="J2129" s="98">
        <v>22</v>
      </c>
      <c r="K2129" s="89">
        <f t="shared" si="92"/>
        <v>1</v>
      </c>
      <c r="L2129" s="89">
        <v>6382.11</v>
      </c>
      <c r="M2129" s="89">
        <v>3019</v>
      </c>
      <c r="N2129" s="89">
        <v>617.18</v>
      </c>
      <c r="O2129" s="89">
        <f t="shared" si="91"/>
        <v>10018.29</v>
      </c>
    </row>
    <row r="2130" spans="1:15">
      <c r="A2130" s="74" t="s">
        <v>309</v>
      </c>
      <c r="B2130" s="74" t="s">
        <v>136</v>
      </c>
      <c r="C2130" s="74" t="s">
        <v>137</v>
      </c>
      <c r="D2130" s="74" t="s">
        <v>79</v>
      </c>
      <c r="E2130" s="74" t="s">
        <v>80</v>
      </c>
      <c r="F2130" s="86" t="s">
        <v>116</v>
      </c>
      <c r="G2130" s="74" t="s">
        <v>138</v>
      </c>
      <c r="H2130" s="87">
        <v>44742</v>
      </c>
      <c r="I2130" s="98">
        <v>22</v>
      </c>
      <c r="J2130" s="98">
        <v>22</v>
      </c>
      <c r="K2130" s="89">
        <f t="shared" si="92"/>
        <v>1</v>
      </c>
      <c r="L2130" s="89">
        <v>8770.44</v>
      </c>
      <c r="M2130" s="89">
        <v>3189.89</v>
      </c>
      <c r="N2130" s="89">
        <v>815.55</v>
      </c>
      <c r="O2130" s="89">
        <f t="shared" si="91"/>
        <v>12775.88</v>
      </c>
    </row>
    <row r="2131" spans="1:15">
      <c r="A2131" s="74" t="s">
        <v>309</v>
      </c>
      <c r="B2131" s="74" t="s">
        <v>139</v>
      </c>
      <c r="C2131" s="74" t="s">
        <v>140</v>
      </c>
      <c r="D2131" s="74" t="s">
        <v>79</v>
      </c>
      <c r="E2131" s="74" t="s">
        <v>80</v>
      </c>
      <c r="F2131" s="86" t="s">
        <v>120</v>
      </c>
      <c r="G2131" s="74" t="s">
        <v>138</v>
      </c>
      <c r="H2131" s="87">
        <v>44742</v>
      </c>
      <c r="I2131" s="98">
        <v>22</v>
      </c>
      <c r="J2131" s="98">
        <v>22</v>
      </c>
      <c r="K2131" s="89">
        <f t="shared" si="92"/>
        <v>1</v>
      </c>
      <c r="L2131" s="89">
        <v>7028.62</v>
      </c>
      <c r="M2131" s="89">
        <v>3105.88</v>
      </c>
      <c r="N2131" s="89">
        <v>742.07</v>
      </c>
      <c r="O2131" s="89">
        <f t="shared" si="91"/>
        <v>10876.57</v>
      </c>
    </row>
    <row r="2132" spans="1:15">
      <c r="A2132" s="74" t="s">
        <v>309</v>
      </c>
      <c r="B2132" s="74" t="s">
        <v>141</v>
      </c>
      <c r="C2132" s="74" t="s">
        <v>142</v>
      </c>
      <c r="D2132" s="74" t="s">
        <v>79</v>
      </c>
      <c r="E2132" s="74" t="s">
        <v>80</v>
      </c>
      <c r="F2132" s="86" t="s">
        <v>123</v>
      </c>
      <c r="G2132" s="74" t="s">
        <v>138</v>
      </c>
      <c r="H2132" s="87">
        <v>44742</v>
      </c>
      <c r="I2132" s="98">
        <v>22</v>
      </c>
      <c r="J2132" s="98">
        <v>22</v>
      </c>
      <c r="K2132" s="89">
        <f t="shared" si="92"/>
        <v>1</v>
      </c>
      <c r="L2132" s="89">
        <v>6576.45</v>
      </c>
      <c r="M2132" s="89">
        <v>3232.88</v>
      </c>
      <c r="N2132" s="89">
        <v>621.84</v>
      </c>
      <c r="O2132" s="89">
        <f t="shared" si="91"/>
        <v>10431.17</v>
      </c>
    </row>
    <row r="2133" spans="1:15">
      <c r="A2133" s="74" t="s">
        <v>309</v>
      </c>
      <c r="B2133" s="74" t="s">
        <v>143</v>
      </c>
      <c r="C2133" s="74" t="s">
        <v>144</v>
      </c>
      <c r="D2133" s="74" t="s">
        <v>79</v>
      </c>
      <c r="E2133" s="74" t="s">
        <v>80</v>
      </c>
      <c r="F2133" s="86" t="s">
        <v>145</v>
      </c>
      <c r="G2133" s="74" t="s">
        <v>146</v>
      </c>
      <c r="H2133" s="87">
        <v>44742</v>
      </c>
      <c r="I2133" s="98">
        <v>22</v>
      </c>
      <c r="J2133" s="98">
        <v>22</v>
      </c>
      <c r="K2133" s="89">
        <f t="shared" si="92"/>
        <v>1</v>
      </c>
      <c r="L2133" s="89">
        <v>19344.62</v>
      </c>
      <c r="M2133" s="89">
        <v>3180.17</v>
      </c>
      <c r="N2133" s="89">
        <v>1909.82</v>
      </c>
      <c r="O2133" s="89">
        <f t="shared" si="91"/>
        <v>24434.61</v>
      </c>
    </row>
    <row r="2134" spans="1:15">
      <c r="A2134" s="74" t="s">
        <v>309</v>
      </c>
      <c r="B2134" s="74" t="s">
        <v>147</v>
      </c>
      <c r="C2134" s="74" t="s">
        <v>148</v>
      </c>
      <c r="D2134" s="74" t="s">
        <v>79</v>
      </c>
      <c r="E2134" s="74" t="s">
        <v>80</v>
      </c>
      <c r="F2134" s="86" t="s">
        <v>149</v>
      </c>
      <c r="G2134" s="74" t="s">
        <v>150</v>
      </c>
      <c r="H2134" s="87">
        <v>44742</v>
      </c>
      <c r="I2134" s="98">
        <v>22</v>
      </c>
      <c r="J2134" s="98">
        <v>22</v>
      </c>
      <c r="K2134" s="89">
        <f t="shared" si="92"/>
        <v>1</v>
      </c>
      <c r="L2134" s="89">
        <v>18375.21</v>
      </c>
      <c r="M2134" s="89">
        <v>3032.56</v>
      </c>
      <c r="N2134" s="89">
        <v>1804.33</v>
      </c>
      <c r="O2134" s="89">
        <f t="shared" si="91"/>
        <v>23212.1</v>
      </c>
    </row>
    <row r="2135" spans="1:15">
      <c r="A2135" s="74" t="s">
        <v>309</v>
      </c>
      <c r="B2135" s="74" t="s">
        <v>151</v>
      </c>
      <c r="C2135" s="74" t="s">
        <v>152</v>
      </c>
      <c r="D2135" s="74" t="s">
        <v>79</v>
      </c>
      <c r="E2135" s="74" t="s">
        <v>81</v>
      </c>
      <c r="F2135" s="86" t="s">
        <v>123</v>
      </c>
      <c r="G2135" s="74" t="s">
        <v>153</v>
      </c>
      <c r="H2135" s="87">
        <v>44742</v>
      </c>
      <c r="I2135" s="98">
        <v>22</v>
      </c>
      <c r="J2135" s="98">
        <v>22</v>
      </c>
      <c r="K2135" s="89">
        <f t="shared" si="92"/>
        <v>1</v>
      </c>
      <c r="L2135" s="89">
        <v>6406.23</v>
      </c>
      <c r="M2135" s="89">
        <v>3193.52</v>
      </c>
      <c r="N2135" s="89">
        <v>649.56</v>
      </c>
      <c r="O2135" s="89">
        <f t="shared" si="91"/>
        <v>10249.31</v>
      </c>
    </row>
    <row r="2136" spans="1:15">
      <c r="A2136" s="74" t="s">
        <v>309</v>
      </c>
      <c r="B2136" s="74" t="s">
        <v>154</v>
      </c>
      <c r="C2136" s="74" t="s">
        <v>155</v>
      </c>
      <c r="D2136" s="74" t="s">
        <v>79</v>
      </c>
      <c r="E2136" s="74" t="s">
        <v>81</v>
      </c>
      <c r="F2136" s="86" t="s">
        <v>156</v>
      </c>
      <c r="G2136" s="74" t="s">
        <v>157</v>
      </c>
      <c r="H2136" s="87">
        <v>44742</v>
      </c>
      <c r="I2136" s="98">
        <v>22</v>
      </c>
      <c r="J2136" s="98">
        <v>22</v>
      </c>
      <c r="K2136" s="89">
        <f t="shared" si="92"/>
        <v>1</v>
      </c>
      <c r="L2136" s="89">
        <v>5265.47</v>
      </c>
      <c r="M2136" s="89">
        <v>3059.15</v>
      </c>
      <c r="N2136" s="89">
        <v>509.95</v>
      </c>
      <c r="O2136" s="89">
        <f t="shared" si="91"/>
        <v>8834.57</v>
      </c>
    </row>
    <row r="2137" spans="1:15">
      <c r="A2137" s="74" t="s">
        <v>309</v>
      </c>
      <c r="B2137" s="74" t="s">
        <v>158</v>
      </c>
      <c r="C2137" s="74" t="s">
        <v>159</v>
      </c>
      <c r="D2137" s="74" t="s">
        <v>79</v>
      </c>
      <c r="E2137" s="74" t="s">
        <v>81</v>
      </c>
      <c r="F2137" s="86" t="s">
        <v>160</v>
      </c>
      <c r="G2137" s="74" t="s">
        <v>161</v>
      </c>
      <c r="H2137" s="87">
        <v>44742</v>
      </c>
      <c r="I2137" s="98">
        <v>22</v>
      </c>
      <c r="J2137" s="98">
        <v>22</v>
      </c>
      <c r="K2137" s="89">
        <f t="shared" si="92"/>
        <v>1</v>
      </c>
      <c r="L2137" s="89">
        <v>4115.38</v>
      </c>
      <c r="M2137" s="89">
        <v>3051.41</v>
      </c>
      <c r="N2137" s="89">
        <v>430.82</v>
      </c>
      <c r="O2137" s="89">
        <f t="shared" si="91"/>
        <v>7597.61</v>
      </c>
    </row>
    <row r="2138" spans="1:15">
      <c r="A2138" s="74" t="s">
        <v>309</v>
      </c>
      <c r="B2138" s="74" t="s">
        <v>162</v>
      </c>
      <c r="C2138" s="74" t="s">
        <v>163</v>
      </c>
      <c r="D2138" s="74" t="s">
        <v>79</v>
      </c>
      <c r="E2138" s="74" t="s">
        <v>81</v>
      </c>
      <c r="F2138" s="86" t="s">
        <v>123</v>
      </c>
      <c r="G2138" s="74" t="s">
        <v>153</v>
      </c>
      <c r="H2138" s="87">
        <v>44742</v>
      </c>
      <c r="I2138" s="98">
        <v>22</v>
      </c>
      <c r="J2138" s="98">
        <v>22</v>
      </c>
      <c r="K2138" s="89">
        <f t="shared" si="92"/>
        <v>1</v>
      </c>
      <c r="L2138" s="89">
        <v>6063.76</v>
      </c>
      <c r="M2138" s="89">
        <v>3051.26</v>
      </c>
      <c r="N2138" s="89">
        <v>618.25</v>
      </c>
      <c r="O2138" s="89">
        <f t="shared" si="91"/>
        <v>9733.27</v>
      </c>
    </row>
    <row r="2139" spans="1:15">
      <c r="A2139" s="74" t="s">
        <v>309</v>
      </c>
      <c r="B2139" s="74" t="s">
        <v>164</v>
      </c>
      <c r="C2139" s="74" t="s">
        <v>165</v>
      </c>
      <c r="D2139" s="74" t="s">
        <v>79</v>
      </c>
      <c r="E2139" s="74" t="s">
        <v>81</v>
      </c>
      <c r="F2139" s="86" t="s">
        <v>156</v>
      </c>
      <c r="G2139" s="74" t="s">
        <v>157</v>
      </c>
      <c r="H2139" s="87">
        <v>44742</v>
      </c>
      <c r="I2139" s="98">
        <v>22</v>
      </c>
      <c r="J2139" s="98">
        <v>22</v>
      </c>
      <c r="K2139" s="89">
        <f t="shared" si="92"/>
        <v>1</v>
      </c>
      <c r="L2139" s="89">
        <v>5162.91</v>
      </c>
      <c r="M2139" s="89">
        <v>3143.21</v>
      </c>
      <c r="N2139" s="89">
        <v>533.56</v>
      </c>
      <c r="O2139" s="89">
        <f t="shared" si="91"/>
        <v>8839.68</v>
      </c>
    </row>
    <row r="2140" spans="1:15">
      <c r="A2140" s="74" t="s">
        <v>309</v>
      </c>
      <c r="B2140" s="74" t="s">
        <v>166</v>
      </c>
      <c r="C2140" s="74" t="s">
        <v>167</v>
      </c>
      <c r="D2140" s="74" t="s">
        <v>79</v>
      </c>
      <c r="E2140" s="74" t="s">
        <v>81</v>
      </c>
      <c r="F2140" s="86" t="s">
        <v>160</v>
      </c>
      <c r="G2140" s="74" t="s">
        <v>161</v>
      </c>
      <c r="H2140" s="87">
        <v>44742</v>
      </c>
      <c r="I2140" s="98">
        <v>22</v>
      </c>
      <c r="J2140" s="98">
        <v>22</v>
      </c>
      <c r="K2140" s="89">
        <f t="shared" si="92"/>
        <v>1</v>
      </c>
      <c r="L2140" s="89">
        <v>4274.77</v>
      </c>
      <c r="M2140" s="89">
        <v>3294.45</v>
      </c>
      <c r="N2140" s="89">
        <v>418.66</v>
      </c>
      <c r="O2140" s="89">
        <f t="shared" si="91"/>
        <v>7987.88</v>
      </c>
    </row>
    <row r="2141" spans="1:15">
      <c r="A2141" s="74" t="s">
        <v>309</v>
      </c>
      <c r="B2141" s="74" t="s">
        <v>168</v>
      </c>
      <c r="C2141" s="74" t="s">
        <v>169</v>
      </c>
      <c r="D2141" s="74" t="s">
        <v>79</v>
      </c>
      <c r="E2141" s="74" t="s">
        <v>81</v>
      </c>
      <c r="F2141" s="86" t="s">
        <v>123</v>
      </c>
      <c r="G2141" s="74" t="s">
        <v>153</v>
      </c>
      <c r="H2141" s="87">
        <v>44742</v>
      </c>
      <c r="I2141" s="98">
        <v>22</v>
      </c>
      <c r="J2141" s="98">
        <v>22</v>
      </c>
      <c r="K2141" s="89">
        <f t="shared" si="92"/>
        <v>1</v>
      </c>
      <c r="L2141" s="89">
        <v>6347.93</v>
      </c>
      <c r="M2141" s="89">
        <v>3093.77</v>
      </c>
      <c r="N2141" s="89">
        <v>632.57</v>
      </c>
      <c r="O2141" s="89">
        <f t="shared" si="91"/>
        <v>10074.27</v>
      </c>
    </row>
    <row r="2142" spans="1:15">
      <c r="A2142" s="74" t="s">
        <v>309</v>
      </c>
      <c r="B2142" s="74" t="s">
        <v>170</v>
      </c>
      <c r="C2142" s="74" t="s">
        <v>171</v>
      </c>
      <c r="D2142" s="74" t="s">
        <v>79</v>
      </c>
      <c r="E2142" s="74" t="s">
        <v>81</v>
      </c>
      <c r="F2142" s="86" t="s">
        <v>156</v>
      </c>
      <c r="G2142" s="74" t="s">
        <v>157</v>
      </c>
      <c r="H2142" s="87">
        <v>44742</v>
      </c>
      <c r="I2142" s="98">
        <v>22</v>
      </c>
      <c r="J2142" s="98">
        <v>22</v>
      </c>
      <c r="K2142" s="89">
        <f t="shared" si="92"/>
        <v>1</v>
      </c>
      <c r="L2142" s="89">
        <v>5141.24</v>
      </c>
      <c r="M2142" s="89">
        <v>3277.49</v>
      </c>
      <c r="N2142" s="89">
        <v>526.46</v>
      </c>
      <c r="O2142" s="89">
        <f t="shared" si="91"/>
        <v>8945.19</v>
      </c>
    </row>
    <row r="2143" spans="1:15">
      <c r="A2143" s="74" t="s">
        <v>309</v>
      </c>
      <c r="B2143" s="74" t="s">
        <v>172</v>
      </c>
      <c r="C2143" s="74" t="s">
        <v>173</v>
      </c>
      <c r="D2143" s="74" t="s">
        <v>79</v>
      </c>
      <c r="E2143" s="74" t="s">
        <v>81</v>
      </c>
      <c r="F2143" s="86" t="s">
        <v>160</v>
      </c>
      <c r="G2143" s="74" t="s">
        <v>161</v>
      </c>
      <c r="H2143" s="87">
        <v>44742</v>
      </c>
      <c r="I2143" s="98">
        <v>22</v>
      </c>
      <c r="J2143" s="98">
        <v>22</v>
      </c>
      <c r="K2143" s="89">
        <f t="shared" si="92"/>
        <v>1</v>
      </c>
      <c r="L2143" s="89">
        <v>4117.23</v>
      </c>
      <c r="M2143" s="89">
        <v>3001.02</v>
      </c>
      <c r="N2143" s="89">
        <v>439.71</v>
      </c>
      <c r="O2143" s="89">
        <f t="shared" si="91"/>
        <v>7557.96</v>
      </c>
    </row>
    <row r="2144" spans="1:15">
      <c r="A2144" s="74" t="s">
        <v>309</v>
      </c>
      <c r="B2144" s="74" t="s">
        <v>174</v>
      </c>
      <c r="C2144" s="74" t="s">
        <v>175</v>
      </c>
      <c r="D2144" s="74" t="s">
        <v>79</v>
      </c>
      <c r="E2144" s="74" t="s">
        <v>81</v>
      </c>
      <c r="F2144" s="86" t="s">
        <v>176</v>
      </c>
      <c r="G2144" s="74" t="s">
        <v>177</v>
      </c>
      <c r="H2144" s="87">
        <v>44742</v>
      </c>
      <c r="I2144" s="98">
        <v>22</v>
      </c>
      <c r="J2144" s="98">
        <v>22</v>
      </c>
      <c r="K2144" s="89">
        <f t="shared" si="92"/>
        <v>1</v>
      </c>
      <c r="L2144" s="89">
        <v>3116.41</v>
      </c>
      <c r="M2144" s="89">
        <v>3217.48</v>
      </c>
      <c r="N2144" s="89">
        <v>303.68</v>
      </c>
      <c r="O2144" s="89">
        <f t="shared" si="91"/>
        <v>6637.57</v>
      </c>
    </row>
    <row r="2145" spans="1:15">
      <c r="A2145" s="74" t="s">
        <v>309</v>
      </c>
      <c r="B2145" s="74" t="s">
        <v>178</v>
      </c>
      <c r="C2145" s="74" t="s">
        <v>179</v>
      </c>
      <c r="D2145" s="74" t="s">
        <v>79</v>
      </c>
      <c r="E2145" s="74" t="s">
        <v>81</v>
      </c>
      <c r="F2145" s="86" t="s">
        <v>180</v>
      </c>
      <c r="G2145" s="74" t="s">
        <v>177</v>
      </c>
      <c r="H2145" s="87">
        <v>44742</v>
      </c>
      <c r="I2145" s="98">
        <v>22</v>
      </c>
      <c r="J2145" s="98">
        <v>22</v>
      </c>
      <c r="K2145" s="89">
        <f t="shared" si="92"/>
        <v>1</v>
      </c>
      <c r="L2145" s="89">
        <v>2079.93</v>
      </c>
      <c r="M2145" s="89">
        <v>3272.33</v>
      </c>
      <c r="N2145" s="89">
        <v>211.52</v>
      </c>
      <c r="O2145" s="89">
        <f t="shared" si="91"/>
        <v>5563.78</v>
      </c>
    </row>
    <row r="2146" spans="1:15">
      <c r="A2146" s="74" t="s">
        <v>309</v>
      </c>
      <c r="B2146" s="74" t="s">
        <v>181</v>
      </c>
      <c r="C2146" s="74" t="s">
        <v>182</v>
      </c>
      <c r="D2146" s="74" t="s">
        <v>79</v>
      </c>
      <c r="E2146" s="74" t="s">
        <v>81</v>
      </c>
      <c r="F2146" s="86" t="s">
        <v>183</v>
      </c>
      <c r="G2146" s="74" t="s">
        <v>177</v>
      </c>
      <c r="H2146" s="87">
        <v>44742</v>
      </c>
      <c r="I2146" s="98">
        <v>22</v>
      </c>
      <c r="J2146" s="98">
        <v>22</v>
      </c>
      <c r="K2146" s="89">
        <f t="shared" si="92"/>
        <v>1</v>
      </c>
      <c r="L2146" s="89">
        <v>1057.77</v>
      </c>
      <c r="M2146" s="89">
        <v>3221.58</v>
      </c>
      <c r="N2146" s="89">
        <v>100.51</v>
      </c>
      <c r="O2146" s="89">
        <f t="shared" si="91"/>
        <v>4379.86</v>
      </c>
    </row>
    <row r="2147" spans="1:15">
      <c r="A2147" s="74" t="s">
        <v>309</v>
      </c>
      <c r="B2147" s="74" t="s">
        <v>184</v>
      </c>
      <c r="C2147" s="74" t="s">
        <v>185</v>
      </c>
      <c r="D2147" s="74" t="s">
        <v>79</v>
      </c>
      <c r="E2147" s="74" t="s">
        <v>81</v>
      </c>
      <c r="F2147" s="86" t="s">
        <v>176</v>
      </c>
      <c r="G2147" s="74" t="s">
        <v>177</v>
      </c>
      <c r="H2147" s="87">
        <v>44742</v>
      </c>
      <c r="I2147" s="98">
        <v>22</v>
      </c>
      <c r="J2147" s="98">
        <v>22</v>
      </c>
      <c r="K2147" s="89">
        <f t="shared" si="92"/>
        <v>1</v>
      </c>
      <c r="L2147" s="89">
        <v>3254.89</v>
      </c>
      <c r="M2147" s="89">
        <v>3121.93</v>
      </c>
      <c r="N2147" s="89">
        <v>324</v>
      </c>
      <c r="O2147" s="89">
        <f t="shared" si="91"/>
        <v>6700.82</v>
      </c>
    </row>
    <row r="2148" spans="1:15">
      <c r="A2148" s="74" t="s">
        <v>309</v>
      </c>
      <c r="B2148" s="74" t="s">
        <v>186</v>
      </c>
      <c r="C2148" s="74" t="s">
        <v>187</v>
      </c>
      <c r="D2148" s="74" t="s">
        <v>79</v>
      </c>
      <c r="E2148" s="74" t="s">
        <v>81</v>
      </c>
      <c r="F2148" s="86" t="s">
        <v>180</v>
      </c>
      <c r="G2148" s="74" t="s">
        <v>177</v>
      </c>
      <c r="H2148" s="87">
        <v>44742</v>
      </c>
      <c r="I2148" s="98">
        <v>22</v>
      </c>
      <c r="J2148" s="98">
        <v>22</v>
      </c>
      <c r="K2148" s="89">
        <f t="shared" si="92"/>
        <v>1</v>
      </c>
      <c r="L2148" s="89">
        <v>2083.16</v>
      </c>
      <c r="M2148" s="89">
        <v>3270.28</v>
      </c>
      <c r="N2148" s="89">
        <v>217.51</v>
      </c>
      <c r="O2148" s="89">
        <f t="shared" si="91"/>
        <v>5570.95</v>
      </c>
    </row>
    <row r="2149" spans="1:15">
      <c r="A2149" s="74" t="s">
        <v>309</v>
      </c>
      <c r="B2149" s="74" t="s">
        <v>188</v>
      </c>
      <c r="C2149" s="74" t="s">
        <v>189</v>
      </c>
      <c r="D2149" s="74" t="s">
        <v>79</v>
      </c>
      <c r="E2149" s="74" t="s">
        <v>81</v>
      </c>
      <c r="F2149" s="86" t="s">
        <v>183</v>
      </c>
      <c r="G2149" s="74" t="s">
        <v>177</v>
      </c>
      <c r="H2149" s="87">
        <v>44742</v>
      </c>
      <c r="I2149" s="98">
        <v>22</v>
      </c>
      <c r="J2149" s="98">
        <v>22</v>
      </c>
      <c r="K2149" s="89">
        <f t="shared" si="92"/>
        <v>1</v>
      </c>
      <c r="L2149" s="89">
        <v>1007.51</v>
      </c>
      <c r="M2149" s="89">
        <v>3105.48</v>
      </c>
      <c r="N2149" s="89">
        <v>102.76</v>
      </c>
      <c r="O2149" s="89">
        <f t="shared" si="91"/>
        <v>4215.75</v>
      </c>
    </row>
    <row r="2150" spans="1:15">
      <c r="A2150" s="74" t="s">
        <v>309</v>
      </c>
      <c r="B2150" s="74" t="s">
        <v>190</v>
      </c>
      <c r="C2150" s="74" t="s">
        <v>191</v>
      </c>
      <c r="D2150" s="74" t="s">
        <v>79</v>
      </c>
      <c r="E2150" s="74" t="s">
        <v>81</v>
      </c>
      <c r="F2150" s="86" t="s">
        <v>176</v>
      </c>
      <c r="G2150" s="74" t="s">
        <v>177</v>
      </c>
      <c r="H2150" s="87">
        <v>44742</v>
      </c>
      <c r="I2150" s="98">
        <v>22</v>
      </c>
      <c r="J2150" s="98">
        <v>22</v>
      </c>
      <c r="K2150" s="89">
        <f t="shared" si="92"/>
        <v>1</v>
      </c>
      <c r="L2150" s="89">
        <v>3119.97</v>
      </c>
      <c r="M2150" s="89">
        <v>3273.03</v>
      </c>
      <c r="N2150" s="89">
        <v>311.53</v>
      </c>
      <c r="O2150" s="89">
        <f t="shared" si="91"/>
        <v>6704.53</v>
      </c>
    </row>
    <row r="2151" spans="1:15">
      <c r="A2151" s="74" t="s">
        <v>309</v>
      </c>
      <c r="B2151" s="74" t="s">
        <v>192</v>
      </c>
      <c r="C2151" s="74" t="s">
        <v>193</v>
      </c>
      <c r="D2151" s="74" t="s">
        <v>79</v>
      </c>
      <c r="E2151" s="74" t="s">
        <v>81</v>
      </c>
      <c r="F2151" s="86" t="s">
        <v>180</v>
      </c>
      <c r="G2151" s="74" t="s">
        <v>177</v>
      </c>
      <c r="H2151" s="87">
        <v>44742</v>
      </c>
      <c r="I2151" s="98">
        <v>22</v>
      </c>
      <c r="J2151" s="98">
        <v>22</v>
      </c>
      <c r="K2151" s="89">
        <f t="shared" si="92"/>
        <v>1</v>
      </c>
      <c r="L2151" s="89">
        <v>2053.76</v>
      </c>
      <c r="M2151" s="89">
        <v>3014.64</v>
      </c>
      <c r="N2151" s="89">
        <v>205.4</v>
      </c>
      <c r="O2151" s="89">
        <f t="shared" si="91"/>
        <v>5273.8</v>
      </c>
    </row>
    <row r="2152" spans="1:15">
      <c r="A2152" s="74" t="s">
        <v>309</v>
      </c>
      <c r="B2152" s="74" t="s">
        <v>194</v>
      </c>
      <c r="C2152" s="74" t="s">
        <v>195</v>
      </c>
      <c r="D2152" s="74" t="s">
        <v>79</v>
      </c>
      <c r="E2152" s="74" t="s">
        <v>81</v>
      </c>
      <c r="F2152" s="86" t="s">
        <v>183</v>
      </c>
      <c r="G2152" s="74" t="s">
        <v>177</v>
      </c>
      <c r="H2152" s="87">
        <v>44742</v>
      </c>
      <c r="I2152" s="98">
        <v>22</v>
      </c>
      <c r="J2152" s="98">
        <v>22</v>
      </c>
      <c r="K2152" s="89">
        <f t="shared" si="92"/>
        <v>1</v>
      </c>
      <c r="L2152" s="89">
        <v>1020.03</v>
      </c>
      <c r="M2152" s="89">
        <v>3179</v>
      </c>
      <c r="N2152" s="89">
        <v>100.55</v>
      </c>
      <c r="O2152" s="89">
        <f t="shared" si="91"/>
        <v>4299.58</v>
      </c>
    </row>
    <row r="2153" spans="1:15">
      <c r="A2153" s="74" t="s">
        <v>309</v>
      </c>
      <c r="B2153" s="74" t="s">
        <v>196</v>
      </c>
      <c r="C2153" s="74" t="s">
        <v>197</v>
      </c>
      <c r="D2153" s="74" t="s">
        <v>79</v>
      </c>
      <c r="E2153" s="74" t="s">
        <v>81</v>
      </c>
      <c r="F2153" s="86" t="s">
        <v>176</v>
      </c>
      <c r="G2153" s="74" t="s">
        <v>177</v>
      </c>
      <c r="H2153" s="87">
        <v>44742</v>
      </c>
      <c r="I2153" s="98">
        <v>22</v>
      </c>
      <c r="J2153" s="98">
        <v>22</v>
      </c>
      <c r="K2153" s="89">
        <f t="shared" si="92"/>
        <v>1</v>
      </c>
      <c r="L2153" s="89">
        <v>3000.05</v>
      </c>
      <c r="M2153" s="89">
        <v>3237.63</v>
      </c>
      <c r="N2153" s="89">
        <v>323.95</v>
      </c>
      <c r="O2153" s="89">
        <f t="shared" si="91"/>
        <v>6561.63</v>
      </c>
    </row>
    <row r="2154" spans="1:15">
      <c r="A2154" s="74" t="s">
        <v>309</v>
      </c>
      <c r="B2154" s="74" t="s">
        <v>198</v>
      </c>
      <c r="C2154" s="74" t="s">
        <v>199</v>
      </c>
      <c r="D2154" s="74" t="s">
        <v>79</v>
      </c>
      <c r="E2154" s="74" t="s">
        <v>81</v>
      </c>
      <c r="F2154" s="86" t="s">
        <v>180</v>
      </c>
      <c r="G2154" s="74" t="s">
        <v>177</v>
      </c>
      <c r="H2154" s="87">
        <v>44742</v>
      </c>
      <c r="I2154" s="98">
        <v>22</v>
      </c>
      <c r="J2154" s="98">
        <v>22</v>
      </c>
      <c r="K2154" s="89">
        <f t="shared" si="92"/>
        <v>1</v>
      </c>
      <c r="L2154" s="89">
        <v>2172.62</v>
      </c>
      <c r="M2154" s="89">
        <v>3154.93</v>
      </c>
      <c r="N2154" s="89">
        <v>204.05</v>
      </c>
      <c r="O2154" s="89">
        <f t="shared" si="91"/>
        <v>5531.6</v>
      </c>
    </row>
    <row r="2155" spans="1:15">
      <c r="A2155" s="74" t="s">
        <v>309</v>
      </c>
      <c r="B2155" s="74" t="s">
        <v>200</v>
      </c>
      <c r="C2155" s="74" t="s">
        <v>201</v>
      </c>
      <c r="D2155" s="74" t="s">
        <v>79</v>
      </c>
      <c r="E2155" s="74" t="s">
        <v>81</v>
      </c>
      <c r="F2155" s="86" t="s">
        <v>183</v>
      </c>
      <c r="G2155" s="74" t="s">
        <v>177</v>
      </c>
      <c r="H2155" s="87">
        <v>44742</v>
      </c>
      <c r="I2155" s="98">
        <v>22</v>
      </c>
      <c r="J2155" s="98">
        <v>22</v>
      </c>
      <c r="K2155" s="89">
        <f t="shared" si="92"/>
        <v>1</v>
      </c>
      <c r="L2155" s="89">
        <v>1050.57</v>
      </c>
      <c r="M2155" s="89">
        <v>3056.77</v>
      </c>
      <c r="N2155" s="89">
        <v>104.17</v>
      </c>
      <c r="O2155" s="89">
        <f t="shared" si="91"/>
        <v>4211.51</v>
      </c>
    </row>
    <row r="2156" spans="1:15">
      <c r="A2156" s="74" t="s">
        <v>309</v>
      </c>
      <c r="B2156" s="74" t="s">
        <v>202</v>
      </c>
      <c r="C2156" s="74" t="s">
        <v>203</v>
      </c>
      <c r="D2156" s="74" t="s">
        <v>79</v>
      </c>
      <c r="E2156" s="74" t="s">
        <v>81</v>
      </c>
      <c r="F2156" s="86" t="s">
        <v>204</v>
      </c>
      <c r="G2156" s="74" t="s">
        <v>205</v>
      </c>
      <c r="H2156" s="87">
        <v>44742</v>
      </c>
      <c r="I2156" s="98">
        <v>22</v>
      </c>
      <c r="J2156" s="98">
        <v>22</v>
      </c>
      <c r="K2156" s="89">
        <f t="shared" si="92"/>
        <v>1</v>
      </c>
      <c r="L2156" s="89">
        <v>18966.33</v>
      </c>
      <c r="M2156" s="89">
        <v>3193.35</v>
      </c>
      <c r="N2156" s="89">
        <v>1883.98</v>
      </c>
      <c r="O2156" s="89">
        <f t="shared" si="91"/>
        <v>24043.66</v>
      </c>
    </row>
    <row r="2157" spans="1:15">
      <c r="A2157" s="74" t="s">
        <v>309</v>
      </c>
      <c r="B2157" s="74" t="s">
        <v>206</v>
      </c>
      <c r="C2157" s="74" t="s">
        <v>207</v>
      </c>
      <c r="D2157" s="88" t="s">
        <v>82</v>
      </c>
      <c r="E2157" s="88" t="s">
        <v>84</v>
      </c>
      <c r="F2157" s="86" t="s">
        <v>208</v>
      </c>
      <c r="G2157" s="74" t="s">
        <v>209</v>
      </c>
      <c r="H2157" s="87">
        <v>44742</v>
      </c>
      <c r="I2157" s="98">
        <v>22</v>
      </c>
      <c r="J2157" s="98">
        <v>22</v>
      </c>
      <c r="K2157" s="89">
        <f t="shared" si="92"/>
        <v>1</v>
      </c>
      <c r="L2157" s="89">
        <v>9313.87</v>
      </c>
      <c r="M2157" s="89">
        <v>3087.84</v>
      </c>
      <c r="N2157" s="89">
        <v>979.85</v>
      </c>
      <c r="O2157" s="89">
        <f t="shared" si="91"/>
        <v>13381.56</v>
      </c>
    </row>
    <row r="2158" spans="1:15">
      <c r="A2158" s="74" t="s">
        <v>309</v>
      </c>
      <c r="B2158" s="74" t="s">
        <v>210</v>
      </c>
      <c r="C2158" s="74" t="s">
        <v>211</v>
      </c>
      <c r="D2158" s="88" t="s">
        <v>82</v>
      </c>
      <c r="E2158" s="88" t="s">
        <v>84</v>
      </c>
      <c r="F2158" s="86" t="s">
        <v>116</v>
      </c>
      <c r="G2158" s="74" t="s">
        <v>209</v>
      </c>
      <c r="H2158" s="87">
        <v>44742</v>
      </c>
      <c r="I2158" s="98">
        <v>22</v>
      </c>
      <c r="J2158" s="98">
        <v>22</v>
      </c>
      <c r="K2158" s="89">
        <f t="shared" si="92"/>
        <v>1</v>
      </c>
      <c r="L2158" s="89">
        <v>8251.8</v>
      </c>
      <c r="M2158" s="89">
        <v>3086.92</v>
      </c>
      <c r="N2158" s="89">
        <v>878.2</v>
      </c>
      <c r="O2158" s="89">
        <f t="shared" si="91"/>
        <v>12216.92</v>
      </c>
    </row>
    <row r="2159" spans="1:15">
      <c r="A2159" s="74" t="s">
        <v>309</v>
      </c>
      <c r="B2159" s="74" t="s">
        <v>212</v>
      </c>
      <c r="C2159" s="74" t="s">
        <v>213</v>
      </c>
      <c r="D2159" s="88" t="s">
        <v>82</v>
      </c>
      <c r="E2159" s="88" t="s">
        <v>84</v>
      </c>
      <c r="F2159" s="86" t="s">
        <v>208</v>
      </c>
      <c r="G2159" s="74" t="s">
        <v>209</v>
      </c>
      <c r="H2159" s="87">
        <v>44742</v>
      </c>
      <c r="I2159" s="98">
        <v>22</v>
      </c>
      <c r="J2159" s="98">
        <v>22</v>
      </c>
      <c r="K2159" s="89">
        <f t="shared" si="92"/>
        <v>1</v>
      </c>
      <c r="L2159" s="89">
        <v>9768.52</v>
      </c>
      <c r="M2159" s="89">
        <v>3227.19</v>
      </c>
      <c r="N2159" s="89">
        <v>932.29</v>
      </c>
      <c r="O2159" s="89">
        <f t="shared" si="91"/>
        <v>13928</v>
      </c>
    </row>
    <row r="2160" spans="1:15">
      <c r="A2160" s="74" t="s">
        <v>309</v>
      </c>
      <c r="B2160" s="74" t="s">
        <v>214</v>
      </c>
      <c r="C2160" s="74" t="s">
        <v>215</v>
      </c>
      <c r="D2160" s="88" t="s">
        <v>82</v>
      </c>
      <c r="E2160" s="88" t="s">
        <v>84</v>
      </c>
      <c r="F2160" s="86" t="s">
        <v>116</v>
      </c>
      <c r="G2160" s="74" t="s">
        <v>209</v>
      </c>
      <c r="H2160" s="87">
        <v>44742</v>
      </c>
      <c r="I2160" s="98">
        <v>22</v>
      </c>
      <c r="J2160" s="98">
        <v>22</v>
      </c>
      <c r="K2160" s="89">
        <f t="shared" si="92"/>
        <v>1</v>
      </c>
      <c r="L2160" s="89">
        <v>8391.39</v>
      </c>
      <c r="M2160" s="89">
        <v>3037.36</v>
      </c>
      <c r="N2160" s="89">
        <v>837.81</v>
      </c>
      <c r="O2160" s="89">
        <f t="shared" si="91"/>
        <v>12266.56</v>
      </c>
    </row>
    <row r="2161" spans="1:15">
      <c r="A2161" s="74" t="s">
        <v>309</v>
      </c>
      <c r="B2161" s="74" t="s">
        <v>216</v>
      </c>
      <c r="C2161" s="74" t="s">
        <v>217</v>
      </c>
      <c r="D2161" s="88" t="s">
        <v>82</v>
      </c>
      <c r="E2161" s="88" t="s">
        <v>84</v>
      </c>
      <c r="F2161" s="86" t="s">
        <v>218</v>
      </c>
      <c r="G2161" s="74" t="s">
        <v>219</v>
      </c>
      <c r="H2161" s="87">
        <v>44742</v>
      </c>
      <c r="I2161" s="98">
        <v>22</v>
      </c>
      <c r="J2161" s="98">
        <v>22</v>
      </c>
      <c r="K2161" s="89">
        <f t="shared" si="92"/>
        <v>1</v>
      </c>
      <c r="L2161" s="89">
        <v>11363.61</v>
      </c>
      <c r="M2161" s="89">
        <v>3030</v>
      </c>
      <c r="N2161" s="89">
        <v>1135.94</v>
      </c>
      <c r="O2161" s="89">
        <f t="shared" si="91"/>
        <v>15529.55</v>
      </c>
    </row>
    <row r="2162" spans="1:15">
      <c r="A2162" s="74" t="s">
        <v>309</v>
      </c>
      <c r="B2162" s="74" t="s">
        <v>220</v>
      </c>
      <c r="C2162" s="74" t="s">
        <v>221</v>
      </c>
      <c r="D2162" s="88" t="s">
        <v>82</v>
      </c>
      <c r="E2162" s="74" t="s">
        <v>83</v>
      </c>
      <c r="F2162" s="86" t="s">
        <v>218</v>
      </c>
      <c r="G2162" s="74" t="s">
        <v>222</v>
      </c>
      <c r="H2162" s="87">
        <v>44742</v>
      </c>
      <c r="I2162" s="98">
        <v>22</v>
      </c>
      <c r="J2162" s="98">
        <v>22</v>
      </c>
      <c r="K2162" s="89">
        <f t="shared" si="92"/>
        <v>1</v>
      </c>
      <c r="L2162" s="89">
        <v>11858.45</v>
      </c>
      <c r="M2162" s="89">
        <v>3283.04</v>
      </c>
      <c r="N2162" s="89">
        <v>1109.28</v>
      </c>
      <c r="O2162" s="89">
        <f t="shared" si="91"/>
        <v>16250.77</v>
      </c>
    </row>
    <row r="2163" spans="1:15">
      <c r="A2163" s="74" t="s">
        <v>309</v>
      </c>
      <c r="B2163" s="74" t="s">
        <v>223</v>
      </c>
      <c r="C2163" s="74" t="s">
        <v>224</v>
      </c>
      <c r="D2163" s="88" t="s">
        <v>82</v>
      </c>
      <c r="E2163" s="74" t="s">
        <v>83</v>
      </c>
      <c r="F2163" s="86" t="s">
        <v>225</v>
      </c>
      <c r="G2163" s="74" t="s">
        <v>209</v>
      </c>
      <c r="H2163" s="87">
        <v>44742</v>
      </c>
      <c r="I2163" s="98">
        <v>22</v>
      </c>
      <c r="J2163" s="98">
        <v>22</v>
      </c>
      <c r="K2163" s="89">
        <f t="shared" si="92"/>
        <v>1</v>
      </c>
      <c r="L2163" s="89">
        <v>10639.01</v>
      </c>
      <c r="M2163" s="89">
        <v>3241.73</v>
      </c>
      <c r="N2163" s="89">
        <v>1049.98</v>
      </c>
      <c r="O2163" s="89">
        <f t="shared" si="91"/>
        <v>14930.72</v>
      </c>
    </row>
    <row r="2164" spans="1:15">
      <c r="A2164" s="74" t="s">
        <v>309</v>
      </c>
      <c r="B2164" s="74" t="s">
        <v>226</v>
      </c>
      <c r="C2164" s="74" t="s">
        <v>227</v>
      </c>
      <c r="D2164" s="88" t="s">
        <v>82</v>
      </c>
      <c r="E2164" s="74" t="s">
        <v>83</v>
      </c>
      <c r="F2164" s="86" t="s">
        <v>208</v>
      </c>
      <c r="G2164" s="74" t="s">
        <v>209</v>
      </c>
      <c r="H2164" s="87">
        <v>44742</v>
      </c>
      <c r="I2164" s="98">
        <v>22</v>
      </c>
      <c r="J2164" s="98">
        <v>22</v>
      </c>
      <c r="K2164" s="89">
        <f t="shared" si="92"/>
        <v>1</v>
      </c>
      <c r="L2164" s="89">
        <v>9880.66</v>
      </c>
      <c r="M2164" s="89">
        <v>3017.2</v>
      </c>
      <c r="N2164" s="89">
        <v>961.84</v>
      </c>
      <c r="O2164" s="89">
        <f t="shared" si="91"/>
        <v>13859.7</v>
      </c>
    </row>
    <row r="2165" spans="1:15">
      <c r="A2165" s="74" t="s">
        <v>309</v>
      </c>
      <c r="B2165" s="74" t="s">
        <v>228</v>
      </c>
      <c r="C2165" s="74" t="s">
        <v>229</v>
      </c>
      <c r="D2165" s="88" t="s">
        <v>82</v>
      </c>
      <c r="E2165" s="74" t="s">
        <v>83</v>
      </c>
      <c r="F2165" s="86" t="s">
        <v>116</v>
      </c>
      <c r="G2165" s="74" t="s">
        <v>209</v>
      </c>
      <c r="H2165" s="87">
        <v>44742</v>
      </c>
      <c r="I2165" s="98">
        <v>22</v>
      </c>
      <c r="J2165" s="98">
        <v>22</v>
      </c>
      <c r="K2165" s="89">
        <f t="shared" si="92"/>
        <v>1</v>
      </c>
      <c r="L2165" s="89">
        <v>8667.96</v>
      </c>
      <c r="M2165" s="89">
        <v>3259.32</v>
      </c>
      <c r="N2165" s="89">
        <v>833.61</v>
      </c>
      <c r="O2165" s="89">
        <f t="shared" si="91"/>
        <v>12760.89</v>
      </c>
    </row>
    <row r="2166" spans="1:15">
      <c r="A2166" s="74" t="s">
        <v>309</v>
      </c>
      <c r="B2166" s="74" t="s">
        <v>230</v>
      </c>
      <c r="C2166" s="74" t="s">
        <v>231</v>
      </c>
      <c r="D2166" s="88" t="s">
        <v>82</v>
      </c>
      <c r="E2166" s="74" t="s">
        <v>83</v>
      </c>
      <c r="F2166" s="86" t="s">
        <v>120</v>
      </c>
      <c r="G2166" s="74" t="s">
        <v>209</v>
      </c>
      <c r="H2166" s="87">
        <v>44742</v>
      </c>
      <c r="I2166" s="98">
        <v>22</v>
      </c>
      <c r="J2166" s="98">
        <v>22</v>
      </c>
      <c r="K2166" s="89">
        <f t="shared" si="92"/>
        <v>1</v>
      </c>
      <c r="L2166" s="89">
        <v>7331.23</v>
      </c>
      <c r="M2166" s="89">
        <v>3233.5</v>
      </c>
      <c r="N2166" s="89">
        <v>719.95</v>
      </c>
      <c r="O2166" s="89">
        <f t="shared" si="91"/>
        <v>11284.68</v>
      </c>
    </row>
    <row r="2167" spans="1:15">
      <c r="A2167" s="74" t="s">
        <v>309</v>
      </c>
      <c r="B2167" s="74" t="s">
        <v>232</v>
      </c>
      <c r="C2167" s="74" t="s">
        <v>233</v>
      </c>
      <c r="D2167" s="88" t="s">
        <v>82</v>
      </c>
      <c r="E2167" s="74" t="s">
        <v>83</v>
      </c>
      <c r="F2167" s="86" t="s">
        <v>123</v>
      </c>
      <c r="G2167" s="74" t="s">
        <v>209</v>
      </c>
      <c r="H2167" s="87">
        <v>44742</v>
      </c>
      <c r="I2167" s="98">
        <v>22</v>
      </c>
      <c r="J2167" s="98">
        <v>22</v>
      </c>
      <c r="K2167" s="89">
        <f t="shared" si="92"/>
        <v>1</v>
      </c>
      <c r="L2167" s="89">
        <v>6471.54</v>
      </c>
      <c r="M2167" s="89">
        <v>3206.84</v>
      </c>
      <c r="N2167" s="89">
        <v>625.92</v>
      </c>
      <c r="O2167" s="89">
        <f t="shared" si="91"/>
        <v>10304.3</v>
      </c>
    </row>
    <row r="2168" spans="1:15">
      <c r="A2168" s="74" t="s">
        <v>309</v>
      </c>
      <c r="B2168" s="74" t="s">
        <v>234</v>
      </c>
      <c r="C2168" s="74" t="s">
        <v>235</v>
      </c>
      <c r="D2168" s="88" t="s">
        <v>82</v>
      </c>
      <c r="E2168" s="74" t="s">
        <v>83</v>
      </c>
      <c r="F2168" s="86" t="s">
        <v>116</v>
      </c>
      <c r="G2168" s="74" t="s">
        <v>209</v>
      </c>
      <c r="H2168" s="87">
        <v>44742</v>
      </c>
      <c r="I2168" s="98">
        <v>22</v>
      </c>
      <c r="J2168" s="98">
        <v>22</v>
      </c>
      <c r="K2168" s="89">
        <f t="shared" si="92"/>
        <v>1</v>
      </c>
      <c r="L2168" s="89">
        <v>8449.55</v>
      </c>
      <c r="M2168" s="89">
        <v>3121.09</v>
      </c>
      <c r="N2168" s="89">
        <v>838.73</v>
      </c>
      <c r="O2168" s="89">
        <f t="shared" si="91"/>
        <v>12409.37</v>
      </c>
    </row>
    <row r="2169" spans="1:15">
      <c r="A2169" s="74" t="s">
        <v>309</v>
      </c>
      <c r="B2169" s="74" t="s">
        <v>236</v>
      </c>
      <c r="C2169" s="74" t="s">
        <v>237</v>
      </c>
      <c r="D2169" s="88" t="s">
        <v>82</v>
      </c>
      <c r="E2169" s="74" t="s">
        <v>83</v>
      </c>
      <c r="F2169" s="86" t="s">
        <v>120</v>
      </c>
      <c r="G2169" s="74" t="s">
        <v>209</v>
      </c>
      <c r="H2169" s="87">
        <v>44742</v>
      </c>
      <c r="I2169" s="98">
        <v>22</v>
      </c>
      <c r="J2169" s="98">
        <v>22</v>
      </c>
      <c r="K2169" s="89">
        <f t="shared" si="92"/>
        <v>1</v>
      </c>
      <c r="L2169" s="89">
        <v>7534.02</v>
      </c>
      <c r="M2169" s="89">
        <v>3090.67</v>
      </c>
      <c r="N2169" s="89">
        <v>717.39</v>
      </c>
      <c r="O2169" s="89">
        <f t="shared" si="91"/>
        <v>11342.08</v>
      </c>
    </row>
    <row r="2170" spans="1:15">
      <c r="A2170" s="74" t="s">
        <v>309</v>
      </c>
      <c r="B2170" s="74" t="s">
        <v>238</v>
      </c>
      <c r="C2170" s="74" t="s">
        <v>239</v>
      </c>
      <c r="D2170" s="74" t="s">
        <v>86</v>
      </c>
      <c r="E2170" s="74" t="s">
        <v>87</v>
      </c>
      <c r="F2170" s="86" t="s">
        <v>204</v>
      </c>
      <c r="G2170" s="74" t="s">
        <v>240</v>
      </c>
      <c r="H2170" s="87">
        <v>44742</v>
      </c>
      <c r="I2170" s="98">
        <v>22</v>
      </c>
      <c r="J2170" s="98">
        <v>22</v>
      </c>
      <c r="K2170" s="89">
        <f t="shared" si="92"/>
        <v>1</v>
      </c>
      <c r="L2170" s="89">
        <v>14601.96</v>
      </c>
      <c r="M2170" s="89">
        <v>3174.93</v>
      </c>
      <c r="N2170" s="89">
        <v>1948.37</v>
      </c>
      <c r="O2170" s="89">
        <f t="shared" si="91"/>
        <v>19725.26</v>
      </c>
    </row>
    <row r="2171" spans="1:15">
      <c r="A2171" s="74" t="s">
        <v>309</v>
      </c>
      <c r="B2171" s="74" t="s">
        <v>241</v>
      </c>
      <c r="C2171" s="74" t="s">
        <v>242</v>
      </c>
      <c r="D2171" s="74" t="s">
        <v>86</v>
      </c>
      <c r="E2171" s="74" t="s">
        <v>87</v>
      </c>
      <c r="F2171" s="86" t="s">
        <v>243</v>
      </c>
      <c r="G2171" s="74" t="s">
        <v>244</v>
      </c>
      <c r="H2171" s="87">
        <v>44742</v>
      </c>
      <c r="I2171" s="98">
        <v>22</v>
      </c>
      <c r="J2171" s="98">
        <v>22</v>
      </c>
      <c r="K2171" s="89">
        <f t="shared" si="92"/>
        <v>1</v>
      </c>
      <c r="L2171" s="89">
        <v>11203.33</v>
      </c>
      <c r="M2171" s="89">
        <v>3260.47</v>
      </c>
      <c r="N2171" s="89">
        <v>1304.28</v>
      </c>
      <c r="O2171" s="89">
        <f t="shared" si="91"/>
        <v>15768.08</v>
      </c>
    </row>
    <row r="2172" spans="1:15">
      <c r="A2172" s="74" t="s">
        <v>309</v>
      </c>
      <c r="B2172" s="74" t="s">
        <v>245</v>
      </c>
      <c r="C2172" s="74" t="s">
        <v>246</v>
      </c>
      <c r="D2172" s="74" t="s">
        <v>86</v>
      </c>
      <c r="E2172" s="74" t="s">
        <v>87</v>
      </c>
      <c r="F2172" s="86" t="s">
        <v>247</v>
      </c>
      <c r="G2172" s="74" t="s">
        <v>248</v>
      </c>
      <c r="H2172" s="87">
        <v>44742</v>
      </c>
      <c r="I2172" s="98">
        <v>22</v>
      </c>
      <c r="J2172" s="98">
        <v>22</v>
      </c>
      <c r="K2172" s="89">
        <f t="shared" si="92"/>
        <v>1</v>
      </c>
      <c r="L2172" s="89">
        <v>10231.55</v>
      </c>
      <c r="M2172" s="89">
        <v>3229.63</v>
      </c>
      <c r="N2172" s="89">
        <v>1243.1</v>
      </c>
      <c r="O2172" s="89">
        <f t="shared" si="91"/>
        <v>14704.28</v>
      </c>
    </row>
    <row r="2173" spans="1:15">
      <c r="A2173" s="74" t="s">
        <v>309</v>
      </c>
      <c r="B2173" s="74" t="s">
        <v>249</v>
      </c>
      <c r="C2173" s="74" t="s">
        <v>250</v>
      </c>
      <c r="D2173" s="74" t="s">
        <v>86</v>
      </c>
      <c r="E2173" s="74" t="s">
        <v>87</v>
      </c>
      <c r="F2173" s="86" t="s">
        <v>251</v>
      </c>
      <c r="G2173" s="74" t="s">
        <v>252</v>
      </c>
      <c r="H2173" s="87">
        <v>44742</v>
      </c>
      <c r="I2173" s="98">
        <v>22</v>
      </c>
      <c r="J2173" s="98">
        <v>22</v>
      </c>
      <c r="K2173" s="89">
        <f t="shared" si="92"/>
        <v>1</v>
      </c>
      <c r="L2173" s="89">
        <v>8811.6</v>
      </c>
      <c r="M2173" s="89">
        <v>3025.28</v>
      </c>
      <c r="N2173" s="89">
        <v>1159.07</v>
      </c>
      <c r="O2173" s="89">
        <f t="shared" si="91"/>
        <v>12995.95</v>
      </c>
    </row>
    <row r="2174" spans="1:15">
      <c r="A2174" s="74" t="s">
        <v>309</v>
      </c>
      <c r="B2174" s="74" t="s">
        <v>253</v>
      </c>
      <c r="C2174" s="74" t="s">
        <v>254</v>
      </c>
      <c r="D2174" s="74" t="s">
        <v>86</v>
      </c>
      <c r="E2174" s="74" t="s">
        <v>87</v>
      </c>
      <c r="F2174" s="86" t="s">
        <v>255</v>
      </c>
      <c r="G2174" s="74" t="s">
        <v>252</v>
      </c>
      <c r="H2174" s="87">
        <v>44742</v>
      </c>
      <c r="I2174" s="98">
        <v>22</v>
      </c>
      <c r="J2174" s="98">
        <v>22</v>
      </c>
      <c r="K2174" s="89">
        <f t="shared" si="92"/>
        <v>1</v>
      </c>
      <c r="L2174" s="89">
        <v>8352.64</v>
      </c>
      <c r="M2174" s="89">
        <v>3142.99</v>
      </c>
      <c r="N2174" s="89">
        <v>1033.63</v>
      </c>
      <c r="O2174" s="89">
        <f t="shared" si="91"/>
        <v>12529.26</v>
      </c>
    </row>
    <row r="2175" spans="1:15">
      <c r="A2175" s="74" t="s">
        <v>309</v>
      </c>
      <c r="B2175" s="74" t="s">
        <v>256</v>
      </c>
      <c r="C2175" s="74" t="s">
        <v>257</v>
      </c>
      <c r="D2175" s="74" t="s">
        <v>86</v>
      </c>
      <c r="E2175" s="74" t="s">
        <v>87</v>
      </c>
      <c r="F2175" s="86" t="s">
        <v>258</v>
      </c>
      <c r="G2175" s="74" t="s">
        <v>252</v>
      </c>
      <c r="H2175" s="87">
        <v>44742</v>
      </c>
      <c r="I2175" s="98">
        <v>22</v>
      </c>
      <c r="J2175" s="98">
        <v>22</v>
      </c>
      <c r="K2175" s="89">
        <f t="shared" si="92"/>
        <v>1</v>
      </c>
      <c r="L2175" s="89">
        <v>7824.71</v>
      </c>
      <c r="M2175" s="89">
        <v>3028.86</v>
      </c>
      <c r="N2175" s="89">
        <v>921.84</v>
      </c>
      <c r="O2175" s="89">
        <f t="shared" si="91"/>
        <v>11775.41</v>
      </c>
    </row>
    <row r="2176" spans="1:15">
      <c r="A2176" s="74" t="s">
        <v>309</v>
      </c>
      <c r="B2176" s="74" t="s">
        <v>259</v>
      </c>
      <c r="C2176" s="74" t="s">
        <v>260</v>
      </c>
      <c r="D2176" s="74" t="s">
        <v>86</v>
      </c>
      <c r="E2176" s="74" t="s">
        <v>87</v>
      </c>
      <c r="F2176" s="86" t="s">
        <v>261</v>
      </c>
      <c r="G2176" s="74" t="s">
        <v>262</v>
      </c>
      <c r="H2176" s="87">
        <v>44742</v>
      </c>
      <c r="I2176" s="98">
        <v>22</v>
      </c>
      <c r="J2176" s="98">
        <v>22</v>
      </c>
      <c r="K2176" s="89">
        <f t="shared" si="92"/>
        <v>1</v>
      </c>
      <c r="L2176" s="89">
        <v>6415.61</v>
      </c>
      <c r="M2176" s="89">
        <v>3102.89</v>
      </c>
      <c r="N2176" s="89">
        <v>879.36</v>
      </c>
      <c r="O2176" s="89">
        <f t="shared" si="91"/>
        <v>10397.86</v>
      </c>
    </row>
    <row r="2177" spans="1:15">
      <c r="A2177" s="74" t="s">
        <v>309</v>
      </c>
      <c r="B2177" s="74" t="s">
        <v>263</v>
      </c>
      <c r="C2177" s="74" t="s">
        <v>264</v>
      </c>
      <c r="D2177" s="74" t="s">
        <v>86</v>
      </c>
      <c r="E2177" s="74" t="s">
        <v>88</v>
      </c>
      <c r="F2177" s="86" t="s">
        <v>149</v>
      </c>
      <c r="G2177" s="74" t="s">
        <v>265</v>
      </c>
      <c r="H2177" s="87">
        <v>44742</v>
      </c>
      <c r="I2177" s="98">
        <v>22</v>
      </c>
      <c r="J2177" s="98">
        <v>22</v>
      </c>
      <c r="K2177" s="89">
        <f t="shared" si="92"/>
        <v>1</v>
      </c>
      <c r="L2177" s="89">
        <v>13931.35</v>
      </c>
      <c r="M2177" s="89">
        <v>3029.19</v>
      </c>
      <c r="N2177" s="89">
        <v>1801.22</v>
      </c>
      <c r="O2177" s="89">
        <f t="shared" si="91"/>
        <v>18761.76</v>
      </c>
    </row>
    <row r="2178" spans="1:15">
      <c r="A2178" s="74" t="s">
        <v>309</v>
      </c>
      <c r="B2178" s="74" t="s">
        <v>266</v>
      </c>
      <c r="C2178" s="74" t="s">
        <v>267</v>
      </c>
      <c r="D2178" s="74" t="s">
        <v>86</v>
      </c>
      <c r="E2178" s="74" t="s">
        <v>88</v>
      </c>
      <c r="F2178" s="86" t="s">
        <v>243</v>
      </c>
      <c r="G2178" s="74" t="s">
        <v>268</v>
      </c>
      <c r="H2178" s="87">
        <v>44742</v>
      </c>
      <c r="I2178" s="98">
        <v>22</v>
      </c>
      <c r="J2178" s="98">
        <v>22</v>
      </c>
      <c r="K2178" s="89">
        <f t="shared" si="92"/>
        <v>1</v>
      </c>
      <c r="L2178" s="89">
        <v>10903.11</v>
      </c>
      <c r="M2178" s="89">
        <v>3032.47</v>
      </c>
      <c r="N2178" s="89">
        <v>1400.5</v>
      </c>
      <c r="O2178" s="89">
        <f t="shared" si="91"/>
        <v>15336.08</v>
      </c>
    </row>
    <row r="2179" spans="1:15">
      <c r="A2179" s="74" t="s">
        <v>309</v>
      </c>
      <c r="B2179" s="74" t="s">
        <v>269</v>
      </c>
      <c r="C2179" s="74" t="s">
        <v>270</v>
      </c>
      <c r="D2179" s="74" t="s">
        <v>86</v>
      </c>
      <c r="E2179" s="74" t="s">
        <v>88</v>
      </c>
      <c r="F2179" s="86" t="s">
        <v>247</v>
      </c>
      <c r="G2179" s="74" t="s">
        <v>268</v>
      </c>
      <c r="H2179" s="87">
        <v>44742</v>
      </c>
      <c r="I2179" s="98">
        <v>22</v>
      </c>
      <c r="J2179" s="98">
        <v>22</v>
      </c>
      <c r="K2179" s="89">
        <f t="shared" si="92"/>
        <v>1</v>
      </c>
      <c r="L2179" s="89">
        <v>9669.29</v>
      </c>
      <c r="M2179" s="89">
        <v>3095.61</v>
      </c>
      <c r="N2179" s="89">
        <v>1224.82</v>
      </c>
      <c r="O2179" s="89">
        <f t="shared" si="91"/>
        <v>13989.72</v>
      </c>
    </row>
    <row r="2180" spans="1:15">
      <c r="A2180" s="74" t="s">
        <v>309</v>
      </c>
      <c r="B2180" s="74" t="s">
        <v>271</v>
      </c>
      <c r="C2180" s="74" t="s">
        <v>272</v>
      </c>
      <c r="D2180" s="74" t="s">
        <v>86</v>
      </c>
      <c r="E2180" s="74" t="s">
        <v>88</v>
      </c>
      <c r="F2180" s="86" t="s">
        <v>251</v>
      </c>
      <c r="G2180" s="74" t="s">
        <v>268</v>
      </c>
      <c r="H2180" s="87">
        <v>44742</v>
      </c>
      <c r="I2180" s="98">
        <v>22</v>
      </c>
      <c r="J2180" s="98">
        <v>22</v>
      </c>
      <c r="K2180" s="89">
        <f t="shared" si="92"/>
        <v>1</v>
      </c>
      <c r="L2180" s="89">
        <v>8995.55</v>
      </c>
      <c r="M2180" s="89">
        <v>3253.97</v>
      </c>
      <c r="N2180" s="89">
        <v>1125.85</v>
      </c>
      <c r="O2180" s="89">
        <f t="shared" si="91"/>
        <v>13375.37</v>
      </c>
    </row>
    <row r="2181" spans="1:15">
      <c r="A2181" s="74" t="s">
        <v>309</v>
      </c>
      <c r="B2181" s="74" t="s">
        <v>273</v>
      </c>
      <c r="C2181" s="74" t="s">
        <v>274</v>
      </c>
      <c r="D2181" s="74" t="s">
        <v>86</v>
      </c>
      <c r="E2181" s="74" t="s">
        <v>88</v>
      </c>
      <c r="F2181" s="86" t="s">
        <v>255</v>
      </c>
      <c r="G2181" s="74" t="s">
        <v>268</v>
      </c>
      <c r="H2181" s="87">
        <v>44742</v>
      </c>
      <c r="I2181" s="98">
        <v>22</v>
      </c>
      <c r="J2181" s="98">
        <v>22</v>
      </c>
      <c r="K2181" s="89">
        <f t="shared" si="92"/>
        <v>1</v>
      </c>
      <c r="L2181" s="89">
        <v>8757.11</v>
      </c>
      <c r="M2181" s="89">
        <v>3138.5</v>
      </c>
      <c r="N2181" s="89">
        <v>1008.87</v>
      </c>
      <c r="O2181" s="89">
        <f t="shared" ref="O2181:O2244" si="93">SUM(L2181:N2181)</f>
        <v>12904.48</v>
      </c>
    </row>
    <row r="2182" spans="1:15">
      <c r="A2182" s="74" t="s">
        <v>309</v>
      </c>
      <c r="B2182" s="74" t="s">
        <v>275</v>
      </c>
      <c r="C2182" s="74" t="s">
        <v>276</v>
      </c>
      <c r="D2182" s="74" t="s">
        <v>86</v>
      </c>
      <c r="E2182" s="74" t="s">
        <v>88</v>
      </c>
      <c r="F2182" s="86" t="s">
        <v>258</v>
      </c>
      <c r="G2182" s="74" t="s">
        <v>268</v>
      </c>
      <c r="H2182" s="87">
        <v>44742</v>
      </c>
      <c r="I2182" s="98">
        <v>22</v>
      </c>
      <c r="J2182" s="98">
        <v>22</v>
      </c>
      <c r="K2182" s="89">
        <f t="shared" si="92"/>
        <v>1</v>
      </c>
      <c r="L2182" s="89">
        <v>7594.53</v>
      </c>
      <c r="M2182" s="89">
        <v>3161.63</v>
      </c>
      <c r="N2182" s="89">
        <v>970.66</v>
      </c>
      <c r="O2182" s="89">
        <f t="shared" si="93"/>
        <v>11726.82</v>
      </c>
    </row>
    <row r="2183" spans="1:15">
      <c r="A2183" s="74" t="s">
        <v>309</v>
      </c>
      <c r="B2183" s="74" t="s">
        <v>277</v>
      </c>
      <c r="C2183" s="74" t="s">
        <v>278</v>
      </c>
      <c r="D2183" s="74" t="s">
        <v>86</v>
      </c>
      <c r="E2183" s="74" t="s">
        <v>89</v>
      </c>
      <c r="F2183" s="86" t="s">
        <v>279</v>
      </c>
      <c r="G2183" s="74" t="s">
        <v>280</v>
      </c>
      <c r="H2183" s="87">
        <v>44742</v>
      </c>
      <c r="I2183" s="98">
        <v>22</v>
      </c>
      <c r="J2183" s="98">
        <v>22</v>
      </c>
      <c r="K2183" s="89">
        <f t="shared" si="92"/>
        <v>1</v>
      </c>
      <c r="L2183" s="89">
        <v>12186.1</v>
      </c>
      <c r="M2183" s="89">
        <v>3250.06</v>
      </c>
      <c r="N2183" s="89">
        <v>1543.44</v>
      </c>
      <c r="O2183" s="89">
        <f t="shared" si="93"/>
        <v>16979.6</v>
      </c>
    </row>
    <row r="2184" spans="1:15">
      <c r="A2184" s="74" t="s">
        <v>309</v>
      </c>
      <c r="B2184" s="74" t="s">
        <v>281</v>
      </c>
      <c r="C2184" s="74" t="s">
        <v>282</v>
      </c>
      <c r="D2184" s="74" t="s">
        <v>86</v>
      </c>
      <c r="E2184" s="74" t="s">
        <v>89</v>
      </c>
      <c r="F2184" s="86" t="s">
        <v>225</v>
      </c>
      <c r="G2184" s="74" t="s">
        <v>283</v>
      </c>
      <c r="H2184" s="87">
        <v>44742</v>
      </c>
      <c r="I2184" s="98">
        <v>22</v>
      </c>
      <c r="J2184" s="98">
        <v>22</v>
      </c>
      <c r="K2184" s="89">
        <f t="shared" si="92"/>
        <v>1</v>
      </c>
      <c r="L2184" s="89">
        <v>8385</v>
      </c>
      <c r="M2184" s="89">
        <v>3070.3</v>
      </c>
      <c r="N2184" s="89">
        <v>1021.2</v>
      </c>
      <c r="O2184" s="89">
        <f t="shared" si="93"/>
        <v>12476.5</v>
      </c>
    </row>
    <row r="2185" spans="1:15">
      <c r="A2185" s="74" t="s">
        <v>309</v>
      </c>
      <c r="B2185" s="74" t="s">
        <v>284</v>
      </c>
      <c r="C2185" s="74" t="s">
        <v>285</v>
      </c>
      <c r="D2185" s="74" t="s">
        <v>86</v>
      </c>
      <c r="E2185" s="74" t="s">
        <v>89</v>
      </c>
      <c r="F2185" s="86" t="s">
        <v>208</v>
      </c>
      <c r="G2185" s="74" t="s">
        <v>283</v>
      </c>
      <c r="H2185" s="87">
        <v>44742</v>
      </c>
      <c r="I2185" s="98">
        <v>22</v>
      </c>
      <c r="J2185" s="98">
        <v>22</v>
      </c>
      <c r="K2185" s="89">
        <f t="shared" si="92"/>
        <v>1</v>
      </c>
      <c r="L2185" s="89">
        <v>7368.24</v>
      </c>
      <c r="M2185" s="89">
        <v>3123.88</v>
      </c>
      <c r="N2185" s="89">
        <v>947.17</v>
      </c>
      <c r="O2185" s="89">
        <f t="shared" si="93"/>
        <v>11439.29</v>
      </c>
    </row>
    <row r="2186" spans="1:15">
      <c r="A2186" s="74" t="s">
        <v>309</v>
      </c>
      <c r="B2186" s="74" t="s">
        <v>286</v>
      </c>
      <c r="C2186" s="74" t="s">
        <v>287</v>
      </c>
      <c r="D2186" s="74" t="s">
        <v>82</v>
      </c>
      <c r="E2186" s="88" t="s">
        <v>85</v>
      </c>
      <c r="F2186" s="86" t="s">
        <v>288</v>
      </c>
      <c r="G2186" s="74" t="s">
        <v>289</v>
      </c>
      <c r="H2186" s="87">
        <v>44742</v>
      </c>
      <c r="I2186" s="98">
        <v>22</v>
      </c>
      <c r="J2186" s="98">
        <v>22</v>
      </c>
      <c r="K2186" s="89">
        <f t="shared" ref="K2186:K2194" si="94">I2186/J2186</f>
        <v>1</v>
      </c>
      <c r="L2186" s="89">
        <v>12533.01</v>
      </c>
      <c r="M2186" s="89">
        <v>3147.1</v>
      </c>
      <c r="N2186" s="89">
        <v>1202.09</v>
      </c>
      <c r="O2186" s="89">
        <f t="shared" si="93"/>
        <v>16882.2</v>
      </c>
    </row>
    <row r="2187" spans="1:15">
      <c r="A2187" s="74" t="s">
        <v>309</v>
      </c>
      <c r="B2187" s="74" t="s">
        <v>290</v>
      </c>
      <c r="C2187" s="74" t="s">
        <v>291</v>
      </c>
      <c r="D2187" s="74" t="s">
        <v>82</v>
      </c>
      <c r="E2187" s="88" t="s">
        <v>85</v>
      </c>
      <c r="F2187" s="86" t="s">
        <v>218</v>
      </c>
      <c r="G2187" s="74" t="s">
        <v>289</v>
      </c>
      <c r="H2187" s="87">
        <v>44742</v>
      </c>
      <c r="I2187" s="98">
        <v>22</v>
      </c>
      <c r="J2187" s="98">
        <v>22</v>
      </c>
      <c r="K2187" s="89">
        <f t="shared" si="94"/>
        <v>1</v>
      </c>
      <c r="L2187" s="89">
        <v>11443.11</v>
      </c>
      <c r="M2187" s="89">
        <v>3133.99</v>
      </c>
      <c r="N2187" s="89">
        <v>1178.5</v>
      </c>
      <c r="O2187" s="89">
        <f t="shared" si="93"/>
        <v>15755.6</v>
      </c>
    </row>
    <row r="2188" spans="1:15">
      <c r="A2188" s="74" t="s">
        <v>309</v>
      </c>
      <c r="B2188" s="74" t="s">
        <v>292</v>
      </c>
      <c r="C2188" s="74" t="s">
        <v>293</v>
      </c>
      <c r="D2188" s="74" t="s">
        <v>82</v>
      </c>
      <c r="E2188" s="88" t="s">
        <v>85</v>
      </c>
      <c r="F2188" s="86" t="s">
        <v>225</v>
      </c>
      <c r="G2188" s="74" t="s">
        <v>289</v>
      </c>
      <c r="H2188" s="87">
        <v>44742</v>
      </c>
      <c r="I2188" s="98">
        <v>22</v>
      </c>
      <c r="J2188" s="98">
        <v>22</v>
      </c>
      <c r="K2188" s="89">
        <f t="shared" si="94"/>
        <v>1</v>
      </c>
      <c r="L2188" s="89">
        <v>10432.54</v>
      </c>
      <c r="M2188" s="89">
        <v>3062.41</v>
      </c>
      <c r="N2188" s="89">
        <v>1013.43</v>
      </c>
      <c r="O2188" s="89">
        <f t="shared" si="93"/>
        <v>14508.38</v>
      </c>
    </row>
    <row r="2189" spans="1:15">
      <c r="A2189" s="74" t="s">
        <v>309</v>
      </c>
      <c r="B2189" s="74" t="s">
        <v>294</v>
      </c>
      <c r="C2189" s="74" t="s">
        <v>295</v>
      </c>
      <c r="D2189" s="74" t="s">
        <v>82</v>
      </c>
      <c r="E2189" s="88" t="s">
        <v>85</v>
      </c>
      <c r="F2189" s="86" t="s">
        <v>208</v>
      </c>
      <c r="G2189" s="74" t="s">
        <v>289</v>
      </c>
      <c r="H2189" s="87">
        <v>44742</v>
      </c>
      <c r="I2189" s="98">
        <v>22</v>
      </c>
      <c r="J2189" s="98">
        <v>22</v>
      </c>
      <c r="K2189" s="89">
        <f t="shared" si="94"/>
        <v>1</v>
      </c>
      <c r="L2189" s="89">
        <v>9068.42</v>
      </c>
      <c r="M2189" s="89">
        <v>3111.64</v>
      </c>
      <c r="N2189" s="89">
        <v>971.34</v>
      </c>
      <c r="O2189" s="89">
        <f t="shared" si="93"/>
        <v>13151.4</v>
      </c>
    </row>
    <row r="2190" spans="1:15">
      <c r="A2190" s="74" t="s">
        <v>309</v>
      </c>
      <c r="B2190" s="74" t="s">
        <v>296</v>
      </c>
      <c r="C2190" s="74" t="s">
        <v>297</v>
      </c>
      <c r="D2190" s="74" t="s">
        <v>82</v>
      </c>
      <c r="E2190" s="88" t="s">
        <v>85</v>
      </c>
      <c r="F2190" s="86" t="s">
        <v>116</v>
      </c>
      <c r="G2190" s="74" t="s">
        <v>289</v>
      </c>
      <c r="H2190" s="87">
        <v>44742</v>
      </c>
      <c r="I2190" s="98">
        <v>22</v>
      </c>
      <c r="J2190" s="98">
        <v>22</v>
      </c>
      <c r="K2190" s="89">
        <f t="shared" si="94"/>
        <v>1</v>
      </c>
      <c r="L2190" s="89">
        <v>8726.92</v>
      </c>
      <c r="M2190" s="89">
        <v>3126.26</v>
      </c>
      <c r="N2190" s="89">
        <v>860.12</v>
      </c>
      <c r="O2190" s="89">
        <f t="shared" si="93"/>
        <v>12713.3</v>
      </c>
    </row>
    <row r="2191" spans="1:15">
      <c r="A2191" s="74" t="s">
        <v>309</v>
      </c>
      <c r="B2191" s="74" t="s">
        <v>298</v>
      </c>
      <c r="C2191" s="74" t="s">
        <v>299</v>
      </c>
      <c r="D2191" s="74" t="s">
        <v>82</v>
      </c>
      <c r="E2191" s="88" t="s">
        <v>85</v>
      </c>
      <c r="F2191" s="86" t="s">
        <v>279</v>
      </c>
      <c r="G2191" s="74" t="s">
        <v>300</v>
      </c>
      <c r="H2191" s="87">
        <v>44742</v>
      </c>
      <c r="I2191" s="98">
        <v>22</v>
      </c>
      <c r="J2191" s="98">
        <v>22</v>
      </c>
      <c r="K2191" s="89">
        <f t="shared" si="94"/>
        <v>1</v>
      </c>
      <c r="L2191" s="89">
        <v>15222.47</v>
      </c>
      <c r="M2191" s="89">
        <v>3089.84</v>
      </c>
      <c r="N2191" s="89">
        <v>1625.08</v>
      </c>
      <c r="O2191" s="89">
        <f t="shared" si="93"/>
        <v>19937.39</v>
      </c>
    </row>
    <row r="2192" spans="1:15">
      <c r="A2192" s="74" t="s">
        <v>309</v>
      </c>
      <c r="B2192" s="74" t="s">
        <v>301</v>
      </c>
      <c r="C2192" s="74" t="s">
        <v>302</v>
      </c>
      <c r="D2192" s="74" t="s">
        <v>82</v>
      </c>
      <c r="E2192" s="88" t="s">
        <v>85</v>
      </c>
      <c r="F2192" s="86" t="s">
        <v>279</v>
      </c>
      <c r="G2192" s="74" t="s">
        <v>303</v>
      </c>
      <c r="H2192" s="87">
        <v>44742</v>
      </c>
      <c r="I2192" s="98">
        <v>22</v>
      </c>
      <c r="J2192" s="98">
        <v>22</v>
      </c>
      <c r="K2192" s="89">
        <f t="shared" si="94"/>
        <v>1</v>
      </c>
      <c r="L2192" s="89">
        <v>15745.53</v>
      </c>
      <c r="M2192" s="89">
        <v>3273.4</v>
      </c>
      <c r="N2192" s="89">
        <v>1628.78</v>
      </c>
      <c r="O2192" s="89">
        <f t="shared" si="93"/>
        <v>20647.71</v>
      </c>
    </row>
    <row r="2193" spans="1:15">
      <c r="A2193" s="74" t="s">
        <v>309</v>
      </c>
      <c r="B2193" s="74" t="s">
        <v>304</v>
      </c>
      <c r="C2193" s="74" t="s">
        <v>305</v>
      </c>
      <c r="D2193" s="74" t="s">
        <v>86</v>
      </c>
      <c r="E2193" s="74" t="s">
        <v>90</v>
      </c>
      <c r="F2193" s="86" t="s">
        <v>306</v>
      </c>
      <c r="G2193" s="74" t="s">
        <v>307</v>
      </c>
      <c r="H2193" s="87">
        <v>44742</v>
      </c>
      <c r="I2193" s="98">
        <v>22</v>
      </c>
      <c r="J2193" s="98">
        <v>22</v>
      </c>
      <c r="K2193" s="89">
        <f t="shared" si="94"/>
        <v>1</v>
      </c>
      <c r="L2193" s="89">
        <v>16334.57</v>
      </c>
      <c r="M2193" s="89">
        <v>3011.34</v>
      </c>
      <c r="N2193" s="89">
        <v>2136.42</v>
      </c>
      <c r="O2193" s="89">
        <f t="shared" si="93"/>
        <v>21482.33</v>
      </c>
    </row>
    <row r="2194" spans="1:15">
      <c r="A2194" s="74" t="s">
        <v>309</v>
      </c>
      <c r="B2194" s="74" t="s">
        <v>114</v>
      </c>
      <c r="C2194" s="74" t="s">
        <v>115</v>
      </c>
      <c r="D2194" s="74" t="s">
        <v>79</v>
      </c>
      <c r="E2194" s="74" t="s">
        <v>80</v>
      </c>
      <c r="F2194" s="86" t="s">
        <v>116</v>
      </c>
      <c r="G2194" s="74" t="s">
        <v>117</v>
      </c>
      <c r="H2194" s="87">
        <v>44773</v>
      </c>
      <c r="I2194" s="98">
        <v>22</v>
      </c>
      <c r="J2194" s="98">
        <v>22</v>
      </c>
      <c r="K2194" s="89">
        <f t="shared" si="94"/>
        <v>1</v>
      </c>
      <c r="L2194" s="89">
        <v>8024.72</v>
      </c>
      <c r="M2194" s="89">
        <v>3271.53</v>
      </c>
      <c r="N2194" s="89">
        <v>832.84</v>
      </c>
      <c r="O2194" s="89">
        <f t="shared" si="93"/>
        <v>12129.09</v>
      </c>
    </row>
    <row r="2195" spans="1:15">
      <c r="A2195" s="74" t="s">
        <v>309</v>
      </c>
      <c r="B2195" s="74" t="s">
        <v>118</v>
      </c>
      <c r="C2195" s="74" t="s">
        <v>119</v>
      </c>
      <c r="D2195" s="74" t="s">
        <v>79</v>
      </c>
      <c r="E2195" s="74" t="s">
        <v>80</v>
      </c>
      <c r="F2195" s="86" t="s">
        <v>120</v>
      </c>
      <c r="G2195" s="74" t="s">
        <v>117</v>
      </c>
      <c r="H2195" s="87">
        <v>44773</v>
      </c>
      <c r="I2195" s="98">
        <v>22</v>
      </c>
      <c r="J2195" s="98">
        <v>22</v>
      </c>
      <c r="K2195" s="89">
        <f t="shared" ref="K2195:K2258" si="95">I2195/J2195</f>
        <v>1</v>
      </c>
      <c r="L2195" s="89">
        <v>7532.23</v>
      </c>
      <c r="M2195" s="89">
        <v>3099.76</v>
      </c>
      <c r="N2195" s="89">
        <v>754.99</v>
      </c>
      <c r="O2195" s="89">
        <f t="shared" si="93"/>
        <v>11386.98</v>
      </c>
    </row>
    <row r="2196" spans="1:15">
      <c r="A2196" s="74" t="s">
        <v>309</v>
      </c>
      <c r="B2196" s="74" t="s">
        <v>121</v>
      </c>
      <c r="C2196" s="74" t="s">
        <v>122</v>
      </c>
      <c r="D2196" s="74" t="s">
        <v>79</v>
      </c>
      <c r="E2196" s="74" t="s">
        <v>80</v>
      </c>
      <c r="F2196" s="86" t="s">
        <v>123</v>
      </c>
      <c r="G2196" s="74" t="s">
        <v>117</v>
      </c>
      <c r="H2196" s="87">
        <v>44773</v>
      </c>
      <c r="I2196" s="98">
        <v>22</v>
      </c>
      <c r="J2196" s="98">
        <v>22</v>
      </c>
      <c r="K2196" s="89">
        <f t="shared" si="95"/>
        <v>1</v>
      </c>
      <c r="L2196" s="89">
        <v>6467.96</v>
      </c>
      <c r="M2196" s="89">
        <v>3025.65</v>
      </c>
      <c r="N2196" s="89">
        <v>652.71</v>
      </c>
      <c r="O2196" s="89">
        <f t="shared" si="93"/>
        <v>10146.32</v>
      </c>
    </row>
    <row r="2197" spans="1:15">
      <c r="A2197" s="74" t="s">
        <v>309</v>
      </c>
      <c r="B2197" s="74" t="s">
        <v>124</v>
      </c>
      <c r="C2197" s="74" t="s">
        <v>125</v>
      </c>
      <c r="D2197" s="74" t="s">
        <v>79</v>
      </c>
      <c r="E2197" s="74" t="s">
        <v>80</v>
      </c>
      <c r="F2197" s="86" t="s">
        <v>116</v>
      </c>
      <c r="G2197" s="74" t="s">
        <v>117</v>
      </c>
      <c r="H2197" s="87">
        <v>44773</v>
      </c>
      <c r="I2197" s="98">
        <v>22</v>
      </c>
      <c r="J2197" s="98">
        <v>22</v>
      </c>
      <c r="K2197" s="89">
        <f t="shared" si="95"/>
        <v>1</v>
      </c>
      <c r="L2197" s="89">
        <v>8692.88</v>
      </c>
      <c r="M2197" s="89">
        <v>3223.54</v>
      </c>
      <c r="N2197" s="89">
        <v>868.26</v>
      </c>
      <c r="O2197" s="89">
        <f t="shared" si="93"/>
        <v>12784.68</v>
      </c>
    </row>
    <row r="2198" spans="1:15">
      <c r="A2198" s="74" t="s">
        <v>309</v>
      </c>
      <c r="B2198" s="74" t="s">
        <v>126</v>
      </c>
      <c r="C2198" s="74" t="s">
        <v>127</v>
      </c>
      <c r="D2198" s="74" t="s">
        <v>79</v>
      </c>
      <c r="E2198" s="74" t="s">
        <v>80</v>
      </c>
      <c r="F2198" s="86" t="s">
        <v>120</v>
      </c>
      <c r="G2198" s="74" t="s">
        <v>117</v>
      </c>
      <c r="H2198" s="87">
        <v>44773</v>
      </c>
      <c r="I2198" s="98">
        <v>22</v>
      </c>
      <c r="J2198" s="98">
        <v>22</v>
      </c>
      <c r="K2198" s="89">
        <f t="shared" si="95"/>
        <v>1</v>
      </c>
      <c r="L2198" s="89">
        <v>7093.03</v>
      </c>
      <c r="M2198" s="89">
        <v>3164.76</v>
      </c>
      <c r="N2198" s="89">
        <v>761.21</v>
      </c>
      <c r="O2198" s="89">
        <f t="shared" si="93"/>
        <v>11019</v>
      </c>
    </row>
    <row r="2199" spans="1:15">
      <c r="A2199" s="74" t="s">
        <v>309</v>
      </c>
      <c r="B2199" s="74" t="s">
        <v>128</v>
      </c>
      <c r="C2199" s="74" t="s">
        <v>129</v>
      </c>
      <c r="D2199" s="74" t="s">
        <v>79</v>
      </c>
      <c r="E2199" s="74" t="s">
        <v>80</v>
      </c>
      <c r="F2199" s="86" t="s">
        <v>123</v>
      </c>
      <c r="G2199" s="74" t="s">
        <v>117</v>
      </c>
      <c r="H2199" s="87">
        <v>44773</v>
      </c>
      <c r="I2199" s="98">
        <v>22</v>
      </c>
      <c r="J2199" s="98">
        <v>22</v>
      </c>
      <c r="K2199" s="89">
        <f t="shared" si="95"/>
        <v>1</v>
      </c>
      <c r="L2199" s="89">
        <v>6409.65</v>
      </c>
      <c r="M2199" s="89">
        <v>3019.95</v>
      </c>
      <c r="N2199" s="89">
        <v>624.91</v>
      </c>
      <c r="O2199" s="89">
        <f t="shared" si="93"/>
        <v>10054.51</v>
      </c>
    </row>
    <row r="2200" spans="1:15">
      <c r="A2200" s="74" t="s">
        <v>309</v>
      </c>
      <c r="B2200" s="74" t="s">
        <v>130</v>
      </c>
      <c r="C2200" s="74" t="s">
        <v>131</v>
      </c>
      <c r="D2200" s="74" t="s">
        <v>79</v>
      </c>
      <c r="E2200" s="74" t="s">
        <v>80</v>
      </c>
      <c r="F2200" s="86" t="s">
        <v>116</v>
      </c>
      <c r="G2200" s="74" t="s">
        <v>117</v>
      </c>
      <c r="H2200" s="87">
        <v>44773</v>
      </c>
      <c r="I2200" s="98">
        <v>22</v>
      </c>
      <c r="J2200" s="98">
        <v>22</v>
      </c>
      <c r="K2200" s="89">
        <f t="shared" si="95"/>
        <v>1</v>
      </c>
      <c r="L2200" s="89">
        <v>8621.67</v>
      </c>
      <c r="M2200" s="89">
        <v>3206.52</v>
      </c>
      <c r="N2200" s="89">
        <v>854.82</v>
      </c>
      <c r="O2200" s="89">
        <f t="shared" si="93"/>
        <v>12683.01</v>
      </c>
    </row>
    <row r="2201" spans="1:15">
      <c r="A2201" s="74" t="s">
        <v>309</v>
      </c>
      <c r="B2201" s="74" t="s">
        <v>132</v>
      </c>
      <c r="C2201" s="74" t="s">
        <v>133</v>
      </c>
      <c r="D2201" s="74" t="s">
        <v>79</v>
      </c>
      <c r="E2201" s="74" t="s">
        <v>80</v>
      </c>
      <c r="F2201" s="86" t="s">
        <v>120</v>
      </c>
      <c r="G2201" s="74" t="s">
        <v>117</v>
      </c>
      <c r="H2201" s="87">
        <v>44773</v>
      </c>
      <c r="I2201" s="98">
        <v>22</v>
      </c>
      <c r="J2201" s="98">
        <v>22</v>
      </c>
      <c r="K2201" s="89">
        <f t="shared" si="95"/>
        <v>1</v>
      </c>
      <c r="L2201" s="89">
        <v>7302.51</v>
      </c>
      <c r="M2201" s="89">
        <v>3240.97</v>
      </c>
      <c r="N2201" s="89">
        <v>708.78</v>
      </c>
      <c r="O2201" s="89">
        <f t="shared" si="93"/>
        <v>11252.26</v>
      </c>
    </row>
    <row r="2202" spans="1:15">
      <c r="A2202" s="74" t="s">
        <v>309</v>
      </c>
      <c r="B2202" s="74" t="s">
        <v>134</v>
      </c>
      <c r="C2202" s="74" t="s">
        <v>135</v>
      </c>
      <c r="D2202" s="74" t="s">
        <v>79</v>
      </c>
      <c r="E2202" s="74" t="s">
        <v>80</v>
      </c>
      <c r="F2202" s="86" t="s">
        <v>123</v>
      </c>
      <c r="G2202" s="74" t="s">
        <v>117</v>
      </c>
      <c r="H2202" s="87">
        <v>44773</v>
      </c>
      <c r="I2202" s="98">
        <v>22</v>
      </c>
      <c r="J2202" s="98">
        <v>22</v>
      </c>
      <c r="K2202" s="89">
        <f t="shared" si="95"/>
        <v>1</v>
      </c>
      <c r="L2202" s="89">
        <v>6400.43</v>
      </c>
      <c r="M2202" s="89">
        <v>3155.72</v>
      </c>
      <c r="N2202" s="89">
        <v>657.62</v>
      </c>
      <c r="O2202" s="89">
        <f t="shared" si="93"/>
        <v>10213.77</v>
      </c>
    </row>
    <row r="2203" spans="1:15">
      <c r="A2203" s="74" t="s">
        <v>309</v>
      </c>
      <c r="B2203" s="74" t="s">
        <v>136</v>
      </c>
      <c r="C2203" s="74" t="s">
        <v>137</v>
      </c>
      <c r="D2203" s="74" t="s">
        <v>79</v>
      </c>
      <c r="E2203" s="74" t="s">
        <v>80</v>
      </c>
      <c r="F2203" s="86" t="s">
        <v>116</v>
      </c>
      <c r="G2203" s="74" t="s">
        <v>138</v>
      </c>
      <c r="H2203" s="87">
        <v>44773</v>
      </c>
      <c r="I2203" s="98">
        <v>22</v>
      </c>
      <c r="J2203" s="98">
        <v>22</v>
      </c>
      <c r="K2203" s="89">
        <f t="shared" si="95"/>
        <v>1</v>
      </c>
      <c r="L2203" s="89">
        <v>8118.28</v>
      </c>
      <c r="M2203" s="89">
        <v>3278.08</v>
      </c>
      <c r="N2203" s="89">
        <v>815.8</v>
      </c>
      <c r="O2203" s="89">
        <f t="shared" si="93"/>
        <v>12212.16</v>
      </c>
    </row>
    <row r="2204" spans="1:15">
      <c r="A2204" s="74" t="s">
        <v>309</v>
      </c>
      <c r="B2204" s="74" t="s">
        <v>139</v>
      </c>
      <c r="C2204" s="74" t="s">
        <v>140</v>
      </c>
      <c r="D2204" s="74" t="s">
        <v>79</v>
      </c>
      <c r="E2204" s="74" t="s">
        <v>80</v>
      </c>
      <c r="F2204" s="86" t="s">
        <v>120</v>
      </c>
      <c r="G2204" s="74" t="s">
        <v>138</v>
      </c>
      <c r="H2204" s="87">
        <v>44773</v>
      </c>
      <c r="I2204" s="98">
        <v>22</v>
      </c>
      <c r="J2204" s="98">
        <v>22</v>
      </c>
      <c r="K2204" s="89">
        <f t="shared" si="95"/>
        <v>1</v>
      </c>
      <c r="L2204" s="89">
        <v>7128.18</v>
      </c>
      <c r="M2204" s="89">
        <v>3189.1</v>
      </c>
      <c r="N2204" s="89">
        <v>713.9</v>
      </c>
      <c r="O2204" s="89">
        <f t="shared" si="93"/>
        <v>11031.18</v>
      </c>
    </row>
    <row r="2205" spans="1:15">
      <c r="A2205" s="74" t="s">
        <v>309</v>
      </c>
      <c r="B2205" s="74" t="s">
        <v>141</v>
      </c>
      <c r="C2205" s="74" t="s">
        <v>142</v>
      </c>
      <c r="D2205" s="74" t="s">
        <v>79</v>
      </c>
      <c r="E2205" s="74" t="s">
        <v>80</v>
      </c>
      <c r="F2205" s="86" t="s">
        <v>123</v>
      </c>
      <c r="G2205" s="74" t="s">
        <v>138</v>
      </c>
      <c r="H2205" s="87">
        <v>44773</v>
      </c>
      <c r="I2205" s="98">
        <v>22</v>
      </c>
      <c r="J2205" s="98">
        <v>22</v>
      </c>
      <c r="K2205" s="89">
        <f t="shared" si="95"/>
        <v>1</v>
      </c>
      <c r="L2205" s="89">
        <v>6310.49</v>
      </c>
      <c r="M2205" s="89">
        <v>3183.56</v>
      </c>
      <c r="N2205" s="89">
        <v>609.83</v>
      </c>
      <c r="O2205" s="89">
        <f t="shared" si="93"/>
        <v>10103.88</v>
      </c>
    </row>
    <row r="2206" spans="1:15">
      <c r="A2206" s="74" t="s">
        <v>309</v>
      </c>
      <c r="B2206" s="74" t="s">
        <v>143</v>
      </c>
      <c r="C2206" s="74" t="s">
        <v>144</v>
      </c>
      <c r="D2206" s="74" t="s">
        <v>79</v>
      </c>
      <c r="E2206" s="74" t="s">
        <v>80</v>
      </c>
      <c r="F2206" s="86" t="s">
        <v>145</v>
      </c>
      <c r="G2206" s="74" t="s">
        <v>146</v>
      </c>
      <c r="H2206" s="87">
        <v>44773</v>
      </c>
      <c r="I2206" s="98">
        <v>22</v>
      </c>
      <c r="J2206" s="98">
        <v>22</v>
      </c>
      <c r="K2206" s="89">
        <f t="shared" si="95"/>
        <v>1</v>
      </c>
      <c r="L2206" s="89">
        <v>19625.42</v>
      </c>
      <c r="M2206" s="89">
        <v>3238.32</v>
      </c>
      <c r="N2206" s="89">
        <v>2022.7</v>
      </c>
      <c r="O2206" s="89">
        <f t="shared" si="93"/>
        <v>24886.44</v>
      </c>
    </row>
    <row r="2207" spans="1:15">
      <c r="A2207" s="74" t="s">
        <v>309</v>
      </c>
      <c r="B2207" s="74" t="s">
        <v>147</v>
      </c>
      <c r="C2207" s="74" t="s">
        <v>148</v>
      </c>
      <c r="D2207" s="74" t="s">
        <v>79</v>
      </c>
      <c r="E2207" s="74" t="s">
        <v>80</v>
      </c>
      <c r="F2207" s="86" t="s">
        <v>149</v>
      </c>
      <c r="G2207" s="74" t="s">
        <v>150</v>
      </c>
      <c r="H2207" s="87">
        <v>44773</v>
      </c>
      <c r="I2207" s="98">
        <v>22</v>
      </c>
      <c r="J2207" s="98">
        <v>22</v>
      </c>
      <c r="K2207" s="89">
        <f t="shared" si="95"/>
        <v>1</v>
      </c>
      <c r="L2207" s="89">
        <v>17835.12</v>
      </c>
      <c r="M2207" s="89">
        <v>3178.08</v>
      </c>
      <c r="N2207" s="89">
        <v>1842.44</v>
      </c>
      <c r="O2207" s="89">
        <f t="shared" si="93"/>
        <v>22855.64</v>
      </c>
    </row>
    <row r="2208" spans="1:15">
      <c r="A2208" s="74" t="s">
        <v>309</v>
      </c>
      <c r="B2208" s="74" t="s">
        <v>151</v>
      </c>
      <c r="C2208" s="74" t="s">
        <v>152</v>
      </c>
      <c r="D2208" s="74" t="s">
        <v>79</v>
      </c>
      <c r="E2208" s="74" t="s">
        <v>81</v>
      </c>
      <c r="F2208" s="86" t="s">
        <v>123</v>
      </c>
      <c r="G2208" s="74" t="s">
        <v>153</v>
      </c>
      <c r="H2208" s="87">
        <v>44773</v>
      </c>
      <c r="I2208" s="98">
        <v>22</v>
      </c>
      <c r="J2208" s="98">
        <v>22</v>
      </c>
      <c r="K2208" s="89">
        <f t="shared" si="95"/>
        <v>1</v>
      </c>
      <c r="L2208" s="89">
        <v>6287.63</v>
      </c>
      <c r="M2208" s="89">
        <v>3059.78</v>
      </c>
      <c r="N2208" s="89">
        <v>640.05</v>
      </c>
      <c r="O2208" s="89">
        <f t="shared" si="93"/>
        <v>9987.46</v>
      </c>
    </row>
    <row r="2209" spans="1:15">
      <c r="A2209" s="74" t="s">
        <v>309</v>
      </c>
      <c r="B2209" s="74" t="s">
        <v>154</v>
      </c>
      <c r="C2209" s="74" t="s">
        <v>155</v>
      </c>
      <c r="D2209" s="74" t="s">
        <v>79</v>
      </c>
      <c r="E2209" s="74" t="s">
        <v>81</v>
      </c>
      <c r="F2209" s="86" t="s">
        <v>156</v>
      </c>
      <c r="G2209" s="74" t="s">
        <v>157</v>
      </c>
      <c r="H2209" s="87">
        <v>44773</v>
      </c>
      <c r="I2209" s="98">
        <v>22</v>
      </c>
      <c r="J2209" s="98">
        <v>22</v>
      </c>
      <c r="K2209" s="89">
        <f t="shared" si="95"/>
        <v>1</v>
      </c>
      <c r="L2209" s="89">
        <v>5060.99</v>
      </c>
      <c r="M2209" s="89">
        <v>3011.36</v>
      </c>
      <c r="N2209" s="89">
        <v>541.02</v>
      </c>
      <c r="O2209" s="89">
        <f t="shared" si="93"/>
        <v>8613.37</v>
      </c>
    </row>
    <row r="2210" spans="1:15">
      <c r="A2210" s="74" t="s">
        <v>309</v>
      </c>
      <c r="B2210" s="74" t="s">
        <v>158</v>
      </c>
      <c r="C2210" s="74" t="s">
        <v>159</v>
      </c>
      <c r="D2210" s="74" t="s">
        <v>79</v>
      </c>
      <c r="E2210" s="74" t="s">
        <v>81</v>
      </c>
      <c r="F2210" s="86" t="s">
        <v>160</v>
      </c>
      <c r="G2210" s="74" t="s">
        <v>161</v>
      </c>
      <c r="H2210" s="87">
        <v>44773</v>
      </c>
      <c r="I2210" s="98">
        <v>22</v>
      </c>
      <c r="J2210" s="98">
        <v>22</v>
      </c>
      <c r="K2210" s="89">
        <f t="shared" si="95"/>
        <v>1</v>
      </c>
      <c r="L2210" s="89">
        <v>4292.33</v>
      </c>
      <c r="M2210" s="89">
        <v>3282.25</v>
      </c>
      <c r="N2210" s="89">
        <v>405.32</v>
      </c>
      <c r="O2210" s="89">
        <f t="shared" si="93"/>
        <v>7979.9</v>
      </c>
    </row>
    <row r="2211" spans="1:15">
      <c r="A2211" s="74" t="s">
        <v>309</v>
      </c>
      <c r="B2211" s="74" t="s">
        <v>162</v>
      </c>
      <c r="C2211" s="74" t="s">
        <v>163</v>
      </c>
      <c r="D2211" s="74" t="s">
        <v>79</v>
      </c>
      <c r="E2211" s="74" t="s">
        <v>81</v>
      </c>
      <c r="F2211" s="86" t="s">
        <v>123</v>
      </c>
      <c r="G2211" s="74" t="s">
        <v>153</v>
      </c>
      <c r="H2211" s="87">
        <v>44773</v>
      </c>
      <c r="I2211" s="98">
        <v>22</v>
      </c>
      <c r="J2211" s="98">
        <v>22</v>
      </c>
      <c r="K2211" s="89">
        <f t="shared" si="95"/>
        <v>1</v>
      </c>
      <c r="L2211" s="89">
        <v>6387.3</v>
      </c>
      <c r="M2211" s="89">
        <v>3150.07</v>
      </c>
      <c r="N2211" s="89">
        <v>604.63</v>
      </c>
      <c r="O2211" s="89">
        <f t="shared" si="93"/>
        <v>10142</v>
      </c>
    </row>
    <row r="2212" spans="1:15">
      <c r="A2212" s="74" t="s">
        <v>309</v>
      </c>
      <c r="B2212" s="74" t="s">
        <v>164</v>
      </c>
      <c r="C2212" s="74" t="s">
        <v>165</v>
      </c>
      <c r="D2212" s="74" t="s">
        <v>79</v>
      </c>
      <c r="E2212" s="74" t="s">
        <v>81</v>
      </c>
      <c r="F2212" s="86" t="s">
        <v>156</v>
      </c>
      <c r="G2212" s="74" t="s">
        <v>157</v>
      </c>
      <c r="H2212" s="87">
        <v>44773</v>
      </c>
      <c r="I2212" s="98">
        <v>22</v>
      </c>
      <c r="J2212" s="98">
        <v>22</v>
      </c>
      <c r="K2212" s="89">
        <f t="shared" si="95"/>
        <v>1</v>
      </c>
      <c r="L2212" s="89">
        <v>5390.51</v>
      </c>
      <c r="M2212" s="89">
        <v>3275.49</v>
      </c>
      <c r="N2212" s="89">
        <v>527.81</v>
      </c>
      <c r="O2212" s="89">
        <f t="shared" si="93"/>
        <v>9193.81</v>
      </c>
    </row>
    <row r="2213" spans="1:15">
      <c r="A2213" s="74" t="s">
        <v>309</v>
      </c>
      <c r="B2213" s="74" t="s">
        <v>166</v>
      </c>
      <c r="C2213" s="74" t="s">
        <v>167</v>
      </c>
      <c r="D2213" s="74" t="s">
        <v>79</v>
      </c>
      <c r="E2213" s="74" t="s">
        <v>81</v>
      </c>
      <c r="F2213" s="86" t="s">
        <v>160</v>
      </c>
      <c r="G2213" s="74" t="s">
        <v>161</v>
      </c>
      <c r="H2213" s="87">
        <v>44773</v>
      </c>
      <c r="I2213" s="98">
        <v>22</v>
      </c>
      <c r="J2213" s="98">
        <v>22</v>
      </c>
      <c r="K2213" s="89">
        <f t="shared" si="95"/>
        <v>1</v>
      </c>
      <c r="L2213" s="89">
        <v>4290.67</v>
      </c>
      <c r="M2213" s="89">
        <v>3257.65</v>
      </c>
      <c r="N2213" s="89">
        <v>415.16</v>
      </c>
      <c r="O2213" s="89">
        <f t="shared" si="93"/>
        <v>7963.48</v>
      </c>
    </row>
    <row r="2214" spans="1:15">
      <c r="A2214" s="74" t="s">
        <v>309</v>
      </c>
      <c r="B2214" s="74" t="s">
        <v>168</v>
      </c>
      <c r="C2214" s="74" t="s">
        <v>169</v>
      </c>
      <c r="D2214" s="74" t="s">
        <v>79</v>
      </c>
      <c r="E2214" s="74" t="s">
        <v>81</v>
      </c>
      <c r="F2214" s="86" t="s">
        <v>123</v>
      </c>
      <c r="G2214" s="74" t="s">
        <v>153</v>
      </c>
      <c r="H2214" s="87">
        <v>44773</v>
      </c>
      <c r="I2214" s="98">
        <v>22</v>
      </c>
      <c r="J2214" s="98">
        <v>22</v>
      </c>
      <c r="K2214" s="89">
        <f t="shared" si="95"/>
        <v>1</v>
      </c>
      <c r="L2214" s="89">
        <v>6144.92</v>
      </c>
      <c r="M2214" s="89">
        <v>3217.99</v>
      </c>
      <c r="N2214" s="89">
        <v>604.56</v>
      </c>
      <c r="O2214" s="89">
        <f t="shared" si="93"/>
        <v>9967.47</v>
      </c>
    </row>
    <row r="2215" spans="1:15">
      <c r="A2215" s="74" t="s">
        <v>309</v>
      </c>
      <c r="B2215" s="74" t="s">
        <v>170</v>
      </c>
      <c r="C2215" s="74" t="s">
        <v>171</v>
      </c>
      <c r="D2215" s="74" t="s">
        <v>79</v>
      </c>
      <c r="E2215" s="74" t="s">
        <v>81</v>
      </c>
      <c r="F2215" s="86" t="s">
        <v>156</v>
      </c>
      <c r="G2215" s="74" t="s">
        <v>157</v>
      </c>
      <c r="H2215" s="87">
        <v>44773</v>
      </c>
      <c r="I2215" s="98">
        <v>22</v>
      </c>
      <c r="J2215" s="98">
        <v>22</v>
      </c>
      <c r="K2215" s="89">
        <f t="shared" si="95"/>
        <v>1</v>
      </c>
      <c r="L2215" s="89">
        <v>5312.99</v>
      </c>
      <c r="M2215" s="89">
        <v>3197.82</v>
      </c>
      <c r="N2215" s="89">
        <v>549.93</v>
      </c>
      <c r="O2215" s="89">
        <f t="shared" si="93"/>
        <v>9060.74</v>
      </c>
    </row>
    <row r="2216" spans="1:15">
      <c r="A2216" s="74" t="s">
        <v>309</v>
      </c>
      <c r="B2216" s="74" t="s">
        <v>172</v>
      </c>
      <c r="C2216" s="74" t="s">
        <v>173</v>
      </c>
      <c r="D2216" s="74" t="s">
        <v>79</v>
      </c>
      <c r="E2216" s="74" t="s">
        <v>81</v>
      </c>
      <c r="F2216" s="86" t="s">
        <v>160</v>
      </c>
      <c r="G2216" s="74" t="s">
        <v>161</v>
      </c>
      <c r="H2216" s="87">
        <v>44773</v>
      </c>
      <c r="I2216" s="98">
        <v>22</v>
      </c>
      <c r="J2216" s="98">
        <v>22</v>
      </c>
      <c r="K2216" s="89">
        <f t="shared" si="95"/>
        <v>1</v>
      </c>
      <c r="L2216" s="89">
        <v>4357.17</v>
      </c>
      <c r="M2216" s="89">
        <v>3002.12</v>
      </c>
      <c r="N2216" s="89">
        <v>408.22</v>
      </c>
      <c r="O2216" s="89">
        <f t="shared" si="93"/>
        <v>7767.51</v>
      </c>
    </row>
    <row r="2217" spans="1:15">
      <c r="A2217" s="74" t="s">
        <v>309</v>
      </c>
      <c r="B2217" s="74" t="s">
        <v>174</v>
      </c>
      <c r="C2217" s="74" t="s">
        <v>175</v>
      </c>
      <c r="D2217" s="74" t="s">
        <v>79</v>
      </c>
      <c r="E2217" s="74" t="s">
        <v>81</v>
      </c>
      <c r="F2217" s="86" t="s">
        <v>176</v>
      </c>
      <c r="G2217" s="74" t="s">
        <v>177</v>
      </c>
      <c r="H2217" s="87">
        <v>44773</v>
      </c>
      <c r="I2217" s="98">
        <v>22</v>
      </c>
      <c r="J2217" s="98">
        <v>22</v>
      </c>
      <c r="K2217" s="89">
        <f t="shared" si="95"/>
        <v>1</v>
      </c>
      <c r="L2217" s="89">
        <v>3087.19</v>
      </c>
      <c r="M2217" s="89">
        <v>3284.38</v>
      </c>
      <c r="N2217" s="89">
        <v>328.71</v>
      </c>
      <c r="O2217" s="89">
        <f t="shared" si="93"/>
        <v>6700.28</v>
      </c>
    </row>
    <row r="2218" spans="1:15">
      <c r="A2218" s="74" t="s">
        <v>309</v>
      </c>
      <c r="B2218" s="74" t="s">
        <v>178</v>
      </c>
      <c r="C2218" s="74" t="s">
        <v>179</v>
      </c>
      <c r="D2218" s="74" t="s">
        <v>79</v>
      </c>
      <c r="E2218" s="74" t="s">
        <v>81</v>
      </c>
      <c r="F2218" s="86" t="s">
        <v>180</v>
      </c>
      <c r="G2218" s="74" t="s">
        <v>177</v>
      </c>
      <c r="H2218" s="87">
        <v>44773</v>
      </c>
      <c r="I2218" s="98">
        <v>22</v>
      </c>
      <c r="J2218" s="98">
        <v>22</v>
      </c>
      <c r="K2218" s="89">
        <f t="shared" si="95"/>
        <v>1</v>
      </c>
      <c r="L2218" s="89">
        <v>2084.5</v>
      </c>
      <c r="M2218" s="89">
        <v>3225.87</v>
      </c>
      <c r="N2218" s="89">
        <v>206.33</v>
      </c>
      <c r="O2218" s="89">
        <f t="shared" si="93"/>
        <v>5516.7</v>
      </c>
    </row>
    <row r="2219" spans="1:15">
      <c r="A2219" s="74" t="s">
        <v>309</v>
      </c>
      <c r="B2219" s="74" t="s">
        <v>181</v>
      </c>
      <c r="C2219" s="74" t="s">
        <v>182</v>
      </c>
      <c r="D2219" s="74" t="s">
        <v>79</v>
      </c>
      <c r="E2219" s="74" t="s">
        <v>81</v>
      </c>
      <c r="F2219" s="86" t="s">
        <v>183</v>
      </c>
      <c r="G2219" s="74" t="s">
        <v>177</v>
      </c>
      <c r="H2219" s="87">
        <v>44773</v>
      </c>
      <c r="I2219" s="98">
        <v>22</v>
      </c>
      <c r="J2219" s="98">
        <v>22</v>
      </c>
      <c r="K2219" s="89">
        <f t="shared" si="95"/>
        <v>1</v>
      </c>
      <c r="L2219" s="89">
        <v>1060.73</v>
      </c>
      <c r="M2219" s="89">
        <v>3145.39</v>
      </c>
      <c r="N2219" s="89">
        <v>100.04</v>
      </c>
      <c r="O2219" s="89">
        <f t="shared" si="93"/>
        <v>4306.16</v>
      </c>
    </row>
    <row r="2220" spans="1:15">
      <c r="A2220" s="74" t="s">
        <v>309</v>
      </c>
      <c r="B2220" s="74" t="s">
        <v>184</v>
      </c>
      <c r="C2220" s="74" t="s">
        <v>185</v>
      </c>
      <c r="D2220" s="74" t="s">
        <v>79</v>
      </c>
      <c r="E2220" s="74" t="s">
        <v>81</v>
      </c>
      <c r="F2220" s="86" t="s">
        <v>176</v>
      </c>
      <c r="G2220" s="74" t="s">
        <v>177</v>
      </c>
      <c r="H2220" s="87">
        <v>44773</v>
      </c>
      <c r="I2220" s="98">
        <v>22</v>
      </c>
      <c r="J2220" s="98">
        <v>22</v>
      </c>
      <c r="K2220" s="89">
        <f t="shared" si="95"/>
        <v>1</v>
      </c>
      <c r="L2220" s="89">
        <v>3125.51</v>
      </c>
      <c r="M2220" s="89">
        <v>3124.39</v>
      </c>
      <c r="N2220" s="89">
        <v>305.58</v>
      </c>
      <c r="O2220" s="89">
        <f t="shared" si="93"/>
        <v>6555.48</v>
      </c>
    </row>
    <row r="2221" spans="1:15">
      <c r="A2221" s="74" t="s">
        <v>309</v>
      </c>
      <c r="B2221" s="74" t="s">
        <v>186</v>
      </c>
      <c r="C2221" s="74" t="s">
        <v>187</v>
      </c>
      <c r="D2221" s="74" t="s">
        <v>79</v>
      </c>
      <c r="E2221" s="74" t="s">
        <v>81</v>
      </c>
      <c r="F2221" s="86" t="s">
        <v>180</v>
      </c>
      <c r="G2221" s="74" t="s">
        <v>177</v>
      </c>
      <c r="H2221" s="87">
        <v>44773</v>
      </c>
      <c r="I2221" s="98">
        <v>22</v>
      </c>
      <c r="J2221" s="98">
        <v>22</v>
      </c>
      <c r="K2221" s="89">
        <f t="shared" si="95"/>
        <v>1</v>
      </c>
      <c r="L2221" s="89">
        <v>2027</v>
      </c>
      <c r="M2221" s="89">
        <v>3145.47</v>
      </c>
      <c r="N2221" s="89">
        <v>214.67</v>
      </c>
      <c r="O2221" s="89">
        <f t="shared" si="93"/>
        <v>5387.14</v>
      </c>
    </row>
    <row r="2222" spans="1:15">
      <c r="A2222" s="74" t="s">
        <v>309</v>
      </c>
      <c r="B2222" s="74" t="s">
        <v>188</v>
      </c>
      <c r="C2222" s="74" t="s">
        <v>189</v>
      </c>
      <c r="D2222" s="74" t="s">
        <v>79</v>
      </c>
      <c r="E2222" s="74" t="s">
        <v>81</v>
      </c>
      <c r="F2222" s="86" t="s">
        <v>183</v>
      </c>
      <c r="G2222" s="74" t="s">
        <v>177</v>
      </c>
      <c r="H2222" s="87">
        <v>44773</v>
      </c>
      <c r="I2222" s="98">
        <v>22</v>
      </c>
      <c r="J2222" s="98">
        <v>22</v>
      </c>
      <c r="K2222" s="89">
        <f t="shared" si="95"/>
        <v>1</v>
      </c>
      <c r="L2222" s="89">
        <v>1078.4</v>
      </c>
      <c r="M2222" s="89">
        <v>3071.82</v>
      </c>
      <c r="N2222" s="89">
        <v>104.48</v>
      </c>
      <c r="O2222" s="89">
        <f t="shared" si="93"/>
        <v>4254.7</v>
      </c>
    </row>
    <row r="2223" spans="1:15">
      <c r="A2223" s="74" t="s">
        <v>309</v>
      </c>
      <c r="B2223" s="74" t="s">
        <v>190</v>
      </c>
      <c r="C2223" s="74" t="s">
        <v>191</v>
      </c>
      <c r="D2223" s="74" t="s">
        <v>79</v>
      </c>
      <c r="E2223" s="74" t="s">
        <v>81</v>
      </c>
      <c r="F2223" s="86" t="s">
        <v>176</v>
      </c>
      <c r="G2223" s="74" t="s">
        <v>177</v>
      </c>
      <c r="H2223" s="87">
        <v>44773</v>
      </c>
      <c r="I2223" s="98">
        <v>22</v>
      </c>
      <c r="J2223" s="98">
        <v>22</v>
      </c>
      <c r="K2223" s="89">
        <f t="shared" si="95"/>
        <v>1</v>
      </c>
      <c r="L2223" s="89">
        <v>3193.76</v>
      </c>
      <c r="M2223" s="89">
        <v>3003.82</v>
      </c>
      <c r="N2223" s="89">
        <v>307.47</v>
      </c>
      <c r="O2223" s="89">
        <f t="shared" si="93"/>
        <v>6505.05</v>
      </c>
    </row>
    <row r="2224" spans="1:15">
      <c r="A2224" s="74" t="s">
        <v>309</v>
      </c>
      <c r="B2224" s="74" t="s">
        <v>192</v>
      </c>
      <c r="C2224" s="74" t="s">
        <v>193</v>
      </c>
      <c r="D2224" s="74" t="s">
        <v>79</v>
      </c>
      <c r="E2224" s="74" t="s">
        <v>81</v>
      </c>
      <c r="F2224" s="86" t="s">
        <v>180</v>
      </c>
      <c r="G2224" s="74" t="s">
        <v>177</v>
      </c>
      <c r="H2224" s="87">
        <v>44773</v>
      </c>
      <c r="I2224" s="98">
        <v>22</v>
      </c>
      <c r="J2224" s="98">
        <v>22</v>
      </c>
      <c r="K2224" s="89">
        <f t="shared" si="95"/>
        <v>1</v>
      </c>
      <c r="L2224" s="89">
        <v>2102.33</v>
      </c>
      <c r="M2224" s="89">
        <v>3089.75</v>
      </c>
      <c r="N2224" s="89">
        <v>206.87</v>
      </c>
      <c r="O2224" s="89">
        <f t="shared" si="93"/>
        <v>5398.95</v>
      </c>
    </row>
    <row r="2225" spans="1:15">
      <c r="A2225" s="74" t="s">
        <v>309</v>
      </c>
      <c r="B2225" s="74" t="s">
        <v>194</v>
      </c>
      <c r="C2225" s="74" t="s">
        <v>195</v>
      </c>
      <c r="D2225" s="74" t="s">
        <v>79</v>
      </c>
      <c r="E2225" s="74" t="s">
        <v>81</v>
      </c>
      <c r="F2225" s="86" t="s">
        <v>183</v>
      </c>
      <c r="G2225" s="74" t="s">
        <v>177</v>
      </c>
      <c r="H2225" s="87">
        <v>44773</v>
      </c>
      <c r="I2225" s="98">
        <v>22</v>
      </c>
      <c r="J2225" s="98">
        <v>22</v>
      </c>
      <c r="K2225" s="89">
        <f t="shared" si="95"/>
        <v>1</v>
      </c>
      <c r="L2225" s="89">
        <v>1095.02</v>
      </c>
      <c r="M2225" s="89">
        <v>3182.42</v>
      </c>
      <c r="N2225" s="89">
        <v>101.18</v>
      </c>
      <c r="O2225" s="89">
        <f t="shared" si="93"/>
        <v>4378.62</v>
      </c>
    </row>
    <row r="2226" spans="1:15">
      <c r="A2226" s="74" t="s">
        <v>309</v>
      </c>
      <c r="B2226" s="74" t="s">
        <v>196</v>
      </c>
      <c r="C2226" s="74" t="s">
        <v>197</v>
      </c>
      <c r="D2226" s="74" t="s">
        <v>79</v>
      </c>
      <c r="E2226" s="74" t="s">
        <v>81</v>
      </c>
      <c r="F2226" s="86" t="s">
        <v>176</v>
      </c>
      <c r="G2226" s="74" t="s">
        <v>177</v>
      </c>
      <c r="H2226" s="87">
        <v>44773</v>
      </c>
      <c r="I2226" s="98">
        <v>22</v>
      </c>
      <c r="J2226" s="98">
        <v>22</v>
      </c>
      <c r="K2226" s="89">
        <f t="shared" si="95"/>
        <v>1</v>
      </c>
      <c r="L2226" s="89">
        <v>3071.72</v>
      </c>
      <c r="M2226" s="89">
        <v>3183.15</v>
      </c>
      <c r="N2226" s="89">
        <v>303.84</v>
      </c>
      <c r="O2226" s="89">
        <f t="shared" si="93"/>
        <v>6558.71</v>
      </c>
    </row>
    <row r="2227" spans="1:15">
      <c r="A2227" s="74" t="s">
        <v>309</v>
      </c>
      <c r="B2227" s="74" t="s">
        <v>198</v>
      </c>
      <c r="C2227" s="74" t="s">
        <v>199</v>
      </c>
      <c r="D2227" s="74" t="s">
        <v>79</v>
      </c>
      <c r="E2227" s="74" t="s">
        <v>81</v>
      </c>
      <c r="F2227" s="86" t="s">
        <v>180</v>
      </c>
      <c r="G2227" s="74" t="s">
        <v>177</v>
      </c>
      <c r="H2227" s="87">
        <v>44773</v>
      </c>
      <c r="I2227" s="98">
        <v>22</v>
      </c>
      <c r="J2227" s="98">
        <v>22</v>
      </c>
      <c r="K2227" s="89">
        <f t="shared" si="95"/>
        <v>1</v>
      </c>
      <c r="L2227" s="89">
        <v>2001.56</v>
      </c>
      <c r="M2227" s="89">
        <v>3292.25</v>
      </c>
      <c r="N2227" s="89">
        <v>219.63</v>
      </c>
      <c r="O2227" s="89">
        <f t="shared" si="93"/>
        <v>5513.44</v>
      </c>
    </row>
    <row r="2228" spans="1:15">
      <c r="A2228" s="74" t="s">
        <v>309</v>
      </c>
      <c r="B2228" s="74" t="s">
        <v>200</v>
      </c>
      <c r="C2228" s="74" t="s">
        <v>201</v>
      </c>
      <c r="D2228" s="74" t="s">
        <v>79</v>
      </c>
      <c r="E2228" s="74" t="s">
        <v>81</v>
      </c>
      <c r="F2228" s="86" t="s">
        <v>183</v>
      </c>
      <c r="G2228" s="74" t="s">
        <v>177</v>
      </c>
      <c r="H2228" s="87">
        <v>44773</v>
      </c>
      <c r="I2228" s="98">
        <v>22</v>
      </c>
      <c r="J2228" s="98">
        <v>22</v>
      </c>
      <c r="K2228" s="89">
        <f t="shared" si="95"/>
        <v>1</v>
      </c>
      <c r="L2228" s="89">
        <v>1020.8</v>
      </c>
      <c r="M2228" s="89">
        <v>3265.05</v>
      </c>
      <c r="N2228" s="89">
        <v>103.57</v>
      </c>
      <c r="O2228" s="89">
        <f t="shared" si="93"/>
        <v>4389.42</v>
      </c>
    </row>
    <row r="2229" spans="1:15">
      <c r="A2229" s="74" t="s">
        <v>309</v>
      </c>
      <c r="B2229" s="74" t="s">
        <v>202</v>
      </c>
      <c r="C2229" s="74" t="s">
        <v>203</v>
      </c>
      <c r="D2229" s="74" t="s">
        <v>79</v>
      </c>
      <c r="E2229" s="74" t="s">
        <v>81</v>
      </c>
      <c r="F2229" s="86" t="s">
        <v>204</v>
      </c>
      <c r="G2229" s="74" t="s">
        <v>205</v>
      </c>
      <c r="H2229" s="87">
        <v>44773</v>
      </c>
      <c r="I2229" s="98">
        <v>22</v>
      </c>
      <c r="J2229" s="98">
        <v>22</v>
      </c>
      <c r="K2229" s="89">
        <f t="shared" si="95"/>
        <v>1</v>
      </c>
      <c r="L2229" s="89">
        <v>19527.28</v>
      </c>
      <c r="M2229" s="89">
        <v>3070.77</v>
      </c>
      <c r="N2229" s="89">
        <v>1921.09</v>
      </c>
      <c r="O2229" s="89">
        <f t="shared" si="93"/>
        <v>24519.14</v>
      </c>
    </row>
    <row r="2230" spans="1:15">
      <c r="A2230" s="74" t="s">
        <v>309</v>
      </c>
      <c r="B2230" s="74" t="s">
        <v>206</v>
      </c>
      <c r="C2230" s="74" t="s">
        <v>207</v>
      </c>
      <c r="D2230" s="88" t="s">
        <v>82</v>
      </c>
      <c r="E2230" s="88" t="s">
        <v>84</v>
      </c>
      <c r="F2230" s="86" t="s">
        <v>208</v>
      </c>
      <c r="G2230" s="74" t="s">
        <v>209</v>
      </c>
      <c r="H2230" s="87">
        <v>44773</v>
      </c>
      <c r="I2230" s="98">
        <v>22</v>
      </c>
      <c r="J2230" s="98">
        <v>22</v>
      </c>
      <c r="K2230" s="89">
        <f t="shared" si="95"/>
        <v>1</v>
      </c>
      <c r="L2230" s="89">
        <v>9355.51</v>
      </c>
      <c r="M2230" s="89">
        <v>3041.03</v>
      </c>
      <c r="N2230" s="89">
        <v>911.56</v>
      </c>
      <c r="O2230" s="89">
        <f t="shared" si="93"/>
        <v>13308.1</v>
      </c>
    </row>
    <row r="2231" spans="1:15">
      <c r="A2231" s="74" t="s">
        <v>309</v>
      </c>
      <c r="B2231" s="74" t="s">
        <v>210</v>
      </c>
      <c r="C2231" s="74" t="s">
        <v>211</v>
      </c>
      <c r="D2231" s="88" t="s">
        <v>82</v>
      </c>
      <c r="E2231" s="88" t="s">
        <v>84</v>
      </c>
      <c r="F2231" s="86" t="s">
        <v>116</v>
      </c>
      <c r="G2231" s="74" t="s">
        <v>209</v>
      </c>
      <c r="H2231" s="87">
        <v>44773</v>
      </c>
      <c r="I2231" s="98">
        <v>22</v>
      </c>
      <c r="J2231" s="98">
        <v>22</v>
      </c>
      <c r="K2231" s="89">
        <f t="shared" si="95"/>
        <v>1</v>
      </c>
      <c r="L2231" s="89">
        <v>8195.14</v>
      </c>
      <c r="M2231" s="89">
        <v>3056.66</v>
      </c>
      <c r="N2231" s="89">
        <v>803.47</v>
      </c>
      <c r="O2231" s="89">
        <f t="shared" si="93"/>
        <v>12055.27</v>
      </c>
    </row>
    <row r="2232" spans="1:15">
      <c r="A2232" s="74" t="s">
        <v>309</v>
      </c>
      <c r="B2232" s="74" t="s">
        <v>212</v>
      </c>
      <c r="C2232" s="74" t="s">
        <v>213</v>
      </c>
      <c r="D2232" s="88" t="s">
        <v>82</v>
      </c>
      <c r="E2232" s="88" t="s">
        <v>84</v>
      </c>
      <c r="F2232" s="86" t="s">
        <v>208</v>
      </c>
      <c r="G2232" s="74" t="s">
        <v>209</v>
      </c>
      <c r="H2232" s="87">
        <v>44773</v>
      </c>
      <c r="I2232" s="98">
        <v>22</v>
      </c>
      <c r="J2232" s="98">
        <v>22</v>
      </c>
      <c r="K2232" s="89">
        <f t="shared" si="95"/>
        <v>1</v>
      </c>
      <c r="L2232" s="89">
        <v>9032.62</v>
      </c>
      <c r="M2232" s="89">
        <v>3209.82</v>
      </c>
      <c r="N2232" s="89">
        <v>960.83</v>
      </c>
      <c r="O2232" s="89">
        <f t="shared" si="93"/>
        <v>13203.27</v>
      </c>
    </row>
    <row r="2233" spans="1:15">
      <c r="A2233" s="74" t="s">
        <v>309</v>
      </c>
      <c r="B2233" s="74" t="s">
        <v>214</v>
      </c>
      <c r="C2233" s="74" t="s">
        <v>215</v>
      </c>
      <c r="D2233" s="88" t="s">
        <v>82</v>
      </c>
      <c r="E2233" s="88" t="s">
        <v>84</v>
      </c>
      <c r="F2233" s="86" t="s">
        <v>116</v>
      </c>
      <c r="G2233" s="74" t="s">
        <v>209</v>
      </c>
      <c r="H2233" s="87">
        <v>44773</v>
      </c>
      <c r="I2233" s="98">
        <v>22</v>
      </c>
      <c r="J2233" s="98">
        <v>22</v>
      </c>
      <c r="K2233" s="89">
        <f t="shared" si="95"/>
        <v>1</v>
      </c>
      <c r="L2233" s="89">
        <v>8383.74</v>
      </c>
      <c r="M2233" s="89">
        <v>3050.94</v>
      </c>
      <c r="N2233" s="89">
        <v>847.69</v>
      </c>
      <c r="O2233" s="89">
        <f t="shared" si="93"/>
        <v>12282.37</v>
      </c>
    </row>
    <row r="2234" spans="1:15">
      <c r="A2234" s="74" t="s">
        <v>309</v>
      </c>
      <c r="B2234" s="74" t="s">
        <v>216</v>
      </c>
      <c r="C2234" s="74" t="s">
        <v>217</v>
      </c>
      <c r="D2234" s="88" t="s">
        <v>82</v>
      </c>
      <c r="E2234" s="88" t="s">
        <v>84</v>
      </c>
      <c r="F2234" s="86" t="s">
        <v>218</v>
      </c>
      <c r="G2234" s="74" t="s">
        <v>219</v>
      </c>
      <c r="H2234" s="87">
        <v>44773</v>
      </c>
      <c r="I2234" s="98">
        <v>22</v>
      </c>
      <c r="J2234" s="98">
        <v>22</v>
      </c>
      <c r="K2234" s="89">
        <f t="shared" si="95"/>
        <v>1</v>
      </c>
      <c r="L2234" s="89">
        <v>11866.59</v>
      </c>
      <c r="M2234" s="89">
        <v>3259</v>
      </c>
      <c r="N2234" s="89">
        <v>1148.57</v>
      </c>
      <c r="O2234" s="89">
        <f t="shared" si="93"/>
        <v>16274.16</v>
      </c>
    </row>
    <row r="2235" spans="1:15">
      <c r="A2235" s="74" t="s">
        <v>309</v>
      </c>
      <c r="B2235" s="74" t="s">
        <v>220</v>
      </c>
      <c r="C2235" s="74" t="s">
        <v>221</v>
      </c>
      <c r="D2235" s="88" t="s">
        <v>82</v>
      </c>
      <c r="E2235" s="74" t="s">
        <v>83</v>
      </c>
      <c r="F2235" s="86" t="s">
        <v>218</v>
      </c>
      <c r="G2235" s="74" t="s">
        <v>222</v>
      </c>
      <c r="H2235" s="87">
        <v>44773</v>
      </c>
      <c r="I2235" s="98">
        <v>22</v>
      </c>
      <c r="J2235" s="98">
        <v>22</v>
      </c>
      <c r="K2235" s="89">
        <f t="shared" si="95"/>
        <v>1</v>
      </c>
      <c r="L2235" s="89">
        <v>11412.23</v>
      </c>
      <c r="M2235" s="89">
        <v>3051.41</v>
      </c>
      <c r="N2235" s="89">
        <v>1157.65</v>
      </c>
      <c r="O2235" s="89">
        <f t="shared" si="93"/>
        <v>15621.29</v>
      </c>
    </row>
    <row r="2236" spans="1:15">
      <c r="A2236" s="74" t="s">
        <v>309</v>
      </c>
      <c r="B2236" s="74" t="s">
        <v>223</v>
      </c>
      <c r="C2236" s="74" t="s">
        <v>224</v>
      </c>
      <c r="D2236" s="88" t="s">
        <v>82</v>
      </c>
      <c r="E2236" s="74" t="s">
        <v>83</v>
      </c>
      <c r="F2236" s="86" t="s">
        <v>225</v>
      </c>
      <c r="G2236" s="74" t="s">
        <v>209</v>
      </c>
      <c r="H2236" s="87">
        <v>44773</v>
      </c>
      <c r="I2236" s="98">
        <v>22</v>
      </c>
      <c r="J2236" s="98">
        <v>22</v>
      </c>
      <c r="K2236" s="89">
        <f t="shared" si="95"/>
        <v>1</v>
      </c>
      <c r="L2236" s="89">
        <v>10908.05</v>
      </c>
      <c r="M2236" s="89">
        <v>3070.28</v>
      </c>
      <c r="N2236" s="89">
        <v>1010</v>
      </c>
      <c r="O2236" s="89">
        <f t="shared" si="93"/>
        <v>14988.33</v>
      </c>
    </row>
    <row r="2237" spans="1:15">
      <c r="A2237" s="74" t="s">
        <v>309</v>
      </c>
      <c r="B2237" s="74" t="s">
        <v>226</v>
      </c>
      <c r="C2237" s="74" t="s">
        <v>227</v>
      </c>
      <c r="D2237" s="88" t="s">
        <v>82</v>
      </c>
      <c r="E2237" s="74" t="s">
        <v>83</v>
      </c>
      <c r="F2237" s="86" t="s">
        <v>208</v>
      </c>
      <c r="G2237" s="74" t="s">
        <v>209</v>
      </c>
      <c r="H2237" s="87">
        <v>44773</v>
      </c>
      <c r="I2237" s="98">
        <v>22</v>
      </c>
      <c r="J2237" s="98">
        <v>22</v>
      </c>
      <c r="K2237" s="89">
        <f t="shared" si="95"/>
        <v>1</v>
      </c>
      <c r="L2237" s="89">
        <v>9751.91</v>
      </c>
      <c r="M2237" s="89">
        <v>3279.74</v>
      </c>
      <c r="N2237" s="89">
        <v>900.7</v>
      </c>
      <c r="O2237" s="89">
        <f t="shared" si="93"/>
        <v>13932.35</v>
      </c>
    </row>
    <row r="2238" spans="1:15">
      <c r="A2238" s="74" t="s">
        <v>309</v>
      </c>
      <c r="B2238" s="74" t="s">
        <v>228</v>
      </c>
      <c r="C2238" s="74" t="s">
        <v>229</v>
      </c>
      <c r="D2238" s="88" t="s">
        <v>82</v>
      </c>
      <c r="E2238" s="74" t="s">
        <v>83</v>
      </c>
      <c r="F2238" s="86" t="s">
        <v>116</v>
      </c>
      <c r="G2238" s="74" t="s">
        <v>209</v>
      </c>
      <c r="H2238" s="87">
        <v>44773</v>
      </c>
      <c r="I2238" s="98">
        <v>22</v>
      </c>
      <c r="J2238" s="98">
        <v>22</v>
      </c>
      <c r="K2238" s="89">
        <f t="shared" si="95"/>
        <v>1</v>
      </c>
      <c r="L2238" s="89">
        <v>8026.94</v>
      </c>
      <c r="M2238" s="89">
        <v>3028.27</v>
      </c>
      <c r="N2238" s="89">
        <v>802.67</v>
      </c>
      <c r="O2238" s="89">
        <f t="shared" si="93"/>
        <v>11857.88</v>
      </c>
    </row>
    <row r="2239" spans="1:15">
      <c r="A2239" s="74" t="s">
        <v>309</v>
      </c>
      <c r="B2239" s="74" t="s">
        <v>230</v>
      </c>
      <c r="C2239" s="74" t="s">
        <v>231</v>
      </c>
      <c r="D2239" s="88" t="s">
        <v>82</v>
      </c>
      <c r="E2239" s="74" t="s">
        <v>83</v>
      </c>
      <c r="F2239" s="86" t="s">
        <v>120</v>
      </c>
      <c r="G2239" s="74" t="s">
        <v>209</v>
      </c>
      <c r="H2239" s="87">
        <v>44773</v>
      </c>
      <c r="I2239" s="98">
        <v>22</v>
      </c>
      <c r="J2239" s="98">
        <v>22</v>
      </c>
      <c r="K2239" s="89">
        <f t="shared" si="95"/>
        <v>1</v>
      </c>
      <c r="L2239" s="89">
        <v>7556.77</v>
      </c>
      <c r="M2239" s="89">
        <v>3124.1</v>
      </c>
      <c r="N2239" s="89">
        <v>751.76</v>
      </c>
      <c r="O2239" s="89">
        <f t="shared" si="93"/>
        <v>11432.63</v>
      </c>
    </row>
    <row r="2240" spans="1:15">
      <c r="A2240" s="74" t="s">
        <v>309</v>
      </c>
      <c r="B2240" s="74" t="s">
        <v>232</v>
      </c>
      <c r="C2240" s="74" t="s">
        <v>233</v>
      </c>
      <c r="D2240" s="88" t="s">
        <v>82</v>
      </c>
      <c r="E2240" s="74" t="s">
        <v>83</v>
      </c>
      <c r="F2240" s="86" t="s">
        <v>123</v>
      </c>
      <c r="G2240" s="74" t="s">
        <v>209</v>
      </c>
      <c r="H2240" s="87">
        <v>44773</v>
      </c>
      <c r="I2240" s="98">
        <v>22</v>
      </c>
      <c r="J2240" s="98">
        <v>22</v>
      </c>
      <c r="K2240" s="89">
        <f t="shared" si="95"/>
        <v>1</v>
      </c>
      <c r="L2240" s="89">
        <v>6217.27</v>
      </c>
      <c r="M2240" s="89">
        <v>3180.24</v>
      </c>
      <c r="N2240" s="89">
        <v>646.86</v>
      </c>
      <c r="O2240" s="89">
        <f t="shared" si="93"/>
        <v>10044.37</v>
      </c>
    </row>
    <row r="2241" spans="1:15">
      <c r="A2241" s="74" t="s">
        <v>309</v>
      </c>
      <c r="B2241" s="74" t="s">
        <v>234</v>
      </c>
      <c r="C2241" s="74" t="s">
        <v>235</v>
      </c>
      <c r="D2241" s="88" t="s">
        <v>82</v>
      </c>
      <c r="E2241" s="74" t="s">
        <v>83</v>
      </c>
      <c r="F2241" s="86" t="s">
        <v>116</v>
      </c>
      <c r="G2241" s="74" t="s">
        <v>209</v>
      </c>
      <c r="H2241" s="87">
        <v>44773</v>
      </c>
      <c r="I2241" s="98">
        <v>22</v>
      </c>
      <c r="J2241" s="98">
        <v>22</v>
      </c>
      <c r="K2241" s="89">
        <f t="shared" si="95"/>
        <v>1</v>
      </c>
      <c r="L2241" s="89">
        <v>8369.75</v>
      </c>
      <c r="M2241" s="89">
        <v>3202.17</v>
      </c>
      <c r="N2241" s="89">
        <v>867.81</v>
      </c>
      <c r="O2241" s="89">
        <f t="shared" si="93"/>
        <v>12439.73</v>
      </c>
    </row>
    <row r="2242" spans="1:15">
      <c r="A2242" s="74" t="s">
        <v>309</v>
      </c>
      <c r="B2242" s="74" t="s">
        <v>236</v>
      </c>
      <c r="C2242" s="74" t="s">
        <v>237</v>
      </c>
      <c r="D2242" s="88" t="s">
        <v>82</v>
      </c>
      <c r="E2242" s="74" t="s">
        <v>83</v>
      </c>
      <c r="F2242" s="86" t="s">
        <v>120</v>
      </c>
      <c r="G2242" s="74" t="s">
        <v>209</v>
      </c>
      <c r="H2242" s="87">
        <v>44773</v>
      </c>
      <c r="I2242" s="98">
        <v>22</v>
      </c>
      <c r="J2242" s="98">
        <v>22</v>
      </c>
      <c r="K2242" s="89">
        <f t="shared" si="95"/>
        <v>1</v>
      </c>
      <c r="L2242" s="89">
        <v>7318.16</v>
      </c>
      <c r="M2242" s="89">
        <v>3279.93</v>
      </c>
      <c r="N2242" s="89">
        <v>700.35</v>
      </c>
      <c r="O2242" s="89">
        <f t="shared" si="93"/>
        <v>11298.44</v>
      </c>
    </row>
    <row r="2243" spans="1:15">
      <c r="A2243" s="74" t="s">
        <v>309</v>
      </c>
      <c r="B2243" s="74" t="s">
        <v>238</v>
      </c>
      <c r="C2243" s="74" t="s">
        <v>239</v>
      </c>
      <c r="D2243" s="74" t="s">
        <v>86</v>
      </c>
      <c r="E2243" s="74" t="s">
        <v>87</v>
      </c>
      <c r="F2243" s="86" t="s">
        <v>204</v>
      </c>
      <c r="G2243" s="74" t="s">
        <v>240</v>
      </c>
      <c r="H2243" s="87">
        <v>44773</v>
      </c>
      <c r="I2243" s="98">
        <v>22</v>
      </c>
      <c r="J2243" s="98">
        <v>22</v>
      </c>
      <c r="K2243" s="89">
        <f t="shared" si="95"/>
        <v>1</v>
      </c>
      <c r="L2243" s="89">
        <v>14777.71</v>
      </c>
      <c r="M2243" s="89">
        <v>3001.44</v>
      </c>
      <c r="N2243" s="89">
        <v>1962.56</v>
      </c>
      <c r="O2243" s="89">
        <f t="shared" si="93"/>
        <v>19741.71</v>
      </c>
    </row>
    <row r="2244" spans="1:15">
      <c r="A2244" s="74" t="s">
        <v>309</v>
      </c>
      <c r="B2244" s="74" t="s">
        <v>241</v>
      </c>
      <c r="C2244" s="74" t="s">
        <v>242</v>
      </c>
      <c r="D2244" s="74" t="s">
        <v>86</v>
      </c>
      <c r="E2244" s="74" t="s">
        <v>87</v>
      </c>
      <c r="F2244" s="86" t="s">
        <v>243</v>
      </c>
      <c r="G2244" s="74" t="s">
        <v>244</v>
      </c>
      <c r="H2244" s="87">
        <v>44773</v>
      </c>
      <c r="I2244" s="98">
        <v>22</v>
      </c>
      <c r="J2244" s="98">
        <v>22</v>
      </c>
      <c r="K2244" s="89">
        <f t="shared" si="95"/>
        <v>1</v>
      </c>
      <c r="L2244" s="89">
        <v>11359.54</v>
      </c>
      <c r="M2244" s="89">
        <v>3084.44</v>
      </c>
      <c r="N2244" s="89">
        <v>1302.42</v>
      </c>
      <c r="O2244" s="89">
        <f t="shared" si="93"/>
        <v>15746.4</v>
      </c>
    </row>
    <row r="2245" spans="1:15">
      <c r="A2245" s="74" t="s">
        <v>309</v>
      </c>
      <c r="B2245" s="74" t="s">
        <v>245</v>
      </c>
      <c r="C2245" s="74" t="s">
        <v>246</v>
      </c>
      <c r="D2245" s="74" t="s">
        <v>86</v>
      </c>
      <c r="E2245" s="74" t="s">
        <v>87</v>
      </c>
      <c r="F2245" s="86" t="s">
        <v>247</v>
      </c>
      <c r="G2245" s="74" t="s">
        <v>248</v>
      </c>
      <c r="H2245" s="87">
        <v>44773</v>
      </c>
      <c r="I2245" s="98">
        <v>22</v>
      </c>
      <c r="J2245" s="98">
        <v>22</v>
      </c>
      <c r="K2245" s="89">
        <f t="shared" si="95"/>
        <v>1</v>
      </c>
      <c r="L2245" s="89">
        <v>9726.74</v>
      </c>
      <c r="M2245" s="89">
        <v>3160.1</v>
      </c>
      <c r="N2245" s="89">
        <v>1244.67</v>
      </c>
      <c r="O2245" s="89">
        <f t="shared" ref="O2245:O2308" si="96">SUM(L2245:N2245)</f>
        <v>14131.51</v>
      </c>
    </row>
    <row r="2246" spans="1:15">
      <c r="A2246" s="74" t="s">
        <v>309</v>
      </c>
      <c r="B2246" s="74" t="s">
        <v>249</v>
      </c>
      <c r="C2246" s="74" t="s">
        <v>250</v>
      </c>
      <c r="D2246" s="74" t="s">
        <v>86</v>
      </c>
      <c r="E2246" s="74" t="s">
        <v>87</v>
      </c>
      <c r="F2246" s="86" t="s">
        <v>251</v>
      </c>
      <c r="G2246" s="74" t="s">
        <v>252</v>
      </c>
      <c r="H2246" s="87">
        <v>44773</v>
      </c>
      <c r="I2246" s="98">
        <v>22</v>
      </c>
      <c r="J2246" s="98">
        <v>22</v>
      </c>
      <c r="K2246" s="89">
        <f t="shared" si="95"/>
        <v>1</v>
      </c>
      <c r="L2246" s="89">
        <v>9560.24</v>
      </c>
      <c r="M2246" s="89">
        <v>3022.24</v>
      </c>
      <c r="N2246" s="89">
        <v>1183.71</v>
      </c>
      <c r="O2246" s="89">
        <f t="shared" si="96"/>
        <v>13766.19</v>
      </c>
    </row>
    <row r="2247" spans="1:15">
      <c r="A2247" s="74" t="s">
        <v>309</v>
      </c>
      <c r="B2247" s="74" t="s">
        <v>253</v>
      </c>
      <c r="C2247" s="74" t="s">
        <v>254</v>
      </c>
      <c r="D2247" s="74" t="s">
        <v>86</v>
      </c>
      <c r="E2247" s="74" t="s">
        <v>87</v>
      </c>
      <c r="F2247" s="86" t="s">
        <v>255</v>
      </c>
      <c r="G2247" s="74" t="s">
        <v>252</v>
      </c>
      <c r="H2247" s="87">
        <v>44773</v>
      </c>
      <c r="I2247" s="98">
        <v>22</v>
      </c>
      <c r="J2247" s="98">
        <v>22</v>
      </c>
      <c r="K2247" s="89">
        <f t="shared" si="95"/>
        <v>1</v>
      </c>
      <c r="L2247" s="89">
        <v>8346.32</v>
      </c>
      <c r="M2247" s="89">
        <v>3197.95</v>
      </c>
      <c r="N2247" s="89">
        <v>1089.87</v>
      </c>
      <c r="O2247" s="89">
        <f t="shared" si="96"/>
        <v>12634.14</v>
      </c>
    </row>
    <row r="2248" spans="1:15">
      <c r="A2248" s="74" t="s">
        <v>309</v>
      </c>
      <c r="B2248" s="74" t="s">
        <v>256</v>
      </c>
      <c r="C2248" s="74" t="s">
        <v>257</v>
      </c>
      <c r="D2248" s="74" t="s">
        <v>86</v>
      </c>
      <c r="E2248" s="74" t="s">
        <v>87</v>
      </c>
      <c r="F2248" s="86" t="s">
        <v>258</v>
      </c>
      <c r="G2248" s="74" t="s">
        <v>252</v>
      </c>
      <c r="H2248" s="87">
        <v>44773</v>
      </c>
      <c r="I2248" s="98">
        <v>22</v>
      </c>
      <c r="J2248" s="98">
        <v>22</v>
      </c>
      <c r="K2248" s="89">
        <f t="shared" si="95"/>
        <v>1</v>
      </c>
      <c r="L2248" s="89">
        <v>7655.92</v>
      </c>
      <c r="M2248" s="89">
        <v>3080.73</v>
      </c>
      <c r="N2248" s="89">
        <v>975.98</v>
      </c>
      <c r="O2248" s="89">
        <f t="shared" si="96"/>
        <v>11712.63</v>
      </c>
    </row>
    <row r="2249" spans="1:15">
      <c r="A2249" s="74" t="s">
        <v>309</v>
      </c>
      <c r="B2249" s="74" t="s">
        <v>259</v>
      </c>
      <c r="C2249" s="74" t="s">
        <v>260</v>
      </c>
      <c r="D2249" s="74" t="s">
        <v>86</v>
      </c>
      <c r="E2249" s="74" t="s">
        <v>87</v>
      </c>
      <c r="F2249" s="86" t="s">
        <v>261</v>
      </c>
      <c r="G2249" s="74" t="s">
        <v>262</v>
      </c>
      <c r="H2249" s="87">
        <v>44773</v>
      </c>
      <c r="I2249" s="98">
        <v>22</v>
      </c>
      <c r="J2249" s="98">
        <v>22</v>
      </c>
      <c r="K2249" s="89">
        <f t="shared" si="95"/>
        <v>1</v>
      </c>
      <c r="L2249" s="89">
        <v>6895.37</v>
      </c>
      <c r="M2249" s="89">
        <v>3119.67</v>
      </c>
      <c r="N2249" s="89">
        <v>864.42</v>
      </c>
      <c r="O2249" s="89">
        <f t="shared" si="96"/>
        <v>10879.46</v>
      </c>
    </row>
    <row r="2250" spans="1:15">
      <c r="A2250" s="74" t="s">
        <v>309</v>
      </c>
      <c r="B2250" s="74" t="s">
        <v>263</v>
      </c>
      <c r="C2250" s="74" t="s">
        <v>264</v>
      </c>
      <c r="D2250" s="74" t="s">
        <v>86</v>
      </c>
      <c r="E2250" s="74" t="s">
        <v>88</v>
      </c>
      <c r="F2250" s="86" t="s">
        <v>149</v>
      </c>
      <c r="G2250" s="74" t="s">
        <v>265</v>
      </c>
      <c r="H2250" s="87">
        <v>44773</v>
      </c>
      <c r="I2250" s="98">
        <v>22</v>
      </c>
      <c r="J2250" s="98">
        <v>22</v>
      </c>
      <c r="K2250" s="89">
        <f t="shared" si="95"/>
        <v>1</v>
      </c>
      <c r="L2250" s="89">
        <v>14652.2</v>
      </c>
      <c r="M2250" s="89">
        <v>3047.92</v>
      </c>
      <c r="N2250" s="89">
        <v>1781.3</v>
      </c>
      <c r="O2250" s="89">
        <f t="shared" si="96"/>
        <v>19481.42</v>
      </c>
    </row>
    <row r="2251" spans="1:15">
      <c r="A2251" s="74" t="s">
        <v>309</v>
      </c>
      <c r="B2251" s="74" t="s">
        <v>266</v>
      </c>
      <c r="C2251" s="74" t="s">
        <v>267</v>
      </c>
      <c r="D2251" s="74" t="s">
        <v>86</v>
      </c>
      <c r="E2251" s="74" t="s">
        <v>88</v>
      </c>
      <c r="F2251" s="86" t="s">
        <v>243</v>
      </c>
      <c r="G2251" s="74" t="s">
        <v>268</v>
      </c>
      <c r="H2251" s="87">
        <v>44773</v>
      </c>
      <c r="I2251" s="98">
        <v>22</v>
      </c>
      <c r="J2251" s="98">
        <v>22</v>
      </c>
      <c r="K2251" s="89">
        <f t="shared" si="95"/>
        <v>1</v>
      </c>
      <c r="L2251" s="89">
        <v>10581.73</v>
      </c>
      <c r="M2251" s="89">
        <v>3229.92</v>
      </c>
      <c r="N2251" s="89">
        <v>1325.96</v>
      </c>
      <c r="O2251" s="89">
        <f t="shared" si="96"/>
        <v>15137.61</v>
      </c>
    </row>
    <row r="2252" spans="1:15">
      <c r="A2252" s="74" t="s">
        <v>309</v>
      </c>
      <c r="B2252" s="74" t="s">
        <v>269</v>
      </c>
      <c r="C2252" s="74" t="s">
        <v>270</v>
      </c>
      <c r="D2252" s="74" t="s">
        <v>86</v>
      </c>
      <c r="E2252" s="74" t="s">
        <v>88</v>
      </c>
      <c r="F2252" s="86" t="s">
        <v>247</v>
      </c>
      <c r="G2252" s="74" t="s">
        <v>268</v>
      </c>
      <c r="H2252" s="87">
        <v>44773</v>
      </c>
      <c r="I2252" s="98">
        <v>22</v>
      </c>
      <c r="J2252" s="98">
        <v>22</v>
      </c>
      <c r="K2252" s="89">
        <f t="shared" si="95"/>
        <v>1</v>
      </c>
      <c r="L2252" s="89">
        <v>9856.96</v>
      </c>
      <c r="M2252" s="89">
        <v>3044.26</v>
      </c>
      <c r="N2252" s="89">
        <v>1219.47</v>
      </c>
      <c r="O2252" s="89">
        <f t="shared" si="96"/>
        <v>14120.69</v>
      </c>
    </row>
    <row r="2253" spans="1:15">
      <c r="A2253" s="74" t="s">
        <v>309</v>
      </c>
      <c r="B2253" s="74" t="s">
        <v>271</v>
      </c>
      <c r="C2253" s="74" t="s">
        <v>272</v>
      </c>
      <c r="D2253" s="74" t="s">
        <v>86</v>
      </c>
      <c r="E2253" s="74" t="s">
        <v>88</v>
      </c>
      <c r="F2253" s="86" t="s">
        <v>251</v>
      </c>
      <c r="G2253" s="74" t="s">
        <v>268</v>
      </c>
      <c r="H2253" s="87">
        <v>44773</v>
      </c>
      <c r="I2253" s="98">
        <v>22</v>
      </c>
      <c r="J2253" s="98">
        <v>22</v>
      </c>
      <c r="K2253" s="89">
        <f t="shared" si="95"/>
        <v>1</v>
      </c>
      <c r="L2253" s="89">
        <v>9353.33</v>
      </c>
      <c r="M2253" s="89">
        <v>3178.22</v>
      </c>
      <c r="N2253" s="89">
        <v>1146.2</v>
      </c>
      <c r="O2253" s="89">
        <f t="shared" si="96"/>
        <v>13677.75</v>
      </c>
    </row>
    <row r="2254" spans="1:15">
      <c r="A2254" s="74" t="s">
        <v>309</v>
      </c>
      <c r="B2254" s="74" t="s">
        <v>273</v>
      </c>
      <c r="C2254" s="74" t="s">
        <v>274</v>
      </c>
      <c r="D2254" s="74" t="s">
        <v>86</v>
      </c>
      <c r="E2254" s="74" t="s">
        <v>88</v>
      </c>
      <c r="F2254" s="86" t="s">
        <v>255</v>
      </c>
      <c r="G2254" s="74" t="s">
        <v>268</v>
      </c>
      <c r="H2254" s="87">
        <v>44773</v>
      </c>
      <c r="I2254" s="98">
        <v>22</v>
      </c>
      <c r="J2254" s="98">
        <v>22</v>
      </c>
      <c r="K2254" s="89">
        <f t="shared" si="95"/>
        <v>1</v>
      </c>
      <c r="L2254" s="89">
        <v>8072.37</v>
      </c>
      <c r="M2254" s="89">
        <v>3145.35</v>
      </c>
      <c r="N2254" s="89">
        <v>1084.9</v>
      </c>
      <c r="O2254" s="89">
        <f t="shared" si="96"/>
        <v>12302.62</v>
      </c>
    </row>
    <row r="2255" spans="1:15">
      <c r="A2255" s="74" t="s">
        <v>309</v>
      </c>
      <c r="B2255" s="74" t="s">
        <v>275</v>
      </c>
      <c r="C2255" s="74" t="s">
        <v>276</v>
      </c>
      <c r="D2255" s="74" t="s">
        <v>86</v>
      </c>
      <c r="E2255" s="74" t="s">
        <v>88</v>
      </c>
      <c r="F2255" s="86" t="s">
        <v>258</v>
      </c>
      <c r="G2255" s="74" t="s">
        <v>268</v>
      </c>
      <c r="H2255" s="87">
        <v>44773</v>
      </c>
      <c r="I2255" s="98">
        <v>22</v>
      </c>
      <c r="J2255" s="98">
        <v>22</v>
      </c>
      <c r="K2255" s="89">
        <f t="shared" si="95"/>
        <v>1</v>
      </c>
      <c r="L2255" s="89">
        <v>7212.37</v>
      </c>
      <c r="M2255" s="89">
        <v>3156.96</v>
      </c>
      <c r="N2255" s="89">
        <v>946.98</v>
      </c>
      <c r="O2255" s="89">
        <f t="shared" si="96"/>
        <v>11316.31</v>
      </c>
    </row>
    <row r="2256" spans="1:15">
      <c r="A2256" s="74" t="s">
        <v>309</v>
      </c>
      <c r="B2256" s="74" t="s">
        <v>277</v>
      </c>
      <c r="C2256" s="74" t="s">
        <v>278</v>
      </c>
      <c r="D2256" s="74" t="s">
        <v>86</v>
      </c>
      <c r="E2256" s="74" t="s">
        <v>89</v>
      </c>
      <c r="F2256" s="86" t="s">
        <v>279</v>
      </c>
      <c r="G2256" s="74" t="s">
        <v>280</v>
      </c>
      <c r="H2256" s="87">
        <v>44773</v>
      </c>
      <c r="I2256" s="98">
        <v>22</v>
      </c>
      <c r="J2256" s="98">
        <v>22</v>
      </c>
      <c r="K2256" s="89">
        <f t="shared" si="95"/>
        <v>1</v>
      </c>
      <c r="L2256" s="89">
        <v>12418.07</v>
      </c>
      <c r="M2256" s="89">
        <v>3294.85</v>
      </c>
      <c r="N2256" s="89">
        <v>1504.64</v>
      </c>
      <c r="O2256" s="89">
        <f t="shared" si="96"/>
        <v>17217.56</v>
      </c>
    </row>
    <row r="2257" spans="1:15">
      <c r="A2257" s="74" t="s">
        <v>309</v>
      </c>
      <c r="B2257" s="74" t="s">
        <v>281</v>
      </c>
      <c r="C2257" s="74" t="s">
        <v>282</v>
      </c>
      <c r="D2257" s="74" t="s">
        <v>86</v>
      </c>
      <c r="E2257" s="74" t="s">
        <v>89</v>
      </c>
      <c r="F2257" s="86" t="s">
        <v>225</v>
      </c>
      <c r="G2257" s="74" t="s">
        <v>283</v>
      </c>
      <c r="H2257" s="87">
        <v>44773</v>
      </c>
      <c r="I2257" s="98">
        <v>22</v>
      </c>
      <c r="J2257" s="98">
        <v>22</v>
      </c>
      <c r="K2257" s="89">
        <f t="shared" si="95"/>
        <v>1</v>
      </c>
      <c r="L2257" s="89">
        <v>8773.04</v>
      </c>
      <c r="M2257" s="89">
        <v>3016.87</v>
      </c>
      <c r="N2257" s="89">
        <v>1079.52</v>
      </c>
      <c r="O2257" s="89">
        <f t="shared" si="96"/>
        <v>12869.43</v>
      </c>
    </row>
    <row r="2258" spans="1:15">
      <c r="A2258" s="74" t="s">
        <v>309</v>
      </c>
      <c r="B2258" s="74" t="s">
        <v>284</v>
      </c>
      <c r="C2258" s="74" t="s">
        <v>285</v>
      </c>
      <c r="D2258" s="74" t="s">
        <v>86</v>
      </c>
      <c r="E2258" s="74" t="s">
        <v>89</v>
      </c>
      <c r="F2258" s="86" t="s">
        <v>208</v>
      </c>
      <c r="G2258" s="74" t="s">
        <v>283</v>
      </c>
      <c r="H2258" s="87">
        <v>44773</v>
      </c>
      <c r="I2258" s="98">
        <v>22</v>
      </c>
      <c r="J2258" s="98">
        <v>22</v>
      </c>
      <c r="K2258" s="89">
        <f t="shared" si="95"/>
        <v>1</v>
      </c>
      <c r="L2258" s="89">
        <v>7619.43</v>
      </c>
      <c r="M2258" s="89">
        <v>3018.38</v>
      </c>
      <c r="N2258" s="89">
        <v>919.77</v>
      </c>
      <c r="O2258" s="89">
        <f t="shared" si="96"/>
        <v>11557.58</v>
      </c>
    </row>
    <row r="2259" spans="1:15">
      <c r="A2259" s="74" t="s">
        <v>309</v>
      </c>
      <c r="B2259" s="74" t="s">
        <v>286</v>
      </c>
      <c r="C2259" s="74" t="s">
        <v>287</v>
      </c>
      <c r="D2259" s="74" t="s">
        <v>82</v>
      </c>
      <c r="E2259" s="88" t="s">
        <v>85</v>
      </c>
      <c r="F2259" s="86" t="s">
        <v>288</v>
      </c>
      <c r="G2259" s="74" t="s">
        <v>289</v>
      </c>
      <c r="H2259" s="87">
        <v>44773</v>
      </c>
      <c r="I2259" s="98">
        <v>22</v>
      </c>
      <c r="J2259" s="98">
        <v>22</v>
      </c>
      <c r="K2259" s="89">
        <f t="shared" ref="K2259:K2267" si="97">I2259/J2259</f>
        <v>1</v>
      </c>
      <c r="L2259" s="89">
        <v>12573.85</v>
      </c>
      <c r="M2259" s="89">
        <v>3242.06</v>
      </c>
      <c r="N2259" s="89">
        <v>1235.69</v>
      </c>
      <c r="O2259" s="89">
        <f t="shared" si="96"/>
        <v>17051.6</v>
      </c>
    </row>
    <row r="2260" spans="1:15">
      <c r="A2260" s="74" t="s">
        <v>309</v>
      </c>
      <c r="B2260" s="74" t="s">
        <v>290</v>
      </c>
      <c r="C2260" s="74" t="s">
        <v>291</v>
      </c>
      <c r="D2260" s="74" t="s">
        <v>82</v>
      </c>
      <c r="E2260" s="88" t="s">
        <v>85</v>
      </c>
      <c r="F2260" s="86" t="s">
        <v>218</v>
      </c>
      <c r="G2260" s="74" t="s">
        <v>289</v>
      </c>
      <c r="H2260" s="87">
        <v>44773</v>
      </c>
      <c r="I2260" s="98">
        <v>22</v>
      </c>
      <c r="J2260" s="98">
        <v>22</v>
      </c>
      <c r="K2260" s="89">
        <f t="shared" si="97"/>
        <v>1</v>
      </c>
      <c r="L2260" s="89">
        <v>11036.64</v>
      </c>
      <c r="M2260" s="89">
        <v>3115.65</v>
      </c>
      <c r="N2260" s="89">
        <v>1142.51</v>
      </c>
      <c r="O2260" s="89">
        <f t="shared" si="96"/>
        <v>15294.8</v>
      </c>
    </row>
    <row r="2261" spans="1:15">
      <c r="A2261" s="74" t="s">
        <v>309</v>
      </c>
      <c r="B2261" s="74" t="s">
        <v>292</v>
      </c>
      <c r="C2261" s="74" t="s">
        <v>293</v>
      </c>
      <c r="D2261" s="74" t="s">
        <v>82</v>
      </c>
      <c r="E2261" s="88" t="s">
        <v>85</v>
      </c>
      <c r="F2261" s="86" t="s">
        <v>225</v>
      </c>
      <c r="G2261" s="74" t="s">
        <v>289</v>
      </c>
      <c r="H2261" s="87">
        <v>44773</v>
      </c>
      <c r="I2261" s="98">
        <v>22</v>
      </c>
      <c r="J2261" s="98">
        <v>22</v>
      </c>
      <c r="K2261" s="89">
        <f t="shared" si="97"/>
        <v>1</v>
      </c>
      <c r="L2261" s="89">
        <v>10802.75</v>
      </c>
      <c r="M2261" s="89">
        <v>3244.43</v>
      </c>
      <c r="N2261" s="89">
        <v>1046.06</v>
      </c>
      <c r="O2261" s="89">
        <f t="shared" si="96"/>
        <v>15093.24</v>
      </c>
    </row>
    <row r="2262" spans="1:15">
      <c r="A2262" s="74" t="s">
        <v>309</v>
      </c>
      <c r="B2262" s="74" t="s">
        <v>294</v>
      </c>
      <c r="C2262" s="74" t="s">
        <v>295</v>
      </c>
      <c r="D2262" s="74" t="s">
        <v>82</v>
      </c>
      <c r="E2262" s="88" t="s">
        <v>85</v>
      </c>
      <c r="F2262" s="86" t="s">
        <v>208</v>
      </c>
      <c r="G2262" s="74" t="s">
        <v>289</v>
      </c>
      <c r="H2262" s="87">
        <v>44773</v>
      </c>
      <c r="I2262" s="98">
        <v>22</v>
      </c>
      <c r="J2262" s="98">
        <v>22</v>
      </c>
      <c r="K2262" s="89">
        <f t="shared" si="97"/>
        <v>1</v>
      </c>
      <c r="L2262" s="89">
        <v>9797.65</v>
      </c>
      <c r="M2262" s="89">
        <v>3191.25</v>
      </c>
      <c r="N2262" s="89">
        <v>968.44</v>
      </c>
      <c r="O2262" s="89">
        <f t="shared" si="96"/>
        <v>13957.34</v>
      </c>
    </row>
    <row r="2263" spans="1:15">
      <c r="A2263" s="74" t="s">
        <v>309</v>
      </c>
      <c r="B2263" s="74" t="s">
        <v>296</v>
      </c>
      <c r="C2263" s="74" t="s">
        <v>297</v>
      </c>
      <c r="D2263" s="74" t="s">
        <v>82</v>
      </c>
      <c r="E2263" s="88" t="s">
        <v>85</v>
      </c>
      <c r="F2263" s="86" t="s">
        <v>116</v>
      </c>
      <c r="G2263" s="74" t="s">
        <v>289</v>
      </c>
      <c r="H2263" s="87">
        <v>44773</v>
      </c>
      <c r="I2263" s="98">
        <v>22</v>
      </c>
      <c r="J2263" s="98">
        <v>22</v>
      </c>
      <c r="K2263" s="89">
        <f t="shared" si="97"/>
        <v>1</v>
      </c>
      <c r="L2263" s="89">
        <v>8401.41</v>
      </c>
      <c r="M2263" s="89">
        <v>3179.94</v>
      </c>
      <c r="N2263" s="89">
        <v>865.51</v>
      </c>
      <c r="O2263" s="89">
        <f t="shared" si="96"/>
        <v>12446.86</v>
      </c>
    </row>
    <row r="2264" spans="1:15">
      <c r="A2264" s="74" t="s">
        <v>309</v>
      </c>
      <c r="B2264" s="74" t="s">
        <v>298</v>
      </c>
      <c r="C2264" s="74" t="s">
        <v>299</v>
      </c>
      <c r="D2264" s="74" t="s">
        <v>82</v>
      </c>
      <c r="E2264" s="88" t="s">
        <v>85</v>
      </c>
      <c r="F2264" s="86" t="s">
        <v>279</v>
      </c>
      <c r="G2264" s="74" t="s">
        <v>300</v>
      </c>
      <c r="H2264" s="87">
        <v>44773</v>
      </c>
      <c r="I2264" s="98">
        <v>22</v>
      </c>
      <c r="J2264" s="98">
        <v>22</v>
      </c>
      <c r="K2264" s="89">
        <f t="shared" si="97"/>
        <v>1</v>
      </c>
      <c r="L2264" s="89">
        <v>15237.78</v>
      </c>
      <c r="M2264" s="89">
        <v>3141.07</v>
      </c>
      <c r="N2264" s="89">
        <v>1594.08</v>
      </c>
      <c r="O2264" s="89">
        <f t="shared" si="96"/>
        <v>19972.93</v>
      </c>
    </row>
    <row r="2265" spans="1:15">
      <c r="A2265" s="74" t="s">
        <v>309</v>
      </c>
      <c r="B2265" s="74" t="s">
        <v>301</v>
      </c>
      <c r="C2265" s="74" t="s">
        <v>302</v>
      </c>
      <c r="D2265" s="74" t="s">
        <v>82</v>
      </c>
      <c r="E2265" s="88" t="s">
        <v>85</v>
      </c>
      <c r="F2265" s="86" t="s">
        <v>279</v>
      </c>
      <c r="G2265" s="74" t="s">
        <v>303</v>
      </c>
      <c r="H2265" s="87">
        <v>44773</v>
      </c>
      <c r="I2265" s="98">
        <v>22</v>
      </c>
      <c r="J2265" s="98">
        <v>22</v>
      </c>
      <c r="K2265" s="89">
        <f t="shared" si="97"/>
        <v>1</v>
      </c>
      <c r="L2265" s="89">
        <v>15114.08</v>
      </c>
      <c r="M2265" s="89">
        <v>3202.53</v>
      </c>
      <c r="N2265" s="89">
        <v>1574.89</v>
      </c>
      <c r="O2265" s="89">
        <f t="shared" si="96"/>
        <v>19891.5</v>
      </c>
    </row>
    <row r="2266" spans="1:15">
      <c r="A2266" s="74" t="s">
        <v>309</v>
      </c>
      <c r="B2266" s="74" t="s">
        <v>304</v>
      </c>
      <c r="C2266" s="74" t="s">
        <v>305</v>
      </c>
      <c r="D2266" s="74" t="s">
        <v>86</v>
      </c>
      <c r="E2266" s="74" t="s">
        <v>90</v>
      </c>
      <c r="F2266" s="86" t="s">
        <v>306</v>
      </c>
      <c r="G2266" s="74" t="s">
        <v>307</v>
      </c>
      <c r="H2266" s="87">
        <v>44773</v>
      </c>
      <c r="I2266" s="98">
        <v>22</v>
      </c>
      <c r="J2266" s="98">
        <v>22</v>
      </c>
      <c r="K2266" s="89">
        <f t="shared" si="97"/>
        <v>1</v>
      </c>
      <c r="L2266" s="89">
        <v>17260.78</v>
      </c>
      <c r="M2266" s="89">
        <v>3268.81</v>
      </c>
      <c r="N2266" s="89">
        <v>2142.12</v>
      </c>
      <c r="O2266" s="89">
        <f t="shared" si="96"/>
        <v>22671.71</v>
      </c>
    </row>
    <row r="2267" spans="1:15">
      <c r="A2267" s="74" t="s">
        <v>309</v>
      </c>
      <c r="B2267" s="74" t="s">
        <v>114</v>
      </c>
      <c r="C2267" s="74" t="s">
        <v>115</v>
      </c>
      <c r="D2267" s="74" t="s">
        <v>79</v>
      </c>
      <c r="E2267" s="74" t="s">
        <v>80</v>
      </c>
      <c r="F2267" s="86" t="s">
        <v>116</v>
      </c>
      <c r="G2267" s="74" t="s">
        <v>117</v>
      </c>
      <c r="H2267" s="87">
        <v>44804</v>
      </c>
      <c r="I2267" s="98">
        <v>22</v>
      </c>
      <c r="J2267" s="98">
        <v>22</v>
      </c>
      <c r="K2267" s="89">
        <f t="shared" si="97"/>
        <v>1</v>
      </c>
      <c r="L2267" s="89">
        <v>8205.16</v>
      </c>
      <c r="M2267" s="89">
        <v>3210.4</v>
      </c>
      <c r="N2267" s="89">
        <v>877.26</v>
      </c>
      <c r="O2267" s="89">
        <f t="shared" si="96"/>
        <v>12292.82</v>
      </c>
    </row>
    <row r="2268" spans="1:15">
      <c r="A2268" s="74" t="s">
        <v>309</v>
      </c>
      <c r="B2268" s="74" t="s">
        <v>118</v>
      </c>
      <c r="C2268" s="74" t="s">
        <v>119</v>
      </c>
      <c r="D2268" s="74" t="s">
        <v>79</v>
      </c>
      <c r="E2268" s="74" t="s">
        <v>80</v>
      </c>
      <c r="F2268" s="86" t="s">
        <v>120</v>
      </c>
      <c r="G2268" s="74" t="s">
        <v>117</v>
      </c>
      <c r="H2268" s="87">
        <v>44804</v>
      </c>
      <c r="I2268" s="98">
        <v>22</v>
      </c>
      <c r="J2268" s="98">
        <v>22</v>
      </c>
      <c r="K2268" s="89">
        <f t="shared" ref="K2268:K2331" si="98">I2268/J2268</f>
        <v>1</v>
      </c>
      <c r="L2268" s="89">
        <v>7348.06</v>
      </c>
      <c r="M2268" s="89">
        <v>3088.83</v>
      </c>
      <c r="N2268" s="89">
        <v>736.57</v>
      </c>
      <c r="O2268" s="89">
        <f t="shared" si="96"/>
        <v>11173.46</v>
      </c>
    </row>
    <row r="2269" spans="1:15">
      <c r="A2269" s="74" t="s">
        <v>309</v>
      </c>
      <c r="B2269" s="74" t="s">
        <v>121</v>
      </c>
      <c r="C2269" s="74" t="s">
        <v>122</v>
      </c>
      <c r="D2269" s="74" t="s">
        <v>79</v>
      </c>
      <c r="E2269" s="74" t="s">
        <v>80</v>
      </c>
      <c r="F2269" s="86" t="s">
        <v>123</v>
      </c>
      <c r="G2269" s="74" t="s">
        <v>117</v>
      </c>
      <c r="H2269" s="87">
        <v>44804</v>
      </c>
      <c r="I2269" s="98">
        <v>22</v>
      </c>
      <c r="J2269" s="98">
        <v>22</v>
      </c>
      <c r="K2269" s="89">
        <f t="shared" si="98"/>
        <v>1</v>
      </c>
      <c r="L2269" s="89">
        <v>6522.86</v>
      </c>
      <c r="M2269" s="89">
        <v>3197.39</v>
      </c>
      <c r="N2269" s="89">
        <v>635.31</v>
      </c>
      <c r="O2269" s="89">
        <f t="shared" si="96"/>
        <v>10355.56</v>
      </c>
    </row>
    <row r="2270" spans="1:15">
      <c r="A2270" s="74" t="s">
        <v>309</v>
      </c>
      <c r="B2270" s="74" t="s">
        <v>124</v>
      </c>
      <c r="C2270" s="74" t="s">
        <v>125</v>
      </c>
      <c r="D2270" s="74" t="s">
        <v>79</v>
      </c>
      <c r="E2270" s="74" t="s">
        <v>80</v>
      </c>
      <c r="F2270" s="86" t="s">
        <v>116</v>
      </c>
      <c r="G2270" s="74" t="s">
        <v>117</v>
      </c>
      <c r="H2270" s="87">
        <v>44804</v>
      </c>
      <c r="I2270" s="98">
        <v>22</v>
      </c>
      <c r="J2270" s="98">
        <v>22</v>
      </c>
      <c r="K2270" s="89">
        <f t="shared" si="98"/>
        <v>1</v>
      </c>
      <c r="L2270" s="89">
        <v>8374.16</v>
      </c>
      <c r="M2270" s="89">
        <v>3239.34</v>
      </c>
      <c r="N2270" s="89">
        <v>817.24</v>
      </c>
      <c r="O2270" s="89">
        <f t="shared" si="96"/>
        <v>12430.74</v>
      </c>
    </row>
    <row r="2271" spans="1:15">
      <c r="A2271" s="74" t="s">
        <v>309</v>
      </c>
      <c r="B2271" s="74" t="s">
        <v>126</v>
      </c>
      <c r="C2271" s="74" t="s">
        <v>127</v>
      </c>
      <c r="D2271" s="74" t="s">
        <v>79</v>
      </c>
      <c r="E2271" s="74" t="s">
        <v>80</v>
      </c>
      <c r="F2271" s="86" t="s">
        <v>120</v>
      </c>
      <c r="G2271" s="74" t="s">
        <v>117</v>
      </c>
      <c r="H2271" s="87">
        <v>44804</v>
      </c>
      <c r="I2271" s="98">
        <v>22</v>
      </c>
      <c r="J2271" s="98">
        <v>22</v>
      </c>
      <c r="K2271" s="89">
        <f t="shared" si="98"/>
        <v>1</v>
      </c>
      <c r="L2271" s="89">
        <v>7597.59</v>
      </c>
      <c r="M2271" s="89">
        <v>3178.3</v>
      </c>
      <c r="N2271" s="89">
        <v>726.59</v>
      </c>
      <c r="O2271" s="89">
        <f t="shared" si="96"/>
        <v>11502.48</v>
      </c>
    </row>
    <row r="2272" spans="1:15">
      <c r="A2272" s="74" t="s">
        <v>309</v>
      </c>
      <c r="B2272" s="74" t="s">
        <v>128</v>
      </c>
      <c r="C2272" s="74" t="s">
        <v>129</v>
      </c>
      <c r="D2272" s="74" t="s">
        <v>79</v>
      </c>
      <c r="E2272" s="74" t="s">
        <v>80</v>
      </c>
      <c r="F2272" s="86" t="s">
        <v>123</v>
      </c>
      <c r="G2272" s="74" t="s">
        <v>117</v>
      </c>
      <c r="H2272" s="87">
        <v>44804</v>
      </c>
      <c r="I2272" s="98">
        <v>22</v>
      </c>
      <c r="J2272" s="98">
        <v>22</v>
      </c>
      <c r="K2272" s="89">
        <f t="shared" si="98"/>
        <v>1</v>
      </c>
      <c r="L2272" s="89">
        <v>6073.56</v>
      </c>
      <c r="M2272" s="89">
        <v>3006.14</v>
      </c>
      <c r="N2272" s="89">
        <v>644.2</v>
      </c>
      <c r="O2272" s="89">
        <f t="shared" si="96"/>
        <v>9723.9</v>
      </c>
    </row>
    <row r="2273" spans="1:15">
      <c r="A2273" s="74" t="s">
        <v>309</v>
      </c>
      <c r="B2273" s="74" t="s">
        <v>130</v>
      </c>
      <c r="C2273" s="74" t="s">
        <v>131</v>
      </c>
      <c r="D2273" s="74" t="s">
        <v>79</v>
      </c>
      <c r="E2273" s="74" t="s">
        <v>80</v>
      </c>
      <c r="F2273" s="86" t="s">
        <v>116</v>
      </c>
      <c r="G2273" s="74" t="s">
        <v>117</v>
      </c>
      <c r="H2273" s="87">
        <v>44804</v>
      </c>
      <c r="I2273" s="98">
        <v>22</v>
      </c>
      <c r="J2273" s="98">
        <v>22</v>
      </c>
      <c r="K2273" s="89">
        <f t="shared" si="98"/>
        <v>1</v>
      </c>
      <c r="L2273" s="89">
        <v>8601.57</v>
      </c>
      <c r="M2273" s="89">
        <v>3295.39</v>
      </c>
      <c r="N2273" s="89">
        <v>856.31</v>
      </c>
      <c r="O2273" s="89">
        <f t="shared" si="96"/>
        <v>12753.27</v>
      </c>
    </row>
    <row r="2274" spans="1:15">
      <c r="A2274" s="74" t="s">
        <v>309</v>
      </c>
      <c r="B2274" s="74" t="s">
        <v>132</v>
      </c>
      <c r="C2274" s="74" t="s">
        <v>133</v>
      </c>
      <c r="D2274" s="74" t="s">
        <v>79</v>
      </c>
      <c r="E2274" s="74" t="s">
        <v>80</v>
      </c>
      <c r="F2274" s="86" t="s">
        <v>120</v>
      </c>
      <c r="G2274" s="74" t="s">
        <v>117</v>
      </c>
      <c r="H2274" s="87">
        <v>44804</v>
      </c>
      <c r="I2274" s="98">
        <v>22</v>
      </c>
      <c r="J2274" s="98">
        <v>22</v>
      </c>
      <c r="K2274" s="89">
        <f t="shared" si="98"/>
        <v>1</v>
      </c>
      <c r="L2274" s="89">
        <v>7498.96</v>
      </c>
      <c r="M2274" s="89">
        <v>3160.24</v>
      </c>
      <c r="N2274" s="89">
        <v>700.45</v>
      </c>
      <c r="O2274" s="89">
        <f t="shared" si="96"/>
        <v>11359.65</v>
      </c>
    </row>
    <row r="2275" spans="1:15">
      <c r="A2275" s="74" t="s">
        <v>309</v>
      </c>
      <c r="B2275" s="74" t="s">
        <v>134</v>
      </c>
      <c r="C2275" s="74" t="s">
        <v>135</v>
      </c>
      <c r="D2275" s="74" t="s">
        <v>79</v>
      </c>
      <c r="E2275" s="74" t="s">
        <v>80</v>
      </c>
      <c r="F2275" s="86" t="s">
        <v>123</v>
      </c>
      <c r="G2275" s="74" t="s">
        <v>117</v>
      </c>
      <c r="H2275" s="87">
        <v>44804</v>
      </c>
      <c r="I2275" s="98">
        <v>22</v>
      </c>
      <c r="J2275" s="98">
        <v>22</v>
      </c>
      <c r="K2275" s="89">
        <f t="shared" si="98"/>
        <v>1</v>
      </c>
      <c r="L2275" s="89">
        <v>6485.46</v>
      </c>
      <c r="M2275" s="89">
        <v>3174.03</v>
      </c>
      <c r="N2275" s="89">
        <v>617.31</v>
      </c>
      <c r="O2275" s="89">
        <f t="shared" si="96"/>
        <v>10276.8</v>
      </c>
    </row>
    <row r="2276" spans="1:15">
      <c r="A2276" s="74" t="s">
        <v>309</v>
      </c>
      <c r="B2276" s="74" t="s">
        <v>136</v>
      </c>
      <c r="C2276" s="74" t="s">
        <v>137</v>
      </c>
      <c r="D2276" s="74" t="s">
        <v>79</v>
      </c>
      <c r="E2276" s="74" t="s">
        <v>80</v>
      </c>
      <c r="F2276" s="86" t="s">
        <v>116</v>
      </c>
      <c r="G2276" s="74" t="s">
        <v>138</v>
      </c>
      <c r="H2276" s="87">
        <v>44804</v>
      </c>
      <c r="I2276" s="98">
        <v>22</v>
      </c>
      <c r="J2276" s="98">
        <v>22</v>
      </c>
      <c r="K2276" s="89">
        <f t="shared" si="98"/>
        <v>1</v>
      </c>
      <c r="L2276" s="89">
        <v>8342.52</v>
      </c>
      <c r="M2276" s="89">
        <v>3123.17</v>
      </c>
      <c r="N2276" s="89">
        <v>857.97</v>
      </c>
      <c r="O2276" s="89">
        <f t="shared" si="96"/>
        <v>12323.66</v>
      </c>
    </row>
    <row r="2277" spans="1:15">
      <c r="A2277" s="74" t="s">
        <v>309</v>
      </c>
      <c r="B2277" s="74" t="s">
        <v>139</v>
      </c>
      <c r="C2277" s="74" t="s">
        <v>140</v>
      </c>
      <c r="D2277" s="74" t="s">
        <v>79</v>
      </c>
      <c r="E2277" s="74" t="s">
        <v>80</v>
      </c>
      <c r="F2277" s="86" t="s">
        <v>120</v>
      </c>
      <c r="G2277" s="74" t="s">
        <v>138</v>
      </c>
      <c r="H2277" s="87">
        <v>44804</v>
      </c>
      <c r="I2277" s="98">
        <v>22</v>
      </c>
      <c r="J2277" s="98">
        <v>22</v>
      </c>
      <c r="K2277" s="89">
        <f t="shared" si="98"/>
        <v>1</v>
      </c>
      <c r="L2277" s="89">
        <v>7344.55</v>
      </c>
      <c r="M2277" s="89">
        <v>3170.26</v>
      </c>
      <c r="N2277" s="89">
        <v>724.02</v>
      </c>
      <c r="O2277" s="89">
        <f t="shared" si="96"/>
        <v>11238.83</v>
      </c>
    </row>
    <row r="2278" spans="1:15">
      <c r="A2278" s="74" t="s">
        <v>309</v>
      </c>
      <c r="B2278" s="74" t="s">
        <v>141</v>
      </c>
      <c r="C2278" s="74" t="s">
        <v>142</v>
      </c>
      <c r="D2278" s="74" t="s">
        <v>79</v>
      </c>
      <c r="E2278" s="74" t="s">
        <v>80</v>
      </c>
      <c r="F2278" s="86" t="s">
        <v>123</v>
      </c>
      <c r="G2278" s="74" t="s">
        <v>138</v>
      </c>
      <c r="H2278" s="87">
        <v>44804</v>
      </c>
      <c r="I2278" s="98">
        <v>22</v>
      </c>
      <c r="J2278" s="98">
        <v>22</v>
      </c>
      <c r="K2278" s="89">
        <f t="shared" si="98"/>
        <v>1</v>
      </c>
      <c r="L2278" s="89">
        <v>6211.33</v>
      </c>
      <c r="M2278" s="89">
        <v>3249.18</v>
      </c>
      <c r="N2278" s="89">
        <v>635.65</v>
      </c>
      <c r="O2278" s="89">
        <f t="shared" si="96"/>
        <v>10096.16</v>
      </c>
    </row>
    <row r="2279" spans="1:15">
      <c r="A2279" s="74" t="s">
        <v>309</v>
      </c>
      <c r="B2279" s="74" t="s">
        <v>143</v>
      </c>
      <c r="C2279" s="74" t="s">
        <v>144</v>
      </c>
      <c r="D2279" s="74" t="s">
        <v>79</v>
      </c>
      <c r="E2279" s="74" t="s">
        <v>80</v>
      </c>
      <c r="F2279" s="86" t="s">
        <v>145</v>
      </c>
      <c r="G2279" s="74" t="s">
        <v>146</v>
      </c>
      <c r="H2279" s="87">
        <v>44804</v>
      </c>
      <c r="I2279" s="98">
        <v>22</v>
      </c>
      <c r="J2279" s="98">
        <v>22</v>
      </c>
      <c r="K2279" s="89">
        <f t="shared" si="98"/>
        <v>1</v>
      </c>
      <c r="L2279" s="89">
        <v>20644.66</v>
      </c>
      <c r="M2279" s="89">
        <v>3132.03</v>
      </c>
      <c r="N2279" s="89">
        <v>2009.65</v>
      </c>
      <c r="O2279" s="89">
        <f t="shared" si="96"/>
        <v>25786.34</v>
      </c>
    </row>
    <row r="2280" spans="1:15">
      <c r="A2280" s="74" t="s">
        <v>309</v>
      </c>
      <c r="B2280" s="74" t="s">
        <v>147</v>
      </c>
      <c r="C2280" s="74" t="s">
        <v>148</v>
      </c>
      <c r="D2280" s="74" t="s">
        <v>79</v>
      </c>
      <c r="E2280" s="74" t="s">
        <v>80</v>
      </c>
      <c r="F2280" s="86" t="s">
        <v>149</v>
      </c>
      <c r="G2280" s="74" t="s">
        <v>150</v>
      </c>
      <c r="H2280" s="87">
        <v>44804</v>
      </c>
      <c r="I2280" s="98">
        <v>22</v>
      </c>
      <c r="J2280" s="98">
        <v>22</v>
      </c>
      <c r="K2280" s="89">
        <f t="shared" si="98"/>
        <v>1</v>
      </c>
      <c r="L2280" s="89">
        <v>17714.75</v>
      </c>
      <c r="M2280" s="89">
        <v>3001.71</v>
      </c>
      <c r="N2280" s="89">
        <v>1790.67</v>
      </c>
      <c r="O2280" s="89">
        <f t="shared" si="96"/>
        <v>22507.13</v>
      </c>
    </row>
    <row r="2281" spans="1:15">
      <c r="A2281" s="74" t="s">
        <v>309</v>
      </c>
      <c r="B2281" s="74" t="s">
        <v>151</v>
      </c>
      <c r="C2281" s="74" t="s">
        <v>152</v>
      </c>
      <c r="D2281" s="74" t="s">
        <v>79</v>
      </c>
      <c r="E2281" s="74" t="s">
        <v>81</v>
      </c>
      <c r="F2281" s="86" t="s">
        <v>123</v>
      </c>
      <c r="G2281" s="74" t="s">
        <v>153</v>
      </c>
      <c r="H2281" s="87">
        <v>44804</v>
      </c>
      <c r="I2281" s="98">
        <v>22</v>
      </c>
      <c r="J2281" s="98">
        <v>22</v>
      </c>
      <c r="K2281" s="89">
        <f t="shared" si="98"/>
        <v>1</v>
      </c>
      <c r="L2281" s="89">
        <v>6572.12</v>
      </c>
      <c r="M2281" s="89">
        <v>3273.27</v>
      </c>
      <c r="N2281" s="89">
        <v>621.37</v>
      </c>
      <c r="O2281" s="89">
        <f t="shared" si="96"/>
        <v>10466.76</v>
      </c>
    </row>
    <row r="2282" spans="1:15">
      <c r="A2282" s="74" t="s">
        <v>309</v>
      </c>
      <c r="B2282" s="74" t="s">
        <v>154</v>
      </c>
      <c r="C2282" s="74" t="s">
        <v>155</v>
      </c>
      <c r="D2282" s="74" t="s">
        <v>79</v>
      </c>
      <c r="E2282" s="74" t="s">
        <v>81</v>
      </c>
      <c r="F2282" s="86" t="s">
        <v>156</v>
      </c>
      <c r="G2282" s="74" t="s">
        <v>157</v>
      </c>
      <c r="H2282" s="87">
        <v>44804</v>
      </c>
      <c r="I2282" s="98">
        <v>22</v>
      </c>
      <c r="J2282" s="98">
        <v>22</v>
      </c>
      <c r="K2282" s="89">
        <f t="shared" si="98"/>
        <v>1</v>
      </c>
      <c r="L2282" s="89">
        <v>5037.55</v>
      </c>
      <c r="M2282" s="89">
        <v>3181.42</v>
      </c>
      <c r="N2282" s="89">
        <v>531.01</v>
      </c>
      <c r="O2282" s="89">
        <f t="shared" si="96"/>
        <v>8749.98</v>
      </c>
    </row>
    <row r="2283" spans="1:15">
      <c r="A2283" s="74" t="s">
        <v>309</v>
      </c>
      <c r="B2283" s="74" t="s">
        <v>158</v>
      </c>
      <c r="C2283" s="74" t="s">
        <v>159</v>
      </c>
      <c r="D2283" s="74" t="s">
        <v>79</v>
      </c>
      <c r="E2283" s="74" t="s">
        <v>81</v>
      </c>
      <c r="F2283" s="86" t="s">
        <v>160</v>
      </c>
      <c r="G2283" s="74" t="s">
        <v>161</v>
      </c>
      <c r="H2283" s="87">
        <v>44804</v>
      </c>
      <c r="I2283" s="98">
        <v>22</v>
      </c>
      <c r="J2283" s="98">
        <v>22</v>
      </c>
      <c r="K2283" s="89">
        <f t="shared" si="98"/>
        <v>1</v>
      </c>
      <c r="L2283" s="89">
        <v>4274.51</v>
      </c>
      <c r="M2283" s="89">
        <v>3257.8</v>
      </c>
      <c r="N2283" s="89">
        <v>416.92</v>
      </c>
      <c r="O2283" s="89">
        <f t="shared" si="96"/>
        <v>7949.23</v>
      </c>
    </row>
    <row r="2284" spans="1:15">
      <c r="A2284" s="74" t="s">
        <v>309</v>
      </c>
      <c r="B2284" s="74" t="s">
        <v>162</v>
      </c>
      <c r="C2284" s="74" t="s">
        <v>163</v>
      </c>
      <c r="D2284" s="74" t="s">
        <v>79</v>
      </c>
      <c r="E2284" s="74" t="s">
        <v>81</v>
      </c>
      <c r="F2284" s="86" t="s">
        <v>123</v>
      </c>
      <c r="G2284" s="74" t="s">
        <v>153</v>
      </c>
      <c r="H2284" s="87">
        <v>44804</v>
      </c>
      <c r="I2284" s="98">
        <v>22</v>
      </c>
      <c r="J2284" s="98">
        <v>22</v>
      </c>
      <c r="K2284" s="89">
        <f t="shared" si="98"/>
        <v>1</v>
      </c>
      <c r="L2284" s="89">
        <v>6025.81</v>
      </c>
      <c r="M2284" s="89">
        <v>3201.26</v>
      </c>
      <c r="N2284" s="89">
        <v>648.55</v>
      </c>
      <c r="O2284" s="89">
        <f t="shared" si="96"/>
        <v>9875.62</v>
      </c>
    </row>
    <row r="2285" spans="1:15">
      <c r="A2285" s="74" t="s">
        <v>309</v>
      </c>
      <c r="B2285" s="74" t="s">
        <v>164</v>
      </c>
      <c r="C2285" s="74" t="s">
        <v>165</v>
      </c>
      <c r="D2285" s="74" t="s">
        <v>79</v>
      </c>
      <c r="E2285" s="74" t="s">
        <v>81</v>
      </c>
      <c r="F2285" s="86" t="s">
        <v>156</v>
      </c>
      <c r="G2285" s="74" t="s">
        <v>157</v>
      </c>
      <c r="H2285" s="87">
        <v>44804</v>
      </c>
      <c r="I2285" s="98">
        <v>22</v>
      </c>
      <c r="J2285" s="98">
        <v>22</v>
      </c>
      <c r="K2285" s="89">
        <f t="shared" si="98"/>
        <v>1</v>
      </c>
      <c r="L2285" s="89">
        <v>5301.4</v>
      </c>
      <c r="M2285" s="89">
        <v>3052.81</v>
      </c>
      <c r="N2285" s="89">
        <v>513.83</v>
      </c>
      <c r="O2285" s="89">
        <f t="shared" si="96"/>
        <v>8868.04</v>
      </c>
    </row>
    <row r="2286" spans="1:15">
      <c r="A2286" s="74" t="s">
        <v>309</v>
      </c>
      <c r="B2286" s="74" t="s">
        <v>166</v>
      </c>
      <c r="C2286" s="74" t="s">
        <v>167</v>
      </c>
      <c r="D2286" s="74" t="s">
        <v>79</v>
      </c>
      <c r="E2286" s="74" t="s">
        <v>81</v>
      </c>
      <c r="F2286" s="86" t="s">
        <v>160</v>
      </c>
      <c r="G2286" s="74" t="s">
        <v>161</v>
      </c>
      <c r="H2286" s="87">
        <v>44804</v>
      </c>
      <c r="I2286" s="98">
        <v>22</v>
      </c>
      <c r="J2286" s="98">
        <v>22</v>
      </c>
      <c r="K2286" s="89">
        <f t="shared" si="98"/>
        <v>1</v>
      </c>
      <c r="L2286" s="89">
        <v>4054.11</v>
      </c>
      <c r="M2286" s="89">
        <v>3227.28</v>
      </c>
      <c r="N2286" s="89">
        <v>427.75</v>
      </c>
      <c r="O2286" s="89">
        <f t="shared" si="96"/>
        <v>7709.14</v>
      </c>
    </row>
    <row r="2287" spans="1:15">
      <c r="A2287" s="74" t="s">
        <v>309</v>
      </c>
      <c r="B2287" s="74" t="s">
        <v>168</v>
      </c>
      <c r="C2287" s="74" t="s">
        <v>169</v>
      </c>
      <c r="D2287" s="74" t="s">
        <v>79</v>
      </c>
      <c r="E2287" s="74" t="s">
        <v>81</v>
      </c>
      <c r="F2287" s="86" t="s">
        <v>123</v>
      </c>
      <c r="G2287" s="74" t="s">
        <v>153</v>
      </c>
      <c r="H2287" s="87">
        <v>44804</v>
      </c>
      <c r="I2287" s="98">
        <v>22</v>
      </c>
      <c r="J2287" s="98">
        <v>22</v>
      </c>
      <c r="K2287" s="89">
        <f t="shared" si="98"/>
        <v>1</v>
      </c>
      <c r="L2287" s="89">
        <v>6249.69</v>
      </c>
      <c r="M2287" s="89">
        <v>3279.5</v>
      </c>
      <c r="N2287" s="89">
        <v>608.22</v>
      </c>
      <c r="O2287" s="89">
        <f t="shared" si="96"/>
        <v>10137.41</v>
      </c>
    </row>
    <row r="2288" spans="1:15">
      <c r="A2288" s="74" t="s">
        <v>309</v>
      </c>
      <c r="B2288" s="74" t="s">
        <v>170</v>
      </c>
      <c r="C2288" s="74" t="s">
        <v>171</v>
      </c>
      <c r="D2288" s="74" t="s">
        <v>79</v>
      </c>
      <c r="E2288" s="74" t="s">
        <v>81</v>
      </c>
      <c r="F2288" s="86" t="s">
        <v>156</v>
      </c>
      <c r="G2288" s="74" t="s">
        <v>157</v>
      </c>
      <c r="H2288" s="87">
        <v>44804</v>
      </c>
      <c r="I2288" s="98">
        <v>22</v>
      </c>
      <c r="J2288" s="98">
        <v>22</v>
      </c>
      <c r="K2288" s="89">
        <f t="shared" si="98"/>
        <v>1</v>
      </c>
      <c r="L2288" s="89">
        <v>5499.6</v>
      </c>
      <c r="M2288" s="89">
        <v>3185.19</v>
      </c>
      <c r="N2288" s="89">
        <v>503.33</v>
      </c>
      <c r="O2288" s="89">
        <f t="shared" si="96"/>
        <v>9188.12</v>
      </c>
    </row>
    <row r="2289" spans="1:15">
      <c r="A2289" s="74" t="s">
        <v>309</v>
      </c>
      <c r="B2289" s="74" t="s">
        <v>172</v>
      </c>
      <c r="C2289" s="74" t="s">
        <v>173</v>
      </c>
      <c r="D2289" s="74" t="s">
        <v>79</v>
      </c>
      <c r="E2289" s="74" t="s">
        <v>81</v>
      </c>
      <c r="F2289" s="86" t="s">
        <v>160</v>
      </c>
      <c r="G2289" s="74" t="s">
        <v>161</v>
      </c>
      <c r="H2289" s="87">
        <v>44804</v>
      </c>
      <c r="I2289" s="98">
        <v>22</v>
      </c>
      <c r="J2289" s="98">
        <v>22</v>
      </c>
      <c r="K2289" s="89">
        <f t="shared" si="98"/>
        <v>1</v>
      </c>
      <c r="L2289" s="89">
        <v>4167.26</v>
      </c>
      <c r="M2289" s="89">
        <v>3087.3</v>
      </c>
      <c r="N2289" s="89">
        <v>410.17</v>
      </c>
      <c r="O2289" s="89">
        <f t="shared" si="96"/>
        <v>7664.73</v>
      </c>
    </row>
    <row r="2290" spans="1:15">
      <c r="A2290" s="74" t="s">
        <v>309</v>
      </c>
      <c r="B2290" s="74" t="s">
        <v>174</v>
      </c>
      <c r="C2290" s="74" t="s">
        <v>175</v>
      </c>
      <c r="D2290" s="74" t="s">
        <v>79</v>
      </c>
      <c r="E2290" s="74" t="s">
        <v>81</v>
      </c>
      <c r="F2290" s="86" t="s">
        <v>176</v>
      </c>
      <c r="G2290" s="74" t="s">
        <v>177</v>
      </c>
      <c r="H2290" s="87">
        <v>44804</v>
      </c>
      <c r="I2290" s="98">
        <v>22</v>
      </c>
      <c r="J2290" s="98">
        <v>22</v>
      </c>
      <c r="K2290" s="89">
        <f t="shared" si="98"/>
        <v>1</v>
      </c>
      <c r="L2290" s="89">
        <v>3201.03</v>
      </c>
      <c r="M2290" s="89">
        <v>3118.9</v>
      </c>
      <c r="N2290" s="89">
        <v>318.94</v>
      </c>
      <c r="O2290" s="89">
        <f t="shared" si="96"/>
        <v>6638.87</v>
      </c>
    </row>
    <row r="2291" spans="1:15">
      <c r="A2291" s="74" t="s">
        <v>309</v>
      </c>
      <c r="B2291" s="74" t="s">
        <v>178</v>
      </c>
      <c r="C2291" s="74" t="s">
        <v>179</v>
      </c>
      <c r="D2291" s="74" t="s">
        <v>79</v>
      </c>
      <c r="E2291" s="74" t="s">
        <v>81</v>
      </c>
      <c r="F2291" s="86" t="s">
        <v>180</v>
      </c>
      <c r="G2291" s="74" t="s">
        <v>177</v>
      </c>
      <c r="H2291" s="87">
        <v>44804</v>
      </c>
      <c r="I2291" s="98">
        <v>22</v>
      </c>
      <c r="J2291" s="98">
        <v>22</v>
      </c>
      <c r="K2291" s="89">
        <f t="shared" si="98"/>
        <v>1</v>
      </c>
      <c r="L2291" s="89">
        <v>2163.75</v>
      </c>
      <c r="M2291" s="89">
        <v>3269.12</v>
      </c>
      <c r="N2291" s="89">
        <v>214.38</v>
      </c>
      <c r="O2291" s="89">
        <f t="shared" si="96"/>
        <v>5647.25</v>
      </c>
    </row>
    <row r="2292" spans="1:15">
      <c r="A2292" s="74" t="s">
        <v>309</v>
      </c>
      <c r="B2292" s="74" t="s">
        <v>181</v>
      </c>
      <c r="C2292" s="74" t="s">
        <v>182</v>
      </c>
      <c r="D2292" s="74" t="s">
        <v>79</v>
      </c>
      <c r="E2292" s="74" t="s">
        <v>81</v>
      </c>
      <c r="F2292" s="86" t="s">
        <v>183</v>
      </c>
      <c r="G2292" s="74" t="s">
        <v>177</v>
      </c>
      <c r="H2292" s="87">
        <v>44804</v>
      </c>
      <c r="I2292" s="98">
        <v>22</v>
      </c>
      <c r="J2292" s="98">
        <v>22</v>
      </c>
      <c r="K2292" s="89">
        <f t="shared" si="98"/>
        <v>1</v>
      </c>
      <c r="L2292" s="89">
        <v>1033.83</v>
      </c>
      <c r="M2292" s="89">
        <v>3273.3</v>
      </c>
      <c r="N2292" s="89">
        <v>100.27</v>
      </c>
      <c r="O2292" s="89">
        <f t="shared" si="96"/>
        <v>4407.4</v>
      </c>
    </row>
    <row r="2293" spans="1:15">
      <c r="A2293" s="74" t="s">
        <v>309</v>
      </c>
      <c r="B2293" s="74" t="s">
        <v>184</v>
      </c>
      <c r="C2293" s="74" t="s">
        <v>185</v>
      </c>
      <c r="D2293" s="74" t="s">
        <v>79</v>
      </c>
      <c r="E2293" s="74" t="s">
        <v>81</v>
      </c>
      <c r="F2293" s="86" t="s">
        <v>176</v>
      </c>
      <c r="G2293" s="74" t="s">
        <v>177</v>
      </c>
      <c r="H2293" s="87">
        <v>44804</v>
      </c>
      <c r="I2293" s="98">
        <v>22</v>
      </c>
      <c r="J2293" s="98">
        <v>22</v>
      </c>
      <c r="K2293" s="89">
        <f t="shared" si="98"/>
        <v>1</v>
      </c>
      <c r="L2293" s="89">
        <v>3223.43</v>
      </c>
      <c r="M2293" s="89">
        <v>3152.6</v>
      </c>
      <c r="N2293" s="89">
        <v>319</v>
      </c>
      <c r="O2293" s="89">
        <f t="shared" si="96"/>
        <v>6695.03</v>
      </c>
    </row>
    <row r="2294" spans="1:15">
      <c r="A2294" s="74" t="s">
        <v>309</v>
      </c>
      <c r="B2294" s="74" t="s">
        <v>186</v>
      </c>
      <c r="C2294" s="74" t="s">
        <v>187</v>
      </c>
      <c r="D2294" s="74" t="s">
        <v>79</v>
      </c>
      <c r="E2294" s="74" t="s">
        <v>81</v>
      </c>
      <c r="F2294" s="86" t="s">
        <v>180</v>
      </c>
      <c r="G2294" s="74" t="s">
        <v>177</v>
      </c>
      <c r="H2294" s="87">
        <v>44804</v>
      </c>
      <c r="I2294" s="98">
        <v>22</v>
      </c>
      <c r="J2294" s="98">
        <v>22</v>
      </c>
      <c r="K2294" s="89">
        <f t="shared" si="98"/>
        <v>1</v>
      </c>
      <c r="L2294" s="89">
        <v>2185.79</v>
      </c>
      <c r="M2294" s="89">
        <v>3117.44</v>
      </c>
      <c r="N2294" s="89">
        <v>218.12</v>
      </c>
      <c r="O2294" s="89">
        <f t="shared" si="96"/>
        <v>5521.35</v>
      </c>
    </row>
    <row r="2295" spans="1:15">
      <c r="A2295" s="74" t="s">
        <v>309</v>
      </c>
      <c r="B2295" s="74" t="s">
        <v>188</v>
      </c>
      <c r="C2295" s="74" t="s">
        <v>189</v>
      </c>
      <c r="D2295" s="74" t="s">
        <v>79</v>
      </c>
      <c r="E2295" s="74" t="s">
        <v>81</v>
      </c>
      <c r="F2295" s="86" t="s">
        <v>183</v>
      </c>
      <c r="G2295" s="74" t="s">
        <v>177</v>
      </c>
      <c r="H2295" s="87">
        <v>44804</v>
      </c>
      <c r="I2295" s="98">
        <v>22</v>
      </c>
      <c r="J2295" s="98">
        <v>22</v>
      </c>
      <c r="K2295" s="89">
        <f t="shared" si="98"/>
        <v>1</v>
      </c>
      <c r="L2295" s="89">
        <v>1018.27</v>
      </c>
      <c r="M2295" s="89">
        <v>3104.98</v>
      </c>
      <c r="N2295" s="89">
        <v>108.58</v>
      </c>
      <c r="O2295" s="89">
        <f t="shared" si="96"/>
        <v>4231.83</v>
      </c>
    </row>
    <row r="2296" spans="1:15">
      <c r="A2296" s="74" t="s">
        <v>309</v>
      </c>
      <c r="B2296" s="74" t="s">
        <v>190</v>
      </c>
      <c r="C2296" s="74" t="s">
        <v>191</v>
      </c>
      <c r="D2296" s="74" t="s">
        <v>79</v>
      </c>
      <c r="E2296" s="74" t="s">
        <v>81</v>
      </c>
      <c r="F2296" s="86" t="s">
        <v>176</v>
      </c>
      <c r="G2296" s="74" t="s">
        <v>177</v>
      </c>
      <c r="H2296" s="87">
        <v>44804</v>
      </c>
      <c r="I2296" s="98">
        <v>22</v>
      </c>
      <c r="J2296" s="98">
        <v>22</v>
      </c>
      <c r="K2296" s="89">
        <f t="shared" si="98"/>
        <v>1</v>
      </c>
      <c r="L2296" s="89">
        <v>3226.84</v>
      </c>
      <c r="M2296" s="89">
        <v>3006.31</v>
      </c>
      <c r="N2296" s="89">
        <v>320.38</v>
      </c>
      <c r="O2296" s="89">
        <f t="shared" si="96"/>
        <v>6553.53</v>
      </c>
    </row>
    <row r="2297" spans="1:15">
      <c r="A2297" s="74" t="s">
        <v>309</v>
      </c>
      <c r="B2297" s="74" t="s">
        <v>192</v>
      </c>
      <c r="C2297" s="74" t="s">
        <v>193</v>
      </c>
      <c r="D2297" s="74" t="s">
        <v>79</v>
      </c>
      <c r="E2297" s="74" t="s">
        <v>81</v>
      </c>
      <c r="F2297" s="86" t="s">
        <v>180</v>
      </c>
      <c r="G2297" s="74" t="s">
        <v>177</v>
      </c>
      <c r="H2297" s="87">
        <v>44804</v>
      </c>
      <c r="I2297" s="98">
        <v>22</v>
      </c>
      <c r="J2297" s="98">
        <v>22</v>
      </c>
      <c r="K2297" s="89">
        <f t="shared" si="98"/>
        <v>1</v>
      </c>
      <c r="L2297" s="89">
        <v>2183.41</v>
      </c>
      <c r="M2297" s="89">
        <v>3270.86</v>
      </c>
      <c r="N2297" s="89">
        <v>212.15</v>
      </c>
      <c r="O2297" s="89">
        <f t="shared" si="96"/>
        <v>5666.42</v>
      </c>
    </row>
    <row r="2298" spans="1:15">
      <c r="A2298" s="74" t="s">
        <v>309</v>
      </c>
      <c r="B2298" s="74" t="s">
        <v>194</v>
      </c>
      <c r="C2298" s="74" t="s">
        <v>195</v>
      </c>
      <c r="D2298" s="74" t="s">
        <v>79</v>
      </c>
      <c r="E2298" s="74" t="s">
        <v>81</v>
      </c>
      <c r="F2298" s="86" t="s">
        <v>183</v>
      </c>
      <c r="G2298" s="74" t="s">
        <v>177</v>
      </c>
      <c r="H2298" s="87">
        <v>44804</v>
      </c>
      <c r="I2298" s="98">
        <v>22</v>
      </c>
      <c r="J2298" s="98">
        <v>22</v>
      </c>
      <c r="K2298" s="89">
        <f t="shared" si="98"/>
        <v>1</v>
      </c>
      <c r="L2298" s="89">
        <v>1001.73</v>
      </c>
      <c r="M2298" s="89">
        <v>3117.32</v>
      </c>
      <c r="N2298" s="89">
        <v>109.58</v>
      </c>
      <c r="O2298" s="89">
        <f t="shared" si="96"/>
        <v>4228.63</v>
      </c>
    </row>
    <row r="2299" spans="1:15">
      <c r="A2299" s="74" t="s">
        <v>309</v>
      </c>
      <c r="B2299" s="74" t="s">
        <v>196</v>
      </c>
      <c r="C2299" s="74" t="s">
        <v>197</v>
      </c>
      <c r="D2299" s="74" t="s">
        <v>79</v>
      </c>
      <c r="E2299" s="74" t="s">
        <v>81</v>
      </c>
      <c r="F2299" s="86" t="s">
        <v>176</v>
      </c>
      <c r="G2299" s="74" t="s">
        <v>177</v>
      </c>
      <c r="H2299" s="87">
        <v>44804</v>
      </c>
      <c r="I2299" s="98">
        <v>22</v>
      </c>
      <c r="J2299" s="98">
        <v>22</v>
      </c>
      <c r="K2299" s="89">
        <f t="shared" si="98"/>
        <v>1</v>
      </c>
      <c r="L2299" s="89">
        <v>3039.31</v>
      </c>
      <c r="M2299" s="89">
        <v>3007.21</v>
      </c>
      <c r="N2299" s="89">
        <v>327.08</v>
      </c>
      <c r="O2299" s="89">
        <f t="shared" si="96"/>
        <v>6373.6</v>
      </c>
    </row>
    <row r="2300" spans="1:15">
      <c r="A2300" s="74" t="s">
        <v>309</v>
      </c>
      <c r="B2300" s="74" t="s">
        <v>198</v>
      </c>
      <c r="C2300" s="74" t="s">
        <v>199</v>
      </c>
      <c r="D2300" s="74" t="s">
        <v>79</v>
      </c>
      <c r="E2300" s="74" t="s">
        <v>81</v>
      </c>
      <c r="F2300" s="86" t="s">
        <v>180</v>
      </c>
      <c r="G2300" s="74" t="s">
        <v>177</v>
      </c>
      <c r="H2300" s="87">
        <v>44804</v>
      </c>
      <c r="I2300" s="98">
        <v>22</v>
      </c>
      <c r="J2300" s="98">
        <v>22</v>
      </c>
      <c r="K2300" s="89">
        <f t="shared" si="98"/>
        <v>1</v>
      </c>
      <c r="L2300" s="89">
        <v>2030.51</v>
      </c>
      <c r="M2300" s="89">
        <v>3003.26</v>
      </c>
      <c r="N2300" s="89">
        <v>208.03</v>
      </c>
      <c r="O2300" s="89">
        <f t="shared" si="96"/>
        <v>5241.8</v>
      </c>
    </row>
    <row r="2301" spans="1:15">
      <c r="A2301" s="74" t="s">
        <v>309</v>
      </c>
      <c r="B2301" s="74" t="s">
        <v>200</v>
      </c>
      <c r="C2301" s="74" t="s">
        <v>201</v>
      </c>
      <c r="D2301" s="74" t="s">
        <v>79</v>
      </c>
      <c r="E2301" s="74" t="s">
        <v>81</v>
      </c>
      <c r="F2301" s="86" t="s">
        <v>183</v>
      </c>
      <c r="G2301" s="74" t="s">
        <v>177</v>
      </c>
      <c r="H2301" s="87">
        <v>44804</v>
      </c>
      <c r="I2301" s="98">
        <v>22</v>
      </c>
      <c r="J2301" s="98">
        <v>22</v>
      </c>
      <c r="K2301" s="89">
        <f t="shared" si="98"/>
        <v>1</v>
      </c>
      <c r="L2301" s="89">
        <v>1089.02</v>
      </c>
      <c r="M2301" s="89">
        <v>3061.27</v>
      </c>
      <c r="N2301" s="89">
        <v>103.42</v>
      </c>
      <c r="O2301" s="89">
        <f t="shared" si="96"/>
        <v>4253.71</v>
      </c>
    </row>
    <row r="2302" spans="1:15">
      <c r="A2302" s="74" t="s">
        <v>309</v>
      </c>
      <c r="B2302" s="74" t="s">
        <v>202</v>
      </c>
      <c r="C2302" s="74" t="s">
        <v>203</v>
      </c>
      <c r="D2302" s="74" t="s">
        <v>79</v>
      </c>
      <c r="E2302" s="74" t="s">
        <v>81</v>
      </c>
      <c r="F2302" s="86" t="s">
        <v>204</v>
      </c>
      <c r="G2302" s="74" t="s">
        <v>205</v>
      </c>
      <c r="H2302" s="87">
        <v>44804</v>
      </c>
      <c r="I2302" s="98">
        <v>22</v>
      </c>
      <c r="J2302" s="98">
        <v>22</v>
      </c>
      <c r="K2302" s="89">
        <f t="shared" si="98"/>
        <v>1</v>
      </c>
      <c r="L2302" s="89">
        <v>19691.3</v>
      </c>
      <c r="M2302" s="89">
        <v>3232.8</v>
      </c>
      <c r="N2302" s="89">
        <v>1977.63</v>
      </c>
      <c r="O2302" s="89">
        <f t="shared" si="96"/>
        <v>24901.73</v>
      </c>
    </row>
    <row r="2303" spans="1:15">
      <c r="A2303" s="74" t="s">
        <v>309</v>
      </c>
      <c r="B2303" s="74" t="s">
        <v>206</v>
      </c>
      <c r="C2303" s="74" t="s">
        <v>207</v>
      </c>
      <c r="D2303" s="88" t="s">
        <v>82</v>
      </c>
      <c r="E2303" s="88" t="s">
        <v>84</v>
      </c>
      <c r="F2303" s="86" t="s">
        <v>208</v>
      </c>
      <c r="G2303" s="74" t="s">
        <v>209</v>
      </c>
      <c r="H2303" s="87">
        <v>44804</v>
      </c>
      <c r="I2303" s="98">
        <v>22</v>
      </c>
      <c r="J2303" s="98">
        <v>22</v>
      </c>
      <c r="K2303" s="89">
        <f t="shared" si="98"/>
        <v>1</v>
      </c>
      <c r="L2303" s="89">
        <v>9578.7</v>
      </c>
      <c r="M2303" s="89">
        <v>3289.8</v>
      </c>
      <c r="N2303" s="89">
        <v>929.28</v>
      </c>
      <c r="O2303" s="89">
        <f t="shared" si="96"/>
        <v>13797.78</v>
      </c>
    </row>
    <row r="2304" spans="1:15">
      <c r="A2304" s="74" t="s">
        <v>309</v>
      </c>
      <c r="B2304" s="74" t="s">
        <v>210</v>
      </c>
      <c r="C2304" s="74" t="s">
        <v>211</v>
      </c>
      <c r="D2304" s="88" t="s">
        <v>82</v>
      </c>
      <c r="E2304" s="88" t="s">
        <v>84</v>
      </c>
      <c r="F2304" s="86" t="s">
        <v>116</v>
      </c>
      <c r="G2304" s="74" t="s">
        <v>209</v>
      </c>
      <c r="H2304" s="87">
        <v>44804</v>
      </c>
      <c r="I2304" s="98">
        <v>22</v>
      </c>
      <c r="J2304" s="98">
        <v>22</v>
      </c>
      <c r="K2304" s="89">
        <f t="shared" si="98"/>
        <v>1</v>
      </c>
      <c r="L2304" s="89">
        <v>8564.52</v>
      </c>
      <c r="M2304" s="89">
        <v>3149.87</v>
      </c>
      <c r="N2304" s="89">
        <v>823.65</v>
      </c>
      <c r="O2304" s="89">
        <f t="shared" si="96"/>
        <v>12538.04</v>
      </c>
    </row>
    <row r="2305" spans="1:15">
      <c r="A2305" s="74" t="s">
        <v>309</v>
      </c>
      <c r="B2305" s="74" t="s">
        <v>212</v>
      </c>
      <c r="C2305" s="74" t="s">
        <v>213</v>
      </c>
      <c r="D2305" s="88" t="s">
        <v>82</v>
      </c>
      <c r="E2305" s="88" t="s">
        <v>84</v>
      </c>
      <c r="F2305" s="86" t="s">
        <v>208</v>
      </c>
      <c r="G2305" s="74" t="s">
        <v>209</v>
      </c>
      <c r="H2305" s="87">
        <v>44804</v>
      </c>
      <c r="I2305" s="98">
        <v>22</v>
      </c>
      <c r="J2305" s="98">
        <v>22</v>
      </c>
      <c r="K2305" s="89">
        <f t="shared" si="98"/>
        <v>1</v>
      </c>
      <c r="L2305" s="89">
        <v>9313.15</v>
      </c>
      <c r="M2305" s="89">
        <v>3029.64</v>
      </c>
      <c r="N2305" s="89">
        <v>979.13</v>
      </c>
      <c r="O2305" s="89">
        <f t="shared" si="96"/>
        <v>13321.92</v>
      </c>
    </row>
    <row r="2306" spans="1:15">
      <c r="A2306" s="74" t="s">
        <v>309</v>
      </c>
      <c r="B2306" s="74" t="s">
        <v>214</v>
      </c>
      <c r="C2306" s="74" t="s">
        <v>215</v>
      </c>
      <c r="D2306" s="88" t="s">
        <v>82</v>
      </c>
      <c r="E2306" s="88" t="s">
        <v>84</v>
      </c>
      <c r="F2306" s="86" t="s">
        <v>116</v>
      </c>
      <c r="G2306" s="74" t="s">
        <v>209</v>
      </c>
      <c r="H2306" s="87">
        <v>44804</v>
      </c>
      <c r="I2306" s="98">
        <v>22</v>
      </c>
      <c r="J2306" s="98">
        <v>22</v>
      </c>
      <c r="K2306" s="89">
        <f t="shared" si="98"/>
        <v>1</v>
      </c>
      <c r="L2306" s="89">
        <v>8156.44</v>
      </c>
      <c r="M2306" s="89">
        <v>3040.09</v>
      </c>
      <c r="N2306" s="89">
        <v>875.93</v>
      </c>
      <c r="O2306" s="89">
        <f t="shared" si="96"/>
        <v>12072.46</v>
      </c>
    </row>
    <row r="2307" spans="1:15">
      <c r="A2307" s="74" t="s">
        <v>309</v>
      </c>
      <c r="B2307" s="74" t="s">
        <v>216</v>
      </c>
      <c r="C2307" s="74" t="s">
        <v>217</v>
      </c>
      <c r="D2307" s="88" t="s">
        <v>82</v>
      </c>
      <c r="E2307" s="88" t="s">
        <v>84</v>
      </c>
      <c r="F2307" s="86" t="s">
        <v>218</v>
      </c>
      <c r="G2307" s="74" t="s">
        <v>219</v>
      </c>
      <c r="H2307" s="87">
        <v>44804</v>
      </c>
      <c r="I2307" s="98">
        <v>22</v>
      </c>
      <c r="J2307" s="98">
        <v>22</v>
      </c>
      <c r="K2307" s="89">
        <f t="shared" si="98"/>
        <v>1</v>
      </c>
      <c r="L2307" s="89">
        <v>11127.36</v>
      </c>
      <c r="M2307" s="89">
        <v>3081.06</v>
      </c>
      <c r="N2307" s="89">
        <v>1139.31</v>
      </c>
      <c r="O2307" s="89">
        <f t="shared" si="96"/>
        <v>15347.73</v>
      </c>
    </row>
    <row r="2308" spans="1:15">
      <c r="A2308" s="74" t="s">
        <v>309</v>
      </c>
      <c r="B2308" s="74" t="s">
        <v>220</v>
      </c>
      <c r="C2308" s="74" t="s">
        <v>221</v>
      </c>
      <c r="D2308" s="88" t="s">
        <v>82</v>
      </c>
      <c r="E2308" s="74" t="s">
        <v>83</v>
      </c>
      <c r="F2308" s="86" t="s">
        <v>218</v>
      </c>
      <c r="G2308" s="74" t="s">
        <v>222</v>
      </c>
      <c r="H2308" s="87">
        <v>44804</v>
      </c>
      <c r="I2308" s="98">
        <v>22</v>
      </c>
      <c r="J2308" s="98">
        <v>22</v>
      </c>
      <c r="K2308" s="89">
        <f t="shared" si="98"/>
        <v>1</v>
      </c>
      <c r="L2308" s="89">
        <v>11798.45</v>
      </c>
      <c r="M2308" s="89">
        <v>3187.68</v>
      </c>
      <c r="N2308" s="89">
        <v>1101.16</v>
      </c>
      <c r="O2308" s="89">
        <f t="shared" si="96"/>
        <v>16087.29</v>
      </c>
    </row>
    <row r="2309" spans="1:15">
      <c r="A2309" s="74" t="s">
        <v>309</v>
      </c>
      <c r="B2309" s="74" t="s">
        <v>223</v>
      </c>
      <c r="C2309" s="74" t="s">
        <v>224</v>
      </c>
      <c r="D2309" s="88" t="s">
        <v>82</v>
      </c>
      <c r="E2309" s="74" t="s">
        <v>83</v>
      </c>
      <c r="F2309" s="86" t="s">
        <v>225</v>
      </c>
      <c r="G2309" s="74" t="s">
        <v>209</v>
      </c>
      <c r="H2309" s="87">
        <v>44804</v>
      </c>
      <c r="I2309" s="98">
        <v>22</v>
      </c>
      <c r="J2309" s="98">
        <v>22</v>
      </c>
      <c r="K2309" s="89">
        <f t="shared" si="98"/>
        <v>1</v>
      </c>
      <c r="L2309" s="89">
        <v>10136.18</v>
      </c>
      <c r="M2309" s="89">
        <v>3162.34</v>
      </c>
      <c r="N2309" s="89">
        <v>1082.93</v>
      </c>
      <c r="O2309" s="89">
        <f t="shared" ref="O2309:O2372" si="99">SUM(L2309:N2309)</f>
        <v>14381.45</v>
      </c>
    </row>
    <row r="2310" spans="1:15">
      <c r="A2310" s="74" t="s">
        <v>309</v>
      </c>
      <c r="B2310" s="74" t="s">
        <v>226</v>
      </c>
      <c r="C2310" s="74" t="s">
        <v>227</v>
      </c>
      <c r="D2310" s="88" t="s">
        <v>82</v>
      </c>
      <c r="E2310" s="74" t="s">
        <v>83</v>
      </c>
      <c r="F2310" s="86" t="s">
        <v>208</v>
      </c>
      <c r="G2310" s="74" t="s">
        <v>209</v>
      </c>
      <c r="H2310" s="87">
        <v>44804</v>
      </c>
      <c r="I2310" s="98">
        <v>22</v>
      </c>
      <c r="J2310" s="98">
        <v>22</v>
      </c>
      <c r="K2310" s="89">
        <f t="shared" si="98"/>
        <v>1</v>
      </c>
      <c r="L2310" s="89">
        <v>9044.21</v>
      </c>
      <c r="M2310" s="89">
        <v>3298.94</v>
      </c>
      <c r="N2310" s="89">
        <v>935.99</v>
      </c>
      <c r="O2310" s="89">
        <f t="shared" si="99"/>
        <v>13279.14</v>
      </c>
    </row>
    <row r="2311" spans="1:15">
      <c r="A2311" s="74" t="s">
        <v>309</v>
      </c>
      <c r="B2311" s="74" t="s">
        <v>228</v>
      </c>
      <c r="C2311" s="74" t="s">
        <v>229</v>
      </c>
      <c r="D2311" s="88" t="s">
        <v>82</v>
      </c>
      <c r="E2311" s="74" t="s">
        <v>83</v>
      </c>
      <c r="F2311" s="86" t="s">
        <v>116</v>
      </c>
      <c r="G2311" s="74" t="s">
        <v>209</v>
      </c>
      <c r="H2311" s="87">
        <v>44804</v>
      </c>
      <c r="I2311" s="98">
        <v>22</v>
      </c>
      <c r="J2311" s="98">
        <v>22</v>
      </c>
      <c r="K2311" s="89">
        <f t="shared" si="98"/>
        <v>1</v>
      </c>
      <c r="L2311" s="89">
        <v>8420.28</v>
      </c>
      <c r="M2311" s="89">
        <v>3195.97</v>
      </c>
      <c r="N2311" s="89">
        <v>829.68</v>
      </c>
      <c r="O2311" s="89">
        <f t="shared" si="99"/>
        <v>12445.93</v>
      </c>
    </row>
    <row r="2312" spans="1:15">
      <c r="A2312" s="74" t="s">
        <v>309</v>
      </c>
      <c r="B2312" s="74" t="s">
        <v>230</v>
      </c>
      <c r="C2312" s="74" t="s">
        <v>231</v>
      </c>
      <c r="D2312" s="88" t="s">
        <v>82</v>
      </c>
      <c r="E2312" s="74" t="s">
        <v>83</v>
      </c>
      <c r="F2312" s="86" t="s">
        <v>120</v>
      </c>
      <c r="G2312" s="74" t="s">
        <v>209</v>
      </c>
      <c r="H2312" s="87">
        <v>44804</v>
      </c>
      <c r="I2312" s="98">
        <v>22</v>
      </c>
      <c r="J2312" s="98">
        <v>22</v>
      </c>
      <c r="K2312" s="89">
        <f t="shared" si="98"/>
        <v>1</v>
      </c>
      <c r="L2312" s="89">
        <v>7111.68</v>
      </c>
      <c r="M2312" s="89">
        <v>3196.42</v>
      </c>
      <c r="N2312" s="89">
        <v>769.22</v>
      </c>
      <c r="O2312" s="89">
        <f t="shared" si="99"/>
        <v>11077.32</v>
      </c>
    </row>
    <row r="2313" spans="1:15">
      <c r="A2313" s="74" t="s">
        <v>309</v>
      </c>
      <c r="B2313" s="74" t="s">
        <v>232</v>
      </c>
      <c r="C2313" s="74" t="s">
        <v>233</v>
      </c>
      <c r="D2313" s="88" t="s">
        <v>82</v>
      </c>
      <c r="E2313" s="74" t="s">
        <v>83</v>
      </c>
      <c r="F2313" s="86" t="s">
        <v>123</v>
      </c>
      <c r="G2313" s="74" t="s">
        <v>209</v>
      </c>
      <c r="H2313" s="87">
        <v>44804</v>
      </c>
      <c r="I2313" s="98">
        <v>22</v>
      </c>
      <c r="J2313" s="98">
        <v>22</v>
      </c>
      <c r="K2313" s="89">
        <f t="shared" si="98"/>
        <v>1</v>
      </c>
      <c r="L2313" s="89">
        <v>6205.85</v>
      </c>
      <c r="M2313" s="89">
        <v>3275.08</v>
      </c>
      <c r="N2313" s="89">
        <v>654.29</v>
      </c>
      <c r="O2313" s="89">
        <f t="shared" si="99"/>
        <v>10135.22</v>
      </c>
    </row>
    <row r="2314" spans="1:15">
      <c r="A2314" s="74" t="s">
        <v>309</v>
      </c>
      <c r="B2314" s="74" t="s">
        <v>234</v>
      </c>
      <c r="C2314" s="74" t="s">
        <v>235</v>
      </c>
      <c r="D2314" s="88" t="s">
        <v>82</v>
      </c>
      <c r="E2314" s="74" t="s">
        <v>83</v>
      </c>
      <c r="F2314" s="86" t="s">
        <v>116</v>
      </c>
      <c r="G2314" s="74" t="s">
        <v>209</v>
      </c>
      <c r="H2314" s="87">
        <v>44804</v>
      </c>
      <c r="I2314" s="98">
        <v>22</v>
      </c>
      <c r="J2314" s="98">
        <v>22</v>
      </c>
      <c r="K2314" s="89">
        <f t="shared" si="98"/>
        <v>1</v>
      </c>
      <c r="L2314" s="89">
        <v>8691.5</v>
      </c>
      <c r="M2314" s="89">
        <v>3243.04</v>
      </c>
      <c r="N2314" s="89">
        <v>818.4</v>
      </c>
      <c r="O2314" s="89">
        <f t="shared" si="99"/>
        <v>12752.94</v>
      </c>
    </row>
    <row r="2315" spans="1:15">
      <c r="A2315" s="74" t="s">
        <v>309</v>
      </c>
      <c r="B2315" s="74" t="s">
        <v>236</v>
      </c>
      <c r="C2315" s="74" t="s">
        <v>237</v>
      </c>
      <c r="D2315" s="88" t="s">
        <v>82</v>
      </c>
      <c r="E2315" s="74" t="s">
        <v>83</v>
      </c>
      <c r="F2315" s="86" t="s">
        <v>120</v>
      </c>
      <c r="G2315" s="74" t="s">
        <v>209</v>
      </c>
      <c r="H2315" s="87">
        <v>44804</v>
      </c>
      <c r="I2315" s="98">
        <v>22</v>
      </c>
      <c r="J2315" s="98">
        <v>22</v>
      </c>
      <c r="K2315" s="89">
        <f t="shared" si="98"/>
        <v>1</v>
      </c>
      <c r="L2315" s="89">
        <v>7409.71</v>
      </c>
      <c r="M2315" s="89">
        <v>3131.02</v>
      </c>
      <c r="N2315" s="89">
        <v>714.81</v>
      </c>
      <c r="O2315" s="89">
        <f t="shared" si="99"/>
        <v>11255.54</v>
      </c>
    </row>
    <row r="2316" spans="1:15">
      <c r="A2316" s="74" t="s">
        <v>309</v>
      </c>
      <c r="B2316" s="74" t="s">
        <v>238</v>
      </c>
      <c r="C2316" s="74" t="s">
        <v>239</v>
      </c>
      <c r="D2316" s="74" t="s">
        <v>86</v>
      </c>
      <c r="E2316" s="74" t="s">
        <v>87</v>
      </c>
      <c r="F2316" s="86" t="s">
        <v>204</v>
      </c>
      <c r="G2316" s="74" t="s">
        <v>240</v>
      </c>
      <c r="H2316" s="87">
        <v>44804</v>
      </c>
      <c r="I2316" s="98">
        <v>22</v>
      </c>
      <c r="J2316" s="98">
        <v>22</v>
      </c>
      <c r="K2316" s="89">
        <f t="shared" si="98"/>
        <v>1</v>
      </c>
      <c r="L2316" s="89">
        <v>15619.28</v>
      </c>
      <c r="M2316" s="89">
        <v>3249.72</v>
      </c>
      <c r="N2316" s="89">
        <v>1812.79</v>
      </c>
      <c r="O2316" s="89">
        <f t="shared" si="99"/>
        <v>20681.79</v>
      </c>
    </row>
    <row r="2317" spans="1:15">
      <c r="A2317" s="74" t="s">
        <v>309</v>
      </c>
      <c r="B2317" s="74" t="s">
        <v>241</v>
      </c>
      <c r="C2317" s="74" t="s">
        <v>242</v>
      </c>
      <c r="D2317" s="74" t="s">
        <v>86</v>
      </c>
      <c r="E2317" s="74" t="s">
        <v>87</v>
      </c>
      <c r="F2317" s="86" t="s">
        <v>243</v>
      </c>
      <c r="G2317" s="74" t="s">
        <v>244</v>
      </c>
      <c r="H2317" s="87">
        <v>44804</v>
      </c>
      <c r="I2317" s="98">
        <v>22</v>
      </c>
      <c r="J2317" s="98">
        <v>22</v>
      </c>
      <c r="K2317" s="89">
        <f t="shared" si="98"/>
        <v>1</v>
      </c>
      <c r="L2317" s="89">
        <v>11086.44</v>
      </c>
      <c r="M2317" s="89">
        <v>3205.19</v>
      </c>
      <c r="N2317" s="89">
        <v>1305.89</v>
      </c>
      <c r="O2317" s="89">
        <f t="shared" si="99"/>
        <v>15597.52</v>
      </c>
    </row>
    <row r="2318" spans="1:15">
      <c r="A2318" s="74" t="s">
        <v>309</v>
      </c>
      <c r="B2318" s="74" t="s">
        <v>245</v>
      </c>
      <c r="C2318" s="74" t="s">
        <v>246</v>
      </c>
      <c r="D2318" s="74" t="s">
        <v>86</v>
      </c>
      <c r="E2318" s="74" t="s">
        <v>87</v>
      </c>
      <c r="F2318" s="86" t="s">
        <v>247</v>
      </c>
      <c r="G2318" s="74" t="s">
        <v>248</v>
      </c>
      <c r="H2318" s="87">
        <v>44804</v>
      </c>
      <c r="I2318" s="98">
        <v>22</v>
      </c>
      <c r="J2318" s="98">
        <v>22</v>
      </c>
      <c r="K2318" s="89">
        <f t="shared" si="98"/>
        <v>1</v>
      </c>
      <c r="L2318" s="89">
        <v>10016.74</v>
      </c>
      <c r="M2318" s="89">
        <v>3018.22</v>
      </c>
      <c r="N2318" s="89">
        <v>1223.14</v>
      </c>
      <c r="O2318" s="89">
        <f t="shared" si="99"/>
        <v>14258.1</v>
      </c>
    </row>
    <row r="2319" spans="1:15">
      <c r="A2319" s="74" t="s">
        <v>309</v>
      </c>
      <c r="B2319" s="74" t="s">
        <v>249</v>
      </c>
      <c r="C2319" s="74" t="s">
        <v>250</v>
      </c>
      <c r="D2319" s="74" t="s">
        <v>86</v>
      </c>
      <c r="E2319" s="74" t="s">
        <v>87</v>
      </c>
      <c r="F2319" s="86" t="s">
        <v>251</v>
      </c>
      <c r="G2319" s="74" t="s">
        <v>252</v>
      </c>
      <c r="H2319" s="87">
        <v>44804</v>
      </c>
      <c r="I2319" s="98">
        <v>22</v>
      </c>
      <c r="J2319" s="98">
        <v>22</v>
      </c>
      <c r="K2319" s="89">
        <f t="shared" si="98"/>
        <v>1</v>
      </c>
      <c r="L2319" s="89">
        <v>9441.42</v>
      </c>
      <c r="M2319" s="89">
        <v>3093.22</v>
      </c>
      <c r="N2319" s="89">
        <v>1133.43</v>
      </c>
      <c r="O2319" s="89">
        <f t="shared" si="99"/>
        <v>13668.07</v>
      </c>
    </row>
    <row r="2320" spans="1:15">
      <c r="A2320" s="74" t="s">
        <v>309</v>
      </c>
      <c r="B2320" s="74" t="s">
        <v>253</v>
      </c>
      <c r="C2320" s="74" t="s">
        <v>254</v>
      </c>
      <c r="D2320" s="74" t="s">
        <v>86</v>
      </c>
      <c r="E2320" s="74" t="s">
        <v>87</v>
      </c>
      <c r="F2320" s="86" t="s">
        <v>255</v>
      </c>
      <c r="G2320" s="74" t="s">
        <v>252</v>
      </c>
      <c r="H2320" s="87">
        <v>44804</v>
      </c>
      <c r="I2320" s="98">
        <v>22</v>
      </c>
      <c r="J2320" s="98">
        <v>22</v>
      </c>
      <c r="K2320" s="89">
        <f t="shared" si="98"/>
        <v>1</v>
      </c>
      <c r="L2320" s="89">
        <v>8636.64</v>
      </c>
      <c r="M2320" s="89">
        <v>3213.26</v>
      </c>
      <c r="N2320" s="89">
        <v>1072.85</v>
      </c>
      <c r="O2320" s="89">
        <f t="shared" si="99"/>
        <v>12922.75</v>
      </c>
    </row>
    <row r="2321" spans="1:15">
      <c r="A2321" s="74" t="s">
        <v>309</v>
      </c>
      <c r="B2321" s="74" t="s">
        <v>256</v>
      </c>
      <c r="C2321" s="74" t="s">
        <v>257</v>
      </c>
      <c r="D2321" s="74" t="s">
        <v>86</v>
      </c>
      <c r="E2321" s="74" t="s">
        <v>87</v>
      </c>
      <c r="F2321" s="86" t="s">
        <v>258</v>
      </c>
      <c r="G2321" s="74" t="s">
        <v>252</v>
      </c>
      <c r="H2321" s="87">
        <v>44804</v>
      </c>
      <c r="I2321" s="98">
        <v>22</v>
      </c>
      <c r="J2321" s="98">
        <v>22</v>
      </c>
      <c r="K2321" s="89">
        <f t="shared" si="98"/>
        <v>1</v>
      </c>
      <c r="L2321" s="89">
        <v>7202.86</v>
      </c>
      <c r="M2321" s="89">
        <v>3117.53</v>
      </c>
      <c r="N2321" s="89">
        <v>952.22</v>
      </c>
      <c r="O2321" s="89">
        <f t="shared" si="99"/>
        <v>11272.61</v>
      </c>
    </row>
    <row r="2322" spans="1:15">
      <c r="A2322" s="74" t="s">
        <v>309</v>
      </c>
      <c r="B2322" s="74" t="s">
        <v>259</v>
      </c>
      <c r="C2322" s="74" t="s">
        <v>260</v>
      </c>
      <c r="D2322" s="74" t="s">
        <v>86</v>
      </c>
      <c r="E2322" s="74" t="s">
        <v>87</v>
      </c>
      <c r="F2322" s="86" t="s">
        <v>261</v>
      </c>
      <c r="G2322" s="74" t="s">
        <v>262</v>
      </c>
      <c r="H2322" s="87">
        <v>44804</v>
      </c>
      <c r="I2322" s="98">
        <v>22</v>
      </c>
      <c r="J2322" s="98">
        <v>22</v>
      </c>
      <c r="K2322" s="89">
        <f t="shared" si="98"/>
        <v>1</v>
      </c>
      <c r="L2322" s="89">
        <v>6796.35</v>
      </c>
      <c r="M2322" s="89">
        <v>3200.03</v>
      </c>
      <c r="N2322" s="89">
        <v>845.7</v>
      </c>
      <c r="O2322" s="89">
        <f t="shared" si="99"/>
        <v>10842.08</v>
      </c>
    </row>
    <row r="2323" spans="1:15">
      <c r="A2323" s="74" t="s">
        <v>309</v>
      </c>
      <c r="B2323" s="74" t="s">
        <v>263</v>
      </c>
      <c r="C2323" s="74" t="s">
        <v>264</v>
      </c>
      <c r="D2323" s="74" t="s">
        <v>86</v>
      </c>
      <c r="E2323" s="74" t="s">
        <v>88</v>
      </c>
      <c r="F2323" s="86" t="s">
        <v>149</v>
      </c>
      <c r="G2323" s="74" t="s">
        <v>265</v>
      </c>
      <c r="H2323" s="87">
        <v>44804</v>
      </c>
      <c r="I2323" s="98">
        <v>22</v>
      </c>
      <c r="J2323" s="98">
        <v>22</v>
      </c>
      <c r="K2323" s="89">
        <f t="shared" si="98"/>
        <v>1</v>
      </c>
      <c r="L2323" s="89">
        <v>14003.49</v>
      </c>
      <c r="M2323" s="89">
        <v>3074.54</v>
      </c>
      <c r="N2323" s="89">
        <v>1864.84</v>
      </c>
      <c r="O2323" s="89">
        <f t="shared" si="99"/>
        <v>18942.87</v>
      </c>
    </row>
    <row r="2324" spans="1:15">
      <c r="A2324" s="74" t="s">
        <v>309</v>
      </c>
      <c r="B2324" s="74" t="s">
        <v>266</v>
      </c>
      <c r="C2324" s="74" t="s">
        <v>267</v>
      </c>
      <c r="D2324" s="74" t="s">
        <v>86</v>
      </c>
      <c r="E2324" s="74" t="s">
        <v>88</v>
      </c>
      <c r="F2324" s="86" t="s">
        <v>243</v>
      </c>
      <c r="G2324" s="74" t="s">
        <v>268</v>
      </c>
      <c r="H2324" s="87">
        <v>44804</v>
      </c>
      <c r="I2324" s="98">
        <v>22</v>
      </c>
      <c r="J2324" s="98">
        <v>22</v>
      </c>
      <c r="K2324" s="89">
        <f t="shared" si="98"/>
        <v>1</v>
      </c>
      <c r="L2324" s="89">
        <v>11221.84</v>
      </c>
      <c r="M2324" s="89">
        <v>3233.89</v>
      </c>
      <c r="N2324" s="89">
        <v>1353.63</v>
      </c>
      <c r="O2324" s="89">
        <f t="shared" si="99"/>
        <v>15809.36</v>
      </c>
    </row>
    <row r="2325" spans="1:15">
      <c r="A2325" s="74" t="s">
        <v>309</v>
      </c>
      <c r="B2325" s="74" t="s">
        <v>269</v>
      </c>
      <c r="C2325" s="74" t="s">
        <v>270</v>
      </c>
      <c r="D2325" s="74" t="s">
        <v>86</v>
      </c>
      <c r="E2325" s="74" t="s">
        <v>88</v>
      </c>
      <c r="F2325" s="86" t="s">
        <v>247</v>
      </c>
      <c r="G2325" s="74" t="s">
        <v>268</v>
      </c>
      <c r="H2325" s="87">
        <v>44804</v>
      </c>
      <c r="I2325" s="98">
        <v>22</v>
      </c>
      <c r="J2325" s="98">
        <v>22</v>
      </c>
      <c r="K2325" s="89">
        <f t="shared" si="98"/>
        <v>1</v>
      </c>
      <c r="L2325" s="89">
        <v>9791.69</v>
      </c>
      <c r="M2325" s="89">
        <v>3090.99</v>
      </c>
      <c r="N2325" s="89">
        <v>1217.54</v>
      </c>
      <c r="O2325" s="89">
        <f t="shared" si="99"/>
        <v>14100.22</v>
      </c>
    </row>
    <row r="2326" spans="1:15">
      <c r="A2326" s="74" t="s">
        <v>309</v>
      </c>
      <c r="B2326" s="74" t="s">
        <v>271</v>
      </c>
      <c r="C2326" s="74" t="s">
        <v>272</v>
      </c>
      <c r="D2326" s="74" t="s">
        <v>86</v>
      </c>
      <c r="E2326" s="74" t="s">
        <v>88</v>
      </c>
      <c r="F2326" s="86" t="s">
        <v>251</v>
      </c>
      <c r="G2326" s="74" t="s">
        <v>268</v>
      </c>
      <c r="H2326" s="87">
        <v>44804</v>
      </c>
      <c r="I2326" s="98">
        <v>22</v>
      </c>
      <c r="J2326" s="98">
        <v>22</v>
      </c>
      <c r="K2326" s="89">
        <f t="shared" si="98"/>
        <v>1</v>
      </c>
      <c r="L2326" s="89">
        <v>9310.86</v>
      </c>
      <c r="M2326" s="89">
        <v>3248.78</v>
      </c>
      <c r="N2326" s="89">
        <v>1119.52</v>
      </c>
      <c r="O2326" s="89">
        <f t="shared" si="99"/>
        <v>13679.16</v>
      </c>
    </row>
    <row r="2327" spans="1:15">
      <c r="A2327" s="74" t="s">
        <v>309</v>
      </c>
      <c r="B2327" s="74" t="s">
        <v>273</v>
      </c>
      <c r="C2327" s="74" t="s">
        <v>274</v>
      </c>
      <c r="D2327" s="74" t="s">
        <v>86</v>
      </c>
      <c r="E2327" s="74" t="s">
        <v>88</v>
      </c>
      <c r="F2327" s="86" t="s">
        <v>255</v>
      </c>
      <c r="G2327" s="74" t="s">
        <v>268</v>
      </c>
      <c r="H2327" s="87">
        <v>44804</v>
      </c>
      <c r="I2327" s="98">
        <v>22</v>
      </c>
      <c r="J2327" s="98">
        <v>22</v>
      </c>
      <c r="K2327" s="89">
        <f t="shared" si="98"/>
        <v>1</v>
      </c>
      <c r="L2327" s="89">
        <v>8224.37</v>
      </c>
      <c r="M2327" s="89">
        <v>3025.41</v>
      </c>
      <c r="N2327" s="89">
        <v>1068.27</v>
      </c>
      <c r="O2327" s="89">
        <f t="shared" si="99"/>
        <v>12318.05</v>
      </c>
    </row>
    <row r="2328" spans="1:15">
      <c r="A2328" s="74" t="s">
        <v>309</v>
      </c>
      <c r="B2328" s="74" t="s">
        <v>275</v>
      </c>
      <c r="C2328" s="74" t="s">
        <v>276</v>
      </c>
      <c r="D2328" s="74" t="s">
        <v>86</v>
      </c>
      <c r="E2328" s="74" t="s">
        <v>88</v>
      </c>
      <c r="F2328" s="86" t="s">
        <v>258</v>
      </c>
      <c r="G2328" s="74" t="s">
        <v>268</v>
      </c>
      <c r="H2328" s="87">
        <v>44804</v>
      </c>
      <c r="I2328" s="98">
        <v>22</v>
      </c>
      <c r="J2328" s="98">
        <v>22</v>
      </c>
      <c r="K2328" s="89">
        <f t="shared" si="98"/>
        <v>1</v>
      </c>
      <c r="L2328" s="89">
        <v>7856.93</v>
      </c>
      <c r="M2328" s="89">
        <v>3068.97</v>
      </c>
      <c r="N2328" s="89">
        <v>971.21</v>
      </c>
      <c r="O2328" s="89">
        <f t="shared" si="99"/>
        <v>11897.11</v>
      </c>
    </row>
    <row r="2329" spans="1:15">
      <c r="A2329" s="74" t="s">
        <v>309</v>
      </c>
      <c r="B2329" s="74" t="s">
        <v>277</v>
      </c>
      <c r="C2329" s="74" t="s">
        <v>278</v>
      </c>
      <c r="D2329" s="74" t="s">
        <v>86</v>
      </c>
      <c r="E2329" s="74" t="s">
        <v>89</v>
      </c>
      <c r="F2329" s="86" t="s">
        <v>279</v>
      </c>
      <c r="G2329" s="74" t="s">
        <v>280</v>
      </c>
      <c r="H2329" s="87">
        <v>44804</v>
      </c>
      <c r="I2329" s="98">
        <v>22</v>
      </c>
      <c r="J2329" s="98">
        <v>22</v>
      </c>
      <c r="K2329" s="89">
        <f t="shared" si="98"/>
        <v>1</v>
      </c>
      <c r="L2329" s="89">
        <v>12495.19</v>
      </c>
      <c r="M2329" s="89">
        <v>3073.25</v>
      </c>
      <c r="N2329" s="89">
        <v>1636.28</v>
      </c>
      <c r="O2329" s="89">
        <f t="shared" si="99"/>
        <v>17204.72</v>
      </c>
    </row>
    <row r="2330" spans="1:15">
      <c r="A2330" s="74" t="s">
        <v>309</v>
      </c>
      <c r="B2330" s="74" t="s">
        <v>281</v>
      </c>
      <c r="C2330" s="74" t="s">
        <v>282</v>
      </c>
      <c r="D2330" s="74" t="s">
        <v>86</v>
      </c>
      <c r="E2330" s="74" t="s">
        <v>89</v>
      </c>
      <c r="F2330" s="86" t="s">
        <v>225</v>
      </c>
      <c r="G2330" s="74" t="s">
        <v>283</v>
      </c>
      <c r="H2330" s="87">
        <v>44804</v>
      </c>
      <c r="I2330" s="98">
        <v>22</v>
      </c>
      <c r="J2330" s="98">
        <v>22</v>
      </c>
      <c r="K2330" s="89">
        <f t="shared" si="98"/>
        <v>1</v>
      </c>
      <c r="L2330" s="89">
        <v>8200.02</v>
      </c>
      <c r="M2330" s="89">
        <v>3072.1</v>
      </c>
      <c r="N2330" s="89">
        <v>1096.81</v>
      </c>
      <c r="O2330" s="89">
        <f t="shared" si="99"/>
        <v>12368.93</v>
      </c>
    </row>
    <row r="2331" spans="1:15">
      <c r="A2331" s="74" t="s">
        <v>309</v>
      </c>
      <c r="B2331" s="74" t="s">
        <v>284</v>
      </c>
      <c r="C2331" s="74" t="s">
        <v>285</v>
      </c>
      <c r="D2331" s="74" t="s">
        <v>86</v>
      </c>
      <c r="E2331" s="74" t="s">
        <v>89</v>
      </c>
      <c r="F2331" s="86" t="s">
        <v>208</v>
      </c>
      <c r="G2331" s="74" t="s">
        <v>283</v>
      </c>
      <c r="H2331" s="87">
        <v>44804</v>
      </c>
      <c r="I2331" s="98">
        <v>22</v>
      </c>
      <c r="J2331" s="98">
        <v>22</v>
      </c>
      <c r="K2331" s="89">
        <f t="shared" si="98"/>
        <v>1</v>
      </c>
      <c r="L2331" s="89">
        <v>7318.04</v>
      </c>
      <c r="M2331" s="89">
        <v>3050.68</v>
      </c>
      <c r="N2331" s="89">
        <v>965.87</v>
      </c>
      <c r="O2331" s="89">
        <f t="shared" si="99"/>
        <v>11334.59</v>
      </c>
    </row>
    <row r="2332" spans="1:15">
      <c r="A2332" s="74" t="s">
        <v>309</v>
      </c>
      <c r="B2332" s="74" t="s">
        <v>286</v>
      </c>
      <c r="C2332" s="74" t="s">
        <v>287</v>
      </c>
      <c r="D2332" s="74" t="s">
        <v>82</v>
      </c>
      <c r="E2332" s="88" t="s">
        <v>85</v>
      </c>
      <c r="F2332" s="86" t="s">
        <v>288</v>
      </c>
      <c r="G2332" s="74" t="s">
        <v>289</v>
      </c>
      <c r="H2332" s="87">
        <v>44804</v>
      </c>
      <c r="I2332" s="98">
        <v>22</v>
      </c>
      <c r="J2332" s="98">
        <v>22</v>
      </c>
      <c r="K2332" s="89">
        <f t="shared" ref="K2332:K2340" si="100">I2332/J2332</f>
        <v>1</v>
      </c>
      <c r="L2332" s="89">
        <v>12491.15</v>
      </c>
      <c r="M2332" s="89">
        <v>3172.09</v>
      </c>
      <c r="N2332" s="89">
        <v>1308.45</v>
      </c>
      <c r="O2332" s="89">
        <f t="shared" si="99"/>
        <v>16971.69</v>
      </c>
    </row>
    <row r="2333" spans="1:15">
      <c r="A2333" s="74" t="s">
        <v>309</v>
      </c>
      <c r="B2333" s="74" t="s">
        <v>290</v>
      </c>
      <c r="C2333" s="74" t="s">
        <v>291</v>
      </c>
      <c r="D2333" s="74" t="s">
        <v>82</v>
      </c>
      <c r="E2333" s="88" t="s">
        <v>85</v>
      </c>
      <c r="F2333" s="86" t="s">
        <v>218</v>
      </c>
      <c r="G2333" s="74" t="s">
        <v>289</v>
      </c>
      <c r="H2333" s="87">
        <v>44804</v>
      </c>
      <c r="I2333" s="98">
        <v>22</v>
      </c>
      <c r="J2333" s="98">
        <v>22</v>
      </c>
      <c r="K2333" s="89">
        <f t="shared" si="100"/>
        <v>1</v>
      </c>
      <c r="L2333" s="89">
        <v>11431.22</v>
      </c>
      <c r="M2333" s="89">
        <v>3192.54</v>
      </c>
      <c r="N2333" s="89">
        <v>1115.47</v>
      </c>
      <c r="O2333" s="89">
        <f t="shared" si="99"/>
        <v>15739.23</v>
      </c>
    </row>
    <row r="2334" spans="1:15">
      <c r="A2334" s="74" t="s">
        <v>309</v>
      </c>
      <c r="B2334" s="74" t="s">
        <v>292</v>
      </c>
      <c r="C2334" s="74" t="s">
        <v>293</v>
      </c>
      <c r="D2334" s="74" t="s">
        <v>82</v>
      </c>
      <c r="E2334" s="88" t="s">
        <v>85</v>
      </c>
      <c r="F2334" s="86" t="s">
        <v>225</v>
      </c>
      <c r="G2334" s="74" t="s">
        <v>289</v>
      </c>
      <c r="H2334" s="87">
        <v>44804</v>
      </c>
      <c r="I2334" s="98">
        <v>22</v>
      </c>
      <c r="J2334" s="98">
        <v>22</v>
      </c>
      <c r="K2334" s="89">
        <f t="shared" si="100"/>
        <v>1</v>
      </c>
      <c r="L2334" s="89">
        <v>10155.41</v>
      </c>
      <c r="M2334" s="89">
        <v>3096.19</v>
      </c>
      <c r="N2334" s="89">
        <v>1077.47</v>
      </c>
      <c r="O2334" s="89">
        <f t="shared" si="99"/>
        <v>14329.07</v>
      </c>
    </row>
    <row r="2335" spans="1:15">
      <c r="A2335" s="74" t="s">
        <v>309</v>
      </c>
      <c r="B2335" s="74" t="s">
        <v>294</v>
      </c>
      <c r="C2335" s="74" t="s">
        <v>295</v>
      </c>
      <c r="D2335" s="74" t="s">
        <v>82</v>
      </c>
      <c r="E2335" s="88" t="s">
        <v>85</v>
      </c>
      <c r="F2335" s="86" t="s">
        <v>208</v>
      </c>
      <c r="G2335" s="74" t="s">
        <v>289</v>
      </c>
      <c r="H2335" s="87">
        <v>44804</v>
      </c>
      <c r="I2335" s="98">
        <v>22</v>
      </c>
      <c r="J2335" s="98">
        <v>22</v>
      </c>
      <c r="K2335" s="89">
        <f t="shared" si="100"/>
        <v>1</v>
      </c>
      <c r="L2335" s="89">
        <v>9052.44</v>
      </c>
      <c r="M2335" s="89">
        <v>3269.46</v>
      </c>
      <c r="N2335" s="89">
        <v>919</v>
      </c>
      <c r="O2335" s="89">
        <f t="shared" si="99"/>
        <v>13240.9</v>
      </c>
    </row>
    <row r="2336" spans="1:15">
      <c r="A2336" s="74" t="s">
        <v>309</v>
      </c>
      <c r="B2336" s="74" t="s">
        <v>296</v>
      </c>
      <c r="C2336" s="74" t="s">
        <v>297</v>
      </c>
      <c r="D2336" s="74" t="s">
        <v>82</v>
      </c>
      <c r="E2336" s="88" t="s">
        <v>85</v>
      </c>
      <c r="F2336" s="86" t="s">
        <v>116</v>
      </c>
      <c r="G2336" s="74" t="s">
        <v>289</v>
      </c>
      <c r="H2336" s="87">
        <v>44804</v>
      </c>
      <c r="I2336" s="98">
        <v>22</v>
      </c>
      <c r="J2336" s="98">
        <v>22</v>
      </c>
      <c r="K2336" s="89">
        <f t="shared" si="100"/>
        <v>1</v>
      </c>
      <c r="L2336" s="89">
        <v>8647.9</v>
      </c>
      <c r="M2336" s="89">
        <v>3045.8</v>
      </c>
      <c r="N2336" s="89">
        <v>836.2</v>
      </c>
      <c r="O2336" s="89">
        <f t="shared" si="99"/>
        <v>12529.9</v>
      </c>
    </row>
    <row r="2337" spans="1:15">
      <c r="A2337" s="74" t="s">
        <v>309</v>
      </c>
      <c r="B2337" s="74" t="s">
        <v>298</v>
      </c>
      <c r="C2337" s="74" t="s">
        <v>299</v>
      </c>
      <c r="D2337" s="74" t="s">
        <v>82</v>
      </c>
      <c r="E2337" s="88" t="s">
        <v>85</v>
      </c>
      <c r="F2337" s="86" t="s">
        <v>279</v>
      </c>
      <c r="G2337" s="74" t="s">
        <v>300</v>
      </c>
      <c r="H2337" s="87">
        <v>44804</v>
      </c>
      <c r="I2337" s="98">
        <v>22</v>
      </c>
      <c r="J2337" s="98">
        <v>22</v>
      </c>
      <c r="K2337" s="89">
        <f t="shared" si="100"/>
        <v>1</v>
      </c>
      <c r="L2337" s="89">
        <v>15172</v>
      </c>
      <c r="M2337" s="89">
        <v>3202.22</v>
      </c>
      <c r="N2337" s="89">
        <v>1608.48</v>
      </c>
      <c r="O2337" s="89">
        <f t="shared" si="99"/>
        <v>19982.7</v>
      </c>
    </row>
    <row r="2338" spans="1:15">
      <c r="A2338" s="74" t="s">
        <v>309</v>
      </c>
      <c r="B2338" s="74" t="s">
        <v>301</v>
      </c>
      <c r="C2338" s="74" t="s">
        <v>302</v>
      </c>
      <c r="D2338" s="74" t="s">
        <v>82</v>
      </c>
      <c r="E2338" s="88" t="s">
        <v>85</v>
      </c>
      <c r="F2338" s="86" t="s">
        <v>279</v>
      </c>
      <c r="G2338" s="74" t="s">
        <v>303</v>
      </c>
      <c r="H2338" s="87">
        <v>44804</v>
      </c>
      <c r="I2338" s="98">
        <v>22</v>
      </c>
      <c r="J2338" s="98">
        <v>22</v>
      </c>
      <c r="K2338" s="89">
        <f t="shared" si="100"/>
        <v>1</v>
      </c>
      <c r="L2338" s="89">
        <v>16221.44</v>
      </c>
      <c r="M2338" s="89">
        <v>3025.69</v>
      </c>
      <c r="N2338" s="89">
        <v>1627.72</v>
      </c>
      <c r="O2338" s="89">
        <f t="shared" si="99"/>
        <v>20874.85</v>
      </c>
    </row>
    <row r="2339" spans="1:15">
      <c r="A2339" s="74" t="s">
        <v>309</v>
      </c>
      <c r="B2339" s="74" t="s">
        <v>304</v>
      </c>
      <c r="C2339" s="74" t="s">
        <v>305</v>
      </c>
      <c r="D2339" s="74" t="s">
        <v>86</v>
      </c>
      <c r="E2339" s="74" t="s">
        <v>90</v>
      </c>
      <c r="F2339" s="86" t="s">
        <v>306</v>
      </c>
      <c r="G2339" s="74" t="s">
        <v>307</v>
      </c>
      <c r="H2339" s="87">
        <v>44804</v>
      </c>
      <c r="I2339" s="98">
        <v>22</v>
      </c>
      <c r="J2339" s="98">
        <v>22</v>
      </c>
      <c r="K2339" s="89">
        <f t="shared" si="100"/>
        <v>1</v>
      </c>
      <c r="L2339" s="89">
        <v>17597.08</v>
      </c>
      <c r="M2339" s="89">
        <v>3141.01</v>
      </c>
      <c r="N2339" s="89">
        <v>2139.19</v>
      </c>
      <c r="O2339" s="89">
        <f t="shared" si="99"/>
        <v>22877.28</v>
      </c>
    </row>
    <row r="2340" spans="1:15">
      <c r="A2340" s="74" t="s">
        <v>309</v>
      </c>
      <c r="B2340" s="74" t="s">
        <v>114</v>
      </c>
      <c r="C2340" s="74" t="s">
        <v>115</v>
      </c>
      <c r="D2340" s="74" t="s">
        <v>79</v>
      </c>
      <c r="E2340" s="74" t="s">
        <v>80</v>
      </c>
      <c r="F2340" s="86" t="s">
        <v>116</v>
      </c>
      <c r="G2340" s="74" t="s">
        <v>117</v>
      </c>
      <c r="H2340" s="87">
        <v>44834</v>
      </c>
      <c r="I2340" s="98">
        <v>22</v>
      </c>
      <c r="J2340" s="98">
        <v>22</v>
      </c>
      <c r="K2340" s="89">
        <f t="shared" si="100"/>
        <v>1</v>
      </c>
      <c r="L2340" s="89">
        <v>8589.29</v>
      </c>
      <c r="M2340" s="89">
        <v>3294.42</v>
      </c>
      <c r="N2340" s="89">
        <v>835.41</v>
      </c>
      <c r="O2340" s="89">
        <f t="shared" si="99"/>
        <v>12719.12</v>
      </c>
    </row>
    <row r="2341" spans="1:15">
      <c r="A2341" s="74" t="s">
        <v>309</v>
      </c>
      <c r="B2341" s="74" t="s">
        <v>118</v>
      </c>
      <c r="C2341" s="74" t="s">
        <v>119</v>
      </c>
      <c r="D2341" s="74" t="s">
        <v>79</v>
      </c>
      <c r="E2341" s="74" t="s">
        <v>80</v>
      </c>
      <c r="F2341" s="86" t="s">
        <v>120</v>
      </c>
      <c r="G2341" s="74" t="s">
        <v>117</v>
      </c>
      <c r="H2341" s="87">
        <v>44834</v>
      </c>
      <c r="I2341" s="98">
        <v>22</v>
      </c>
      <c r="J2341" s="98">
        <v>22</v>
      </c>
      <c r="K2341" s="89">
        <f t="shared" ref="K2341:K2404" si="101">I2341/J2341</f>
        <v>1</v>
      </c>
      <c r="L2341" s="89">
        <v>7256.82</v>
      </c>
      <c r="M2341" s="89">
        <v>3146.93</v>
      </c>
      <c r="N2341" s="89">
        <v>757.14</v>
      </c>
      <c r="O2341" s="89">
        <f t="shared" si="99"/>
        <v>11160.89</v>
      </c>
    </row>
    <row r="2342" spans="1:15">
      <c r="A2342" s="74" t="s">
        <v>309</v>
      </c>
      <c r="B2342" s="74" t="s">
        <v>121</v>
      </c>
      <c r="C2342" s="74" t="s">
        <v>122</v>
      </c>
      <c r="D2342" s="74" t="s">
        <v>79</v>
      </c>
      <c r="E2342" s="74" t="s">
        <v>80</v>
      </c>
      <c r="F2342" s="86" t="s">
        <v>123</v>
      </c>
      <c r="G2342" s="74" t="s">
        <v>117</v>
      </c>
      <c r="H2342" s="87">
        <v>44834</v>
      </c>
      <c r="I2342" s="98">
        <v>22</v>
      </c>
      <c r="J2342" s="98">
        <v>22</v>
      </c>
      <c r="K2342" s="89">
        <f t="shared" si="101"/>
        <v>1</v>
      </c>
      <c r="L2342" s="89">
        <v>6332.78</v>
      </c>
      <c r="M2342" s="89">
        <v>3282.42</v>
      </c>
      <c r="N2342" s="89">
        <v>659.98</v>
      </c>
      <c r="O2342" s="89">
        <f t="shared" si="99"/>
        <v>10275.18</v>
      </c>
    </row>
    <row r="2343" spans="1:15">
      <c r="A2343" s="74" t="s">
        <v>309</v>
      </c>
      <c r="B2343" s="74" t="s">
        <v>124</v>
      </c>
      <c r="C2343" s="74" t="s">
        <v>125</v>
      </c>
      <c r="D2343" s="74" t="s">
        <v>79</v>
      </c>
      <c r="E2343" s="74" t="s">
        <v>80</v>
      </c>
      <c r="F2343" s="86" t="s">
        <v>116</v>
      </c>
      <c r="G2343" s="74" t="s">
        <v>117</v>
      </c>
      <c r="H2343" s="87">
        <v>44834</v>
      </c>
      <c r="I2343" s="98">
        <v>22</v>
      </c>
      <c r="J2343" s="98">
        <v>22</v>
      </c>
      <c r="K2343" s="89">
        <f t="shared" si="101"/>
        <v>1</v>
      </c>
      <c r="L2343" s="89">
        <v>8563.73</v>
      </c>
      <c r="M2343" s="89">
        <v>3274.82</v>
      </c>
      <c r="N2343" s="89">
        <v>823.95</v>
      </c>
      <c r="O2343" s="89">
        <f t="shared" si="99"/>
        <v>12662.5</v>
      </c>
    </row>
    <row r="2344" spans="1:15">
      <c r="A2344" s="74" t="s">
        <v>309</v>
      </c>
      <c r="B2344" s="74" t="s">
        <v>126</v>
      </c>
      <c r="C2344" s="74" t="s">
        <v>127</v>
      </c>
      <c r="D2344" s="74" t="s">
        <v>79</v>
      </c>
      <c r="E2344" s="74" t="s">
        <v>80</v>
      </c>
      <c r="F2344" s="86" t="s">
        <v>120</v>
      </c>
      <c r="G2344" s="74" t="s">
        <v>117</v>
      </c>
      <c r="H2344" s="87">
        <v>44834</v>
      </c>
      <c r="I2344" s="98">
        <v>22</v>
      </c>
      <c r="J2344" s="98">
        <v>22</v>
      </c>
      <c r="K2344" s="89">
        <f t="shared" si="101"/>
        <v>1</v>
      </c>
      <c r="L2344" s="89">
        <v>7465.45</v>
      </c>
      <c r="M2344" s="89">
        <v>3125.02</v>
      </c>
      <c r="N2344" s="89">
        <v>748.25</v>
      </c>
      <c r="O2344" s="89">
        <f t="shared" si="99"/>
        <v>11338.72</v>
      </c>
    </row>
    <row r="2345" spans="1:15">
      <c r="A2345" s="74" t="s">
        <v>309</v>
      </c>
      <c r="B2345" s="74" t="s">
        <v>128</v>
      </c>
      <c r="C2345" s="74" t="s">
        <v>129</v>
      </c>
      <c r="D2345" s="74" t="s">
        <v>79</v>
      </c>
      <c r="E2345" s="74" t="s">
        <v>80</v>
      </c>
      <c r="F2345" s="86" t="s">
        <v>123</v>
      </c>
      <c r="G2345" s="74" t="s">
        <v>117</v>
      </c>
      <c r="H2345" s="87">
        <v>44834</v>
      </c>
      <c r="I2345" s="98">
        <v>22</v>
      </c>
      <c r="J2345" s="98">
        <v>22</v>
      </c>
      <c r="K2345" s="89">
        <f t="shared" si="101"/>
        <v>1</v>
      </c>
      <c r="L2345" s="89">
        <v>6226.17</v>
      </c>
      <c r="M2345" s="89">
        <v>3152.35</v>
      </c>
      <c r="N2345" s="89">
        <v>612.46</v>
      </c>
      <c r="O2345" s="89">
        <f t="shared" si="99"/>
        <v>9990.98</v>
      </c>
    </row>
    <row r="2346" spans="1:15">
      <c r="A2346" s="74" t="s">
        <v>309</v>
      </c>
      <c r="B2346" s="74" t="s">
        <v>130</v>
      </c>
      <c r="C2346" s="74" t="s">
        <v>131</v>
      </c>
      <c r="D2346" s="74" t="s">
        <v>79</v>
      </c>
      <c r="E2346" s="74" t="s">
        <v>80</v>
      </c>
      <c r="F2346" s="86" t="s">
        <v>116</v>
      </c>
      <c r="G2346" s="74" t="s">
        <v>117</v>
      </c>
      <c r="H2346" s="87">
        <v>44834</v>
      </c>
      <c r="I2346" s="98">
        <v>22</v>
      </c>
      <c r="J2346" s="98">
        <v>22</v>
      </c>
      <c r="K2346" s="89">
        <f t="shared" si="101"/>
        <v>1</v>
      </c>
      <c r="L2346" s="89">
        <v>8480.87</v>
      </c>
      <c r="M2346" s="89">
        <v>3073.32</v>
      </c>
      <c r="N2346" s="89">
        <v>802.45</v>
      </c>
      <c r="O2346" s="89">
        <f t="shared" si="99"/>
        <v>12356.64</v>
      </c>
    </row>
    <row r="2347" spans="1:15">
      <c r="A2347" s="74" t="s">
        <v>309</v>
      </c>
      <c r="B2347" s="74" t="s">
        <v>132</v>
      </c>
      <c r="C2347" s="74" t="s">
        <v>133</v>
      </c>
      <c r="D2347" s="74" t="s">
        <v>79</v>
      </c>
      <c r="E2347" s="74" t="s">
        <v>80</v>
      </c>
      <c r="F2347" s="86" t="s">
        <v>120</v>
      </c>
      <c r="G2347" s="74" t="s">
        <v>117</v>
      </c>
      <c r="H2347" s="87">
        <v>44834</v>
      </c>
      <c r="I2347" s="98">
        <v>22</v>
      </c>
      <c r="J2347" s="98">
        <v>22</v>
      </c>
      <c r="K2347" s="89">
        <f t="shared" si="101"/>
        <v>1</v>
      </c>
      <c r="L2347" s="89">
        <v>7556.97</v>
      </c>
      <c r="M2347" s="89">
        <v>3030.43</v>
      </c>
      <c r="N2347" s="89">
        <v>762.1</v>
      </c>
      <c r="O2347" s="89">
        <f t="shared" si="99"/>
        <v>11349.5</v>
      </c>
    </row>
    <row r="2348" spans="1:15">
      <c r="A2348" s="74" t="s">
        <v>309</v>
      </c>
      <c r="B2348" s="74" t="s">
        <v>134</v>
      </c>
      <c r="C2348" s="74" t="s">
        <v>135</v>
      </c>
      <c r="D2348" s="74" t="s">
        <v>79</v>
      </c>
      <c r="E2348" s="74" t="s">
        <v>80</v>
      </c>
      <c r="F2348" s="86" t="s">
        <v>123</v>
      </c>
      <c r="G2348" s="74" t="s">
        <v>117</v>
      </c>
      <c r="H2348" s="87">
        <v>44834</v>
      </c>
      <c r="I2348" s="98">
        <v>22</v>
      </c>
      <c r="J2348" s="98">
        <v>22</v>
      </c>
      <c r="K2348" s="89">
        <f t="shared" si="101"/>
        <v>1</v>
      </c>
      <c r="L2348" s="89">
        <v>6531.5</v>
      </c>
      <c r="M2348" s="89">
        <v>3014.18</v>
      </c>
      <c r="N2348" s="89">
        <v>646.64</v>
      </c>
      <c r="O2348" s="89">
        <f t="shared" si="99"/>
        <v>10192.32</v>
      </c>
    </row>
    <row r="2349" spans="1:15">
      <c r="A2349" s="74" t="s">
        <v>309</v>
      </c>
      <c r="B2349" s="74" t="s">
        <v>136</v>
      </c>
      <c r="C2349" s="74" t="s">
        <v>137</v>
      </c>
      <c r="D2349" s="74" t="s">
        <v>79</v>
      </c>
      <c r="E2349" s="74" t="s">
        <v>80</v>
      </c>
      <c r="F2349" s="86" t="s">
        <v>116</v>
      </c>
      <c r="G2349" s="74" t="s">
        <v>138</v>
      </c>
      <c r="H2349" s="87">
        <v>44834</v>
      </c>
      <c r="I2349" s="98">
        <v>22</v>
      </c>
      <c r="J2349" s="98">
        <v>22</v>
      </c>
      <c r="K2349" s="89">
        <f t="shared" si="101"/>
        <v>1</v>
      </c>
      <c r="L2349" s="89">
        <v>8050.4</v>
      </c>
      <c r="M2349" s="89">
        <v>3081.43</v>
      </c>
      <c r="N2349" s="89">
        <v>870.61</v>
      </c>
      <c r="O2349" s="89">
        <f t="shared" si="99"/>
        <v>12002.44</v>
      </c>
    </row>
    <row r="2350" spans="1:15">
      <c r="A2350" s="74" t="s">
        <v>309</v>
      </c>
      <c r="B2350" s="74" t="s">
        <v>139</v>
      </c>
      <c r="C2350" s="74" t="s">
        <v>140</v>
      </c>
      <c r="D2350" s="74" t="s">
        <v>79</v>
      </c>
      <c r="E2350" s="74" t="s">
        <v>80</v>
      </c>
      <c r="F2350" s="86" t="s">
        <v>120</v>
      </c>
      <c r="G2350" s="74" t="s">
        <v>138</v>
      </c>
      <c r="H2350" s="87">
        <v>44834</v>
      </c>
      <c r="I2350" s="98">
        <v>22</v>
      </c>
      <c r="J2350" s="98">
        <v>22</v>
      </c>
      <c r="K2350" s="89">
        <f t="shared" si="101"/>
        <v>1</v>
      </c>
      <c r="L2350" s="89">
        <v>7125.49</v>
      </c>
      <c r="M2350" s="89">
        <v>3069.36</v>
      </c>
      <c r="N2350" s="89">
        <v>740.33</v>
      </c>
      <c r="O2350" s="89">
        <f t="shared" si="99"/>
        <v>10935.18</v>
      </c>
    </row>
    <row r="2351" spans="1:15">
      <c r="A2351" s="74" t="s">
        <v>309</v>
      </c>
      <c r="B2351" s="74" t="s">
        <v>141</v>
      </c>
      <c r="C2351" s="74" t="s">
        <v>142</v>
      </c>
      <c r="D2351" s="74" t="s">
        <v>79</v>
      </c>
      <c r="E2351" s="74" t="s">
        <v>80</v>
      </c>
      <c r="F2351" s="86" t="s">
        <v>123</v>
      </c>
      <c r="G2351" s="74" t="s">
        <v>138</v>
      </c>
      <c r="H2351" s="87">
        <v>44834</v>
      </c>
      <c r="I2351" s="98">
        <v>22</v>
      </c>
      <c r="J2351" s="98">
        <v>22</v>
      </c>
      <c r="K2351" s="89">
        <f t="shared" si="101"/>
        <v>1</v>
      </c>
      <c r="L2351" s="89">
        <v>6002.14</v>
      </c>
      <c r="M2351" s="89">
        <v>3208.81</v>
      </c>
      <c r="N2351" s="89">
        <v>629.71</v>
      </c>
      <c r="O2351" s="89">
        <f t="shared" si="99"/>
        <v>9840.66</v>
      </c>
    </row>
    <row r="2352" spans="1:15">
      <c r="A2352" s="74" t="s">
        <v>309</v>
      </c>
      <c r="B2352" s="74" t="s">
        <v>143</v>
      </c>
      <c r="C2352" s="74" t="s">
        <v>144</v>
      </c>
      <c r="D2352" s="74" t="s">
        <v>79</v>
      </c>
      <c r="E2352" s="74" t="s">
        <v>80</v>
      </c>
      <c r="F2352" s="86" t="s">
        <v>145</v>
      </c>
      <c r="G2352" s="74" t="s">
        <v>146</v>
      </c>
      <c r="H2352" s="87">
        <v>44834</v>
      </c>
      <c r="I2352" s="98">
        <v>22</v>
      </c>
      <c r="J2352" s="98">
        <v>22</v>
      </c>
      <c r="K2352" s="89">
        <f t="shared" si="101"/>
        <v>1</v>
      </c>
      <c r="L2352" s="89">
        <v>19205.51</v>
      </c>
      <c r="M2352" s="89">
        <v>3141.4</v>
      </c>
      <c r="N2352" s="89">
        <v>1968.39</v>
      </c>
      <c r="O2352" s="89">
        <f t="shared" si="99"/>
        <v>24315.3</v>
      </c>
    </row>
    <row r="2353" spans="1:15">
      <c r="A2353" s="74" t="s">
        <v>309</v>
      </c>
      <c r="B2353" s="74" t="s">
        <v>147</v>
      </c>
      <c r="C2353" s="74" t="s">
        <v>148</v>
      </c>
      <c r="D2353" s="74" t="s">
        <v>79</v>
      </c>
      <c r="E2353" s="74" t="s">
        <v>80</v>
      </c>
      <c r="F2353" s="86" t="s">
        <v>149</v>
      </c>
      <c r="G2353" s="74" t="s">
        <v>150</v>
      </c>
      <c r="H2353" s="87">
        <v>44834</v>
      </c>
      <c r="I2353" s="98">
        <v>22</v>
      </c>
      <c r="J2353" s="98">
        <v>22</v>
      </c>
      <c r="K2353" s="89">
        <f t="shared" si="101"/>
        <v>1</v>
      </c>
      <c r="L2353" s="89">
        <v>17056.45</v>
      </c>
      <c r="M2353" s="89">
        <v>3008.91</v>
      </c>
      <c r="N2353" s="89">
        <v>1754.11</v>
      </c>
      <c r="O2353" s="89">
        <f t="shared" si="99"/>
        <v>21819.47</v>
      </c>
    </row>
    <row r="2354" spans="1:15">
      <c r="A2354" s="74" t="s">
        <v>309</v>
      </c>
      <c r="B2354" s="74" t="s">
        <v>151</v>
      </c>
      <c r="C2354" s="74" t="s">
        <v>152</v>
      </c>
      <c r="D2354" s="74" t="s">
        <v>79</v>
      </c>
      <c r="E2354" s="74" t="s">
        <v>81</v>
      </c>
      <c r="F2354" s="86" t="s">
        <v>123</v>
      </c>
      <c r="G2354" s="74" t="s">
        <v>153</v>
      </c>
      <c r="H2354" s="87">
        <v>44834</v>
      </c>
      <c r="I2354" s="98">
        <v>22</v>
      </c>
      <c r="J2354" s="98">
        <v>22</v>
      </c>
      <c r="K2354" s="89">
        <f t="shared" si="101"/>
        <v>1</v>
      </c>
      <c r="L2354" s="89">
        <v>6107.84</v>
      </c>
      <c r="M2354" s="89">
        <v>3118.45</v>
      </c>
      <c r="N2354" s="89">
        <v>607.77</v>
      </c>
      <c r="O2354" s="89">
        <f t="shared" si="99"/>
        <v>9834.06</v>
      </c>
    </row>
    <row r="2355" spans="1:15">
      <c r="A2355" s="74" t="s">
        <v>309</v>
      </c>
      <c r="B2355" s="74" t="s">
        <v>154</v>
      </c>
      <c r="C2355" s="74" t="s">
        <v>155</v>
      </c>
      <c r="D2355" s="74" t="s">
        <v>79</v>
      </c>
      <c r="E2355" s="74" t="s">
        <v>81</v>
      </c>
      <c r="F2355" s="86" t="s">
        <v>156</v>
      </c>
      <c r="G2355" s="74" t="s">
        <v>157</v>
      </c>
      <c r="H2355" s="87">
        <v>44834</v>
      </c>
      <c r="I2355" s="98">
        <v>22</v>
      </c>
      <c r="J2355" s="98">
        <v>22</v>
      </c>
      <c r="K2355" s="89">
        <f t="shared" si="101"/>
        <v>1</v>
      </c>
      <c r="L2355" s="89">
        <v>5316.42</v>
      </c>
      <c r="M2355" s="89">
        <v>3016</v>
      </c>
      <c r="N2355" s="89">
        <v>528.03</v>
      </c>
      <c r="O2355" s="89">
        <f t="shared" si="99"/>
        <v>8860.45</v>
      </c>
    </row>
    <row r="2356" spans="1:15">
      <c r="A2356" s="74" t="s">
        <v>309</v>
      </c>
      <c r="B2356" s="74" t="s">
        <v>158</v>
      </c>
      <c r="C2356" s="74" t="s">
        <v>159</v>
      </c>
      <c r="D2356" s="74" t="s">
        <v>79</v>
      </c>
      <c r="E2356" s="74" t="s">
        <v>81</v>
      </c>
      <c r="F2356" s="86" t="s">
        <v>160</v>
      </c>
      <c r="G2356" s="74" t="s">
        <v>161</v>
      </c>
      <c r="H2356" s="87">
        <v>44834</v>
      </c>
      <c r="I2356" s="98">
        <v>22</v>
      </c>
      <c r="J2356" s="98">
        <v>22</v>
      </c>
      <c r="K2356" s="89">
        <f t="shared" si="101"/>
        <v>1</v>
      </c>
      <c r="L2356" s="89">
        <v>4372.94</v>
      </c>
      <c r="M2356" s="89">
        <v>3233.6</v>
      </c>
      <c r="N2356" s="89">
        <v>436.03</v>
      </c>
      <c r="O2356" s="89">
        <f t="shared" si="99"/>
        <v>8042.57</v>
      </c>
    </row>
    <row r="2357" spans="1:15">
      <c r="A2357" s="74" t="s">
        <v>309</v>
      </c>
      <c r="B2357" s="74" t="s">
        <v>162</v>
      </c>
      <c r="C2357" s="74" t="s">
        <v>163</v>
      </c>
      <c r="D2357" s="74" t="s">
        <v>79</v>
      </c>
      <c r="E2357" s="74" t="s">
        <v>81</v>
      </c>
      <c r="F2357" s="86" t="s">
        <v>123</v>
      </c>
      <c r="G2357" s="74" t="s">
        <v>153</v>
      </c>
      <c r="H2357" s="87">
        <v>44834</v>
      </c>
      <c r="I2357" s="98">
        <v>22</v>
      </c>
      <c r="J2357" s="98">
        <v>22</v>
      </c>
      <c r="K2357" s="89">
        <f t="shared" si="101"/>
        <v>1</v>
      </c>
      <c r="L2357" s="89">
        <v>6537.79</v>
      </c>
      <c r="M2357" s="89">
        <v>3004.27</v>
      </c>
      <c r="N2357" s="89">
        <v>628.16</v>
      </c>
      <c r="O2357" s="89">
        <f t="shared" si="99"/>
        <v>10170.22</v>
      </c>
    </row>
    <row r="2358" spans="1:15">
      <c r="A2358" s="74" t="s">
        <v>309</v>
      </c>
      <c r="B2358" s="74" t="s">
        <v>164</v>
      </c>
      <c r="C2358" s="74" t="s">
        <v>165</v>
      </c>
      <c r="D2358" s="74" t="s">
        <v>79</v>
      </c>
      <c r="E2358" s="74" t="s">
        <v>81</v>
      </c>
      <c r="F2358" s="86" t="s">
        <v>156</v>
      </c>
      <c r="G2358" s="74" t="s">
        <v>157</v>
      </c>
      <c r="H2358" s="87">
        <v>44834</v>
      </c>
      <c r="I2358" s="98">
        <v>22</v>
      </c>
      <c r="J2358" s="98">
        <v>22</v>
      </c>
      <c r="K2358" s="89">
        <f t="shared" si="101"/>
        <v>1</v>
      </c>
      <c r="L2358" s="89">
        <v>5298.01</v>
      </c>
      <c r="M2358" s="89">
        <v>3160.69</v>
      </c>
      <c r="N2358" s="89">
        <v>549.82</v>
      </c>
      <c r="O2358" s="89">
        <f t="shared" si="99"/>
        <v>9008.52</v>
      </c>
    </row>
    <row r="2359" spans="1:15">
      <c r="A2359" s="74" t="s">
        <v>309</v>
      </c>
      <c r="B2359" s="74" t="s">
        <v>166</v>
      </c>
      <c r="C2359" s="74" t="s">
        <v>167</v>
      </c>
      <c r="D2359" s="74" t="s">
        <v>79</v>
      </c>
      <c r="E2359" s="74" t="s">
        <v>81</v>
      </c>
      <c r="F2359" s="86" t="s">
        <v>160</v>
      </c>
      <c r="G2359" s="74" t="s">
        <v>161</v>
      </c>
      <c r="H2359" s="87">
        <v>44834</v>
      </c>
      <c r="I2359" s="98">
        <v>22</v>
      </c>
      <c r="J2359" s="98">
        <v>22</v>
      </c>
      <c r="K2359" s="89">
        <f t="shared" si="101"/>
        <v>1</v>
      </c>
      <c r="L2359" s="89">
        <v>4358.5</v>
      </c>
      <c r="M2359" s="89">
        <v>3187.95</v>
      </c>
      <c r="N2359" s="89">
        <v>423.16</v>
      </c>
      <c r="O2359" s="89">
        <f t="shared" si="99"/>
        <v>7969.61</v>
      </c>
    </row>
    <row r="2360" spans="1:15">
      <c r="A2360" s="74" t="s">
        <v>309</v>
      </c>
      <c r="B2360" s="74" t="s">
        <v>168</v>
      </c>
      <c r="C2360" s="74" t="s">
        <v>169</v>
      </c>
      <c r="D2360" s="74" t="s">
        <v>79</v>
      </c>
      <c r="E2360" s="74" t="s">
        <v>81</v>
      </c>
      <c r="F2360" s="86" t="s">
        <v>123</v>
      </c>
      <c r="G2360" s="74" t="s">
        <v>153</v>
      </c>
      <c r="H2360" s="87">
        <v>44834</v>
      </c>
      <c r="I2360" s="98">
        <v>22</v>
      </c>
      <c r="J2360" s="98">
        <v>22</v>
      </c>
      <c r="K2360" s="89">
        <f t="shared" si="101"/>
        <v>1</v>
      </c>
      <c r="L2360" s="89">
        <v>6372.52</v>
      </c>
      <c r="M2360" s="89">
        <v>3179.52</v>
      </c>
      <c r="N2360" s="89">
        <v>638.52</v>
      </c>
      <c r="O2360" s="89">
        <f t="shared" si="99"/>
        <v>10190.56</v>
      </c>
    </row>
    <row r="2361" spans="1:15">
      <c r="A2361" s="74" t="s">
        <v>309</v>
      </c>
      <c r="B2361" s="74" t="s">
        <v>170</v>
      </c>
      <c r="C2361" s="74" t="s">
        <v>171</v>
      </c>
      <c r="D2361" s="74" t="s">
        <v>79</v>
      </c>
      <c r="E2361" s="74" t="s">
        <v>81</v>
      </c>
      <c r="F2361" s="86" t="s">
        <v>156</v>
      </c>
      <c r="G2361" s="74" t="s">
        <v>157</v>
      </c>
      <c r="H2361" s="87">
        <v>44834</v>
      </c>
      <c r="I2361" s="98">
        <v>22</v>
      </c>
      <c r="J2361" s="98">
        <v>22</v>
      </c>
      <c r="K2361" s="89">
        <f t="shared" si="101"/>
        <v>1</v>
      </c>
      <c r="L2361" s="89">
        <v>5322.21</v>
      </c>
      <c r="M2361" s="89">
        <v>3039.39</v>
      </c>
      <c r="N2361" s="89">
        <v>535.27</v>
      </c>
      <c r="O2361" s="89">
        <f t="shared" si="99"/>
        <v>8896.87</v>
      </c>
    </row>
    <row r="2362" spans="1:15">
      <c r="A2362" s="74" t="s">
        <v>309</v>
      </c>
      <c r="B2362" s="74" t="s">
        <v>172</v>
      </c>
      <c r="C2362" s="74" t="s">
        <v>173</v>
      </c>
      <c r="D2362" s="74" t="s">
        <v>79</v>
      </c>
      <c r="E2362" s="74" t="s">
        <v>81</v>
      </c>
      <c r="F2362" s="86" t="s">
        <v>160</v>
      </c>
      <c r="G2362" s="74" t="s">
        <v>161</v>
      </c>
      <c r="H2362" s="87">
        <v>44834</v>
      </c>
      <c r="I2362" s="98">
        <v>22</v>
      </c>
      <c r="J2362" s="98">
        <v>22</v>
      </c>
      <c r="K2362" s="89">
        <f t="shared" si="101"/>
        <v>1</v>
      </c>
      <c r="L2362" s="89">
        <v>4292.38</v>
      </c>
      <c r="M2362" s="89">
        <v>3229.08</v>
      </c>
      <c r="N2362" s="89">
        <v>401.95</v>
      </c>
      <c r="O2362" s="89">
        <f t="shared" si="99"/>
        <v>7923.41</v>
      </c>
    </row>
    <row r="2363" spans="1:15">
      <c r="A2363" s="74" t="s">
        <v>309</v>
      </c>
      <c r="B2363" s="74" t="s">
        <v>174</v>
      </c>
      <c r="C2363" s="74" t="s">
        <v>175</v>
      </c>
      <c r="D2363" s="74" t="s">
        <v>79</v>
      </c>
      <c r="E2363" s="74" t="s">
        <v>81</v>
      </c>
      <c r="F2363" s="86" t="s">
        <v>176</v>
      </c>
      <c r="G2363" s="74" t="s">
        <v>177</v>
      </c>
      <c r="H2363" s="87">
        <v>44834</v>
      </c>
      <c r="I2363" s="98">
        <v>22</v>
      </c>
      <c r="J2363" s="98">
        <v>22</v>
      </c>
      <c r="K2363" s="89">
        <f t="shared" si="101"/>
        <v>1</v>
      </c>
      <c r="L2363" s="89">
        <v>3180.2</v>
      </c>
      <c r="M2363" s="89">
        <v>3229.43</v>
      </c>
      <c r="N2363" s="89">
        <v>304.3</v>
      </c>
      <c r="O2363" s="89">
        <f t="shared" si="99"/>
        <v>6713.93</v>
      </c>
    </row>
    <row r="2364" spans="1:15">
      <c r="A2364" s="74" t="s">
        <v>309</v>
      </c>
      <c r="B2364" s="74" t="s">
        <v>178</v>
      </c>
      <c r="C2364" s="74" t="s">
        <v>179</v>
      </c>
      <c r="D2364" s="74" t="s">
        <v>79</v>
      </c>
      <c r="E2364" s="74" t="s">
        <v>81</v>
      </c>
      <c r="F2364" s="86" t="s">
        <v>180</v>
      </c>
      <c r="G2364" s="74" t="s">
        <v>177</v>
      </c>
      <c r="H2364" s="87">
        <v>44834</v>
      </c>
      <c r="I2364" s="98">
        <v>22</v>
      </c>
      <c r="J2364" s="98">
        <v>22</v>
      </c>
      <c r="K2364" s="89">
        <f t="shared" si="101"/>
        <v>1</v>
      </c>
      <c r="L2364" s="89">
        <v>2046.65</v>
      </c>
      <c r="M2364" s="89">
        <v>3037.36</v>
      </c>
      <c r="N2364" s="89">
        <v>217.67</v>
      </c>
      <c r="O2364" s="89">
        <f t="shared" si="99"/>
        <v>5301.68</v>
      </c>
    </row>
    <row r="2365" spans="1:15">
      <c r="A2365" s="74" t="s">
        <v>309</v>
      </c>
      <c r="B2365" s="74" t="s">
        <v>181</v>
      </c>
      <c r="C2365" s="74" t="s">
        <v>182</v>
      </c>
      <c r="D2365" s="74" t="s">
        <v>79</v>
      </c>
      <c r="E2365" s="74" t="s">
        <v>81</v>
      </c>
      <c r="F2365" s="86" t="s">
        <v>183</v>
      </c>
      <c r="G2365" s="74" t="s">
        <v>177</v>
      </c>
      <c r="H2365" s="87">
        <v>44834</v>
      </c>
      <c r="I2365" s="98">
        <v>22</v>
      </c>
      <c r="J2365" s="98">
        <v>22</v>
      </c>
      <c r="K2365" s="89">
        <f t="shared" si="101"/>
        <v>1</v>
      </c>
      <c r="L2365" s="89">
        <v>1049.38</v>
      </c>
      <c r="M2365" s="89">
        <v>3182.38</v>
      </c>
      <c r="N2365" s="89">
        <v>100.31</v>
      </c>
      <c r="O2365" s="89">
        <f t="shared" si="99"/>
        <v>4332.07</v>
      </c>
    </row>
    <row r="2366" spans="1:15">
      <c r="A2366" s="74" t="s">
        <v>309</v>
      </c>
      <c r="B2366" s="74" t="s">
        <v>184</v>
      </c>
      <c r="C2366" s="74" t="s">
        <v>185</v>
      </c>
      <c r="D2366" s="74" t="s">
        <v>79</v>
      </c>
      <c r="E2366" s="74" t="s">
        <v>81</v>
      </c>
      <c r="F2366" s="86" t="s">
        <v>176</v>
      </c>
      <c r="G2366" s="74" t="s">
        <v>177</v>
      </c>
      <c r="H2366" s="87">
        <v>44834</v>
      </c>
      <c r="I2366" s="98">
        <v>22</v>
      </c>
      <c r="J2366" s="98">
        <v>22</v>
      </c>
      <c r="K2366" s="89">
        <f t="shared" si="101"/>
        <v>1</v>
      </c>
      <c r="L2366" s="89">
        <v>3147.1</v>
      </c>
      <c r="M2366" s="89">
        <v>3139.9</v>
      </c>
      <c r="N2366" s="89">
        <v>305.9</v>
      </c>
      <c r="O2366" s="89">
        <f t="shared" si="99"/>
        <v>6592.9</v>
      </c>
    </row>
    <row r="2367" spans="1:15">
      <c r="A2367" s="74" t="s">
        <v>309</v>
      </c>
      <c r="B2367" s="74" t="s">
        <v>186</v>
      </c>
      <c r="C2367" s="74" t="s">
        <v>187</v>
      </c>
      <c r="D2367" s="74" t="s">
        <v>79</v>
      </c>
      <c r="E2367" s="74" t="s">
        <v>81</v>
      </c>
      <c r="F2367" s="86" t="s">
        <v>180</v>
      </c>
      <c r="G2367" s="74" t="s">
        <v>177</v>
      </c>
      <c r="H2367" s="87">
        <v>44834</v>
      </c>
      <c r="I2367" s="98">
        <v>22</v>
      </c>
      <c r="J2367" s="98">
        <v>22</v>
      </c>
      <c r="K2367" s="89">
        <f t="shared" si="101"/>
        <v>1</v>
      </c>
      <c r="L2367" s="89">
        <v>2082.68</v>
      </c>
      <c r="M2367" s="89">
        <v>3059.44</v>
      </c>
      <c r="N2367" s="89">
        <v>200.04</v>
      </c>
      <c r="O2367" s="89">
        <f t="shared" si="99"/>
        <v>5342.16</v>
      </c>
    </row>
    <row r="2368" spans="1:15">
      <c r="A2368" s="74" t="s">
        <v>309</v>
      </c>
      <c r="B2368" s="74" t="s">
        <v>188</v>
      </c>
      <c r="C2368" s="74" t="s">
        <v>189</v>
      </c>
      <c r="D2368" s="74" t="s">
        <v>79</v>
      </c>
      <c r="E2368" s="74" t="s">
        <v>81</v>
      </c>
      <c r="F2368" s="86" t="s">
        <v>183</v>
      </c>
      <c r="G2368" s="74" t="s">
        <v>177</v>
      </c>
      <c r="H2368" s="87">
        <v>44834</v>
      </c>
      <c r="I2368" s="98">
        <v>22</v>
      </c>
      <c r="J2368" s="98">
        <v>22</v>
      </c>
      <c r="K2368" s="89">
        <f t="shared" si="101"/>
        <v>1</v>
      </c>
      <c r="L2368" s="89">
        <v>1060.27</v>
      </c>
      <c r="M2368" s="89">
        <v>3191.44</v>
      </c>
      <c r="N2368" s="89">
        <v>102.97</v>
      </c>
      <c r="O2368" s="89">
        <f t="shared" si="99"/>
        <v>4354.68</v>
      </c>
    </row>
    <row r="2369" spans="1:15">
      <c r="A2369" s="74" t="s">
        <v>309</v>
      </c>
      <c r="B2369" s="74" t="s">
        <v>190</v>
      </c>
      <c r="C2369" s="74" t="s">
        <v>191</v>
      </c>
      <c r="D2369" s="74" t="s">
        <v>79</v>
      </c>
      <c r="E2369" s="74" t="s">
        <v>81</v>
      </c>
      <c r="F2369" s="86" t="s">
        <v>176</v>
      </c>
      <c r="G2369" s="74" t="s">
        <v>177</v>
      </c>
      <c r="H2369" s="87">
        <v>44834</v>
      </c>
      <c r="I2369" s="98">
        <v>22</v>
      </c>
      <c r="J2369" s="98">
        <v>22</v>
      </c>
      <c r="K2369" s="89">
        <f t="shared" si="101"/>
        <v>1</v>
      </c>
      <c r="L2369" s="89">
        <v>3146.01</v>
      </c>
      <c r="M2369" s="89">
        <v>3021.3</v>
      </c>
      <c r="N2369" s="89">
        <v>325.1</v>
      </c>
      <c r="O2369" s="89">
        <f t="shared" si="99"/>
        <v>6492.41</v>
      </c>
    </row>
    <row r="2370" spans="1:15">
      <c r="A2370" s="74" t="s">
        <v>309</v>
      </c>
      <c r="B2370" s="74" t="s">
        <v>192</v>
      </c>
      <c r="C2370" s="74" t="s">
        <v>193</v>
      </c>
      <c r="D2370" s="74" t="s">
        <v>79</v>
      </c>
      <c r="E2370" s="74" t="s">
        <v>81</v>
      </c>
      <c r="F2370" s="86" t="s">
        <v>180</v>
      </c>
      <c r="G2370" s="74" t="s">
        <v>177</v>
      </c>
      <c r="H2370" s="87">
        <v>44834</v>
      </c>
      <c r="I2370" s="98">
        <v>22</v>
      </c>
      <c r="J2370" s="98">
        <v>22</v>
      </c>
      <c r="K2370" s="89">
        <f t="shared" si="101"/>
        <v>1</v>
      </c>
      <c r="L2370" s="89">
        <v>2066.73</v>
      </c>
      <c r="M2370" s="89">
        <v>3270.76</v>
      </c>
      <c r="N2370" s="89">
        <v>211.3</v>
      </c>
      <c r="O2370" s="89">
        <f t="shared" si="99"/>
        <v>5548.79</v>
      </c>
    </row>
    <row r="2371" spans="1:15">
      <c r="A2371" s="74" t="s">
        <v>309</v>
      </c>
      <c r="B2371" s="74" t="s">
        <v>194</v>
      </c>
      <c r="C2371" s="74" t="s">
        <v>195</v>
      </c>
      <c r="D2371" s="74" t="s">
        <v>79</v>
      </c>
      <c r="E2371" s="74" t="s">
        <v>81</v>
      </c>
      <c r="F2371" s="86" t="s">
        <v>183</v>
      </c>
      <c r="G2371" s="74" t="s">
        <v>177</v>
      </c>
      <c r="H2371" s="87">
        <v>44834</v>
      </c>
      <c r="I2371" s="98">
        <v>22</v>
      </c>
      <c r="J2371" s="98">
        <v>22</v>
      </c>
      <c r="K2371" s="89">
        <f t="shared" si="101"/>
        <v>1</v>
      </c>
      <c r="L2371" s="89">
        <v>1034.8</v>
      </c>
      <c r="M2371" s="89">
        <v>3245.42</v>
      </c>
      <c r="N2371" s="89">
        <v>106.9</v>
      </c>
      <c r="O2371" s="89">
        <f t="shared" si="99"/>
        <v>4387.12</v>
      </c>
    </row>
    <row r="2372" spans="1:15">
      <c r="A2372" s="74" t="s">
        <v>309</v>
      </c>
      <c r="B2372" s="74" t="s">
        <v>196</v>
      </c>
      <c r="C2372" s="74" t="s">
        <v>197</v>
      </c>
      <c r="D2372" s="74" t="s">
        <v>79</v>
      </c>
      <c r="E2372" s="74" t="s">
        <v>81</v>
      </c>
      <c r="F2372" s="86" t="s">
        <v>176</v>
      </c>
      <c r="G2372" s="74" t="s">
        <v>177</v>
      </c>
      <c r="H2372" s="87">
        <v>44834</v>
      </c>
      <c r="I2372" s="98">
        <v>22</v>
      </c>
      <c r="J2372" s="98">
        <v>22</v>
      </c>
      <c r="K2372" s="89">
        <f t="shared" si="101"/>
        <v>1</v>
      </c>
      <c r="L2372" s="89">
        <v>3056.58</v>
      </c>
      <c r="M2372" s="89">
        <v>3064.39</v>
      </c>
      <c r="N2372" s="89">
        <v>321.56</v>
      </c>
      <c r="O2372" s="89">
        <f t="shared" si="99"/>
        <v>6442.53</v>
      </c>
    </row>
    <row r="2373" spans="1:15">
      <c r="A2373" s="74" t="s">
        <v>309</v>
      </c>
      <c r="B2373" s="74" t="s">
        <v>198</v>
      </c>
      <c r="C2373" s="74" t="s">
        <v>199</v>
      </c>
      <c r="D2373" s="74" t="s">
        <v>79</v>
      </c>
      <c r="E2373" s="74" t="s">
        <v>81</v>
      </c>
      <c r="F2373" s="86" t="s">
        <v>180</v>
      </c>
      <c r="G2373" s="74" t="s">
        <v>177</v>
      </c>
      <c r="H2373" s="87">
        <v>44834</v>
      </c>
      <c r="I2373" s="98">
        <v>22</v>
      </c>
      <c r="J2373" s="98">
        <v>22</v>
      </c>
      <c r="K2373" s="89">
        <f t="shared" si="101"/>
        <v>1</v>
      </c>
      <c r="L2373" s="89">
        <v>2001.25</v>
      </c>
      <c r="M2373" s="89">
        <v>3177.7</v>
      </c>
      <c r="N2373" s="89">
        <v>212.59</v>
      </c>
      <c r="O2373" s="89">
        <f t="shared" ref="O2373:O2436" si="102">SUM(L2373:N2373)</f>
        <v>5391.54</v>
      </c>
    </row>
    <row r="2374" spans="1:15">
      <c r="A2374" s="74" t="s">
        <v>309</v>
      </c>
      <c r="B2374" s="74" t="s">
        <v>200</v>
      </c>
      <c r="C2374" s="74" t="s">
        <v>201</v>
      </c>
      <c r="D2374" s="74" t="s">
        <v>79</v>
      </c>
      <c r="E2374" s="74" t="s">
        <v>81</v>
      </c>
      <c r="F2374" s="86" t="s">
        <v>183</v>
      </c>
      <c r="G2374" s="74" t="s">
        <v>177</v>
      </c>
      <c r="H2374" s="87">
        <v>44834</v>
      </c>
      <c r="I2374" s="98">
        <v>22</v>
      </c>
      <c r="J2374" s="98">
        <v>22</v>
      </c>
      <c r="K2374" s="89">
        <f t="shared" si="101"/>
        <v>1</v>
      </c>
      <c r="L2374" s="89">
        <v>1044.25</v>
      </c>
      <c r="M2374" s="89">
        <v>3232.11</v>
      </c>
      <c r="N2374" s="89">
        <v>106.1</v>
      </c>
      <c r="O2374" s="89">
        <f t="shared" si="102"/>
        <v>4382.46</v>
      </c>
    </row>
    <row r="2375" spans="1:15">
      <c r="A2375" s="74" t="s">
        <v>309</v>
      </c>
      <c r="B2375" s="74" t="s">
        <v>202</v>
      </c>
      <c r="C2375" s="74" t="s">
        <v>203</v>
      </c>
      <c r="D2375" s="74" t="s">
        <v>79</v>
      </c>
      <c r="E2375" s="74" t="s">
        <v>81</v>
      </c>
      <c r="F2375" s="86" t="s">
        <v>204</v>
      </c>
      <c r="G2375" s="74" t="s">
        <v>205</v>
      </c>
      <c r="H2375" s="87">
        <v>44834</v>
      </c>
      <c r="I2375" s="98">
        <v>22</v>
      </c>
      <c r="J2375" s="98">
        <v>22</v>
      </c>
      <c r="K2375" s="89">
        <f t="shared" si="101"/>
        <v>1</v>
      </c>
      <c r="L2375" s="89">
        <v>18180.11</v>
      </c>
      <c r="M2375" s="89">
        <v>3093.56</v>
      </c>
      <c r="N2375" s="89">
        <v>1977.79</v>
      </c>
      <c r="O2375" s="89">
        <f t="shared" si="102"/>
        <v>23251.46</v>
      </c>
    </row>
    <row r="2376" spans="1:15">
      <c r="A2376" s="74" t="s">
        <v>309</v>
      </c>
      <c r="B2376" s="74" t="s">
        <v>206</v>
      </c>
      <c r="C2376" s="74" t="s">
        <v>207</v>
      </c>
      <c r="D2376" s="88" t="s">
        <v>82</v>
      </c>
      <c r="E2376" s="88" t="s">
        <v>84</v>
      </c>
      <c r="F2376" s="86" t="s">
        <v>208</v>
      </c>
      <c r="G2376" s="74" t="s">
        <v>209</v>
      </c>
      <c r="H2376" s="87">
        <v>44834</v>
      </c>
      <c r="I2376" s="98">
        <v>22</v>
      </c>
      <c r="J2376" s="98">
        <v>22</v>
      </c>
      <c r="K2376" s="89">
        <f t="shared" si="101"/>
        <v>1</v>
      </c>
      <c r="L2376" s="89">
        <v>9432.65</v>
      </c>
      <c r="M2376" s="89">
        <v>3274.95</v>
      </c>
      <c r="N2376" s="89">
        <v>925.76</v>
      </c>
      <c r="O2376" s="89">
        <f t="shared" si="102"/>
        <v>13633.36</v>
      </c>
    </row>
    <row r="2377" spans="1:15">
      <c r="A2377" s="74" t="s">
        <v>309</v>
      </c>
      <c r="B2377" s="74" t="s">
        <v>210</v>
      </c>
      <c r="C2377" s="74" t="s">
        <v>211</v>
      </c>
      <c r="D2377" s="88" t="s">
        <v>82</v>
      </c>
      <c r="E2377" s="88" t="s">
        <v>84</v>
      </c>
      <c r="F2377" s="86" t="s">
        <v>116</v>
      </c>
      <c r="G2377" s="74" t="s">
        <v>209</v>
      </c>
      <c r="H2377" s="87">
        <v>44834</v>
      </c>
      <c r="I2377" s="98">
        <v>22</v>
      </c>
      <c r="J2377" s="98">
        <v>22</v>
      </c>
      <c r="K2377" s="89">
        <f t="shared" si="101"/>
        <v>1</v>
      </c>
      <c r="L2377" s="89">
        <v>8781.35</v>
      </c>
      <c r="M2377" s="89">
        <v>3050.03</v>
      </c>
      <c r="N2377" s="89">
        <v>873.21</v>
      </c>
      <c r="O2377" s="89">
        <f t="shared" si="102"/>
        <v>12704.59</v>
      </c>
    </row>
    <row r="2378" spans="1:15">
      <c r="A2378" s="74" t="s">
        <v>309</v>
      </c>
      <c r="B2378" s="74" t="s">
        <v>212</v>
      </c>
      <c r="C2378" s="74" t="s">
        <v>213</v>
      </c>
      <c r="D2378" s="88" t="s">
        <v>82</v>
      </c>
      <c r="E2378" s="88" t="s">
        <v>84</v>
      </c>
      <c r="F2378" s="86" t="s">
        <v>208</v>
      </c>
      <c r="G2378" s="74" t="s">
        <v>209</v>
      </c>
      <c r="H2378" s="87">
        <v>44834</v>
      </c>
      <c r="I2378" s="98">
        <v>22</v>
      </c>
      <c r="J2378" s="98">
        <v>22</v>
      </c>
      <c r="K2378" s="89">
        <f t="shared" si="101"/>
        <v>1</v>
      </c>
      <c r="L2378" s="89">
        <v>9231.75</v>
      </c>
      <c r="M2378" s="89">
        <v>3289.34</v>
      </c>
      <c r="N2378" s="89">
        <v>923.97</v>
      </c>
      <c r="O2378" s="89">
        <f t="shared" si="102"/>
        <v>13445.06</v>
      </c>
    </row>
    <row r="2379" spans="1:15">
      <c r="A2379" s="74" t="s">
        <v>309</v>
      </c>
      <c r="B2379" s="74" t="s">
        <v>214</v>
      </c>
      <c r="C2379" s="74" t="s">
        <v>215</v>
      </c>
      <c r="D2379" s="88" t="s">
        <v>82</v>
      </c>
      <c r="E2379" s="88" t="s">
        <v>84</v>
      </c>
      <c r="F2379" s="86" t="s">
        <v>116</v>
      </c>
      <c r="G2379" s="74" t="s">
        <v>209</v>
      </c>
      <c r="H2379" s="87">
        <v>44834</v>
      </c>
      <c r="I2379" s="98">
        <v>22</v>
      </c>
      <c r="J2379" s="98">
        <v>22</v>
      </c>
      <c r="K2379" s="89">
        <f t="shared" si="101"/>
        <v>1</v>
      </c>
      <c r="L2379" s="89">
        <v>8538.24</v>
      </c>
      <c r="M2379" s="89">
        <v>3238.14</v>
      </c>
      <c r="N2379" s="89">
        <v>879.42</v>
      </c>
      <c r="O2379" s="89">
        <f t="shared" si="102"/>
        <v>12655.8</v>
      </c>
    </row>
    <row r="2380" spans="1:15">
      <c r="A2380" s="74" t="s">
        <v>309</v>
      </c>
      <c r="B2380" s="74" t="s">
        <v>216</v>
      </c>
      <c r="C2380" s="74" t="s">
        <v>217</v>
      </c>
      <c r="D2380" s="88" t="s">
        <v>82</v>
      </c>
      <c r="E2380" s="88" t="s">
        <v>84</v>
      </c>
      <c r="F2380" s="86" t="s">
        <v>218</v>
      </c>
      <c r="G2380" s="74" t="s">
        <v>219</v>
      </c>
      <c r="H2380" s="87">
        <v>44834</v>
      </c>
      <c r="I2380" s="98">
        <v>22</v>
      </c>
      <c r="J2380" s="98">
        <v>22</v>
      </c>
      <c r="K2380" s="89">
        <f t="shared" si="101"/>
        <v>1</v>
      </c>
      <c r="L2380" s="89">
        <v>11033.71</v>
      </c>
      <c r="M2380" s="89">
        <v>3088.87</v>
      </c>
      <c r="N2380" s="89">
        <v>1190.82</v>
      </c>
      <c r="O2380" s="89">
        <f t="shared" si="102"/>
        <v>15313.4</v>
      </c>
    </row>
    <row r="2381" spans="1:15">
      <c r="A2381" s="74" t="s">
        <v>309</v>
      </c>
      <c r="B2381" s="74" t="s">
        <v>220</v>
      </c>
      <c r="C2381" s="74" t="s">
        <v>221</v>
      </c>
      <c r="D2381" s="88" t="s">
        <v>82</v>
      </c>
      <c r="E2381" s="74" t="s">
        <v>83</v>
      </c>
      <c r="F2381" s="86" t="s">
        <v>218</v>
      </c>
      <c r="G2381" s="74" t="s">
        <v>222</v>
      </c>
      <c r="H2381" s="87">
        <v>44834</v>
      </c>
      <c r="I2381" s="98">
        <v>22</v>
      </c>
      <c r="J2381" s="98">
        <v>22</v>
      </c>
      <c r="K2381" s="89">
        <f t="shared" si="101"/>
        <v>1</v>
      </c>
      <c r="L2381" s="89">
        <v>11820.02</v>
      </c>
      <c r="M2381" s="89">
        <v>3107.77</v>
      </c>
      <c r="N2381" s="89">
        <v>1185.19</v>
      </c>
      <c r="O2381" s="89">
        <f t="shared" si="102"/>
        <v>16112.98</v>
      </c>
    </row>
    <row r="2382" spans="1:15">
      <c r="A2382" s="74" t="s">
        <v>309</v>
      </c>
      <c r="B2382" s="74" t="s">
        <v>223</v>
      </c>
      <c r="C2382" s="74" t="s">
        <v>224</v>
      </c>
      <c r="D2382" s="88" t="s">
        <v>82</v>
      </c>
      <c r="E2382" s="74" t="s">
        <v>83</v>
      </c>
      <c r="F2382" s="86" t="s">
        <v>225</v>
      </c>
      <c r="G2382" s="74" t="s">
        <v>209</v>
      </c>
      <c r="H2382" s="87">
        <v>44834</v>
      </c>
      <c r="I2382" s="98">
        <v>22</v>
      </c>
      <c r="J2382" s="98">
        <v>22</v>
      </c>
      <c r="K2382" s="89">
        <f t="shared" si="101"/>
        <v>1</v>
      </c>
      <c r="L2382" s="89">
        <v>10047.26</v>
      </c>
      <c r="M2382" s="89">
        <v>3121.31</v>
      </c>
      <c r="N2382" s="89">
        <v>1081.78</v>
      </c>
      <c r="O2382" s="89">
        <f t="shared" si="102"/>
        <v>14250.35</v>
      </c>
    </row>
    <row r="2383" spans="1:15">
      <c r="A2383" s="74" t="s">
        <v>309</v>
      </c>
      <c r="B2383" s="74" t="s">
        <v>226</v>
      </c>
      <c r="C2383" s="74" t="s">
        <v>227</v>
      </c>
      <c r="D2383" s="88" t="s">
        <v>82</v>
      </c>
      <c r="E2383" s="74" t="s">
        <v>83</v>
      </c>
      <c r="F2383" s="86" t="s">
        <v>208</v>
      </c>
      <c r="G2383" s="74" t="s">
        <v>209</v>
      </c>
      <c r="H2383" s="87">
        <v>44834</v>
      </c>
      <c r="I2383" s="98">
        <v>22</v>
      </c>
      <c r="J2383" s="98">
        <v>22</v>
      </c>
      <c r="K2383" s="89">
        <f t="shared" si="101"/>
        <v>1</v>
      </c>
      <c r="L2383" s="89">
        <v>9390.86</v>
      </c>
      <c r="M2383" s="89">
        <v>3095.56</v>
      </c>
      <c r="N2383" s="89">
        <v>983.49</v>
      </c>
      <c r="O2383" s="89">
        <f t="shared" si="102"/>
        <v>13469.91</v>
      </c>
    </row>
    <row r="2384" spans="1:15">
      <c r="A2384" s="74" t="s">
        <v>309</v>
      </c>
      <c r="B2384" s="74" t="s">
        <v>228</v>
      </c>
      <c r="C2384" s="74" t="s">
        <v>229</v>
      </c>
      <c r="D2384" s="88" t="s">
        <v>82</v>
      </c>
      <c r="E2384" s="74" t="s">
        <v>83</v>
      </c>
      <c r="F2384" s="86" t="s">
        <v>116</v>
      </c>
      <c r="G2384" s="74" t="s">
        <v>209</v>
      </c>
      <c r="H2384" s="87">
        <v>44834</v>
      </c>
      <c r="I2384" s="98">
        <v>22</v>
      </c>
      <c r="J2384" s="98">
        <v>22</v>
      </c>
      <c r="K2384" s="89">
        <f t="shared" si="101"/>
        <v>1</v>
      </c>
      <c r="L2384" s="89">
        <v>8557.18</v>
      </c>
      <c r="M2384" s="89">
        <v>3244.12</v>
      </c>
      <c r="N2384" s="89">
        <v>866.22</v>
      </c>
      <c r="O2384" s="89">
        <f t="shared" si="102"/>
        <v>12667.52</v>
      </c>
    </row>
    <row r="2385" spans="1:15">
      <c r="A2385" s="74" t="s">
        <v>309</v>
      </c>
      <c r="B2385" s="74" t="s">
        <v>230</v>
      </c>
      <c r="C2385" s="74" t="s">
        <v>231</v>
      </c>
      <c r="D2385" s="88" t="s">
        <v>82</v>
      </c>
      <c r="E2385" s="74" t="s">
        <v>83</v>
      </c>
      <c r="F2385" s="86" t="s">
        <v>120</v>
      </c>
      <c r="G2385" s="74" t="s">
        <v>209</v>
      </c>
      <c r="H2385" s="87">
        <v>44834</v>
      </c>
      <c r="I2385" s="98">
        <v>22</v>
      </c>
      <c r="J2385" s="98">
        <v>22</v>
      </c>
      <c r="K2385" s="89">
        <f t="shared" si="101"/>
        <v>1</v>
      </c>
      <c r="L2385" s="89">
        <v>7006.82</v>
      </c>
      <c r="M2385" s="89">
        <v>3180.61</v>
      </c>
      <c r="N2385" s="89">
        <v>702.16</v>
      </c>
      <c r="O2385" s="89">
        <f t="shared" si="102"/>
        <v>10889.59</v>
      </c>
    </row>
    <row r="2386" spans="1:15">
      <c r="A2386" s="74" t="s">
        <v>309</v>
      </c>
      <c r="B2386" s="74" t="s">
        <v>232</v>
      </c>
      <c r="C2386" s="74" t="s">
        <v>233</v>
      </c>
      <c r="D2386" s="88" t="s">
        <v>82</v>
      </c>
      <c r="E2386" s="74" t="s">
        <v>83</v>
      </c>
      <c r="F2386" s="86" t="s">
        <v>123</v>
      </c>
      <c r="G2386" s="74" t="s">
        <v>209</v>
      </c>
      <c r="H2386" s="87">
        <v>44834</v>
      </c>
      <c r="I2386" s="98">
        <v>22</v>
      </c>
      <c r="J2386" s="98">
        <v>22</v>
      </c>
      <c r="K2386" s="89">
        <f t="shared" si="101"/>
        <v>1</v>
      </c>
      <c r="L2386" s="89">
        <v>6375.02</v>
      </c>
      <c r="M2386" s="89">
        <v>3294.25</v>
      </c>
      <c r="N2386" s="89">
        <v>617.23</v>
      </c>
      <c r="O2386" s="89">
        <f t="shared" si="102"/>
        <v>10286.5</v>
      </c>
    </row>
    <row r="2387" spans="1:15">
      <c r="A2387" s="74" t="s">
        <v>309</v>
      </c>
      <c r="B2387" s="74" t="s">
        <v>234</v>
      </c>
      <c r="C2387" s="74" t="s">
        <v>235</v>
      </c>
      <c r="D2387" s="88" t="s">
        <v>82</v>
      </c>
      <c r="E2387" s="74" t="s">
        <v>83</v>
      </c>
      <c r="F2387" s="86" t="s">
        <v>116</v>
      </c>
      <c r="G2387" s="74" t="s">
        <v>209</v>
      </c>
      <c r="H2387" s="87">
        <v>44834</v>
      </c>
      <c r="I2387" s="98">
        <v>22</v>
      </c>
      <c r="J2387" s="98">
        <v>22</v>
      </c>
      <c r="K2387" s="89">
        <f t="shared" si="101"/>
        <v>1</v>
      </c>
      <c r="L2387" s="89">
        <v>8188.6</v>
      </c>
      <c r="M2387" s="89">
        <v>3006.68</v>
      </c>
      <c r="N2387" s="89">
        <v>867.55</v>
      </c>
      <c r="O2387" s="89">
        <f t="shared" si="102"/>
        <v>12062.83</v>
      </c>
    </row>
    <row r="2388" spans="1:15">
      <c r="A2388" s="74" t="s">
        <v>309</v>
      </c>
      <c r="B2388" s="74" t="s">
        <v>236</v>
      </c>
      <c r="C2388" s="74" t="s">
        <v>237</v>
      </c>
      <c r="D2388" s="88" t="s">
        <v>82</v>
      </c>
      <c r="E2388" s="74" t="s">
        <v>83</v>
      </c>
      <c r="F2388" s="86" t="s">
        <v>120</v>
      </c>
      <c r="G2388" s="74" t="s">
        <v>209</v>
      </c>
      <c r="H2388" s="87">
        <v>44834</v>
      </c>
      <c r="I2388" s="98">
        <v>22</v>
      </c>
      <c r="J2388" s="98">
        <v>22</v>
      </c>
      <c r="K2388" s="89">
        <f t="shared" si="101"/>
        <v>1</v>
      </c>
      <c r="L2388" s="89">
        <v>7442.35</v>
      </c>
      <c r="M2388" s="89">
        <v>3170.76</v>
      </c>
      <c r="N2388" s="89">
        <v>708.88</v>
      </c>
      <c r="O2388" s="89">
        <f t="shared" si="102"/>
        <v>11321.99</v>
      </c>
    </row>
    <row r="2389" spans="1:15">
      <c r="A2389" s="74" t="s">
        <v>309</v>
      </c>
      <c r="B2389" s="74" t="s">
        <v>238</v>
      </c>
      <c r="C2389" s="74" t="s">
        <v>239</v>
      </c>
      <c r="D2389" s="74" t="s">
        <v>86</v>
      </c>
      <c r="E2389" s="74" t="s">
        <v>87</v>
      </c>
      <c r="F2389" s="86" t="s">
        <v>204</v>
      </c>
      <c r="G2389" s="74" t="s">
        <v>240</v>
      </c>
      <c r="H2389" s="87">
        <v>44834</v>
      </c>
      <c r="I2389" s="98">
        <v>22</v>
      </c>
      <c r="J2389" s="98">
        <v>22</v>
      </c>
      <c r="K2389" s="89">
        <f t="shared" si="101"/>
        <v>1</v>
      </c>
      <c r="L2389" s="89">
        <v>14939.06</v>
      </c>
      <c r="M2389" s="89">
        <v>3121.31</v>
      </c>
      <c r="N2389" s="89">
        <v>1974.71</v>
      </c>
      <c r="O2389" s="89">
        <f t="shared" si="102"/>
        <v>20035.08</v>
      </c>
    </row>
    <row r="2390" spans="1:15">
      <c r="A2390" s="74" t="s">
        <v>309</v>
      </c>
      <c r="B2390" s="74" t="s">
        <v>241</v>
      </c>
      <c r="C2390" s="74" t="s">
        <v>242</v>
      </c>
      <c r="D2390" s="74" t="s">
        <v>86</v>
      </c>
      <c r="E2390" s="74" t="s">
        <v>87</v>
      </c>
      <c r="F2390" s="86" t="s">
        <v>243</v>
      </c>
      <c r="G2390" s="74" t="s">
        <v>244</v>
      </c>
      <c r="H2390" s="87">
        <v>44834</v>
      </c>
      <c r="I2390" s="98">
        <v>22</v>
      </c>
      <c r="J2390" s="98">
        <v>22</v>
      </c>
      <c r="K2390" s="89">
        <f t="shared" si="101"/>
        <v>1</v>
      </c>
      <c r="L2390" s="89">
        <v>10632.57</v>
      </c>
      <c r="M2390" s="89">
        <v>3245.25</v>
      </c>
      <c r="N2390" s="89">
        <v>1410.62</v>
      </c>
      <c r="O2390" s="89">
        <f t="shared" si="102"/>
        <v>15288.44</v>
      </c>
    </row>
    <row r="2391" spans="1:15">
      <c r="A2391" s="74" t="s">
        <v>309</v>
      </c>
      <c r="B2391" s="74" t="s">
        <v>245</v>
      </c>
      <c r="C2391" s="74" t="s">
        <v>246</v>
      </c>
      <c r="D2391" s="74" t="s">
        <v>86</v>
      </c>
      <c r="E2391" s="74" t="s">
        <v>87</v>
      </c>
      <c r="F2391" s="86" t="s">
        <v>247</v>
      </c>
      <c r="G2391" s="74" t="s">
        <v>248</v>
      </c>
      <c r="H2391" s="87">
        <v>44834</v>
      </c>
      <c r="I2391" s="98">
        <v>22</v>
      </c>
      <c r="J2391" s="98">
        <v>22</v>
      </c>
      <c r="K2391" s="89">
        <f t="shared" si="101"/>
        <v>1</v>
      </c>
      <c r="L2391" s="89">
        <v>10551.53</v>
      </c>
      <c r="M2391" s="89">
        <v>3065.36</v>
      </c>
      <c r="N2391" s="89">
        <v>1201.73</v>
      </c>
      <c r="O2391" s="89">
        <f t="shared" si="102"/>
        <v>14818.62</v>
      </c>
    </row>
    <row r="2392" spans="1:15">
      <c r="A2392" s="74" t="s">
        <v>309</v>
      </c>
      <c r="B2392" s="74" t="s">
        <v>249</v>
      </c>
      <c r="C2392" s="74" t="s">
        <v>250</v>
      </c>
      <c r="D2392" s="74" t="s">
        <v>86</v>
      </c>
      <c r="E2392" s="74" t="s">
        <v>87</v>
      </c>
      <c r="F2392" s="86" t="s">
        <v>251</v>
      </c>
      <c r="G2392" s="74" t="s">
        <v>252</v>
      </c>
      <c r="H2392" s="87">
        <v>44834</v>
      </c>
      <c r="I2392" s="98">
        <v>22</v>
      </c>
      <c r="J2392" s="98">
        <v>22</v>
      </c>
      <c r="K2392" s="89">
        <f t="shared" si="101"/>
        <v>1</v>
      </c>
      <c r="L2392" s="89">
        <v>9649.01</v>
      </c>
      <c r="M2392" s="89">
        <v>3205.9</v>
      </c>
      <c r="N2392" s="89">
        <v>1154.02</v>
      </c>
      <c r="O2392" s="89">
        <f t="shared" si="102"/>
        <v>14008.93</v>
      </c>
    </row>
    <row r="2393" spans="1:15">
      <c r="A2393" s="74" t="s">
        <v>309</v>
      </c>
      <c r="B2393" s="74" t="s">
        <v>253</v>
      </c>
      <c r="C2393" s="74" t="s">
        <v>254</v>
      </c>
      <c r="D2393" s="74" t="s">
        <v>86</v>
      </c>
      <c r="E2393" s="74" t="s">
        <v>87</v>
      </c>
      <c r="F2393" s="86" t="s">
        <v>255</v>
      </c>
      <c r="G2393" s="74" t="s">
        <v>252</v>
      </c>
      <c r="H2393" s="87">
        <v>44834</v>
      </c>
      <c r="I2393" s="98">
        <v>22</v>
      </c>
      <c r="J2393" s="98">
        <v>22</v>
      </c>
      <c r="K2393" s="89">
        <f t="shared" si="101"/>
        <v>1</v>
      </c>
      <c r="L2393" s="89">
        <v>8144.84</v>
      </c>
      <c r="M2393" s="89">
        <v>3185.43</v>
      </c>
      <c r="N2393" s="89">
        <v>1020</v>
      </c>
      <c r="O2393" s="89">
        <f t="shared" si="102"/>
        <v>12350.27</v>
      </c>
    </row>
    <row r="2394" spans="1:15">
      <c r="A2394" s="74" t="s">
        <v>309</v>
      </c>
      <c r="B2394" s="74" t="s">
        <v>256</v>
      </c>
      <c r="C2394" s="74" t="s">
        <v>257</v>
      </c>
      <c r="D2394" s="74" t="s">
        <v>86</v>
      </c>
      <c r="E2394" s="74" t="s">
        <v>87</v>
      </c>
      <c r="F2394" s="86" t="s">
        <v>258</v>
      </c>
      <c r="G2394" s="74" t="s">
        <v>252</v>
      </c>
      <c r="H2394" s="87">
        <v>44834</v>
      </c>
      <c r="I2394" s="98">
        <v>22</v>
      </c>
      <c r="J2394" s="98">
        <v>22</v>
      </c>
      <c r="K2394" s="89">
        <f t="shared" si="101"/>
        <v>1</v>
      </c>
      <c r="L2394" s="89">
        <v>7793.28</v>
      </c>
      <c r="M2394" s="89">
        <v>3087.49</v>
      </c>
      <c r="N2394" s="89">
        <v>980.42</v>
      </c>
      <c r="O2394" s="89">
        <f t="shared" si="102"/>
        <v>11861.19</v>
      </c>
    </row>
    <row r="2395" spans="1:15">
      <c r="A2395" s="74" t="s">
        <v>309</v>
      </c>
      <c r="B2395" s="74" t="s">
        <v>259</v>
      </c>
      <c r="C2395" s="74" t="s">
        <v>260</v>
      </c>
      <c r="D2395" s="74" t="s">
        <v>86</v>
      </c>
      <c r="E2395" s="74" t="s">
        <v>87</v>
      </c>
      <c r="F2395" s="86" t="s">
        <v>261</v>
      </c>
      <c r="G2395" s="74" t="s">
        <v>262</v>
      </c>
      <c r="H2395" s="87">
        <v>44834</v>
      </c>
      <c r="I2395" s="98">
        <v>22</v>
      </c>
      <c r="J2395" s="98">
        <v>22</v>
      </c>
      <c r="K2395" s="89">
        <f t="shared" si="101"/>
        <v>1</v>
      </c>
      <c r="L2395" s="89">
        <v>6463.77</v>
      </c>
      <c r="M2395" s="89">
        <v>3009.93</v>
      </c>
      <c r="N2395" s="89">
        <v>848.9</v>
      </c>
      <c r="O2395" s="89">
        <f t="shared" si="102"/>
        <v>10322.6</v>
      </c>
    </row>
    <row r="2396" spans="1:15">
      <c r="A2396" s="74" t="s">
        <v>309</v>
      </c>
      <c r="B2396" s="74" t="s">
        <v>263</v>
      </c>
      <c r="C2396" s="74" t="s">
        <v>264</v>
      </c>
      <c r="D2396" s="74" t="s">
        <v>86</v>
      </c>
      <c r="E2396" s="74" t="s">
        <v>88</v>
      </c>
      <c r="F2396" s="86" t="s">
        <v>149</v>
      </c>
      <c r="G2396" s="74" t="s">
        <v>265</v>
      </c>
      <c r="H2396" s="87">
        <v>44834</v>
      </c>
      <c r="I2396" s="98">
        <v>22</v>
      </c>
      <c r="J2396" s="98">
        <v>22</v>
      </c>
      <c r="K2396" s="89">
        <f t="shared" si="101"/>
        <v>1</v>
      </c>
      <c r="L2396" s="89">
        <v>14668.06</v>
      </c>
      <c r="M2396" s="89">
        <v>3067.77</v>
      </c>
      <c r="N2396" s="89">
        <v>1722.67</v>
      </c>
      <c r="O2396" s="89">
        <f t="shared" si="102"/>
        <v>19458.5</v>
      </c>
    </row>
    <row r="2397" spans="1:15">
      <c r="A2397" s="74" t="s">
        <v>309</v>
      </c>
      <c r="B2397" s="74" t="s">
        <v>266</v>
      </c>
      <c r="C2397" s="74" t="s">
        <v>267</v>
      </c>
      <c r="D2397" s="74" t="s">
        <v>86</v>
      </c>
      <c r="E2397" s="74" t="s">
        <v>88</v>
      </c>
      <c r="F2397" s="86" t="s">
        <v>243</v>
      </c>
      <c r="G2397" s="74" t="s">
        <v>268</v>
      </c>
      <c r="H2397" s="87">
        <v>44834</v>
      </c>
      <c r="I2397" s="98">
        <v>22</v>
      </c>
      <c r="J2397" s="98">
        <v>22</v>
      </c>
      <c r="K2397" s="89">
        <f t="shared" si="101"/>
        <v>1</v>
      </c>
      <c r="L2397" s="89">
        <v>10852.98</v>
      </c>
      <c r="M2397" s="89">
        <v>3104.96</v>
      </c>
      <c r="N2397" s="89">
        <v>1388.03</v>
      </c>
      <c r="O2397" s="89">
        <f t="shared" si="102"/>
        <v>15345.97</v>
      </c>
    </row>
    <row r="2398" spans="1:15">
      <c r="A2398" s="74" t="s">
        <v>309</v>
      </c>
      <c r="B2398" s="74" t="s">
        <v>269</v>
      </c>
      <c r="C2398" s="74" t="s">
        <v>270</v>
      </c>
      <c r="D2398" s="74" t="s">
        <v>86</v>
      </c>
      <c r="E2398" s="74" t="s">
        <v>88</v>
      </c>
      <c r="F2398" s="86" t="s">
        <v>247</v>
      </c>
      <c r="G2398" s="74" t="s">
        <v>268</v>
      </c>
      <c r="H2398" s="87">
        <v>44834</v>
      </c>
      <c r="I2398" s="98">
        <v>22</v>
      </c>
      <c r="J2398" s="98">
        <v>22</v>
      </c>
      <c r="K2398" s="89">
        <f t="shared" si="101"/>
        <v>1</v>
      </c>
      <c r="L2398" s="89">
        <v>10328.25</v>
      </c>
      <c r="M2398" s="89">
        <v>3192.99</v>
      </c>
      <c r="N2398" s="89">
        <v>1299.22</v>
      </c>
      <c r="O2398" s="89">
        <f t="shared" si="102"/>
        <v>14820.46</v>
      </c>
    </row>
    <row r="2399" spans="1:15">
      <c r="A2399" s="74" t="s">
        <v>309</v>
      </c>
      <c r="B2399" s="74" t="s">
        <v>271</v>
      </c>
      <c r="C2399" s="74" t="s">
        <v>272</v>
      </c>
      <c r="D2399" s="74" t="s">
        <v>86</v>
      </c>
      <c r="E2399" s="74" t="s">
        <v>88</v>
      </c>
      <c r="F2399" s="86" t="s">
        <v>251</v>
      </c>
      <c r="G2399" s="74" t="s">
        <v>268</v>
      </c>
      <c r="H2399" s="87">
        <v>44834</v>
      </c>
      <c r="I2399" s="98">
        <v>22</v>
      </c>
      <c r="J2399" s="98">
        <v>22</v>
      </c>
      <c r="K2399" s="89">
        <f t="shared" si="101"/>
        <v>1</v>
      </c>
      <c r="L2399" s="89">
        <v>8965.12</v>
      </c>
      <c r="M2399" s="89">
        <v>3175.13</v>
      </c>
      <c r="N2399" s="89">
        <v>1109.26</v>
      </c>
      <c r="O2399" s="89">
        <f t="shared" si="102"/>
        <v>13249.51</v>
      </c>
    </row>
    <row r="2400" spans="1:15">
      <c r="A2400" s="74" t="s">
        <v>309</v>
      </c>
      <c r="B2400" s="74" t="s">
        <v>273</v>
      </c>
      <c r="C2400" s="74" t="s">
        <v>274</v>
      </c>
      <c r="D2400" s="74" t="s">
        <v>86</v>
      </c>
      <c r="E2400" s="74" t="s">
        <v>88</v>
      </c>
      <c r="F2400" s="86" t="s">
        <v>255</v>
      </c>
      <c r="G2400" s="74" t="s">
        <v>268</v>
      </c>
      <c r="H2400" s="87">
        <v>44834</v>
      </c>
      <c r="I2400" s="98">
        <v>22</v>
      </c>
      <c r="J2400" s="98">
        <v>22</v>
      </c>
      <c r="K2400" s="89">
        <f t="shared" si="101"/>
        <v>1</v>
      </c>
      <c r="L2400" s="89">
        <v>8197.4</v>
      </c>
      <c r="M2400" s="89">
        <v>3270.66</v>
      </c>
      <c r="N2400" s="89">
        <v>1066.4</v>
      </c>
      <c r="O2400" s="89">
        <f t="shared" si="102"/>
        <v>12534.46</v>
      </c>
    </row>
    <row r="2401" spans="1:15">
      <c r="A2401" s="74" t="s">
        <v>309</v>
      </c>
      <c r="B2401" s="74" t="s">
        <v>275</v>
      </c>
      <c r="C2401" s="74" t="s">
        <v>276</v>
      </c>
      <c r="D2401" s="74" t="s">
        <v>86</v>
      </c>
      <c r="E2401" s="74" t="s">
        <v>88</v>
      </c>
      <c r="F2401" s="86" t="s">
        <v>258</v>
      </c>
      <c r="G2401" s="74" t="s">
        <v>268</v>
      </c>
      <c r="H2401" s="87">
        <v>44834</v>
      </c>
      <c r="I2401" s="98">
        <v>22</v>
      </c>
      <c r="J2401" s="98">
        <v>22</v>
      </c>
      <c r="K2401" s="89">
        <f t="shared" si="101"/>
        <v>1</v>
      </c>
      <c r="L2401" s="89">
        <v>7503.3</v>
      </c>
      <c r="M2401" s="89">
        <v>3108.94</v>
      </c>
      <c r="N2401" s="89">
        <v>961.13</v>
      </c>
      <c r="O2401" s="89">
        <f t="shared" si="102"/>
        <v>11573.37</v>
      </c>
    </row>
    <row r="2402" spans="1:15">
      <c r="A2402" s="74" t="s">
        <v>309</v>
      </c>
      <c r="B2402" s="74" t="s">
        <v>277</v>
      </c>
      <c r="C2402" s="74" t="s">
        <v>278</v>
      </c>
      <c r="D2402" s="74" t="s">
        <v>86</v>
      </c>
      <c r="E2402" s="74" t="s">
        <v>89</v>
      </c>
      <c r="F2402" s="86" t="s">
        <v>279</v>
      </c>
      <c r="G2402" s="74" t="s">
        <v>280</v>
      </c>
      <c r="H2402" s="87">
        <v>44834</v>
      </c>
      <c r="I2402" s="98">
        <v>22</v>
      </c>
      <c r="J2402" s="98">
        <v>22</v>
      </c>
      <c r="K2402" s="89">
        <f t="shared" si="101"/>
        <v>1</v>
      </c>
      <c r="L2402" s="89">
        <v>12398.98</v>
      </c>
      <c r="M2402" s="89">
        <v>3118.92</v>
      </c>
      <c r="N2402" s="89">
        <v>1640.35</v>
      </c>
      <c r="O2402" s="89">
        <f t="shared" si="102"/>
        <v>17158.25</v>
      </c>
    </row>
    <row r="2403" spans="1:15">
      <c r="A2403" s="74" t="s">
        <v>309</v>
      </c>
      <c r="B2403" s="74" t="s">
        <v>281</v>
      </c>
      <c r="C2403" s="74" t="s">
        <v>282</v>
      </c>
      <c r="D2403" s="74" t="s">
        <v>86</v>
      </c>
      <c r="E2403" s="74" t="s">
        <v>89</v>
      </c>
      <c r="F2403" s="86" t="s">
        <v>225</v>
      </c>
      <c r="G2403" s="74" t="s">
        <v>283</v>
      </c>
      <c r="H2403" s="87">
        <v>44834</v>
      </c>
      <c r="I2403" s="98">
        <v>22</v>
      </c>
      <c r="J2403" s="98">
        <v>22</v>
      </c>
      <c r="K2403" s="89">
        <f t="shared" si="101"/>
        <v>1</v>
      </c>
      <c r="L2403" s="89">
        <v>8736.93</v>
      </c>
      <c r="M2403" s="89">
        <v>3168.92</v>
      </c>
      <c r="N2403" s="89">
        <v>1000.33</v>
      </c>
      <c r="O2403" s="89">
        <f t="shared" si="102"/>
        <v>12906.18</v>
      </c>
    </row>
    <row r="2404" spans="1:15">
      <c r="A2404" s="74" t="s">
        <v>309</v>
      </c>
      <c r="B2404" s="74" t="s">
        <v>284</v>
      </c>
      <c r="C2404" s="74" t="s">
        <v>285</v>
      </c>
      <c r="D2404" s="74" t="s">
        <v>86</v>
      </c>
      <c r="E2404" s="74" t="s">
        <v>89</v>
      </c>
      <c r="F2404" s="86" t="s">
        <v>208</v>
      </c>
      <c r="G2404" s="74" t="s">
        <v>283</v>
      </c>
      <c r="H2404" s="87">
        <v>44834</v>
      </c>
      <c r="I2404" s="98">
        <v>22</v>
      </c>
      <c r="J2404" s="98">
        <v>22</v>
      </c>
      <c r="K2404" s="89">
        <f t="shared" si="101"/>
        <v>1</v>
      </c>
      <c r="L2404" s="89">
        <v>7864.39</v>
      </c>
      <c r="M2404" s="89">
        <v>3201.37</v>
      </c>
      <c r="N2404" s="89">
        <v>916.01</v>
      </c>
      <c r="O2404" s="89">
        <f t="shared" si="102"/>
        <v>11981.77</v>
      </c>
    </row>
    <row r="2405" spans="1:15">
      <c r="A2405" s="74" t="s">
        <v>309</v>
      </c>
      <c r="B2405" s="74" t="s">
        <v>286</v>
      </c>
      <c r="C2405" s="74" t="s">
        <v>287</v>
      </c>
      <c r="D2405" s="74" t="s">
        <v>82</v>
      </c>
      <c r="E2405" s="88" t="s">
        <v>85</v>
      </c>
      <c r="F2405" s="86" t="s">
        <v>288</v>
      </c>
      <c r="G2405" s="74" t="s">
        <v>289</v>
      </c>
      <c r="H2405" s="87">
        <v>44834</v>
      </c>
      <c r="I2405" s="98">
        <v>22</v>
      </c>
      <c r="J2405" s="98">
        <v>22</v>
      </c>
      <c r="K2405" s="89">
        <f t="shared" ref="K2405:K2413" si="103">I2405/J2405</f>
        <v>1</v>
      </c>
      <c r="L2405" s="89">
        <v>13175.05</v>
      </c>
      <c r="M2405" s="89">
        <v>3157.1</v>
      </c>
      <c r="N2405" s="89">
        <v>1279.2</v>
      </c>
      <c r="O2405" s="89">
        <f t="shared" si="102"/>
        <v>17611.35</v>
      </c>
    </row>
    <row r="2406" spans="1:15">
      <c r="A2406" s="74" t="s">
        <v>309</v>
      </c>
      <c r="B2406" s="74" t="s">
        <v>290</v>
      </c>
      <c r="C2406" s="74" t="s">
        <v>291</v>
      </c>
      <c r="D2406" s="74" t="s">
        <v>82</v>
      </c>
      <c r="E2406" s="88" t="s">
        <v>85</v>
      </c>
      <c r="F2406" s="86" t="s">
        <v>218</v>
      </c>
      <c r="G2406" s="74" t="s">
        <v>289</v>
      </c>
      <c r="H2406" s="87">
        <v>44834</v>
      </c>
      <c r="I2406" s="98">
        <v>22</v>
      </c>
      <c r="J2406" s="98">
        <v>22</v>
      </c>
      <c r="K2406" s="89">
        <f t="shared" si="103"/>
        <v>1</v>
      </c>
      <c r="L2406" s="89">
        <v>11710.68</v>
      </c>
      <c r="M2406" s="89">
        <v>3115.93</v>
      </c>
      <c r="N2406" s="89">
        <v>1151.61</v>
      </c>
      <c r="O2406" s="89">
        <f t="shared" si="102"/>
        <v>15978.22</v>
      </c>
    </row>
    <row r="2407" spans="1:15">
      <c r="A2407" s="74" t="s">
        <v>309</v>
      </c>
      <c r="B2407" s="74" t="s">
        <v>292</v>
      </c>
      <c r="C2407" s="74" t="s">
        <v>293</v>
      </c>
      <c r="D2407" s="74" t="s">
        <v>82</v>
      </c>
      <c r="E2407" s="88" t="s">
        <v>85</v>
      </c>
      <c r="F2407" s="86" t="s">
        <v>225</v>
      </c>
      <c r="G2407" s="74" t="s">
        <v>289</v>
      </c>
      <c r="H2407" s="87">
        <v>44834</v>
      </c>
      <c r="I2407" s="98">
        <v>22</v>
      </c>
      <c r="J2407" s="98">
        <v>22</v>
      </c>
      <c r="K2407" s="89">
        <f t="shared" si="103"/>
        <v>1</v>
      </c>
      <c r="L2407" s="89">
        <v>10268.16</v>
      </c>
      <c r="M2407" s="89">
        <v>3295.34</v>
      </c>
      <c r="N2407" s="89">
        <v>1023.16</v>
      </c>
      <c r="O2407" s="89">
        <f t="shared" si="102"/>
        <v>14586.66</v>
      </c>
    </row>
    <row r="2408" spans="1:15">
      <c r="A2408" s="74" t="s">
        <v>309</v>
      </c>
      <c r="B2408" s="74" t="s">
        <v>294</v>
      </c>
      <c r="C2408" s="74" t="s">
        <v>295</v>
      </c>
      <c r="D2408" s="74" t="s">
        <v>82</v>
      </c>
      <c r="E2408" s="88" t="s">
        <v>85</v>
      </c>
      <c r="F2408" s="86" t="s">
        <v>208</v>
      </c>
      <c r="G2408" s="74" t="s">
        <v>289</v>
      </c>
      <c r="H2408" s="87">
        <v>44834</v>
      </c>
      <c r="I2408" s="98">
        <v>22</v>
      </c>
      <c r="J2408" s="98">
        <v>22</v>
      </c>
      <c r="K2408" s="89">
        <f t="shared" si="103"/>
        <v>1</v>
      </c>
      <c r="L2408" s="89">
        <v>9811.98</v>
      </c>
      <c r="M2408" s="89">
        <v>3066.42</v>
      </c>
      <c r="N2408" s="89">
        <v>927.38</v>
      </c>
      <c r="O2408" s="89">
        <f t="shared" si="102"/>
        <v>13805.78</v>
      </c>
    </row>
    <row r="2409" spans="1:15">
      <c r="A2409" s="74" t="s">
        <v>309</v>
      </c>
      <c r="B2409" s="74" t="s">
        <v>296</v>
      </c>
      <c r="C2409" s="74" t="s">
        <v>297</v>
      </c>
      <c r="D2409" s="74" t="s">
        <v>82</v>
      </c>
      <c r="E2409" s="88" t="s">
        <v>85</v>
      </c>
      <c r="F2409" s="86" t="s">
        <v>116</v>
      </c>
      <c r="G2409" s="74" t="s">
        <v>289</v>
      </c>
      <c r="H2409" s="87">
        <v>44834</v>
      </c>
      <c r="I2409" s="98">
        <v>22</v>
      </c>
      <c r="J2409" s="98">
        <v>22</v>
      </c>
      <c r="K2409" s="89">
        <f t="shared" si="103"/>
        <v>1</v>
      </c>
      <c r="L2409" s="89">
        <v>8703.88</v>
      </c>
      <c r="M2409" s="89">
        <v>3211.21</v>
      </c>
      <c r="N2409" s="89">
        <v>813.58</v>
      </c>
      <c r="O2409" s="89">
        <f t="shared" si="102"/>
        <v>12728.67</v>
      </c>
    </row>
    <row r="2410" spans="1:15">
      <c r="A2410" s="74" t="s">
        <v>309</v>
      </c>
      <c r="B2410" s="74" t="s">
        <v>298</v>
      </c>
      <c r="C2410" s="74" t="s">
        <v>299</v>
      </c>
      <c r="D2410" s="74" t="s">
        <v>82</v>
      </c>
      <c r="E2410" s="88" t="s">
        <v>85</v>
      </c>
      <c r="F2410" s="86" t="s">
        <v>279</v>
      </c>
      <c r="G2410" s="74" t="s">
        <v>300</v>
      </c>
      <c r="H2410" s="87">
        <v>44834</v>
      </c>
      <c r="I2410" s="98">
        <v>22</v>
      </c>
      <c r="J2410" s="98">
        <v>22</v>
      </c>
      <c r="K2410" s="89">
        <f t="shared" si="103"/>
        <v>1</v>
      </c>
      <c r="L2410" s="89">
        <v>15964.82</v>
      </c>
      <c r="M2410" s="89">
        <v>3173.08</v>
      </c>
      <c r="N2410" s="89">
        <v>1612.92</v>
      </c>
      <c r="O2410" s="89">
        <f t="shared" si="102"/>
        <v>20750.82</v>
      </c>
    </row>
    <row r="2411" spans="1:15">
      <c r="A2411" s="74" t="s">
        <v>309</v>
      </c>
      <c r="B2411" s="74" t="s">
        <v>301</v>
      </c>
      <c r="C2411" s="74" t="s">
        <v>302</v>
      </c>
      <c r="D2411" s="74" t="s">
        <v>82</v>
      </c>
      <c r="E2411" s="88" t="s">
        <v>85</v>
      </c>
      <c r="F2411" s="86" t="s">
        <v>279</v>
      </c>
      <c r="G2411" s="74" t="s">
        <v>303</v>
      </c>
      <c r="H2411" s="87">
        <v>44834</v>
      </c>
      <c r="I2411" s="98">
        <v>22</v>
      </c>
      <c r="J2411" s="98">
        <v>22</v>
      </c>
      <c r="K2411" s="89">
        <f t="shared" si="103"/>
        <v>1</v>
      </c>
      <c r="L2411" s="89">
        <v>16383.75</v>
      </c>
      <c r="M2411" s="89">
        <v>3295.7</v>
      </c>
      <c r="N2411" s="89">
        <v>1506.45</v>
      </c>
      <c r="O2411" s="89">
        <f t="shared" si="102"/>
        <v>21185.9</v>
      </c>
    </row>
    <row r="2412" spans="1:15">
      <c r="A2412" s="74" t="s">
        <v>309</v>
      </c>
      <c r="B2412" s="74" t="s">
        <v>304</v>
      </c>
      <c r="C2412" s="74" t="s">
        <v>305</v>
      </c>
      <c r="D2412" s="74" t="s">
        <v>86</v>
      </c>
      <c r="E2412" s="74" t="s">
        <v>90</v>
      </c>
      <c r="F2412" s="86" t="s">
        <v>306</v>
      </c>
      <c r="G2412" s="74" t="s">
        <v>307</v>
      </c>
      <c r="H2412" s="87">
        <v>44834</v>
      </c>
      <c r="I2412" s="98">
        <v>22</v>
      </c>
      <c r="J2412" s="98">
        <v>22</v>
      </c>
      <c r="K2412" s="89">
        <f t="shared" si="103"/>
        <v>1</v>
      </c>
      <c r="L2412" s="89">
        <v>16741.39</v>
      </c>
      <c r="M2412" s="89">
        <v>3066.29</v>
      </c>
      <c r="N2412" s="89">
        <v>2005.52</v>
      </c>
      <c r="O2412" s="89">
        <f t="shared" si="102"/>
        <v>21813.2</v>
      </c>
    </row>
    <row r="2413" spans="1:15">
      <c r="A2413" s="74" t="s">
        <v>309</v>
      </c>
      <c r="B2413" s="74" t="s">
        <v>114</v>
      </c>
      <c r="C2413" s="74" t="s">
        <v>115</v>
      </c>
      <c r="D2413" s="74" t="s">
        <v>79</v>
      </c>
      <c r="E2413" s="74" t="s">
        <v>80</v>
      </c>
      <c r="F2413" s="86" t="s">
        <v>116</v>
      </c>
      <c r="G2413" s="74" t="s">
        <v>117</v>
      </c>
      <c r="H2413" s="87">
        <v>44865</v>
      </c>
      <c r="I2413" s="98">
        <v>22</v>
      </c>
      <c r="J2413" s="98">
        <v>22</v>
      </c>
      <c r="K2413" s="89">
        <f t="shared" si="103"/>
        <v>1</v>
      </c>
      <c r="L2413" s="89">
        <v>8083.7</v>
      </c>
      <c r="M2413" s="89">
        <v>3054.21</v>
      </c>
      <c r="N2413" s="89">
        <v>868.24</v>
      </c>
      <c r="O2413" s="89">
        <f t="shared" si="102"/>
        <v>12006.15</v>
      </c>
    </row>
    <row r="2414" spans="1:15">
      <c r="A2414" s="74" t="s">
        <v>309</v>
      </c>
      <c r="B2414" s="74" t="s">
        <v>118</v>
      </c>
      <c r="C2414" s="74" t="s">
        <v>119</v>
      </c>
      <c r="D2414" s="74" t="s">
        <v>79</v>
      </c>
      <c r="E2414" s="74" t="s">
        <v>80</v>
      </c>
      <c r="F2414" s="86" t="s">
        <v>120</v>
      </c>
      <c r="G2414" s="74" t="s">
        <v>117</v>
      </c>
      <c r="H2414" s="87">
        <v>44865</v>
      </c>
      <c r="I2414" s="98">
        <v>22</v>
      </c>
      <c r="J2414" s="98">
        <v>22</v>
      </c>
      <c r="K2414" s="89">
        <f t="shared" ref="K2414:K2477" si="104">I2414/J2414</f>
        <v>1</v>
      </c>
      <c r="L2414" s="89">
        <v>7154.47</v>
      </c>
      <c r="M2414" s="89">
        <v>3177.11</v>
      </c>
      <c r="N2414" s="89">
        <v>763.6</v>
      </c>
      <c r="O2414" s="89">
        <f t="shared" si="102"/>
        <v>11095.18</v>
      </c>
    </row>
    <row r="2415" spans="1:15">
      <c r="A2415" s="74" t="s">
        <v>309</v>
      </c>
      <c r="B2415" s="74" t="s">
        <v>121</v>
      </c>
      <c r="C2415" s="74" t="s">
        <v>122</v>
      </c>
      <c r="D2415" s="74" t="s">
        <v>79</v>
      </c>
      <c r="E2415" s="74" t="s">
        <v>80</v>
      </c>
      <c r="F2415" s="86" t="s">
        <v>123</v>
      </c>
      <c r="G2415" s="74" t="s">
        <v>117</v>
      </c>
      <c r="H2415" s="87">
        <v>44865</v>
      </c>
      <c r="I2415" s="98">
        <v>22</v>
      </c>
      <c r="J2415" s="98">
        <v>22</v>
      </c>
      <c r="K2415" s="89">
        <f t="shared" si="104"/>
        <v>1</v>
      </c>
      <c r="L2415" s="89">
        <v>6232.16</v>
      </c>
      <c r="M2415" s="89">
        <v>3248.7</v>
      </c>
      <c r="N2415" s="89">
        <v>634.22</v>
      </c>
      <c r="O2415" s="89">
        <f t="shared" si="102"/>
        <v>10115.08</v>
      </c>
    </row>
    <row r="2416" spans="1:15">
      <c r="A2416" s="74" t="s">
        <v>309</v>
      </c>
      <c r="B2416" s="74" t="s">
        <v>124</v>
      </c>
      <c r="C2416" s="74" t="s">
        <v>125</v>
      </c>
      <c r="D2416" s="74" t="s">
        <v>79</v>
      </c>
      <c r="E2416" s="74" t="s">
        <v>80</v>
      </c>
      <c r="F2416" s="86" t="s">
        <v>116</v>
      </c>
      <c r="G2416" s="74" t="s">
        <v>117</v>
      </c>
      <c r="H2416" s="87">
        <v>44865</v>
      </c>
      <c r="I2416" s="98">
        <v>22</v>
      </c>
      <c r="J2416" s="98">
        <v>22</v>
      </c>
      <c r="K2416" s="89">
        <f t="shared" si="104"/>
        <v>1</v>
      </c>
      <c r="L2416" s="89">
        <v>8277.13</v>
      </c>
      <c r="M2416" s="89">
        <v>3016.82</v>
      </c>
      <c r="N2416" s="89">
        <v>868.51</v>
      </c>
      <c r="O2416" s="89">
        <f t="shared" si="102"/>
        <v>12162.46</v>
      </c>
    </row>
    <row r="2417" spans="1:15">
      <c r="A2417" s="74" t="s">
        <v>309</v>
      </c>
      <c r="B2417" s="74" t="s">
        <v>126</v>
      </c>
      <c r="C2417" s="74" t="s">
        <v>127</v>
      </c>
      <c r="D2417" s="74" t="s">
        <v>79</v>
      </c>
      <c r="E2417" s="74" t="s">
        <v>80</v>
      </c>
      <c r="F2417" s="86" t="s">
        <v>120</v>
      </c>
      <c r="G2417" s="74" t="s">
        <v>117</v>
      </c>
      <c r="H2417" s="87">
        <v>44865</v>
      </c>
      <c r="I2417" s="98">
        <v>22</v>
      </c>
      <c r="J2417" s="98">
        <v>22</v>
      </c>
      <c r="K2417" s="89">
        <f t="shared" si="104"/>
        <v>1</v>
      </c>
      <c r="L2417" s="89">
        <v>7602.43</v>
      </c>
      <c r="M2417" s="89">
        <v>3034.5</v>
      </c>
      <c r="N2417" s="89">
        <v>725.21</v>
      </c>
      <c r="O2417" s="89">
        <f t="shared" si="102"/>
        <v>11362.14</v>
      </c>
    </row>
    <row r="2418" spans="1:15">
      <c r="A2418" s="74" t="s">
        <v>309</v>
      </c>
      <c r="B2418" s="74" t="s">
        <v>128</v>
      </c>
      <c r="C2418" s="74" t="s">
        <v>129</v>
      </c>
      <c r="D2418" s="74" t="s">
        <v>79</v>
      </c>
      <c r="E2418" s="74" t="s">
        <v>80</v>
      </c>
      <c r="F2418" s="86" t="s">
        <v>123</v>
      </c>
      <c r="G2418" s="74" t="s">
        <v>117</v>
      </c>
      <c r="H2418" s="87">
        <v>44865</v>
      </c>
      <c r="I2418" s="98">
        <v>22</v>
      </c>
      <c r="J2418" s="98">
        <v>22</v>
      </c>
      <c r="K2418" s="89">
        <f t="shared" si="104"/>
        <v>1</v>
      </c>
      <c r="L2418" s="89">
        <v>6526.34</v>
      </c>
      <c r="M2418" s="89">
        <v>3017.16</v>
      </c>
      <c r="N2418" s="89">
        <v>637</v>
      </c>
      <c r="O2418" s="89">
        <f t="shared" si="102"/>
        <v>10180.5</v>
      </c>
    </row>
    <row r="2419" spans="1:15">
      <c r="A2419" s="74" t="s">
        <v>309</v>
      </c>
      <c r="B2419" s="74" t="s">
        <v>130</v>
      </c>
      <c r="C2419" s="74" t="s">
        <v>131</v>
      </c>
      <c r="D2419" s="74" t="s">
        <v>79</v>
      </c>
      <c r="E2419" s="74" t="s">
        <v>80</v>
      </c>
      <c r="F2419" s="86" t="s">
        <v>116</v>
      </c>
      <c r="G2419" s="74" t="s">
        <v>117</v>
      </c>
      <c r="H2419" s="87">
        <v>44865</v>
      </c>
      <c r="I2419" s="98">
        <v>22</v>
      </c>
      <c r="J2419" s="98">
        <v>22</v>
      </c>
      <c r="K2419" s="89">
        <f t="shared" si="104"/>
        <v>1</v>
      </c>
      <c r="L2419" s="89">
        <v>8711.55</v>
      </c>
      <c r="M2419" s="89">
        <v>3231.15</v>
      </c>
      <c r="N2419" s="89">
        <v>852.63</v>
      </c>
      <c r="O2419" s="89">
        <f t="shared" si="102"/>
        <v>12795.33</v>
      </c>
    </row>
    <row r="2420" spans="1:15">
      <c r="A2420" s="74" t="s">
        <v>309</v>
      </c>
      <c r="B2420" s="74" t="s">
        <v>132</v>
      </c>
      <c r="C2420" s="74" t="s">
        <v>133</v>
      </c>
      <c r="D2420" s="74" t="s">
        <v>79</v>
      </c>
      <c r="E2420" s="74" t="s">
        <v>80</v>
      </c>
      <c r="F2420" s="86" t="s">
        <v>120</v>
      </c>
      <c r="G2420" s="74" t="s">
        <v>117</v>
      </c>
      <c r="H2420" s="87">
        <v>44865</v>
      </c>
      <c r="I2420" s="98">
        <v>22</v>
      </c>
      <c r="J2420" s="98">
        <v>22</v>
      </c>
      <c r="K2420" s="89">
        <f t="shared" si="104"/>
        <v>1</v>
      </c>
      <c r="L2420" s="89">
        <v>7243.63</v>
      </c>
      <c r="M2420" s="89">
        <v>3202.65</v>
      </c>
      <c r="N2420" s="89">
        <v>704.49</v>
      </c>
      <c r="O2420" s="89">
        <f t="shared" si="102"/>
        <v>11150.77</v>
      </c>
    </row>
    <row r="2421" spans="1:15">
      <c r="A2421" s="74" t="s">
        <v>309</v>
      </c>
      <c r="B2421" s="74" t="s">
        <v>134</v>
      </c>
      <c r="C2421" s="74" t="s">
        <v>135</v>
      </c>
      <c r="D2421" s="74" t="s">
        <v>79</v>
      </c>
      <c r="E2421" s="74" t="s">
        <v>80</v>
      </c>
      <c r="F2421" s="86" t="s">
        <v>123</v>
      </c>
      <c r="G2421" s="74" t="s">
        <v>117</v>
      </c>
      <c r="H2421" s="87">
        <v>44865</v>
      </c>
      <c r="I2421" s="98">
        <v>22</v>
      </c>
      <c r="J2421" s="98">
        <v>22</v>
      </c>
      <c r="K2421" s="89">
        <f t="shared" si="104"/>
        <v>1</v>
      </c>
      <c r="L2421" s="89">
        <v>6375.77</v>
      </c>
      <c r="M2421" s="89">
        <v>3094.68</v>
      </c>
      <c r="N2421" s="89">
        <v>633.33</v>
      </c>
      <c r="O2421" s="89">
        <f t="shared" si="102"/>
        <v>10103.78</v>
      </c>
    </row>
    <row r="2422" spans="1:15">
      <c r="A2422" s="74" t="s">
        <v>309</v>
      </c>
      <c r="B2422" s="74" t="s">
        <v>136</v>
      </c>
      <c r="C2422" s="74" t="s">
        <v>137</v>
      </c>
      <c r="D2422" s="74" t="s">
        <v>79</v>
      </c>
      <c r="E2422" s="74" t="s">
        <v>80</v>
      </c>
      <c r="F2422" s="86" t="s">
        <v>116</v>
      </c>
      <c r="G2422" s="74" t="s">
        <v>138</v>
      </c>
      <c r="H2422" s="87">
        <v>44865</v>
      </c>
      <c r="I2422" s="98">
        <v>22</v>
      </c>
      <c r="J2422" s="98">
        <v>22</v>
      </c>
      <c r="K2422" s="89">
        <f t="shared" si="104"/>
        <v>1</v>
      </c>
      <c r="L2422" s="89">
        <v>8789.48</v>
      </c>
      <c r="M2422" s="89">
        <v>3083.56</v>
      </c>
      <c r="N2422" s="89">
        <v>842.62</v>
      </c>
      <c r="O2422" s="89">
        <f t="shared" si="102"/>
        <v>12715.66</v>
      </c>
    </row>
    <row r="2423" spans="1:15">
      <c r="A2423" s="74" t="s">
        <v>309</v>
      </c>
      <c r="B2423" s="74" t="s">
        <v>139</v>
      </c>
      <c r="C2423" s="74" t="s">
        <v>140</v>
      </c>
      <c r="D2423" s="74" t="s">
        <v>79</v>
      </c>
      <c r="E2423" s="74" t="s">
        <v>80</v>
      </c>
      <c r="F2423" s="86" t="s">
        <v>120</v>
      </c>
      <c r="G2423" s="74" t="s">
        <v>138</v>
      </c>
      <c r="H2423" s="87">
        <v>44865</v>
      </c>
      <c r="I2423" s="98">
        <v>22</v>
      </c>
      <c r="J2423" s="98">
        <v>22</v>
      </c>
      <c r="K2423" s="89">
        <f t="shared" si="104"/>
        <v>1</v>
      </c>
      <c r="L2423" s="89">
        <v>7382.37</v>
      </c>
      <c r="M2423" s="89">
        <v>3100.89</v>
      </c>
      <c r="N2423" s="89">
        <v>702.67</v>
      </c>
      <c r="O2423" s="89">
        <f t="shared" si="102"/>
        <v>11185.93</v>
      </c>
    </row>
    <row r="2424" spans="1:15">
      <c r="A2424" s="74" t="s">
        <v>309</v>
      </c>
      <c r="B2424" s="74" t="s">
        <v>141</v>
      </c>
      <c r="C2424" s="74" t="s">
        <v>142</v>
      </c>
      <c r="D2424" s="74" t="s">
        <v>79</v>
      </c>
      <c r="E2424" s="74" t="s">
        <v>80</v>
      </c>
      <c r="F2424" s="86" t="s">
        <v>123</v>
      </c>
      <c r="G2424" s="74" t="s">
        <v>138</v>
      </c>
      <c r="H2424" s="87">
        <v>44865</v>
      </c>
      <c r="I2424" s="98">
        <v>22</v>
      </c>
      <c r="J2424" s="98">
        <v>22</v>
      </c>
      <c r="K2424" s="89">
        <f t="shared" si="104"/>
        <v>1</v>
      </c>
      <c r="L2424" s="89">
        <v>6187.31</v>
      </c>
      <c r="M2424" s="89">
        <v>3255.06</v>
      </c>
      <c r="N2424" s="89">
        <v>640.92</v>
      </c>
      <c r="O2424" s="89">
        <f t="shared" si="102"/>
        <v>10083.29</v>
      </c>
    </row>
    <row r="2425" spans="1:15">
      <c r="A2425" s="74" t="s">
        <v>309</v>
      </c>
      <c r="B2425" s="74" t="s">
        <v>143</v>
      </c>
      <c r="C2425" s="74" t="s">
        <v>144</v>
      </c>
      <c r="D2425" s="74" t="s">
        <v>79</v>
      </c>
      <c r="E2425" s="74" t="s">
        <v>80</v>
      </c>
      <c r="F2425" s="86" t="s">
        <v>145</v>
      </c>
      <c r="G2425" s="74" t="s">
        <v>146</v>
      </c>
      <c r="H2425" s="87">
        <v>44865</v>
      </c>
      <c r="I2425" s="98">
        <v>22</v>
      </c>
      <c r="J2425" s="98">
        <v>22</v>
      </c>
      <c r="K2425" s="89">
        <f t="shared" si="104"/>
        <v>1</v>
      </c>
      <c r="L2425" s="89">
        <v>19431.47</v>
      </c>
      <c r="M2425" s="89">
        <v>3161.78</v>
      </c>
      <c r="N2425" s="89">
        <v>2085.46</v>
      </c>
      <c r="O2425" s="89">
        <f t="shared" si="102"/>
        <v>24678.71</v>
      </c>
    </row>
    <row r="2426" spans="1:15">
      <c r="A2426" s="74" t="s">
        <v>309</v>
      </c>
      <c r="B2426" s="74" t="s">
        <v>147</v>
      </c>
      <c r="C2426" s="74" t="s">
        <v>148</v>
      </c>
      <c r="D2426" s="74" t="s">
        <v>79</v>
      </c>
      <c r="E2426" s="74" t="s">
        <v>80</v>
      </c>
      <c r="F2426" s="86" t="s">
        <v>149</v>
      </c>
      <c r="G2426" s="74" t="s">
        <v>150</v>
      </c>
      <c r="H2426" s="87">
        <v>44865</v>
      </c>
      <c r="I2426" s="98">
        <v>22</v>
      </c>
      <c r="J2426" s="98">
        <v>22</v>
      </c>
      <c r="K2426" s="89">
        <f t="shared" si="104"/>
        <v>1</v>
      </c>
      <c r="L2426" s="89">
        <v>17937.48</v>
      </c>
      <c r="M2426" s="89">
        <v>3093.94</v>
      </c>
      <c r="N2426" s="89">
        <v>1734.51</v>
      </c>
      <c r="O2426" s="89">
        <f t="shared" si="102"/>
        <v>22765.93</v>
      </c>
    </row>
    <row r="2427" spans="1:15">
      <c r="A2427" s="74" t="s">
        <v>309</v>
      </c>
      <c r="B2427" s="74" t="s">
        <v>151</v>
      </c>
      <c r="C2427" s="74" t="s">
        <v>152</v>
      </c>
      <c r="D2427" s="74" t="s">
        <v>79</v>
      </c>
      <c r="E2427" s="74" t="s">
        <v>81</v>
      </c>
      <c r="F2427" s="86" t="s">
        <v>123</v>
      </c>
      <c r="G2427" s="74" t="s">
        <v>153</v>
      </c>
      <c r="H2427" s="87">
        <v>44865</v>
      </c>
      <c r="I2427" s="98">
        <v>22</v>
      </c>
      <c r="J2427" s="98">
        <v>22</v>
      </c>
      <c r="K2427" s="89">
        <f t="shared" si="104"/>
        <v>1</v>
      </c>
      <c r="L2427" s="89">
        <v>6518.13</v>
      </c>
      <c r="M2427" s="89">
        <v>3264.72</v>
      </c>
      <c r="N2427" s="89">
        <v>608.2</v>
      </c>
      <c r="O2427" s="89">
        <f t="shared" si="102"/>
        <v>10391.05</v>
      </c>
    </row>
    <row r="2428" spans="1:15">
      <c r="A2428" s="74" t="s">
        <v>309</v>
      </c>
      <c r="B2428" s="74" t="s">
        <v>154</v>
      </c>
      <c r="C2428" s="74" t="s">
        <v>155</v>
      </c>
      <c r="D2428" s="74" t="s">
        <v>79</v>
      </c>
      <c r="E2428" s="74" t="s">
        <v>81</v>
      </c>
      <c r="F2428" s="86" t="s">
        <v>156</v>
      </c>
      <c r="G2428" s="74" t="s">
        <v>157</v>
      </c>
      <c r="H2428" s="87">
        <v>44865</v>
      </c>
      <c r="I2428" s="98">
        <v>22</v>
      </c>
      <c r="J2428" s="98">
        <v>22</v>
      </c>
      <c r="K2428" s="89">
        <f t="shared" si="104"/>
        <v>1</v>
      </c>
      <c r="L2428" s="89">
        <v>5312.02</v>
      </c>
      <c r="M2428" s="89">
        <v>3130.83</v>
      </c>
      <c r="N2428" s="89">
        <v>527.82</v>
      </c>
      <c r="O2428" s="89">
        <f t="shared" si="102"/>
        <v>8970.67</v>
      </c>
    </row>
    <row r="2429" spans="1:15">
      <c r="A2429" s="74" t="s">
        <v>309</v>
      </c>
      <c r="B2429" s="74" t="s">
        <v>158</v>
      </c>
      <c r="C2429" s="74" t="s">
        <v>159</v>
      </c>
      <c r="D2429" s="74" t="s">
        <v>79</v>
      </c>
      <c r="E2429" s="74" t="s">
        <v>81</v>
      </c>
      <c r="F2429" s="86" t="s">
        <v>160</v>
      </c>
      <c r="G2429" s="74" t="s">
        <v>161</v>
      </c>
      <c r="H2429" s="87">
        <v>44865</v>
      </c>
      <c r="I2429" s="98">
        <v>22</v>
      </c>
      <c r="J2429" s="98">
        <v>22</v>
      </c>
      <c r="K2429" s="89">
        <f t="shared" si="104"/>
        <v>1</v>
      </c>
      <c r="L2429" s="89">
        <v>4188.13</v>
      </c>
      <c r="M2429" s="89">
        <v>3227.05</v>
      </c>
      <c r="N2429" s="89">
        <v>436.46</v>
      </c>
      <c r="O2429" s="89">
        <f t="shared" si="102"/>
        <v>7851.64</v>
      </c>
    </row>
    <row r="2430" spans="1:15">
      <c r="A2430" s="74" t="s">
        <v>309</v>
      </c>
      <c r="B2430" s="74" t="s">
        <v>162</v>
      </c>
      <c r="C2430" s="74" t="s">
        <v>163</v>
      </c>
      <c r="D2430" s="74" t="s">
        <v>79</v>
      </c>
      <c r="E2430" s="74" t="s">
        <v>81</v>
      </c>
      <c r="F2430" s="86" t="s">
        <v>123</v>
      </c>
      <c r="G2430" s="74" t="s">
        <v>153</v>
      </c>
      <c r="H2430" s="87">
        <v>44865</v>
      </c>
      <c r="I2430" s="98">
        <v>22</v>
      </c>
      <c r="J2430" s="98">
        <v>22</v>
      </c>
      <c r="K2430" s="89">
        <f t="shared" si="104"/>
        <v>1</v>
      </c>
      <c r="L2430" s="89">
        <v>6219.48</v>
      </c>
      <c r="M2430" s="89">
        <v>3206.63</v>
      </c>
      <c r="N2430" s="89">
        <v>651.08</v>
      </c>
      <c r="O2430" s="89">
        <f t="shared" si="102"/>
        <v>10077.19</v>
      </c>
    </row>
    <row r="2431" spans="1:15">
      <c r="A2431" s="74" t="s">
        <v>309</v>
      </c>
      <c r="B2431" s="74" t="s">
        <v>164</v>
      </c>
      <c r="C2431" s="74" t="s">
        <v>165</v>
      </c>
      <c r="D2431" s="74" t="s">
        <v>79</v>
      </c>
      <c r="E2431" s="74" t="s">
        <v>81</v>
      </c>
      <c r="F2431" s="86" t="s">
        <v>156</v>
      </c>
      <c r="G2431" s="74" t="s">
        <v>157</v>
      </c>
      <c r="H2431" s="87">
        <v>44865</v>
      </c>
      <c r="I2431" s="98">
        <v>22</v>
      </c>
      <c r="J2431" s="98">
        <v>22</v>
      </c>
      <c r="K2431" s="89">
        <f t="shared" si="104"/>
        <v>1</v>
      </c>
      <c r="L2431" s="89">
        <v>5418.52</v>
      </c>
      <c r="M2431" s="89">
        <v>3042.17</v>
      </c>
      <c r="N2431" s="89">
        <v>505.2</v>
      </c>
      <c r="O2431" s="89">
        <f t="shared" si="102"/>
        <v>8965.89</v>
      </c>
    </row>
    <row r="2432" spans="1:15">
      <c r="A2432" s="74" t="s">
        <v>309</v>
      </c>
      <c r="B2432" s="74" t="s">
        <v>166</v>
      </c>
      <c r="C2432" s="74" t="s">
        <v>167</v>
      </c>
      <c r="D2432" s="74" t="s">
        <v>79</v>
      </c>
      <c r="E2432" s="74" t="s">
        <v>81</v>
      </c>
      <c r="F2432" s="86" t="s">
        <v>160</v>
      </c>
      <c r="G2432" s="74" t="s">
        <v>161</v>
      </c>
      <c r="H2432" s="87">
        <v>44865</v>
      </c>
      <c r="I2432" s="98">
        <v>22</v>
      </c>
      <c r="J2432" s="98">
        <v>22</v>
      </c>
      <c r="K2432" s="89">
        <f t="shared" si="104"/>
        <v>1</v>
      </c>
      <c r="L2432" s="89">
        <v>4227.96</v>
      </c>
      <c r="M2432" s="89">
        <v>3168.8</v>
      </c>
      <c r="N2432" s="89">
        <v>407.17</v>
      </c>
      <c r="O2432" s="89">
        <f t="shared" si="102"/>
        <v>7803.93</v>
      </c>
    </row>
    <row r="2433" spans="1:15">
      <c r="A2433" s="74" t="s">
        <v>309</v>
      </c>
      <c r="B2433" s="74" t="s">
        <v>168</v>
      </c>
      <c r="C2433" s="74" t="s">
        <v>169</v>
      </c>
      <c r="D2433" s="74" t="s">
        <v>79</v>
      </c>
      <c r="E2433" s="74" t="s">
        <v>81</v>
      </c>
      <c r="F2433" s="86" t="s">
        <v>123</v>
      </c>
      <c r="G2433" s="74" t="s">
        <v>153</v>
      </c>
      <c r="H2433" s="87">
        <v>44865</v>
      </c>
      <c r="I2433" s="98">
        <v>22</v>
      </c>
      <c r="J2433" s="98">
        <v>22</v>
      </c>
      <c r="K2433" s="89">
        <f t="shared" si="104"/>
        <v>1</v>
      </c>
      <c r="L2433" s="89">
        <v>6451.78</v>
      </c>
      <c r="M2433" s="89">
        <v>3089.79</v>
      </c>
      <c r="N2433" s="89">
        <v>607.4</v>
      </c>
      <c r="O2433" s="89">
        <f t="shared" si="102"/>
        <v>10148.97</v>
      </c>
    </row>
    <row r="2434" spans="1:15">
      <c r="A2434" s="74" t="s">
        <v>309</v>
      </c>
      <c r="B2434" s="74" t="s">
        <v>170</v>
      </c>
      <c r="C2434" s="74" t="s">
        <v>171</v>
      </c>
      <c r="D2434" s="74" t="s">
        <v>79</v>
      </c>
      <c r="E2434" s="74" t="s">
        <v>81</v>
      </c>
      <c r="F2434" s="86" t="s">
        <v>156</v>
      </c>
      <c r="G2434" s="74" t="s">
        <v>157</v>
      </c>
      <c r="H2434" s="87">
        <v>44865</v>
      </c>
      <c r="I2434" s="98">
        <v>22</v>
      </c>
      <c r="J2434" s="98">
        <v>22</v>
      </c>
      <c r="K2434" s="89">
        <f t="shared" si="104"/>
        <v>1</v>
      </c>
      <c r="L2434" s="89">
        <v>5087.06</v>
      </c>
      <c r="M2434" s="89">
        <v>3021.12</v>
      </c>
      <c r="N2434" s="89">
        <v>526.63</v>
      </c>
      <c r="O2434" s="89">
        <f t="shared" si="102"/>
        <v>8634.81</v>
      </c>
    </row>
    <row r="2435" spans="1:15">
      <c r="A2435" s="74" t="s">
        <v>309</v>
      </c>
      <c r="B2435" s="74" t="s">
        <v>172</v>
      </c>
      <c r="C2435" s="74" t="s">
        <v>173</v>
      </c>
      <c r="D2435" s="74" t="s">
        <v>79</v>
      </c>
      <c r="E2435" s="74" t="s">
        <v>81</v>
      </c>
      <c r="F2435" s="86" t="s">
        <v>160</v>
      </c>
      <c r="G2435" s="74" t="s">
        <v>161</v>
      </c>
      <c r="H2435" s="87">
        <v>44865</v>
      </c>
      <c r="I2435" s="98">
        <v>22</v>
      </c>
      <c r="J2435" s="98">
        <v>22</v>
      </c>
      <c r="K2435" s="89">
        <f t="shared" si="104"/>
        <v>1</v>
      </c>
      <c r="L2435" s="89">
        <v>4215.36</v>
      </c>
      <c r="M2435" s="89">
        <v>3143.77</v>
      </c>
      <c r="N2435" s="89">
        <v>400.9</v>
      </c>
      <c r="O2435" s="89">
        <f t="shared" si="102"/>
        <v>7760.03</v>
      </c>
    </row>
    <row r="2436" spans="1:15">
      <c r="A2436" s="74" t="s">
        <v>309</v>
      </c>
      <c r="B2436" s="74" t="s">
        <v>174</v>
      </c>
      <c r="C2436" s="74" t="s">
        <v>175</v>
      </c>
      <c r="D2436" s="74" t="s">
        <v>79</v>
      </c>
      <c r="E2436" s="74" t="s">
        <v>81</v>
      </c>
      <c r="F2436" s="86" t="s">
        <v>176</v>
      </c>
      <c r="G2436" s="74" t="s">
        <v>177</v>
      </c>
      <c r="H2436" s="87">
        <v>44865</v>
      </c>
      <c r="I2436" s="98">
        <v>22</v>
      </c>
      <c r="J2436" s="98">
        <v>22</v>
      </c>
      <c r="K2436" s="89">
        <f t="shared" si="104"/>
        <v>1</v>
      </c>
      <c r="L2436" s="89">
        <v>3049.09</v>
      </c>
      <c r="M2436" s="89">
        <v>3223.77</v>
      </c>
      <c r="N2436" s="89">
        <v>306.07</v>
      </c>
      <c r="O2436" s="89">
        <f t="shared" si="102"/>
        <v>6578.93</v>
      </c>
    </row>
    <row r="2437" spans="1:15">
      <c r="A2437" s="74" t="s">
        <v>309</v>
      </c>
      <c r="B2437" s="74" t="s">
        <v>178</v>
      </c>
      <c r="C2437" s="74" t="s">
        <v>179</v>
      </c>
      <c r="D2437" s="74" t="s">
        <v>79</v>
      </c>
      <c r="E2437" s="74" t="s">
        <v>81</v>
      </c>
      <c r="F2437" s="86" t="s">
        <v>180</v>
      </c>
      <c r="G2437" s="74" t="s">
        <v>177</v>
      </c>
      <c r="H2437" s="87">
        <v>44865</v>
      </c>
      <c r="I2437" s="98">
        <v>22</v>
      </c>
      <c r="J2437" s="98">
        <v>22</v>
      </c>
      <c r="K2437" s="89">
        <f t="shared" si="104"/>
        <v>1</v>
      </c>
      <c r="L2437" s="89">
        <v>2188.4</v>
      </c>
      <c r="M2437" s="89">
        <v>3034.8</v>
      </c>
      <c r="N2437" s="89">
        <v>207.71</v>
      </c>
      <c r="O2437" s="89">
        <f t="shared" ref="O2437:O2500" si="105">SUM(L2437:N2437)</f>
        <v>5430.91</v>
      </c>
    </row>
    <row r="2438" spans="1:15">
      <c r="A2438" s="74" t="s">
        <v>309</v>
      </c>
      <c r="B2438" s="74" t="s">
        <v>181</v>
      </c>
      <c r="C2438" s="74" t="s">
        <v>182</v>
      </c>
      <c r="D2438" s="74" t="s">
        <v>79</v>
      </c>
      <c r="E2438" s="74" t="s">
        <v>81</v>
      </c>
      <c r="F2438" s="86" t="s">
        <v>183</v>
      </c>
      <c r="G2438" s="74" t="s">
        <v>177</v>
      </c>
      <c r="H2438" s="87">
        <v>44865</v>
      </c>
      <c r="I2438" s="98">
        <v>22</v>
      </c>
      <c r="J2438" s="98">
        <v>22</v>
      </c>
      <c r="K2438" s="89">
        <f t="shared" si="104"/>
        <v>1</v>
      </c>
      <c r="L2438" s="89">
        <v>1037.35</v>
      </c>
      <c r="M2438" s="89">
        <v>3084.67</v>
      </c>
      <c r="N2438" s="89">
        <v>100.28</v>
      </c>
      <c r="O2438" s="89">
        <f t="shared" si="105"/>
        <v>4222.3</v>
      </c>
    </row>
    <row r="2439" spans="1:15">
      <c r="A2439" s="74" t="s">
        <v>309</v>
      </c>
      <c r="B2439" s="74" t="s">
        <v>184</v>
      </c>
      <c r="C2439" s="74" t="s">
        <v>185</v>
      </c>
      <c r="D2439" s="74" t="s">
        <v>79</v>
      </c>
      <c r="E2439" s="74" t="s">
        <v>81</v>
      </c>
      <c r="F2439" s="86" t="s">
        <v>176</v>
      </c>
      <c r="G2439" s="74" t="s">
        <v>177</v>
      </c>
      <c r="H2439" s="87">
        <v>44865</v>
      </c>
      <c r="I2439" s="98">
        <v>22</v>
      </c>
      <c r="J2439" s="98">
        <v>22</v>
      </c>
      <c r="K2439" s="89">
        <f t="shared" si="104"/>
        <v>1</v>
      </c>
      <c r="L2439" s="89">
        <v>3164.65</v>
      </c>
      <c r="M2439" s="89">
        <v>3226.16</v>
      </c>
      <c r="N2439" s="89">
        <v>323.58</v>
      </c>
      <c r="O2439" s="89">
        <f t="shared" si="105"/>
        <v>6714.39</v>
      </c>
    </row>
    <row r="2440" spans="1:15">
      <c r="A2440" s="74" t="s">
        <v>309</v>
      </c>
      <c r="B2440" s="74" t="s">
        <v>186</v>
      </c>
      <c r="C2440" s="74" t="s">
        <v>187</v>
      </c>
      <c r="D2440" s="74" t="s">
        <v>79</v>
      </c>
      <c r="E2440" s="74" t="s">
        <v>81</v>
      </c>
      <c r="F2440" s="86" t="s">
        <v>180</v>
      </c>
      <c r="G2440" s="74" t="s">
        <v>177</v>
      </c>
      <c r="H2440" s="87">
        <v>44865</v>
      </c>
      <c r="I2440" s="98">
        <v>22</v>
      </c>
      <c r="J2440" s="98">
        <v>22</v>
      </c>
      <c r="K2440" s="89">
        <f t="shared" si="104"/>
        <v>1</v>
      </c>
      <c r="L2440" s="89">
        <v>2100.23</v>
      </c>
      <c r="M2440" s="89">
        <v>3095.24</v>
      </c>
      <c r="N2440" s="89">
        <v>206.47</v>
      </c>
      <c r="O2440" s="89">
        <f t="shared" si="105"/>
        <v>5401.94</v>
      </c>
    </row>
    <row r="2441" spans="1:15">
      <c r="A2441" s="74" t="s">
        <v>309</v>
      </c>
      <c r="B2441" s="74" t="s">
        <v>188</v>
      </c>
      <c r="C2441" s="74" t="s">
        <v>189</v>
      </c>
      <c r="D2441" s="74" t="s">
        <v>79</v>
      </c>
      <c r="E2441" s="74" t="s">
        <v>81</v>
      </c>
      <c r="F2441" s="86" t="s">
        <v>183</v>
      </c>
      <c r="G2441" s="74" t="s">
        <v>177</v>
      </c>
      <c r="H2441" s="87">
        <v>44865</v>
      </c>
      <c r="I2441" s="98">
        <v>22</v>
      </c>
      <c r="J2441" s="98">
        <v>22</v>
      </c>
      <c r="K2441" s="89">
        <f t="shared" si="104"/>
        <v>1</v>
      </c>
      <c r="L2441" s="89">
        <v>1013.02</v>
      </c>
      <c r="M2441" s="89">
        <v>3056.33</v>
      </c>
      <c r="N2441" s="89">
        <v>109.52</v>
      </c>
      <c r="O2441" s="89">
        <f t="shared" si="105"/>
        <v>4178.87</v>
      </c>
    </row>
    <row r="2442" spans="1:15">
      <c r="A2442" s="74" t="s">
        <v>309</v>
      </c>
      <c r="B2442" s="74" t="s">
        <v>190</v>
      </c>
      <c r="C2442" s="74" t="s">
        <v>191</v>
      </c>
      <c r="D2442" s="74" t="s">
        <v>79</v>
      </c>
      <c r="E2442" s="74" t="s">
        <v>81</v>
      </c>
      <c r="F2442" s="86" t="s">
        <v>176</v>
      </c>
      <c r="G2442" s="74" t="s">
        <v>177</v>
      </c>
      <c r="H2442" s="87">
        <v>44865</v>
      </c>
      <c r="I2442" s="98">
        <v>22</v>
      </c>
      <c r="J2442" s="98">
        <v>22</v>
      </c>
      <c r="K2442" s="89">
        <f t="shared" si="104"/>
        <v>1</v>
      </c>
      <c r="L2442" s="89">
        <v>3084.67</v>
      </c>
      <c r="M2442" s="89">
        <v>3094.34</v>
      </c>
      <c r="N2442" s="89">
        <v>310.3</v>
      </c>
      <c r="O2442" s="89">
        <f t="shared" si="105"/>
        <v>6489.31</v>
      </c>
    </row>
    <row r="2443" spans="1:15">
      <c r="A2443" s="74" t="s">
        <v>309</v>
      </c>
      <c r="B2443" s="74" t="s">
        <v>192</v>
      </c>
      <c r="C2443" s="74" t="s">
        <v>193</v>
      </c>
      <c r="D2443" s="74" t="s">
        <v>79</v>
      </c>
      <c r="E2443" s="74" t="s">
        <v>81</v>
      </c>
      <c r="F2443" s="86" t="s">
        <v>180</v>
      </c>
      <c r="G2443" s="74" t="s">
        <v>177</v>
      </c>
      <c r="H2443" s="87">
        <v>44865</v>
      </c>
      <c r="I2443" s="98">
        <v>22</v>
      </c>
      <c r="J2443" s="98">
        <v>22</v>
      </c>
      <c r="K2443" s="89">
        <f t="shared" si="104"/>
        <v>1</v>
      </c>
      <c r="L2443" s="89">
        <v>2043.11</v>
      </c>
      <c r="M2443" s="89">
        <v>3070.12</v>
      </c>
      <c r="N2443" s="89">
        <v>210.1</v>
      </c>
      <c r="O2443" s="89">
        <f t="shared" si="105"/>
        <v>5323.33</v>
      </c>
    </row>
    <row r="2444" spans="1:15">
      <c r="A2444" s="74" t="s">
        <v>309</v>
      </c>
      <c r="B2444" s="74" t="s">
        <v>194</v>
      </c>
      <c r="C2444" s="74" t="s">
        <v>195</v>
      </c>
      <c r="D2444" s="74" t="s">
        <v>79</v>
      </c>
      <c r="E2444" s="74" t="s">
        <v>81</v>
      </c>
      <c r="F2444" s="86" t="s">
        <v>183</v>
      </c>
      <c r="G2444" s="74" t="s">
        <v>177</v>
      </c>
      <c r="H2444" s="87">
        <v>44865</v>
      </c>
      <c r="I2444" s="98">
        <v>22</v>
      </c>
      <c r="J2444" s="98">
        <v>22</v>
      </c>
      <c r="K2444" s="89">
        <f t="shared" si="104"/>
        <v>1</v>
      </c>
      <c r="L2444" s="89">
        <v>1013.53</v>
      </c>
      <c r="M2444" s="89">
        <v>3115.62</v>
      </c>
      <c r="N2444" s="89">
        <v>100.52</v>
      </c>
      <c r="O2444" s="89">
        <f t="shared" si="105"/>
        <v>4229.67</v>
      </c>
    </row>
    <row r="2445" spans="1:15">
      <c r="A2445" s="74" t="s">
        <v>309</v>
      </c>
      <c r="B2445" s="74" t="s">
        <v>196</v>
      </c>
      <c r="C2445" s="74" t="s">
        <v>197</v>
      </c>
      <c r="D2445" s="74" t="s">
        <v>79</v>
      </c>
      <c r="E2445" s="74" t="s">
        <v>81</v>
      </c>
      <c r="F2445" s="86" t="s">
        <v>176</v>
      </c>
      <c r="G2445" s="74" t="s">
        <v>177</v>
      </c>
      <c r="H2445" s="87">
        <v>44865</v>
      </c>
      <c r="I2445" s="98">
        <v>22</v>
      </c>
      <c r="J2445" s="98">
        <v>22</v>
      </c>
      <c r="K2445" s="89">
        <f t="shared" si="104"/>
        <v>1</v>
      </c>
      <c r="L2445" s="89">
        <v>3287.49</v>
      </c>
      <c r="M2445" s="89">
        <v>3052.68</v>
      </c>
      <c r="N2445" s="89">
        <v>315.78</v>
      </c>
      <c r="O2445" s="89">
        <f t="shared" si="105"/>
        <v>6655.95</v>
      </c>
    </row>
    <row r="2446" spans="1:15">
      <c r="A2446" s="74" t="s">
        <v>309</v>
      </c>
      <c r="B2446" s="74" t="s">
        <v>198</v>
      </c>
      <c r="C2446" s="74" t="s">
        <v>199</v>
      </c>
      <c r="D2446" s="74" t="s">
        <v>79</v>
      </c>
      <c r="E2446" s="74" t="s">
        <v>81</v>
      </c>
      <c r="F2446" s="86" t="s">
        <v>180</v>
      </c>
      <c r="G2446" s="74" t="s">
        <v>177</v>
      </c>
      <c r="H2446" s="87">
        <v>44865</v>
      </c>
      <c r="I2446" s="98">
        <v>22</v>
      </c>
      <c r="J2446" s="98">
        <v>22</v>
      </c>
      <c r="K2446" s="89">
        <f t="shared" si="104"/>
        <v>1</v>
      </c>
      <c r="L2446" s="89">
        <v>2141.51</v>
      </c>
      <c r="M2446" s="89">
        <v>3143.69</v>
      </c>
      <c r="N2446" s="89">
        <v>209.61</v>
      </c>
      <c r="O2446" s="89">
        <f t="shared" si="105"/>
        <v>5494.81</v>
      </c>
    </row>
    <row r="2447" spans="1:15">
      <c r="A2447" s="74" t="s">
        <v>309</v>
      </c>
      <c r="B2447" s="74" t="s">
        <v>200</v>
      </c>
      <c r="C2447" s="74" t="s">
        <v>201</v>
      </c>
      <c r="D2447" s="74" t="s">
        <v>79</v>
      </c>
      <c r="E2447" s="74" t="s">
        <v>81</v>
      </c>
      <c r="F2447" s="86" t="s">
        <v>183</v>
      </c>
      <c r="G2447" s="74" t="s">
        <v>177</v>
      </c>
      <c r="H2447" s="87">
        <v>44865</v>
      </c>
      <c r="I2447" s="98">
        <v>22</v>
      </c>
      <c r="J2447" s="98">
        <v>22</v>
      </c>
      <c r="K2447" s="89">
        <f t="shared" si="104"/>
        <v>1</v>
      </c>
      <c r="L2447" s="89">
        <v>1080.6</v>
      </c>
      <c r="M2447" s="89">
        <v>3168.61</v>
      </c>
      <c r="N2447" s="89">
        <v>108.82</v>
      </c>
      <c r="O2447" s="89">
        <f t="shared" si="105"/>
        <v>4358.03</v>
      </c>
    </row>
    <row r="2448" spans="1:15">
      <c r="A2448" s="74" t="s">
        <v>309</v>
      </c>
      <c r="B2448" s="74" t="s">
        <v>202</v>
      </c>
      <c r="C2448" s="74" t="s">
        <v>203</v>
      </c>
      <c r="D2448" s="74" t="s">
        <v>79</v>
      </c>
      <c r="E2448" s="74" t="s">
        <v>81</v>
      </c>
      <c r="F2448" s="86" t="s">
        <v>204</v>
      </c>
      <c r="G2448" s="74" t="s">
        <v>205</v>
      </c>
      <c r="H2448" s="87">
        <v>44865</v>
      </c>
      <c r="I2448" s="98">
        <v>22</v>
      </c>
      <c r="J2448" s="98">
        <v>22</v>
      </c>
      <c r="K2448" s="89">
        <f t="shared" si="104"/>
        <v>1</v>
      </c>
      <c r="L2448" s="89">
        <v>18554.98</v>
      </c>
      <c r="M2448" s="89">
        <v>3228.36</v>
      </c>
      <c r="N2448" s="89">
        <v>1864.04</v>
      </c>
      <c r="O2448" s="89">
        <f t="shared" si="105"/>
        <v>23647.38</v>
      </c>
    </row>
    <row r="2449" spans="1:15">
      <c r="A2449" s="74" t="s">
        <v>309</v>
      </c>
      <c r="B2449" s="74" t="s">
        <v>206</v>
      </c>
      <c r="C2449" s="74" t="s">
        <v>207</v>
      </c>
      <c r="D2449" s="88" t="s">
        <v>82</v>
      </c>
      <c r="E2449" s="88" t="s">
        <v>84</v>
      </c>
      <c r="F2449" s="86" t="s">
        <v>208</v>
      </c>
      <c r="G2449" s="74" t="s">
        <v>209</v>
      </c>
      <c r="H2449" s="87">
        <v>44865</v>
      </c>
      <c r="I2449" s="98">
        <v>22</v>
      </c>
      <c r="J2449" s="98">
        <v>22</v>
      </c>
      <c r="K2449" s="89">
        <f t="shared" si="104"/>
        <v>1</v>
      </c>
      <c r="L2449" s="89">
        <v>9148.75</v>
      </c>
      <c r="M2449" s="89">
        <v>3041.1</v>
      </c>
      <c r="N2449" s="89">
        <v>968.95</v>
      </c>
      <c r="O2449" s="89">
        <f t="shared" si="105"/>
        <v>13158.8</v>
      </c>
    </row>
    <row r="2450" spans="1:15">
      <c r="A2450" s="74" t="s">
        <v>309</v>
      </c>
      <c r="B2450" s="74" t="s">
        <v>210</v>
      </c>
      <c r="C2450" s="74" t="s">
        <v>211</v>
      </c>
      <c r="D2450" s="88" t="s">
        <v>82</v>
      </c>
      <c r="E2450" s="88" t="s">
        <v>84</v>
      </c>
      <c r="F2450" s="86" t="s">
        <v>116</v>
      </c>
      <c r="G2450" s="74" t="s">
        <v>209</v>
      </c>
      <c r="H2450" s="87">
        <v>44865</v>
      </c>
      <c r="I2450" s="98">
        <v>22</v>
      </c>
      <c r="J2450" s="98">
        <v>22</v>
      </c>
      <c r="K2450" s="89">
        <f t="shared" si="104"/>
        <v>1</v>
      </c>
      <c r="L2450" s="89">
        <v>8221.03</v>
      </c>
      <c r="M2450" s="89">
        <v>3046.11</v>
      </c>
      <c r="N2450" s="89">
        <v>827.92</v>
      </c>
      <c r="O2450" s="89">
        <f t="shared" si="105"/>
        <v>12095.06</v>
      </c>
    </row>
    <row r="2451" spans="1:15">
      <c r="A2451" s="74" t="s">
        <v>309</v>
      </c>
      <c r="B2451" s="74" t="s">
        <v>212</v>
      </c>
      <c r="C2451" s="74" t="s">
        <v>213</v>
      </c>
      <c r="D2451" s="88" t="s">
        <v>82</v>
      </c>
      <c r="E2451" s="88" t="s">
        <v>84</v>
      </c>
      <c r="F2451" s="86" t="s">
        <v>208</v>
      </c>
      <c r="G2451" s="74" t="s">
        <v>209</v>
      </c>
      <c r="H2451" s="87">
        <v>44865</v>
      </c>
      <c r="I2451" s="98">
        <v>22</v>
      </c>
      <c r="J2451" s="98">
        <v>22</v>
      </c>
      <c r="K2451" s="89">
        <f t="shared" si="104"/>
        <v>1</v>
      </c>
      <c r="L2451" s="89">
        <v>9190.99</v>
      </c>
      <c r="M2451" s="89">
        <v>3026.51</v>
      </c>
      <c r="N2451" s="89">
        <v>945.56</v>
      </c>
      <c r="O2451" s="89">
        <f t="shared" si="105"/>
        <v>13163.06</v>
      </c>
    </row>
    <row r="2452" spans="1:15">
      <c r="A2452" s="74" t="s">
        <v>309</v>
      </c>
      <c r="B2452" s="74" t="s">
        <v>214</v>
      </c>
      <c r="C2452" s="74" t="s">
        <v>215</v>
      </c>
      <c r="D2452" s="88" t="s">
        <v>82</v>
      </c>
      <c r="E2452" s="88" t="s">
        <v>84</v>
      </c>
      <c r="F2452" s="86" t="s">
        <v>116</v>
      </c>
      <c r="G2452" s="74" t="s">
        <v>209</v>
      </c>
      <c r="H2452" s="87">
        <v>44865</v>
      </c>
      <c r="I2452" s="98">
        <v>22</v>
      </c>
      <c r="J2452" s="98">
        <v>22</v>
      </c>
      <c r="K2452" s="89">
        <f t="shared" si="104"/>
        <v>1</v>
      </c>
      <c r="L2452" s="89">
        <v>8502.09</v>
      </c>
      <c r="M2452" s="89">
        <v>3151.62</v>
      </c>
      <c r="N2452" s="89">
        <v>849.48</v>
      </c>
      <c r="O2452" s="89">
        <f t="shared" si="105"/>
        <v>12503.19</v>
      </c>
    </row>
    <row r="2453" spans="1:15">
      <c r="A2453" s="74" t="s">
        <v>309</v>
      </c>
      <c r="B2453" s="74" t="s">
        <v>216</v>
      </c>
      <c r="C2453" s="74" t="s">
        <v>217</v>
      </c>
      <c r="D2453" s="88" t="s">
        <v>82</v>
      </c>
      <c r="E2453" s="88" t="s">
        <v>84</v>
      </c>
      <c r="F2453" s="86" t="s">
        <v>218</v>
      </c>
      <c r="G2453" s="74" t="s">
        <v>219</v>
      </c>
      <c r="H2453" s="87">
        <v>44865</v>
      </c>
      <c r="I2453" s="98">
        <v>22</v>
      </c>
      <c r="J2453" s="98">
        <v>22</v>
      </c>
      <c r="K2453" s="89">
        <f t="shared" si="104"/>
        <v>1</v>
      </c>
      <c r="L2453" s="89">
        <v>11864.02</v>
      </c>
      <c r="M2453" s="89">
        <v>3160.08</v>
      </c>
      <c r="N2453" s="89">
        <v>1138.44</v>
      </c>
      <c r="O2453" s="89">
        <f t="shared" si="105"/>
        <v>16162.54</v>
      </c>
    </row>
    <row r="2454" spans="1:15">
      <c r="A2454" s="74" t="s">
        <v>309</v>
      </c>
      <c r="B2454" s="74" t="s">
        <v>220</v>
      </c>
      <c r="C2454" s="74" t="s">
        <v>221</v>
      </c>
      <c r="D2454" s="88" t="s">
        <v>82</v>
      </c>
      <c r="E2454" s="74" t="s">
        <v>83</v>
      </c>
      <c r="F2454" s="86" t="s">
        <v>218</v>
      </c>
      <c r="G2454" s="74" t="s">
        <v>222</v>
      </c>
      <c r="H2454" s="87">
        <v>44865</v>
      </c>
      <c r="I2454" s="98">
        <v>22</v>
      </c>
      <c r="J2454" s="98">
        <v>22</v>
      </c>
      <c r="K2454" s="89">
        <f t="shared" si="104"/>
        <v>1</v>
      </c>
      <c r="L2454" s="89">
        <v>11591.15</v>
      </c>
      <c r="M2454" s="89">
        <v>3207.15</v>
      </c>
      <c r="N2454" s="89">
        <v>1126.29</v>
      </c>
      <c r="O2454" s="89">
        <f t="shared" si="105"/>
        <v>15924.59</v>
      </c>
    </row>
    <row r="2455" spans="1:15">
      <c r="A2455" s="74" t="s">
        <v>309</v>
      </c>
      <c r="B2455" s="74" t="s">
        <v>223</v>
      </c>
      <c r="C2455" s="74" t="s">
        <v>224</v>
      </c>
      <c r="D2455" s="88" t="s">
        <v>82</v>
      </c>
      <c r="E2455" s="74" t="s">
        <v>83</v>
      </c>
      <c r="F2455" s="86" t="s">
        <v>225</v>
      </c>
      <c r="G2455" s="74" t="s">
        <v>209</v>
      </c>
      <c r="H2455" s="87">
        <v>44865</v>
      </c>
      <c r="I2455" s="98">
        <v>22</v>
      </c>
      <c r="J2455" s="98">
        <v>22</v>
      </c>
      <c r="K2455" s="89">
        <f t="shared" si="104"/>
        <v>1</v>
      </c>
      <c r="L2455" s="89">
        <v>10689.82</v>
      </c>
      <c r="M2455" s="89">
        <v>3270.61</v>
      </c>
      <c r="N2455" s="89">
        <v>1043.06</v>
      </c>
      <c r="O2455" s="89">
        <f t="shared" si="105"/>
        <v>15003.49</v>
      </c>
    </row>
    <row r="2456" spans="1:15">
      <c r="A2456" s="74" t="s">
        <v>309</v>
      </c>
      <c r="B2456" s="74" t="s">
        <v>226</v>
      </c>
      <c r="C2456" s="74" t="s">
        <v>227</v>
      </c>
      <c r="D2456" s="88" t="s">
        <v>82</v>
      </c>
      <c r="E2456" s="74" t="s">
        <v>83</v>
      </c>
      <c r="F2456" s="86" t="s">
        <v>208</v>
      </c>
      <c r="G2456" s="74" t="s">
        <v>209</v>
      </c>
      <c r="H2456" s="87">
        <v>44865</v>
      </c>
      <c r="I2456" s="98">
        <v>22</v>
      </c>
      <c r="J2456" s="98">
        <v>22</v>
      </c>
      <c r="K2456" s="89">
        <f t="shared" si="104"/>
        <v>1</v>
      </c>
      <c r="L2456" s="89">
        <v>9701.65</v>
      </c>
      <c r="M2456" s="89">
        <v>3229.42</v>
      </c>
      <c r="N2456" s="89">
        <v>952.37</v>
      </c>
      <c r="O2456" s="89">
        <f t="shared" si="105"/>
        <v>13883.44</v>
      </c>
    </row>
    <row r="2457" spans="1:15">
      <c r="A2457" s="74" t="s">
        <v>309</v>
      </c>
      <c r="B2457" s="74" t="s">
        <v>228</v>
      </c>
      <c r="C2457" s="74" t="s">
        <v>229</v>
      </c>
      <c r="D2457" s="88" t="s">
        <v>82</v>
      </c>
      <c r="E2457" s="74" t="s">
        <v>83</v>
      </c>
      <c r="F2457" s="86" t="s">
        <v>116</v>
      </c>
      <c r="G2457" s="74" t="s">
        <v>209</v>
      </c>
      <c r="H2457" s="87">
        <v>44865</v>
      </c>
      <c r="I2457" s="98">
        <v>22</v>
      </c>
      <c r="J2457" s="98">
        <v>22</v>
      </c>
      <c r="K2457" s="89">
        <f t="shared" si="104"/>
        <v>1</v>
      </c>
      <c r="L2457" s="89">
        <v>8462.91</v>
      </c>
      <c r="M2457" s="89">
        <v>3076.96</v>
      </c>
      <c r="N2457" s="89">
        <v>870.84</v>
      </c>
      <c r="O2457" s="89">
        <f t="shared" si="105"/>
        <v>12410.71</v>
      </c>
    </row>
    <row r="2458" spans="1:15">
      <c r="A2458" s="74" t="s">
        <v>309</v>
      </c>
      <c r="B2458" s="74" t="s">
        <v>230</v>
      </c>
      <c r="C2458" s="74" t="s">
        <v>231</v>
      </c>
      <c r="D2458" s="88" t="s">
        <v>82</v>
      </c>
      <c r="E2458" s="74" t="s">
        <v>83</v>
      </c>
      <c r="F2458" s="86" t="s">
        <v>120</v>
      </c>
      <c r="G2458" s="74" t="s">
        <v>209</v>
      </c>
      <c r="H2458" s="87">
        <v>44865</v>
      </c>
      <c r="I2458" s="98">
        <v>22</v>
      </c>
      <c r="J2458" s="98">
        <v>22</v>
      </c>
      <c r="K2458" s="89">
        <f t="shared" si="104"/>
        <v>1</v>
      </c>
      <c r="L2458" s="89">
        <v>7216.29</v>
      </c>
      <c r="M2458" s="89">
        <v>3037.64</v>
      </c>
      <c r="N2458" s="89">
        <v>746.82</v>
      </c>
      <c r="O2458" s="89">
        <f t="shared" si="105"/>
        <v>11000.75</v>
      </c>
    </row>
    <row r="2459" spans="1:15">
      <c r="A2459" s="74" t="s">
        <v>309</v>
      </c>
      <c r="B2459" s="74" t="s">
        <v>232</v>
      </c>
      <c r="C2459" s="74" t="s">
        <v>233</v>
      </c>
      <c r="D2459" s="88" t="s">
        <v>82</v>
      </c>
      <c r="E2459" s="74" t="s">
        <v>83</v>
      </c>
      <c r="F2459" s="86" t="s">
        <v>123</v>
      </c>
      <c r="G2459" s="74" t="s">
        <v>209</v>
      </c>
      <c r="H2459" s="87">
        <v>44865</v>
      </c>
      <c r="I2459" s="98">
        <v>22</v>
      </c>
      <c r="J2459" s="98">
        <v>22</v>
      </c>
      <c r="K2459" s="89">
        <f t="shared" si="104"/>
        <v>1</v>
      </c>
      <c r="L2459" s="89">
        <v>6434.17</v>
      </c>
      <c r="M2459" s="89">
        <v>3055.65</v>
      </c>
      <c r="N2459" s="89">
        <v>629</v>
      </c>
      <c r="O2459" s="89">
        <f t="shared" si="105"/>
        <v>10118.82</v>
      </c>
    </row>
    <row r="2460" spans="1:15">
      <c r="A2460" s="74" t="s">
        <v>309</v>
      </c>
      <c r="B2460" s="74" t="s">
        <v>234</v>
      </c>
      <c r="C2460" s="74" t="s">
        <v>235</v>
      </c>
      <c r="D2460" s="88" t="s">
        <v>82</v>
      </c>
      <c r="E2460" s="74" t="s">
        <v>83</v>
      </c>
      <c r="F2460" s="86" t="s">
        <v>116</v>
      </c>
      <c r="G2460" s="74" t="s">
        <v>209</v>
      </c>
      <c r="H2460" s="87">
        <v>44865</v>
      </c>
      <c r="I2460" s="98">
        <v>22</v>
      </c>
      <c r="J2460" s="98">
        <v>22</v>
      </c>
      <c r="K2460" s="89">
        <f t="shared" si="104"/>
        <v>1</v>
      </c>
      <c r="L2460" s="89">
        <v>8475.26</v>
      </c>
      <c r="M2460" s="89">
        <v>3034.06</v>
      </c>
      <c r="N2460" s="89">
        <v>839.61</v>
      </c>
      <c r="O2460" s="89">
        <f t="shared" si="105"/>
        <v>12348.93</v>
      </c>
    </row>
    <row r="2461" spans="1:15">
      <c r="A2461" s="74" t="s">
        <v>309</v>
      </c>
      <c r="B2461" s="74" t="s">
        <v>236</v>
      </c>
      <c r="C2461" s="74" t="s">
        <v>237</v>
      </c>
      <c r="D2461" s="88" t="s">
        <v>82</v>
      </c>
      <c r="E2461" s="74" t="s">
        <v>83</v>
      </c>
      <c r="F2461" s="86" t="s">
        <v>120</v>
      </c>
      <c r="G2461" s="74" t="s">
        <v>209</v>
      </c>
      <c r="H2461" s="87">
        <v>44865</v>
      </c>
      <c r="I2461" s="98">
        <v>22</v>
      </c>
      <c r="J2461" s="98">
        <v>22</v>
      </c>
      <c r="K2461" s="89">
        <f t="shared" si="104"/>
        <v>1</v>
      </c>
      <c r="L2461" s="89">
        <v>7188.23</v>
      </c>
      <c r="M2461" s="89">
        <v>3272.44</v>
      </c>
      <c r="N2461" s="89">
        <v>742.2</v>
      </c>
      <c r="O2461" s="89">
        <f t="shared" si="105"/>
        <v>11202.87</v>
      </c>
    </row>
    <row r="2462" spans="1:15">
      <c r="A2462" s="74" t="s">
        <v>309</v>
      </c>
      <c r="B2462" s="74" t="s">
        <v>238</v>
      </c>
      <c r="C2462" s="74" t="s">
        <v>239</v>
      </c>
      <c r="D2462" s="74" t="s">
        <v>86</v>
      </c>
      <c r="E2462" s="74" t="s">
        <v>87</v>
      </c>
      <c r="F2462" s="86" t="s">
        <v>204</v>
      </c>
      <c r="G2462" s="74" t="s">
        <v>240</v>
      </c>
      <c r="H2462" s="87">
        <v>44865</v>
      </c>
      <c r="I2462" s="98">
        <v>22</v>
      </c>
      <c r="J2462" s="98">
        <v>22</v>
      </c>
      <c r="K2462" s="89">
        <f t="shared" si="104"/>
        <v>1</v>
      </c>
      <c r="L2462" s="89">
        <v>15176.12</v>
      </c>
      <c r="M2462" s="89">
        <v>3103.37</v>
      </c>
      <c r="N2462" s="89">
        <v>1854.8</v>
      </c>
      <c r="O2462" s="89">
        <f t="shared" si="105"/>
        <v>20134.29</v>
      </c>
    </row>
    <row r="2463" spans="1:15">
      <c r="A2463" s="74" t="s">
        <v>309</v>
      </c>
      <c r="B2463" s="74" t="s">
        <v>241</v>
      </c>
      <c r="C2463" s="74" t="s">
        <v>242</v>
      </c>
      <c r="D2463" s="74" t="s">
        <v>86</v>
      </c>
      <c r="E2463" s="74" t="s">
        <v>87</v>
      </c>
      <c r="F2463" s="86" t="s">
        <v>243</v>
      </c>
      <c r="G2463" s="74" t="s">
        <v>244</v>
      </c>
      <c r="H2463" s="87">
        <v>44865</v>
      </c>
      <c r="I2463" s="98">
        <v>22</v>
      </c>
      <c r="J2463" s="98">
        <v>22</v>
      </c>
      <c r="K2463" s="89">
        <f t="shared" si="104"/>
        <v>1</v>
      </c>
      <c r="L2463" s="89">
        <v>11061.18</v>
      </c>
      <c r="M2463" s="89">
        <v>3138.33</v>
      </c>
      <c r="N2463" s="89">
        <v>1414.34</v>
      </c>
      <c r="O2463" s="89">
        <f t="shared" si="105"/>
        <v>15613.85</v>
      </c>
    </row>
    <row r="2464" spans="1:15">
      <c r="A2464" s="74" t="s">
        <v>309</v>
      </c>
      <c r="B2464" s="74" t="s">
        <v>245</v>
      </c>
      <c r="C2464" s="74" t="s">
        <v>246</v>
      </c>
      <c r="D2464" s="74" t="s">
        <v>86</v>
      </c>
      <c r="E2464" s="74" t="s">
        <v>87</v>
      </c>
      <c r="F2464" s="86" t="s">
        <v>247</v>
      </c>
      <c r="G2464" s="74" t="s">
        <v>248</v>
      </c>
      <c r="H2464" s="87">
        <v>44865</v>
      </c>
      <c r="I2464" s="98">
        <v>22</v>
      </c>
      <c r="J2464" s="98">
        <v>22</v>
      </c>
      <c r="K2464" s="89">
        <f t="shared" si="104"/>
        <v>1</v>
      </c>
      <c r="L2464" s="89">
        <v>10344.91</v>
      </c>
      <c r="M2464" s="89">
        <v>3270.53</v>
      </c>
      <c r="N2464" s="89">
        <v>1256.36</v>
      </c>
      <c r="O2464" s="89">
        <f t="shared" si="105"/>
        <v>14871.8</v>
      </c>
    </row>
    <row r="2465" spans="1:15">
      <c r="A2465" s="74" t="s">
        <v>309</v>
      </c>
      <c r="B2465" s="74" t="s">
        <v>249</v>
      </c>
      <c r="C2465" s="74" t="s">
        <v>250</v>
      </c>
      <c r="D2465" s="74" t="s">
        <v>86</v>
      </c>
      <c r="E2465" s="74" t="s">
        <v>87</v>
      </c>
      <c r="F2465" s="86" t="s">
        <v>251</v>
      </c>
      <c r="G2465" s="74" t="s">
        <v>252</v>
      </c>
      <c r="H2465" s="87">
        <v>44865</v>
      </c>
      <c r="I2465" s="98">
        <v>22</v>
      </c>
      <c r="J2465" s="98">
        <v>22</v>
      </c>
      <c r="K2465" s="89">
        <f t="shared" si="104"/>
        <v>1</v>
      </c>
      <c r="L2465" s="89">
        <v>9582.66</v>
      </c>
      <c r="M2465" s="89">
        <v>3078.71</v>
      </c>
      <c r="N2465" s="89">
        <v>1127.28</v>
      </c>
      <c r="O2465" s="89">
        <f t="shared" si="105"/>
        <v>13788.65</v>
      </c>
    </row>
    <row r="2466" spans="1:15">
      <c r="A2466" s="74" t="s">
        <v>309</v>
      </c>
      <c r="B2466" s="74" t="s">
        <v>253</v>
      </c>
      <c r="C2466" s="74" t="s">
        <v>254</v>
      </c>
      <c r="D2466" s="74" t="s">
        <v>86</v>
      </c>
      <c r="E2466" s="74" t="s">
        <v>87</v>
      </c>
      <c r="F2466" s="86" t="s">
        <v>255</v>
      </c>
      <c r="G2466" s="74" t="s">
        <v>252</v>
      </c>
      <c r="H2466" s="87">
        <v>44865</v>
      </c>
      <c r="I2466" s="98">
        <v>22</v>
      </c>
      <c r="J2466" s="98">
        <v>22</v>
      </c>
      <c r="K2466" s="89">
        <f t="shared" si="104"/>
        <v>1</v>
      </c>
      <c r="L2466" s="89">
        <v>8655.69</v>
      </c>
      <c r="M2466" s="89">
        <v>3245.89</v>
      </c>
      <c r="N2466" s="89">
        <v>1030.62</v>
      </c>
      <c r="O2466" s="89">
        <f t="shared" si="105"/>
        <v>12932.2</v>
      </c>
    </row>
    <row r="2467" spans="1:15">
      <c r="A2467" s="74" t="s">
        <v>309</v>
      </c>
      <c r="B2467" s="74" t="s">
        <v>256</v>
      </c>
      <c r="C2467" s="74" t="s">
        <v>257</v>
      </c>
      <c r="D2467" s="74" t="s">
        <v>86</v>
      </c>
      <c r="E2467" s="74" t="s">
        <v>87</v>
      </c>
      <c r="F2467" s="86" t="s">
        <v>258</v>
      </c>
      <c r="G2467" s="74" t="s">
        <v>252</v>
      </c>
      <c r="H2467" s="87">
        <v>44865</v>
      </c>
      <c r="I2467" s="98">
        <v>22</v>
      </c>
      <c r="J2467" s="98">
        <v>22</v>
      </c>
      <c r="K2467" s="89">
        <f t="shared" si="104"/>
        <v>1</v>
      </c>
      <c r="L2467" s="89">
        <v>7213.98</v>
      </c>
      <c r="M2467" s="89">
        <v>3278.32</v>
      </c>
      <c r="N2467" s="89">
        <v>982.96</v>
      </c>
      <c r="O2467" s="89">
        <f t="shared" si="105"/>
        <v>11475.26</v>
      </c>
    </row>
    <row r="2468" spans="1:15">
      <c r="A2468" s="74" t="s">
        <v>309</v>
      </c>
      <c r="B2468" s="74" t="s">
        <v>259</v>
      </c>
      <c r="C2468" s="74" t="s">
        <v>260</v>
      </c>
      <c r="D2468" s="74" t="s">
        <v>86</v>
      </c>
      <c r="E2468" s="74" t="s">
        <v>87</v>
      </c>
      <c r="F2468" s="86" t="s">
        <v>261</v>
      </c>
      <c r="G2468" s="74" t="s">
        <v>262</v>
      </c>
      <c r="H2468" s="87">
        <v>44865</v>
      </c>
      <c r="I2468" s="98">
        <v>22</v>
      </c>
      <c r="J2468" s="98">
        <v>22</v>
      </c>
      <c r="K2468" s="89">
        <f t="shared" si="104"/>
        <v>1</v>
      </c>
      <c r="L2468" s="89">
        <v>6998.75</v>
      </c>
      <c r="M2468" s="89">
        <v>3259.95</v>
      </c>
      <c r="N2468" s="89">
        <v>873.85</v>
      </c>
      <c r="O2468" s="89">
        <f t="shared" si="105"/>
        <v>11132.55</v>
      </c>
    </row>
    <row r="2469" spans="1:15">
      <c r="A2469" s="74" t="s">
        <v>309</v>
      </c>
      <c r="B2469" s="74" t="s">
        <v>263</v>
      </c>
      <c r="C2469" s="74" t="s">
        <v>264</v>
      </c>
      <c r="D2469" s="74" t="s">
        <v>86</v>
      </c>
      <c r="E2469" s="74" t="s">
        <v>88</v>
      </c>
      <c r="F2469" s="86" t="s">
        <v>149</v>
      </c>
      <c r="G2469" s="74" t="s">
        <v>265</v>
      </c>
      <c r="H2469" s="87">
        <v>44865</v>
      </c>
      <c r="I2469" s="98">
        <v>22</v>
      </c>
      <c r="J2469" s="98">
        <v>22</v>
      </c>
      <c r="K2469" s="89">
        <f t="shared" si="104"/>
        <v>1</v>
      </c>
      <c r="L2469" s="89">
        <v>13949.09</v>
      </c>
      <c r="M2469" s="89">
        <v>3266.57</v>
      </c>
      <c r="N2469" s="89">
        <v>1817.39</v>
      </c>
      <c r="O2469" s="89">
        <f t="shared" si="105"/>
        <v>19033.05</v>
      </c>
    </row>
    <row r="2470" spans="1:15">
      <c r="A2470" s="74" t="s">
        <v>309</v>
      </c>
      <c r="B2470" s="74" t="s">
        <v>266</v>
      </c>
      <c r="C2470" s="74" t="s">
        <v>267</v>
      </c>
      <c r="D2470" s="74" t="s">
        <v>86</v>
      </c>
      <c r="E2470" s="74" t="s">
        <v>88</v>
      </c>
      <c r="F2470" s="86" t="s">
        <v>243</v>
      </c>
      <c r="G2470" s="74" t="s">
        <v>268</v>
      </c>
      <c r="H2470" s="87">
        <v>44865</v>
      </c>
      <c r="I2470" s="98">
        <v>22</v>
      </c>
      <c r="J2470" s="98">
        <v>22</v>
      </c>
      <c r="K2470" s="89">
        <f t="shared" si="104"/>
        <v>1</v>
      </c>
      <c r="L2470" s="89">
        <v>11417</v>
      </c>
      <c r="M2470" s="89">
        <v>3212.95</v>
      </c>
      <c r="N2470" s="89">
        <v>1347.12</v>
      </c>
      <c r="O2470" s="89">
        <f t="shared" si="105"/>
        <v>15977.07</v>
      </c>
    </row>
    <row r="2471" spans="1:15">
      <c r="A2471" s="74" t="s">
        <v>309</v>
      </c>
      <c r="B2471" s="74" t="s">
        <v>269</v>
      </c>
      <c r="C2471" s="74" t="s">
        <v>270</v>
      </c>
      <c r="D2471" s="74" t="s">
        <v>86</v>
      </c>
      <c r="E2471" s="74" t="s">
        <v>88</v>
      </c>
      <c r="F2471" s="86" t="s">
        <v>247</v>
      </c>
      <c r="G2471" s="74" t="s">
        <v>268</v>
      </c>
      <c r="H2471" s="87">
        <v>44865</v>
      </c>
      <c r="I2471" s="98">
        <v>22</v>
      </c>
      <c r="J2471" s="98">
        <v>22</v>
      </c>
      <c r="K2471" s="89">
        <f t="shared" si="104"/>
        <v>1</v>
      </c>
      <c r="L2471" s="89">
        <v>10144.76</v>
      </c>
      <c r="M2471" s="89">
        <v>3075.09</v>
      </c>
      <c r="N2471" s="89">
        <v>1256.46</v>
      </c>
      <c r="O2471" s="89">
        <f t="shared" si="105"/>
        <v>14476.31</v>
      </c>
    </row>
    <row r="2472" spans="1:15">
      <c r="A2472" s="74" t="s">
        <v>309</v>
      </c>
      <c r="B2472" s="74" t="s">
        <v>271</v>
      </c>
      <c r="C2472" s="74" t="s">
        <v>272</v>
      </c>
      <c r="D2472" s="74" t="s">
        <v>86</v>
      </c>
      <c r="E2472" s="74" t="s">
        <v>88</v>
      </c>
      <c r="F2472" s="86" t="s">
        <v>251</v>
      </c>
      <c r="G2472" s="74" t="s">
        <v>268</v>
      </c>
      <c r="H2472" s="87">
        <v>44865</v>
      </c>
      <c r="I2472" s="98">
        <v>22</v>
      </c>
      <c r="J2472" s="98">
        <v>22</v>
      </c>
      <c r="K2472" s="89">
        <f t="shared" si="104"/>
        <v>1</v>
      </c>
      <c r="L2472" s="89">
        <v>9474.76</v>
      </c>
      <c r="M2472" s="89">
        <v>3049.74</v>
      </c>
      <c r="N2472" s="89">
        <v>1207.67</v>
      </c>
      <c r="O2472" s="89">
        <f t="shared" si="105"/>
        <v>13732.17</v>
      </c>
    </row>
    <row r="2473" spans="1:15">
      <c r="A2473" s="74" t="s">
        <v>309</v>
      </c>
      <c r="B2473" s="74" t="s">
        <v>273</v>
      </c>
      <c r="C2473" s="74" t="s">
        <v>274</v>
      </c>
      <c r="D2473" s="74" t="s">
        <v>86</v>
      </c>
      <c r="E2473" s="74" t="s">
        <v>88</v>
      </c>
      <c r="F2473" s="86" t="s">
        <v>255</v>
      </c>
      <c r="G2473" s="74" t="s">
        <v>268</v>
      </c>
      <c r="H2473" s="87">
        <v>44865</v>
      </c>
      <c r="I2473" s="98">
        <v>22</v>
      </c>
      <c r="J2473" s="98">
        <v>22</v>
      </c>
      <c r="K2473" s="89">
        <f t="shared" si="104"/>
        <v>1</v>
      </c>
      <c r="L2473" s="89">
        <v>8447.61</v>
      </c>
      <c r="M2473" s="89">
        <v>3039.42</v>
      </c>
      <c r="N2473" s="89">
        <v>1085.05</v>
      </c>
      <c r="O2473" s="89">
        <f t="shared" si="105"/>
        <v>12572.08</v>
      </c>
    </row>
    <row r="2474" spans="1:15">
      <c r="A2474" s="74" t="s">
        <v>309</v>
      </c>
      <c r="B2474" s="74" t="s">
        <v>275</v>
      </c>
      <c r="C2474" s="74" t="s">
        <v>276</v>
      </c>
      <c r="D2474" s="74" t="s">
        <v>86</v>
      </c>
      <c r="E2474" s="74" t="s">
        <v>88</v>
      </c>
      <c r="F2474" s="86" t="s">
        <v>258</v>
      </c>
      <c r="G2474" s="74" t="s">
        <v>268</v>
      </c>
      <c r="H2474" s="87">
        <v>44865</v>
      </c>
      <c r="I2474" s="98">
        <v>22</v>
      </c>
      <c r="J2474" s="98">
        <v>22</v>
      </c>
      <c r="K2474" s="89">
        <f t="shared" si="104"/>
        <v>1</v>
      </c>
      <c r="L2474" s="89">
        <v>7556.13</v>
      </c>
      <c r="M2474" s="89">
        <v>3164.27</v>
      </c>
      <c r="N2474" s="89">
        <v>954.2</v>
      </c>
      <c r="O2474" s="89">
        <f t="shared" si="105"/>
        <v>11674.6</v>
      </c>
    </row>
    <row r="2475" spans="1:15">
      <c r="A2475" s="74" t="s">
        <v>309</v>
      </c>
      <c r="B2475" s="74" t="s">
        <v>277</v>
      </c>
      <c r="C2475" s="74" t="s">
        <v>278</v>
      </c>
      <c r="D2475" s="74" t="s">
        <v>86</v>
      </c>
      <c r="E2475" s="74" t="s">
        <v>89</v>
      </c>
      <c r="F2475" s="86" t="s">
        <v>279</v>
      </c>
      <c r="G2475" s="74" t="s">
        <v>280</v>
      </c>
      <c r="H2475" s="87">
        <v>44865</v>
      </c>
      <c r="I2475" s="98">
        <v>22</v>
      </c>
      <c r="J2475" s="98">
        <v>22</v>
      </c>
      <c r="K2475" s="89">
        <f t="shared" si="104"/>
        <v>1</v>
      </c>
      <c r="L2475" s="89">
        <v>12521.68</v>
      </c>
      <c r="M2475" s="89">
        <v>3063.39</v>
      </c>
      <c r="N2475" s="89">
        <v>1574.05</v>
      </c>
      <c r="O2475" s="89">
        <f t="shared" si="105"/>
        <v>17159.12</v>
      </c>
    </row>
    <row r="2476" spans="1:15">
      <c r="A2476" s="74" t="s">
        <v>309</v>
      </c>
      <c r="B2476" s="74" t="s">
        <v>281</v>
      </c>
      <c r="C2476" s="74" t="s">
        <v>282</v>
      </c>
      <c r="D2476" s="74" t="s">
        <v>86</v>
      </c>
      <c r="E2476" s="74" t="s">
        <v>89</v>
      </c>
      <c r="F2476" s="86" t="s">
        <v>225</v>
      </c>
      <c r="G2476" s="74" t="s">
        <v>283</v>
      </c>
      <c r="H2476" s="87">
        <v>44865</v>
      </c>
      <c r="I2476" s="98">
        <v>22</v>
      </c>
      <c r="J2476" s="98">
        <v>22</v>
      </c>
      <c r="K2476" s="89">
        <f t="shared" si="104"/>
        <v>1</v>
      </c>
      <c r="L2476" s="89">
        <v>8383.54</v>
      </c>
      <c r="M2476" s="89">
        <v>3287.06</v>
      </c>
      <c r="N2476" s="89">
        <v>1076.81</v>
      </c>
      <c r="O2476" s="89">
        <f t="shared" si="105"/>
        <v>12747.41</v>
      </c>
    </row>
    <row r="2477" spans="1:15">
      <c r="A2477" s="74" t="s">
        <v>309</v>
      </c>
      <c r="B2477" s="74" t="s">
        <v>284</v>
      </c>
      <c r="C2477" s="74" t="s">
        <v>285</v>
      </c>
      <c r="D2477" s="74" t="s">
        <v>86</v>
      </c>
      <c r="E2477" s="74" t="s">
        <v>89</v>
      </c>
      <c r="F2477" s="86" t="s">
        <v>208</v>
      </c>
      <c r="G2477" s="74" t="s">
        <v>283</v>
      </c>
      <c r="H2477" s="87">
        <v>44865</v>
      </c>
      <c r="I2477" s="98">
        <v>22</v>
      </c>
      <c r="J2477" s="98">
        <v>22</v>
      </c>
      <c r="K2477" s="89">
        <f t="shared" si="104"/>
        <v>1</v>
      </c>
      <c r="L2477" s="89">
        <v>7428.02</v>
      </c>
      <c r="M2477" s="89">
        <v>3160.59</v>
      </c>
      <c r="N2477" s="89">
        <v>971.1</v>
      </c>
      <c r="O2477" s="89">
        <f t="shared" si="105"/>
        <v>11559.71</v>
      </c>
    </row>
    <row r="2478" spans="1:15">
      <c r="A2478" s="74" t="s">
        <v>309</v>
      </c>
      <c r="B2478" s="74" t="s">
        <v>286</v>
      </c>
      <c r="C2478" s="74" t="s">
        <v>287</v>
      </c>
      <c r="D2478" s="74" t="s">
        <v>82</v>
      </c>
      <c r="E2478" s="88" t="s">
        <v>85</v>
      </c>
      <c r="F2478" s="86" t="s">
        <v>288</v>
      </c>
      <c r="G2478" s="74" t="s">
        <v>289</v>
      </c>
      <c r="H2478" s="87">
        <v>44865</v>
      </c>
      <c r="I2478" s="98">
        <v>22</v>
      </c>
      <c r="J2478" s="98">
        <v>22</v>
      </c>
      <c r="K2478" s="89">
        <f t="shared" ref="K2478:K2486" si="106">I2478/J2478</f>
        <v>1</v>
      </c>
      <c r="L2478" s="89">
        <v>12914.16</v>
      </c>
      <c r="M2478" s="89">
        <v>3116.19</v>
      </c>
      <c r="N2478" s="89">
        <v>1290.69</v>
      </c>
      <c r="O2478" s="89">
        <f t="shared" si="105"/>
        <v>17321.04</v>
      </c>
    </row>
    <row r="2479" spans="1:15">
      <c r="A2479" s="74" t="s">
        <v>309</v>
      </c>
      <c r="B2479" s="74" t="s">
        <v>290</v>
      </c>
      <c r="C2479" s="74" t="s">
        <v>291</v>
      </c>
      <c r="D2479" s="74" t="s">
        <v>82</v>
      </c>
      <c r="E2479" s="88" t="s">
        <v>85</v>
      </c>
      <c r="F2479" s="86" t="s">
        <v>218</v>
      </c>
      <c r="G2479" s="74" t="s">
        <v>289</v>
      </c>
      <c r="H2479" s="87">
        <v>44865</v>
      </c>
      <c r="I2479" s="98">
        <v>22</v>
      </c>
      <c r="J2479" s="98">
        <v>22</v>
      </c>
      <c r="K2479" s="89">
        <f t="shared" si="106"/>
        <v>1</v>
      </c>
      <c r="L2479" s="89">
        <v>11754.54</v>
      </c>
      <c r="M2479" s="89">
        <v>3115.95</v>
      </c>
      <c r="N2479" s="89">
        <v>1191.57</v>
      </c>
      <c r="O2479" s="89">
        <f t="shared" si="105"/>
        <v>16062.06</v>
      </c>
    </row>
    <row r="2480" spans="1:15">
      <c r="A2480" s="74" t="s">
        <v>309</v>
      </c>
      <c r="B2480" s="74" t="s">
        <v>292</v>
      </c>
      <c r="C2480" s="74" t="s">
        <v>293</v>
      </c>
      <c r="D2480" s="74" t="s">
        <v>82</v>
      </c>
      <c r="E2480" s="88" t="s">
        <v>85</v>
      </c>
      <c r="F2480" s="86" t="s">
        <v>225</v>
      </c>
      <c r="G2480" s="74" t="s">
        <v>289</v>
      </c>
      <c r="H2480" s="87">
        <v>44865</v>
      </c>
      <c r="I2480" s="98">
        <v>22</v>
      </c>
      <c r="J2480" s="98">
        <v>22</v>
      </c>
      <c r="K2480" s="89">
        <f t="shared" si="106"/>
        <v>1</v>
      </c>
      <c r="L2480" s="89">
        <v>10747.16</v>
      </c>
      <c r="M2480" s="89">
        <v>3253.51</v>
      </c>
      <c r="N2480" s="89">
        <v>1040.03</v>
      </c>
      <c r="O2480" s="89">
        <f t="shared" si="105"/>
        <v>15040.7</v>
      </c>
    </row>
    <row r="2481" spans="1:15">
      <c r="A2481" s="74" t="s">
        <v>309</v>
      </c>
      <c r="B2481" s="74" t="s">
        <v>294</v>
      </c>
      <c r="C2481" s="74" t="s">
        <v>295</v>
      </c>
      <c r="D2481" s="74" t="s">
        <v>82</v>
      </c>
      <c r="E2481" s="88" t="s">
        <v>85</v>
      </c>
      <c r="F2481" s="86" t="s">
        <v>208</v>
      </c>
      <c r="G2481" s="74" t="s">
        <v>289</v>
      </c>
      <c r="H2481" s="87">
        <v>44865</v>
      </c>
      <c r="I2481" s="98">
        <v>22</v>
      </c>
      <c r="J2481" s="98">
        <v>22</v>
      </c>
      <c r="K2481" s="89">
        <f t="shared" si="106"/>
        <v>1</v>
      </c>
      <c r="L2481" s="89">
        <v>9004.82</v>
      </c>
      <c r="M2481" s="89">
        <v>3173.65</v>
      </c>
      <c r="N2481" s="89">
        <v>949.79</v>
      </c>
      <c r="O2481" s="89">
        <f t="shared" si="105"/>
        <v>13128.26</v>
      </c>
    </row>
    <row r="2482" spans="1:15">
      <c r="A2482" s="74" t="s">
        <v>309</v>
      </c>
      <c r="B2482" s="74" t="s">
        <v>296</v>
      </c>
      <c r="C2482" s="74" t="s">
        <v>297</v>
      </c>
      <c r="D2482" s="74" t="s">
        <v>82</v>
      </c>
      <c r="E2482" s="88" t="s">
        <v>85</v>
      </c>
      <c r="F2482" s="86" t="s">
        <v>116</v>
      </c>
      <c r="G2482" s="74" t="s">
        <v>289</v>
      </c>
      <c r="H2482" s="87">
        <v>44865</v>
      </c>
      <c r="I2482" s="98">
        <v>22</v>
      </c>
      <c r="J2482" s="98">
        <v>22</v>
      </c>
      <c r="K2482" s="89">
        <f t="shared" si="106"/>
        <v>1</v>
      </c>
      <c r="L2482" s="89">
        <v>8320.23</v>
      </c>
      <c r="M2482" s="89">
        <v>3257.67</v>
      </c>
      <c r="N2482" s="89">
        <v>806.88</v>
      </c>
      <c r="O2482" s="89">
        <f t="shared" si="105"/>
        <v>12384.78</v>
      </c>
    </row>
    <row r="2483" spans="1:15">
      <c r="A2483" s="74" t="s">
        <v>309</v>
      </c>
      <c r="B2483" s="74" t="s">
        <v>298</v>
      </c>
      <c r="C2483" s="74" t="s">
        <v>299</v>
      </c>
      <c r="D2483" s="74" t="s">
        <v>82</v>
      </c>
      <c r="E2483" s="88" t="s">
        <v>85</v>
      </c>
      <c r="F2483" s="86" t="s">
        <v>279</v>
      </c>
      <c r="G2483" s="74" t="s">
        <v>300</v>
      </c>
      <c r="H2483" s="87">
        <v>44865</v>
      </c>
      <c r="I2483" s="98">
        <v>22</v>
      </c>
      <c r="J2483" s="98">
        <v>22</v>
      </c>
      <c r="K2483" s="89">
        <f t="shared" si="106"/>
        <v>1</v>
      </c>
      <c r="L2483" s="89">
        <v>15993.56</v>
      </c>
      <c r="M2483" s="89">
        <v>3143.64</v>
      </c>
      <c r="N2483" s="89">
        <v>1528.07</v>
      </c>
      <c r="O2483" s="89">
        <f t="shared" si="105"/>
        <v>20665.27</v>
      </c>
    </row>
    <row r="2484" spans="1:15">
      <c r="A2484" s="74" t="s">
        <v>309</v>
      </c>
      <c r="B2484" s="74" t="s">
        <v>301</v>
      </c>
      <c r="C2484" s="74" t="s">
        <v>302</v>
      </c>
      <c r="D2484" s="74" t="s">
        <v>82</v>
      </c>
      <c r="E2484" s="88" t="s">
        <v>85</v>
      </c>
      <c r="F2484" s="86" t="s">
        <v>279</v>
      </c>
      <c r="G2484" s="74" t="s">
        <v>303</v>
      </c>
      <c r="H2484" s="87">
        <v>44865</v>
      </c>
      <c r="I2484" s="98">
        <v>22</v>
      </c>
      <c r="J2484" s="98">
        <v>22</v>
      </c>
      <c r="K2484" s="89">
        <f t="shared" si="106"/>
        <v>1</v>
      </c>
      <c r="L2484" s="89">
        <v>15609.6</v>
      </c>
      <c r="M2484" s="89">
        <v>3169.06</v>
      </c>
      <c r="N2484" s="89">
        <v>1641.72</v>
      </c>
      <c r="O2484" s="89">
        <f t="shared" si="105"/>
        <v>20420.38</v>
      </c>
    </row>
    <row r="2485" spans="1:15">
      <c r="A2485" s="74" t="s">
        <v>309</v>
      </c>
      <c r="B2485" s="74" t="s">
        <v>304</v>
      </c>
      <c r="C2485" s="74" t="s">
        <v>305</v>
      </c>
      <c r="D2485" s="74" t="s">
        <v>86</v>
      </c>
      <c r="E2485" s="74" t="s">
        <v>90</v>
      </c>
      <c r="F2485" s="86" t="s">
        <v>306</v>
      </c>
      <c r="G2485" s="74" t="s">
        <v>307</v>
      </c>
      <c r="H2485" s="87">
        <v>44865</v>
      </c>
      <c r="I2485" s="98">
        <v>22</v>
      </c>
      <c r="J2485" s="98">
        <v>22</v>
      </c>
      <c r="K2485" s="89">
        <f t="shared" si="106"/>
        <v>1</v>
      </c>
      <c r="L2485" s="89">
        <v>16871.12</v>
      </c>
      <c r="M2485" s="89">
        <v>3233.02</v>
      </c>
      <c r="N2485" s="89">
        <v>2121.3</v>
      </c>
      <c r="O2485" s="89">
        <f t="shared" si="105"/>
        <v>22225.44</v>
      </c>
    </row>
    <row r="2486" spans="1:15">
      <c r="A2486" s="74" t="s">
        <v>309</v>
      </c>
      <c r="B2486" s="74" t="s">
        <v>114</v>
      </c>
      <c r="C2486" s="74" t="s">
        <v>115</v>
      </c>
      <c r="D2486" s="74" t="s">
        <v>79</v>
      </c>
      <c r="E2486" s="74" t="s">
        <v>80</v>
      </c>
      <c r="F2486" s="86" t="s">
        <v>116</v>
      </c>
      <c r="G2486" s="74" t="s">
        <v>117</v>
      </c>
      <c r="H2486" s="87">
        <v>44895</v>
      </c>
      <c r="I2486" s="98">
        <v>22</v>
      </c>
      <c r="J2486" s="98">
        <v>22</v>
      </c>
      <c r="K2486" s="89">
        <f t="shared" si="106"/>
        <v>1</v>
      </c>
      <c r="L2486" s="89">
        <v>8401.99</v>
      </c>
      <c r="M2486" s="89">
        <v>3189.25</v>
      </c>
      <c r="N2486" s="89">
        <v>843.46</v>
      </c>
      <c r="O2486" s="89">
        <f t="shared" si="105"/>
        <v>12434.7</v>
      </c>
    </row>
    <row r="2487" spans="1:15">
      <c r="A2487" s="74" t="s">
        <v>309</v>
      </c>
      <c r="B2487" s="74" t="s">
        <v>118</v>
      </c>
      <c r="C2487" s="74" t="s">
        <v>119</v>
      </c>
      <c r="D2487" s="74" t="s">
        <v>79</v>
      </c>
      <c r="E2487" s="74" t="s">
        <v>80</v>
      </c>
      <c r="F2487" s="86" t="s">
        <v>120</v>
      </c>
      <c r="G2487" s="74" t="s">
        <v>117</v>
      </c>
      <c r="H2487" s="87">
        <v>44895</v>
      </c>
      <c r="I2487" s="98">
        <v>22</v>
      </c>
      <c r="J2487" s="98">
        <v>22</v>
      </c>
      <c r="K2487" s="89">
        <f t="shared" ref="K2487:K2550" si="107">I2487/J2487</f>
        <v>1</v>
      </c>
      <c r="L2487" s="89">
        <v>7582.26</v>
      </c>
      <c r="M2487" s="89">
        <v>3154.01</v>
      </c>
      <c r="N2487" s="89">
        <v>715.34</v>
      </c>
      <c r="O2487" s="89">
        <f t="shared" si="105"/>
        <v>11451.61</v>
      </c>
    </row>
    <row r="2488" spans="1:15">
      <c r="A2488" s="74" t="s">
        <v>309</v>
      </c>
      <c r="B2488" s="74" t="s">
        <v>121</v>
      </c>
      <c r="C2488" s="74" t="s">
        <v>122</v>
      </c>
      <c r="D2488" s="74" t="s">
        <v>79</v>
      </c>
      <c r="E2488" s="74" t="s">
        <v>80</v>
      </c>
      <c r="F2488" s="86" t="s">
        <v>123</v>
      </c>
      <c r="G2488" s="74" t="s">
        <v>117</v>
      </c>
      <c r="H2488" s="87">
        <v>44895</v>
      </c>
      <c r="I2488" s="98">
        <v>22</v>
      </c>
      <c r="J2488" s="98">
        <v>22</v>
      </c>
      <c r="K2488" s="89">
        <f t="shared" si="107"/>
        <v>1</v>
      </c>
      <c r="L2488" s="89">
        <v>6137.1</v>
      </c>
      <c r="M2488" s="89">
        <v>3159.65</v>
      </c>
      <c r="N2488" s="89">
        <v>605.38</v>
      </c>
      <c r="O2488" s="89">
        <f t="shared" si="105"/>
        <v>9902.13</v>
      </c>
    </row>
    <row r="2489" spans="1:15">
      <c r="A2489" s="74" t="s">
        <v>309</v>
      </c>
      <c r="B2489" s="74" t="s">
        <v>124</v>
      </c>
      <c r="C2489" s="74" t="s">
        <v>125</v>
      </c>
      <c r="D2489" s="74" t="s">
        <v>79</v>
      </c>
      <c r="E2489" s="74" t="s">
        <v>80</v>
      </c>
      <c r="F2489" s="86" t="s">
        <v>116</v>
      </c>
      <c r="G2489" s="74" t="s">
        <v>117</v>
      </c>
      <c r="H2489" s="87">
        <v>44895</v>
      </c>
      <c r="I2489" s="98">
        <v>22</v>
      </c>
      <c r="J2489" s="98">
        <v>22</v>
      </c>
      <c r="K2489" s="89">
        <f t="shared" si="107"/>
        <v>1</v>
      </c>
      <c r="L2489" s="89">
        <v>8163.91</v>
      </c>
      <c r="M2489" s="89">
        <v>3237.19</v>
      </c>
      <c r="N2489" s="89">
        <v>815.97</v>
      </c>
      <c r="O2489" s="89">
        <f t="shared" si="105"/>
        <v>12217.07</v>
      </c>
    </row>
    <row r="2490" spans="1:15">
      <c r="A2490" s="74" t="s">
        <v>309</v>
      </c>
      <c r="B2490" s="74" t="s">
        <v>126</v>
      </c>
      <c r="C2490" s="74" t="s">
        <v>127</v>
      </c>
      <c r="D2490" s="74" t="s">
        <v>79</v>
      </c>
      <c r="E2490" s="74" t="s">
        <v>80</v>
      </c>
      <c r="F2490" s="86" t="s">
        <v>120</v>
      </c>
      <c r="G2490" s="74" t="s">
        <v>117</v>
      </c>
      <c r="H2490" s="87">
        <v>44895</v>
      </c>
      <c r="I2490" s="98">
        <v>22</v>
      </c>
      <c r="J2490" s="98">
        <v>22</v>
      </c>
      <c r="K2490" s="89">
        <f t="shared" si="107"/>
        <v>1</v>
      </c>
      <c r="L2490" s="89">
        <v>7429.74</v>
      </c>
      <c r="M2490" s="89">
        <v>3251.55</v>
      </c>
      <c r="N2490" s="89">
        <v>755.41</v>
      </c>
      <c r="O2490" s="89">
        <f t="shared" si="105"/>
        <v>11436.7</v>
      </c>
    </row>
    <row r="2491" spans="1:15">
      <c r="A2491" s="74" t="s">
        <v>309</v>
      </c>
      <c r="B2491" s="74" t="s">
        <v>128</v>
      </c>
      <c r="C2491" s="74" t="s">
        <v>129</v>
      </c>
      <c r="D2491" s="74" t="s">
        <v>79</v>
      </c>
      <c r="E2491" s="74" t="s">
        <v>80</v>
      </c>
      <c r="F2491" s="86" t="s">
        <v>123</v>
      </c>
      <c r="G2491" s="74" t="s">
        <v>117</v>
      </c>
      <c r="H2491" s="87">
        <v>44895</v>
      </c>
      <c r="I2491" s="98">
        <v>22</v>
      </c>
      <c r="J2491" s="98">
        <v>22</v>
      </c>
      <c r="K2491" s="89">
        <f t="shared" si="107"/>
        <v>1</v>
      </c>
      <c r="L2491" s="89">
        <v>6402.4</v>
      </c>
      <c r="M2491" s="89">
        <v>3048.94</v>
      </c>
      <c r="N2491" s="89">
        <v>641.32</v>
      </c>
      <c r="O2491" s="89">
        <f t="shared" si="105"/>
        <v>10092.66</v>
      </c>
    </row>
    <row r="2492" spans="1:15">
      <c r="A2492" s="74" t="s">
        <v>309</v>
      </c>
      <c r="B2492" s="74" t="s">
        <v>130</v>
      </c>
      <c r="C2492" s="74" t="s">
        <v>131</v>
      </c>
      <c r="D2492" s="74" t="s">
        <v>79</v>
      </c>
      <c r="E2492" s="74" t="s">
        <v>80</v>
      </c>
      <c r="F2492" s="86" t="s">
        <v>116</v>
      </c>
      <c r="G2492" s="74" t="s">
        <v>117</v>
      </c>
      <c r="H2492" s="87">
        <v>44895</v>
      </c>
      <c r="I2492" s="98">
        <v>22</v>
      </c>
      <c r="J2492" s="98">
        <v>22</v>
      </c>
      <c r="K2492" s="89">
        <f t="shared" si="107"/>
        <v>1</v>
      </c>
      <c r="L2492" s="89">
        <v>8597.36</v>
      </c>
      <c r="M2492" s="89">
        <v>3103.74</v>
      </c>
      <c r="N2492" s="89">
        <v>847.42</v>
      </c>
      <c r="O2492" s="89">
        <f t="shared" si="105"/>
        <v>12548.52</v>
      </c>
    </row>
    <row r="2493" spans="1:15">
      <c r="A2493" s="74" t="s">
        <v>309</v>
      </c>
      <c r="B2493" s="74" t="s">
        <v>132</v>
      </c>
      <c r="C2493" s="74" t="s">
        <v>133</v>
      </c>
      <c r="D2493" s="74" t="s">
        <v>79</v>
      </c>
      <c r="E2493" s="74" t="s">
        <v>80</v>
      </c>
      <c r="F2493" s="86" t="s">
        <v>120</v>
      </c>
      <c r="G2493" s="74" t="s">
        <v>117</v>
      </c>
      <c r="H2493" s="87">
        <v>44895</v>
      </c>
      <c r="I2493" s="98">
        <v>22</v>
      </c>
      <c r="J2493" s="98">
        <v>22</v>
      </c>
      <c r="K2493" s="89">
        <f t="shared" si="107"/>
        <v>1</v>
      </c>
      <c r="L2493" s="89">
        <v>7363.56</v>
      </c>
      <c r="M2493" s="89">
        <v>3218.26</v>
      </c>
      <c r="N2493" s="89">
        <v>762.68</v>
      </c>
      <c r="O2493" s="89">
        <f t="shared" si="105"/>
        <v>11344.5</v>
      </c>
    </row>
    <row r="2494" spans="1:15">
      <c r="A2494" s="74" t="s">
        <v>309</v>
      </c>
      <c r="B2494" s="74" t="s">
        <v>134</v>
      </c>
      <c r="C2494" s="74" t="s">
        <v>135</v>
      </c>
      <c r="D2494" s="74" t="s">
        <v>79</v>
      </c>
      <c r="E2494" s="74" t="s">
        <v>80</v>
      </c>
      <c r="F2494" s="86" t="s">
        <v>123</v>
      </c>
      <c r="G2494" s="74" t="s">
        <v>117</v>
      </c>
      <c r="H2494" s="87">
        <v>44895</v>
      </c>
      <c r="I2494" s="98">
        <v>22</v>
      </c>
      <c r="J2494" s="98">
        <v>22</v>
      </c>
      <c r="K2494" s="89">
        <f t="shared" si="107"/>
        <v>1</v>
      </c>
      <c r="L2494" s="89">
        <v>6021.01</v>
      </c>
      <c r="M2494" s="89">
        <v>3194.58</v>
      </c>
      <c r="N2494" s="89">
        <v>642.61</v>
      </c>
      <c r="O2494" s="89">
        <f t="shared" si="105"/>
        <v>9858.2</v>
      </c>
    </row>
    <row r="2495" spans="1:15">
      <c r="A2495" s="74" t="s">
        <v>309</v>
      </c>
      <c r="B2495" s="74" t="s">
        <v>136</v>
      </c>
      <c r="C2495" s="74" t="s">
        <v>137</v>
      </c>
      <c r="D2495" s="74" t="s">
        <v>79</v>
      </c>
      <c r="E2495" s="74" t="s">
        <v>80</v>
      </c>
      <c r="F2495" s="86" t="s">
        <v>116</v>
      </c>
      <c r="G2495" s="74" t="s">
        <v>138</v>
      </c>
      <c r="H2495" s="87">
        <v>44895</v>
      </c>
      <c r="I2495" s="98">
        <v>22</v>
      </c>
      <c r="J2495" s="98">
        <v>22</v>
      </c>
      <c r="K2495" s="89">
        <f t="shared" si="107"/>
        <v>1</v>
      </c>
      <c r="L2495" s="89">
        <v>8709.51</v>
      </c>
      <c r="M2495" s="89">
        <v>3041.08</v>
      </c>
      <c r="N2495" s="89">
        <v>862.5</v>
      </c>
      <c r="O2495" s="89">
        <f t="shared" si="105"/>
        <v>12613.09</v>
      </c>
    </row>
    <row r="2496" spans="1:15">
      <c r="A2496" s="74" t="s">
        <v>309</v>
      </c>
      <c r="B2496" s="74" t="s">
        <v>139</v>
      </c>
      <c r="C2496" s="74" t="s">
        <v>140</v>
      </c>
      <c r="D2496" s="74" t="s">
        <v>79</v>
      </c>
      <c r="E2496" s="74" t="s">
        <v>80</v>
      </c>
      <c r="F2496" s="86" t="s">
        <v>120</v>
      </c>
      <c r="G2496" s="74" t="s">
        <v>138</v>
      </c>
      <c r="H2496" s="87">
        <v>44895</v>
      </c>
      <c r="I2496" s="98">
        <v>22</v>
      </c>
      <c r="J2496" s="98">
        <v>22</v>
      </c>
      <c r="K2496" s="89">
        <f t="shared" si="107"/>
        <v>1</v>
      </c>
      <c r="L2496" s="89">
        <v>7247.26</v>
      </c>
      <c r="M2496" s="89">
        <v>3266.45</v>
      </c>
      <c r="N2496" s="89">
        <v>710.78</v>
      </c>
      <c r="O2496" s="89">
        <f t="shared" si="105"/>
        <v>11224.49</v>
      </c>
    </row>
    <row r="2497" spans="1:15">
      <c r="A2497" s="74" t="s">
        <v>309</v>
      </c>
      <c r="B2497" s="74" t="s">
        <v>141</v>
      </c>
      <c r="C2497" s="74" t="s">
        <v>142</v>
      </c>
      <c r="D2497" s="74" t="s">
        <v>79</v>
      </c>
      <c r="E2497" s="74" t="s">
        <v>80</v>
      </c>
      <c r="F2497" s="86" t="s">
        <v>123</v>
      </c>
      <c r="G2497" s="74" t="s">
        <v>138</v>
      </c>
      <c r="H2497" s="87">
        <v>44895</v>
      </c>
      <c r="I2497" s="98">
        <v>22</v>
      </c>
      <c r="J2497" s="98">
        <v>22</v>
      </c>
      <c r="K2497" s="89">
        <f t="shared" si="107"/>
        <v>1</v>
      </c>
      <c r="L2497" s="89">
        <v>6166.16</v>
      </c>
      <c r="M2497" s="89">
        <v>3187.64</v>
      </c>
      <c r="N2497" s="89">
        <v>650.64</v>
      </c>
      <c r="O2497" s="89">
        <f t="shared" si="105"/>
        <v>10004.44</v>
      </c>
    </row>
    <row r="2498" spans="1:15">
      <c r="A2498" s="74" t="s">
        <v>309</v>
      </c>
      <c r="B2498" s="74" t="s">
        <v>143</v>
      </c>
      <c r="C2498" s="74" t="s">
        <v>144</v>
      </c>
      <c r="D2498" s="74" t="s">
        <v>79</v>
      </c>
      <c r="E2498" s="74" t="s">
        <v>80</v>
      </c>
      <c r="F2498" s="86" t="s">
        <v>145</v>
      </c>
      <c r="G2498" s="74" t="s">
        <v>146</v>
      </c>
      <c r="H2498" s="87">
        <v>44895</v>
      </c>
      <c r="I2498" s="98">
        <v>22</v>
      </c>
      <c r="J2498" s="98">
        <v>22</v>
      </c>
      <c r="K2498" s="89">
        <f t="shared" si="107"/>
        <v>1</v>
      </c>
      <c r="L2498" s="89">
        <v>19050.9</v>
      </c>
      <c r="M2498" s="89">
        <v>3291.72</v>
      </c>
      <c r="N2498" s="89">
        <v>1969.61</v>
      </c>
      <c r="O2498" s="89">
        <f t="shared" si="105"/>
        <v>24312.23</v>
      </c>
    </row>
    <row r="2499" spans="1:15">
      <c r="A2499" s="74" t="s">
        <v>309</v>
      </c>
      <c r="B2499" s="74" t="s">
        <v>147</v>
      </c>
      <c r="C2499" s="74" t="s">
        <v>148</v>
      </c>
      <c r="D2499" s="74" t="s">
        <v>79</v>
      </c>
      <c r="E2499" s="74" t="s">
        <v>80</v>
      </c>
      <c r="F2499" s="86" t="s">
        <v>149</v>
      </c>
      <c r="G2499" s="74" t="s">
        <v>150</v>
      </c>
      <c r="H2499" s="87">
        <v>44895</v>
      </c>
      <c r="I2499" s="98">
        <v>22</v>
      </c>
      <c r="J2499" s="98">
        <v>22</v>
      </c>
      <c r="K2499" s="89">
        <f t="shared" si="107"/>
        <v>1</v>
      </c>
      <c r="L2499" s="89">
        <v>18212.36</v>
      </c>
      <c r="M2499" s="89">
        <v>3219.04</v>
      </c>
      <c r="N2499" s="89">
        <v>1765.64</v>
      </c>
      <c r="O2499" s="89">
        <f t="shared" si="105"/>
        <v>23197.04</v>
      </c>
    </row>
    <row r="2500" spans="1:15">
      <c r="A2500" s="74" t="s">
        <v>309</v>
      </c>
      <c r="B2500" s="74" t="s">
        <v>151</v>
      </c>
      <c r="C2500" s="74" t="s">
        <v>152</v>
      </c>
      <c r="D2500" s="74" t="s">
        <v>79</v>
      </c>
      <c r="E2500" s="74" t="s">
        <v>81</v>
      </c>
      <c r="F2500" s="86" t="s">
        <v>123</v>
      </c>
      <c r="G2500" s="74" t="s">
        <v>153</v>
      </c>
      <c r="H2500" s="87">
        <v>44895</v>
      </c>
      <c r="I2500" s="98">
        <v>22</v>
      </c>
      <c r="J2500" s="98">
        <v>22</v>
      </c>
      <c r="K2500" s="89">
        <f t="shared" si="107"/>
        <v>1</v>
      </c>
      <c r="L2500" s="89">
        <v>6104.71</v>
      </c>
      <c r="M2500" s="89">
        <v>3118.14</v>
      </c>
      <c r="N2500" s="89">
        <v>652.8</v>
      </c>
      <c r="O2500" s="89">
        <f t="shared" si="105"/>
        <v>9875.65</v>
      </c>
    </row>
    <row r="2501" spans="1:15">
      <c r="A2501" s="74" t="s">
        <v>309</v>
      </c>
      <c r="B2501" s="74" t="s">
        <v>154</v>
      </c>
      <c r="C2501" s="74" t="s">
        <v>155</v>
      </c>
      <c r="D2501" s="74" t="s">
        <v>79</v>
      </c>
      <c r="E2501" s="74" t="s">
        <v>81</v>
      </c>
      <c r="F2501" s="86" t="s">
        <v>156</v>
      </c>
      <c r="G2501" s="74" t="s">
        <v>157</v>
      </c>
      <c r="H2501" s="87">
        <v>44895</v>
      </c>
      <c r="I2501" s="98">
        <v>22</v>
      </c>
      <c r="J2501" s="98">
        <v>22</v>
      </c>
      <c r="K2501" s="89">
        <f t="shared" si="107"/>
        <v>1</v>
      </c>
      <c r="L2501" s="89">
        <v>5350.79</v>
      </c>
      <c r="M2501" s="89">
        <v>3147.18</v>
      </c>
      <c r="N2501" s="89">
        <v>538.43</v>
      </c>
      <c r="O2501" s="89">
        <f t="shared" ref="O2501:O2564" si="108">SUM(L2501:N2501)</f>
        <v>9036.4</v>
      </c>
    </row>
    <row r="2502" spans="1:15">
      <c r="A2502" s="74" t="s">
        <v>309</v>
      </c>
      <c r="B2502" s="74" t="s">
        <v>158</v>
      </c>
      <c r="C2502" s="74" t="s">
        <v>159</v>
      </c>
      <c r="D2502" s="74" t="s">
        <v>79</v>
      </c>
      <c r="E2502" s="74" t="s">
        <v>81</v>
      </c>
      <c r="F2502" s="86" t="s">
        <v>160</v>
      </c>
      <c r="G2502" s="74" t="s">
        <v>161</v>
      </c>
      <c r="H2502" s="87">
        <v>44895</v>
      </c>
      <c r="I2502" s="98">
        <v>22</v>
      </c>
      <c r="J2502" s="98">
        <v>22</v>
      </c>
      <c r="K2502" s="89">
        <f t="shared" si="107"/>
        <v>1</v>
      </c>
      <c r="L2502" s="89">
        <v>4040.45</v>
      </c>
      <c r="M2502" s="89">
        <v>3143.29</v>
      </c>
      <c r="N2502" s="89">
        <v>438.18</v>
      </c>
      <c r="O2502" s="89">
        <f t="shared" si="108"/>
        <v>7621.92</v>
      </c>
    </row>
    <row r="2503" spans="1:15">
      <c r="A2503" s="74" t="s">
        <v>309</v>
      </c>
      <c r="B2503" s="74" t="s">
        <v>162</v>
      </c>
      <c r="C2503" s="74" t="s">
        <v>163</v>
      </c>
      <c r="D2503" s="74" t="s">
        <v>79</v>
      </c>
      <c r="E2503" s="74" t="s">
        <v>81</v>
      </c>
      <c r="F2503" s="86" t="s">
        <v>123</v>
      </c>
      <c r="G2503" s="74" t="s">
        <v>153</v>
      </c>
      <c r="H2503" s="87">
        <v>44895</v>
      </c>
      <c r="I2503" s="98">
        <v>22</v>
      </c>
      <c r="J2503" s="98">
        <v>22</v>
      </c>
      <c r="K2503" s="89">
        <f t="shared" si="107"/>
        <v>1</v>
      </c>
      <c r="L2503" s="89">
        <v>6157.39</v>
      </c>
      <c r="M2503" s="89">
        <v>3211.42</v>
      </c>
      <c r="N2503" s="89">
        <v>606.05</v>
      </c>
      <c r="O2503" s="89">
        <f t="shared" si="108"/>
        <v>9974.86</v>
      </c>
    </row>
    <row r="2504" spans="1:15">
      <c r="A2504" s="74" t="s">
        <v>309</v>
      </c>
      <c r="B2504" s="74" t="s">
        <v>164</v>
      </c>
      <c r="C2504" s="74" t="s">
        <v>165</v>
      </c>
      <c r="D2504" s="74" t="s">
        <v>79</v>
      </c>
      <c r="E2504" s="74" t="s">
        <v>81</v>
      </c>
      <c r="F2504" s="86" t="s">
        <v>156</v>
      </c>
      <c r="G2504" s="74" t="s">
        <v>157</v>
      </c>
      <c r="H2504" s="87">
        <v>44895</v>
      </c>
      <c r="I2504" s="98">
        <v>22</v>
      </c>
      <c r="J2504" s="98">
        <v>22</v>
      </c>
      <c r="K2504" s="89">
        <f t="shared" si="107"/>
        <v>1</v>
      </c>
      <c r="L2504" s="89">
        <v>5304.18</v>
      </c>
      <c r="M2504" s="89">
        <v>3052.98</v>
      </c>
      <c r="N2504" s="89">
        <v>539.07</v>
      </c>
      <c r="O2504" s="89">
        <f t="shared" si="108"/>
        <v>8896.23</v>
      </c>
    </row>
    <row r="2505" spans="1:15">
      <c r="A2505" s="74" t="s">
        <v>309</v>
      </c>
      <c r="B2505" s="74" t="s">
        <v>166</v>
      </c>
      <c r="C2505" s="74" t="s">
        <v>167</v>
      </c>
      <c r="D2505" s="74" t="s">
        <v>79</v>
      </c>
      <c r="E2505" s="74" t="s">
        <v>81</v>
      </c>
      <c r="F2505" s="86" t="s">
        <v>160</v>
      </c>
      <c r="G2505" s="74" t="s">
        <v>161</v>
      </c>
      <c r="H2505" s="87">
        <v>44895</v>
      </c>
      <c r="I2505" s="98">
        <v>22</v>
      </c>
      <c r="J2505" s="98">
        <v>22</v>
      </c>
      <c r="K2505" s="89">
        <f t="shared" si="107"/>
        <v>1</v>
      </c>
      <c r="L2505" s="89">
        <v>4085.19</v>
      </c>
      <c r="M2505" s="89">
        <v>3016.67</v>
      </c>
      <c r="N2505" s="89">
        <v>431.43</v>
      </c>
      <c r="O2505" s="89">
        <f t="shared" si="108"/>
        <v>7533.29</v>
      </c>
    </row>
    <row r="2506" spans="1:15">
      <c r="A2506" s="74" t="s">
        <v>309</v>
      </c>
      <c r="B2506" s="74" t="s">
        <v>168</v>
      </c>
      <c r="C2506" s="74" t="s">
        <v>169</v>
      </c>
      <c r="D2506" s="74" t="s">
        <v>79</v>
      </c>
      <c r="E2506" s="74" t="s">
        <v>81</v>
      </c>
      <c r="F2506" s="86" t="s">
        <v>123</v>
      </c>
      <c r="G2506" s="74" t="s">
        <v>153</v>
      </c>
      <c r="H2506" s="87">
        <v>44895</v>
      </c>
      <c r="I2506" s="98">
        <v>22</v>
      </c>
      <c r="J2506" s="98">
        <v>22</v>
      </c>
      <c r="K2506" s="89">
        <f t="shared" si="107"/>
        <v>1</v>
      </c>
      <c r="L2506" s="89">
        <v>6429.45</v>
      </c>
      <c r="M2506" s="89">
        <v>3200.52</v>
      </c>
      <c r="N2506" s="89">
        <v>610.5</v>
      </c>
      <c r="O2506" s="89">
        <f t="shared" si="108"/>
        <v>10240.47</v>
      </c>
    </row>
    <row r="2507" spans="1:15">
      <c r="A2507" s="74" t="s">
        <v>309</v>
      </c>
      <c r="B2507" s="74" t="s">
        <v>170</v>
      </c>
      <c r="C2507" s="74" t="s">
        <v>171</v>
      </c>
      <c r="D2507" s="74" t="s">
        <v>79</v>
      </c>
      <c r="E2507" s="74" t="s">
        <v>81</v>
      </c>
      <c r="F2507" s="86" t="s">
        <v>156</v>
      </c>
      <c r="G2507" s="74" t="s">
        <v>157</v>
      </c>
      <c r="H2507" s="87">
        <v>44895</v>
      </c>
      <c r="I2507" s="98">
        <v>22</v>
      </c>
      <c r="J2507" s="98">
        <v>22</v>
      </c>
      <c r="K2507" s="89">
        <f t="shared" si="107"/>
        <v>1</v>
      </c>
      <c r="L2507" s="89">
        <v>5172.82</v>
      </c>
      <c r="M2507" s="89">
        <v>3256.55</v>
      </c>
      <c r="N2507" s="89">
        <v>538.95</v>
      </c>
      <c r="O2507" s="89">
        <f t="shared" si="108"/>
        <v>8968.32</v>
      </c>
    </row>
    <row r="2508" spans="1:15">
      <c r="A2508" s="74" t="s">
        <v>309</v>
      </c>
      <c r="B2508" s="74" t="s">
        <v>172</v>
      </c>
      <c r="C2508" s="74" t="s">
        <v>173</v>
      </c>
      <c r="D2508" s="74" t="s">
        <v>79</v>
      </c>
      <c r="E2508" s="74" t="s">
        <v>81</v>
      </c>
      <c r="F2508" s="86" t="s">
        <v>160</v>
      </c>
      <c r="G2508" s="74" t="s">
        <v>161</v>
      </c>
      <c r="H2508" s="87">
        <v>44895</v>
      </c>
      <c r="I2508" s="98">
        <v>22</v>
      </c>
      <c r="J2508" s="98">
        <v>22</v>
      </c>
      <c r="K2508" s="89">
        <f t="shared" si="107"/>
        <v>1</v>
      </c>
      <c r="L2508" s="89">
        <v>4055.99</v>
      </c>
      <c r="M2508" s="89">
        <v>3282.76</v>
      </c>
      <c r="N2508" s="89">
        <v>417.21</v>
      </c>
      <c r="O2508" s="89">
        <f t="shared" si="108"/>
        <v>7755.96</v>
      </c>
    </row>
    <row r="2509" spans="1:15">
      <c r="A2509" s="74" t="s">
        <v>309</v>
      </c>
      <c r="B2509" s="74" t="s">
        <v>174</v>
      </c>
      <c r="C2509" s="74" t="s">
        <v>175</v>
      </c>
      <c r="D2509" s="74" t="s">
        <v>79</v>
      </c>
      <c r="E2509" s="74" t="s">
        <v>81</v>
      </c>
      <c r="F2509" s="86" t="s">
        <v>176</v>
      </c>
      <c r="G2509" s="74" t="s">
        <v>177</v>
      </c>
      <c r="H2509" s="87">
        <v>44895</v>
      </c>
      <c r="I2509" s="98">
        <v>22</v>
      </c>
      <c r="J2509" s="98">
        <v>22</v>
      </c>
      <c r="K2509" s="89">
        <f t="shared" si="107"/>
        <v>1</v>
      </c>
      <c r="L2509" s="89">
        <v>3228.09</v>
      </c>
      <c r="M2509" s="89">
        <v>3253.53</v>
      </c>
      <c r="N2509" s="89">
        <v>305.5</v>
      </c>
      <c r="O2509" s="89">
        <f t="shared" si="108"/>
        <v>6787.12</v>
      </c>
    </row>
    <row r="2510" spans="1:15">
      <c r="A2510" s="74" t="s">
        <v>309</v>
      </c>
      <c r="B2510" s="74" t="s">
        <v>178</v>
      </c>
      <c r="C2510" s="74" t="s">
        <v>179</v>
      </c>
      <c r="D2510" s="74" t="s">
        <v>79</v>
      </c>
      <c r="E2510" s="74" t="s">
        <v>81</v>
      </c>
      <c r="F2510" s="86" t="s">
        <v>180</v>
      </c>
      <c r="G2510" s="74" t="s">
        <v>177</v>
      </c>
      <c r="H2510" s="87">
        <v>44895</v>
      </c>
      <c r="I2510" s="98">
        <v>22</v>
      </c>
      <c r="J2510" s="98">
        <v>22</v>
      </c>
      <c r="K2510" s="89">
        <f t="shared" si="107"/>
        <v>1</v>
      </c>
      <c r="L2510" s="89">
        <v>2187.87</v>
      </c>
      <c r="M2510" s="89">
        <v>3085.82</v>
      </c>
      <c r="N2510" s="89">
        <v>209.69</v>
      </c>
      <c r="O2510" s="89">
        <f t="shared" si="108"/>
        <v>5483.38</v>
      </c>
    </row>
    <row r="2511" spans="1:15">
      <c r="A2511" s="74" t="s">
        <v>309</v>
      </c>
      <c r="B2511" s="74" t="s">
        <v>181</v>
      </c>
      <c r="C2511" s="74" t="s">
        <v>182</v>
      </c>
      <c r="D2511" s="74" t="s">
        <v>79</v>
      </c>
      <c r="E2511" s="74" t="s">
        <v>81</v>
      </c>
      <c r="F2511" s="86" t="s">
        <v>183</v>
      </c>
      <c r="G2511" s="74" t="s">
        <v>177</v>
      </c>
      <c r="H2511" s="87">
        <v>44895</v>
      </c>
      <c r="I2511" s="98">
        <v>22</v>
      </c>
      <c r="J2511" s="98">
        <v>22</v>
      </c>
      <c r="K2511" s="89">
        <f t="shared" si="107"/>
        <v>1</v>
      </c>
      <c r="L2511" s="89">
        <v>1019.71</v>
      </c>
      <c r="M2511" s="89">
        <v>3153.22</v>
      </c>
      <c r="N2511" s="89">
        <v>102.77</v>
      </c>
      <c r="O2511" s="89">
        <f t="shared" si="108"/>
        <v>4275.7</v>
      </c>
    </row>
    <row r="2512" spans="1:15">
      <c r="A2512" s="74" t="s">
        <v>309</v>
      </c>
      <c r="B2512" s="74" t="s">
        <v>184</v>
      </c>
      <c r="C2512" s="74" t="s">
        <v>185</v>
      </c>
      <c r="D2512" s="74" t="s">
        <v>79</v>
      </c>
      <c r="E2512" s="74" t="s">
        <v>81</v>
      </c>
      <c r="F2512" s="86" t="s">
        <v>176</v>
      </c>
      <c r="G2512" s="74" t="s">
        <v>177</v>
      </c>
      <c r="H2512" s="87">
        <v>44895</v>
      </c>
      <c r="I2512" s="98">
        <v>22</v>
      </c>
      <c r="J2512" s="98">
        <v>22</v>
      </c>
      <c r="K2512" s="89">
        <f t="shared" si="107"/>
        <v>1</v>
      </c>
      <c r="L2512" s="89">
        <v>3093.43</v>
      </c>
      <c r="M2512" s="89">
        <v>3295.7</v>
      </c>
      <c r="N2512" s="89">
        <v>318.6</v>
      </c>
      <c r="O2512" s="89">
        <f t="shared" si="108"/>
        <v>6707.73</v>
      </c>
    </row>
    <row r="2513" spans="1:15">
      <c r="A2513" s="74" t="s">
        <v>309</v>
      </c>
      <c r="B2513" s="74" t="s">
        <v>186</v>
      </c>
      <c r="C2513" s="74" t="s">
        <v>187</v>
      </c>
      <c r="D2513" s="74" t="s">
        <v>79</v>
      </c>
      <c r="E2513" s="74" t="s">
        <v>81</v>
      </c>
      <c r="F2513" s="86" t="s">
        <v>180</v>
      </c>
      <c r="G2513" s="74" t="s">
        <v>177</v>
      </c>
      <c r="H2513" s="87">
        <v>44895</v>
      </c>
      <c r="I2513" s="98">
        <v>22</v>
      </c>
      <c r="J2513" s="98">
        <v>22</v>
      </c>
      <c r="K2513" s="89">
        <f t="shared" si="107"/>
        <v>1</v>
      </c>
      <c r="L2513" s="89">
        <v>2075.49</v>
      </c>
      <c r="M2513" s="89">
        <v>3129.07</v>
      </c>
      <c r="N2513" s="89">
        <v>216.43</v>
      </c>
      <c r="O2513" s="89">
        <f t="shared" si="108"/>
        <v>5420.99</v>
      </c>
    </row>
    <row r="2514" spans="1:15">
      <c r="A2514" s="74" t="s">
        <v>309</v>
      </c>
      <c r="B2514" s="74" t="s">
        <v>188</v>
      </c>
      <c r="C2514" s="74" t="s">
        <v>189</v>
      </c>
      <c r="D2514" s="74" t="s">
        <v>79</v>
      </c>
      <c r="E2514" s="74" t="s">
        <v>81</v>
      </c>
      <c r="F2514" s="86" t="s">
        <v>183</v>
      </c>
      <c r="G2514" s="74" t="s">
        <v>177</v>
      </c>
      <c r="H2514" s="87">
        <v>44895</v>
      </c>
      <c r="I2514" s="98">
        <v>22</v>
      </c>
      <c r="J2514" s="98">
        <v>22</v>
      </c>
      <c r="K2514" s="89">
        <f t="shared" si="107"/>
        <v>1</v>
      </c>
      <c r="L2514" s="89">
        <v>1061.4</v>
      </c>
      <c r="M2514" s="89">
        <v>3054.39</v>
      </c>
      <c r="N2514" s="89">
        <v>104.01</v>
      </c>
      <c r="O2514" s="89">
        <f t="shared" si="108"/>
        <v>4219.8</v>
      </c>
    </row>
    <row r="2515" spans="1:15">
      <c r="A2515" s="74" t="s">
        <v>309</v>
      </c>
      <c r="B2515" s="74" t="s">
        <v>190</v>
      </c>
      <c r="C2515" s="74" t="s">
        <v>191</v>
      </c>
      <c r="D2515" s="74" t="s">
        <v>79</v>
      </c>
      <c r="E2515" s="74" t="s">
        <v>81</v>
      </c>
      <c r="F2515" s="86" t="s">
        <v>176</v>
      </c>
      <c r="G2515" s="74" t="s">
        <v>177</v>
      </c>
      <c r="H2515" s="87">
        <v>44895</v>
      </c>
      <c r="I2515" s="98">
        <v>22</v>
      </c>
      <c r="J2515" s="98">
        <v>22</v>
      </c>
      <c r="K2515" s="89">
        <f t="shared" si="107"/>
        <v>1</v>
      </c>
      <c r="L2515" s="89">
        <v>3062.31</v>
      </c>
      <c r="M2515" s="89">
        <v>3072.64</v>
      </c>
      <c r="N2515" s="89">
        <v>329.74</v>
      </c>
      <c r="O2515" s="89">
        <f t="shared" si="108"/>
        <v>6464.69</v>
      </c>
    </row>
    <row r="2516" spans="1:15">
      <c r="A2516" s="74" t="s">
        <v>309</v>
      </c>
      <c r="B2516" s="74" t="s">
        <v>192</v>
      </c>
      <c r="C2516" s="74" t="s">
        <v>193</v>
      </c>
      <c r="D2516" s="74" t="s">
        <v>79</v>
      </c>
      <c r="E2516" s="74" t="s">
        <v>81</v>
      </c>
      <c r="F2516" s="86" t="s">
        <v>180</v>
      </c>
      <c r="G2516" s="74" t="s">
        <v>177</v>
      </c>
      <c r="H2516" s="87">
        <v>44895</v>
      </c>
      <c r="I2516" s="98">
        <v>22</v>
      </c>
      <c r="J2516" s="98">
        <v>22</v>
      </c>
      <c r="K2516" s="89">
        <f t="shared" si="107"/>
        <v>1</v>
      </c>
      <c r="L2516" s="89">
        <v>2041.66</v>
      </c>
      <c r="M2516" s="89">
        <v>3135.93</v>
      </c>
      <c r="N2516" s="89">
        <v>204.09</v>
      </c>
      <c r="O2516" s="89">
        <f t="shared" si="108"/>
        <v>5381.68</v>
      </c>
    </row>
    <row r="2517" spans="1:15">
      <c r="A2517" s="74" t="s">
        <v>309</v>
      </c>
      <c r="B2517" s="74" t="s">
        <v>194</v>
      </c>
      <c r="C2517" s="74" t="s">
        <v>195</v>
      </c>
      <c r="D2517" s="74" t="s">
        <v>79</v>
      </c>
      <c r="E2517" s="74" t="s">
        <v>81</v>
      </c>
      <c r="F2517" s="86" t="s">
        <v>183</v>
      </c>
      <c r="G2517" s="74" t="s">
        <v>177</v>
      </c>
      <c r="H2517" s="87">
        <v>44895</v>
      </c>
      <c r="I2517" s="98">
        <v>22</v>
      </c>
      <c r="J2517" s="98">
        <v>22</v>
      </c>
      <c r="K2517" s="89">
        <f t="shared" si="107"/>
        <v>1</v>
      </c>
      <c r="L2517" s="89">
        <v>1026.71</v>
      </c>
      <c r="M2517" s="89">
        <v>3027.9</v>
      </c>
      <c r="N2517" s="89">
        <v>101.97</v>
      </c>
      <c r="O2517" s="89">
        <f t="shared" si="108"/>
        <v>4156.58</v>
      </c>
    </row>
    <row r="2518" spans="1:15">
      <c r="A2518" s="74" t="s">
        <v>309</v>
      </c>
      <c r="B2518" s="74" t="s">
        <v>196</v>
      </c>
      <c r="C2518" s="74" t="s">
        <v>197</v>
      </c>
      <c r="D2518" s="74" t="s">
        <v>79</v>
      </c>
      <c r="E2518" s="74" t="s">
        <v>81</v>
      </c>
      <c r="F2518" s="86" t="s">
        <v>176</v>
      </c>
      <c r="G2518" s="74" t="s">
        <v>177</v>
      </c>
      <c r="H2518" s="87">
        <v>44895</v>
      </c>
      <c r="I2518" s="98">
        <v>22</v>
      </c>
      <c r="J2518" s="98">
        <v>22</v>
      </c>
      <c r="K2518" s="89">
        <f t="shared" si="107"/>
        <v>1</v>
      </c>
      <c r="L2518" s="89">
        <v>3125.44</v>
      </c>
      <c r="M2518" s="89">
        <v>3068.52</v>
      </c>
      <c r="N2518" s="89">
        <v>310.87</v>
      </c>
      <c r="O2518" s="89">
        <f t="shared" si="108"/>
        <v>6504.83</v>
      </c>
    </row>
    <row r="2519" spans="1:15">
      <c r="A2519" s="74" t="s">
        <v>309</v>
      </c>
      <c r="B2519" s="74" t="s">
        <v>198</v>
      </c>
      <c r="C2519" s="74" t="s">
        <v>199</v>
      </c>
      <c r="D2519" s="74" t="s">
        <v>79</v>
      </c>
      <c r="E2519" s="74" t="s">
        <v>81</v>
      </c>
      <c r="F2519" s="86" t="s">
        <v>180</v>
      </c>
      <c r="G2519" s="74" t="s">
        <v>177</v>
      </c>
      <c r="H2519" s="87">
        <v>44895</v>
      </c>
      <c r="I2519" s="98">
        <v>22</v>
      </c>
      <c r="J2519" s="98">
        <v>22</v>
      </c>
      <c r="K2519" s="89">
        <f t="shared" si="107"/>
        <v>1</v>
      </c>
      <c r="L2519" s="89">
        <v>2066.72</v>
      </c>
      <c r="M2519" s="89">
        <v>3294.49</v>
      </c>
      <c r="N2519" s="89">
        <v>214.96</v>
      </c>
      <c r="O2519" s="89">
        <f t="shared" si="108"/>
        <v>5576.17</v>
      </c>
    </row>
    <row r="2520" spans="1:15">
      <c r="A2520" s="74" t="s">
        <v>309</v>
      </c>
      <c r="B2520" s="74" t="s">
        <v>200</v>
      </c>
      <c r="C2520" s="74" t="s">
        <v>201</v>
      </c>
      <c r="D2520" s="74" t="s">
        <v>79</v>
      </c>
      <c r="E2520" s="74" t="s">
        <v>81</v>
      </c>
      <c r="F2520" s="86" t="s">
        <v>183</v>
      </c>
      <c r="G2520" s="74" t="s">
        <v>177</v>
      </c>
      <c r="H2520" s="87">
        <v>44895</v>
      </c>
      <c r="I2520" s="98">
        <v>22</v>
      </c>
      <c r="J2520" s="98">
        <v>22</v>
      </c>
      <c r="K2520" s="89">
        <f t="shared" si="107"/>
        <v>1</v>
      </c>
      <c r="L2520" s="89">
        <v>1033.7</v>
      </c>
      <c r="M2520" s="89">
        <v>3240.9</v>
      </c>
      <c r="N2520" s="89">
        <v>104.6</v>
      </c>
      <c r="O2520" s="89">
        <f t="shared" si="108"/>
        <v>4379.2</v>
      </c>
    </row>
    <row r="2521" spans="1:15">
      <c r="A2521" s="74" t="s">
        <v>309</v>
      </c>
      <c r="B2521" s="74" t="s">
        <v>202</v>
      </c>
      <c r="C2521" s="74" t="s">
        <v>203</v>
      </c>
      <c r="D2521" s="74" t="s">
        <v>79</v>
      </c>
      <c r="E2521" s="74" t="s">
        <v>81</v>
      </c>
      <c r="F2521" s="86" t="s">
        <v>204</v>
      </c>
      <c r="G2521" s="74" t="s">
        <v>205</v>
      </c>
      <c r="H2521" s="87">
        <v>44895</v>
      </c>
      <c r="I2521" s="98">
        <v>22</v>
      </c>
      <c r="J2521" s="98">
        <v>22</v>
      </c>
      <c r="K2521" s="89">
        <f t="shared" si="107"/>
        <v>1</v>
      </c>
      <c r="L2521" s="89">
        <v>18782.14</v>
      </c>
      <c r="M2521" s="89">
        <v>3098.71</v>
      </c>
      <c r="N2521" s="89">
        <v>1900.9</v>
      </c>
      <c r="O2521" s="89">
        <f t="shared" si="108"/>
        <v>23781.75</v>
      </c>
    </row>
    <row r="2522" spans="1:15">
      <c r="A2522" s="74" t="s">
        <v>309</v>
      </c>
      <c r="B2522" s="74" t="s">
        <v>206</v>
      </c>
      <c r="C2522" s="74" t="s">
        <v>207</v>
      </c>
      <c r="D2522" s="88" t="s">
        <v>82</v>
      </c>
      <c r="E2522" s="88" t="s">
        <v>84</v>
      </c>
      <c r="F2522" s="86" t="s">
        <v>208</v>
      </c>
      <c r="G2522" s="74" t="s">
        <v>209</v>
      </c>
      <c r="H2522" s="87">
        <v>44895</v>
      </c>
      <c r="I2522" s="98">
        <v>22</v>
      </c>
      <c r="J2522" s="98">
        <v>22</v>
      </c>
      <c r="K2522" s="89">
        <f t="shared" si="107"/>
        <v>1</v>
      </c>
      <c r="L2522" s="89">
        <v>9392.39</v>
      </c>
      <c r="M2522" s="89">
        <v>3010.25</v>
      </c>
      <c r="N2522" s="89">
        <v>988.42</v>
      </c>
      <c r="O2522" s="89">
        <f t="shared" si="108"/>
        <v>13391.06</v>
      </c>
    </row>
    <row r="2523" spans="1:15">
      <c r="A2523" s="74" t="s">
        <v>309</v>
      </c>
      <c r="B2523" s="74" t="s">
        <v>210</v>
      </c>
      <c r="C2523" s="74" t="s">
        <v>211</v>
      </c>
      <c r="D2523" s="88" t="s">
        <v>82</v>
      </c>
      <c r="E2523" s="88" t="s">
        <v>84</v>
      </c>
      <c r="F2523" s="86" t="s">
        <v>116</v>
      </c>
      <c r="G2523" s="74" t="s">
        <v>209</v>
      </c>
      <c r="H2523" s="87">
        <v>44895</v>
      </c>
      <c r="I2523" s="98">
        <v>22</v>
      </c>
      <c r="J2523" s="98">
        <v>22</v>
      </c>
      <c r="K2523" s="89">
        <f t="shared" si="107"/>
        <v>1</v>
      </c>
      <c r="L2523" s="89">
        <v>8566.9</v>
      </c>
      <c r="M2523" s="89">
        <v>3214.98</v>
      </c>
      <c r="N2523" s="89">
        <v>853.51</v>
      </c>
      <c r="O2523" s="89">
        <f t="shared" si="108"/>
        <v>12635.39</v>
      </c>
    </row>
    <row r="2524" spans="1:15">
      <c r="A2524" s="74" t="s">
        <v>309</v>
      </c>
      <c r="B2524" s="74" t="s">
        <v>212</v>
      </c>
      <c r="C2524" s="74" t="s">
        <v>213</v>
      </c>
      <c r="D2524" s="88" t="s">
        <v>82</v>
      </c>
      <c r="E2524" s="88" t="s">
        <v>84</v>
      </c>
      <c r="F2524" s="86" t="s">
        <v>208</v>
      </c>
      <c r="G2524" s="74" t="s">
        <v>209</v>
      </c>
      <c r="H2524" s="87">
        <v>44895</v>
      </c>
      <c r="I2524" s="98">
        <v>22</v>
      </c>
      <c r="J2524" s="98">
        <v>22</v>
      </c>
      <c r="K2524" s="89">
        <f t="shared" si="107"/>
        <v>1</v>
      </c>
      <c r="L2524" s="89">
        <v>9080.37</v>
      </c>
      <c r="M2524" s="89">
        <v>3040.44</v>
      </c>
      <c r="N2524" s="89">
        <v>931.17</v>
      </c>
      <c r="O2524" s="89">
        <f t="shared" si="108"/>
        <v>13051.98</v>
      </c>
    </row>
    <row r="2525" spans="1:15">
      <c r="A2525" s="74" t="s">
        <v>309</v>
      </c>
      <c r="B2525" s="74" t="s">
        <v>214</v>
      </c>
      <c r="C2525" s="74" t="s">
        <v>215</v>
      </c>
      <c r="D2525" s="88" t="s">
        <v>82</v>
      </c>
      <c r="E2525" s="88" t="s">
        <v>84</v>
      </c>
      <c r="F2525" s="86" t="s">
        <v>116</v>
      </c>
      <c r="G2525" s="74" t="s">
        <v>209</v>
      </c>
      <c r="H2525" s="87">
        <v>44895</v>
      </c>
      <c r="I2525" s="98">
        <v>22</v>
      </c>
      <c r="J2525" s="98">
        <v>22</v>
      </c>
      <c r="K2525" s="89">
        <f t="shared" si="107"/>
        <v>1</v>
      </c>
      <c r="L2525" s="89">
        <v>8197.63</v>
      </c>
      <c r="M2525" s="89">
        <v>3086.59</v>
      </c>
      <c r="N2525" s="89">
        <v>878.35</v>
      </c>
      <c r="O2525" s="89">
        <f t="shared" si="108"/>
        <v>12162.57</v>
      </c>
    </row>
    <row r="2526" spans="1:15">
      <c r="A2526" s="74" t="s">
        <v>309</v>
      </c>
      <c r="B2526" s="74" t="s">
        <v>216</v>
      </c>
      <c r="C2526" s="74" t="s">
        <v>217</v>
      </c>
      <c r="D2526" s="88" t="s">
        <v>82</v>
      </c>
      <c r="E2526" s="88" t="s">
        <v>84</v>
      </c>
      <c r="F2526" s="86" t="s">
        <v>218</v>
      </c>
      <c r="G2526" s="74" t="s">
        <v>219</v>
      </c>
      <c r="H2526" s="87">
        <v>44895</v>
      </c>
      <c r="I2526" s="98">
        <v>22</v>
      </c>
      <c r="J2526" s="98">
        <v>22</v>
      </c>
      <c r="K2526" s="89">
        <f t="shared" si="107"/>
        <v>1</v>
      </c>
      <c r="L2526" s="89">
        <v>11967.62</v>
      </c>
      <c r="M2526" s="89">
        <v>3206.49</v>
      </c>
      <c r="N2526" s="89">
        <v>1158.73</v>
      </c>
      <c r="O2526" s="89">
        <f t="shared" si="108"/>
        <v>16332.84</v>
      </c>
    </row>
    <row r="2527" spans="1:15">
      <c r="A2527" s="74" t="s">
        <v>309</v>
      </c>
      <c r="B2527" s="74" t="s">
        <v>220</v>
      </c>
      <c r="C2527" s="74" t="s">
        <v>221</v>
      </c>
      <c r="D2527" s="88" t="s">
        <v>82</v>
      </c>
      <c r="E2527" s="74" t="s">
        <v>83</v>
      </c>
      <c r="F2527" s="86" t="s">
        <v>218</v>
      </c>
      <c r="G2527" s="74" t="s">
        <v>222</v>
      </c>
      <c r="H2527" s="87">
        <v>44895</v>
      </c>
      <c r="I2527" s="98">
        <v>22</v>
      </c>
      <c r="J2527" s="98">
        <v>22</v>
      </c>
      <c r="K2527" s="89">
        <f t="shared" si="107"/>
        <v>1</v>
      </c>
      <c r="L2527" s="89">
        <v>11389.23</v>
      </c>
      <c r="M2527" s="89">
        <v>3014.7</v>
      </c>
      <c r="N2527" s="89">
        <v>1183.55</v>
      </c>
      <c r="O2527" s="89">
        <f t="shared" si="108"/>
        <v>15587.48</v>
      </c>
    </row>
    <row r="2528" spans="1:15">
      <c r="A2528" s="74" t="s">
        <v>309</v>
      </c>
      <c r="B2528" s="74" t="s">
        <v>223</v>
      </c>
      <c r="C2528" s="74" t="s">
        <v>224</v>
      </c>
      <c r="D2528" s="88" t="s">
        <v>82</v>
      </c>
      <c r="E2528" s="74" t="s">
        <v>83</v>
      </c>
      <c r="F2528" s="86" t="s">
        <v>225</v>
      </c>
      <c r="G2528" s="74" t="s">
        <v>209</v>
      </c>
      <c r="H2528" s="87">
        <v>44895</v>
      </c>
      <c r="I2528" s="98">
        <v>22</v>
      </c>
      <c r="J2528" s="98">
        <v>22</v>
      </c>
      <c r="K2528" s="89">
        <f t="shared" si="107"/>
        <v>1</v>
      </c>
      <c r="L2528" s="89">
        <v>10058.07</v>
      </c>
      <c r="M2528" s="89">
        <v>3051.09</v>
      </c>
      <c r="N2528" s="89">
        <v>1097.58</v>
      </c>
      <c r="O2528" s="89">
        <f t="shared" si="108"/>
        <v>14206.74</v>
      </c>
    </row>
    <row r="2529" spans="1:15">
      <c r="A2529" s="74" t="s">
        <v>309</v>
      </c>
      <c r="B2529" s="74" t="s">
        <v>226</v>
      </c>
      <c r="C2529" s="74" t="s">
        <v>227</v>
      </c>
      <c r="D2529" s="88" t="s">
        <v>82</v>
      </c>
      <c r="E2529" s="74" t="s">
        <v>83</v>
      </c>
      <c r="F2529" s="86" t="s">
        <v>208</v>
      </c>
      <c r="G2529" s="74" t="s">
        <v>209</v>
      </c>
      <c r="H2529" s="87">
        <v>44895</v>
      </c>
      <c r="I2529" s="98">
        <v>22</v>
      </c>
      <c r="J2529" s="98">
        <v>22</v>
      </c>
      <c r="K2529" s="89">
        <f t="shared" si="107"/>
        <v>1</v>
      </c>
      <c r="L2529" s="89">
        <v>9193.26</v>
      </c>
      <c r="M2529" s="89">
        <v>3098.3</v>
      </c>
      <c r="N2529" s="89">
        <v>986.78</v>
      </c>
      <c r="O2529" s="89">
        <f t="shared" si="108"/>
        <v>13278.34</v>
      </c>
    </row>
    <row r="2530" spans="1:15">
      <c r="A2530" s="74" t="s">
        <v>309</v>
      </c>
      <c r="B2530" s="74" t="s">
        <v>228</v>
      </c>
      <c r="C2530" s="74" t="s">
        <v>229</v>
      </c>
      <c r="D2530" s="88" t="s">
        <v>82</v>
      </c>
      <c r="E2530" s="74" t="s">
        <v>83</v>
      </c>
      <c r="F2530" s="86" t="s">
        <v>116</v>
      </c>
      <c r="G2530" s="74" t="s">
        <v>209</v>
      </c>
      <c r="H2530" s="87">
        <v>44895</v>
      </c>
      <c r="I2530" s="98">
        <v>22</v>
      </c>
      <c r="J2530" s="98">
        <v>22</v>
      </c>
      <c r="K2530" s="89">
        <f t="shared" si="107"/>
        <v>1</v>
      </c>
      <c r="L2530" s="89">
        <v>8178.14</v>
      </c>
      <c r="M2530" s="89">
        <v>3026.54</v>
      </c>
      <c r="N2530" s="89">
        <v>858.2</v>
      </c>
      <c r="O2530" s="89">
        <f t="shared" si="108"/>
        <v>12062.88</v>
      </c>
    </row>
    <row r="2531" spans="1:15">
      <c r="A2531" s="74" t="s">
        <v>309</v>
      </c>
      <c r="B2531" s="74" t="s">
        <v>230</v>
      </c>
      <c r="C2531" s="74" t="s">
        <v>231</v>
      </c>
      <c r="D2531" s="88" t="s">
        <v>82</v>
      </c>
      <c r="E2531" s="74" t="s">
        <v>83</v>
      </c>
      <c r="F2531" s="86" t="s">
        <v>120</v>
      </c>
      <c r="G2531" s="74" t="s">
        <v>209</v>
      </c>
      <c r="H2531" s="87">
        <v>44895</v>
      </c>
      <c r="I2531" s="98">
        <v>22</v>
      </c>
      <c r="J2531" s="98">
        <v>22</v>
      </c>
      <c r="K2531" s="89">
        <f t="shared" si="107"/>
        <v>1</v>
      </c>
      <c r="L2531" s="89">
        <v>7177.89</v>
      </c>
      <c r="M2531" s="89">
        <v>3196.31</v>
      </c>
      <c r="N2531" s="89">
        <v>762.24</v>
      </c>
      <c r="O2531" s="89">
        <f t="shared" si="108"/>
        <v>11136.44</v>
      </c>
    </row>
    <row r="2532" spans="1:15">
      <c r="A2532" s="74" t="s">
        <v>309</v>
      </c>
      <c r="B2532" s="74" t="s">
        <v>232</v>
      </c>
      <c r="C2532" s="74" t="s">
        <v>233</v>
      </c>
      <c r="D2532" s="88" t="s">
        <v>82</v>
      </c>
      <c r="E2532" s="74" t="s">
        <v>83</v>
      </c>
      <c r="F2532" s="86" t="s">
        <v>123</v>
      </c>
      <c r="G2532" s="74" t="s">
        <v>209</v>
      </c>
      <c r="H2532" s="87">
        <v>44895</v>
      </c>
      <c r="I2532" s="98">
        <v>22</v>
      </c>
      <c r="J2532" s="98">
        <v>22</v>
      </c>
      <c r="K2532" s="89">
        <f t="shared" si="107"/>
        <v>1</v>
      </c>
      <c r="L2532" s="89">
        <v>6403.99</v>
      </c>
      <c r="M2532" s="89">
        <v>3012.71</v>
      </c>
      <c r="N2532" s="89">
        <v>639.09</v>
      </c>
      <c r="O2532" s="89">
        <f t="shared" si="108"/>
        <v>10055.79</v>
      </c>
    </row>
    <row r="2533" spans="1:15">
      <c r="A2533" s="74" t="s">
        <v>309</v>
      </c>
      <c r="B2533" s="74" t="s">
        <v>234</v>
      </c>
      <c r="C2533" s="74" t="s">
        <v>235</v>
      </c>
      <c r="D2533" s="88" t="s">
        <v>82</v>
      </c>
      <c r="E2533" s="74" t="s">
        <v>83</v>
      </c>
      <c r="F2533" s="86" t="s">
        <v>116</v>
      </c>
      <c r="G2533" s="74" t="s">
        <v>209</v>
      </c>
      <c r="H2533" s="87">
        <v>44895</v>
      </c>
      <c r="I2533" s="98">
        <v>22</v>
      </c>
      <c r="J2533" s="98">
        <v>22</v>
      </c>
      <c r="K2533" s="89">
        <f t="shared" si="107"/>
        <v>1</v>
      </c>
      <c r="L2533" s="89">
        <v>8037.92</v>
      </c>
      <c r="M2533" s="89">
        <v>3190.52</v>
      </c>
      <c r="N2533" s="89">
        <v>848.35</v>
      </c>
      <c r="O2533" s="89">
        <f t="shared" si="108"/>
        <v>12076.79</v>
      </c>
    </row>
    <row r="2534" spans="1:15">
      <c r="A2534" s="74" t="s">
        <v>309</v>
      </c>
      <c r="B2534" s="74" t="s">
        <v>236</v>
      </c>
      <c r="C2534" s="74" t="s">
        <v>237</v>
      </c>
      <c r="D2534" s="88" t="s">
        <v>82</v>
      </c>
      <c r="E2534" s="74" t="s">
        <v>83</v>
      </c>
      <c r="F2534" s="86" t="s">
        <v>120</v>
      </c>
      <c r="G2534" s="74" t="s">
        <v>209</v>
      </c>
      <c r="H2534" s="87">
        <v>44895</v>
      </c>
      <c r="I2534" s="98">
        <v>22</v>
      </c>
      <c r="J2534" s="98">
        <v>22</v>
      </c>
      <c r="K2534" s="89">
        <f t="shared" si="107"/>
        <v>1</v>
      </c>
      <c r="L2534" s="89">
        <v>7255.52</v>
      </c>
      <c r="M2534" s="89">
        <v>3221.18</v>
      </c>
      <c r="N2534" s="89">
        <v>733.46</v>
      </c>
      <c r="O2534" s="89">
        <f t="shared" si="108"/>
        <v>11210.16</v>
      </c>
    </row>
    <row r="2535" spans="1:15">
      <c r="A2535" s="74" t="s">
        <v>309</v>
      </c>
      <c r="B2535" s="74" t="s">
        <v>238</v>
      </c>
      <c r="C2535" s="74" t="s">
        <v>239</v>
      </c>
      <c r="D2535" s="74" t="s">
        <v>86</v>
      </c>
      <c r="E2535" s="74" t="s">
        <v>87</v>
      </c>
      <c r="F2535" s="86" t="s">
        <v>204</v>
      </c>
      <c r="G2535" s="74" t="s">
        <v>240</v>
      </c>
      <c r="H2535" s="87">
        <v>44895</v>
      </c>
      <c r="I2535" s="98">
        <v>22</v>
      </c>
      <c r="J2535" s="98">
        <v>22</v>
      </c>
      <c r="K2535" s="89">
        <f t="shared" si="107"/>
        <v>1</v>
      </c>
      <c r="L2535" s="89">
        <v>15417.18</v>
      </c>
      <c r="M2535" s="89">
        <v>3037.9</v>
      </c>
      <c r="N2535" s="89">
        <v>1809.69</v>
      </c>
      <c r="O2535" s="89">
        <f t="shared" si="108"/>
        <v>20264.77</v>
      </c>
    </row>
    <row r="2536" spans="1:15">
      <c r="A2536" s="74" t="s">
        <v>309</v>
      </c>
      <c r="B2536" s="74" t="s">
        <v>241</v>
      </c>
      <c r="C2536" s="74" t="s">
        <v>242</v>
      </c>
      <c r="D2536" s="74" t="s">
        <v>86</v>
      </c>
      <c r="E2536" s="74" t="s">
        <v>87</v>
      </c>
      <c r="F2536" s="86" t="s">
        <v>243</v>
      </c>
      <c r="G2536" s="74" t="s">
        <v>244</v>
      </c>
      <c r="H2536" s="87">
        <v>44895</v>
      </c>
      <c r="I2536" s="98">
        <v>22</v>
      </c>
      <c r="J2536" s="98">
        <v>22</v>
      </c>
      <c r="K2536" s="89">
        <f t="shared" si="107"/>
        <v>1</v>
      </c>
      <c r="L2536" s="89">
        <v>10770.11</v>
      </c>
      <c r="M2536" s="89">
        <v>3011.64</v>
      </c>
      <c r="N2536" s="89">
        <v>1377.05</v>
      </c>
      <c r="O2536" s="89">
        <f t="shared" si="108"/>
        <v>15158.8</v>
      </c>
    </row>
    <row r="2537" spans="1:15">
      <c r="A2537" s="74" t="s">
        <v>309</v>
      </c>
      <c r="B2537" s="74" t="s">
        <v>245</v>
      </c>
      <c r="C2537" s="74" t="s">
        <v>246</v>
      </c>
      <c r="D2537" s="74" t="s">
        <v>86</v>
      </c>
      <c r="E2537" s="74" t="s">
        <v>87</v>
      </c>
      <c r="F2537" s="86" t="s">
        <v>247</v>
      </c>
      <c r="G2537" s="74" t="s">
        <v>248</v>
      </c>
      <c r="H2537" s="87">
        <v>44895</v>
      </c>
      <c r="I2537" s="98">
        <v>22</v>
      </c>
      <c r="J2537" s="98">
        <v>22</v>
      </c>
      <c r="K2537" s="89">
        <f t="shared" si="107"/>
        <v>1</v>
      </c>
      <c r="L2537" s="89">
        <v>10336.68</v>
      </c>
      <c r="M2537" s="89">
        <v>3018.65</v>
      </c>
      <c r="N2537" s="89">
        <v>1312.95</v>
      </c>
      <c r="O2537" s="89">
        <f t="shared" si="108"/>
        <v>14668.28</v>
      </c>
    </row>
    <row r="2538" spans="1:15">
      <c r="A2538" s="74" t="s">
        <v>309</v>
      </c>
      <c r="B2538" s="74" t="s">
        <v>249</v>
      </c>
      <c r="C2538" s="74" t="s">
        <v>250</v>
      </c>
      <c r="D2538" s="74" t="s">
        <v>86</v>
      </c>
      <c r="E2538" s="74" t="s">
        <v>87</v>
      </c>
      <c r="F2538" s="86" t="s">
        <v>251</v>
      </c>
      <c r="G2538" s="74" t="s">
        <v>252</v>
      </c>
      <c r="H2538" s="87">
        <v>44895</v>
      </c>
      <c r="I2538" s="98">
        <v>22</v>
      </c>
      <c r="J2538" s="98">
        <v>22</v>
      </c>
      <c r="K2538" s="89">
        <f t="shared" si="107"/>
        <v>1</v>
      </c>
      <c r="L2538" s="89">
        <v>8843.42</v>
      </c>
      <c r="M2538" s="89">
        <v>3042.74</v>
      </c>
      <c r="N2538" s="89">
        <v>1153.52</v>
      </c>
      <c r="O2538" s="89">
        <f t="shared" si="108"/>
        <v>13039.68</v>
      </c>
    </row>
    <row r="2539" spans="1:15">
      <c r="A2539" s="74" t="s">
        <v>309</v>
      </c>
      <c r="B2539" s="74" t="s">
        <v>253</v>
      </c>
      <c r="C2539" s="74" t="s">
        <v>254</v>
      </c>
      <c r="D2539" s="74" t="s">
        <v>86</v>
      </c>
      <c r="E2539" s="74" t="s">
        <v>87</v>
      </c>
      <c r="F2539" s="86" t="s">
        <v>255</v>
      </c>
      <c r="G2539" s="74" t="s">
        <v>252</v>
      </c>
      <c r="H2539" s="87">
        <v>44895</v>
      </c>
      <c r="I2539" s="98">
        <v>22</v>
      </c>
      <c r="J2539" s="98">
        <v>22</v>
      </c>
      <c r="K2539" s="89">
        <f t="shared" si="107"/>
        <v>1</v>
      </c>
      <c r="L2539" s="89">
        <v>8372.83</v>
      </c>
      <c r="M2539" s="89">
        <v>3122.71</v>
      </c>
      <c r="N2539" s="89">
        <v>1021.35</v>
      </c>
      <c r="O2539" s="89">
        <f t="shared" si="108"/>
        <v>12516.89</v>
      </c>
    </row>
    <row r="2540" spans="1:15">
      <c r="A2540" s="74" t="s">
        <v>309</v>
      </c>
      <c r="B2540" s="74" t="s">
        <v>256</v>
      </c>
      <c r="C2540" s="74" t="s">
        <v>257</v>
      </c>
      <c r="D2540" s="74" t="s">
        <v>86</v>
      </c>
      <c r="E2540" s="74" t="s">
        <v>87</v>
      </c>
      <c r="F2540" s="86" t="s">
        <v>258</v>
      </c>
      <c r="G2540" s="74" t="s">
        <v>252</v>
      </c>
      <c r="H2540" s="87">
        <v>44895</v>
      </c>
      <c r="I2540" s="98">
        <v>22</v>
      </c>
      <c r="J2540" s="98">
        <v>22</v>
      </c>
      <c r="K2540" s="89">
        <f t="shared" si="107"/>
        <v>1</v>
      </c>
      <c r="L2540" s="89">
        <v>7307.21</v>
      </c>
      <c r="M2540" s="89">
        <v>3286.57</v>
      </c>
      <c r="N2540" s="89">
        <v>951.02</v>
      </c>
      <c r="O2540" s="89">
        <f t="shared" si="108"/>
        <v>11544.8</v>
      </c>
    </row>
    <row r="2541" spans="1:15">
      <c r="A2541" s="74" t="s">
        <v>309</v>
      </c>
      <c r="B2541" s="74" t="s">
        <v>259</v>
      </c>
      <c r="C2541" s="74" t="s">
        <v>260</v>
      </c>
      <c r="D2541" s="74" t="s">
        <v>86</v>
      </c>
      <c r="E2541" s="74" t="s">
        <v>87</v>
      </c>
      <c r="F2541" s="86" t="s">
        <v>261</v>
      </c>
      <c r="G2541" s="74" t="s">
        <v>262</v>
      </c>
      <c r="H2541" s="87">
        <v>44895</v>
      </c>
      <c r="I2541" s="98">
        <v>22</v>
      </c>
      <c r="J2541" s="98">
        <v>22</v>
      </c>
      <c r="K2541" s="89">
        <f t="shared" si="107"/>
        <v>1</v>
      </c>
      <c r="L2541" s="89">
        <v>6924.49</v>
      </c>
      <c r="M2541" s="89">
        <v>3076.36</v>
      </c>
      <c r="N2541" s="89">
        <v>848.53</v>
      </c>
      <c r="O2541" s="89">
        <f t="shared" si="108"/>
        <v>10849.38</v>
      </c>
    </row>
    <row r="2542" spans="1:15">
      <c r="A2542" s="74" t="s">
        <v>309</v>
      </c>
      <c r="B2542" s="74" t="s">
        <v>263</v>
      </c>
      <c r="C2542" s="74" t="s">
        <v>264</v>
      </c>
      <c r="D2542" s="74" t="s">
        <v>86</v>
      </c>
      <c r="E2542" s="74" t="s">
        <v>88</v>
      </c>
      <c r="F2542" s="86" t="s">
        <v>149</v>
      </c>
      <c r="G2542" s="74" t="s">
        <v>265</v>
      </c>
      <c r="H2542" s="87">
        <v>44895</v>
      </c>
      <c r="I2542" s="98">
        <v>22</v>
      </c>
      <c r="J2542" s="98">
        <v>22</v>
      </c>
      <c r="K2542" s="89">
        <f t="shared" si="107"/>
        <v>1</v>
      </c>
      <c r="L2542" s="89">
        <v>14275.2</v>
      </c>
      <c r="M2542" s="89">
        <v>3184.09</v>
      </c>
      <c r="N2542" s="89">
        <v>1700.7</v>
      </c>
      <c r="O2542" s="89">
        <f t="shared" si="108"/>
        <v>19159.99</v>
      </c>
    </row>
    <row r="2543" spans="1:15">
      <c r="A2543" s="74" t="s">
        <v>309</v>
      </c>
      <c r="B2543" s="74" t="s">
        <v>266</v>
      </c>
      <c r="C2543" s="74" t="s">
        <v>267</v>
      </c>
      <c r="D2543" s="74" t="s">
        <v>86</v>
      </c>
      <c r="E2543" s="74" t="s">
        <v>88</v>
      </c>
      <c r="F2543" s="86" t="s">
        <v>243</v>
      </c>
      <c r="G2543" s="74" t="s">
        <v>268</v>
      </c>
      <c r="H2543" s="87">
        <v>44895</v>
      </c>
      <c r="I2543" s="98">
        <v>22</v>
      </c>
      <c r="J2543" s="98">
        <v>22</v>
      </c>
      <c r="K2543" s="89">
        <f t="shared" si="107"/>
        <v>1</v>
      </c>
      <c r="L2543" s="89">
        <v>10981.97</v>
      </c>
      <c r="M2543" s="89">
        <v>3121.67</v>
      </c>
      <c r="N2543" s="89">
        <v>1417.72</v>
      </c>
      <c r="O2543" s="89">
        <f t="shared" si="108"/>
        <v>15521.36</v>
      </c>
    </row>
    <row r="2544" spans="1:15">
      <c r="A2544" s="74" t="s">
        <v>309</v>
      </c>
      <c r="B2544" s="74" t="s">
        <v>269</v>
      </c>
      <c r="C2544" s="74" t="s">
        <v>270</v>
      </c>
      <c r="D2544" s="74" t="s">
        <v>86</v>
      </c>
      <c r="E2544" s="74" t="s">
        <v>88</v>
      </c>
      <c r="F2544" s="86" t="s">
        <v>247</v>
      </c>
      <c r="G2544" s="74" t="s">
        <v>268</v>
      </c>
      <c r="H2544" s="87">
        <v>44895</v>
      </c>
      <c r="I2544" s="98">
        <v>22</v>
      </c>
      <c r="J2544" s="98">
        <v>22</v>
      </c>
      <c r="K2544" s="89">
        <f t="shared" si="107"/>
        <v>1</v>
      </c>
      <c r="L2544" s="89">
        <v>10156.47</v>
      </c>
      <c r="M2544" s="89">
        <v>3171.1</v>
      </c>
      <c r="N2544" s="89">
        <v>1314.83</v>
      </c>
      <c r="O2544" s="89">
        <f t="shared" si="108"/>
        <v>14642.4</v>
      </c>
    </row>
    <row r="2545" spans="1:15">
      <c r="A2545" s="74" t="s">
        <v>309</v>
      </c>
      <c r="B2545" s="74" t="s">
        <v>271</v>
      </c>
      <c r="C2545" s="74" t="s">
        <v>272</v>
      </c>
      <c r="D2545" s="74" t="s">
        <v>86</v>
      </c>
      <c r="E2545" s="74" t="s">
        <v>88</v>
      </c>
      <c r="F2545" s="86" t="s">
        <v>251</v>
      </c>
      <c r="G2545" s="74" t="s">
        <v>268</v>
      </c>
      <c r="H2545" s="87">
        <v>44895</v>
      </c>
      <c r="I2545" s="98">
        <v>22</v>
      </c>
      <c r="J2545" s="98">
        <v>22</v>
      </c>
      <c r="K2545" s="89">
        <f t="shared" si="107"/>
        <v>1</v>
      </c>
      <c r="L2545" s="89">
        <v>8842.18</v>
      </c>
      <c r="M2545" s="89">
        <v>3109.84</v>
      </c>
      <c r="N2545" s="89">
        <v>1168.23</v>
      </c>
      <c r="O2545" s="89">
        <f t="shared" si="108"/>
        <v>13120.25</v>
      </c>
    </row>
    <row r="2546" spans="1:15">
      <c r="A2546" s="74" t="s">
        <v>309</v>
      </c>
      <c r="B2546" s="74" t="s">
        <v>273</v>
      </c>
      <c r="C2546" s="74" t="s">
        <v>274</v>
      </c>
      <c r="D2546" s="74" t="s">
        <v>86</v>
      </c>
      <c r="E2546" s="74" t="s">
        <v>88</v>
      </c>
      <c r="F2546" s="86" t="s">
        <v>255</v>
      </c>
      <c r="G2546" s="74" t="s">
        <v>268</v>
      </c>
      <c r="H2546" s="87">
        <v>44895</v>
      </c>
      <c r="I2546" s="98">
        <v>22</v>
      </c>
      <c r="J2546" s="98">
        <v>22</v>
      </c>
      <c r="K2546" s="89">
        <f t="shared" si="107"/>
        <v>1</v>
      </c>
      <c r="L2546" s="89">
        <v>8006.08</v>
      </c>
      <c r="M2546" s="89">
        <v>3064.32</v>
      </c>
      <c r="N2546" s="89">
        <v>1083.58</v>
      </c>
      <c r="O2546" s="89">
        <f t="shared" si="108"/>
        <v>12153.98</v>
      </c>
    </row>
    <row r="2547" spans="1:15">
      <c r="A2547" s="74" t="s">
        <v>309</v>
      </c>
      <c r="B2547" s="74" t="s">
        <v>275</v>
      </c>
      <c r="C2547" s="74" t="s">
        <v>276</v>
      </c>
      <c r="D2547" s="74" t="s">
        <v>86</v>
      </c>
      <c r="E2547" s="74" t="s">
        <v>88</v>
      </c>
      <c r="F2547" s="86" t="s">
        <v>258</v>
      </c>
      <c r="G2547" s="74" t="s">
        <v>268</v>
      </c>
      <c r="H2547" s="87">
        <v>44895</v>
      </c>
      <c r="I2547" s="98">
        <v>22</v>
      </c>
      <c r="J2547" s="98">
        <v>22</v>
      </c>
      <c r="K2547" s="89">
        <f t="shared" si="107"/>
        <v>1</v>
      </c>
      <c r="L2547" s="89">
        <v>7312.19</v>
      </c>
      <c r="M2547" s="89">
        <v>3191.62</v>
      </c>
      <c r="N2547" s="89">
        <v>915.51</v>
      </c>
      <c r="O2547" s="89">
        <f t="shared" si="108"/>
        <v>11419.32</v>
      </c>
    </row>
    <row r="2548" spans="1:15">
      <c r="A2548" s="74" t="s">
        <v>309</v>
      </c>
      <c r="B2548" s="74" t="s">
        <v>277</v>
      </c>
      <c r="C2548" s="74" t="s">
        <v>278</v>
      </c>
      <c r="D2548" s="74" t="s">
        <v>86</v>
      </c>
      <c r="E2548" s="74" t="s">
        <v>89</v>
      </c>
      <c r="F2548" s="86" t="s">
        <v>279</v>
      </c>
      <c r="G2548" s="74" t="s">
        <v>280</v>
      </c>
      <c r="H2548" s="87">
        <v>44895</v>
      </c>
      <c r="I2548" s="98">
        <v>22</v>
      </c>
      <c r="J2548" s="98">
        <v>22</v>
      </c>
      <c r="K2548" s="89">
        <f t="shared" si="107"/>
        <v>1</v>
      </c>
      <c r="L2548" s="89">
        <v>13070.24</v>
      </c>
      <c r="M2548" s="89">
        <v>3191.76</v>
      </c>
      <c r="N2548" s="89">
        <v>1620.44</v>
      </c>
      <c r="O2548" s="89">
        <f t="shared" si="108"/>
        <v>17882.44</v>
      </c>
    </row>
    <row r="2549" spans="1:15">
      <c r="A2549" s="74" t="s">
        <v>309</v>
      </c>
      <c r="B2549" s="74" t="s">
        <v>281</v>
      </c>
      <c r="C2549" s="74" t="s">
        <v>282</v>
      </c>
      <c r="D2549" s="74" t="s">
        <v>86</v>
      </c>
      <c r="E2549" s="74" t="s">
        <v>89</v>
      </c>
      <c r="F2549" s="86" t="s">
        <v>225</v>
      </c>
      <c r="G2549" s="74" t="s">
        <v>283</v>
      </c>
      <c r="H2549" s="87">
        <v>44895</v>
      </c>
      <c r="I2549" s="98">
        <v>22</v>
      </c>
      <c r="J2549" s="98">
        <v>22</v>
      </c>
      <c r="K2549" s="89">
        <f t="shared" si="107"/>
        <v>1</v>
      </c>
      <c r="L2549" s="89">
        <v>8076.32</v>
      </c>
      <c r="M2549" s="89">
        <v>3282.05</v>
      </c>
      <c r="N2549" s="89">
        <v>1001.77</v>
      </c>
      <c r="O2549" s="89">
        <f t="shared" si="108"/>
        <v>12360.14</v>
      </c>
    </row>
    <row r="2550" spans="1:15">
      <c r="A2550" s="74" t="s">
        <v>309</v>
      </c>
      <c r="B2550" s="74" t="s">
        <v>284</v>
      </c>
      <c r="C2550" s="74" t="s">
        <v>285</v>
      </c>
      <c r="D2550" s="74" t="s">
        <v>86</v>
      </c>
      <c r="E2550" s="74" t="s">
        <v>89</v>
      </c>
      <c r="F2550" s="86" t="s">
        <v>208</v>
      </c>
      <c r="G2550" s="74" t="s">
        <v>283</v>
      </c>
      <c r="H2550" s="87">
        <v>44895</v>
      </c>
      <c r="I2550" s="98">
        <v>22</v>
      </c>
      <c r="J2550" s="98">
        <v>22</v>
      </c>
      <c r="K2550" s="89">
        <f t="shared" si="107"/>
        <v>1</v>
      </c>
      <c r="L2550" s="89">
        <v>7262.43</v>
      </c>
      <c r="M2550" s="89">
        <v>3290.06</v>
      </c>
      <c r="N2550" s="89">
        <v>917.4</v>
      </c>
      <c r="O2550" s="89">
        <f t="shared" si="108"/>
        <v>11469.89</v>
      </c>
    </row>
    <row r="2551" spans="1:15">
      <c r="A2551" s="74" t="s">
        <v>309</v>
      </c>
      <c r="B2551" s="74" t="s">
        <v>286</v>
      </c>
      <c r="C2551" s="74" t="s">
        <v>287</v>
      </c>
      <c r="D2551" s="74" t="s">
        <v>82</v>
      </c>
      <c r="E2551" s="88" t="s">
        <v>85</v>
      </c>
      <c r="F2551" s="86" t="s">
        <v>288</v>
      </c>
      <c r="G2551" s="74" t="s">
        <v>289</v>
      </c>
      <c r="H2551" s="87">
        <v>44895</v>
      </c>
      <c r="I2551" s="98">
        <v>22</v>
      </c>
      <c r="J2551" s="98">
        <v>22</v>
      </c>
      <c r="K2551" s="89">
        <f t="shared" ref="K2551:K2559" si="109">I2551/J2551</f>
        <v>1</v>
      </c>
      <c r="L2551" s="89">
        <v>12305.88</v>
      </c>
      <c r="M2551" s="89">
        <v>3204.98</v>
      </c>
      <c r="N2551" s="89">
        <v>1240.7</v>
      </c>
      <c r="O2551" s="89">
        <f t="shared" si="108"/>
        <v>16751.56</v>
      </c>
    </row>
    <row r="2552" spans="1:15">
      <c r="A2552" s="74" t="s">
        <v>309</v>
      </c>
      <c r="B2552" s="74" t="s">
        <v>290</v>
      </c>
      <c r="C2552" s="74" t="s">
        <v>291</v>
      </c>
      <c r="D2552" s="74" t="s">
        <v>82</v>
      </c>
      <c r="E2552" s="88" t="s">
        <v>85</v>
      </c>
      <c r="F2552" s="86" t="s">
        <v>218</v>
      </c>
      <c r="G2552" s="74" t="s">
        <v>289</v>
      </c>
      <c r="H2552" s="87">
        <v>44895</v>
      </c>
      <c r="I2552" s="98">
        <v>22</v>
      </c>
      <c r="J2552" s="98">
        <v>22</v>
      </c>
      <c r="K2552" s="89">
        <f t="shared" si="109"/>
        <v>1</v>
      </c>
      <c r="L2552" s="89">
        <v>12019.58</v>
      </c>
      <c r="M2552" s="89">
        <v>3078.27</v>
      </c>
      <c r="N2552" s="89">
        <v>1121.38</v>
      </c>
      <c r="O2552" s="89">
        <f t="shared" si="108"/>
        <v>16219.23</v>
      </c>
    </row>
    <row r="2553" spans="1:15">
      <c r="A2553" s="74" t="s">
        <v>309</v>
      </c>
      <c r="B2553" s="74" t="s">
        <v>292</v>
      </c>
      <c r="C2553" s="74" t="s">
        <v>293</v>
      </c>
      <c r="D2553" s="74" t="s">
        <v>82</v>
      </c>
      <c r="E2553" s="88" t="s">
        <v>85</v>
      </c>
      <c r="F2553" s="86" t="s">
        <v>225</v>
      </c>
      <c r="G2553" s="74" t="s">
        <v>289</v>
      </c>
      <c r="H2553" s="87">
        <v>44895</v>
      </c>
      <c r="I2553" s="98">
        <v>22</v>
      </c>
      <c r="J2553" s="98">
        <v>22</v>
      </c>
      <c r="K2553" s="89">
        <f t="shared" si="109"/>
        <v>1</v>
      </c>
      <c r="L2553" s="89">
        <v>10243.75</v>
      </c>
      <c r="M2553" s="89">
        <v>3106.29</v>
      </c>
      <c r="N2553" s="89">
        <v>1032.23</v>
      </c>
      <c r="O2553" s="89">
        <f t="shared" si="108"/>
        <v>14382.27</v>
      </c>
    </row>
    <row r="2554" spans="1:15">
      <c r="A2554" s="74" t="s">
        <v>309</v>
      </c>
      <c r="B2554" s="74" t="s">
        <v>294</v>
      </c>
      <c r="C2554" s="74" t="s">
        <v>295</v>
      </c>
      <c r="D2554" s="74" t="s">
        <v>82</v>
      </c>
      <c r="E2554" s="88" t="s">
        <v>85</v>
      </c>
      <c r="F2554" s="86" t="s">
        <v>208</v>
      </c>
      <c r="G2554" s="74" t="s">
        <v>289</v>
      </c>
      <c r="H2554" s="87">
        <v>44895</v>
      </c>
      <c r="I2554" s="98">
        <v>22</v>
      </c>
      <c r="J2554" s="98">
        <v>22</v>
      </c>
      <c r="K2554" s="89">
        <f t="shared" si="109"/>
        <v>1</v>
      </c>
      <c r="L2554" s="89">
        <v>9012.14</v>
      </c>
      <c r="M2554" s="89">
        <v>3122.45</v>
      </c>
      <c r="N2554" s="89">
        <v>938.76</v>
      </c>
      <c r="O2554" s="89">
        <f t="shared" si="108"/>
        <v>13073.35</v>
      </c>
    </row>
    <row r="2555" spans="1:15">
      <c r="A2555" s="74" t="s">
        <v>309</v>
      </c>
      <c r="B2555" s="74" t="s">
        <v>296</v>
      </c>
      <c r="C2555" s="74" t="s">
        <v>297</v>
      </c>
      <c r="D2555" s="74" t="s">
        <v>82</v>
      </c>
      <c r="E2555" s="88" t="s">
        <v>85</v>
      </c>
      <c r="F2555" s="86" t="s">
        <v>116</v>
      </c>
      <c r="G2555" s="74" t="s">
        <v>289</v>
      </c>
      <c r="H2555" s="87">
        <v>44895</v>
      </c>
      <c r="I2555" s="98">
        <v>22</v>
      </c>
      <c r="J2555" s="98">
        <v>22</v>
      </c>
      <c r="K2555" s="89">
        <f t="shared" si="109"/>
        <v>1</v>
      </c>
      <c r="L2555" s="89">
        <v>8033.93</v>
      </c>
      <c r="M2555" s="89">
        <v>3124.74</v>
      </c>
      <c r="N2555" s="89">
        <v>855.64</v>
      </c>
      <c r="O2555" s="89">
        <f t="shared" si="108"/>
        <v>12014.31</v>
      </c>
    </row>
    <row r="2556" spans="1:15">
      <c r="A2556" s="74" t="s">
        <v>309</v>
      </c>
      <c r="B2556" s="74" t="s">
        <v>298</v>
      </c>
      <c r="C2556" s="74" t="s">
        <v>299</v>
      </c>
      <c r="D2556" s="74" t="s">
        <v>82</v>
      </c>
      <c r="E2556" s="88" t="s">
        <v>85</v>
      </c>
      <c r="F2556" s="86" t="s">
        <v>279</v>
      </c>
      <c r="G2556" s="74" t="s">
        <v>300</v>
      </c>
      <c r="H2556" s="87">
        <v>44895</v>
      </c>
      <c r="I2556" s="98">
        <v>22</v>
      </c>
      <c r="J2556" s="98">
        <v>22</v>
      </c>
      <c r="K2556" s="89">
        <f t="shared" si="109"/>
        <v>1</v>
      </c>
      <c r="L2556" s="89">
        <v>15115.24</v>
      </c>
      <c r="M2556" s="89">
        <v>3087.39</v>
      </c>
      <c r="N2556" s="89">
        <v>1627.46</v>
      </c>
      <c r="O2556" s="89">
        <f t="shared" si="108"/>
        <v>19830.09</v>
      </c>
    </row>
    <row r="2557" spans="1:15">
      <c r="A2557" s="74" t="s">
        <v>309</v>
      </c>
      <c r="B2557" s="74" t="s">
        <v>301</v>
      </c>
      <c r="C2557" s="74" t="s">
        <v>302</v>
      </c>
      <c r="D2557" s="74" t="s">
        <v>82</v>
      </c>
      <c r="E2557" s="88" t="s">
        <v>85</v>
      </c>
      <c r="F2557" s="86" t="s">
        <v>279</v>
      </c>
      <c r="G2557" s="74" t="s">
        <v>303</v>
      </c>
      <c r="H2557" s="87">
        <v>44895</v>
      </c>
      <c r="I2557" s="98">
        <v>22</v>
      </c>
      <c r="J2557" s="98">
        <v>22</v>
      </c>
      <c r="K2557" s="89">
        <f t="shared" si="109"/>
        <v>1</v>
      </c>
      <c r="L2557" s="89">
        <v>15768.09</v>
      </c>
      <c r="M2557" s="89">
        <v>3028.72</v>
      </c>
      <c r="N2557" s="89">
        <v>1548.22</v>
      </c>
      <c r="O2557" s="89">
        <f t="shared" si="108"/>
        <v>20345.03</v>
      </c>
    </row>
    <row r="2558" spans="1:15">
      <c r="A2558" s="74" t="s">
        <v>309</v>
      </c>
      <c r="B2558" s="74" t="s">
        <v>304</v>
      </c>
      <c r="C2558" s="74" t="s">
        <v>305</v>
      </c>
      <c r="D2558" s="74" t="s">
        <v>86</v>
      </c>
      <c r="E2558" s="74" t="s">
        <v>90</v>
      </c>
      <c r="F2558" s="86" t="s">
        <v>306</v>
      </c>
      <c r="G2558" s="74" t="s">
        <v>307</v>
      </c>
      <c r="H2558" s="87">
        <v>44895</v>
      </c>
      <c r="I2558" s="98">
        <v>22</v>
      </c>
      <c r="J2558" s="98">
        <v>22</v>
      </c>
      <c r="K2558" s="89">
        <f t="shared" si="109"/>
        <v>1</v>
      </c>
      <c r="L2558" s="89">
        <v>16368.09</v>
      </c>
      <c r="M2558" s="89">
        <v>3245.59</v>
      </c>
      <c r="N2558" s="89">
        <v>2107.33</v>
      </c>
      <c r="O2558" s="89">
        <f t="shared" si="108"/>
        <v>21721.01</v>
      </c>
    </row>
    <row r="2559" spans="1:15">
      <c r="A2559" s="74" t="s">
        <v>309</v>
      </c>
      <c r="B2559" s="74" t="s">
        <v>114</v>
      </c>
      <c r="C2559" s="74" t="s">
        <v>115</v>
      </c>
      <c r="D2559" s="74" t="s">
        <v>79</v>
      </c>
      <c r="E2559" s="74" t="s">
        <v>80</v>
      </c>
      <c r="F2559" s="86" t="s">
        <v>116</v>
      </c>
      <c r="G2559" s="74" t="s">
        <v>117</v>
      </c>
      <c r="H2559" s="87">
        <v>44926</v>
      </c>
      <c r="I2559" s="98">
        <v>22</v>
      </c>
      <c r="J2559" s="98">
        <v>22</v>
      </c>
      <c r="K2559" s="89">
        <f t="shared" si="109"/>
        <v>1</v>
      </c>
      <c r="L2559" s="89">
        <v>8727.9</v>
      </c>
      <c r="M2559" s="89">
        <v>3110.02</v>
      </c>
      <c r="N2559" s="89">
        <v>833.01</v>
      </c>
      <c r="O2559" s="89">
        <f t="shared" si="108"/>
        <v>12670.93</v>
      </c>
    </row>
    <row r="2560" spans="1:15">
      <c r="A2560" s="74" t="s">
        <v>309</v>
      </c>
      <c r="B2560" s="74" t="s">
        <v>118</v>
      </c>
      <c r="C2560" s="74" t="s">
        <v>119</v>
      </c>
      <c r="D2560" s="74" t="s">
        <v>79</v>
      </c>
      <c r="E2560" s="74" t="s">
        <v>80</v>
      </c>
      <c r="F2560" s="86" t="s">
        <v>120</v>
      </c>
      <c r="G2560" s="74" t="s">
        <v>117</v>
      </c>
      <c r="H2560" s="87">
        <v>44926</v>
      </c>
      <c r="I2560" s="98">
        <v>22</v>
      </c>
      <c r="J2560" s="98">
        <v>22</v>
      </c>
      <c r="K2560" s="89">
        <f t="shared" ref="K2560:K2623" si="110">I2560/J2560</f>
        <v>1</v>
      </c>
      <c r="L2560" s="89">
        <v>7441.9</v>
      </c>
      <c r="M2560" s="89">
        <v>3011.62</v>
      </c>
      <c r="N2560" s="89">
        <v>726.06</v>
      </c>
      <c r="O2560" s="89">
        <f t="shared" si="108"/>
        <v>11179.58</v>
      </c>
    </row>
    <row r="2561" spans="1:15">
      <c r="A2561" s="74" t="s">
        <v>309</v>
      </c>
      <c r="B2561" s="74" t="s">
        <v>121</v>
      </c>
      <c r="C2561" s="74" t="s">
        <v>122</v>
      </c>
      <c r="D2561" s="74" t="s">
        <v>79</v>
      </c>
      <c r="E2561" s="74" t="s">
        <v>80</v>
      </c>
      <c r="F2561" s="86" t="s">
        <v>123</v>
      </c>
      <c r="G2561" s="74" t="s">
        <v>117</v>
      </c>
      <c r="H2561" s="87">
        <v>44926</v>
      </c>
      <c r="I2561" s="98">
        <v>22</v>
      </c>
      <c r="J2561" s="98">
        <v>22</v>
      </c>
      <c r="K2561" s="89">
        <f t="shared" si="110"/>
        <v>1</v>
      </c>
      <c r="L2561" s="89">
        <v>6287.62</v>
      </c>
      <c r="M2561" s="89">
        <v>3240.64</v>
      </c>
      <c r="N2561" s="89">
        <v>640</v>
      </c>
      <c r="O2561" s="89">
        <f t="shared" si="108"/>
        <v>10168.26</v>
      </c>
    </row>
    <row r="2562" spans="1:15">
      <c r="A2562" s="74" t="s">
        <v>309</v>
      </c>
      <c r="B2562" s="74" t="s">
        <v>124</v>
      </c>
      <c r="C2562" s="74" t="s">
        <v>125</v>
      </c>
      <c r="D2562" s="74" t="s">
        <v>79</v>
      </c>
      <c r="E2562" s="74" t="s">
        <v>80</v>
      </c>
      <c r="F2562" s="86" t="s">
        <v>116</v>
      </c>
      <c r="G2562" s="74" t="s">
        <v>117</v>
      </c>
      <c r="H2562" s="87">
        <v>44926</v>
      </c>
      <c r="I2562" s="98">
        <v>22</v>
      </c>
      <c r="J2562" s="98">
        <v>22</v>
      </c>
      <c r="K2562" s="89">
        <f t="shared" si="110"/>
        <v>1</v>
      </c>
      <c r="L2562" s="89">
        <v>8657.29</v>
      </c>
      <c r="M2562" s="89">
        <v>3219.45</v>
      </c>
      <c r="N2562" s="89">
        <v>808.55</v>
      </c>
      <c r="O2562" s="89">
        <f t="shared" si="108"/>
        <v>12685.29</v>
      </c>
    </row>
    <row r="2563" spans="1:15">
      <c r="A2563" s="74" t="s">
        <v>309</v>
      </c>
      <c r="B2563" s="74" t="s">
        <v>126</v>
      </c>
      <c r="C2563" s="74" t="s">
        <v>127</v>
      </c>
      <c r="D2563" s="74" t="s">
        <v>79</v>
      </c>
      <c r="E2563" s="74" t="s">
        <v>80</v>
      </c>
      <c r="F2563" s="86" t="s">
        <v>120</v>
      </c>
      <c r="G2563" s="74" t="s">
        <v>117</v>
      </c>
      <c r="H2563" s="87">
        <v>44926</v>
      </c>
      <c r="I2563" s="98">
        <v>22</v>
      </c>
      <c r="J2563" s="98">
        <v>22</v>
      </c>
      <c r="K2563" s="89">
        <f t="shared" si="110"/>
        <v>1</v>
      </c>
      <c r="L2563" s="89">
        <v>7261.58</v>
      </c>
      <c r="M2563" s="89">
        <v>3127.67</v>
      </c>
      <c r="N2563" s="89">
        <v>767.24</v>
      </c>
      <c r="O2563" s="89">
        <f t="shared" si="108"/>
        <v>11156.49</v>
      </c>
    </row>
    <row r="2564" spans="1:15">
      <c r="A2564" s="74" t="s">
        <v>309</v>
      </c>
      <c r="B2564" s="74" t="s">
        <v>128</v>
      </c>
      <c r="C2564" s="74" t="s">
        <v>129</v>
      </c>
      <c r="D2564" s="74" t="s">
        <v>79</v>
      </c>
      <c r="E2564" s="74" t="s">
        <v>80</v>
      </c>
      <c r="F2564" s="86" t="s">
        <v>123</v>
      </c>
      <c r="G2564" s="74" t="s">
        <v>117</v>
      </c>
      <c r="H2564" s="87">
        <v>44926</v>
      </c>
      <c r="I2564" s="98">
        <v>22</v>
      </c>
      <c r="J2564" s="98">
        <v>22</v>
      </c>
      <c r="K2564" s="89">
        <f t="shared" si="110"/>
        <v>1</v>
      </c>
      <c r="L2564" s="89">
        <v>6179.58</v>
      </c>
      <c r="M2564" s="89">
        <v>3276.87</v>
      </c>
      <c r="N2564" s="89">
        <v>640.24</v>
      </c>
      <c r="O2564" s="89">
        <f t="shared" si="108"/>
        <v>10096.69</v>
      </c>
    </row>
    <row r="2565" spans="1:15">
      <c r="A2565" s="74" t="s">
        <v>309</v>
      </c>
      <c r="B2565" s="74" t="s">
        <v>130</v>
      </c>
      <c r="C2565" s="74" t="s">
        <v>131</v>
      </c>
      <c r="D2565" s="74" t="s">
        <v>79</v>
      </c>
      <c r="E2565" s="74" t="s">
        <v>80</v>
      </c>
      <c r="F2565" s="86" t="s">
        <v>116</v>
      </c>
      <c r="G2565" s="74" t="s">
        <v>117</v>
      </c>
      <c r="H2565" s="87">
        <v>44926</v>
      </c>
      <c r="I2565" s="98">
        <v>22</v>
      </c>
      <c r="J2565" s="98">
        <v>22</v>
      </c>
      <c r="K2565" s="89">
        <f t="shared" si="110"/>
        <v>1</v>
      </c>
      <c r="L2565" s="89">
        <v>8015.93</v>
      </c>
      <c r="M2565" s="89">
        <v>3194.48</v>
      </c>
      <c r="N2565" s="89">
        <v>878.91</v>
      </c>
      <c r="O2565" s="89">
        <f t="shared" ref="O2565:O2628" si="111">SUM(L2565:N2565)</f>
        <v>12089.32</v>
      </c>
    </row>
    <row r="2566" spans="1:15">
      <c r="A2566" s="74" t="s">
        <v>309</v>
      </c>
      <c r="B2566" s="74" t="s">
        <v>132</v>
      </c>
      <c r="C2566" s="74" t="s">
        <v>133</v>
      </c>
      <c r="D2566" s="74" t="s">
        <v>79</v>
      </c>
      <c r="E2566" s="74" t="s">
        <v>80</v>
      </c>
      <c r="F2566" s="86" t="s">
        <v>120</v>
      </c>
      <c r="G2566" s="74" t="s">
        <v>117</v>
      </c>
      <c r="H2566" s="87">
        <v>44926</v>
      </c>
      <c r="I2566" s="98">
        <v>22</v>
      </c>
      <c r="J2566" s="98">
        <v>22</v>
      </c>
      <c r="K2566" s="89">
        <f t="shared" si="110"/>
        <v>1</v>
      </c>
      <c r="L2566" s="89">
        <v>7095.32</v>
      </c>
      <c r="M2566" s="89">
        <v>3043.11</v>
      </c>
      <c r="N2566" s="89">
        <v>714.49</v>
      </c>
      <c r="O2566" s="89">
        <f t="shared" si="111"/>
        <v>10852.92</v>
      </c>
    </row>
    <row r="2567" spans="1:15">
      <c r="A2567" s="74" t="s">
        <v>309</v>
      </c>
      <c r="B2567" s="74" t="s">
        <v>134</v>
      </c>
      <c r="C2567" s="74" t="s">
        <v>135</v>
      </c>
      <c r="D2567" s="74" t="s">
        <v>79</v>
      </c>
      <c r="E2567" s="74" t="s">
        <v>80</v>
      </c>
      <c r="F2567" s="86" t="s">
        <v>123</v>
      </c>
      <c r="G2567" s="74" t="s">
        <v>117</v>
      </c>
      <c r="H2567" s="87">
        <v>44926</v>
      </c>
      <c r="I2567" s="98">
        <v>22</v>
      </c>
      <c r="J2567" s="98">
        <v>22</v>
      </c>
      <c r="K2567" s="89">
        <f t="shared" si="110"/>
        <v>1</v>
      </c>
      <c r="L2567" s="89">
        <v>6507.24</v>
      </c>
      <c r="M2567" s="89">
        <v>3001.83</v>
      </c>
      <c r="N2567" s="89">
        <v>654.33</v>
      </c>
      <c r="O2567" s="89">
        <f t="shared" si="111"/>
        <v>10163.4</v>
      </c>
    </row>
    <row r="2568" spans="1:15">
      <c r="A2568" s="74" t="s">
        <v>309</v>
      </c>
      <c r="B2568" s="74" t="s">
        <v>136</v>
      </c>
      <c r="C2568" s="74" t="s">
        <v>137</v>
      </c>
      <c r="D2568" s="74" t="s">
        <v>79</v>
      </c>
      <c r="E2568" s="74" t="s">
        <v>80</v>
      </c>
      <c r="F2568" s="86" t="s">
        <v>116</v>
      </c>
      <c r="G2568" s="74" t="s">
        <v>138</v>
      </c>
      <c r="H2568" s="87">
        <v>44926</v>
      </c>
      <c r="I2568" s="98">
        <v>22</v>
      </c>
      <c r="J2568" s="98">
        <v>22</v>
      </c>
      <c r="K2568" s="89">
        <f t="shared" si="110"/>
        <v>1</v>
      </c>
      <c r="L2568" s="89">
        <v>8023.28</v>
      </c>
      <c r="M2568" s="89">
        <v>3012.06</v>
      </c>
      <c r="N2568" s="89">
        <v>860.25</v>
      </c>
      <c r="O2568" s="89">
        <f t="shared" si="111"/>
        <v>11895.59</v>
      </c>
    </row>
    <row r="2569" spans="1:15">
      <c r="A2569" s="74" t="s">
        <v>309</v>
      </c>
      <c r="B2569" s="74" t="s">
        <v>139</v>
      </c>
      <c r="C2569" s="74" t="s">
        <v>140</v>
      </c>
      <c r="D2569" s="74" t="s">
        <v>79</v>
      </c>
      <c r="E2569" s="74" t="s">
        <v>80</v>
      </c>
      <c r="F2569" s="86" t="s">
        <v>120</v>
      </c>
      <c r="G2569" s="74" t="s">
        <v>138</v>
      </c>
      <c r="H2569" s="87">
        <v>44926</v>
      </c>
      <c r="I2569" s="98">
        <v>22</v>
      </c>
      <c r="J2569" s="98">
        <v>22</v>
      </c>
      <c r="K2569" s="89">
        <f t="shared" si="110"/>
        <v>1</v>
      </c>
      <c r="L2569" s="89">
        <v>7322.02</v>
      </c>
      <c r="M2569" s="89">
        <v>3058.73</v>
      </c>
      <c r="N2569" s="89">
        <v>748.86</v>
      </c>
      <c r="O2569" s="89">
        <f t="shared" si="111"/>
        <v>11129.61</v>
      </c>
    </row>
    <row r="2570" spans="1:15">
      <c r="A2570" s="74" t="s">
        <v>309</v>
      </c>
      <c r="B2570" s="74" t="s">
        <v>141</v>
      </c>
      <c r="C2570" s="74" t="s">
        <v>142</v>
      </c>
      <c r="D2570" s="74" t="s">
        <v>79</v>
      </c>
      <c r="E2570" s="74" t="s">
        <v>80</v>
      </c>
      <c r="F2570" s="86" t="s">
        <v>123</v>
      </c>
      <c r="G2570" s="74" t="s">
        <v>138</v>
      </c>
      <c r="H2570" s="87">
        <v>44926</v>
      </c>
      <c r="I2570" s="98">
        <v>22</v>
      </c>
      <c r="J2570" s="98">
        <v>22</v>
      </c>
      <c r="K2570" s="89">
        <f t="shared" si="110"/>
        <v>1</v>
      </c>
      <c r="L2570" s="89">
        <v>6208.99</v>
      </c>
      <c r="M2570" s="89">
        <v>3041.65</v>
      </c>
      <c r="N2570" s="89">
        <v>603.03</v>
      </c>
      <c r="O2570" s="89">
        <f t="shared" si="111"/>
        <v>9853.67</v>
      </c>
    </row>
    <row r="2571" spans="1:15">
      <c r="A2571" s="74" t="s">
        <v>309</v>
      </c>
      <c r="B2571" s="74" t="s">
        <v>143</v>
      </c>
      <c r="C2571" s="74" t="s">
        <v>144</v>
      </c>
      <c r="D2571" s="74" t="s">
        <v>79</v>
      </c>
      <c r="E2571" s="74" t="s">
        <v>80</v>
      </c>
      <c r="F2571" s="86" t="s">
        <v>145</v>
      </c>
      <c r="G2571" s="74" t="s">
        <v>146</v>
      </c>
      <c r="H2571" s="87">
        <v>44926</v>
      </c>
      <c r="I2571" s="98">
        <v>22</v>
      </c>
      <c r="J2571" s="98">
        <v>22</v>
      </c>
      <c r="K2571" s="89">
        <f t="shared" si="110"/>
        <v>1</v>
      </c>
      <c r="L2571" s="89">
        <v>19078.09</v>
      </c>
      <c r="M2571" s="89">
        <v>3182.78</v>
      </c>
      <c r="N2571" s="89">
        <v>1948.29</v>
      </c>
      <c r="O2571" s="89">
        <f t="shared" si="111"/>
        <v>24209.16</v>
      </c>
    </row>
    <row r="2572" spans="1:15">
      <c r="A2572" s="74" t="s">
        <v>309</v>
      </c>
      <c r="B2572" s="74" t="s">
        <v>147</v>
      </c>
      <c r="C2572" s="74" t="s">
        <v>148</v>
      </c>
      <c r="D2572" s="74" t="s">
        <v>79</v>
      </c>
      <c r="E2572" s="74" t="s">
        <v>80</v>
      </c>
      <c r="F2572" s="86" t="s">
        <v>149</v>
      </c>
      <c r="G2572" s="74" t="s">
        <v>150</v>
      </c>
      <c r="H2572" s="87">
        <v>44926</v>
      </c>
      <c r="I2572" s="98">
        <v>22</v>
      </c>
      <c r="J2572" s="98">
        <v>22</v>
      </c>
      <c r="K2572" s="89">
        <f t="shared" si="110"/>
        <v>1</v>
      </c>
      <c r="L2572" s="89">
        <v>17749.53</v>
      </c>
      <c r="M2572" s="89">
        <v>3186.55</v>
      </c>
      <c r="N2572" s="89">
        <v>1851.82</v>
      </c>
      <c r="O2572" s="89">
        <f t="shared" si="111"/>
        <v>22787.9</v>
      </c>
    </row>
    <row r="2573" spans="1:15">
      <c r="A2573" s="74" t="s">
        <v>309</v>
      </c>
      <c r="B2573" s="74" t="s">
        <v>151</v>
      </c>
      <c r="C2573" s="74" t="s">
        <v>152</v>
      </c>
      <c r="D2573" s="74" t="s">
        <v>79</v>
      </c>
      <c r="E2573" s="74" t="s">
        <v>81</v>
      </c>
      <c r="F2573" s="86" t="s">
        <v>123</v>
      </c>
      <c r="G2573" s="74" t="s">
        <v>153</v>
      </c>
      <c r="H2573" s="87">
        <v>44926</v>
      </c>
      <c r="I2573" s="98">
        <v>22</v>
      </c>
      <c r="J2573" s="98">
        <v>22</v>
      </c>
      <c r="K2573" s="89">
        <f t="shared" si="110"/>
        <v>1</v>
      </c>
      <c r="L2573" s="89">
        <v>6014.48</v>
      </c>
      <c r="M2573" s="89">
        <v>3276.4</v>
      </c>
      <c r="N2573" s="89">
        <v>643.44</v>
      </c>
      <c r="O2573" s="89">
        <f t="shared" si="111"/>
        <v>9934.32</v>
      </c>
    </row>
    <row r="2574" spans="1:15">
      <c r="A2574" s="74" t="s">
        <v>309</v>
      </c>
      <c r="B2574" s="74" t="s">
        <v>154</v>
      </c>
      <c r="C2574" s="74" t="s">
        <v>155</v>
      </c>
      <c r="D2574" s="74" t="s">
        <v>79</v>
      </c>
      <c r="E2574" s="74" t="s">
        <v>81</v>
      </c>
      <c r="F2574" s="86" t="s">
        <v>156</v>
      </c>
      <c r="G2574" s="74" t="s">
        <v>157</v>
      </c>
      <c r="H2574" s="87">
        <v>44926</v>
      </c>
      <c r="I2574" s="98">
        <v>22</v>
      </c>
      <c r="J2574" s="98">
        <v>22</v>
      </c>
      <c r="K2574" s="89">
        <f t="shared" si="110"/>
        <v>1</v>
      </c>
      <c r="L2574" s="89">
        <v>5030.06</v>
      </c>
      <c r="M2574" s="89">
        <v>3145.97</v>
      </c>
      <c r="N2574" s="89">
        <v>524.11</v>
      </c>
      <c r="O2574" s="89">
        <f t="shared" si="111"/>
        <v>8700.14</v>
      </c>
    </row>
    <row r="2575" spans="1:15">
      <c r="A2575" s="74" t="s">
        <v>309</v>
      </c>
      <c r="B2575" s="74" t="s">
        <v>158</v>
      </c>
      <c r="C2575" s="74" t="s">
        <v>159</v>
      </c>
      <c r="D2575" s="74" t="s">
        <v>79</v>
      </c>
      <c r="E2575" s="74" t="s">
        <v>81</v>
      </c>
      <c r="F2575" s="86" t="s">
        <v>160</v>
      </c>
      <c r="G2575" s="74" t="s">
        <v>161</v>
      </c>
      <c r="H2575" s="87">
        <v>44926</v>
      </c>
      <c r="I2575" s="98">
        <v>22</v>
      </c>
      <c r="J2575" s="98">
        <v>22</v>
      </c>
      <c r="K2575" s="89">
        <f t="shared" si="110"/>
        <v>1</v>
      </c>
      <c r="L2575" s="89">
        <v>4104.67</v>
      </c>
      <c r="M2575" s="89">
        <v>3105.65</v>
      </c>
      <c r="N2575" s="89">
        <v>420.72</v>
      </c>
      <c r="O2575" s="89">
        <f t="shared" si="111"/>
        <v>7631.04</v>
      </c>
    </row>
    <row r="2576" spans="1:15">
      <c r="A2576" s="74" t="s">
        <v>309</v>
      </c>
      <c r="B2576" s="74" t="s">
        <v>162</v>
      </c>
      <c r="C2576" s="74" t="s">
        <v>163</v>
      </c>
      <c r="D2576" s="74" t="s">
        <v>79</v>
      </c>
      <c r="E2576" s="74" t="s">
        <v>81</v>
      </c>
      <c r="F2576" s="86" t="s">
        <v>123</v>
      </c>
      <c r="G2576" s="74" t="s">
        <v>153</v>
      </c>
      <c r="H2576" s="87">
        <v>44926</v>
      </c>
      <c r="I2576" s="98">
        <v>22</v>
      </c>
      <c r="J2576" s="98">
        <v>22</v>
      </c>
      <c r="K2576" s="89">
        <f t="shared" si="110"/>
        <v>1</v>
      </c>
      <c r="L2576" s="89">
        <v>6370.78</v>
      </c>
      <c r="M2576" s="89">
        <v>3021.5</v>
      </c>
      <c r="N2576" s="89">
        <v>658.2</v>
      </c>
      <c r="O2576" s="89">
        <f t="shared" si="111"/>
        <v>10050.48</v>
      </c>
    </row>
    <row r="2577" spans="1:15">
      <c r="A2577" s="74" t="s">
        <v>309</v>
      </c>
      <c r="B2577" s="74" t="s">
        <v>164</v>
      </c>
      <c r="C2577" s="74" t="s">
        <v>165</v>
      </c>
      <c r="D2577" s="74" t="s">
        <v>79</v>
      </c>
      <c r="E2577" s="74" t="s">
        <v>81</v>
      </c>
      <c r="F2577" s="86" t="s">
        <v>156</v>
      </c>
      <c r="G2577" s="74" t="s">
        <v>157</v>
      </c>
      <c r="H2577" s="87">
        <v>44926</v>
      </c>
      <c r="I2577" s="98">
        <v>22</v>
      </c>
      <c r="J2577" s="98">
        <v>22</v>
      </c>
      <c r="K2577" s="89">
        <f t="shared" si="110"/>
        <v>1</v>
      </c>
      <c r="L2577" s="89">
        <v>5107.87</v>
      </c>
      <c r="M2577" s="89">
        <v>3002.33</v>
      </c>
      <c r="N2577" s="89">
        <v>520.71</v>
      </c>
      <c r="O2577" s="89">
        <f t="shared" si="111"/>
        <v>8630.91</v>
      </c>
    </row>
    <row r="2578" spans="1:15">
      <c r="A2578" s="74" t="s">
        <v>309</v>
      </c>
      <c r="B2578" s="74" t="s">
        <v>166</v>
      </c>
      <c r="C2578" s="74" t="s">
        <v>167</v>
      </c>
      <c r="D2578" s="74" t="s">
        <v>79</v>
      </c>
      <c r="E2578" s="74" t="s">
        <v>81</v>
      </c>
      <c r="F2578" s="86" t="s">
        <v>160</v>
      </c>
      <c r="G2578" s="74" t="s">
        <v>161</v>
      </c>
      <c r="H2578" s="87">
        <v>44926</v>
      </c>
      <c r="I2578" s="98">
        <v>22</v>
      </c>
      <c r="J2578" s="98">
        <v>22</v>
      </c>
      <c r="K2578" s="89">
        <f t="shared" si="110"/>
        <v>1</v>
      </c>
      <c r="L2578" s="89">
        <v>4081.65</v>
      </c>
      <c r="M2578" s="89">
        <v>3175.74</v>
      </c>
      <c r="N2578" s="89">
        <v>430.09</v>
      </c>
      <c r="O2578" s="89">
        <f t="shared" si="111"/>
        <v>7687.48</v>
      </c>
    </row>
    <row r="2579" spans="1:15">
      <c r="A2579" s="74" t="s">
        <v>309</v>
      </c>
      <c r="B2579" s="74" t="s">
        <v>168</v>
      </c>
      <c r="C2579" s="74" t="s">
        <v>169</v>
      </c>
      <c r="D2579" s="74" t="s">
        <v>79</v>
      </c>
      <c r="E2579" s="74" t="s">
        <v>81</v>
      </c>
      <c r="F2579" s="86" t="s">
        <v>123</v>
      </c>
      <c r="G2579" s="74" t="s">
        <v>153</v>
      </c>
      <c r="H2579" s="87">
        <v>44926</v>
      </c>
      <c r="I2579" s="98">
        <v>22</v>
      </c>
      <c r="J2579" s="98">
        <v>22</v>
      </c>
      <c r="K2579" s="89">
        <f t="shared" si="110"/>
        <v>1</v>
      </c>
      <c r="L2579" s="89">
        <v>6472.33</v>
      </c>
      <c r="M2579" s="89">
        <v>3228.53</v>
      </c>
      <c r="N2579" s="89">
        <v>608.75</v>
      </c>
      <c r="O2579" s="89">
        <f t="shared" si="111"/>
        <v>10309.61</v>
      </c>
    </row>
    <row r="2580" spans="1:15">
      <c r="A2580" s="74" t="s">
        <v>309</v>
      </c>
      <c r="B2580" s="74" t="s">
        <v>170</v>
      </c>
      <c r="C2580" s="74" t="s">
        <v>171</v>
      </c>
      <c r="D2580" s="74" t="s">
        <v>79</v>
      </c>
      <c r="E2580" s="74" t="s">
        <v>81</v>
      </c>
      <c r="F2580" s="86" t="s">
        <v>156</v>
      </c>
      <c r="G2580" s="74" t="s">
        <v>157</v>
      </c>
      <c r="H2580" s="87">
        <v>44926</v>
      </c>
      <c r="I2580" s="98">
        <v>22</v>
      </c>
      <c r="J2580" s="98">
        <v>22</v>
      </c>
      <c r="K2580" s="89">
        <f t="shared" si="110"/>
        <v>1</v>
      </c>
      <c r="L2580" s="89">
        <v>5395.42</v>
      </c>
      <c r="M2580" s="89">
        <v>3055.93</v>
      </c>
      <c r="N2580" s="89">
        <v>503</v>
      </c>
      <c r="O2580" s="89">
        <f t="shared" si="111"/>
        <v>8954.35</v>
      </c>
    </row>
    <row r="2581" spans="1:15">
      <c r="A2581" s="74" t="s">
        <v>309</v>
      </c>
      <c r="B2581" s="74" t="s">
        <v>172</v>
      </c>
      <c r="C2581" s="74" t="s">
        <v>173</v>
      </c>
      <c r="D2581" s="74" t="s">
        <v>79</v>
      </c>
      <c r="E2581" s="74" t="s">
        <v>81</v>
      </c>
      <c r="F2581" s="86" t="s">
        <v>160</v>
      </c>
      <c r="G2581" s="74" t="s">
        <v>161</v>
      </c>
      <c r="H2581" s="87">
        <v>44926</v>
      </c>
      <c r="I2581" s="98">
        <v>22</v>
      </c>
      <c r="J2581" s="98">
        <v>22</v>
      </c>
      <c r="K2581" s="89">
        <f t="shared" si="110"/>
        <v>1</v>
      </c>
      <c r="L2581" s="89">
        <v>4331.35</v>
      </c>
      <c r="M2581" s="89">
        <v>3294.13</v>
      </c>
      <c r="N2581" s="89">
        <v>402.74</v>
      </c>
      <c r="O2581" s="89">
        <f t="shared" si="111"/>
        <v>8028.22</v>
      </c>
    </row>
    <row r="2582" spans="1:15">
      <c r="A2582" s="74" t="s">
        <v>309</v>
      </c>
      <c r="B2582" s="74" t="s">
        <v>174</v>
      </c>
      <c r="C2582" s="74" t="s">
        <v>175</v>
      </c>
      <c r="D2582" s="74" t="s">
        <v>79</v>
      </c>
      <c r="E2582" s="74" t="s">
        <v>81</v>
      </c>
      <c r="F2582" s="86" t="s">
        <v>176</v>
      </c>
      <c r="G2582" s="74" t="s">
        <v>177</v>
      </c>
      <c r="H2582" s="87">
        <v>44926</v>
      </c>
      <c r="I2582" s="98">
        <v>22</v>
      </c>
      <c r="J2582" s="98">
        <v>22</v>
      </c>
      <c r="K2582" s="89">
        <f t="shared" si="110"/>
        <v>1</v>
      </c>
      <c r="L2582" s="89">
        <v>3005.85</v>
      </c>
      <c r="M2582" s="89">
        <v>3105.47</v>
      </c>
      <c r="N2582" s="89">
        <v>318.31</v>
      </c>
      <c r="O2582" s="89">
        <f t="shared" si="111"/>
        <v>6429.63</v>
      </c>
    </row>
    <row r="2583" spans="1:15">
      <c r="A2583" s="74" t="s">
        <v>309</v>
      </c>
      <c r="B2583" s="74" t="s">
        <v>178</v>
      </c>
      <c r="C2583" s="74" t="s">
        <v>179</v>
      </c>
      <c r="D2583" s="74" t="s">
        <v>79</v>
      </c>
      <c r="E2583" s="74" t="s">
        <v>81</v>
      </c>
      <c r="F2583" s="86" t="s">
        <v>180</v>
      </c>
      <c r="G2583" s="74" t="s">
        <v>177</v>
      </c>
      <c r="H2583" s="87">
        <v>44926</v>
      </c>
      <c r="I2583" s="98">
        <v>22</v>
      </c>
      <c r="J2583" s="98">
        <v>22</v>
      </c>
      <c r="K2583" s="89">
        <f t="shared" si="110"/>
        <v>1</v>
      </c>
      <c r="L2583" s="89">
        <v>2056.57</v>
      </c>
      <c r="M2583" s="89">
        <v>3145.87</v>
      </c>
      <c r="N2583" s="89">
        <v>204.88</v>
      </c>
      <c r="O2583" s="89">
        <f t="shared" si="111"/>
        <v>5407.32</v>
      </c>
    </row>
    <row r="2584" spans="1:15">
      <c r="A2584" s="74" t="s">
        <v>309</v>
      </c>
      <c r="B2584" s="74" t="s">
        <v>181</v>
      </c>
      <c r="C2584" s="74" t="s">
        <v>182</v>
      </c>
      <c r="D2584" s="74" t="s">
        <v>79</v>
      </c>
      <c r="E2584" s="74" t="s">
        <v>81</v>
      </c>
      <c r="F2584" s="86" t="s">
        <v>183</v>
      </c>
      <c r="G2584" s="74" t="s">
        <v>177</v>
      </c>
      <c r="H2584" s="87">
        <v>44926</v>
      </c>
      <c r="I2584" s="98">
        <v>22</v>
      </c>
      <c r="J2584" s="98">
        <v>22</v>
      </c>
      <c r="K2584" s="89">
        <f t="shared" si="110"/>
        <v>1</v>
      </c>
      <c r="L2584" s="89">
        <v>1076.98</v>
      </c>
      <c r="M2584" s="89">
        <v>3148.19</v>
      </c>
      <c r="N2584" s="89">
        <v>104.72</v>
      </c>
      <c r="O2584" s="89">
        <f t="shared" si="111"/>
        <v>4329.89</v>
      </c>
    </row>
    <row r="2585" spans="1:15">
      <c r="A2585" s="74" t="s">
        <v>309</v>
      </c>
      <c r="B2585" s="74" t="s">
        <v>184</v>
      </c>
      <c r="C2585" s="74" t="s">
        <v>185</v>
      </c>
      <c r="D2585" s="74" t="s">
        <v>79</v>
      </c>
      <c r="E2585" s="74" t="s">
        <v>81</v>
      </c>
      <c r="F2585" s="86" t="s">
        <v>176</v>
      </c>
      <c r="G2585" s="74" t="s">
        <v>177</v>
      </c>
      <c r="H2585" s="87">
        <v>44926</v>
      </c>
      <c r="I2585" s="98">
        <v>22</v>
      </c>
      <c r="J2585" s="98">
        <v>22</v>
      </c>
      <c r="K2585" s="89">
        <f t="shared" si="110"/>
        <v>1</v>
      </c>
      <c r="L2585" s="89">
        <v>3165.45</v>
      </c>
      <c r="M2585" s="89">
        <v>3074.01</v>
      </c>
      <c r="N2585" s="89">
        <v>315.02</v>
      </c>
      <c r="O2585" s="89">
        <f t="shared" si="111"/>
        <v>6554.48</v>
      </c>
    </row>
    <row r="2586" spans="1:15">
      <c r="A2586" s="74" t="s">
        <v>309</v>
      </c>
      <c r="B2586" s="74" t="s">
        <v>186</v>
      </c>
      <c r="C2586" s="74" t="s">
        <v>187</v>
      </c>
      <c r="D2586" s="74" t="s">
        <v>79</v>
      </c>
      <c r="E2586" s="74" t="s">
        <v>81</v>
      </c>
      <c r="F2586" s="86" t="s">
        <v>180</v>
      </c>
      <c r="G2586" s="74" t="s">
        <v>177</v>
      </c>
      <c r="H2586" s="87">
        <v>44926</v>
      </c>
      <c r="I2586" s="98">
        <v>22</v>
      </c>
      <c r="J2586" s="98">
        <v>22</v>
      </c>
      <c r="K2586" s="89">
        <f t="shared" si="110"/>
        <v>1</v>
      </c>
      <c r="L2586" s="89">
        <v>2195.3</v>
      </c>
      <c r="M2586" s="89">
        <v>3118.35</v>
      </c>
      <c r="N2586" s="89">
        <v>203.48</v>
      </c>
      <c r="O2586" s="89">
        <f t="shared" si="111"/>
        <v>5517.13</v>
      </c>
    </row>
    <row r="2587" spans="1:15">
      <c r="A2587" s="74" t="s">
        <v>309</v>
      </c>
      <c r="B2587" s="74" t="s">
        <v>188</v>
      </c>
      <c r="C2587" s="74" t="s">
        <v>189</v>
      </c>
      <c r="D2587" s="74" t="s">
        <v>79</v>
      </c>
      <c r="E2587" s="74" t="s">
        <v>81</v>
      </c>
      <c r="F2587" s="86" t="s">
        <v>183</v>
      </c>
      <c r="G2587" s="74" t="s">
        <v>177</v>
      </c>
      <c r="H2587" s="87">
        <v>44926</v>
      </c>
      <c r="I2587" s="98">
        <v>22</v>
      </c>
      <c r="J2587" s="98">
        <v>22</v>
      </c>
      <c r="K2587" s="89">
        <f t="shared" si="110"/>
        <v>1</v>
      </c>
      <c r="L2587" s="89">
        <v>1085.7</v>
      </c>
      <c r="M2587" s="89">
        <v>3104.03</v>
      </c>
      <c r="N2587" s="89">
        <v>104.19</v>
      </c>
      <c r="O2587" s="89">
        <f t="shared" si="111"/>
        <v>4293.92</v>
      </c>
    </row>
    <row r="2588" spans="1:15">
      <c r="A2588" s="74" t="s">
        <v>309</v>
      </c>
      <c r="B2588" s="74" t="s">
        <v>190</v>
      </c>
      <c r="C2588" s="74" t="s">
        <v>191</v>
      </c>
      <c r="D2588" s="74" t="s">
        <v>79</v>
      </c>
      <c r="E2588" s="74" t="s">
        <v>81</v>
      </c>
      <c r="F2588" s="86" t="s">
        <v>176</v>
      </c>
      <c r="G2588" s="74" t="s">
        <v>177</v>
      </c>
      <c r="H2588" s="87">
        <v>44926</v>
      </c>
      <c r="I2588" s="98">
        <v>22</v>
      </c>
      <c r="J2588" s="98">
        <v>22</v>
      </c>
      <c r="K2588" s="89">
        <f t="shared" si="110"/>
        <v>1</v>
      </c>
      <c r="L2588" s="89">
        <v>3295.15</v>
      </c>
      <c r="M2588" s="89">
        <v>3153.55</v>
      </c>
      <c r="N2588" s="89">
        <v>318.94</v>
      </c>
      <c r="O2588" s="89">
        <f t="shared" si="111"/>
        <v>6767.64</v>
      </c>
    </row>
    <row r="2589" spans="1:15">
      <c r="A2589" s="74" t="s">
        <v>309</v>
      </c>
      <c r="B2589" s="74" t="s">
        <v>192</v>
      </c>
      <c r="C2589" s="74" t="s">
        <v>193</v>
      </c>
      <c r="D2589" s="74" t="s">
        <v>79</v>
      </c>
      <c r="E2589" s="74" t="s">
        <v>81</v>
      </c>
      <c r="F2589" s="86" t="s">
        <v>180</v>
      </c>
      <c r="G2589" s="74" t="s">
        <v>177</v>
      </c>
      <c r="H2589" s="87">
        <v>44926</v>
      </c>
      <c r="I2589" s="98">
        <v>22</v>
      </c>
      <c r="J2589" s="98">
        <v>22</v>
      </c>
      <c r="K2589" s="89">
        <f t="shared" si="110"/>
        <v>1</v>
      </c>
      <c r="L2589" s="89">
        <v>2186.33</v>
      </c>
      <c r="M2589" s="89">
        <v>3014.92</v>
      </c>
      <c r="N2589" s="89">
        <v>207.47</v>
      </c>
      <c r="O2589" s="89">
        <f t="shared" si="111"/>
        <v>5408.72</v>
      </c>
    </row>
    <row r="2590" spans="1:15">
      <c r="A2590" s="74" t="s">
        <v>309</v>
      </c>
      <c r="B2590" s="74" t="s">
        <v>194</v>
      </c>
      <c r="C2590" s="74" t="s">
        <v>195</v>
      </c>
      <c r="D2590" s="74" t="s">
        <v>79</v>
      </c>
      <c r="E2590" s="74" t="s">
        <v>81</v>
      </c>
      <c r="F2590" s="86" t="s">
        <v>183</v>
      </c>
      <c r="G2590" s="74" t="s">
        <v>177</v>
      </c>
      <c r="H2590" s="87">
        <v>44926</v>
      </c>
      <c r="I2590" s="98">
        <v>22</v>
      </c>
      <c r="J2590" s="98">
        <v>22</v>
      </c>
      <c r="K2590" s="89">
        <f t="shared" si="110"/>
        <v>1</v>
      </c>
      <c r="L2590" s="89">
        <v>1064.65</v>
      </c>
      <c r="M2590" s="89">
        <v>3121.81</v>
      </c>
      <c r="N2590" s="89">
        <v>103.29</v>
      </c>
      <c r="O2590" s="89">
        <f t="shared" si="111"/>
        <v>4289.75</v>
      </c>
    </row>
    <row r="2591" spans="1:15">
      <c r="A2591" s="74" t="s">
        <v>309</v>
      </c>
      <c r="B2591" s="74" t="s">
        <v>196</v>
      </c>
      <c r="C2591" s="74" t="s">
        <v>197</v>
      </c>
      <c r="D2591" s="74" t="s">
        <v>79</v>
      </c>
      <c r="E2591" s="74" t="s">
        <v>81</v>
      </c>
      <c r="F2591" s="86" t="s">
        <v>176</v>
      </c>
      <c r="G2591" s="74" t="s">
        <v>177</v>
      </c>
      <c r="H2591" s="87">
        <v>44926</v>
      </c>
      <c r="I2591" s="98">
        <v>22</v>
      </c>
      <c r="J2591" s="98">
        <v>22</v>
      </c>
      <c r="K2591" s="89">
        <f t="shared" si="110"/>
        <v>1</v>
      </c>
      <c r="L2591" s="89">
        <v>3160.85</v>
      </c>
      <c r="M2591" s="89">
        <v>3291.22</v>
      </c>
      <c r="N2591" s="89">
        <v>321.72</v>
      </c>
      <c r="O2591" s="89">
        <f t="shared" si="111"/>
        <v>6773.79</v>
      </c>
    </row>
    <row r="2592" spans="1:15">
      <c r="A2592" s="74" t="s">
        <v>309</v>
      </c>
      <c r="B2592" s="74" t="s">
        <v>198</v>
      </c>
      <c r="C2592" s="74" t="s">
        <v>199</v>
      </c>
      <c r="D2592" s="74" t="s">
        <v>79</v>
      </c>
      <c r="E2592" s="74" t="s">
        <v>81</v>
      </c>
      <c r="F2592" s="86" t="s">
        <v>180</v>
      </c>
      <c r="G2592" s="74" t="s">
        <v>177</v>
      </c>
      <c r="H2592" s="87">
        <v>44926</v>
      </c>
      <c r="I2592" s="98">
        <v>22</v>
      </c>
      <c r="J2592" s="98">
        <v>22</v>
      </c>
      <c r="K2592" s="89">
        <f t="shared" si="110"/>
        <v>1</v>
      </c>
      <c r="L2592" s="89">
        <v>2127.08</v>
      </c>
      <c r="M2592" s="89">
        <v>3138.37</v>
      </c>
      <c r="N2592" s="89">
        <v>203.01</v>
      </c>
      <c r="O2592" s="89">
        <f t="shared" si="111"/>
        <v>5468.46</v>
      </c>
    </row>
    <row r="2593" spans="1:15">
      <c r="A2593" s="74" t="s">
        <v>309</v>
      </c>
      <c r="B2593" s="74" t="s">
        <v>200</v>
      </c>
      <c r="C2593" s="74" t="s">
        <v>201</v>
      </c>
      <c r="D2593" s="74" t="s">
        <v>79</v>
      </c>
      <c r="E2593" s="74" t="s">
        <v>81</v>
      </c>
      <c r="F2593" s="86" t="s">
        <v>183</v>
      </c>
      <c r="G2593" s="74" t="s">
        <v>177</v>
      </c>
      <c r="H2593" s="87">
        <v>44926</v>
      </c>
      <c r="I2593" s="98">
        <v>22</v>
      </c>
      <c r="J2593" s="98">
        <v>22</v>
      </c>
      <c r="K2593" s="89">
        <f t="shared" si="110"/>
        <v>1</v>
      </c>
      <c r="L2593" s="89">
        <v>1071.3</v>
      </c>
      <c r="M2593" s="89">
        <v>3234.67</v>
      </c>
      <c r="N2593" s="89">
        <v>108.67</v>
      </c>
      <c r="O2593" s="89">
        <f t="shared" si="111"/>
        <v>4414.64</v>
      </c>
    </row>
    <row r="2594" spans="1:15">
      <c r="A2594" s="74" t="s">
        <v>309</v>
      </c>
      <c r="B2594" s="74" t="s">
        <v>202</v>
      </c>
      <c r="C2594" s="74" t="s">
        <v>203</v>
      </c>
      <c r="D2594" s="74" t="s">
        <v>79</v>
      </c>
      <c r="E2594" s="74" t="s">
        <v>81</v>
      </c>
      <c r="F2594" s="86" t="s">
        <v>204</v>
      </c>
      <c r="G2594" s="74" t="s">
        <v>205</v>
      </c>
      <c r="H2594" s="87">
        <v>44926</v>
      </c>
      <c r="I2594" s="98">
        <v>22</v>
      </c>
      <c r="J2594" s="98">
        <v>22</v>
      </c>
      <c r="K2594" s="89">
        <f t="shared" si="110"/>
        <v>1</v>
      </c>
      <c r="L2594" s="89">
        <v>19671.77</v>
      </c>
      <c r="M2594" s="89">
        <v>3148.66</v>
      </c>
      <c r="N2594" s="89">
        <v>1894.96</v>
      </c>
      <c r="O2594" s="89">
        <f t="shared" si="111"/>
        <v>24715.39</v>
      </c>
    </row>
    <row r="2595" spans="1:15">
      <c r="A2595" s="74" t="s">
        <v>309</v>
      </c>
      <c r="B2595" s="74" t="s">
        <v>206</v>
      </c>
      <c r="C2595" s="74" t="s">
        <v>207</v>
      </c>
      <c r="D2595" s="88" t="s">
        <v>82</v>
      </c>
      <c r="E2595" s="88" t="s">
        <v>84</v>
      </c>
      <c r="F2595" s="86" t="s">
        <v>208</v>
      </c>
      <c r="G2595" s="74" t="s">
        <v>209</v>
      </c>
      <c r="H2595" s="87">
        <v>44926</v>
      </c>
      <c r="I2595" s="98">
        <v>22</v>
      </c>
      <c r="J2595" s="98">
        <v>22</v>
      </c>
      <c r="K2595" s="89">
        <f t="shared" si="110"/>
        <v>1</v>
      </c>
      <c r="L2595" s="89">
        <v>9119.02</v>
      </c>
      <c r="M2595" s="89">
        <v>3013.46</v>
      </c>
      <c r="N2595" s="89">
        <v>965.86</v>
      </c>
      <c r="O2595" s="89">
        <f t="shared" si="111"/>
        <v>13098.34</v>
      </c>
    </row>
    <row r="2596" spans="1:15">
      <c r="A2596" s="74" t="s">
        <v>309</v>
      </c>
      <c r="B2596" s="74" t="s">
        <v>210</v>
      </c>
      <c r="C2596" s="74" t="s">
        <v>211</v>
      </c>
      <c r="D2596" s="88" t="s">
        <v>82</v>
      </c>
      <c r="E2596" s="88" t="s">
        <v>84</v>
      </c>
      <c r="F2596" s="86" t="s">
        <v>116</v>
      </c>
      <c r="G2596" s="74" t="s">
        <v>209</v>
      </c>
      <c r="H2596" s="87">
        <v>44926</v>
      </c>
      <c r="I2596" s="98">
        <v>22</v>
      </c>
      <c r="J2596" s="98">
        <v>22</v>
      </c>
      <c r="K2596" s="89">
        <f t="shared" si="110"/>
        <v>1</v>
      </c>
      <c r="L2596" s="89">
        <v>8001.97</v>
      </c>
      <c r="M2596" s="89">
        <v>3004.98</v>
      </c>
      <c r="N2596" s="89">
        <v>847.28</v>
      </c>
      <c r="O2596" s="89">
        <f t="shared" si="111"/>
        <v>11854.23</v>
      </c>
    </row>
    <row r="2597" spans="1:15">
      <c r="A2597" s="74" t="s">
        <v>309</v>
      </c>
      <c r="B2597" s="74" t="s">
        <v>212</v>
      </c>
      <c r="C2597" s="74" t="s">
        <v>213</v>
      </c>
      <c r="D2597" s="88" t="s">
        <v>82</v>
      </c>
      <c r="E2597" s="88" t="s">
        <v>84</v>
      </c>
      <c r="F2597" s="86" t="s">
        <v>208</v>
      </c>
      <c r="G2597" s="74" t="s">
        <v>209</v>
      </c>
      <c r="H2597" s="87">
        <v>44926</v>
      </c>
      <c r="I2597" s="98">
        <v>22</v>
      </c>
      <c r="J2597" s="98">
        <v>22</v>
      </c>
      <c r="K2597" s="89">
        <f t="shared" si="110"/>
        <v>1</v>
      </c>
      <c r="L2597" s="89">
        <v>9074.22</v>
      </c>
      <c r="M2597" s="89">
        <v>3299.11</v>
      </c>
      <c r="N2597" s="89">
        <v>915.53</v>
      </c>
      <c r="O2597" s="89">
        <f t="shared" si="111"/>
        <v>13288.86</v>
      </c>
    </row>
    <row r="2598" spans="1:15">
      <c r="A2598" s="74" t="s">
        <v>309</v>
      </c>
      <c r="B2598" s="74" t="s">
        <v>214</v>
      </c>
      <c r="C2598" s="74" t="s">
        <v>215</v>
      </c>
      <c r="D2598" s="88" t="s">
        <v>82</v>
      </c>
      <c r="E2598" s="88" t="s">
        <v>84</v>
      </c>
      <c r="F2598" s="86" t="s">
        <v>116</v>
      </c>
      <c r="G2598" s="74" t="s">
        <v>209</v>
      </c>
      <c r="H2598" s="87">
        <v>44926</v>
      </c>
      <c r="I2598" s="98">
        <v>22</v>
      </c>
      <c r="J2598" s="98">
        <v>22</v>
      </c>
      <c r="K2598" s="89">
        <f t="shared" si="110"/>
        <v>1</v>
      </c>
      <c r="L2598" s="89">
        <v>8467.59</v>
      </c>
      <c r="M2598" s="89">
        <v>3018.21</v>
      </c>
      <c r="N2598" s="89">
        <v>831.92</v>
      </c>
      <c r="O2598" s="89">
        <f t="shared" si="111"/>
        <v>12317.72</v>
      </c>
    </row>
    <row r="2599" spans="1:15">
      <c r="A2599" s="74" t="s">
        <v>309</v>
      </c>
      <c r="B2599" s="74" t="s">
        <v>216</v>
      </c>
      <c r="C2599" s="74" t="s">
        <v>217</v>
      </c>
      <c r="D2599" s="88" t="s">
        <v>82</v>
      </c>
      <c r="E2599" s="88" t="s">
        <v>84</v>
      </c>
      <c r="F2599" s="86" t="s">
        <v>218</v>
      </c>
      <c r="G2599" s="74" t="s">
        <v>219</v>
      </c>
      <c r="H2599" s="87">
        <v>44926</v>
      </c>
      <c r="I2599" s="98">
        <v>22</v>
      </c>
      <c r="J2599" s="98">
        <v>22</v>
      </c>
      <c r="K2599" s="89">
        <f t="shared" si="110"/>
        <v>1</v>
      </c>
      <c r="L2599" s="89">
        <v>12098.56</v>
      </c>
      <c r="M2599" s="89">
        <v>3163.74</v>
      </c>
      <c r="N2599" s="89">
        <v>1145.4</v>
      </c>
      <c r="O2599" s="89">
        <f t="shared" si="111"/>
        <v>16407.7</v>
      </c>
    </row>
    <row r="2600" spans="1:15">
      <c r="A2600" s="74" t="s">
        <v>309</v>
      </c>
      <c r="B2600" s="74" t="s">
        <v>220</v>
      </c>
      <c r="C2600" s="74" t="s">
        <v>221</v>
      </c>
      <c r="D2600" s="88" t="s">
        <v>82</v>
      </c>
      <c r="E2600" s="74" t="s">
        <v>83</v>
      </c>
      <c r="F2600" s="86" t="s">
        <v>218</v>
      </c>
      <c r="G2600" s="74" t="s">
        <v>222</v>
      </c>
      <c r="H2600" s="87">
        <v>44926</v>
      </c>
      <c r="I2600" s="98">
        <v>22</v>
      </c>
      <c r="J2600" s="98">
        <v>22</v>
      </c>
      <c r="K2600" s="89">
        <f t="shared" si="110"/>
        <v>1</v>
      </c>
      <c r="L2600" s="89">
        <v>11297.05</v>
      </c>
      <c r="M2600" s="89">
        <v>3014.71</v>
      </c>
      <c r="N2600" s="89">
        <v>1161.27</v>
      </c>
      <c r="O2600" s="89">
        <f t="shared" si="111"/>
        <v>15473.03</v>
      </c>
    </row>
    <row r="2601" spans="1:15">
      <c r="A2601" s="74" t="s">
        <v>309</v>
      </c>
      <c r="B2601" s="74" t="s">
        <v>223</v>
      </c>
      <c r="C2601" s="74" t="s">
        <v>224</v>
      </c>
      <c r="D2601" s="88" t="s">
        <v>82</v>
      </c>
      <c r="E2601" s="74" t="s">
        <v>83</v>
      </c>
      <c r="F2601" s="86" t="s">
        <v>225</v>
      </c>
      <c r="G2601" s="74" t="s">
        <v>209</v>
      </c>
      <c r="H2601" s="87">
        <v>44926</v>
      </c>
      <c r="I2601" s="98">
        <v>22</v>
      </c>
      <c r="J2601" s="98">
        <v>22</v>
      </c>
      <c r="K2601" s="89">
        <f t="shared" si="110"/>
        <v>1</v>
      </c>
      <c r="L2601" s="89">
        <v>10872.19</v>
      </c>
      <c r="M2601" s="89">
        <v>3215.24</v>
      </c>
      <c r="N2601" s="89">
        <v>1092.84</v>
      </c>
      <c r="O2601" s="89">
        <f t="shared" si="111"/>
        <v>15180.27</v>
      </c>
    </row>
    <row r="2602" spans="1:15">
      <c r="A2602" s="74" t="s">
        <v>309</v>
      </c>
      <c r="B2602" s="74" t="s">
        <v>226</v>
      </c>
      <c r="C2602" s="74" t="s">
        <v>227</v>
      </c>
      <c r="D2602" s="88" t="s">
        <v>82</v>
      </c>
      <c r="E2602" s="74" t="s">
        <v>83</v>
      </c>
      <c r="F2602" s="86" t="s">
        <v>208</v>
      </c>
      <c r="G2602" s="74" t="s">
        <v>209</v>
      </c>
      <c r="H2602" s="87">
        <v>44926</v>
      </c>
      <c r="I2602" s="98">
        <v>22</v>
      </c>
      <c r="J2602" s="98">
        <v>22</v>
      </c>
      <c r="K2602" s="89">
        <f t="shared" si="110"/>
        <v>1</v>
      </c>
      <c r="L2602" s="89">
        <v>9112.07</v>
      </c>
      <c r="M2602" s="89">
        <v>3041.82</v>
      </c>
      <c r="N2602" s="89">
        <v>978.61</v>
      </c>
      <c r="O2602" s="89">
        <f t="shared" si="111"/>
        <v>13132.5</v>
      </c>
    </row>
    <row r="2603" spans="1:15">
      <c r="A2603" s="74" t="s">
        <v>309</v>
      </c>
      <c r="B2603" s="74" t="s">
        <v>228</v>
      </c>
      <c r="C2603" s="74" t="s">
        <v>229</v>
      </c>
      <c r="D2603" s="88" t="s">
        <v>82</v>
      </c>
      <c r="E2603" s="74" t="s">
        <v>83</v>
      </c>
      <c r="F2603" s="86" t="s">
        <v>116</v>
      </c>
      <c r="G2603" s="74" t="s">
        <v>209</v>
      </c>
      <c r="H2603" s="87">
        <v>44926</v>
      </c>
      <c r="I2603" s="98">
        <v>22</v>
      </c>
      <c r="J2603" s="98">
        <v>22</v>
      </c>
      <c r="K2603" s="89">
        <f t="shared" si="110"/>
        <v>1</v>
      </c>
      <c r="L2603" s="89">
        <v>8574.49</v>
      </c>
      <c r="M2603" s="89">
        <v>3259.78</v>
      </c>
      <c r="N2603" s="89">
        <v>802.17</v>
      </c>
      <c r="O2603" s="89">
        <f t="shared" si="111"/>
        <v>12636.44</v>
      </c>
    </row>
    <row r="2604" spans="1:15">
      <c r="A2604" s="74" t="s">
        <v>309</v>
      </c>
      <c r="B2604" s="74" t="s">
        <v>230</v>
      </c>
      <c r="C2604" s="74" t="s">
        <v>231</v>
      </c>
      <c r="D2604" s="88" t="s">
        <v>82</v>
      </c>
      <c r="E2604" s="74" t="s">
        <v>83</v>
      </c>
      <c r="F2604" s="86" t="s">
        <v>120</v>
      </c>
      <c r="G2604" s="74" t="s">
        <v>209</v>
      </c>
      <c r="H2604" s="87">
        <v>44926</v>
      </c>
      <c r="I2604" s="98">
        <v>22</v>
      </c>
      <c r="J2604" s="98">
        <v>22</v>
      </c>
      <c r="K2604" s="89">
        <f t="shared" si="110"/>
        <v>1</v>
      </c>
      <c r="L2604" s="89">
        <v>7260.86</v>
      </c>
      <c r="M2604" s="89">
        <v>3160.26</v>
      </c>
      <c r="N2604" s="89">
        <v>753.84</v>
      </c>
      <c r="O2604" s="89">
        <f t="shared" si="111"/>
        <v>11174.96</v>
      </c>
    </row>
    <row r="2605" spans="1:15">
      <c r="A2605" s="74" t="s">
        <v>309</v>
      </c>
      <c r="B2605" s="74" t="s">
        <v>232</v>
      </c>
      <c r="C2605" s="74" t="s">
        <v>233</v>
      </c>
      <c r="D2605" s="88" t="s">
        <v>82</v>
      </c>
      <c r="E2605" s="74" t="s">
        <v>83</v>
      </c>
      <c r="F2605" s="86" t="s">
        <v>123</v>
      </c>
      <c r="G2605" s="74" t="s">
        <v>209</v>
      </c>
      <c r="H2605" s="87">
        <v>44926</v>
      </c>
      <c r="I2605" s="98">
        <v>22</v>
      </c>
      <c r="J2605" s="98">
        <v>22</v>
      </c>
      <c r="K2605" s="89">
        <f t="shared" si="110"/>
        <v>1</v>
      </c>
      <c r="L2605" s="89">
        <v>6149.07</v>
      </c>
      <c r="M2605" s="89">
        <v>3202.62</v>
      </c>
      <c r="N2605" s="89">
        <v>611.25</v>
      </c>
      <c r="O2605" s="89">
        <f t="shared" si="111"/>
        <v>9962.94</v>
      </c>
    </row>
    <row r="2606" spans="1:15">
      <c r="A2606" s="74" t="s">
        <v>309</v>
      </c>
      <c r="B2606" s="74" t="s">
        <v>234</v>
      </c>
      <c r="C2606" s="74" t="s">
        <v>235</v>
      </c>
      <c r="D2606" s="88" t="s">
        <v>82</v>
      </c>
      <c r="E2606" s="74" t="s">
        <v>83</v>
      </c>
      <c r="F2606" s="86" t="s">
        <v>116</v>
      </c>
      <c r="G2606" s="74" t="s">
        <v>209</v>
      </c>
      <c r="H2606" s="87">
        <v>44926</v>
      </c>
      <c r="I2606" s="98">
        <v>22</v>
      </c>
      <c r="J2606" s="98">
        <v>22</v>
      </c>
      <c r="K2606" s="89">
        <f t="shared" si="110"/>
        <v>1</v>
      </c>
      <c r="L2606" s="89">
        <v>8378.74</v>
      </c>
      <c r="M2606" s="89">
        <v>3089.06</v>
      </c>
      <c r="N2606" s="89">
        <v>847.33</v>
      </c>
      <c r="O2606" s="89">
        <f t="shared" si="111"/>
        <v>12315.13</v>
      </c>
    </row>
    <row r="2607" spans="1:15">
      <c r="A2607" s="74" t="s">
        <v>309</v>
      </c>
      <c r="B2607" s="74" t="s">
        <v>236</v>
      </c>
      <c r="C2607" s="74" t="s">
        <v>237</v>
      </c>
      <c r="D2607" s="88" t="s">
        <v>82</v>
      </c>
      <c r="E2607" s="74" t="s">
        <v>83</v>
      </c>
      <c r="F2607" s="86" t="s">
        <v>120</v>
      </c>
      <c r="G2607" s="74" t="s">
        <v>209</v>
      </c>
      <c r="H2607" s="87">
        <v>44926</v>
      </c>
      <c r="I2607" s="98">
        <v>22</v>
      </c>
      <c r="J2607" s="98">
        <v>22</v>
      </c>
      <c r="K2607" s="89">
        <f t="shared" si="110"/>
        <v>1</v>
      </c>
      <c r="L2607" s="89">
        <v>7291.45</v>
      </c>
      <c r="M2607" s="89">
        <v>3292.99</v>
      </c>
      <c r="N2607" s="89">
        <v>744.24</v>
      </c>
      <c r="O2607" s="89">
        <f t="shared" si="111"/>
        <v>11328.68</v>
      </c>
    </row>
    <row r="2608" spans="1:15">
      <c r="A2608" s="74" t="s">
        <v>309</v>
      </c>
      <c r="B2608" s="74" t="s">
        <v>238</v>
      </c>
      <c r="C2608" s="74" t="s">
        <v>239</v>
      </c>
      <c r="D2608" s="74" t="s">
        <v>86</v>
      </c>
      <c r="E2608" s="74" t="s">
        <v>87</v>
      </c>
      <c r="F2608" s="86" t="s">
        <v>204</v>
      </c>
      <c r="G2608" s="74" t="s">
        <v>240</v>
      </c>
      <c r="H2608" s="87">
        <v>44926</v>
      </c>
      <c r="I2608" s="98">
        <v>22</v>
      </c>
      <c r="J2608" s="98">
        <v>22</v>
      </c>
      <c r="K2608" s="89">
        <f t="shared" si="110"/>
        <v>1</v>
      </c>
      <c r="L2608" s="89">
        <v>14498.1</v>
      </c>
      <c r="M2608" s="89">
        <v>3084.99</v>
      </c>
      <c r="N2608" s="89">
        <v>1855.89</v>
      </c>
      <c r="O2608" s="89">
        <f t="shared" si="111"/>
        <v>19438.98</v>
      </c>
    </row>
    <row r="2609" spans="1:15">
      <c r="A2609" s="74" t="s">
        <v>309</v>
      </c>
      <c r="B2609" s="74" t="s">
        <v>241</v>
      </c>
      <c r="C2609" s="74" t="s">
        <v>242</v>
      </c>
      <c r="D2609" s="74" t="s">
        <v>86</v>
      </c>
      <c r="E2609" s="74" t="s">
        <v>87</v>
      </c>
      <c r="F2609" s="86" t="s">
        <v>243</v>
      </c>
      <c r="G2609" s="74" t="s">
        <v>244</v>
      </c>
      <c r="H2609" s="87">
        <v>44926</v>
      </c>
      <c r="I2609" s="98">
        <v>22</v>
      </c>
      <c r="J2609" s="98">
        <v>22</v>
      </c>
      <c r="K2609" s="89">
        <f t="shared" si="110"/>
        <v>1</v>
      </c>
      <c r="L2609" s="89">
        <v>10889.36</v>
      </c>
      <c r="M2609" s="89">
        <v>3054.42</v>
      </c>
      <c r="N2609" s="89">
        <v>1319.03</v>
      </c>
      <c r="O2609" s="89">
        <f t="shared" si="111"/>
        <v>15262.81</v>
      </c>
    </row>
    <row r="2610" spans="1:15">
      <c r="A2610" s="74" t="s">
        <v>309</v>
      </c>
      <c r="B2610" s="74" t="s">
        <v>245</v>
      </c>
      <c r="C2610" s="74" t="s">
        <v>246</v>
      </c>
      <c r="D2610" s="74" t="s">
        <v>86</v>
      </c>
      <c r="E2610" s="74" t="s">
        <v>87</v>
      </c>
      <c r="F2610" s="86" t="s">
        <v>247</v>
      </c>
      <c r="G2610" s="74" t="s">
        <v>248</v>
      </c>
      <c r="H2610" s="87">
        <v>44926</v>
      </c>
      <c r="I2610" s="98">
        <v>22</v>
      </c>
      <c r="J2610" s="98">
        <v>22</v>
      </c>
      <c r="K2610" s="89">
        <f t="shared" si="110"/>
        <v>1</v>
      </c>
      <c r="L2610" s="89">
        <v>9684.3</v>
      </c>
      <c r="M2610" s="89">
        <v>3267.7</v>
      </c>
      <c r="N2610" s="89">
        <v>1252.74</v>
      </c>
      <c r="O2610" s="89">
        <f t="shared" si="111"/>
        <v>14204.74</v>
      </c>
    </row>
    <row r="2611" spans="1:15">
      <c r="A2611" s="74" t="s">
        <v>309</v>
      </c>
      <c r="B2611" s="74" t="s">
        <v>249</v>
      </c>
      <c r="C2611" s="74" t="s">
        <v>250</v>
      </c>
      <c r="D2611" s="74" t="s">
        <v>86</v>
      </c>
      <c r="E2611" s="74" t="s">
        <v>87</v>
      </c>
      <c r="F2611" s="86" t="s">
        <v>251</v>
      </c>
      <c r="G2611" s="74" t="s">
        <v>252</v>
      </c>
      <c r="H2611" s="87">
        <v>44926</v>
      </c>
      <c r="I2611" s="98">
        <v>22</v>
      </c>
      <c r="J2611" s="98">
        <v>22</v>
      </c>
      <c r="K2611" s="89">
        <f t="shared" si="110"/>
        <v>1</v>
      </c>
      <c r="L2611" s="89">
        <v>8986.53</v>
      </c>
      <c r="M2611" s="89">
        <v>3251.37</v>
      </c>
      <c r="N2611" s="89">
        <v>1123.74</v>
      </c>
      <c r="O2611" s="89">
        <f t="shared" si="111"/>
        <v>13361.64</v>
      </c>
    </row>
    <row r="2612" spans="1:15">
      <c r="A2612" s="74" t="s">
        <v>309</v>
      </c>
      <c r="B2612" s="74" t="s">
        <v>253</v>
      </c>
      <c r="C2612" s="74" t="s">
        <v>254</v>
      </c>
      <c r="D2612" s="74" t="s">
        <v>86</v>
      </c>
      <c r="E2612" s="74" t="s">
        <v>87</v>
      </c>
      <c r="F2612" s="86" t="s">
        <v>255</v>
      </c>
      <c r="G2612" s="74" t="s">
        <v>252</v>
      </c>
      <c r="H2612" s="87">
        <v>44926</v>
      </c>
      <c r="I2612" s="98">
        <v>22</v>
      </c>
      <c r="J2612" s="98">
        <v>22</v>
      </c>
      <c r="K2612" s="89">
        <f t="shared" si="110"/>
        <v>1</v>
      </c>
      <c r="L2612" s="89">
        <v>8414.41</v>
      </c>
      <c r="M2612" s="89">
        <v>3176.18</v>
      </c>
      <c r="N2612" s="89">
        <v>1025.12</v>
      </c>
      <c r="O2612" s="89">
        <f t="shared" si="111"/>
        <v>12615.71</v>
      </c>
    </row>
    <row r="2613" spans="1:15">
      <c r="A2613" s="74" t="s">
        <v>309</v>
      </c>
      <c r="B2613" s="74" t="s">
        <v>256</v>
      </c>
      <c r="C2613" s="74" t="s">
        <v>257</v>
      </c>
      <c r="D2613" s="74" t="s">
        <v>86</v>
      </c>
      <c r="E2613" s="74" t="s">
        <v>87</v>
      </c>
      <c r="F2613" s="86" t="s">
        <v>258</v>
      </c>
      <c r="G2613" s="74" t="s">
        <v>252</v>
      </c>
      <c r="H2613" s="87">
        <v>44926</v>
      </c>
      <c r="I2613" s="98">
        <v>22</v>
      </c>
      <c r="J2613" s="98">
        <v>22</v>
      </c>
      <c r="K2613" s="89">
        <f t="shared" si="110"/>
        <v>1</v>
      </c>
      <c r="L2613" s="89">
        <v>7468.81</v>
      </c>
      <c r="M2613" s="89">
        <v>3208.34</v>
      </c>
      <c r="N2613" s="89">
        <v>983.53</v>
      </c>
      <c r="O2613" s="89">
        <f t="shared" si="111"/>
        <v>11660.68</v>
      </c>
    </row>
    <row r="2614" spans="1:15">
      <c r="A2614" s="74" t="s">
        <v>309</v>
      </c>
      <c r="B2614" s="74" t="s">
        <v>259</v>
      </c>
      <c r="C2614" s="74" t="s">
        <v>260</v>
      </c>
      <c r="D2614" s="74" t="s">
        <v>86</v>
      </c>
      <c r="E2614" s="74" t="s">
        <v>87</v>
      </c>
      <c r="F2614" s="86" t="s">
        <v>261</v>
      </c>
      <c r="G2614" s="74" t="s">
        <v>262</v>
      </c>
      <c r="H2614" s="87">
        <v>44926</v>
      </c>
      <c r="I2614" s="98">
        <v>22</v>
      </c>
      <c r="J2614" s="98">
        <v>22</v>
      </c>
      <c r="K2614" s="89">
        <f t="shared" si="110"/>
        <v>1</v>
      </c>
      <c r="L2614" s="89">
        <v>6768.96</v>
      </c>
      <c r="M2614" s="89">
        <v>3124.19</v>
      </c>
      <c r="N2614" s="89">
        <v>824.06</v>
      </c>
      <c r="O2614" s="89">
        <f t="shared" si="111"/>
        <v>10717.21</v>
      </c>
    </row>
    <row r="2615" spans="1:15">
      <c r="A2615" s="74" t="s">
        <v>309</v>
      </c>
      <c r="B2615" s="74" t="s">
        <v>263</v>
      </c>
      <c r="C2615" s="74" t="s">
        <v>264</v>
      </c>
      <c r="D2615" s="74" t="s">
        <v>86</v>
      </c>
      <c r="E2615" s="74" t="s">
        <v>88</v>
      </c>
      <c r="F2615" s="86" t="s">
        <v>149</v>
      </c>
      <c r="G2615" s="74" t="s">
        <v>265</v>
      </c>
      <c r="H2615" s="87">
        <v>44926</v>
      </c>
      <c r="I2615" s="98">
        <v>22</v>
      </c>
      <c r="J2615" s="98">
        <v>22</v>
      </c>
      <c r="K2615" s="89">
        <f t="shared" si="110"/>
        <v>1</v>
      </c>
      <c r="L2615" s="89">
        <v>13683.51</v>
      </c>
      <c r="M2615" s="89">
        <v>3032.47</v>
      </c>
      <c r="N2615" s="89">
        <v>1764.51</v>
      </c>
      <c r="O2615" s="89">
        <f t="shared" si="111"/>
        <v>18480.49</v>
      </c>
    </row>
    <row r="2616" spans="1:15">
      <c r="A2616" s="74" t="s">
        <v>309</v>
      </c>
      <c r="B2616" s="74" t="s">
        <v>266</v>
      </c>
      <c r="C2616" s="74" t="s">
        <v>267</v>
      </c>
      <c r="D2616" s="74" t="s">
        <v>86</v>
      </c>
      <c r="E2616" s="74" t="s">
        <v>88</v>
      </c>
      <c r="F2616" s="86" t="s">
        <v>243</v>
      </c>
      <c r="G2616" s="74" t="s">
        <v>268</v>
      </c>
      <c r="H2616" s="87">
        <v>44926</v>
      </c>
      <c r="I2616" s="98">
        <v>22</v>
      </c>
      <c r="J2616" s="98">
        <v>22</v>
      </c>
      <c r="K2616" s="89">
        <f t="shared" si="110"/>
        <v>1</v>
      </c>
      <c r="L2616" s="89">
        <v>11400.84</v>
      </c>
      <c r="M2616" s="89">
        <v>3103.6</v>
      </c>
      <c r="N2616" s="89">
        <v>1408.26</v>
      </c>
      <c r="O2616" s="89">
        <f t="shared" si="111"/>
        <v>15912.7</v>
      </c>
    </row>
    <row r="2617" spans="1:15">
      <c r="A2617" s="74" t="s">
        <v>309</v>
      </c>
      <c r="B2617" s="74" t="s">
        <v>269</v>
      </c>
      <c r="C2617" s="74" t="s">
        <v>270</v>
      </c>
      <c r="D2617" s="74" t="s">
        <v>86</v>
      </c>
      <c r="E2617" s="74" t="s">
        <v>88</v>
      </c>
      <c r="F2617" s="86" t="s">
        <v>247</v>
      </c>
      <c r="G2617" s="74" t="s">
        <v>268</v>
      </c>
      <c r="H2617" s="87">
        <v>44926</v>
      </c>
      <c r="I2617" s="98">
        <v>22</v>
      </c>
      <c r="J2617" s="98">
        <v>22</v>
      </c>
      <c r="K2617" s="89">
        <f t="shared" si="110"/>
        <v>1</v>
      </c>
      <c r="L2617" s="89">
        <v>10521.25</v>
      </c>
      <c r="M2617" s="89">
        <v>3155.29</v>
      </c>
      <c r="N2617" s="89">
        <v>1243.23</v>
      </c>
      <c r="O2617" s="89">
        <f t="shared" si="111"/>
        <v>14919.77</v>
      </c>
    </row>
    <row r="2618" spans="1:15">
      <c r="A2618" s="74" t="s">
        <v>309</v>
      </c>
      <c r="B2618" s="74" t="s">
        <v>271</v>
      </c>
      <c r="C2618" s="74" t="s">
        <v>272</v>
      </c>
      <c r="D2618" s="74" t="s">
        <v>86</v>
      </c>
      <c r="E2618" s="74" t="s">
        <v>88</v>
      </c>
      <c r="F2618" s="86" t="s">
        <v>251</v>
      </c>
      <c r="G2618" s="74" t="s">
        <v>268</v>
      </c>
      <c r="H2618" s="87">
        <v>44926</v>
      </c>
      <c r="I2618" s="98">
        <v>22</v>
      </c>
      <c r="J2618" s="98">
        <v>22</v>
      </c>
      <c r="K2618" s="89">
        <f t="shared" si="110"/>
        <v>1</v>
      </c>
      <c r="L2618" s="89">
        <v>9312.27</v>
      </c>
      <c r="M2618" s="89">
        <v>3173.33</v>
      </c>
      <c r="N2618" s="89">
        <v>1152.59</v>
      </c>
      <c r="O2618" s="89">
        <f t="shared" si="111"/>
        <v>13638.19</v>
      </c>
    </row>
    <row r="2619" spans="1:15">
      <c r="A2619" s="74" t="s">
        <v>309</v>
      </c>
      <c r="B2619" s="74" t="s">
        <v>273</v>
      </c>
      <c r="C2619" s="74" t="s">
        <v>274</v>
      </c>
      <c r="D2619" s="74" t="s">
        <v>86</v>
      </c>
      <c r="E2619" s="74" t="s">
        <v>88</v>
      </c>
      <c r="F2619" s="86" t="s">
        <v>255</v>
      </c>
      <c r="G2619" s="74" t="s">
        <v>268</v>
      </c>
      <c r="H2619" s="87">
        <v>44926</v>
      </c>
      <c r="I2619" s="98">
        <v>22</v>
      </c>
      <c r="J2619" s="98">
        <v>22</v>
      </c>
      <c r="K2619" s="89">
        <f t="shared" si="110"/>
        <v>1</v>
      </c>
      <c r="L2619" s="89">
        <v>8235.8</v>
      </c>
      <c r="M2619" s="89">
        <v>3042.73</v>
      </c>
      <c r="N2619" s="89">
        <v>1053.61</v>
      </c>
      <c r="O2619" s="89">
        <f t="shared" si="111"/>
        <v>12332.14</v>
      </c>
    </row>
    <row r="2620" spans="1:15">
      <c r="A2620" s="74" t="s">
        <v>309</v>
      </c>
      <c r="B2620" s="74" t="s">
        <v>275</v>
      </c>
      <c r="C2620" s="74" t="s">
        <v>276</v>
      </c>
      <c r="D2620" s="74" t="s">
        <v>86</v>
      </c>
      <c r="E2620" s="74" t="s">
        <v>88</v>
      </c>
      <c r="F2620" s="86" t="s">
        <v>258</v>
      </c>
      <c r="G2620" s="74" t="s">
        <v>268</v>
      </c>
      <c r="H2620" s="87">
        <v>44926</v>
      </c>
      <c r="I2620" s="98">
        <v>22</v>
      </c>
      <c r="J2620" s="98">
        <v>22</v>
      </c>
      <c r="K2620" s="89">
        <f t="shared" si="110"/>
        <v>1</v>
      </c>
      <c r="L2620" s="89">
        <v>7216.5</v>
      </c>
      <c r="M2620" s="89">
        <v>3025.28</v>
      </c>
      <c r="N2620" s="89">
        <v>949.74</v>
      </c>
      <c r="O2620" s="89">
        <f t="shared" si="111"/>
        <v>11191.52</v>
      </c>
    </row>
    <row r="2621" spans="1:15">
      <c r="A2621" s="74" t="s">
        <v>309</v>
      </c>
      <c r="B2621" s="74" t="s">
        <v>277</v>
      </c>
      <c r="C2621" s="74" t="s">
        <v>278</v>
      </c>
      <c r="D2621" s="74" t="s">
        <v>86</v>
      </c>
      <c r="E2621" s="74" t="s">
        <v>89</v>
      </c>
      <c r="F2621" s="86" t="s">
        <v>279</v>
      </c>
      <c r="G2621" s="74" t="s">
        <v>280</v>
      </c>
      <c r="H2621" s="87">
        <v>44926</v>
      </c>
      <c r="I2621" s="98">
        <v>22</v>
      </c>
      <c r="J2621" s="98">
        <v>22</v>
      </c>
      <c r="K2621" s="89">
        <f t="shared" si="110"/>
        <v>1</v>
      </c>
      <c r="L2621" s="89">
        <v>12141.72</v>
      </c>
      <c r="M2621" s="89">
        <v>3209.94</v>
      </c>
      <c r="N2621" s="89">
        <v>1531.22</v>
      </c>
      <c r="O2621" s="89">
        <f t="shared" si="111"/>
        <v>16882.88</v>
      </c>
    </row>
    <row r="2622" spans="1:15">
      <c r="A2622" s="74" t="s">
        <v>309</v>
      </c>
      <c r="B2622" s="74" t="s">
        <v>281</v>
      </c>
      <c r="C2622" s="74" t="s">
        <v>282</v>
      </c>
      <c r="D2622" s="74" t="s">
        <v>86</v>
      </c>
      <c r="E2622" s="74" t="s">
        <v>89</v>
      </c>
      <c r="F2622" s="86" t="s">
        <v>225</v>
      </c>
      <c r="G2622" s="74" t="s">
        <v>283</v>
      </c>
      <c r="H2622" s="87">
        <v>44926</v>
      </c>
      <c r="I2622" s="98">
        <v>22</v>
      </c>
      <c r="J2622" s="98">
        <v>22</v>
      </c>
      <c r="K2622" s="89">
        <f t="shared" si="110"/>
        <v>1</v>
      </c>
      <c r="L2622" s="89">
        <v>8222.89</v>
      </c>
      <c r="M2622" s="89">
        <v>3123.55</v>
      </c>
      <c r="N2622" s="89">
        <v>1068.08</v>
      </c>
      <c r="O2622" s="89">
        <f t="shared" si="111"/>
        <v>12414.52</v>
      </c>
    </row>
    <row r="2623" spans="1:15">
      <c r="A2623" s="74" t="s">
        <v>309</v>
      </c>
      <c r="B2623" s="74" t="s">
        <v>284</v>
      </c>
      <c r="C2623" s="74" t="s">
        <v>285</v>
      </c>
      <c r="D2623" s="74" t="s">
        <v>86</v>
      </c>
      <c r="E2623" s="74" t="s">
        <v>89</v>
      </c>
      <c r="F2623" s="86" t="s">
        <v>208</v>
      </c>
      <c r="G2623" s="74" t="s">
        <v>283</v>
      </c>
      <c r="H2623" s="87">
        <v>44926</v>
      </c>
      <c r="I2623" s="98">
        <v>22</v>
      </c>
      <c r="J2623" s="98">
        <v>22</v>
      </c>
      <c r="K2623" s="89">
        <f t="shared" si="110"/>
        <v>1</v>
      </c>
      <c r="L2623" s="89">
        <v>7516.04</v>
      </c>
      <c r="M2623" s="89">
        <v>3163.06</v>
      </c>
      <c r="N2623" s="89">
        <v>963.88</v>
      </c>
      <c r="O2623" s="89">
        <f t="shared" si="111"/>
        <v>11642.98</v>
      </c>
    </row>
    <row r="2624" spans="1:15">
      <c r="A2624" s="74" t="s">
        <v>309</v>
      </c>
      <c r="B2624" s="74" t="s">
        <v>286</v>
      </c>
      <c r="C2624" s="74" t="s">
        <v>287</v>
      </c>
      <c r="D2624" s="74" t="s">
        <v>82</v>
      </c>
      <c r="E2624" s="88" t="s">
        <v>85</v>
      </c>
      <c r="F2624" s="86" t="s">
        <v>288</v>
      </c>
      <c r="G2624" s="74" t="s">
        <v>289</v>
      </c>
      <c r="H2624" s="87">
        <v>44926</v>
      </c>
      <c r="I2624" s="98">
        <v>22</v>
      </c>
      <c r="J2624" s="98">
        <v>22</v>
      </c>
      <c r="K2624" s="89">
        <f t="shared" ref="K2624:K2631" si="112">I2624/J2624</f>
        <v>1</v>
      </c>
      <c r="L2624" s="89">
        <v>12891.81</v>
      </c>
      <c r="M2624" s="89">
        <v>3180.68</v>
      </c>
      <c r="N2624" s="89">
        <v>1306.81</v>
      </c>
      <c r="O2624" s="89">
        <f t="shared" si="111"/>
        <v>17379.3</v>
      </c>
    </row>
    <row r="2625" spans="1:15">
      <c r="A2625" s="74" t="s">
        <v>309</v>
      </c>
      <c r="B2625" s="74" t="s">
        <v>290</v>
      </c>
      <c r="C2625" s="74" t="s">
        <v>291</v>
      </c>
      <c r="D2625" s="74" t="s">
        <v>82</v>
      </c>
      <c r="E2625" s="88" t="s">
        <v>85</v>
      </c>
      <c r="F2625" s="86" t="s">
        <v>218</v>
      </c>
      <c r="G2625" s="74" t="s">
        <v>289</v>
      </c>
      <c r="H2625" s="87">
        <v>44926</v>
      </c>
      <c r="I2625" s="98">
        <v>22</v>
      </c>
      <c r="J2625" s="98">
        <v>22</v>
      </c>
      <c r="K2625" s="89">
        <f t="shared" si="112"/>
        <v>1</v>
      </c>
      <c r="L2625" s="89">
        <v>11518.09</v>
      </c>
      <c r="M2625" s="89">
        <v>3233.24</v>
      </c>
      <c r="N2625" s="89">
        <v>1190.17</v>
      </c>
      <c r="O2625" s="89">
        <f t="shared" si="111"/>
        <v>15941.5</v>
      </c>
    </row>
    <row r="2626" spans="1:15">
      <c r="A2626" s="74" t="s">
        <v>309</v>
      </c>
      <c r="B2626" s="74" t="s">
        <v>292</v>
      </c>
      <c r="C2626" s="74" t="s">
        <v>293</v>
      </c>
      <c r="D2626" s="74" t="s">
        <v>82</v>
      </c>
      <c r="E2626" s="88" t="s">
        <v>85</v>
      </c>
      <c r="F2626" s="86" t="s">
        <v>225</v>
      </c>
      <c r="G2626" s="74" t="s">
        <v>289</v>
      </c>
      <c r="H2626" s="87">
        <v>44926</v>
      </c>
      <c r="I2626" s="98">
        <v>22</v>
      </c>
      <c r="J2626" s="98">
        <v>22</v>
      </c>
      <c r="K2626" s="89">
        <f t="shared" si="112"/>
        <v>1</v>
      </c>
      <c r="L2626" s="89">
        <v>10601.84</v>
      </c>
      <c r="M2626" s="89">
        <v>3295.77</v>
      </c>
      <c r="N2626" s="89">
        <v>1086.55</v>
      </c>
      <c r="O2626" s="89">
        <f t="shared" si="111"/>
        <v>14984.16</v>
      </c>
    </row>
    <row r="2627" spans="1:15">
      <c r="A2627" s="74" t="s">
        <v>309</v>
      </c>
      <c r="B2627" s="74" t="s">
        <v>294</v>
      </c>
      <c r="C2627" s="74" t="s">
        <v>295</v>
      </c>
      <c r="D2627" s="74" t="s">
        <v>82</v>
      </c>
      <c r="E2627" s="88" t="s">
        <v>85</v>
      </c>
      <c r="F2627" s="86" t="s">
        <v>208</v>
      </c>
      <c r="G2627" s="74" t="s">
        <v>289</v>
      </c>
      <c r="H2627" s="87">
        <v>44926</v>
      </c>
      <c r="I2627" s="98">
        <v>22</v>
      </c>
      <c r="J2627" s="98">
        <v>22</v>
      </c>
      <c r="K2627" s="89">
        <f t="shared" si="112"/>
        <v>1</v>
      </c>
      <c r="L2627" s="89">
        <v>9695.37</v>
      </c>
      <c r="M2627" s="89">
        <v>3199.47</v>
      </c>
      <c r="N2627" s="89">
        <v>958.66</v>
      </c>
      <c r="O2627" s="89">
        <f t="shared" si="111"/>
        <v>13853.5</v>
      </c>
    </row>
    <row r="2628" spans="1:15">
      <c r="A2628" s="74" t="s">
        <v>309</v>
      </c>
      <c r="B2628" s="74" t="s">
        <v>296</v>
      </c>
      <c r="C2628" s="74" t="s">
        <v>297</v>
      </c>
      <c r="D2628" s="74" t="s">
        <v>82</v>
      </c>
      <c r="E2628" s="88" t="s">
        <v>85</v>
      </c>
      <c r="F2628" s="86" t="s">
        <v>116</v>
      </c>
      <c r="G2628" s="74" t="s">
        <v>289</v>
      </c>
      <c r="H2628" s="87">
        <v>44926</v>
      </c>
      <c r="I2628" s="98">
        <v>22</v>
      </c>
      <c r="J2628" s="98">
        <v>22</v>
      </c>
      <c r="K2628" s="89">
        <f t="shared" si="112"/>
        <v>1</v>
      </c>
      <c r="L2628" s="89">
        <v>8240.42</v>
      </c>
      <c r="M2628" s="89">
        <v>3195.18</v>
      </c>
      <c r="N2628" s="89">
        <v>835.33</v>
      </c>
      <c r="O2628" s="89">
        <f t="shared" si="111"/>
        <v>12270.93</v>
      </c>
    </row>
    <row r="2629" spans="1:15">
      <c r="A2629" s="74" t="s">
        <v>309</v>
      </c>
      <c r="B2629" s="74" t="s">
        <v>298</v>
      </c>
      <c r="C2629" s="74" t="s">
        <v>299</v>
      </c>
      <c r="D2629" s="74" t="s">
        <v>82</v>
      </c>
      <c r="E2629" s="88" t="s">
        <v>85</v>
      </c>
      <c r="F2629" s="86" t="s">
        <v>279</v>
      </c>
      <c r="G2629" s="74" t="s">
        <v>300</v>
      </c>
      <c r="H2629" s="87">
        <v>44926</v>
      </c>
      <c r="I2629" s="98">
        <v>22</v>
      </c>
      <c r="J2629" s="98">
        <v>22</v>
      </c>
      <c r="K2629" s="89">
        <f t="shared" si="112"/>
        <v>1</v>
      </c>
      <c r="L2629" s="89">
        <v>15777.72</v>
      </c>
      <c r="M2629" s="89">
        <v>3041.29</v>
      </c>
      <c r="N2629" s="89">
        <v>1544.3</v>
      </c>
      <c r="O2629" s="89">
        <f t="shared" ref="O2629:O2631" si="113">SUM(L2629:N2629)</f>
        <v>20363.31</v>
      </c>
    </row>
    <row r="2630" spans="1:15">
      <c r="A2630" s="74" t="s">
        <v>309</v>
      </c>
      <c r="B2630" s="74" t="s">
        <v>301</v>
      </c>
      <c r="C2630" s="74" t="s">
        <v>302</v>
      </c>
      <c r="D2630" s="74" t="s">
        <v>82</v>
      </c>
      <c r="E2630" s="88" t="s">
        <v>85</v>
      </c>
      <c r="F2630" s="86" t="s">
        <v>279</v>
      </c>
      <c r="G2630" s="74" t="s">
        <v>303</v>
      </c>
      <c r="H2630" s="87">
        <v>44926</v>
      </c>
      <c r="I2630" s="98">
        <v>22</v>
      </c>
      <c r="J2630" s="98">
        <v>22</v>
      </c>
      <c r="K2630" s="89">
        <f t="shared" si="112"/>
        <v>1</v>
      </c>
      <c r="L2630" s="89">
        <v>16162.92</v>
      </c>
      <c r="M2630" s="89">
        <v>3101.57</v>
      </c>
      <c r="N2630" s="89">
        <v>1570.96</v>
      </c>
      <c r="O2630" s="89">
        <f t="shared" si="113"/>
        <v>20835.45</v>
      </c>
    </row>
    <row r="2631" spans="1:15">
      <c r="A2631" s="74" t="s">
        <v>309</v>
      </c>
      <c r="B2631" s="74" t="s">
        <v>304</v>
      </c>
      <c r="C2631" s="74" t="s">
        <v>305</v>
      </c>
      <c r="D2631" s="74" t="s">
        <v>86</v>
      </c>
      <c r="E2631" s="74" t="s">
        <v>90</v>
      </c>
      <c r="F2631" s="86" t="s">
        <v>306</v>
      </c>
      <c r="G2631" s="74" t="s">
        <v>307</v>
      </c>
      <c r="H2631" s="87">
        <v>44926</v>
      </c>
      <c r="I2631" s="98">
        <v>22</v>
      </c>
      <c r="J2631" s="98">
        <v>22</v>
      </c>
      <c r="K2631" s="89">
        <f t="shared" si="112"/>
        <v>1</v>
      </c>
      <c r="L2631" s="89">
        <v>17119.74</v>
      </c>
      <c r="M2631" s="89">
        <v>3283.84</v>
      </c>
      <c r="N2631" s="89">
        <v>2088.88</v>
      </c>
      <c r="O2631" s="89">
        <f t="shared" si="113"/>
        <v>22492.46</v>
      </c>
    </row>
  </sheetData>
  <sheetProtection algorithmName="SHA-512" hashValue="fbwgG5lw3IzzsAyEy4siXpP4O/ZCEmgsoL0PIvvLMibshLltd7udthT/1XunTo/O+1svdoamAFeAuMa7u5B0fg==" saltValue="9DDMb6i+xyEtVc1zfvPVnQ==" spinCount="100000" sheet="1" formatCells="0" formatColumns="0" formatRows="0" insertRows="0" insertColumns="0" autoFilter="0" objects="1" scenarios="1"/>
  <autoFilter ref="A3:M2631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31"/>
  <sheetViews>
    <sheetView workbookViewId="0">
      <selection activeCell="N15" sqref="N15"/>
    </sheetView>
  </sheetViews>
  <sheetFormatPr defaultColWidth="9" defaultRowHeight="15.6"/>
  <cols>
    <col min="1" max="3" width="8.88888888888889" style="74"/>
    <col min="4" max="5" width="11.6666666666667" style="74" customWidth="1"/>
    <col min="6" max="6" width="8.88888888888889" style="74"/>
    <col min="7" max="7" width="13.8888888888889" style="74" customWidth="1"/>
    <col min="8" max="8" width="14.2222222222222" style="74" customWidth="1"/>
    <col min="9" max="10" width="11.6666666666667" style="90" customWidth="1"/>
    <col min="11" max="11" width="13.1111111111111" style="90" customWidth="1"/>
    <col min="12" max="16384" width="8.88888888888889" style="90"/>
  </cols>
  <sheetData>
    <row r="1" spans="1:11">
      <c r="A1" s="78" t="s">
        <v>100</v>
      </c>
      <c r="B1" s="79"/>
      <c r="C1" s="79"/>
      <c r="D1" s="79"/>
      <c r="E1" s="79"/>
      <c r="F1" s="79"/>
      <c r="G1" s="79"/>
      <c r="H1" s="79"/>
      <c r="I1" s="91"/>
      <c r="J1" s="91"/>
      <c r="K1" s="91"/>
    </row>
    <row r="2" spans="1:11">
      <c r="A2" s="78" t="s">
        <v>101</v>
      </c>
      <c r="B2" s="79"/>
      <c r="C2" s="79"/>
      <c r="D2" s="79"/>
      <c r="E2" s="79"/>
      <c r="F2" s="79"/>
      <c r="G2" s="79"/>
      <c r="H2" s="79"/>
      <c r="I2" s="91"/>
      <c r="J2" s="91"/>
      <c r="K2" s="91"/>
    </row>
    <row r="3" spans="1:11">
      <c r="A3" s="92" t="s">
        <v>102</v>
      </c>
      <c r="B3" s="85" t="s">
        <v>103</v>
      </c>
      <c r="C3" s="85" t="s">
        <v>104</v>
      </c>
      <c r="D3" s="85" t="s">
        <v>105</v>
      </c>
      <c r="E3" s="85" t="s">
        <v>106</v>
      </c>
      <c r="F3" s="85" t="s">
        <v>107</v>
      </c>
      <c r="G3" s="85" t="s">
        <v>108</v>
      </c>
      <c r="H3" s="85" t="s">
        <v>310</v>
      </c>
      <c r="I3" s="85" t="s">
        <v>311</v>
      </c>
      <c r="J3" s="85" t="s">
        <v>312</v>
      </c>
      <c r="K3" s="85" t="s">
        <v>313</v>
      </c>
    </row>
    <row r="4" spans="1:11">
      <c r="A4" s="74" t="s">
        <v>113</v>
      </c>
      <c r="B4" s="74" t="s">
        <v>114</v>
      </c>
      <c r="C4" s="74" t="s">
        <v>115</v>
      </c>
      <c r="D4" s="74" t="s">
        <v>79</v>
      </c>
      <c r="E4" s="74" t="s">
        <v>80</v>
      </c>
      <c r="F4" s="86" t="s">
        <v>116</v>
      </c>
      <c r="G4" s="74" t="s">
        <v>117</v>
      </c>
      <c r="H4" s="87">
        <v>44227</v>
      </c>
      <c r="I4" s="94">
        <v>3164.25</v>
      </c>
      <c r="J4" s="94">
        <v>2373.19</v>
      </c>
      <c r="K4" s="94">
        <v>791.06</v>
      </c>
    </row>
    <row r="5" spans="1:11">
      <c r="A5" s="74" t="s">
        <v>113</v>
      </c>
      <c r="B5" s="74" t="s">
        <v>118</v>
      </c>
      <c r="C5" s="74" t="s">
        <v>119</v>
      </c>
      <c r="D5" s="74" t="s">
        <v>79</v>
      </c>
      <c r="E5" s="74" t="s">
        <v>80</v>
      </c>
      <c r="F5" s="86" t="s">
        <v>120</v>
      </c>
      <c r="G5" s="74" t="s">
        <v>117</v>
      </c>
      <c r="H5" s="87">
        <v>44227</v>
      </c>
      <c r="I5" s="94">
        <v>2874.12</v>
      </c>
      <c r="J5" s="94">
        <v>2155.59</v>
      </c>
      <c r="K5" s="94">
        <v>718.53</v>
      </c>
    </row>
    <row r="6" spans="1:11">
      <c r="A6" s="74" t="s">
        <v>113</v>
      </c>
      <c r="B6" s="74" t="s">
        <v>121</v>
      </c>
      <c r="C6" s="74" t="s">
        <v>122</v>
      </c>
      <c r="D6" s="74" t="s">
        <v>79</v>
      </c>
      <c r="E6" s="74" t="s">
        <v>80</v>
      </c>
      <c r="F6" s="86" t="s">
        <v>123</v>
      </c>
      <c r="G6" s="74" t="s">
        <v>117</v>
      </c>
      <c r="H6" s="87">
        <v>44227</v>
      </c>
      <c r="I6" s="94">
        <v>2481.48</v>
      </c>
      <c r="J6" s="94">
        <v>1861.11</v>
      </c>
      <c r="K6" s="94">
        <v>620.37</v>
      </c>
    </row>
    <row r="7" spans="1:11">
      <c r="A7" s="74" t="s">
        <v>113</v>
      </c>
      <c r="B7" s="74" t="s">
        <v>124</v>
      </c>
      <c r="C7" s="74" t="s">
        <v>125</v>
      </c>
      <c r="D7" s="74" t="s">
        <v>79</v>
      </c>
      <c r="E7" s="74" t="s">
        <v>80</v>
      </c>
      <c r="F7" s="86" t="s">
        <v>116</v>
      </c>
      <c r="G7" s="74" t="s">
        <v>117</v>
      </c>
      <c r="H7" s="87">
        <v>44227</v>
      </c>
      <c r="I7" s="94">
        <v>3217.77</v>
      </c>
      <c r="J7" s="94">
        <v>2413.33</v>
      </c>
      <c r="K7" s="94">
        <v>804.44</v>
      </c>
    </row>
    <row r="8" spans="1:11">
      <c r="A8" s="74" t="s">
        <v>113</v>
      </c>
      <c r="B8" s="74" t="s">
        <v>126</v>
      </c>
      <c r="C8" s="74" t="s">
        <v>127</v>
      </c>
      <c r="D8" s="74" t="s">
        <v>79</v>
      </c>
      <c r="E8" s="74" t="s">
        <v>80</v>
      </c>
      <c r="F8" s="86" t="s">
        <v>120</v>
      </c>
      <c r="G8" s="74" t="s">
        <v>117</v>
      </c>
      <c r="H8" s="87">
        <v>44227</v>
      </c>
      <c r="I8" s="94">
        <v>2977.44</v>
      </c>
      <c r="J8" s="94">
        <v>2233.08</v>
      </c>
      <c r="K8" s="94">
        <v>744.36</v>
      </c>
    </row>
    <row r="9" spans="1:11">
      <c r="A9" s="74" t="s">
        <v>113</v>
      </c>
      <c r="B9" s="74" t="s">
        <v>128</v>
      </c>
      <c r="C9" s="74" t="s">
        <v>129</v>
      </c>
      <c r="D9" s="74" t="s">
        <v>79</v>
      </c>
      <c r="E9" s="74" t="s">
        <v>80</v>
      </c>
      <c r="F9" s="86" t="s">
        <v>123</v>
      </c>
      <c r="G9" s="74" t="s">
        <v>117</v>
      </c>
      <c r="H9" s="87">
        <v>44227</v>
      </c>
      <c r="I9" s="94">
        <v>2464.99</v>
      </c>
      <c r="J9" s="94">
        <v>1848.74</v>
      </c>
      <c r="K9" s="94">
        <v>616.25</v>
      </c>
    </row>
    <row r="10" spans="1:11">
      <c r="A10" s="74" t="s">
        <v>113</v>
      </c>
      <c r="B10" s="74" t="s">
        <v>130</v>
      </c>
      <c r="C10" s="74" t="s">
        <v>131</v>
      </c>
      <c r="D10" s="74" t="s">
        <v>79</v>
      </c>
      <c r="E10" s="74" t="s">
        <v>80</v>
      </c>
      <c r="F10" s="86" t="s">
        <v>116</v>
      </c>
      <c r="G10" s="74" t="s">
        <v>117</v>
      </c>
      <c r="H10" s="87">
        <v>44227</v>
      </c>
      <c r="I10" s="94">
        <v>3421.7</v>
      </c>
      <c r="J10" s="94">
        <v>2566.28</v>
      </c>
      <c r="K10" s="94">
        <v>855.42</v>
      </c>
    </row>
    <row r="11" spans="1:11">
      <c r="A11" s="74" t="s">
        <v>113</v>
      </c>
      <c r="B11" s="74" t="s">
        <v>132</v>
      </c>
      <c r="C11" s="74" t="s">
        <v>133</v>
      </c>
      <c r="D11" s="74" t="s">
        <v>79</v>
      </c>
      <c r="E11" s="74" t="s">
        <v>80</v>
      </c>
      <c r="F11" s="86" t="s">
        <v>120</v>
      </c>
      <c r="G11" s="74" t="s">
        <v>117</v>
      </c>
      <c r="H11" s="87">
        <v>44227</v>
      </c>
      <c r="I11" s="94">
        <v>2768.24</v>
      </c>
      <c r="J11" s="94">
        <v>2076.18</v>
      </c>
      <c r="K11" s="94">
        <v>692.06</v>
      </c>
    </row>
    <row r="12" spans="1:11">
      <c r="A12" s="74" t="s">
        <v>113</v>
      </c>
      <c r="B12" s="74" t="s">
        <v>134</v>
      </c>
      <c r="C12" s="74" t="s">
        <v>135</v>
      </c>
      <c r="D12" s="74" t="s">
        <v>79</v>
      </c>
      <c r="E12" s="74" t="s">
        <v>80</v>
      </c>
      <c r="F12" s="86" t="s">
        <v>123</v>
      </c>
      <c r="G12" s="74" t="s">
        <v>117</v>
      </c>
      <c r="H12" s="87">
        <v>44227</v>
      </c>
      <c r="I12" s="94">
        <v>2510.21</v>
      </c>
      <c r="J12" s="94">
        <v>1882.66</v>
      </c>
      <c r="K12" s="94">
        <v>627.55</v>
      </c>
    </row>
    <row r="13" spans="1:11">
      <c r="A13" s="74" t="s">
        <v>113</v>
      </c>
      <c r="B13" s="74" t="s">
        <v>136</v>
      </c>
      <c r="C13" s="74" t="s">
        <v>137</v>
      </c>
      <c r="D13" s="74" t="s">
        <v>79</v>
      </c>
      <c r="E13" s="74" t="s">
        <v>80</v>
      </c>
      <c r="F13" s="86" t="s">
        <v>116</v>
      </c>
      <c r="G13" s="74" t="s">
        <v>138</v>
      </c>
      <c r="H13" s="87">
        <v>44227</v>
      </c>
      <c r="I13" s="94">
        <v>3332.04</v>
      </c>
      <c r="J13" s="94">
        <v>2499.03</v>
      </c>
      <c r="K13" s="94">
        <v>833.01</v>
      </c>
    </row>
    <row r="14" spans="1:11">
      <c r="A14" s="74" t="s">
        <v>113</v>
      </c>
      <c r="B14" s="74" t="s">
        <v>139</v>
      </c>
      <c r="C14" s="74" t="s">
        <v>140</v>
      </c>
      <c r="D14" s="74" t="s">
        <v>79</v>
      </c>
      <c r="E14" s="74" t="s">
        <v>80</v>
      </c>
      <c r="F14" s="86" t="s">
        <v>120</v>
      </c>
      <c r="G14" s="74" t="s">
        <v>138</v>
      </c>
      <c r="H14" s="87">
        <v>44227</v>
      </c>
      <c r="I14" s="94">
        <v>2776.73</v>
      </c>
      <c r="J14" s="94">
        <v>2082.55</v>
      </c>
      <c r="K14" s="94">
        <v>694.18</v>
      </c>
    </row>
    <row r="15" spans="1:11">
      <c r="A15" s="74" t="s">
        <v>113</v>
      </c>
      <c r="B15" s="74" t="s">
        <v>141</v>
      </c>
      <c r="C15" s="74" t="s">
        <v>142</v>
      </c>
      <c r="D15" s="74" t="s">
        <v>79</v>
      </c>
      <c r="E15" s="74" t="s">
        <v>80</v>
      </c>
      <c r="F15" s="86" t="s">
        <v>123</v>
      </c>
      <c r="G15" s="74" t="s">
        <v>138</v>
      </c>
      <c r="H15" s="87">
        <v>44227</v>
      </c>
      <c r="I15" s="94">
        <v>2556.56</v>
      </c>
      <c r="J15" s="94">
        <v>1917.42</v>
      </c>
      <c r="K15" s="94">
        <v>639.14</v>
      </c>
    </row>
    <row r="16" spans="1:11">
      <c r="A16" s="74" t="s">
        <v>113</v>
      </c>
      <c r="B16" s="74" t="s">
        <v>143</v>
      </c>
      <c r="C16" s="74" t="s">
        <v>144</v>
      </c>
      <c r="D16" s="74" t="s">
        <v>79</v>
      </c>
      <c r="E16" s="74" t="s">
        <v>80</v>
      </c>
      <c r="F16" s="86" t="s">
        <v>145</v>
      </c>
      <c r="G16" s="74" t="s">
        <v>146</v>
      </c>
      <c r="H16" s="87">
        <v>44227</v>
      </c>
      <c r="I16" s="94">
        <v>8054.44</v>
      </c>
      <c r="J16" s="94">
        <v>6040.83</v>
      </c>
      <c r="K16" s="94">
        <v>2013.61</v>
      </c>
    </row>
    <row r="17" spans="1:11">
      <c r="A17" s="74" t="s">
        <v>113</v>
      </c>
      <c r="B17" s="74" t="s">
        <v>147</v>
      </c>
      <c r="C17" s="74" t="s">
        <v>148</v>
      </c>
      <c r="D17" s="74" t="s">
        <v>79</v>
      </c>
      <c r="E17" s="74" t="s">
        <v>80</v>
      </c>
      <c r="F17" s="86" t="s">
        <v>149</v>
      </c>
      <c r="G17" s="74" t="s">
        <v>150</v>
      </c>
      <c r="H17" s="87">
        <v>44227</v>
      </c>
      <c r="I17" s="94">
        <v>7199.82</v>
      </c>
      <c r="J17" s="94">
        <v>5399.87</v>
      </c>
      <c r="K17" s="94">
        <v>1799.95</v>
      </c>
    </row>
    <row r="18" spans="1:11">
      <c r="A18" s="74" t="s">
        <v>113</v>
      </c>
      <c r="B18" s="74" t="s">
        <v>151</v>
      </c>
      <c r="C18" s="74" t="s">
        <v>152</v>
      </c>
      <c r="D18" s="74" t="s">
        <v>79</v>
      </c>
      <c r="E18" s="74" t="s">
        <v>81</v>
      </c>
      <c r="F18" s="86" t="s">
        <v>123</v>
      </c>
      <c r="G18" s="74" t="s">
        <v>153</v>
      </c>
      <c r="H18" s="87">
        <v>44227</v>
      </c>
      <c r="I18" s="94">
        <v>2432.95</v>
      </c>
      <c r="J18" s="94">
        <v>1824.71</v>
      </c>
      <c r="K18" s="94">
        <v>608.24</v>
      </c>
    </row>
    <row r="19" spans="1:11">
      <c r="A19" s="74" t="s">
        <v>113</v>
      </c>
      <c r="B19" s="74" t="s">
        <v>154</v>
      </c>
      <c r="C19" s="74" t="s">
        <v>155</v>
      </c>
      <c r="D19" s="74" t="s">
        <v>79</v>
      </c>
      <c r="E19" s="74" t="s">
        <v>81</v>
      </c>
      <c r="F19" s="86" t="s">
        <v>156</v>
      </c>
      <c r="G19" s="74" t="s">
        <v>157</v>
      </c>
      <c r="H19" s="87">
        <v>44227</v>
      </c>
      <c r="I19" s="94">
        <v>2059.87</v>
      </c>
      <c r="J19" s="94">
        <v>1544.9</v>
      </c>
      <c r="K19" s="94">
        <v>514.97</v>
      </c>
    </row>
    <row r="20" spans="1:11">
      <c r="A20" s="74" t="s">
        <v>113</v>
      </c>
      <c r="B20" s="74" t="s">
        <v>158</v>
      </c>
      <c r="C20" s="74" t="s">
        <v>159</v>
      </c>
      <c r="D20" s="74" t="s">
        <v>79</v>
      </c>
      <c r="E20" s="74" t="s">
        <v>81</v>
      </c>
      <c r="F20" s="86" t="s">
        <v>160</v>
      </c>
      <c r="G20" s="74" t="s">
        <v>161</v>
      </c>
      <c r="H20" s="87">
        <v>44227</v>
      </c>
      <c r="I20" s="94">
        <v>1576.64</v>
      </c>
      <c r="J20" s="94">
        <v>1182.48</v>
      </c>
      <c r="K20" s="94">
        <v>394.16</v>
      </c>
    </row>
    <row r="21" spans="1:11">
      <c r="A21" s="74" t="s">
        <v>113</v>
      </c>
      <c r="B21" s="74" t="s">
        <v>162</v>
      </c>
      <c r="C21" s="74" t="s">
        <v>163</v>
      </c>
      <c r="D21" s="74" t="s">
        <v>79</v>
      </c>
      <c r="E21" s="74" t="s">
        <v>81</v>
      </c>
      <c r="F21" s="86" t="s">
        <v>123</v>
      </c>
      <c r="G21" s="74" t="s">
        <v>153</v>
      </c>
      <c r="H21" s="87">
        <v>44227</v>
      </c>
      <c r="I21" s="94">
        <v>2494.76</v>
      </c>
      <c r="J21" s="94">
        <v>1871.07</v>
      </c>
      <c r="K21" s="94">
        <v>623.69</v>
      </c>
    </row>
    <row r="22" spans="1:11">
      <c r="A22" s="74" t="s">
        <v>113</v>
      </c>
      <c r="B22" s="74" t="s">
        <v>164</v>
      </c>
      <c r="C22" s="74" t="s">
        <v>165</v>
      </c>
      <c r="D22" s="74" t="s">
        <v>79</v>
      </c>
      <c r="E22" s="74" t="s">
        <v>81</v>
      </c>
      <c r="F22" s="86" t="s">
        <v>156</v>
      </c>
      <c r="G22" s="74" t="s">
        <v>157</v>
      </c>
      <c r="H22" s="87">
        <v>44227</v>
      </c>
      <c r="I22" s="94">
        <v>2016.86</v>
      </c>
      <c r="J22" s="94">
        <v>1512.65</v>
      </c>
      <c r="K22" s="94">
        <v>504.21</v>
      </c>
    </row>
    <row r="23" spans="1:11">
      <c r="A23" s="74" t="s">
        <v>113</v>
      </c>
      <c r="B23" s="74" t="s">
        <v>166</v>
      </c>
      <c r="C23" s="74" t="s">
        <v>167</v>
      </c>
      <c r="D23" s="74" t="s">
        <v>79</v>
      </c>
      <c r="E23" s="74" t="s">
        <v>81</v>
      </c>
      <c r="F23" s="86" t="s">
        <v>160</v>
      </c>
      <c r="G23" s="74" t="s">
        <v>161</v>
      </c>
      <c r="H23" s="87">
        <v>44227</v>
      </c>
      <c r="I23" s="94">
        <v>1643.44</v>
      </c>
      <c r="J23" s="94">
        <v>1232.58</v>
      </c>
      <c r="K23" s="94">
        <v>410.86</v>
      </c>
    </row>
    <row r="24" spans="1:11">
      <c r="A24" s="74" t="s">
        <v>113</v>
      </c>
      <c r="B24" s="74" t="s">
        <v>168</v>
      </c>
      <c r="C24" s="74" t="s">
        <v>169</v>
      </c>
      <c r="D24" s="74" t="s">
        <v>79</v>
      </c>
      <c r="E24" s="74" t="s">
        <v>81</v>
      </c>
      <c r="F24" s="86" t="s">
        <v>123</v>
      </c>
      <c r="G24" s="74" t="s">
        <v>153</v>
      </c>
      <c r="H24" s="87">
        <v>44227</v>
      </c>
      <c r="I24" s="94">
        <v>2375.68</v>
      </c>
      <c r="J24" s="94">
        <v>1781.76</v>
      </c>
      <c r="K24" s="94">
        <v>593.92</v>
      </c>
    </row>
    <row r="25" spans="1:11">
      <c r="A25" s="74" t="s">
        <v>113</v>
      </c>
      <c r="B25" s="74" t="s">
        <v>170</v>
      </c>
      <c r="C25" s="74" t="s">
        <v>171</v>
      </c>
      <c r="D25" s="74" t="s">
        <v>79</v>
      </c>
      <c r="E25" s="74" t="s">
        <v>81</v>
      </c>
      <c r="F25" s="86" t="s">
        <v>156</v>
      </c>
      <c r="G25" s="74" t="s">
        <v>157</v>
      </c>
      <c r="H25" s="87">
        <v>44227</v>
      </c>
      <c r="I25" s="94">
        <v>2123.58</v>
      </c>
      <c r="J25" s="94">
        <v>1592.69</v>
      </c>
      <c r="K25" s="94">
        <v>530.89</v>
      </c>
    </row>
    <row r="26" spans="1:11">
      <c r="A26" s="74" t="s">
        <v>113</v>
      </c>
      <c r="B26" s="74" t="s">
        <v>172</v>
      </c>
      <c r="C26" s="74" t="s">
        <v>173</v>
      </c>
      <c r="D26" s="74" t="s">
        <v>79</v>
      </c>
      <c r="E26" s="74" t="s">
        <v>81</v>
      </c>
      <c r="F26" s="86" t="s">
        <v>160</v>
      </c>
      <c r="G26" s="74" t="s">
        <v>161</v>
      </c>
      <c r="H26" s="87">
        <v>44227</v>
      </c>
      <c r="I26" s="94">
        <v>1633.07</v>
      </c>
      <c r="J26" s="94">
        <v>1224.8</v>
      </c>
      <c r="K26" s="94">
        <v>408.27</v>
      </c>
    </row>
    <row r="27" spans="1:11">
      <c r="A27" s="74" t="s">
        <v>113</v>
      </c>
      <c r="B27" s="74" t="s">
        <v>174</v>
      </c>
      <c r="C27" s="74" t="s">
        <v>175</v>
      </c>
      <c r="D27" s="74" t="s">
        <v>79</v>
      </c>
      <c r="E27" s="74" t="s">
        <v>81</v>
      </c>
      <c r="F27" s="86" t="s">
        <v>176</v>
      </c>
      <c r="G27" s="74" t="s">
        <v>177</v>
      </c>
      <c r="H27" s="87">
        <v>44227</v>
      </c>
      <c r="I27" s="94">
        <v>1210.3</v>
      </c>
      <c r="J27" s="94">
        <v>907.73</v>
      </c>
      <c r="K27" s="94">
        <v>302.57</v>
      </c>
    </row>
    <row r="28" spans="1:11">
      <c r="A28" s="74" t="s">
        <v>113</v>
      </c>
      <c r="B28" s="74" t="s">
        <v>178</v>
      </c>
      <c r="C28" s="74" t="s">
        <v>179</v>
      </c>
      <c r="D28" s="74" t="s">
        <v>79</v>
      </c>
      <c r="E28" s="74" t="s">
        <v>81</v>
      </c>
      <c r="F28" s="86" t="s">
        <v>180</v>
      </c>
      <c r="G28" s="74" t="s">
        <v>177</v>
      </c>
      <c r="H28" s="87">
        <v>44227</v>
      </c>
      <c r="I28" s="94">
        <v>805.86</v>
      </c>
      <c r="J28" s="94">
        <v>604.4</v>
      </c>
      <c r="K28" s="94">
        <v>201.46</v>
      </c>
    </row>
    <row r="29" spans="1:11">
      <c r="A29" s="74" t="s">
        <v>113</v>
      </c>
      <c r="B29" s="74" t="s">
        <v>181</v>
      </c>
      <c r="C29" s="74" t="s">
        <v>182</v>
      </c>
      <c r="D29" s="74" t="s">
        <v>79</v>
      </c>
      <c r="E29" s="74" t="s">
        <v>81</v>
      </c>
      <c r="F29" s="86" t="s">
        <v>183</v>
      </c>
      <c r="G29" s="74" t="s">
        <v>177</v>
      </c>
      <c r="H29" s="87">
        <v>44227</v>
      </c>
      <c r="I29" s="94">
        <v>416.37</v>
      </c>
      <c r="J29" s="94">
        <v>312.28</v>
      </c>
      <c r="K29" s="94">
        <v>104.09</v>
      </c>
    </row>
    <row r="30" spans="1:11">
      <c r="A30" s="74" t="s">
        <v>113</v>
      </c>
      <c r="B30" s="74" t="s">
        <v>184</v>
      </c>
      <c r="C30" s="74" t="s">
        <v>185</v>
      </c>
      <c r="D30" s="74" t="s">
        <v>79</v>
      </c>
      <c r="E30" s="74" t="s">
        <v>81</v>
      </c>
      <c r="F30" s="86" t="s">
        <v>176</v>
      </c>
      <c r="G30" s="74" t="s">
        <v>177</v>
      </c>
      <c r="H30" s="87">
        <v>44227</v>
      </c>
      <c r="I30" s="94">
        <v>1225.21</v>
      </c>
      <c r="J30" s="94">
        <v>918.91</v>
      </c>
      <c r="K30" s="94">
        <v>306.3</v>
      </c>
    </row>
    <row r="31" spans="1:11">
      <c r="A31" s="74" t="s">
        <v>113</v>
      </c>
      <c r="B31" s="74" t="s">
        <v>186</v>
      </c>
      <c r="C31" s="74" t="s">
        <v>187</v>
      </c>
      <c r="D31" s="74" t="s">
        <v>79</v>
      </c>
      <c r="E31" s="74" t="s">
        <v>81</v>
      </c>
      <c r="F31" s="86" t="s">
        <v>180</v>
      </c>
      <c r="G31" s="74" t="s">
        <v>177</v>
      </c>
      <c r="H31" s="87">
        <v>44227</v>
      </c>
      <c r="I31" s="94">
        <v>817.51</v>
      </c>
      <c r="J31" s="94">
        <v>613.13</v>
      </c>
      <c r="K31" s="94">
        <v>204.38</v>
      </c>
    </row>
    <row r="32" spans="1:11">
      <c r="A32" s="74" t="s">
        <v>113</v>
      </c>
      <c r="B32" s="74" t="s">
        <v>188</v>
      </c>
      <c r="C32" s="74" t="s">
        <v>189</v>
      </c>
      <c r="D32" s="74" t="s">
        <v>79</v>
      </c>
      <c r="E32" s="74" t="s">
        <v>81</v>
      </c>
      <c r="F32" s="86" t="s">
        <v>183</v>
      </c>
      <c r="G32" s="74" t="s">
        <v>177</v>
      </c>
      <c r="H32" s="87">
        <v>44227</v>
      </c>
      <c r="I32" s="94">
        <v>426.89</v>
      </c>
      <c r="J32" s="94">
        <v>320.17</v>
      </c>
      <c r="K32" s="94">
        <v>106.72</v>
      </c>
    </row>
    <row r="33" spans="1:11">
      <c r="A33" s="74" t="s">
        <v>113</v>
      </c>
      <c r="B33" s="74" t="s">
        <v>190</v>
      </c>
      <c r="C33" s="74" t="s">
        <v>191</v>
      </c>
      <c r="D33" s="74" t="s">
        <v>79</v>
      </c>
      <c r="E33" s="74" t="s">
        <v>81</v>
      </c>
      <c r="F33" s="86" t="s">
        <v>176</v>
      </c>
      <c r="G33" s="74" t="s">
        <v>177</v>
      </c>
      <c r="H33" s="87">
        <v>44227</v>
      </c>
      <c r="I33" s="94">
        <v>1198.89</v>
      </c>
      <c r="J33" s="94">
        <v>899.17</v>
      </c>
      <c r="K33" s="94">
        <v>299.72</v>
      </c>
    </row>
    <row r="34" spans="1:11">
      <c r="A34" s="74" t="s">
        <v>113</v>
      </c>
      <c r="B34" s="74" t="s">
        <v>192</v>
      </c>
      <c r="C34" s="74" t="s">
        <v>193</v>
      </c>
      <c r="D34" s="74" t="s">
        <v>79</v>
      </c>
      <c r="E34" s="74" t="s">
        <v>81</v>
      </c>
      <c r="F34" s="86" t="s">
        <v>180</v>
      </c>
      <c r="G34" s="74" t="s">
        <v>177</v>
      </c>
      <c r="H34" s="87">
        <v>44227</v>
      </c>
      <c r="I34" s="94">
        <v>806.67</v>
      </c>
      <c r="J34" s="94">
        <v>605</v>
      </c>
      <c r="K34" s="94">
        <v>201.67</v>
      </c>
    </row>
    <row r="35" spans="1:11">
      <c r="A35" s="74" t="s">
        <v>113</v>
      </c>
      <c r="B35" s="74" t="s">
        <v>194</v>
      </c>
      <c r="C35" s="74" t="s">
        <v>195</v>
      </c>
      <c r="D35" s="74" t="s">
        <v>79</v>
      </c>
      <c r="E35" s="74" t="s">
        <v>81</v>
      </c>
      <c r="F35" s="86" t="s">
        <v>183</v>
      </c>
      <c r="G35" s="74" t="s">
        <v>177</v>
      </c>
      <c r="H35" s="87">
        <v>44227</v>
      </c>
      <c r="I35" s="94">
        <v>422.57</v>
      </c>
      <c r="J35" s="94">
        <v>316.93</v>
      </c>
      <c r="K35" s="94">
        <v>105.64</v>
      </c>
    </row>
    <row r="36" spans="1:11">
      <c r="A36" s="74" t="s">
        <v>113</v>
      </c>
      <c r="B36" s="74" t="s">
        <v>196</v>
      </c>
      <c r="C36" s="74" t="s">
        <v>197</v>
      </c>
      <c r="D36" s="74" t="s">
        <v>79</v>
      </c>
      <c r="E36" s="74" t="s">
        <v>81</v>
      </c>
      <c r="F36" s="86" t="s">
        <v>176</v>
      </c>
      <c r="G36" s="74" t="s">
        <v>177</v>
      </c>
      <c r="H36" s="87">
        <v>44227</v>
      </c>
      <c r="I36" s="94">
        <v>1280.22</v>
      </c>
      <c r="J36" s="94">
        <v>960.17</v>
      </c>
      <c r="K36" s="94">
        <v>320.05</v>
      </c>
    </row>
    <row r="37" spans="1:11">
      <c r="A37" s="74" t="s">
        <v>113</v>
      </c>
      <c r="B37" s="74" t="s">
        <v>198</v>
      </c>
      <c r="C37" s="74" t="s">
        <v>199</v>
      </c>
      <c r="D37" s="74" t="s">
        <v>79</v>
      </c>
      <c r="E37" s="74" t="s">
        <v>81</v>
      </c>
      <c r="F37" s="86" t="s">
        <v>180</v>
      </c>
      <c r="G37" s="74" t="s">
        <v>177</v>
      </c>
      <c r="H37" s="87">
        <v>44227</v>
      </c>
      <c r="I37" s="94">
        <v>824.8</v>
      </c>
      <c r="J37" s="94">
        <v>618.6</v>
      </c>
      <c r="K37" s="94">
        <v>206.2</v>
      </c>
    </row>
    <row r="38" spans="1:11">
      <c r="A38" s="74" t="s">
        <v>113</v>
      </c>
      <c r="B38" s="74" t="s">
        <v>200</v>
      </c>
      <c r="C38" s="74" t="s">
        <v>201</v>
      </c>
      <c r="D38" s="74" t="s">
        <v>79</v>
      </c>
      <c r="E38" s="74" t="s">
        <v>81</v>
      </c>
      <c r="F38" s="86" t="s">
        <v>183</v>
      </c>
      <c r="G38" s="74" t="s">
        <v>177</v>
      </c>
      <c r="H38" s="87">
        <v>44227</v>
      </c>
      <c r="I38" s="94">
        <v>402.43</v>
      </c>
      <c r="J38" s="94">
        <v>301.82</v>
      </c>
      <c r="K38" s="94">
        <v>100.61</v>
      </c>
    </row>
    <row r="39" spans="1:11">
      <c r="A39" s="74" t="s">
        <v>113</v>
      </c>
      <c r="B39" s="74" t="s">
        <v>202</v>
      </c>
      <c r="C39" s="74" t="s">
        <v>203</v>
      </c>
      <c r="D39" s="74" t="s">
        <v>79</v>
      </c>
      <c r="E39" s="74" t="s">
        <v>81</v>
      </c>
      <c r="F39" s="86" t="s">
        <v>204</v>
      </c>
      <c r="G39" s="74" t="s">
        <v>205</v>
      </c>
      <c r="H39" s="87">
        <v>44227</v>
      </c>
      <c r="I39" s="94">
        <v>7384.95</v>
      </c>
      <c r="J39" s="94">
        <v>5538.71</v>
      </c>
      <c r="K39" s="94">
        <v>1846.24</v>
      </c>
    </row>
    <row r="40" spans="1:11">
      <c r="A40" s="74" t="s">
        <v>113</v>
      </c>
      <c r="B40" s="74" t="s">
        <v>206</v>
      </c>
      <c r="C40" s="74" t="s">
        <v>207</v>
      </c>
      <c r="D40" s="88" t="s">
        <v>82</v>
      </c>
      <c r="E40" s="88" t="s">
        <v>84</v>
      </c>
      <c r="F40" s="86" t="s">
        <v>208</v>
      </c>
      <c r="G40" s="74" t="s">
        <v>209</v>
      </c>
      <c r="H40" s="87">
        <v>44227</v>
      </c>
      <c r="I40" s="94">
        <v>3528.94</v>
      </c>
      <c r="J40" s="94">
        <v>2646.71</v>
      </c>
      <c r="K40" s="94">
        <v>882.23</v>
      </c>
    </row>
    <row r="41" spans="1:11">
      <c r="A41" s="74" t="s">
        <v>113</v>
      </c>
      <c r="B41" s="74" t="s">
        <v>210</v>
      </c>
      <c r="C41" s="74" t="s">
        <v>211</v>
      </c>
      <c r="D41" s="88" t="s">
        <v>82</v>
      </c>
      <c r="E41" s="88" t="s">
        <v>84</v>
      </c>
      <c r="F41" s="86" t="s">
        <v>116</v>
      </c>
      <c r="G41" s="74" t="s">
        <v>209</v>
      </c>
      <c r="H41" s="87">
        <v>44227</v>
      </c>
      <c r="I41" s="94">
        <v>3125.13</v>
      </c>
      <c r="J41" s="94">
        <v>2343.85</v>
      </c>
      <c r="K41" s="94">
        <v>781.28</v>
      </c>
    </row>
    <row r="42" spans="1:11">
      <c r="A42" s="74" t="s">
        <v>113</v>
      </c>
      <c r="B42" s="74" t="s">
        <v>212</v>
      </c>
      <c r="C42" s="74" t="s">
        <v>213</v>
      </c>
      <c r="D42" s="88" t="s">
        <v>82</v>
      </c>
      <c r="E42" s="88" t="s">
        <v>84</v>
      </c>
      <c r="F42" s="86" t="s">
        <v>208</v>
      </c>
      <c r="G42" s="74" t="s">
        <v>209</v>
      </c>
      <c r="H42" s="87">
        <v>44227</v>
      </c>
      <c r="I42" s="94">
        <v>3688.76</v>
      </c>
      <c r="J42" s="94">
        <v>2766.57</v>
      </c>
      <c r="K42" s="94">
        <v>922.19</v>
      </c>
    </row>
    <row r="43" spans="1:11">
      <c r="A43" s="74" t="s">
        <v>113</v>
      </c>
      <c r="B43" s="74" t="s">
        <v>214</v>
      </c>
      <c r="C43" s="74" t="s">
        <v>215</v>
      </c>
      <c r="D43" s="88" t="s">
        <v>82</v>
      </c>
      <c r="E43" s="88" t="s">
        <v>84</v>
      </c>
      <c r="F43" s="86" t="s">
        <v>116</v>
      </c>
      <c r="G43" s="74" t="s">
        <v>209</v>
      </c>
      <c r="H43" s="87">
        <v>44227</v>
      </c>
      <c r="I43" s="94">
        <v>3322.54</v>
      </c>
      <c r="J43" s="94">
        <v>2491.91</v>
      </c>
      <c r="K43" s="94">
        <v>830.63</v>
      </c>
    </row>
    <row r="44" spans="1:11">
      <c r="A44" s="74" t="s">
        <v>113</v>
      </c>
      <c r="B44" s="74" t="s">
        <v>216</v>
      </c>
      <c r="C44" s="74" t="s">
        <v>217</v>
      </c>
      <c r="D44" s="88" t="s">
        <v>82</v>
      </c>
      <c r="E44" s="88" t="s">
        <v>84</v>
      </c>
      <c r="F44" s="86" t="s">
        <v>218</v>
      </c>
      <c r="G44" s="74" t="s">
        <v>219</v>
      </c>
      <c r="H44" s="87">
        <v>44227</v>
      </c>
      <c r="I44" s="94">
        <v>4455.28</v>
      </c>
      <c r="J44" s="94">
        <v>3341.46</v>
      </c>
      <c r="K44" s="94">
        <v>1113.82</v>
      </c>
    </row>
    <row r="45" spans="1:11">
      <c r="A45" s="74" t="s">
        <v>113</v>
      </c>
      <c r="B45" s="74" t="s">
        <v>220</v>
      </c>
      <c r="C45" s="74" t="s">
        <v>221</v>
      </c>
      <c r="D45" s="88" t="s">
        <v>82</v>
      </c>
      <c r="E45" s="74" t="s">
        <v>83</v>
      </c>
      <c r="F45" s="86" t="s">
        <v>218</v>
      </c>
      <c r="G45" s="74" t="s">
        <v>222</v>
      </c>
      <c r="H45" s="87">
        <v>44227</v>
      </c>
      <c r="I45" s="94">
        <v>4543.76</v>
      </c>
      <c r="J45" s="94">
        <v>3407.82</v>
      </c>
      <c r="K45" s="94">
        <v>1135.94</v>
      </c>
    </row>
    <row r="46" spans="1:11">
      <c r="A46" s="74" t="s">
        <v>113</v>
      </c>
      <c r="B46" s="74" t="s">
        <v>223</v>
      </c>
      <c r="C46" s="74" t="s">
        <v>224</v>
      </c>
      <c r="D46" s="88" t="s">
        <v>82</v>
      </c>
      <c r="E46" s="74" t="s">
        <v>83</v>
      </c>
      <c r="F46" s="86" t="s">
        <v>225</v>
      </c>
      <c r="G46" s="74" t="s">
        <v>209</v>
      </c>
      <c r="H46" s="87">
        <v>44227</v>
      </c>
      <c r="I46" s="94">
        <v>4266.99</v>
      </c>
      <c r="J46" s="94">
        <v>3200.24</v>
      </c>
      <c r="K46" s="94">
        <v>1066.75</v>
      </c>
    </row>
    <row r="47" spans="1:11">
      <c r="A47" s="74" t="s">
        <v>113</v>
      </c>
      <c r="B47" s="74" t="s">
        <v>226</v>
      </c>
      <c r="C47" s="74" t="s">
        <v>227</v>
      </c>
      <c r="D47" s="88" t="s">
        <v>82</v>
      </c>
      <c r="E47" s="74" t="s">
        <v>83</v>
      </c>
      <c r="F47" s="86" t="s">
        <v>208</v>
      </c>
      <c r="G47" s="74" t="s">
        <v>209</v>
      </c>
      <c r="H47" s="87">
        <v>44227</v>
      </c>
      <c r="I47" s="94">
        <v>3708.83</v>
      </c>
      <c r="J47" s="94">
        <v>2781.62</v>
      </c>
      <c r="K47" s="94">
        <v>927.21</v>
      </c>
    </row>
    <row r="48" spans="1:11">
      <c r="A48" s="74" t="s">
        <v>113</v>
      </c>
      <c r="B48" s="74" t="s">
        <v>228</v>
      </c>
      <c r="C48" s="74" t="s">
        <v>229</v>
      </c>
      <c r="D48" s="88" t="s">
        <v>82</v>
      </c>
      <c r="E48" s="74" t="s">
        <v>83</v>
      </c>
      <c r="F48" s="86" t="s">
        <v>116</v>
      </c>
      <c r="G48" s="74" t="s">
        <v>209</v>
      </c>
      <c r="H48" s="87">
        <v>44227</v>
      </c>
      <c r="I48" s="94">
        <v>3426.57</v>
      </c>
      <c r="J48" s="94">
        <v>2569.93</v>
      </c>
      <c r="K48" s="94">
        <v>856.64</v>
      </c>
    </row>
    <row r="49" spans="1:11">
      <c r="A49" s="74" t="s">
        <v>113</v>
      </c>
      <c r="B49" s="74" t="s">
        <v>230</v>
      </c>
      <c r="C49" s="74" t="s">
        <v>231</v>
      </c>
      <c r="D49" s="88" t="s">
        <v>82</v>
      </c>
      <c r="E49" s="74" t="s">
        <v>83</v>
      </c>
      <c r="F49" s="86" t="s">
        <v>120</v>
      </c>
      <c r="G49" s="74" t="s">
        <v>209</v>
      </c>
      <c r="H49" s="87">
        <v>44227</v>
      </c>
      <c r="I49" s="94">
        <v>2743.18</v>
      </c>
      <c r="J49" s="94">
        <v>2057.39</v>
      </c>
      <c r="K49" s="94">
        <v>685.79</v>
      </c>
    </row>
    <row r="50" spans="1:11">
      <c r="A50" s="74" t="s">
        <v>113</v>
      </c>
      <c r="B50" s="74" t="s">
        <v>232</v>
      </c>
      <c r="C50" s="74" t="s">
        <v>233</v>
      </c>
      <c r="D50" s="88" t="s">
        <v>82</v>
      </c>
      <c r="E50" s="74" t="s">
        <v>83</v>
      </c>
      <c r="F50" s="86" t="s">
        <v>123</v>
      </c>
      <c r="G50" s="74" t="s">
        <v>209</v>
      </c>
      <c r="H50" s="87">
        <v>44227</v>
      </c>
      <c r="I50" s="94">
        <v>2465.82</v>
      </c>
      <c r="J50" s="94">
        <v>1849.37</v>
      </c>
      <c r="K50" s="94">
        <v>616.45</v>
      </c>
    </row>
    <row r="51" spans="1:11">
      <c r="A51" s="74" t="s">
        <v>113</v>
      </c>
      <c r="B51" s="74" t="s">
        <v>234</v>
      </c>
      <c r="C51" s="74" t="s">
        <v>235</v>
      </c>
      <c r="D51" s="88" t="s">
        <v>82</v>
      </c>
      <c r="E51" s="74" t="s">
        <v>83</v>
      </c>
      <c r="F51" s="86" t="s">
        <v>116</v>
      </c>
      <c r="G51" s="74" t="s">
        <v>209</v>
      </c>
      <c r="H51" s="87">
        <v>44227</v>
      </c>
      <c r="I51" s="94">
        <v>3160.76</v>
      </c>
      <c r="J51" s="94">
        <v>2370.57</v>
      </c>
      <c r="K51" s="94">
        <v>790.19</v>
      </c>
    </row>
    <row r="52" spans="1:11">
      <c r="A52" s="74" t="s">
        <v>113</v>
      </c>
      <c r="B52" s="74" t="s">
        <v>236</v>
      </c>
      <c r="C52" s="74" t="s">
        <v>237</v>
      </c>
      <c r="D52" s="88" t="s">
        <v>82</v>
      </c>
      <c r="E52" s="74" t="s">
        <v>83</v>
      </c>
      <c r="F52" s="86" t="s">
        <v>120</v>
      </c>
      <c r="G52" s="74" t="s">
        <v>209</v>
      </c>
      <c r="H52" s="87">
        <v>44227</v>
      </c>
      <c r="I52" s="94">
        <v>2767.94</v>
      </c>
      <c r="J52" s="94">
        <v>2075.96</v>
      </c>
      <c r="K52" s="94">
        <v>691.98</v>
      </c>
    </row>
    <row r="53" spans="1:11">
      <c r="A53" s="74" t="s">
        <v>113</v>
      </c>
      <c r="B53" s="74" t="s">
        <v>238</v>
      </c>
      <c r="C53" s="74" t="s">
        <v>239</v>
      </c>
      <c r="D53" s="74" t="s">
        <v>86</v>
      </c>
      <c r="E53" s="74" t="s">
        <v>87</v>
      </c>
      <c r="F53" s="86" t="s">
        <v>204</v>
      </c>
      <c r="G53" s="74" t="s">
        <v>240</v>
      </c>
      <c r="H53" s="87">
        <v>44227</v>
      </c>
      <c r="I53" s="94">
        <v>6014.86</v>
      </c>
      <c r="J53" s="94">
        <v>4511.15</v>
      </c>
      <c r="K53" s="94">
        <v>1503.71</v>
      </c>
    </row>
    <row r="54" spans="1:11">
      <c r="A54" s="74" t="s">
        <v>113</v>
      </c>
      <c r="B54" s="74" t="s">
        <v>241</v>
      </c>
      <c r="C54" s="74" t="s">
        <v>242</v>
      </c>
      <c r="D54" s="74" t="s">
        <v>86</v>
      </c>
      <c r="E54" s="74" t="s">
        <v>87</v>
      </c>
      <c r="F54" s="86" t="s">
        <v>243</v>
      </c>
      <c r="G54" s="74" t="s">
        <v>244</v>
      </c>
      <c r="H54" s="87">
        <v>44227</v>
      </c>
      <c r="I54" s="94">
        <v>4064.49</v>
      </c>
      <c r="J54" s="94">
        <v>3048.37</v>
      </c>
      <c r="K54" s="94">
        <v>1016.12</v>
      </c>
    </row>
    <row r="55" spans="1:11">
      <c r="A55" s="74" t="s">
        <v>113</v>
      </c>
      <c r="B55" s="74" t="s">
        <v>245</v>
      </c>
      <c r="C55" s="74" t="s">
        <v>246</v>
      </c>
      <c r="D55" s="74" t="s">
        <v>86</v>
      </c>
      <c r="E55" s="74" t="s">
        <v>87</v>
      </c>
      <c r="F55" s="86" t="s">
        <v>247</v>
      </c>
      <c r="G55" s="74" t="s">
        <v>248</v>
      </c>
      <c r="H55" s="87">
        <v>44227</v>
      </c>
      <c r="I55" s="94">
        <v>3887.87</v>
      </c>
      <c r="J55" s="94">
        <v>2915.9</v>
      </c>
      <c r="K55" s="94">
        <v>971.97</v>
      </c>
    </row>
    <row r="56" spans="1:11">
      <c r="A56" s="74" t="s">
        <v>113</v>
      </c>
      <c r="B56" s="74" t="s">
        <v>249</v>
      </c>
      <c r="C56" s="74" t="s">
        <v>250</v>
      </c>
      <c r="D56" s="74" t="s">
        <v>86</v>
      </c>
      <c r="E56" s="74" t="s">
        <v>87</v>
      </c>
      <c r="F56" s="86" t="s">
        <v>251</v>
      </c>
      <c r="G56" s="74" t="s">
        <v>252</v>
      </c>
      <c r="H56" s="87">
        <v>44227</v>
      </c>
      <c r="I56" s="94">
        <v>3721.86</v>
      </c>
      <c r="J56" s="94">
        <v>2791.4</v>
      </c>
      <c r="K56" s="94">
        <v>930.46</v>
      </c>
    </row>
    <row r="57" spans="1:11">
      <c r="A57" s="74" t="s">
        <v>113</v>
      </c>
      <c r="B57" s="74" t="s">
        <v>253</v>
      </c>
      <c r="C57" s="74" t="s">
        <v>254</v>
      </c>
      <c r="D57" s="74" t="s">
        <v>86</v>
      </c>
      <c r="E57" s="74" t="s">
        <v>87</v>
      </c>
      <c r="F57" s="86" t="s">
        <v>255</v>
      </c>
      <c r="G57" s="74" t="s">
        <v>252</v>
      </c>
      <c r="H57" s="87">
        <v>44227</v>
      </c>
      <c r="I57" s="94">
        <v>3378.13</v>
      </c>
      <c r="J57" s="94">
        <v>2533.6</v>
      </c>
      <c r="K57" s="94">
        <v>844.53</v>
      </c>
    </row>
    <row r="58" spans="1:11">
      <c r="A58" s="74" t="s">
        <v>113</v>
      </c>
      <c r="B58" s="74" t="s">
        <v>256</v>
      </c>
      <c r="C58" s="74" t="s">
        <v>257</v>
      </c>
      <c r="D58" s="74" t="s">
        <v>86</v>
      </c>
      <c r="E58" s="74" t="s">
        <v>87</v>
      </c>
      <c r="F58" s="86" t="s">
        <v>258</v>
      </c>
      <c r="G58" s="74" t="s">
        <v>252</v>
      </c>
      <c r="H58" s="87">
        <v>44227</v>
      </c>
      <c r="I58" s="94">
        <v>2996.81</v>
      </c>
      <c r="J58" s="94">
        <v>2247.61</v>
      </c>
      <c r="K58" s="94">
        <v>749.2</v>
      </c>
    </row>
    <row r="59" spans="1:11">
      <c r="A59" s="74" t="s">
        <v>113</v>
      </c>
      <c r="B59" s="74" t="s">
        <v>259</v>
      </c>
      <c r="C59" s="74" t="s">
        <v>260</v>
      </c>
      <c r="D59" s="74" t="s">
        <v>86</v>
      </c>
      <c r="E59" s="74" t="s">
        <v>87</v>
      </c>
      <c r="F59" s="86" t="s">
        <v>261</v>
      </c>
      <c r="G59" s="74" t="s">
        <v>262</v>
      </c>
      <c r="H59" s="87">
        <v>44227</v>
      </c>
      <c r="I59" s="94">
        <v>2613.45</v>
      </c>
      <c r="J59" s="94">
        <v>1960.09</v>
      </c>
      <c r="K59" s="94">
        <v>653.36</v>
      </c>
    </row>
    <row r="60" spans="1:11">
      <c r="A60" s="74" t="s">
        <v>113</v>
      </c>
      <c r="B60" s="74" t="s">
        <v>263</v>
      </c>
      <c r="C60" s="74" t="s">
        <v>264</v>
      </c>
      <c r="D60" s="74" t="s">
        <v>86</v>
      </c>
      <c r="E60" s="74" t="s">
        <v>88</v>
      </c>
      <c r="F60" s="86" t="s">
        <v>149</v>
      </c>
      <c r="G60" s="74" t="s">
        <v>265</v>
      </c>
      <c r="H60" s="87">
        <v>44227</v>
      </c>
      <c r="I60" s="94">
        <v>5786.18</v>
      </c>
      <c r="J60" s="94">
        <v>4339.64</v>
      </c>
      <c r="K60" s="94">
        <v>1446.54</v>
      </c>
    </row>
    <row r="61" spans="1:11">
      <c r="A61" s="74" t="s">
        <v>113</v>
      </c>
      <c r="B61" s="74" t="s">
        <v>266</v>
      </c>
      <c r="C61" s="74" t="s">
        <v>267</v>
      </c>
      <c r="D61" s="74" t="s">
        <v>86</v>
      </c>
      <c r="E61" s="74" t="s">
        <v>88</v>
      </c>
      <c r="F61" s="86" t="s">
        <v>243</v>
      </c>
      <c r="G61" s="74" t="s">
        <v>268</v>
      </c>
      <c r="H61" s="87">
        <v>44227</v>
      </c>
      <c r="I61" s="94">
        <v>4069.6</v>
      </c>
      <c r="J61" s="94">
        <v>3052.2</v>
      </c>
      <c r="K61" s="94">
        <v>1017.4</v>
      </c>
    </row>
    <row r="62" spans="1:11">
      <c r="A62" s="74" t="s">
        <v>113</v>
      </c>
      <c r="B62" s="74" t="s">
        <v>269</v>
      </c>
      <c r="C62" s="74" t="s">
        <v>270</v>
      </c>
      <c r="D62" s="74" t="s">
        <v>86</v>
      </c>
      <c r="E62" s="74" t="s">
        <v>88</v>
      </c>
      <c r="F62" s="86" t="s">
        <v>247</v>
      </c>
      <c r="G62" s="74" t="s">
        <v>268</v>
      </c>
      <c r="H62" s="87">
        <v>44227</v>
      </c>
      <c r="I62" s="94">
        <v>4074.78</v>
      </c>
      <c r="J62" s="94">
        <v>3056.09</v>
      </c>
      <c r="K62" s="94">
        <v>1018.69</v>
      </c>
    </row>
    <row r="63" spans="1:11">
      <c r="A63" s="74" t="s">
        <v>113</v>
      </c>
      <c r="B63" s="74" t="s">
        <v>271</v>
      </c>
      <c r="C63" s="74" t="s">
        <v>272</v>
      </c>
      <c r="D63" s="74" t="s">
        <v>86</v>
      </c>
      <c r="E63" s="74" t="s">
        <v>88</v>
      </c>
      <c r="F63" s="86" t="s">
        <v>251</v>
      </c>
      <c r="G63" s="74" t="s">
        <v>268</v>
      </c>
      <c r="H63" s="87">
        <v>44227</v>
      </c>
      <c r="I63" s="94">
        <v>3476.72</v>
      </c>
      <c r="J63" s="94">
        <v>2607.54</v>
      </c>
      <c r="K63" s="94">
        <v>869.18</v>
      </c>
    </row>
    <row r="64" spans="1:11">
      <c r="A64" s="74" t="s">
        <v>113</v>
      </c>
      <c r="B64" s="74" t="s">
        <v>273</v>
      </c>
      <c r="C64" s="74" t="s">
        <v>274</v>
      </c>
      <c r="D64" s="74" t="s">
        <v>86</v>
      </c>
      <c r="E64" s="74" t="s">
        <v>88</v>
      </c>
      <c r="F64" s="86" t="s">
        <v>255</v>
      </c>
      <c r="G64" s="74" t="s">
        <v>268</v>
      </c>
      <c r="H64" s="87">
        <v>44227</v>
      </c>
      <c r="I64" s="94">
        <v>3321.34</v>
      </c>
      <c r="J64" s="94">
        <v>2491.01</v>
      </c>
      <c r="K64" s="94">
        <v>830.33</v>
      </c>
    </row>
    <row r="65" spans="1:11">
      <c r="A65" s="74" t="s">
        <v>113</v>
      </c>
      <c r="B65" s="74" t="s">
        <v>275</v>
      </c>
      <c r="C65" s="74" t="s">
        <v>276</v>
      </c>
      <c r="D65" s="74" t="s">
        <v>86</v>
      </c>
      <c r="E65" s="74" t="s">
        <v>88</v>
      </c>
      <c r="F65" s="86" t="s">
        <v>258</v>
      </c>
      <c r="G65" s="74" t="s">
        <v>268</v>
      </c>
      <c r="H65" s="87">
        <v>44227</v>
      </c>
      <c r="I65" s="94">
        <v>2906.33</v>
      </c>
      <c r="J65" s="94">
        <v>2179.75</v>
      </c>
      <c r="K65" s="94">
        <v>726.58</v>
      </c>
    </row>
    <row r="66" spans="1:11">
      <c r="A66" s="74" t="s">
        <v>113</v>
      </c>
      <c r="B66" s="74" t="s">
        <v>277</v>
      </c>
      <c r="C66" s="74" t="s">
        <v>278</v>
      </c>
      <c r="D66" s="74" t="s">
        <v>86</v>
      </c>
      <c r="E66" s="74" t="s">
        <v>89</v>
      </c>
      <c r="F66" s="86" t="s">
        <v>279</v>
      </c>
      <c r="G66" s="74" t="s">
        <v>280</v>
      </c>
      <c r="H66" s="87">
        <v>44227</v>
      </c>
      <c r="I66" s="94">
        <v>5042.7</v>
      </c>
      <c r="J66" s="94">
        <v>3782.03</v>
      </c>
      <c r="K66" s="94">
        <v>1260.67</v>
      </c>
    </row>
    <row r="67" spans="1:11">
      <c r="A67" s="74" t="s">
        <v>113</v>
      </c>
      <c r="B67" s="74" t="s">
        <v>281</v>
      </c>
      <c r="C67" s="74" t="s">
        <v>282</v>
      </c>
      <c r="D67" s="74" t="s">
        <v>86</v>
      </c>
      <c r="E67" s="74" t="s">
        <v>89</v>
      </c>
      <c r="F67" s="86" t="s">
        <v>225</v>
      </c>
      <c r="G67" s="74" t="s">
        <v>283</v>
      </c>
      <c r="H67" s="87">
        <v>44227</v>
      </c>
      <c r="I67" s="94">
        <v>3184.04</v>
      </c>
      <c r="J67" s="94">
        <v>2388.03</v>
      </c>
      <c r="K67" s="94">
        <v>796.01</v>
      </c>
    </row>
    <row r="68" spans="1:11">
      <c r="A68" s="74" t="s">
        <v>113</v>
      </c>
      <c r="B68" s="74" t="s">
        <v>284</v>
      </c>
      <c r="C68" s="74" t="s">
        <v>285</v>
      </c>
      <c r="D68" s="74" t="s">
        <v>86</v>
      </c>
      <c r="E68" s="74" t="s">
        <v>89</v>
      </c>
      <c r="F68" s="86" t="s">
        <v>208</v>
      </c>
      <c r="G68" s="74" t="s">
        <v>283</v>
      </c>
      <c r="H68" s="87">
        <v>44227</v>
      </c>
      <c r="I68" s="94">
        <v>2990.38</v>
      </c>
      <c r="J68" s="94">
        <v>2242.79</v>
      </c>
      <c r="K68" s="94">
        <v>747.59</v>
      </c>
    </row>
    <row r="69" spans="1:11">
      <c r="A69" s="74" t="s">
        <v>113</v>
      </c>
      <c r="B69" s="74" t="s">
        <v>286</v>
      </c>
      <c r="C69" s="74" t="s">
        <v>287</v>
      </c>
      <c r="D69" s="74" t="s">
        <v>82</v>
      </c>
      <c r="E69" s="88" t="s">
        <v>85</v>
      </c>
      <c r="F69" s="86" t="s">
        <v>288</v>
      </c>
      <c r="G69" s="74" t="s">
        <v>289</v>
      </c>
      <c r="H69" s="87">
        <v>44227</v>
      </c>
      <c r="I69" s="94">
        <v>4810.77</v>
      </c>
      <c r="J69" s="94">
        <v>3608.08</v>
      </c>
      <c r="K69" s="94">
        <v>1202.69</v>
      </c>
    </row>
    <row r="70" spans="1:11">
      <c r="A70" s="74" t="s">
        <v>113</v>
      </c>
      <c r="B70" s="74" t="s">
        <v>290</v>
      </c>
      <c r="C70" s="74" t="s">
        <v>291</v>
      </c>
      <c r="D70" s="74" t="s">
        <v>82</v>
      </c>
      <c r="E70" s="88" t="s">
        <v>85</v>
      </c>
      <c r="F70" s="86" t="s">
        <v>218</v>
      </c>
      <c r="G70" s="74" t="s">
        <v>289</v>
      </c>
      <c r="H70" s="87">
        <v>44227</v>
      </c>
      <c r="I70" s="94">
        <v>4313.96</v>
      </c>
      <c r="J70" s="94">
        <v>3235.47</v>
      </c>
      <c r="K70" s="94">
        <v>1078.49</v>
      </c>
    </row>
    <row r="71" spans="1:11">
      <c r="A71" s="74" t="s">
        <v>113</v>
      </c>
      <c r="B71" s="74" t="s">
        <v>292</v>
      </c>
      <c r="C71" s="74" t="s">
        <v>293</v>
      </c>
      <c r="D71" s="74" t="s">
        <v>82</v>
      </c>
      <c r="E71" s="88" t="s">
        <v>85</v>
      </c>
      <c r="F71" s="86" t="s">
        <v>225</v>
      </c>
      <c r="G71" s="74" t="s">
        <v>289</v>
      </c>
      <c r="H71" s="87">
        <v>44227</v>
      </c>
      <c r="I71" s="94">
        <v>4105.24</v>
      </c>
      <c r="J71" s="94">
        <v>3078.93</v>
      </c>
      <c r="K71" s="94">
        <v>1026.31</v>
      </c>
    </row>
    <row r="72" spans="1:11">
      <c r="A72" s="74" t="s">
        <v>113</v>
      </c>
      <c r="B72" s="74" t="s">
        <v>294</v>
      </c>
      <c r="C72" s="74" t="s">
        <v>295</v>
      </c>
      <c r="D72" s="74" t="s">
        <v>82</v>
      </c>
      <c r="E72" s="88" t="s">
        <v>85</v>
      </c>
      <c r="F72" s="86" t="s">
        <v>208</v>
      </c>
      <c r="G72" s="74" t="s">
        <v>289</v>
      </c>
      <c r="H72" s="87">
        <v>44227</v>
      </c>
      <c r="I72" s="94">
        <v>3737.99</v>
      </c>
      <c r="J72" s="94">
        <v>2803.49</v>
      </c>
      <c r="K72" s="94">
        <v>934.5</v>
      </c>
    </row>
    <row r="73" spans="1:11">
      <c r="A73" s="74" t="s">
        <v>113</v>
      </c>
      <c r="B73" s="74" t="s">
        <v>296</v>
      </c>
      <c r="C73" s="74" t="s">
        <v>297</v>
      </c>
      <c r="D73" s="74" t="s">
        <v>82</v>
      </c>
      <c r="E73" s="88" t="s">
        <v>85</v>
      </c>
      <c r="F73" s="86" t="s">
        <v>116</v>
      </c>
      <c r="G73" s="74" t="s">
        <v>289</v>
      </c>
      <c r="H73" s="87">
        <v>44227</v>
      </c>
      <c r="I73" s="94">
        <v>3157.41</v>
      </c>
      <c r="J73" s="94">
        <v>2368.06</v>
      </c>
      <c r="K73" s="94">
        <v>789.35</v>
      </c>
    </row>
    <row r="74" spans="1:11">
      <c r="A74" s="74" t="s">
        <v>113</v>
      </c>
      <c r="B74" s="74" t="s">
        <v>298</v>
      </c>
      <c r="C74" s="74" t="s">
        <v>299</v>
      </c>
      <c r="D74" s="74" t="s">
        <v>82</v>
      </c>
      <c r="E74" s="88" t="s">
        <v>85</v>
      </c>
      <c r="F74" s="86" t="s">
        <v>279</v>
      </c>
      <c r="G74" s="74" t="s">
        <v>300</v>
      </c>
      <c r="H74" s="87">
        <v>44227</v>
      </c>
      <c r="I74" s="94">
        <v>5979.81</v>
      </c>
      <c r="J74" s="94">
        <v>4484.86</v>
      </c>
      <c r="K74" s="94">
        <v>1494.95</v>
      </c>
    </row>
    <row r="75" spans="1:11">
      <c r="A75" s="74" t="s">
        <v>113</v>
      </c>
      <c r="B75" s="74" t="s">
        <v>301</v>
      </c>
      <c r="C75" s="74" t="s">
        <v>302</v>
      </c>
      <c r="D75" s="74" t="s">
        <v>82</v>
      </c>
      <c r="E75" s="88" t="s">
        <v>85</v>
      </c>
      <c r="F75" s="86" t="s">
        <v>279</v>
      </c>
      <c r="G75" s="74" t="s">
        <v>303</v>
      </c>
      <c r="H75" s="87">
        <v>44227</v>
      </c>
      <c r="I75" s="94">
        <v>6429.77</v>
      </c>
      <c r="J75" s="94">
        <v>4822.33</v>
      </c>
      <c r="K75" s="94">
        <v>1607.44</v>
      </c>
    </row>
    <row r="76" spans="1:11">
      <c r="A76" s="74" t="s">
        <v>113</v>
      </c>
      <c r="B76" s="74" t="s">
        <v>304</v>
      </c>
      <c r="C76" s="74" t="s">
        <v>305</v>
      </c>
      <c r="D76" s="74" t="s">
        <v>86</v>
      </c>
      <c r="E76" s="74" t="s">
        <v>90</v>
      </c>
      <c r="F76" s="86" t="s">
        <v>306</v>
      </c>
      <c r="G76" s="74" t="s">
        <v>307</v>
      </c>
      <c r="H76" s="87">
        <v>44227</v>
      </c>
      <c r="I76" s="94">
        <v>6798.55</v>
      </c>
      <c r="J76" s="94">
        <v>5098.91</v>
      </c>
      <c r="K76" s="94">
        <v>1699.64</v>
      </c>
    </row>
    <row r="77" spans="1:11">
      <c r="A77" s="74" t="s">
        <v>113</v>
      </c>
      <c r="B77" s="74" t="s">
        <v>114</v>
      </c>
      <c r="C77" s="74" t="s">
        <v>115</v>
      </c>
      <c r="D77" s="74" t="s">
        <v>79</v>
      </c>
      <c r="E77" s="74" t="s">
        <v>80</v>
      </c>
      <c r="F77" s="86" t="s">
        <v>116</v>
      </c>
      <c r="G77" s="74" t="s">
        <v>117</v>
      </c>
      <c r="H77" s="87">
        <v>44255</v>
      </c>
      <c r="I77" s="94">
        <v>3428.32</v>
      </c>
      <c r="J77" s="94">
        <v>2571.24</v>
      </c>
      <c r="K77" s="94">
        <v>857.08</v>
      </c>
    </row>
    <row r="78" spans="1:11">
      <c r="A78" s="74" t="s">
        <v>113</v>
      </c>
      <c r="B78" s="74" t="s">
        <v>118</v>
      </c>
      <c r="C78" s="74" t="s">
        <v>119</v>
      </c>
      <c r="D78" s="74" t="s">
        <v>79</v>
      </c>
      <c r="E78" s="74" t="s">
        <v>80</v>
      </c>
      <c r="F78" s="86" t="s">
        <v>120</v>
      </c>
      <c r="G78" s="74" t="s">
        <v>117</v>
      </c>
      <c r="H78" s="87">
        <v>44255</v>
      </c>
      <c r="I78" s="94">
        <v>2976.44</v>
      </c>
      <c r="J78" s="94">
        <v>2232.33</v>
      </c>
      <c r="K78" s="94">
        <v>744.11</v>
      </c>
    </row>
    <row r="79" spans="1:11">
      <c r="A79" s="74" t="s">
        <v>113</v>
      </c>
      <c r="B79" s="74" t="s">
        <v>121</v>
      </c>
      <c r="C79" s="74" t="s">
        <v>122</v>
      </c>
      <c r="D79" s="74" t="s">
        <v>79</v>
      </c>
      <c r="E79" s="74" t="s">
        <v>80</v>
      </c>
      <c r="F79" s="86" t="s">
        <v>123</v>
      </c>
      <c r="G79" s="74" t="s">
        <v>117</v>
      </c>
      <c r="H79" s="87">
        <v>44255</v>
      </c>
      <c r="I79" s="94">
        <v>2418.71</v>
      </c>
      <c r="J79" s="94">
        <v>1814.03</v>
      </c>
      <c r="K79" s="94">
        <v>604.68</v>
      </c>
    </row>
    <row r="80" spans="1:11">
      <c r="A80" s="74" t="s">
        <v>113</v>
      </c>
      <c r="B80" s="74" t="s">
        <v>124</v>
      </c>
      <c r="C80" s="74" t="s">
        <v>125</v>
      </c>
      <c r="D80" s="74" t="s">
        <v>79</v>
      </c>
      <c r="E80" s="74" t="s">
        <v>80</v>
      </c>
      <c r="F80" s="86" t="s">
        <v>116</v>
      </c>
      <c r="G80" s="74" t="s">
        <v>117</v>
      </c>
      <c r="H80" s="87">
        <v>44255</v>
      </c>
      <c r="I80" s="94">
        <v>3286.42</v>
      </c>
      <c r="J80" s="94">
        <v>2464.82</v>
      </c>
      <c r="K80" s="94">
        <v>821.6</v>
      </c>
    </row>
    <row r="81" spans="1:11">
      <c r="A81" s="74" t="s">
        <v>113</v>
      </c>
      <c r="B81" s="74" t="s">
        <v>126</v>
      </c>
      <c r="C81" s="74" t="s">
        <v>127</v>
      </c>
      <c r="D81" s="74" t="s">
        <v>79</v>
      </c>
      <c r="E81" s="74" t="s">
        <v>80</v>
      </c>
      <c r="F81" s="86" t="s">
        <v>120</v>
      </c>
      <c r="G81" s="74" t="s">
        <v>117</v>
      </c>
      <c r="H81" s="87">
        <v>44255</v>
      </c>
      <c r="I81" s="94">
        <v>2836.9</v>
      </c>
      <c r="J81" s="94">
        <v>2127.68</v>
      </c>
      <c r="K81" s="94">
        <v>709.22</v>
      </c>
    </row>
    <row r="82" spans="1:11">
      <c r="A82" s="74" t="s">
        <v>113</v>
      </c>
      <c r="B82" s="74" t="s">
        <v>128</v>
      </c>
      <c r="C82" s="74" t="s">
        <v>129</v>
      </c>
      <c r="D82" s="74" t="s">
        <v>79</v>
      </c>
      <c r="E82" s="74" t="s">
        <v>80</v>
      </c>
      <c r="F82" s="86" t="s">
        <v>123</v>
      </c>
      <c r="G82" s="74" t="s">
        <v>117</v>
      </c>
      <c r="H82" s="87">
        <v>44255</v>
      </c>
      <c r="I82" s="94">
        <v>2385.7</v>
      </c>
      <c r="J82" s="94">
        <v>1789.28</v>
      </c>
      <c r="K82" s="94">
        <v>596.42</v>
      </c>
    </row>
    <row r="83" spans="1:11">
      <c r="A83" s="74" t="s">
        <v>113</v>
      </c>
      <c r="B83" s="74" t="s">
        <v>130</v>
      </c>
      <c r="C83" s="74" t="s">
        <v>131</v>
      </c>
      <c r="D83" s="74" t="s">
        <v>79</v>
      </c>
      <c r="E83" s="74" t="s">
        <v>80</v>
      </c>
      <c r="F83" s="86" t="s">
        <v>116</v>
      </c>
      <c r="G83" s="74" t="s">
        <v>117</v>
      </c>
      <c r="H83" s="87">
        <v>44255</v>
      </c>
      <c r="I83" s="94">
        <v>3389.45</v>
      </c>
      <c r="J83" s="94">
        <v>2542.09</v>
      </c>
      <c r="K83" s="94">
        <v>847.36</v>
      </c>
    </row>
    <row r="84" spans="1:11">
      <c r="A84" s="74" t="s">
        <v>113</v>
      </c>
      <c r="B84" s="74" t="s">
        <v>132</v>
      </c>
      <c r="C84" s="74" t="s">
        <v>133</v>
      </c>
      <c r="D84" s="74" t="s">
        <v>79</v>
      </c>
      <c r="E84" s="74" t="s">
        <v>80</v>
      </c>
      <c r="F84" s="86" t="s">
        <v>120</v>
      </c>
      <c r="G84" s="74" t="s">
        <v>117</v>
      </c>
      <c r="H84" s="87">
        <v>44255</v>
      </c>
      <c r="I84" s="94">
        <v>2781.24</v>
      </c>
      <c r="J84" s="94">
        <v>2085.93</v>
      </c>
      <c r="K84" s="94">
        <v>695.31</v>
      </c>
    </row>
    <row r="85" spans="1:11">
      <c r="A85" s="74" t="s">
        <v>113</v>
      </c>
      <c r="B85" s="74" t="s">
        <v>134</v>
      </c>
      <c r="C85" s="74" t="s">
        <v>135</v>
      </c>
      <c r="D85" s="74" t="s">
        <v>79</v>
      </c>
      <c r="E85" s="74" t="s">
        <v>80</v>
      </c>
      <c r="F85" s="86" t="s">
        <v>123</v>
      </c>
      <c r="G85" s="74" t="s">
        <v>117</v>
      </c>
      <c r="H85" s="87">
        <v>44255</v>
      </c>
      <c r="I85" s="94">
        <v>2527.69</v>
      </c>
      <c r="J85" s="94">
        <v>1895.77</v>
      </c>
      <c r="K85" s="94">
        <v>631.92</v>
      </c>
    </row>
    <row r="86" spans="1:11">
      <c r="A86" s="74" t="s">
        <v>113</v>
      </c>
      <c r="B86" s="74" t="s">
        <v>136</v>
      </c>
      <c r="C86" s="74" t="s">
        <v>137</v>
      </c>
      <c r="D86" s="74" t="s">
        <v>79</v>
      </c>
      <c r="E86" s="74" t="s">
        <v>80</v>
      </c>
      <c r="F86" s="86" t="s">
        <v>116</v>
      </c>
      <c r="G86" s="74" t="s">
        <v>138</v>
      </c>
      <c r="H86" s="87">
        <v>44255</v>
      </c>
      <c r="I86" s="94">
        <v>3198.42</v>
      </c>
      <c r="J86" s="94">
        <v>2398.82</v>
      </c>
      <c r="K86" s="94">
        <v>799.6</v>
      </c>
    </row>
    <row r="87" spans="1:11">
      <c r="A87" s="74" t="s">
        <v>113</v>
      </c>
      <c r="B87" s="74" t="s">
        <v>139</v>
      </c>
      <c r="C87" s="74" t="s">
        <v>140</v>
      </c>
      <c r="D87" s="74" t="s">
        <v>79</v>
      </c>
      <c r="E87" s="74" t="s">
        <v>80</v>
      </c>
      <c r="F87" s="86" t="s">
        <v>120</v>
      </c>
      <c r="G87" s="74" t="s">
        <v>138</v>
      </c>
      <c r="H87" s="87">
        <v>44255</v>
      </c>
      <c r="I87" s="94">
        <v>2851.66</v>
      </c>
      <c r="J87" s="94">
        <v>2138.75</v>
      </c>
      <c r="K87" s="94">
        <v>712.91</v>
      </c>
    </row>
    <row r="88" spans="1:11">
      <c r="A88" s="74" t="s">
        <v>113</v>
      </c>
      <c r="B88" s="74" t="s">
        <v>141</v>
      </c>
      <c r="C88" s="74" t="s">
        <v>142</v>
      </c>
      <c r="D88" s="74" t="s">
        <v>79</v>
      </c>
      <c r="E88" s="74" t="s">
        <v>80</v>
      </c>
      <c r="F88" s="86" t="s">
        <v>123</v>
      </c>
      <c r="G88" s="74" t="s">
        <v>138</v>
      </c>
      <c r="H88" s="87">
        <v>44255</v>
      </c>
      <c r="I88" s="94">
        <v>2470.08</v>
      </c>
      <c r="J88" s="94">
        <v>1852.56</v>
      </c>
      <c r="K88" s="94">
        <v>617.52</v>
      </c>
    </row>
    <row r="89" spans="1:11">
      <c r="A89" s="74" t="s">
        <v>113</v>
      </c>
      <c r="B89" s="74" t="s">
        <v>143</v>
      </c>
      <c r="C89" s="74" t="s">
        <v>144</v>
      </c>
      <c r="D89" s="74" t="s">
        <v>79</v>
      </c>
      <c r="E89" s="74" t="s">
        <v>80</v>
      </c>
      <c r="F89" s="86" t="s">
        <v>145</v>
      </c>
      <c r="G89" s="74" t="s">
        <v>146</v>
      </c>
      <c r="H89" s="87">
        <v>44255</v>
      </c>
      <c r="I89" s="94">
        <v>7413.57</v>
      </c>
      <c r="J89" s="94">
        <v>5560.18</v>
      </c>
      <c r="K89" s="94">
        <v>1853.39</v>
      </c>
    </row>
    <row r="90" spans="1:11">
      <c r="A90" s="74" t="s">
        <v>113</v>
      </c>
      <c r="B90" s="74" t="s">
        <v>147</v>
      </c>
      <c r="C90" s="74" t="s">
        <v>148</v>
      </c>
      <c r="D90" s="74" t="s">
        <v>79</v>
      </c>
      <c r="E90" s="74" t="s">
        <v>80</v>
      </c>
      <c r="F90" s="86" t="s">
        <v>149</v>
      </c>
      <c r="G90" s="74" t="s">
        <v>150</v>
      </c>
      <c r="H90" s="87">
        <v>44255</v>
      </c>
      <c r="I90" s="94">
        <v>7085.25</v>
      </c>
      <c r="J90" s="94">
        <v>5313.94</v>
      </c>
      <c r="K90" s="94">
        <v>1771.31</v>
      </c>
    </row>
    <row r="91" spans="1:11">
      <c r="A91" s="74" t="s">
        <v>113</v>
      </c>
      <c r="B91" s="74" t="s">
        <v>151</v>
      </c>
      <c r="C91" s="74" t="s">
        <v>152</v>
      </c>
      <c r="D91" s="74" t="s">
        <v>79</v>
      </c>
      <c r="E91" s="74" t="s">
        <v>81</v>
      </c>
      <c r="F91" s="86" t="s">
        <v>123</v>
      </c>
      <c r="G91" s="74" t="s">
        <v>153</v>
      </c>
      <c r="H91" s="87">
        <v>44255</v>
      </c>
      <c r="I91" s="94">
        <v>2400.15</v>
      </c>
      <c r="J91" s="94">
        <v>1800.11</v>
      </c>
      <c r="K91" s="94">
        <v>600.04</v>
      </c>
    </row>
    <row r="92" spans="1:11">
      <c r="A92" s="74" t="s">
        <v>113</v>
      </c>
      <c r="B92" s="74" t="s">
        <v>154</v>
      </c>
      <c r="C92" s="74" t="s">
        <v>155</v>
      </c>
      <c r="D92" s="74" t="s">
        <v>79</v>
      </c>
      <c r="E92" s="74" t="s">
        <v>81</v>
      </c>
      <c r="F92" s="86" t="s">
        <v>156</v>
      </c>
      <c r="G92" s="74" t="s">
        <v>157</v>
      </c>
      <c r="H92" s="87">
        <v>44255</v>
      </c>
      <c r="I92" s="94">
        <v>1984.13</v>
      </c>
      <c r="J92" s="94">
        <v>1488.1</v>
      </c>
      <c r="K92" s="94">
        <v>496.03</v>
      </c>
    </row>
    <row r="93" spans="1:11">
      <c r="A93" s="74" t="s">
        <v>113</v>
      </c>
      <c r="B93" s="74" t="s">
        <v>158</v>
      </c>
      <c r="C93" s="74" t="s">
        <v>159</v>
      </c>
      <c r="D93" s="74" t="s">
        <v>79</v>
      </c>
      <c r="E93" s="74" t="s">
        <v>81</v>
      </c>
      <c r="F93" s="86" t="s">
        <v>160</v>
      </c>
      <c r="G93" s="74" t="s">
        <v>161</v>
      </c>
      <c r="H93" s="87">
        <v>44255</v>
      </c>
      <c r="I93" s="94">
        <v>1643.28</v>
      </c>
      <c r="J93" s="94">
        <v>1232.46</v>
      </c>
      <c r="K93" s="94">
        <v>410.82</v>
      </c>
    </row>
    <row r="94" spans="1:11">
      <c r="A94" s="74" t="s">
        <v>113</v>
      </c>
      <c r="B94" s="74" t="s">
        <v>162</v>
      </c>
      <c r="C94" s="74" t="s">
        <v>163</v>
      </c>
      <c r="D94" s="74" t="s">
        <v>79</v>
      </c>
      <c r="E94" s="74" t="s">
        <v>81</v>
      </c>
      <c r="F94" s="86" t="s">
        <v>123</v>
      </c>
      <c r="G94" s="74" t="s">
        <v>153</v>
      </c>
      <c r="H94" s="87">
        <v>44255</v>
      </c>
      <c r="I94" s="94">
        <v>2550.54</v>
      </c>
      <c r="J94" s="94">
        <v>1912.91</v>
      </c>
      <c r="K94" s="94">
        <v>637.63</v>
      </c>
    </row>
    <row r="95" spans="1:11">
      <c r="A95" s="74" t="s">
        <v>113</v>
      </c>
      <c r="B95" s="74" t="s">
        <v>164</v>
      </c>
      <c r="C95" s="74" t="s">
        <v>165</v>
      </c>
      <c r="D95" s="74" t="s">
        <v>79</v>
      </c>
      <c r="E95" s="74" t="s">
        <v>81</v>
      </c>
      <c r="F95" s="86" t="s">
        <v>156</v>
      </c>
      <c r="G95" s="74" t="s">
        <v>157</v>
      </c>
      <c r="H95" s="87">
        <v>44255</v>
      </c>
      <c r="I95" s="94">
        <v>2141.77</v>
      </c>
      <c r="J95" s="94">
        <v>1606.33</v>
      </c>
      <c r="K95" s="94">
        <v>535.44</v>
      </c>
    </row>
    <row r="96" spans="1:11">
      <c r="A96" s="74" t="s">
        <v>113</v>
      </c>
      <c r="B96" s="74" t="s">
        <v>166</v>
      </c>
      <c r="C96" s="74" t="s">
        <v>167</v>
      </c>
      <c r="D96" s="74" t="s">
        <v>79</v>
      </c>
      <c r="E96" s="74" t="s">
        <v>81</v>
      </c>
      <c r="F96" s="86" t="s">
        <v>160</v>
      </c>
      <c r="G96" s="74" t="s">
        <v>161</v>
      </c>
      <c r="H96" s="87">
        <v>44255</v>
      </c>
      <c r="I96" s="94">
        <v>1574.47</v>
      </c>
      <c r="J96" s="94">
        <v>1180.85</v>
      </c>
      <c r="K96" s="94">
        <v>393.62</v>
      </c>
    </row>
    <row r="97" spans="1:11">
      <c r="A97" s="74" t="s">
        <v>113</v>
      </c>
      <c r="B97" s="74" t="s">
        <v>168</v>
      </c>
      <c r="C97" s="74" t="s">
        <v>169</v>
      </c>
      <c r="D97" s="74" t="s">
        <v>79</v>
      </c>
      <c r="E97" s="74" t="s">
        <v>81</v>
      </c>
      <c r="F97" s="86" t="s">
        <v>123</v>
      </c>
      <c r="G97" s="74" t="s">
        <v>153</v>
      </c>
      <c r="H97" s="87">
        <v>44255</v>
      </c>
      <c r="I97" s="94">
        <v>2459.46</v>
      </c>
      <c r="J97" s="94">
        <v>1844.6</v>
      </c>
      <c r="K97" s="94">
        <v>614.86</v>
      </c>
    </row>
    <row r="98" spans="1:11">
      <c r="A98" s="74" t="s">
        <v>113</v>
      </c>
      <c r="B98" s="74" t="s">
        <v>170</v>
      </c>
      <c r="C98" s="74" t="s">
        <v>171</v>
      </c>
      <c r="D98" s="74" t="s">
        <v>79</v>
      </c>
      <c r="E98" s="74" t="s">
        <v>81</v>
      </c>
      <c r="F98" s="86" t="s">
        <v>156</v>
      </c>
      <c r="G98" s="74" t="s">
        <v>157</v>
      </c>
      <c r="H98" s="87">
        <v>44255</v>
      </c>
      <c r="I98" s="94">
        <v>2051.85</v>
      </c>
      <c r="J98" s="94">
        <v>1538.89</v>
      </c>
      <c r="K98" s="94">
        <v>512.96</v>
      </c>
    </row>
    <row r="99" spans="1:11">
      <c r="A99" s="74" t="s">
        <v>113</v>
      </c>
      <c r="B99" s="74" t="s">
        <v>172</v>
      </c>
      <c r="C99" s="74" t="s">
        <v>173</v>
      </c>
      <c r="D99" s="74" t="s">
        <v>79</v>
      </c>
      <c r="E99" s="74" t="s">
        <v>81</v>
      </c>
      <c r="F99" s="86" t="s">
        <v>160</v>
      </c>
      <c r="G99" s="74" t="s">
        <v>161</v>
      </c>
      <c r="H99" s="87">
        <v>44255</v>
      </c>
      <c r="I99" s="94">
        <v>1635.52</v>
      </c>
      <c r="J99" s="94">
        <v>1226.64</v>
      </c>
      <c r="K99" s="94">
        <v>408.88</v>
      </c>
    </row>
    <row r="100" spans="1:11">
      <c r="A100" s="74" t="s">
        <v>113</v>
      </c>
      <c r="B100" s="74" t="s">
        <v>174</v>
      </c>
      <c r="C100" s="74" t="s">
        <v>175</v>
      </c>
      <c r="D100" s="74" t="s">
        <v>79</v>
      </c>
      <c r="E100" s="74" t="s">
        <v>81</v>
      </c>
      <c r="F100" s="86" t="s">
        <v>176</v>
      </c>
      <c r="G100" s="74" t="s">
        <v>177</v>
      </c>
      <c r="H100" s="87">
        <v>44255</v>
      </c>
      <c r="I100" s="94">
        <v>1246.45</v>
      </c>
      <c r="J100" s="94">
        <v>934.84</v>
      </c>
      <c r="K100" s="94">
        <v>311.61</v>
      </c>
    </row>
    <row r="101" spans="1:11">
      <c r="A101" s="74" t="s">
        <v>113</v>
      </c>
      <c r="B101" s="74" t="s">
        <v>178</v>
      </c>
      <c r="C101" s="74" t="s">
        <v>179</v>
      </c>
      <c r="D101" s="74" t="s">
        <v>79</v>
      </c>
      <c r="E101" s="74" t="s">
        <v>81</v>
      </c>
      <c r="F101" s="86" t="s">
        <v>180</v>
      </c>
      <c r="G101" s="74" t="s">
        <v>177</v>
      </c>
      <c r="H101" s="87">
        <v>44255</v>
      </c>
      <c r="I101" s="94">
        <v>843.87</v>
      </c>
      <c r="J101" s="94">
        <v>632.9</v>
      </c>
      <c r="K101" s="94">
        <v>210.97</v>
      </c>
    </row>
    <row r="102" spans="1:11">
      <c r="A102" s="74" t="s">
        <v>113</v>
      </c>
      <c r="B102" s="74" t="s">
        <v>181</v>
      </c>
      <c r="C102" s="74" t="s">
        <v>182</v>
      </c>
      <c r="D102" s="74" t="s">
        <v>79</v>
      </c>
      <c r="E102" s="74" t="s">
        <v>81</v>
      </c>
      <c r="F102" s="86" t="s">
        <v>183</v>
      </c>
      <c r="G102" s="74" t="s">
        <v>177</v>
      </c>
      <c r="H102" s="87">
        <v>44255</v>
      </c>
      <c r="I102" s="94">
        <v>400.83</v>
      </c>
      <c r="J102" s="94">
        <v>300.62</v>
      </c>
      <c r="K102" s="94">
        <v>100.21</v>
      </c>
    </row>
    <row r="103" spans="1:11">
      <c r="A103" s="74" t="s">
        <v>113</v>
      </c>
      <c r="B103" s="74" t="s">
        <v>184</v>
      </c>
      <c r="C103" s="74" t="s">
        <v>185</v>
      </c>
      <c r="D103" s="74" t="s">
        <v>79</v>
      </c>
      <c r="E103" s="74" t="s">
        <v>81</v>
      </c>
      <c r="F103" s="86" t="s">
        <v>176</v>
      </c>
      <c r="G103" s="74" t="s">
        <v>177</v>
      </c>
      <c r="H103" s="87">
        <v>44255</v>
      </c>
      <c r="I103" s="94">
        <v>1221.44</v>
      </c>
      <c r="J103" s="94">
        <v>916.08</v>
      </c>
      <c r="K103" s="94">
        <v>305.36</v>
      </c>
    </row>
    <row r="104" spans="1:11">
      <c r="A104" s="74" t="s">
        <v>113</v>
      </c>
      <c r="B104" s="74" t="s">
        <v>186</v>
      </c>
      <c r="C104" s="74" t="s">
        <v>187</v>
      </c>
      <c r="D104" s="74" t="s">
        <v>79</v>
      </c>
      <c r="E104" s="74" t="s">
        <v>81</v>
      </c>
      <c r="F104" s="86" t="s">
        <v>180</v>
      </c>
      <c r="G104" s="74" t="s">
        <v>177</v>
      </c>
      <c r="H104" s="87">
        <v>44255</v>
      </c>
      <c r="I104" s="94">
        <v>829.5</v>
      </c>
      <c r="J104" s="94">
        <v>622.13</v>
      </c>
      <c r="K104" s="94">
        <v>207.37</v>
      </c>
    </row>
    <row r="105" spans="1:11">
      <c r="A105" s="74" t="s">
        <v>113</v>
      </c>
      <c r="B105" s="74" t="s">
        <v>188</v>
      </c>
      <c r="C105" s="74" t="s">
        <v>189</v>
      </c>
      <c r="D105" s="74" t="s">
        <v>79</v>
      </c>
      <c r="E105" s="74" t="s">
        <v>81</v>
      </c>
      <c r="F105" s="86" t="s">
        <v>183</v>
      </c>
      <c r="G105" s="74" t="s">
        <v>177</v>
      </c>
      <c r="H105" s="87">
        <v>44255</v>
      </c>
      <c r="I105" s="94">
        <v>412.15</v>
      </c>
      <c r="J105" s="94">
        <v>309.11</v>
      </c>
      <c r="K105" s="94">
        <v>103.04</v>
      </c>
    </row>
    <row r="106" spans="1:11">
      <c r="A106" s="74" t="s">
        <v>113</v>
      </c>
      <c r="B106" s="74" t="s">
        <v>190</v>
      </c>
      <c r="C106" s="74" t="s">
        <v>191</v>
      </c>
      <c r="D106" s="74" t="s">
        <v>79</v>
      </c>
      <c r="E106" s="74" t="s">
        <v>81</v>
      </c>
      <c r="F106" s="86" t="s">
        <v>176</v>
      </c>
      <c r="G106" s="74" t="s">
        <v>177</v>
      </c>
      <c r="H106" s="87">
        <v>44255</v>
      </c>
      <c r="I106" s="94">
        <v>1182.23</v>
      </c>
      <c r="J106" s="94">
        <v>886.67</v>
      </c>
      <c r="K106" s="94">
        <v>295.56</v>
      </c>
    </row>
    <row r="107" spans="1:11">
      <c r="A107" s="74" t="s">
        <v>113</v>
      </c>
      <c r="B107" s="74" t="s">
        <v>192</v>
      </c>
      <c r="C107" s="74" t="s">
        <v>193</v>
      </c>
      <c r="D107" s="74" t="s">
        <v>79</v>
      </c>
      <c r="E107" s="74" t="s">
        <v>81</v>
      </c>
      <c r="F107" s="86" t="s">
        <v>180</v>
      </c>
      <c r="G107" s="74" t="s">
        <v>177</v>
      </c>
      <c r="H107" s="87">
        <v>44255</v>
      </c>
      <c r="I107" s="94">
        <v>783.01</v>
      </c>
      <c r="J107" s="94">
        <v>587.26</v>
      </c>
      <c r="K107" s="94">
        <v>195.75</v>
      </c>
    </row>
    <row r="108" spans="1:11">
      <c r="A108" s="74" t="s">
        <v>113</v>
      </c>
      <c r="B108" s="74" t="s">
        <v>194</v>
      </c>
      <c r="C108" s="74" t="s">
        <v>195</v>
      </c>
      <c r="D108" s="74" t="s">
        <v>79</v>
      </c>
      <c r="E108" s="74" t="s">
        <v>81</v>
      </c>
      <c r="F108" s="86" t="s">
        <v>183</v>
      </c>
      <c r="G108" s="74" t="s">
        <v>177</v>
      </c>
      <c r="H108" s="87">
        <v>44255</v>
      </c>
      <c r="I108" s="94">
        <v>396.58</v>
      </c>
      <c r="J108" s="94">
        <v>297.44</v>
      </c>
      <c r="K108" s="94">
        <v>99.14</v>
      </c>
    </row>
    <row r="109" spans="1:11">
      <c r="A109" s="74" t="s">
        <v>113</v>
      </c>
      <c r="B109" s="74" t="s">
        <v>196</v>
      </c>
      <c r="C109" s="74" t="s">
        <v>197</v>
      </c>
      <c r="D109" s="74" t="s">
        <v>79</v>
      </c>
      <c r="E109" s="74" t="s">
        <v>81</v>
      </c>
      <c r="F109" s="86" t="s">
        <v>176</v>
      </c>
      <c r="G109" s="74" t="s">
        <v>177</v>
      </c>
      <c r="H109" s="87">
        <v>44255</v>
      </c>
      <c r="I109" s="94">
        <v>1276.84</v>
      </c>
      <c r="J109" s="94">
        <v>957.63</v>
      </c>
      <c r="K109" s="94">
        <v>319.21</v>
      </c>
    </row>
    <row r="110" spans="1:11">
      <c r="A110" s="74" t="s">
        <v>113</v>
      </c>
      <c r="B110" s="74" t="s">
        <v>198</v>
      </c>
      <c r="C110" s="74" t="s">
        <v>199</v>
      </c>
      <c r="D110" s="74" t="s">
        <v>79</v>
      </c>
      <c r="E110" s="74" t="s">
        <v>81</v>
      </c>
      <c r="F110" s="86" t="s">
        <v>180</v>
      </c>
      <c r="G110" s="74" t="s">
        <v>177</v>
      </c>
      <c r="H110" s="87">
        <v>44255</v>
      </c>
      <c r="I110" s="94">
        <v>810.49</v>
      </c>
      <c r="J110" s="94">
        <v>607.87</v>
      </c>
      <c r="K110" s="94">
        <v>202.62</v>
      </c>
    </row>
    <row r="111" spans="1:11">
      <c r="A111" s="74" t="s">
        <v>113</v>
      </c>
      <c r="B111" s="74" t="s">
        <v>200</v>
      </c>
      <c r="C111" s="74" t="s">
        <v>201</v>
      </c>
      <c r="D111" s="74" t="s">
        <v>79</v>
      </c>
      <c r="E111" s="74" t="s">
        <v>81</v>
      </c>
      <c r="F111" s="86" t="s">
        <v>183</v>
      </c>
      <c r="G111" s="74" t="s">
        <v>177</v>
      </c>
      <c r="H111" s="87">
        <v>44255</v>
      </c>
      <c r="I111" s="94">
        <v>426.18</v>
      </c>
      <c r="J111" s="94">
        <v>319.64</v>
      </c>
      <c r="K111" s="94">
        <v>106.54</v>
      </c>
    </row>
    <row r="112" spans="1:11">
      <c r="A112" s="74" t="s">
        <v>113</v>
      </c>
      <c r="B112" s="74" t="s">
        <v>202</v>
      </c>
      <c r="C112" s="74" t="s">
        <v>203</v>
      </c>
      <c r="D112" s="74" t="s">
        <v>79</v>
      </c>
      <c r="E112" s="74" t="s">
        <v>81</v>
      </c>
      <c r="F112" s="86" t="s">
        <v>204</v>
      </c>
      <c r="G112" s="74" t="s">
        <v>205</v>
      </c>
      <c r="H112" s="87">
        <v>44255</v>
      </c>
      <c r="I112" s="94">
        <v>7318.65</v>
      </c>
      <c r="J112" s="94">
        <v>5488.99</v>
      </c>
      <c r="K112" s="94">
        <v>1829.66</v>
      </c>
    </row>
    <row r="113" spans="1:11">
      <c r="A113" s="74" t="s">
        <v>113</v>
      </c>
      <c r="B113" s="74" t="s">
        <v>206</v>
      </c>
      <c r="C113" s="74" t="s">
        <v>207</v>
      </c>
      <c r="D113" s="88" t="s">
        <v>82</v>
      </c>
      <c r="E113" s="88" t="s">
        <v>84</v>
      </c>
      <c r="F113" s="86" t="s">
        <v>208</v>
      </c>
      <c r="G113" s="74" t="s">
        <v>209</v>
      </c>
      <c r="H113" s="87">
        <v>44255</v>
      </c>
      <c r="I113" s="94">
        <v>3856.88</v>
      </c>
      <c r="J113" s="94">
        <v>2892.66</v>
      </c>
      <c r="K113" s="94">
        <v>964.22</v>
      </c>
    </row>
    <row r="114" spans="1:11">
      <c r="A114" s="74" t="s">
        <v>113</v>
      </c>
      <c r="B114" s="74" t="s">
        <v>210</v>
      </c>
      <c r="C114" s="74" t="s">
        <v>211</v>
      </c>
      <c r="D114" s="88" t="s">
        <v>82</v>
      </c>
      <c r="E114" s="88" t="s">
        <v>84</v>
      </c>
      <c r="F114" s="86" t="s">
        <v>116</v>
      </c>
      <c r="G114" s="74" t="s">
        <v>209</v>
      </c>
      <c r="H114" s="87">
        <v>44255</v>
      </c>
      <c r="I114" s="94">
        <v>3357.36</v>
      </c>
      <c r="J114" s="94">
        <v>2518.02</v>
      </c>
      <c r="K114" s="94">
        <v>839.34</v>
      </c>
    </row>
    <row r="115" spans="1:11">
      <c r="A115" s="74" t="s">
        <v>113</v>
      </c>
      <c r="B115" s="74" t="s">
        <v>212</v>
      </c>
      <c r="C115" s="74" t="s">
        <v>213</v>
      </c>
      <c r="D115" s="88" t="s">
        <v>82</v>
      </c>
      <c r="E115" s="88" t="s">
        <v>84</v>
      </c>
      <c r="F115" s="86" t="s">
        <v>208</v>
      </c>
      <c r="G115" s="74" t="s">
        <v>209</v>
      </c>
      <c r="H115" s="87">
        <v>44255</v>
      </c>
      <c r="I115" s="94">
        <v>3766.12</v>
      </c>
      <c r="J115" s="94">
        <v>2824.59</v>
      </c>
      <c r="K115" s="94">
        <v>941.53</v>
      </c>
    </row>
    <row r="116" spans="1:11">
      <c r="A116" s="74" t="s">
        <v>113</v>
      </c>
      <c r="B116" s="74" t="s">
        <v>214</v>
      </c>
      <c r="C116" s="74" t="s">
        <v>215</v>
      </c>
      <c r="D116" s="88" t="s">
        <v>82</v>
      </c>
      <c r="E116" s="88" t="s">
        <v>84</v>
      </c>
      <c r="F116" s="86" t="s">
        <v>116</v>
      </c>
      <c r="G116" s="74" t="s">
        <v>209</v>
      </c>
      <c r="H116" s="87">
        <v>44255</v>
      </c>
      <c r="I116" s="94">
        <v>3420.12</v>
      </c>
      <c r="J116" s="94">
        <v>2565.09</v>
      </c>
      <c r="K116" s="94">
        <v>855.03</v>
      </c>
    </row>
    <row r="117" spans="1:11">
      <c r="A117" s="74" t="s">
        <v>113</v>
      </c>
      <c r="B117" s="74" t="s">
        <v>216</v>
      </c>
      <c r="C117" s="74" t="s">
        <v>217</v>
      </c>
      <c r="D117" s="88" t="s">
        <v>82</v>
      </c>
      <c r="E117" s="88" t="s">
        <v>84</v>
      </c>
      <c r="F117" s="86" t="s">
        <v>218</v>
      </c>
      <c r="G117" s="74" t="s">
        <v>219</v>
      </c>
      <c r="H117" s="87">
        <v>44255</v>
      </c>
      <c r="I117" s="94">
        <v>4439.41</v>
      </c>
      <c r="J117" s="94">
        <v>3329.56</v>
      </c>
      <c r="K117" s="94">
        <v>1109.85</v>
      </c>
    </row>
    <row r="118" spans="1:11">
      <c r="A118" s="74" t="s">
        <v>113</v>
      </c>
      <c r="B118" s="74" t="s">
        <v>220</v>
      </c>
      <c r="C118" s="74" t="s">
        <v>221</v>
      </c>
      <c r="D118" s="88" t="s">
        <v>82</v>
      </c>
      <c r="E118" s="74" t="s">
        <v>83</v>
      </c>
      <c r="F118" s="86" t="s">
        <v>218</v>
      </c>
      <c r="G118" s="74" t="s">
        <v>222</v>
      </c>
      <c r="H118" s="87">
        <v>44255</v>
      </c>
      <c r="I118" s="94">
        <v>4716.44</v>
      </c>
      <c r="J118" s="94">
        <v>3537.33</v>
      </c>
      <c r="K118" s="94">
        <v>1179.11</v>
      </c>
    </row>
    <row r="119" spans="1:11">
      <c r="A119" s="74" t="s">
        <v>113</v>
      </c>
      <c r="B119" s="74" t="s">
        <v>223</v>
      </c>
      <c r="C119" s="74" t="s">
        <v>224</v>
      </c>
      <c r="D119" s="88" t="s">
        <v>82</v>
      </c>
      <c r="E119" s="74" t="s">
        <v>83</v>
      </c>
      <c r="F119" s="86" t="s">
        <v>225</v>
      </c>
      <c r="G119" s="74" t="s">
        <v>209</v>
      </c>
      <c r="H119" s="87">
        <v>44255</v>
      </c>
      <c r="I119" s="94">
        <v>4016.62</v>
      </c>
      <c r="J119" s="94">
        <v>3012.47</v>
      </c>
      <c r="K119" s="94">
        <v>1004.15</v>
      </c>
    </row>
    <row r="120" spans="1:11">
      <c r="A120" s="74" t="s">
        <v>113</v>
      </c>
      <c r="B120" s="74" t="s">
        <v>226</v>
      </c>
      <c r="C120" s="74" t="s">
        <v>227</v>
      </c>
      <c r="D120" s="88" t="s">
        <v>82</v>
      </c>
      <c r="E120" s="74" t="s">
        <v>83</v>
      </c>
      <c r="F120" s="86" t="s">
        <v>208</v>
      </c>
      <c r="G120" s="74" t="s">
        <v>209</v>
      </c>
      <c r="H120" s="87">
        <v>44255</v>
      </c>
      <c r="I120" s="94">
        <v>3850.95</v>
      </c>
      <c r="J120" s="94">
        <v>2888.21</v>
      </c>
      <c r="K120" s="94">
        <v>962.74</v>
      </c>
    </row>
    <row r="121" spans="1:11">
      <c r="A121" s="74" t="s">
        <v>113</v>
      </c>
      <c r="B121" s="74" t="s">
        <v>228</v>
      </c>
      <c r="C121" s="74" t="s">
        <v>229</v>
      </c>
      <c r="D121" s="88" t="s">
        <v>82</v>
      </c>
      <c r="E121" s="74" t="s">
        <v>83</v>
      </c>
      <c r="F121" s="86" t="s">
        <v>116</v>
      </c>
      <c r="G121" s="74" t="s">
        <v>209</v>
      </c>
      <c r="H121" s="87">
        <v>44255</v>
      </c>
      <c r="I121" s="94">
        <v>3192.39</v>
      </c>
      <c r="J121" s="94">
        <v>2394.29</v>
      </c>
      <c r="K121" s="94">
        <v>798.1</v>
      </c>
    </row>
    <row r="122" spans="1:11">
      <c r="A122" s="74" t="s">
        <v>113</v>
      </c>
      <c r="B122" s="74" t="s">
        <v>230</v>
      </c>
      <c r="C122" s="74" t="s">
        <v>231</v>
      </c>
      <c r="D122" s="88" t="s">
        <v>82</v>
      </c>
      <c r="E122" s="74" t="s">
        <v>83</v>
      </c>
      <c r="F122" s="86" t="s">
        <v>120</v>
      </c>
      <c r="G122" s="74" t="s">
        <v>209</v>
      </c>
      <c r="H122" s="87">
        <v>44255</v>
      </c>
      <c r="I122" s="94">
        <v>2956.81</v>
      </c>
      <c r="J122" s="94">
        <v>2217.61</v>
      </c>
      <c r="K122" s="94">
        <v>739.2</v>
      </c>
    </row>
    <row r="123" spans="1:11">
      <c r="A123" s="74" t="s">
        <v>113</v>
      </c>
      <c r="B123" s="74" t="s">
        <v>232</v>
      </c>
      <c r="C123" s="74" t="s">
        <v>233</v>
      </c>
      <c r="D123" s="88" t="s">
        <v>82</v>
      </c>
      <c r="E123" s="74" t="s">
        <v>83</v>
      </c>
      <c r="F123" s="86" t="s">
        <v>123</v>
      </c>
      <c r="G123" s="74" t="s">
        <v>209</v>
      </c>
      <c r="H123" s="87">
        <v>44255</v>
      </c>
      <c r="I123" s="94">
        <v>2394.71</v>
      </c>
      <c r="J123" s="94">
        <v>1796.03</v>
      </c>
      <c r="K123" s="94">
        <v>598.68</v>
      </c>
    </row>
    <row r="124" spans="1:11">
      <c r="A124" s="74" t="s">
        <v>113</v>
      </c>
      <c r="B124" s="74" t="s">
        <v>234</v>
      </c>
      <c r="C124" s="74" t="s">
        <v>235</v>
      </c>
      <c r="D124" s="88" t="s">
        <v>82</v>
      </c>
      <c r="E124" s="74" t="s">
        <v>83</v>
      </c>
      <c r="F124" s="86" t="s">
        <v>116</v>
      </c>
      <c r="G124" s="74" t="s">
        <v>209</v>
      </c>
      <c r="H124" s="87">
        <v>44255</v>
      </c>
      <c r="I124" s="94">
        <v>3375.46</v>
      </c>
      <c r="J124" s="94">
        <v>2531.6</v>
      </c>
      <c r="K124" s="94">
        <v>843.86</v>
      </c>
    </row>
    <row r="125" spans="1:11">
      <c r="A125" s="74" t="s">
        <v>113</v>
      </c>
      <c r="B125" s="74" t="s">
        <v>236</v>
      </c>
      <c r="C125" s="74" t="s">
        <v>237</v>
      </c>
      <c r="D125" s="88" t="s">
        <v>82</v>
      </c>
      <c r="E125" s="74" t="s">
        <v>83</v>
      </c>
      <c r="F125" s="86" t="s">
        <v>120</v>
      </c>
      <c r="G125" s="74" t="s">
        <v>209</v>
      </c>
      <c r="H125" s="87">
        <v>44255</v>
      </c>
      <c r="I125" s="94">
        <v>2959.52</v>
      </c>
      <c r="J125" s="94">
        <v>2219.64</v>
      </c>
      <c r="K125" s="94">
        <v>739.88</v>
      </c>
    </row>
    <row r="126" spans="1:11">
      <c r="A126" s="74" t="s">
        <v>113</v>
      </c>
      <c r="B126" s="74" t="s">
        <v>238</v>
      </c>
      <c r="C126" s="74" t="s">
        <v>239</v>
      </c>
      <c r="D126" s="74" t="s">
        <v>86</v>
      </c>
      <c r="E126" s="74" t="s">
        <v>87</v>
      </c>
      <c r="F126" s="86" t="s">
        <v>204</v>
      </c>
      <c r="G126" s="74" t="s">
        <v>240</v>
      </c>
      <c r="H126" s="87">
        <v>44255</v>
      </c>
      <c r="I126" s="94">
        <v>5782.53</v>
      </c>
      <c r="J126" s="94">
        <v>4336.9</v>
      </c>
      <c r="K126" s="94">
        <v>1445.63</v>
      </c>
    </row>
    <row r="127" spans="1:11">
      <c r="A127" s="74" t="s">
        <v>113</v>
      </c>
      <c r="B127" s="74" t="s">
        <v>241</v>
      </c>
      <c r="C127" s="74" t="s">
        <v>242</v>
      </c>
      <c r="D127" s="74" t="s">
        <v>86</v>
      </c>
      <c r="E127" s="74" t="s">
        <v>87</v>
      </c>
      <c r="F127" s="86" t="s">
        <v>243</v>
      </c>
      <c r="G127" s="74" t="s">
        <v>244</v>
      </c>
      <c r="H127" s="87">
        <v>44255</v>
      </c>
      <c r="I127" s="94">
        <v>4064.81</v>
      </c>
      <c r="J127" s="94">
        <v>3048.61</v>
      </c>
      <c r="K127" s="94">
        <v>1016.2</v>
      </c>
    </row>
    <row r="128" spans="1:11">
      <c r="A128" s="74" t="s">
        <v>113</v>
      </c>
      <c r="B128" s="74" t="s">
        <v>245</v>
      </c>
      <c r="C128" s="74" t="s">
        <v>246</v>
      </c>
      <c r="D128" s="74" t="s">
        <v>86</v>
      </c>
      <c r="E128" s="74" t="s">
        <v>87</v>
      </c>
      <c r="F128" s="86" t="s">
        <v>247</v>
      </c>
      <c r="G128" s="74" t="s">
        <v>248</v>
      </c>
      <c r="H128" s="87">
        <v>44255</v>
      </c>
      <c r="I128" s="94">
        <v>4082.93</v>
      </c>
      <c r="J128" s="94">
        <v>3062.2</v>
      </c>
      <c r="K128" s="94">
        <v>1020.73</v>
      </c>
    </row>
    <row r="129" spans="1:11">
      <c r="A129" s="74" t="s">
        <v>113</v>
      </c>
      <c r="B129" s="74" t="s">
        <v>249</v>
      </c>
      <c r="C129" s="74" t="s">
        <v>250</v>
      </c>
      <c r="D129" s="74" t="s">
        <v>86</v>
      </c>
      <c r="E129" s="74" t="s">
        <v>87</v>
      </c>
      <c r="F129" s="86" t="s">
        <v>251</v>
      </c>
      <c r="G129" s="74" t="s">
        <v>252</v>
      </c>
      <c r="H129" s="87">
        <v>44255</v>
      </c>
      <c r="I129" s="94">
        <v>3523.88</v>
      </c>
      <c r="J129" s="94">
        <v>2642.91</v>
      </c>
      <c r="K129" s="94">
        <v>880.97</v>
      </c>
    </row>
    <row r="130" spans="1:11">
      <c r="A130" s="74" t="s">
        <v>113</v>
      </c>
      <c r="B130" s="74" t="s">
        <v>253</v>
      </c>
      <c r="C130" s="74" t="s">
        <v>254</v>
      </c>
      <c r="D130" s="74" t="s">
        <v>86</v>
      </c>
      <c r="E130" s="74" t="s">
        <v>87</v>
      </c>
      <c r="F130" s="86" t="s">
        <v>255</v>
      </c>
      <c r="G130" s="74" t="s">
        <v>252</v>
      </c>
      <c r="H130" s="87">
        <v>44255</v>
      </c>
      <c r="I130" s="94">
        <v>3199.17</v>
      </c>
      <c r="J130" s="94">
        <v>2399.38</v>
      </c>
      <c r="K130" s="94">
        <v>799.79</v>
      </c>
    </row>
    <row r="131" spans="1:11">
      <c r="A131" s="74" t="s">
        <v>113</v>
      </c>
      <c r="B131" s="74" t="s">
        <v>256</v>
      </c>
      <c r="C131" s="74" t="s">
        <v>257</v>
      </c>
      <c r="D131" s="74" t="s">
        <v>86</v>
      </c>
      <c r="E131" s="74" t="s">
        <v>87</v>
      </c>
      <c r="F131" s="86" t="s">
        <v>258</v>
      </c>
      <c r="G131" s="74" t="s">
        <v>252</v>
      </c>
      <c r="H131" s="87">
        <v>44255</v>
      </c>
      <c r="I131" s="94">
        <v>3051.15</v>
      </c>
      <c r="J131" s="94">
        <v>2288.36</v>
      </c>
      <c r="K131" s="94">
        <v>762.79</v>
      </c>
    </row>
    <row r="132" spans="1:11">
      <c r="A132" s="74" t="s">
        <v>113</v>
      </c>
      <c r="B132" s="74" t="s">
        <v>259</v>
      </c>
      <c r="C132" s="74" t="s">
        <v>260</v>
      </c>
      <c r="D132" s="74" t="s">
        <v>86</v>
      </c>
      <c r="E132" s="74" t="s">
        <v>87</v>
      </c>
      <c r="F132" s="86" t="s">
        <v>261</v>
      </c>
      <c r="G132" s="74" t="s">
        <v>262</v>
      </c>
      <c r="H132" s="87">
        <v>44255</v>
      </c>
      <c r="I132" s="94">
        <v>2697.73</v>
      </c>
      <c r="J132" s="94">
        <v>2023.3</v>
      </c>
      <c r="K132" s="94">
        <v>674.43</v>
      </c>
    </row>
    <row r="133" spans="1:11">
      <c r="A133" s="74" t="s">
        <v>113</v>
      </c>
      <c r="B133" s="74" t="s">
        <v>263</v>
      </c>
      <c r="C133" s="74" t="s">
        <v>264</v>
      </c>
      <c r="D133" s="74" t="s">
        <v>86</v>
      </c>
      <c r="E133" s="74" t="s">
        <v>88</v>
      </c>
      <c r="F133" s="86" t="s">
        <v>149</v>
      </c>
      <c r="G133" s="74" t="s">
        <v>265</v>
      </c>
      <c r="H133" s="87">
        <v>44255</v>
      </c>
      <c r="I133" s="94">
        <v>5501.97</v>
      </c>
      <c r="J133" s="94">
        <v>4126.48</v>
      </c>
      <c r="K133" s="94">
        <v>1375.49</v>
      </c>
    </row>
    <row r="134" spans="1:11">
      <c r="A134" s="74" t="s">
        <v>113</v>
      </c>
      <c r="B134" s="74" t="s">
        <v>266</v>
      </c>
      <c r="C134" s="74" t="s">
        <v>267</v>
      </c>
      <c r="D134" s="74" t="s">
        <v>86</v>
      </c>
      <c r="E134" s="74" t="s">
        <v>88</v>
      </c>
      <c r="F134" s="86" t="s">
        <v>243</v>
      </c>
      <c r="G134" s="74" t="s">
        <v>268</v>
      </c>
      <c r="H134" s="87">
        <v>44255</v>
      </c>
      <c r="I134" s="94">
        <v>4198.53</v>
      </c>
      <c r="J134" s="94">
        <v>3148.9</v>
      </c>
      <c r="K134" s="94">
        <v>1049.63</v>
      </c>
    </row>
    <row r="135" spans="1:11">
      <c r="A135" s="74" t="s">
        <v>113</v>
      </c>
      <c r="B135" s="74" t="s">
        <v>269</v>
      </c>
      <c r="C135" s="74" t="s">
        <v>270</v>
      </c>
      <c r="D135" s="74" t="s">
        <v>86</v>
      </c>
      <c r="E135" s="74" t="s">
        <v>88</v>
      </c>
      <c r="F135" s="86" t="s">
        <v>247</v>
      </c>
      <c r="G135" s="74" t="s">
        <v>268</v>
      </c>
      <c r="H135" s="87">
        <v>44255</v>
      </c>
      <c r="I135" s="94">
        <v>3921.89</v>
      </c>
      <c r="J135" s="94">
        <v>2941.42</v>
      </c>
      <c r="K135" s="94">
        <v>980.47</v>
      </c>
    </row>
    <row r="136" spans="1:11">
      <c r="A136" s="74" t="s">
        <v>113</v>
      </c>
      <c r="B136" s="74" t="s">
        <v>271</v>
      </c>
      <c r="C136" s="74" t="s">
        <v>272</v>
      </c>
      <c r="D136" s="74" t="s">
        <v>86</v>
      </c>
      <c r="E136" s="74" t="s">
        <v>88</v>
      </c>
      <c r="F136" s="86" t="s">
        <v>251</v>
      </c>
      <c r="G136" s="74" t="s">
        <v>268</v>
      </c>
      <c r="H136" s="87">
        <v>44255</v>
      </c>
      <c r="I136" s="94">
        <v>3613</v>
      </c>
      <c r="J136" s="94">
        <v>2709.75</v>
      </c>
      <c r="K136" s="94">
        <v>903.25</v>
      </c>
    </row>
    <row r="137" spans="1:11">
      <c r="A137" s="74" t="s">
        <v>113</v>
      </c>
      <c r="B137" s="74" t="s">
        <v>273</v>
      </c>
      <c r="C137" s="74" t="s">
        <v>274</v>
      </c>
      <c r="D137" s="74" t="s">
        <v>86</v>
      </c>
      <c r="E137" s="74" t="s">
        <v>88</v>
      </c>
      <c r="F137" s="86" t="s">
        <v>255</v>
      </c>
      <c r="G137" s="74" t="s">
        <v>268</v>
      </c>
      <c r="H137" s="87">
        <v>44255</v>
      </c>
      <c r="I137" s="94">
        <v>3126.43</v>
      </c>
      <c r="J137" s="94">
        <v>2344.82</v>
      </c>
      <c r="K137" s="94">
        <v>781.61</v>
      </c>
    </row>
    <row r="138" spans="1:11">
      <c r="A138" s="74" t="s">
        <v>113</v>
      </c>
      <c r="B138" s="74" t="s">
        <v>275</v>
      </c>
      <c r="C138" s="74" t="s">
        <v>276</v>
      </c>
      <c r="D138" s="74" t="s">
        <v>86</v>
      </c>
      <c r="E138" s="74" t="s">
        <v>88</v>
      </c>
      <c r="F138" s="86" t="s">
        <v>258</v>
      </c>
      <c r="G138" s="74" t="s">
        <v>268</v>
      </c>
      <c r="H138" s="87">
        <v>44255</v>
      </c>
      <c r="I138" s="94">
        <v>2980.02</v>
      </c>
      <c r="J138" s="94">
        <v>2235.02</v>
      </c>
      <c r="K138" s="94">
        <v>745</v>
      </c>
    </row>
    <row r="139" spans="1:11">
      <c r="A139" s="74" t="s">
        <v>113</v>
      </c>
      <c r="B139" s="74" t="s">
        <v>277</v>
      </c>
      <c r="C139" s="74" t="s">
        <v>278</v>
      </c>
      <c r="D139" s="74" t="s">
        <v>86</v>
      </c>
      <c r="E139" s="74" t="s">
        <v>89</v>
      </c>
      <c r="F139" s="86" t="s">
        <v>279</v>
      </c>
      <c r="G139" s="74" t="s">
        <v>280</v>
      </c>
      <c r="H139" s="87">
        <v>44255</v>
      </c>
      <c r="I139" s="94">
        <v>4760.59</v>
      </c>
      <c r="J139" s="94">
        <v>3570.44</v>
      </c>
      <c r="K139" s="94">
        <v>1190.15</v>
      </c>
    </row>
    <row r="140" spans="1:11">
      <c r="A140" s="74" t="s">
        <v>113</v>
      </c>
      <c r="B140" s="74" t="s">
        <v>281</v>
      </c>
      <c r="C140" s="74" t="s">
        <v>282</v>
      </c>
      <c r="D140" s="74" t="s">
        <v>86</v>
      </c>
      <c r="E140" s="74" t="s">
        <v>89</v>
      </c>
      <c r="F140" s="86" t="s">
        <v>225</v>
      </c>
      <c r="G140" s="74" t="s">
        <v>283</v>
      </c>
      <c r="H140" s="87">
        <v>44255</v>
      </c>
      <c r="I140" s="94">
        <v>3374.47</v>
      </c>
      <c r="J140" s="94">
        <v>2530.85</v>
      </c>
      <c r="K140" s="94">
        <v>843.62</v>
      </c>
    </row>
    <row r="141" spans="1:11">
      <c r="A141" s="74" t="s">
        <v>113</v>
      </c>
      <c r="B141" s="74" t="s">
        <v>284</v>
      </c>
      <c r="C141" s="74" t="s">
        <v>285</v>
      </c>
      <c r="D141" s="74" t="s">
        <v>86</v>
      </c>
      <c r="E141" s="74" t="s">
        <v>89</v>
      </c>
      <c r="F141" s="86" t="s">
        <v>208</v>
      </c>
      <c r="G141" s="74" t="s">
        <v>283</v>
      </c>
      <c r="H141" s="87">
        <v>44255</v>
      </c>
      <c r="I141" s="94">
        <v>2951.33</v>
      </c>
      <c r="J141" s="94">
        <v>2213.5</v>
      </c>
      <c r="K141" s="94">
        <v>737.83</v>
      </c>
    </row>
    <row r="142" spans="1:11">
      <c r="A142" s="74" t="s">
        <v>113</v>
      </c>
      <c r="B142" s="74" t="s">
        <v>286</v>
      </c>
      <c r="C142" s="74" t="s">
        <v>287</v>
      </c>
      <c r="D142" s="74" t="s">
        <v>82</v>
      </c>
      <c r="E142" s="88" t="s">
        <v>85</v>
      </c>
      <c r="F142" s="86" t="s">
        <v>288</v>
      </c>
      <c r="G142" s="74" t="s">
        <v>289</v>
      </c>
      <c r="H142" s="87">
        <v>44255</v>
      </c>
      <c r="I142" s="94">
        <v>4709.91</v>
      </c>
      <c r="J142" s="94">
        <v>3532.43</v>
      </c>
      <c r="K142" s="94">
        <v>1177.48</v>
      </c>
    </row>
    <row r="143" spans="1:11">
      <c r="A143" s="74" t="s">
        <v>113</v>
      </c>
      <c r="B143" s="74" t="s">
        <v>290</v>
      </c>
      <c r="C143" s="74" t="s">
        <v>291</v>
      </c>
      <c r="D143" s="74" t="s">
        <v>82</v>
      </c>
      <c r="E143" s="88" t="s">
        <v>85</v>
      </c>
      <c r="F143" s="86" t="s">
        <v>218</v>
      </c>
      <c r="G143" s="74" t="s">
        <v>289</v>
      </c>
      <c r="H143" s="87">
        <v>44255</v>
      </c>
      <c r="I143" s="94">
        <v>4524.27</v>
      </c>
      <c r="J143" s="94">
        <v>3393.2</v>
      </c>
      <c r="K143" s="94">
        <v>1131.07</v>
      </c>
    </row>
    <row r="144" spans="1:11">
      <c r="A144" s="74" t="s">
        <v>113</v>
      </c>
      <c r="B144" s="74" t="s">
        <v>292</v>
      </c>
      <c r="C144" s="74" t="s">
        <v>293</v>
      </c>
      <c r="D144" s="74" t="s">
        <v>82</v>
      </c>
      <c r="E144" s="88" t="s">
        <v>85</v>
      </c>
      <c r="F144" s="86" t="s">
        <v>225</v>
      </c>
      <c r="G144" s="74" t="s">
        <v>289</v>
      </c>
      <c r="H144" s="87">
        <v>44255</v>
      </c>
      <c r="I144" s="94">
        <v>4098.28</v>
      </c>
      <c r="J144" s="94">
        <v>3073.71</v>
      </c>
      <c r="K144" s="94">
        <v>1024.57</v>
      </c>
    </row>
    <row r="145" spans="1:11">
      <c r="A145" s="74" t="s">
        <v>113</v>
      </c>
      <c r="B145" s="74" t="s">
        <v>294</v>
      </c>
      <c r="C145" s="74" t="s">
        <v>295</v>
      </c>
      <c r="D145" s="74" t="s">
        <v>82</v>
      </c>
      <c r="E145" s="88" t="s">
        <v>85</v>
      </c>
      <c r="F145" s="86" t="s">
        <v>208</v>
      </c>
      <c r="G145" s="74" t="s">
        <v>289</v>
      </c>
      <c r="H145" s="87">
        <v>44255</v>
      </c>
      <c r="I145" s="94">
        <v>3604.89</v>
      </c>
      <c r="J145" s="94">
        <v>2703.67</v>
      </c>
      <c r="K145" s="94">
        <v>901.22</v>
      </c>
    </row>
    <row r="146" spans="1:11">
      <c r="A146" s="74" t="s">
        <v>113</v>
      </c>
      <c r="B146" s="74" t="s">
        <v>296</v>
      </c>
      <c r="C146" s="74" t="s">
        <v>297</v>
      </c>
      <c r="D146" s="74" t="s">
        <v>82</v>
      </c>
      <c r="E146" s="88" t="s">
        <v>85</v>
      </c>
      <c r="F146" s="86" t="s">
        <v>116</v>
      </c>
      <c r="G146" s="74" t="s">
        <v>289</v>
      </c>
      <c r="H146" s="87">
        <v>44255</v>
      </c>
      <c r="I146" s="94">
        <v>3327.17</v>
      </c>
      <c r="J146" s="94">
        <v>2495.38</v>
      </c>
      <c r="K146" s="94">
        <v>831.79</v>
      </c>
    </row>
    <row r="147" spans="1:11">
      <c r="A147" s="74" t="s">
        <v>113</v>
      </c>
      <c r="B147" s="74" t="s">
        <v>298</v>
      </c>
      <c r="C147" s="74" t="s">
        <v>299</v>
      </c>
      <c r="D147" s="74" t="s">
        <v>82</v>
      </c>
      <c r="E147" s="88" t="s">
        <v>85</v>
      </c>
      <c r="F147" s="86" t="s">
        <v>279</v>
      </c>
      <c r="G147" s="74" t="s">
        <v>300</v>
      </c>
      <c r="H147" s="87">
        <v>44255</v>
      </c>
      <c r="I147" s="94">
        <v>5937.13</v>
      </c>
      <c r="J147" s="94">
        <v>4452.85</v>
      </c>
      <c r="K147" s="94">
        <v>1484.28</v>
      </c>
    </row>
    <row r="148" spans="1:11">
      <c r="A148" s="74" t="s">
        <v>113</v>
      </c>
      <c r="B148" s="74" t="s">
        <v>301</v>
      </c>
      <c r="C148" s="74" t="s">
        <v>302</v>
      </c>
      <c r="D148" s="74" t="s">
        <v>82</v>
      </c>
      <c r="E148" s="88" t="s">
        <v>85</v>
      </c>
      <c r="F148" s="86" t="s">
        <v>279</v>
      </c>
      <c r="G148" s="74" t="s">
        <v>303</v>
      </c>
      <c r="H148" s="87">
        <v>44255</v>
      </c>
      <c r="I148" s="94">
        <v>6254.68</v>
      </c>
      <c r="J148" s="94">
        <v>4691.01</v>
      </c>
      <c r="K148" s="94">
        <v>1563.67</v>
      </c>
    </row>
    <row r="149" spans="1:11">
      <c r="A149" s="74" t="s">
        <v>113</v>
      </c>
      <c r="B149" s="74" t="s">
        <v>304</v>
      </c>
      <c r="C149" s="74" t="s">
        <v>305</v>
      </c>
      <c r="D149" s="74" t="s">
        <v>86</v>
      </c>
      <c r="E149" s="74" t="s">
        <v>90</v>
      </c>
      <c r="F149" s="86" t="s">
        <v>306</v>
      </c>
      <c r="G149" s="74" t="s">
        <v>307</v>
      </c>
      <c r="H149" s="87">
        <v>44255</v>
      </c>
      <c r="I149" s="94">
        <v>6574.09</v>
      </c>
      <c r="J149" s="94">
        <v>4930.57</v>
      </c>
      <c r="K149" s="94">
        <v>1643.52</v>
      </c>
    </row>
    <row r="150" spans="1:11">
      <c r="A150" s="74" t="s">
        <v>113</v>
      </c>
      <c r="B150" s="74" t="s">
        <v>114</v>
      </c>
      <c r="C150" s="74" t="s">
        <v>115</v>
      </c>
      <c r="D150" s="74" t="s">
        <v>79</v>
      </c>
      <c r="E150" s="74" t="s">
        <v>80</v>
      </c>
      <c r="F150" s="86" t="s">
        <v>116</v>
      </c>
      <c r="G150" s="74" t="s">
        <v>117</v>
      </c>
      <c r="H150" s="87">
        <v>44286</v>
      </c>
      <c r="I150" s="94">
        <v>3326.91</v>
      </c>
      <c r="J150" s="94">
        <v>2495.18</v>
      </c>
      <c r="K150" s="94">
        <v>831.73</v>
      </c>
    </row>
    <row r="151" spans="1:11">
      <c r="A151" s="74" t="s">
        <v>113</v>
      </c>
      <c r="B151" s="74" t="s">
        <v>118</v>
      </c>
      <c r="C151" s="74" t="s">
        <v>119</v>
      </c>
      <c r="D151" s="74" t="s">
        <v>79</v>
      </c>
      <c r="E151" s="74" t="s">
        <v>80</v>
      </c>
      <c r="F151" s="86" t="s">
        <v>120</v>
      </c>
      <c r="G151" s="74" t="s">
        <v>117</v>
      </c>
      <c r="H151" s="87">
        <v>44286</v>
      </c>
      <c r="I151" s="94">
        <v>2884.16</v>
      </c>
      <c r="J151" s="94">
        <v>2163.12</v>
      </c>
      <c r="K151" s="94">
        <v>721.04</v>
      </c>
    </row>
    <row r="152" spans="1:11">
      <c r="A152" s="74" t="s">
        <v>113</v>
      </c>
      <c r="B152" s="74" t="s">
        <v>121</v>
      </c>
      <c r="C152" s="74" t="s">
        <v>122</v>
      </c>
      <c r="D152" s="74" t="s">
        <v>79</v>
      </c>
      <c r="E152" s="74" t="s">
        <v>80</v>
      </c>
      <c r="F152" s="86" t="s">
        <v>123</v>
      </c>
      <c r="G152" s="74" t="s">
        <v>117</v>
      </c>
      <c r="H152" s="87">
        <v>44286</v>
      </c>
      <c r="I152" s="94">
        <v>2508.05</v>
      </c>
      <c r="J152" s="94">
        <v>1881.04</v>
      </c>
      <c r="K152" s="94">
        <v>627.01</v>
      </c>
    </row>
    <row r="153" spans="1:11">
      <c r="A153" s="74" t="s">
        <v>113</v>
      </c>
      <c r="B153" s="74" t="s">
        <v>124</v>
      </c>
      <c r="C153" s="74" t="s">
        <v>125</v>
      </c>
      <c r="D153" s="74" t="s">
        <v>79</v>
      </c>
      <c r="E153" s="74" t="s">
        <v>80</v>
      </c>
      <c r="F153" s="86" t="s">
        <v>116</v>
      </c>
      <c r="G153" s="74" t="s">
        <v>117</v>
      </c>
      <c r="H153" s="87">
        <v>44286</v>
      </c>
      <c r="I153" s="94">
        <v>3260.86</v>
      </c>
      <c r="J153" s="94">
        <v>2445.65</v>
      </c>
      <c r="K153" s="94">
        <v>815.21</v>
      </c>
    </row>
    <row r="154" spans="1:11">
      <c r="A154" s="74" t="s">
        <v>113</v>
      </c>
      <c r="B154" s="74" t="s">
        <v>126</v>
      </c>
      <c r="C154" s="74" t="s">
        <v>127</v>
      </c>
      <c r="D154" s="74" t="s">
        <v>79</v>
      </c>
      <c r="E154" s="74" t="s">
        <v>80</v>
      </c>
      <c r="F154" s="86" t="s">
        <v>120</v>
      </c>
      <c r="G154" s="74" t="s">
        <v>117</v>
      </c>
      <c r="H154" s="87">
        <v>44286</v>
      </c>
      <c r="I154" s="94">
        <v>2848.12</v>
      </c>
      <c r="J154" s="94">
        <v>2136.09</v>
      </c>
      <c r="K154" s="94">
        <v>712.03</v>
      </c>
    </row>
    <row r="155" spans="1:11">
      <c r="A155" s="74" t="s">
        <v>113</v>
      </c>
      <c r="B155" s="74" t="s">
        <v>128</v>
      </c>
      <c r="C155" s="74" t="s">
        <v>129</v>
      </c>
      <c r="D155" s="74" t="s">
        <v>79</v>
      </c>
      <c r="E155" s="74" t="s">
        <v>80</v>
      </c>
      <c r="F155" s="86" t="s">
        <v>123</v>
      </c>
      <c r="G155" s="74" t="s">
        <v>117</v>
      </c>
      <c r="H155" s="87">
        <v>44286</v>
      </c>
      <c r="I155" s="94">
        <v>2344.89</v>
      </c>
      <c r="J155" s="94">
        <v>1758.67</v>
      </c>
      <c r="K155" s="94">
        <v>586.22</v>
      </c>
    </row>
    <row r="156" spans="1:11">
      <c r="A156" s="74" t="s">
        <v>113</v>
      </c>
      <c r="B156" s="74" t="s">
        <v>130</v>
      </c>
      <c r="C156" s="74" t="s">
        <v>131</v>
      </c>
      <c r="D156" s="74" t="s">
        <v>79</v>
      </c>
      <c r="E156" s="74" t="s">
        <v>80</v>
      </c>
      <c r="F156" s="86" t="s">
        <v>116</v>
      </c>
      <c r="G156" s="74" t="s">
        <v>117</v>
      </c>
      <c r="H156" s="87">
        <v>44286</v>
      </c>
      <c r="I156" s="94">
        <v>3172.83</v>
      </c>
      <c r="J156" s="94">
        <v>2379.62</v>
      </c>
      <c r="K156" s="94">
        <v>793.21</v>
      </c>
    </row>
    <row r="157" spans="1:11">
      <c r="A157" s="74" t="s">
        <v>113</v>
      </c>
      <c r="B157" s="74" t="s">
        <v>132</v>
      </c>
      <c r="C157" s="74" t="s">
        <v>133</v>
      </c>
      <c r="D157" s="74" t="s">
        <v>79</v>
      </c>
      <c r="E157" s="74" t="s">
        <v>80</v>
      </c>
      <c r="F157" s="86" t="s">
        <v>120</v>
      </c>
      <c r="G157" s="74" t="s">
        <v>117</v>
      </c>
      <c r="H157" s="87">
        <v>44286</v>
      </c>
      <c r="I157" s="94">
        <v>2777.63</v>
      </c>
      <c r="J157" s="94">
        <v>2083.22</v>
      </c>
      <c r="K157" s="94">
        <v>694.41</v>
      </c>
    </row>
    <row r="158" spans="1:11">
      <c r="A158" s="74" t="s">
        <v>113</v>
      </c>
      <c r="B158" s="74" t="s">
        <v>134</v>
      </c>
      <c r="C158" s="74" t="s">
        <v>135</v>
      </c>
      <c r="D158" s="74" t="s">
        <v>79</v>
      </c>
      <c r="E158" s="74" t="s">
        <v>80</v>
      </c>
      <c r="F158" s="86" t="s">
        <v>123</v>
      </c>
      <c r="G158" s="74" t="s">
        <v>117</v>
      </c>
      <c r="H158" s="87">
        <v>44286</v>
      </c>
      <c r="I158" s="94">
        <v>2482.45</v>
      </c>
      <c r="J158" s="94">
        <v>1861.84</v>
      </c>
      <c r="K158" s="94">
        <v>620.61</v>
      </c>
    </row>
    <row r="159" spans="1:11">
      <c r="A159" s="74" t="s">
        <v>113</v>
      </c>
      <c r="B159" s="74" t="s">
        <v>136</v>
      </c>
      <c r="C159" s="74" t="s">
        <v>137</v>
      </c>
      <c r="D159" s="74" t="s">
        <v>79</v>
      </c>
      <c r="E159" s="74" t="s">
        <v>80</v>
      </c>
      <c r="F159" s="86" t="s">
        <v>116</v>
      </c>
      <c r="G159" s="74" t="s">
        <v>138</v>
      </c>
      <c r="H159" s="87">
        <v>44286</v>
      </c>
      <c r="I159" s="94">
        <v>3303.08</v>
      </c>
      <c r="J159" s="94">
        <v>2477.31</v>
      </c>
      <c r="K159" s="94">
        <v>825.77</v>
      </c>
    </row>
    <row r="160" spans="1:11">
      <c r="A160" s="74" t="s">
        <v>113</v>
      </c>
      <c r="B160" s="74" t="s">
        <v>139</v>
      </c>
      <c r="C160" s="74" t="s">
        <v>140</v>
      </c>
      <c r="D160" s="74" t="s">
        <v>79</v>
      </c>
      <c r="E160" s="74" t="s">
        <v>80</v>
      </c>
      <c r="F160" s="86" t="s">
        <v>120</v>
      </c>
      <c r="G160" s="74" t="s">
        <v>138</v>
      </c>
      <c r="H160" s="87">
        <v>44286</v>
      </c>
      <c r="I160" s="94">
        <v>2826.75</v>
      </c>
      <c r="J160" s="94">
        <v>2120.06</v>
      </c>
      <c r="K160" s="94">
        <v>706.69</v>
      </c>
    </row>
    <row r="161" spans="1:11">
      <c r="A161" s="74" t="s">
        <v>113</v>
      </c>
      <c r="B161" s="74" t="s">
        <v>141</v>
      </c>
      <c r="C161" s="74" t="s">
        <v>142</v>
      </c>
      <c r="D161" s="74" t="s">
        <v>79</v>
      </c>
      <c r="E161" s="74" t="s">
        <v>80</v>
      </c>
      <c r="F161" s="86" t="s">
        <v>123</v>
      </c>
      <c r="G161" s="74" t="s">
        <v>138</v>
      </c>
      <c r="H161" s="87">
        <v>44286</v>
      </c>
      <c r="I161" s="94">
        <v>2382.43</v>
      </c>
      <c r="J161" s="94">
        <v>1786.82</v>
      </c>
      <c r="K161" s="94">
        <v>595.61</v>
      </c>
    </row>
    <row r="162" spans="1:11">
      <c r="A162" s="74" t="s">
        <v>113</v>
      </c>
      <c r="B162" s="74" t="s">
        <v>143</v>
      </c>
      <c r="C162" s="74" t="s">
        <v>144</v>
      </c>
      <c r="D162" s="74" t="s">
        <v>79</v>
      </c>
      <c r="E162" s="74" t="s">
        <v>80</v>
      </c>
      <c r="F162" s="86" t="s">
        <v>145</v>
      </c>
      <c r="G162" s="74" t="s">
        <v>146</v>
      </c>
      <c r="H162" s="87">
        <v>44286</v>
      </c>
      <c r="I162" s="94">
        <v>7568.15</v>
      </c>
      <c r="J162" s="94">
        <v>5676.11</v>
      </c>
      <c r="K162" s="94">
        <v>1892.04</v>
      </c>
    </row>
    <row r="163" spans="1:11">
      <c r="A163" s="74" t="s">
        <v>113</v>
      </c>
      <c r="B163" s="74" t="s">
        <v>147</v>
      </c>
      <c r="C163" s="74" t="s">
        <v>148</v>
      </c>
      <c r="D163" s="74" t="s">
        <v>79</v>
      </c>
      <c r="E163" s="74" t="s">
        <v>80</v>
      </c>
      <c r="F163" s="86" t="s">
        <v>149</v>
      </c>
      <c r="G163" s="74" t="s">
        <v>150</v>
      </c>
      <c r="H163" s="87">
        <v>44286</v>
      </c>
      <c r="I163" s="94">
        <v>6761.28</v>
      </c>
      <c r="J163" s="94">
        <v>5070.96</v>
      </c>
      <c r="K163" s="94">
        <v>1690.32</v>
      </c>
    </row>
    <row r="164" spans="1:11">
      <c r="A164" s="74" t="s">
        <v>113</v>
      </c>
      <c r="B164" s="74" t="s">
        <v>151</v>
      </c>
      <c r="C164" s="74" t="s">
        <v>152</v>
      </c>
      <c r="D164" s="74" t="s">
        <v>79</v>
      </c>
      <c r="E164" s="74" t="s">
        <v>81</v>
      </c>
      <c r="F164" s="86" t="s">
        <v>123</v>
      </c>
      <c r="G164" s="74" t="s">
        <v>153</v>
      </c>
      <c r="H164" s="87">
        <v>44286</v>
      </c>
      <c r="I164" s="94">
        <v>2569.4</v>
      </c>
      <c r="J164" s="94">
        <v>1927.05</v>
      </c>
      <c r="K164" s="94">
        <v>642.35</v>
      </c>
    </row>
    <row r="165" spans="1:11">
      <c r="A165" s="74" t="s">
        <v>113</v>
      </c>
      <c r="B165" s="74" t="s">
        <v>154</v>
      </c>
      <c r="C165" s="74" t="s">
        <v>155</v>
      </c>
      <c r="D165" s="74" t="s">
        <v>79</v>
      </c>
      <c r="E165" s="74" t="s">
        <v>81</v>
      </c>
      <c r="F165" s="86" t="s">
        <v>156</v>
      </c>
      <c r="G165" s="74" t="s">
        <v>157</v>
      </c>
      <c r="H165" s="87">
        <v>44286</v>
      </c>
      <c r="I165" s="94">
        <v>2142.73</v>
      </c>
      <c r="J165" s="94">
        <v>1607.05</v>
      </c>
      <c r="K165" s="94">
        <v>535.68</v>
      </c>
    </row>
    <row r="166" spans="1:11">
      <c r="A166" s="74" t="s">
        <v>113</v>
      </c>
      <c r="B166" s="74" t="s">
        <v>158</v>
      </c>
      <c r="C166" s="74" t="s">
        <v>159</v>
      </c>
      <c r="D166" s="74" t="s">
        <v>79</v>
      </c>
      <c r="E166" s="74" t="s">
        <v>81</v>
      </c>
      <c r="F166" s="86" t="s">
        <v>160</v>
      </c>
      <c r="G166" s="74" t="s">
        <v>161</v>
      </c>
      <c r="H166" s="87">
        <v>44286</v>
      </c>
      <c r="I166" s="94">
        <v>1684.8</v>
      </c>
      <c r="J166" s="94">
        <v>1263.6</v>
      </c>
      <c r="K166" s="94">
        <v>421.2</v>
      </c>
    </row>
    <row r="167" spans="1:11">
      <c r="A167" s="74" t="s">
        <v>113</v>
      </c>
      <c r="B167" s="74" t="s">
        <v>162</v>
      </c>
      <c r="C167" s="74" t="s">
        <v>163</v>
      </c>
      <c r="D167" s="74" t="s">
        <v>79</v>
      </c>
      <c r="E167" s="74" t="s">
        <v>81</v>
      </c>
      <c r="F167" s="86" t="s">
        <v>123</v>
      </c>
      <c r="G167" s="74" t="s">
        <v>153</v>
      </c>
      <c r="H167" s="87">
        <v>44286</v>
      </c>
      <c r="I167" s="94">
        <v>2448.63</v>
      </c>
      <c r="J167" s="94">
        <v>1836.47</v>
      </c>
      <c r="K167" s="94">
        <v>612.16</v>
      </c>
    </row>
    <row r="168" spans="1:11">
      <c r="A168" s="74" t="s">
        <v>113</v>
      </c>
      <c r="B168" s="74" t="s">
        <v>164</v>
      </c>
      <c r="C168" s="74" t="s">
        <v>165</v>
      </c>
      <c r="D168" s="74" t="s">
        <v>79</v>
      </c>
      <c r="E168" s="74" t="s">
        <v>81</v>
      </c>
      <c r="F168" s="86" t="s">
        <v>156</v>
      </c>
      <c r="G168" s="74" t="s">
        <v>157</v>
      </c>
      <c r="H168" s="87">
        <v>44286</v>
      </c>
      <c r="I168" s="94">
        <v>2078.21</v>
      </c>
      <c r="J168" s="94">
        <v>1558.66</v>
      </c>
      <c r="K168" s="94">
        <v>519.55</v>
      </c>
    </row>
    <row r="169" spans="1:11">
      <c r="A169" s="74" t="s">
        <v>113</v>
      </c>
      <c r="B169" s="74" t="s">
        <v>166</v>
      </c>
      <c r="C169" s="74" t="s">
        <v>167</v>
      </c>
      <c r="D169" s="74" t="s">
        <v>79</v>
      </c>
      <c r="E169" s="74" t="s">
        <v>81</v>
      </c>
      <c r="F169" s="86" t="s">
        <v>160</v>
      </c>
      <c r="G169" s="74" t="s">
        <v>161</v>
      </c>
      <c r="H169" s="87">
        <v>44286</v>
      </c>
      <c r="I169" s="94">
        <v>1708.82</v>
      </c>
      <c r="J169" s="94">
        <v>1281.62</v>
      </c>
      <c r="K169" s="94">
        <v>427.2</v>
      </c>
    </row>
    <row r="170" spans="1:11">
      <c r="A170" s="74" t="s">
        <v>113</v>
      </c>
      <c r="B170" s="74" t="s">
        <v>168</v>
      </c>
      <c r="C170" s="74" t="s">
        <v>169</v>
      </c>
      <c r="D170" s="74" t="s">
        <v>79</v>
      </c>
      <c r="E170" s="74" t="s">
        <v>81</v>
      </c>
      <c r="F170" s="86" t="s">
        <v>123</v>
      </c>
      <c r="G170" s="74" t="s">
        <v>153</v>
      </c>
      <c r="H170" s="87">
        <v>44286</v>
      </c>
      <c r="I170" s="94">
        <v>2542.51</v>
      </c>
      <c r="J170" s="94">
        <v>1906.88</v>
      </c>
      <c r="K170" s="94">
        <v>635.63</v>
      </c>
    </row>
    <row r="171" spans="1:11">
      <c r="A171" s="74" t="s">
        <v>113</v>
      </c>
      <c r="B171" s="74" t="s">
        <v>170</v>
      </c>
      <c r="C171" s="74" t="s">
        <v>171</v>
      </c>
      <c r="D171" s="74" t="s">
        <v>79</v>
      </c>
      <c r="E171" s="74" t="s">
        <v>81</v>
      </c>
      <c r="F171" s="86" t="s">
        <v>156</v>
      </c>
      <c r="G171" s="74" t="s">
        <v>157</v>
      </c>
      <c r="H171" s="87">
        <v>44286</v>
      </c>
      <c r="I171" s="94">
        <v>2104.29</v>
      </c>
      <c r="J171" s="94">
        <v>1578.22</v>
      </c>
      <c r="K171" s="94">
        <v>526.07</v>
      </c>
    </row>
    <row r="172" spans="1:11">
      <c r="A172" s="74" t="s">
        <v>113</v>
      </c>
      <c r="B172" s="74" t="s">
        <v>172</v>
      </c>
      <c r="C172" s="74" t="s">
        <v>173</v>
      </c>
      <c r="D172" s="74" t="s">
        <v>79</v>
      </c>
      <c r="E172" s="74" t="s">
        <v>81</v>
      </c>
      <c r="F172" s="86" t="s">
        <v>160</v>
      </c>
      <c r="G172" s="74" t="s">
        <v>161</v>
      </c>
      <c r="H172" s="87">
        <v>44286</v>
      </c>
      <c r="I172" s="94">
        <v>1564.67</v>
      </c>
      <c r="J172" s="94">
        <v>1173.5</v>
      </c>
      <c r="K172" s="94">
        <v>391.17</v>
      </c>
    </row>
    <row r="173" spans="1:11">
      <c r="A173" s="74" t="s">
        <v>113</v>
      </c>
      <c r="B173" s="74" t="s">
        <v>174</v>
      </c>
      <c r="C173" s="74" t="s">
        <v>175</v>
      </c>
      <c r="D173" s="74" t="s">
        <v>79</v>
      </c>
      <c r="E173" s="74" t="s">
        <v>81</v>
      </c>
      <c r="F173" s="86" t="s">
        <v>176</v>
      </c>
      <c r="G173" s="74" t="s">
        <v>177</v>
      </c>
      <c r="H173" s="87">
        <v>44286</v>
      </c>
      <c r="I173" s="94">
        <v>1188.34</v>
      </c>
      <c r="J173" s="94">
        <v>891.26</v>
      </c>
      <c r="K173" s="94">
        <v>297.08</v>
      </c>
    </row>
    <row r="174" spans="1:11">
      <c r="A174" s="74" t="s">
        <v>113</v>
      </c>
      <c r="B174" s="74" t="s">
        <v>178</v>
      </c>
      <c r="C174" s="74" t="s">
        <v>179</v>
      </c>
      <c r="D174" s="74" t="s">
        <v>79</v>
      </c>
      <c r="E174" s="74" t="s">
        <v>81</v>
      </c>
      <c r="F174" s="86" t="s">
        <v>180</v>
      </c>
      <c r="G174" s="74" t="s">
        <v>177</v>
      </c>
      <c r="H174" s="87">
        <v>44286</v>
      </c>
      <c r="I174" s="94">
        <v>815.3</v>
      </c>
      <c r="J174" s="94">
        <v>611.48</v>
      </c>
      <c r="K174" s="94">
        <v>203.82</v>
      </c>
    </row>
    <row r="175" spans="1:11">
      <c r="A175" s="74" t="s">
        <v>113</v>
      </c>
      <c r="B175" s="74" t="s">
        <v>181</v>
      </c>
      <c r="C175" s="74" t="s">
        <v>182</v>
      </c>
      <c r="D175" s="74" t="s">
        <v>79</v>
      </c>
      <c r="E175" s="74" t="s">
        <v>81</v>
      </c>
      <c r="F175" s="86" t="s">
        <v>183</v>
      </c>
      <c r="G175" s="74" t="s">
        <v>177</v>
      </c>
      <c r="H175" s="87">
        <v>44286</v>
      </c>
      <c r="I175" s="94">
        <v>392.3</v>
      </c>
      <c r="J175" s="94">
        <v>294.23</v>
      </c>
      <c r="K175" s="94">
        <v>98.07</v>
      </c>
    </row>
    <row r="176" spans="1:11">
      <c r="A176" s="74" t="s">
        <v>113</v>
      </c>
      <c r="B176" s="74" t="s">
        <v>184</v>
      </c>
      <c r="C176" s="74" t="s">
        <v>185</v>
      </c>
      <c r="D176" s="74" t="s">
        <v>79</v>
      </c>
      <c r="E176" s="74" t="s">
        <v>81</v>
      </c>
      <c r="F176" s="86" t="s">
        <v>176</v>
      </c>
      <c r="G176" s="74" t="s">
        <v>177</v>
      </c>
      <c r="H176" s="87">
        <v>44286</v>
      </c>
      <c r="I176" s="94">
        <v>1268.95</v>
      </c>
      <c r="J176" s="94">
        <v>951.71</v>
      </c>
      <c r="K176" s="94">
        <v>317.24</v>
      </c>
    </row>
    <row r="177" spans="1:11">
      <c r="A177" s="74" t="s">
        <v>113</v>
      </c>
      <c r="B177" s="74" t="s">
        <v>186</v>
      </c>
      <c r="C177" s="74" t="s">
        <v>187</v>
      </c>
      <c r="D177" s="74" t="s">
        <v>79</v>
      </c>
      <c r="E177" s="74" t="s">
        <v>81</v>
      </c>
      <c r="F177" s="86" t="s">
        <v>180</v>
      </c>
      <c r="G177" s="74" t="s">
        <v>177</v>
      </c>
      <c r="H177" s="87">
        <v>44286</v>
      </c>
      <c r="I177" s="94">
        <v>790.18</v>
      </c>
      <c r="J177" s="94">
        <v>592.64</v>
      </c>
      <c r="K177" s="94">
        <v>197.54</v>
      </c>
    </row>
    <row r="178" spans="1:11">
      <c r="A178" s="74" t="s">
        <v>113</v>
      </c>
      <c r="B178" s="74" t="s">
        <v>188</v>
      </c>
      <c r="C178" s="74" t="s">
        <v>189</v>
      </c>
      <c r="D178" s="74" t="s">
        <v>79</v>
      </c>
      <c r="E178" s="74" t="s">
        <v>81</v>
      </c>
      <c r="F178" s="86" t="s">
        <v>183</v>
      </c>
      <c r="G178" s="74" t="s">
        <v>177</v>
      </c>
      <c r="H178" s="87">
        <v>44286</v>
      </c>
      <c r="I178" s="94">
        <v>417.53</v>
      </c>
      <c r="J178" s="94">
        <v>313.15</v>
      </c>
      <c r="K178" s="94">
        <v>104.38</v>
      </c>
    </row>
    <row r="179" spans="1:11">
      <c r="A179" s="74" t="s">
        <v>113</v>
      </c>
      <c r="B179" s="74" t="s">
        <v>190</v>
      </c>
      <c r="C179" s="74" t="s">
        <v>191</v>
      </c>
      <c r="D179" s="74" t="s">
        <v>79</v>
      </c>
      <c r="E179" s="74" t="s">
        <v>81</v>
      </c>
      <c r="F179" s="86" t="s">
        <v>176</v>
      </c>
      <c r="G179" s="74" t="s">
        <v>177</v>
      </c>
      <c r="H179" s="87">
        <v>44286</v>
      </c>
      <c r="I179" s="94">
        <v>1240.89</v>
      </c>
      <c r="J179" s="94">
        <v>930.67</v>
      </c>
      <c r="K179" s="94">
        <v>310.22</v>
      </c>
    </row>
    <row r="180" spans="1:11">
      <c r="A180" s="74" t="s">
        <v>113</v>
      </c>
      <c r="B180" s="74" t="s">
        <v>192</v>
      </c>
      <c r="C180" s="74" t="s">
        <v>193</v>
      </c>
      <c r="D180" s="74" t="s">
        <v>79</v>
      </c>
      <c r="E180" s="74" t="s">
        <v>81</v>
      </c>
      <c r="F180" s="86" t="s">
        <v>180</v>
      </c>
      <c r="G180" s="74" t="s">
        <v>177</v>
      </c>
      <c r="H180" s="87">
        <v>44286</v>
      </c>
      <c r="I180" s="94">
        <v>782.59</v>
      </c>
      <c r="J180" s="94">
        <v>586.94</v>
      </c>
      <c r="K180" s="94">
        <v>195.65</v>
      </c>
    </row>
    <row r="181" spans="1:11">
      <c r="A181" s="74" t="s">
        <v>113</v>
      </c>
      <c r="B181" s="74" t="s">
        <v>194</v>
      </c>
      <c r="C181" s="74" t="s">
        <v>195</v>
      </c>
      <c r="D181" s="74" t="s">
        <v>79</v>
      </c>
      <c r="E181" s="74" t="s">
        <v>81</v>
      </c>
      <c r="F181" s="86" t="s">
        <v>183</v>
      </c>
      <c r="G181" s="74" t="s">
        <v>177</v>
      </c>
      <c r="H181" s="87">
        <v>44286</v>
      </c>
      <c r="I181" s="94">
        <v>416.62</v>
      </c>
      <c r="J181" s="94">
        <v>312.47</v>
      </c>
      <c r="K181" s="94">
        <v>104.15</v>
      </c>
    </row>
    <row r="182" spans="1:11">
      <c r="A182" s="74" t="s">
        <v>113</v>
      </c>
      <c r="B182" s="74" t="s">
        <v>196</v>
      </c>
      <c r="C182" s="74" t="s">
        <v>197</v>
      </c>
      <c r="D182" s="74" t="s">
        <v>79</v>
      </c>
      <c r="E182" s="74" t="s">
        <v>81</v>
      </c>
      <c r="F182" s="86" t="s">
        <v>176</v>
      </c>
      <c r="G182" s="74" t="s">
        <v>177</v>
      </c>
      <c r="H182" s="87">
        <v>44286</v>
      </c>
      <c r="I182" s="94">
        <v>1250.34</v>
      </c>
      <c r="J182" s="94">
        <v>937.76</v>
      </c>
      <c r="K182" s="94">
        <v>312.58</v>
      </c>
    </row>
    <row r="183" spans="1:11">
      <c r="A183" s="74" t="s">
        <v>113</v>
      </c>
      <c r="B183" s="74" t="s">
        <v>198</v>
      </c>
      <c r="C183" s="74" t="s">
        <v>199</v>
      </c>
      <c r="D183" s="74" t="s">
        <v>79</v>
      </c>
      <c r="E183" s="74" t="s">
        <v>81</v>
      </c>
      <c r="F183" s="86" t="s">
        <v>180</v>
      </c>
      <c r="G183" s="74" t="s">
        <v>177</v>
      </c>
      <c r="H183" s="87">
        <v>44286</v>
      </c>
      <c r="I183" s="94">
        <v>781.69</v>
      </c>
      <c r="J183" s="94">
        <v>586.27</v>
      </c>
      <c r="K183" s="94">
        <v>195.42</v>
      </c>
    </row>
    <row r="184" spans="1:11">
      <c r="A184" s="74" t="s">
        <v>113</v>
      </c>
      <c r="B184" s="74" t="s">
        <v>200</v>
      </c>
      <c r="C184" s="74" t="s">
        <v>201</v>
      </c>
      <c r="D184" s="74" t="s">
        <v>79</v>
      </c>
      <c r="E184" s="74" t="s">
        <v>81</v>
      </c>
      <c r="F184" s="86" t="s">
        <v>183</v>
      </c>
      <c r="G184" s="74" t="s">
        <v>177</v>
      </c>
      <c r="H184" s="87">
        <v>44286</v>
      </c>
      <c r="I184" s="94">
        <v>406.83</v>
      </c>
      <c r="J184" s="94">
        <v>305.12</v>
      </c>
      <c r="K184" s="94">
        <v>101.71</v>
      </c>
    </row>
    <row r="185" spans="1:11">
      <c r="A185" s="74" t="s">
        <v>113</v>
      </c>
      <c r="B185" s="74" t="s">
        <v>202</v>
      </c>
      <c r="C185" s="74" t="s">
        <v>203</v>
      </c>
      <c r="D185" s="74" t="s">
        <v>79</v>
      </c>
      <c r="E185" s="74" t="s">
        <v>81</v>
      </c>
      <c r="F185" s="86" t="s">
        <v>204</v>
      </c>
      <c r="G185" s="74" t="s">
        <v>205</v>
      </c>
      <c r="H185" s="87">
        <v>44286</v>
      </c>
      <c r="I185" s="94">
        <v>7311.27</v>
      </c>
      <c r="J185" s="94">
        <v>5483.45</v>
      </c>
      <c r="K185" s="94">
        <v>1827.82</v>
      </c>
    </row>
    <row r="186" spans="1:11">
      <c r="A186" s="74" t="s">
        <v>113</v>
      </c>
      <c r="B186" s="74" t="s">
        <v>206</v>
      </c>
      <c r="C186" s="74" t="s">
        <v>207</v>
      </c>
      <c r="D186" s="88" t="s">
        <v>82</v>
      </c>
      <c r="E186" s="88" t="s">
        <v>84</v>
      </c>
      <c r="F186" s="86" t="s">
        <v>208</v>
      </c>
      <c r="G186" s="74" t="s">
        <v>209</v>
      </c>
      <c r="H186" s="87">
        <v>44286</v>
      </c>
      <c r="I186" s="94">
        <v>3515.23</v>
      </c>
      <c r="J186" s="94">
        <v>2636.42</v>
      </c>
      <c r="K186" s="94">
        <v>878.81</v>
      </c>
    </row>
    <row r="187" spans="1:11">
      <c r="A187" s="74" t="s">
        <v>113</v>
      </c>
      <c r="B187" s="74" t="s">
        <v>210</v>
      </c>
      <c r="C187" s="74" t="s">
        <v>211</v>
      </c>
      <c r="D187" s="88" t="s">
        <v>82</v>
      </c>
      <c r="E187" s="88" t="s">
        <v>84</v>
      </c>
      <c r="F187" s="86" t="s">
        <v>116</v>
      </c>
      <c r="G187" s="74" t="s">
        <v>209</v>
      </c>
      <c r="H187" s="87">
        <v>44286</v>
      </c>
      <c r="I187" s="94">
        <v>3337.49</v>
      </c>
      <c r="J187" s="94">
        <v>2503.12</v>
      </c>
      <c r="K187" s="94">
        <v>834.37</v>
      </c>
    </row>
    <row r="188" spans="1:11">
      <c r="A188" s="74" t="s">
        <v>113</v>
      </c>
      <c r="B188" s="74" t="s">
        <v>212</v>
      </c>
      <c r="C188" s="74" t="s">
        <v>213</v>
      </c>
      <c r="D188" s="88" t="s">
        <v>82</v>
      </c>
      <c r="E188" s="88" t="s">
        <v>84</v>
      </c>
      <c r="F188" s="86" t="s">
        <v>208</v>
      </c>
      <c r="G188" s="74" t="s">
        <v>209</v>
      </c>
      <c r="H188" s="87">
        <v>44286</v>
      </c>
      <c r="I188" s="94">
        <v>3837.67</v>
      </c>
      <c r="J188" s="94">
        <v>2878.25</v>
      </c>
      <c r="K188" s="94">
        <v>959.42</v>
      </c>
    </row>
    <row r="189" spans="1:11">
      <c r="A189" s="74" t="s">
        <v>113</v>
      </c>
      <c r="B189" s="74" t="s">
        <v>214</v>
      </c>
      <c r="C189" s="74" t="s">
        <v>215</v>
      </c>
      <c r="D189" s="88" t="s">
        <v>82</v>
      </c>
      <c r="E189" s="88" t="s">
        <v>84</v>
      </c>
      <c r="F189" s="86" t="s">
        <v>116</v>
      </c>
      <c r="G189" s="74" t="s">
        <v>209</v>
      </c>
      <c r="H189" s="87">
        <v>44286</v>
      </c>
      <c r="I189" s="94">
        <v>3287.44</v>
      </c>
      <c r="J189" s="94">
        <v>2465.58</v>
      </c>
      <c r="K189" s="94">
        <v>821.86</v>
      </c>
    </row>
    <row r="190" spans="1:11">
      <c r="A190" s="74" t="s">
        <v>113</v>
      </c>
      <c r="B190" s="74" t="s">
        <v>216</v>
      </c>
      <c r="C190" s="74" t="s">
        <v>217</v>
      </c>
      <c r="D190" s="88" t="s">
        <v>82</v>
      </c>
      <c r="E190" s="88" t="s">
        <v>84</v>
      </c>
      <c r="F190" s="86" t="s">
        <v>218</v>
      </c>
      <c r="G190" s="74" t="s">
        <v>219</v>
      </c>
      <c r="H190" s="87">
        <v>44286</v>
      </c>
      <c r="I190" s="94">
        <v>4351.46</v>
      </c>
      <c r="J190" s="94">
        <v>3263.6</v>
      </c>
      <c r="K190" s="94">
        <v>1087.86</v>
      </c>
    </row>
    <row r="191" spans="1:11">
      <c r="A191" s="74" t="s">
        <v>113</v>
      </c>
      <c r="B191" s="74" t="s">
        <v>220</v>
      </c>
      <c r="C191" s="74" t="s">
        <v>221</v>
      </c>
      <c r="D191" s="88" t="s">
        <v>82</v>
      </c>
      <c r="E191" s="74" t="s">
        <v>83</v>
      </c>
      <c r="F191" s="86" t="s">
        <v>218</v>
      </c>
      <c r="G191" s="74" t="s">
        <v>222</v>
      </c>
      <c r="H191" s="87">
        <v>44286</v>
      </c>
      <c r="I191" s="94">
        <v>4591.67</v>
      </c>
      <c r="J191" s="94">
        <v>3443.75</v>
      </c>
      <c r="K191" s="94">
        <v>1147.92</v>
      </c>
    </row>
    <row r="192" spans="1:11">
      <c r="A192" s="74" t="s">
        <v>113</v>
      </c>
      <c r="B192" s="74" t="s">
        <v>223</v>
      </c>
      <c r="C192" s="74" t="s">
        <v>224</v>
      </c>
      <c r="D192" s="88" t="s">
        <v>82</v>
      </c>
      <c r="E192" s="74" t="s">
        <v>83</v>
      </c>
      <c r="F192" s="86" t="s">
        <v>225</v>
      </c>
      <c r="G192" s="74" t="s">
        <v>209</v>
      </c>
      <c r="H192" s="87">
        <v>44286</v>
      </c>
      <c r="I192" s="94">
        <v>4038.11</v>
      </c>
      <c r="J192" s="94">
        <v>3028.58</v>
      </c>
      <c r="K192" s="94">
        <v>1009.53</v>
      </c>
    </row>
    <row r="193" spans="1:11">
      <c r="A193" s="74" t="s">
        <v>113</v>
      </c>
      <c r="B193" s="74" t="s">
        <v>226</v>
      </c>
      <c r="C193" s="74" t="s">
        <v>227</v>
      </c>
      <c r="D193" s="88" t="s">
        <v>82</v>
      </c>
      <c r="E193" s="74" t="s">
        <v>83</v>
      </c>
      <c r="F193" s="86" t="s">
        <v>208</v>
      </c>
      <c r="G193" s="74" t="s">
        <v>209</v>
      </c>
      <c r="H193" s="87">
        <v>44286</v>
      </c>
      <c r="I193" s="94">
        <v>3848.04</v>
      </c>
      <c r="J193" s="94">
        <v>2886.03</v>
      </c>
      <c r="K193" s="94">
        <v>962.01</v>
      </c>
    </row>
    <row r="194" spans="1:11">
      <c r="A194" s="74" t="s">
        <v>113</v>
      </c>
      <c r="B194" s="74" t="s">
        <v>228</v>
      </c>
      <c r="C194" s="74" t="s">
        <v>229</v>
      </c>
      <c r="D194" s="88" t="s">
        <v>82</v>
      </c>
      <c r="E194" s="74" t="s">
        <v>83</v>
      </c>
      <c r="F194" s="86" t="s">
        <v>116</v>
      </c>
      <c r="G194" s="74" t="s">
        <v>209</v>
      </c>
      <c r="H194" s="87">
        <v>44286</v>
      </c>
      <c r="I194" s="94">
        <v>3275.21</v>
      </c>
      <c r="J194" s="94">
        <v>2456.41</v>
      </c>
      <c r="K194" s="94">
        <v>818.8</v>
      </c>
    </row>
    <row r="195" spans="1:11">
      <c r="A195" s="74" t="s">
        <v>113</v>
      </c>
      <c r="B195" s="74" t="s">
        <v>230</v>
      </c>
      <c r="C195" s="74" t="s">
        <v>231</v>
      </c>
      <c r="D195" s="88" t="s">
        <v>82</v>
      </c>
      <c r="E195" s="74" t="s">
        <v>83</v>
      </c>
      <c r="F195" s="86" t="s">
        <v>120</v>
      </c>
      <c r="G195" s="74" t="s">
        <v>209</v>
      </c>
      <c r="H195" s="87">
        <v>44286</v>
      </c>
      <c r="I195" s="94">
        <v>2954.78</v>
      </c>
      <c r="J195" s="94">
        <v>2216.09</v>
      </c>
      <c r="K195" s="94">
        <v>738.69</v>
      </c>
    </row>
    <row r="196" spans="1:11">
      <c r="A196" s="74" t="s">
        <v>113</v>
      </c>
      <c r="B196" s="74" t="s">
        <v>232</v>
      </c>
      <c r="C196" s="74" t="s">
        <v>233</v>
      </c>
      <c r="D196" s="88" t="s">
        <v>82</v>
      </c>
      <c r="E196" s="74" t="s">
        <v>83</v>
      </c>
      <c r="F196" s="86" t="s">
        <v>123</v>
      </c>
      <c r="G196" s="74" t="s">
        <v>209</v>
      </c>
      <c r="H196" s="87">
        <v>44286</v>
      </c>
      <c r="I196" s="94">
        <v>2340.21</v>
      </c>
      <c r="J196" s="94">
        <v>1755.16</v>
      </c>
      <c r="K196" s="94">
        <v>585.05</v>
      </c>
    </row>
    <row r="197" spans="1:11">
      <c r="A197" s="74" t="s">
        <v>113</v>
      </c>
      <c r="B197" s="74" t="s">
        <v>234</v>
      </c>
      <c r="C197" s="74" t="s">
        <v>235</v>
      </c>
      <c r="D197" s="88" t="s">
        <v>82</v>
      </c>
      <c r="E197" s="74" t="s">
        <v>83</v>
      </c>
      <c r="F197" s="86" t="s">
        <v>116</v>
      </c>
      <c r="G197" s="74" t="s">
        <v>209</v>
      </c>
      <c r="H197" s="87">
        <v>44286</v>
      </c>
      <c r="I197" s="94">
        <v>3206.26</v>
      </c>
      <c r="J197" s="94">
        <v>2404.7</v>
      </c>
      <c r="K197" s="94">
        <v>801.56</v>
      </c>
    </row>
    <row r="198" spans="1:11">
      <c r="A198" s="74" t="s">
        <v>113</v>
      </c>
      <c r="B198" s="74" t="s">
        <v>236</v>
      </c>
      <c r="C198" s="74" t="s">
        <v>237</v>
      </c>
      <c r="D198" s="88" t="s">
        <v>82</v>
      </c>
      <c r="E198" s="74" t="s">
        <v>83</v>
      </c>
      <c r="F198" s="86" t="s">
        <v>120</v>
      </c>
      <c r="G198" s="74" t="s">
        <v>209</v>
      </c>
      <c r="H198" s="87">
        <v>44286</v>
      </c>
      <c r="I198" s="94">
        <v>2919.8</v>
      </c>
      <c r="J198" s="94">
        <v>2189.85</v>
      </c>
      <c r="K198" s="94">
        <v>729.95</v>
      </c>
    </row>
    <row r="199" spans="1:11">
      <c r="A199" s="74" t="s">
        <v>113</v>
      </c>
      <c r="B199" s="74" t="s">
        <v>238</v>
      </c>
      <c r="C199" s="74" t="s">
        <v>239</v>
      </c>
      <c r="D199" s="74" t="s">
        <v>86</v>
      </c>
      <c r="E199" s="74" t="s">
        <v>87</v>
      </c>
      <c r="F199" s="86" t="s">
        <v>204</v>
      </c>
      <c r="G199" s="74" t="s">
        <v>240</v>
      </c>
      <c r="H199" s="87">
        <v>44286</v>
      </c>
      <c r="I199" s="94">
        <v>5945.85</v>
      </c>
      <c r="J199" s="94">
        <v>4459.39</v>
      </c>
      <c r="K199" s="94">
        <v>1486.46</v>
      </c>
    </row>
    <row r="200" spans="1:11">
      <c r="A200" s="74" t="s">
        <v>113</v>
      </c>
      <c r="B200" s="74" t="s">
        <v>241</v>
      </c>
      <c r="C200" s="74" t="s">
        <v>242</v>
      </c>
      <c r="D200" s="74" t="s">
        <v>86</v>
      </c>
      <c r="E200" s="74" t="s">
        <v>87</v>
      </c>
      <c r="F200" s="86" t="s">
        <v>243</v>
      </c>
      <c r="G200" s="74" t="s">
        <v>244</v>
      </c>
      <c r="H200" s="87">
        <v>44286</v>
      </c>
      <c r="I200" s="94">
        <v>4168.44</v>
      </c>
      <c r="J200" s="94">
        <v>3126.33</v>
      </c>
      <c r="K200" s="94">
        <v>1042.11</v>
      </c>
    </row>
    <row r="201" spans="1:11">
      <c r="A201" s="74" t="s">
        <v>113</v>
      </c>
      <c r="B201" s="74" t="s">
        <v>245</v>
      </c>
      <c r="C201" s="74" t="s">
        <v>246</v>
      </c>
      <c r="D201" s="74" t="s">
        <v>86</v>
      </c>
      <c r="E201" s="74" t="s">
        <v>87</v>
      </c>
      <c r="F201" s="86" t="s">
        <v>247</v>
      </c>
      <c r="G201" s="74" t="s">
        <v>248</v>
      </c>
      <c r="H201" s="87">
        <v>44286</v>
      </c>
      <c r="I201" s="94">
        <v>3814.92</v>
      </c>
      <c r="J201" s="94">
        <v>2861.19</v>
      </c>
      <c r="K201" s="94">
        <v>953.73</v>
      </c>
    </row>
    <row r="202" spans="1:11">
      <c r="A202" s="74" t="s">
        <v>113</v>
      </c>
      <c r="B202" s="74" t="s">
        <v>249</v>
      </c>
      <c r="C202" s="74" t="s">
        <v>250</v>
      </c>
      <c r="D202" s="74" t="s">
        <v>86</v>
      </c>
      <c r="E202" s="74" t="s">
        <v>87</v>
      </c>
      <c r="F202" s="86" t="s">
        <v>251</v>
      </c>
      <c r="G202" s="74" t="s">
        <v>252</v>
      </c>
      <c r="H202" s="87">
        <v>44286</v>
      </c>
      <c r="I202" s="94">
        <v>3755.05</v>
      </c>
      <c r="J202" s="94">
        <v>2816.29</v>
      </c>
      <c r="K202" s="94">
        <v>938.76</v>
      </c>
    </row>
    <row r="203" spans="1:11">
      <c r="A203" s="74" t="s">
        <v>113</v>
      </c>
      <c r="B203" s="74" t="s">
        <v>253</v>
      </c>
      <c r="C203" s="74" t="s">
        <v>254</v>
      </c>
      <c r="D203" s="74" t="s">
        <v>86</v>
      </c>
      <c r="E203" s="74" t="s">
        <v>87</v>
      </c>
      <c r="F203" s="86" t="s">
        <v>255</v>
      </c>
      <c r="G203" s="74" t="s">
        <v>252</v>
      </c>
      <c r="H203" s="87">
        <v>44286</v>
      </c>
      <c r="I203" s="94">
        <v>3396.95</v>
      </c>
      <c r="J203" s="94">
        <v>2547.71</v>
      </c>
      <c r="K203" s="94">
        <v>849.24</v>
      </c>
    </row>
    <row r="204" spans="1:11">
      <c r="A204" s="74" t="s">
        <v>113</v>
      </c>
      <c r="B204" s="74" t="s">
        <v>256</v>
      </c>
      <c r="C204" s="74" t="s">
        <v>257</v>
      </c>
      <c r="D204" s="74" t="s">
        <v>86</v>
      </c>
      <c r="E204" s="74" t="s">
        <v>87</v>
      </c>
      <c r="F204" s="86" t="s">
        <v>258</v>
      </c>
      <c r="G204" s="74" t="s">
        <v>252</v>
      </c>
      <c r="H204" s="87">
        <v>44286</v>
      </c>
      <c r="I204" s="94">
        <v>2864.45</v>
      </c>
      <c r="J204" s="94">
        <v>2148.34</v>
      </c>
      <c r="K204" s="94">
        <v>716.11</v>
      </c>
    </row>
    <row r="205" spans="1:11">
      <c r="A205" s="74" t="s">
        <v>113</v>
      </c>
      <c r="B205" s="74" t="s">
        <v>259</v>
      </c>
      <c r="C205" s="74" t="s">
        <v>260</v>
      </c>
      <c r="D205" s="74" t="s">
        <v>86</v>
      </c>
      <c r="E205" s="74" t="s">
        <v>87</v>
      </c>
      <c r="F205" s="86" t="s">
        <v>261</v>
      </c>
      <c r="G205" s="74" t="s">
        <v>262</v>
      </c>
      <c r="H205" s="87">
        <v>44286</v>
      </c>
      <c r="I205" s="94">
        <v>2703.13</v>
      </c>
      <c r="J205" s="94">
        <v>2027.35</v>
      </c>
      <c r="K205" s="94">
        <v>675.78</v>
      </c>
    </row>
    <row r="206" spans="1:11">
      <c r="A206" s="74" t="s">
        <v>113</v>
      </c>
      <c r="B206" s="74" t="s">
        <v>263</v>
      </c>
      <c r="C206" s="74" t="s">
        <v>264</v>
      </c>
      <c r="D206" s="74" t="s">
        <v>86</v>
      </c>
      <c r="E206" s="74" t="s">
        <v>88</v>
      </c>
      <c r="F206" s="86" t="s">
        <v>149</v>
      </c>
      <c r="G206" s="74" t="s">
        <v>265</v>
      </c>
      <c r="H206" s="87">
        <v>44286</v>
      </c>
      <c r="I206" s="94">
        <v>5485.46</v>
      </c>
      <c r="J206" s="94">
        <v>4114.1</v>
      </c>
      <c r="K206" s="94">
        <v>1371.36</v>
      </c>
    </row>
    <row r="207" spans="1:11">
      <c r="A207" s="74" t="s">
        <v>113</v>
      </c>
      <c r="B207" s="74" t="s">
        <v>266</v>
      </c>
      <c r="C207" s="74" t="s">
        <v>267</v>
      </c>
      <c r="D207" s="74" t="s">
        <v>86</v>
      </c>
      <c r="E207" s="74" t="s">
        <v>88</v>
      </c>
      <c r="F207" s="86" t="s">
        <v>243</v>
      </c>
      <c r="G207" s="74" t="s">
        <v>268</v>
      </c>
      <c r="H207" s="87">
        <v>44286</v>
      </c>
      <c r="I207" s="94">
        <v>4183.02</v>
      </c>
      <c r="J207" s="94">
        <v>3137.27</v>
      </c>
      <c r="K207" s="94">
        <v>1045.75</v>
      </c>
    </row>
    <row r="208" spans="1:11">
      <c r="A208" s="74" t="s">
        <v>113</v>
      </c>
      <c r="B208" s="74" t="s">
        <v>269</v>
      </c>
      <c r="C208" s="74" t="s">
        <v>270</v>
      </c>
      <c r="D208" s="74" t="s">
        <v>86</v>
      </c>
      <c r="E208" s="74" t="s">
        <v>88</v>
      </c>
      <c r="F208" s="86" t="s">
        <v>247</v>
      </c>
      <c r="G208" s="74" t="s">
        <v>268</v>
      </c>
      <c r="H208" s="87">
        <v>44286</v>
      </c>
      <c r="I208" s="94">
        <v>3979.79</v>
      </c>
      <c r="J208" s="94">
        <v>2984.84</v>
      </c>
      <c r="K208" s="94">
        <v>994.95</v>
      </c>
    </row>
    <row r="209" spans="1:11">
      <c r="A209" s="74" t="s">
        <v>113</v>
      </c>
      <c r="B209" s="74" t="s">
        <v>271</v>
      </c>
      <c r="C209" s="74" t="s">
        <v>272</v>
      </c>
      <c r="D209" s="74" t="s">
        <v>86</v>
      </c>
      <c r="E209" s="74" t="s">
        <v>88</v>
      </c>
      <c r="F209" s="86" t="s">
        <v>251</v>
      </c>
      <c r="G209" s="74" t="s">
        <v>268</v>
      </c>
      <c r="H209" s="87">
        <v>44286</v>
      </c>
      <c r="I209" s="94">
        <v>3603.7</v>
      </c>
      <c r="J209" s="94">
        <v>2702.78</v>
      </c>
      <c r="K209" s="94">
        <v>900.92</v>
      </c>
    </row>
    <row r="210" spans="1:11">
      <c r="A210" s="74" t="s">
        <v>113</v>
      </c>
      <c r="B210" s="74" t="s">
        <v>273</v>
      </c>
      <c r="C210" s="74" t="s">
        <v>274</v>
      </c>
      <c r="D210" s="74" t="s">
        <v>86</v>
      </c>
      <c r="E210" s="74" t="s">
        <v>88</v>
      </c>
      <c r="F210" s="86" t="s">
        <v>255</v>
      </c>
      <c r="G210" s="74" t="s">
        <v>268</v>
      </c>
      <c r="H210" s="87">
        <v>44286</v>
      </c>
      <c r="I210" s="94">
        <v>3187.34</v>
      </c>
      <c r="J210" s="94">
        <v>2390.51</v>
      </c>
      <c r="K210" s="94">
        <v>796.83</v>
      </c>
    </row>
    <row r="211" spans="1:11">
      <c r="A211" s="74" t="s">
        <v>113</v>
      </c>
      <c r="B211" s="74" t="s">
        <v>275</v>
      </c>
      <c r="C211" s="74" t="s">
        <v>276</v>
      </c>
      <c r="D211" s="74" t="s">
        <v>86</v>
      </c>
      <c r="E211" s="74" t="s">
        <v>88</v>
      </c>
      <c r="F211" s="86" t="s">
        <v>258</v>
      </c>
      <c r="G211" s="74" t="s">
        <v>268</v>
      </c>
      <c r="H211" s="87">
        <v>44286</v>
      </c>
      <c r="I211" s="94">
        <v>3063.83</v>
      </c>
      <c r="J211" s="94">
        <v>2297.87</v>
      </c>
      <c r="K211" s="94">
        <v>765.96</v>
      </c>
    </row>
    <row r="212" spans="1:11">
      <c r="A212" s="74" t="s">
        <v>113</v>
      </c>
      <c r="B212" s="74" t="s">
        <v>277</v>
      </c>
      <c r="C212" s="74" t="s">
        <v>278</v>
      </c>
      <c r="D212" s="74" t="s">
        <v>86</v>
      </c>
      <c r="E212" s="74" t="s">
        <v>89</v>
      </c>
      <c r="F212" s="86" t="s">
        <v>279</v>
      </c>
      <c r="G212" s="74" t="s">
        <v>280</v>
      </c>
      <c r="H212" s="87">
        <v>44286</v>
      </c>
      <c r="I212" s="94">
        <v>4929.44</v>
      </c>
      <c r="J212" s="94">
        <v>3697.08</v>
      </c>
      <c r="K212" s="94">
        <v>1232.36</v>
      </c>
    </row>
    <row r="213" spans="1:11">
      <c r="A213" s="74" t="s">
        <v>113</v>
      </c>
      <c r="B213" s="74" t="s">
        <v>281</v>
      </c>
      <c r="C213" s="74" t="s">
        <v>282</v>
      </c>
      <c r="D213" s="74" t="s">
        <v>86</v>
      </c>
      <c r="E213" s="74" t="s">
        <v>89</v>
      </c>
      <c r="F213" s="86" t="s">
        <v>225</v>
      </c>
      <c r="G213" s="74" t="s">
        <v>283</v>
      </c>
      <c r="H213" s="87">
        <v>44286</v>
      </c>
      <c r="I213" s="94">
        <v>3331.8</v>
      </c>
      <c r="J213" s="94">
        <v>2498.85</v>
      </c>
      <c r="K213" s="94">
        <v>832.95</v>
      </c>
    </row>
    <row r="214" spans="1:11">
      <c r="A214" s="74" t="s">
        <v>113</v>
      </c>
      <c r="B214" s="74" t="s">
        <v>284</v>
      </c>
      <c r="C214" s="74" t="s">
        <v>285</v>
      </c>
      <c r="D214" s="74" t="s">
        <v>86</v>
      </c>
      <c r="E214" s="74" t="s">
        <v>89</v>
      </c>
      <c r="F214" s="86" t="s">
        <v>208</v>
      </c>
      <c r="G214" s="74" t="s">
        <v>283</v>
      </c>
      <c r="H214" s="87">
        <v>44286</v>
      </c>
      <c r="I214" s="94">
        <v>2907.62</v>
      </c>
      <c r="J214" s="94">
        <v>2180.72</v>
      </c>
      <c r="K214" s="94">
        <v>726.9</v>
      </c>
    </row>
    <row r="215" spans="1:11">
      <c r="A215" s="74" t="s">
        <v>113</v>
      </c>
      <c r="B215" s="74" t="s">
        <v>286</v>
      </c>
      <c r="C215" s="74" t="s">
        <v>287</v>
      </c>
      <c r="D215" s="74" t="s">
        <v>82</v>
      </c>
      <c r="E215" s="88" t="s">
        <v>85</v>
      </c>
      <c r="F215" s="86" t="s">
        <v>288</v>
      </c>
      <c r="G215" s="74" t="s">
        <v>289</v>
      </c>
      <c r="H215" s="87">
        <v>44286</v>
      </c>
      <c r="I215" s="94">
        <v>5090.42</v>
      </c>
      <c r="J215" s="94">
        <v>3817.82</v>
      </c>
      <c r="K215" s="94">
        <v>1272.6</v>
      </c>
    </row>
    <row r="216" spans="1:11">
      <c r="A216" s="74" t="s">
        <v>113</v>
      </c>
      <c r="B216" s="74" t="s">
        <v>290</v>
      </c>
      <c r="C216" s="74" t="s">
        <v>291</v>
      </c>
      <c r="D216" s="74" t="s">
        <v>82</v>
      </c>
      <c r="E216" s="88" t="s">
        <v>85</v>
      </c>
      <c r="F216" s="86" t="s">
        <v>218</v>
      </c>
      <c r="G216" s="74" t="s">
        <v>289</v>
      </c>
      <c r="H216" s="87">
        <v>44286</v>
      </c>
      <c r="I216" s="94">
        <v>4628.13</v>
      </c>
      <c r="J216" s="94">
        <v>3471.1</v>
      </c>
      <c r="K216" s="94">
        <v>1157.03</v>
      </c>
    </row>
    <row r="217" spans="1:11">
      <c r="A217" s="74" t="s">
        <v>113</v>
      </c>
      <c r="B217" s="74" t="s">
        <v>292</v>
      </c>
      <c r="C217" s="74" t="s">
        <v>293</v>
      </c>
      <c r="D217" s="74" t="s">
        <v>82</v>
      </c>
      <c r="E217" s="88" t="s">
        <v>85</v>
      </c>
      <c r="F217" s="86" t="s">
        <v>225</v>
      </c>
      <c r="G217" s="74" t="s">
        <v>289</v>
      </c>
      <c r="H217" s="87">
        <v>44286</v>
      </c>
      <c r="I217" s="94">
        <v>3906.88</v>
      </c>
      <c r="J217" s="94">
        <v>2930.16</v>
      </c>
      <c r="K217" s="94">
        <v>976.72</v>
      </c>
    </row>
    <row r="218" spans="1:11">
      <c r="A218" s="74" t="s">
        <v>113</v>
      </c>
      <c r="B218" s="74" t="s">
        <v>294</v>
      </c>
      <c r="C218" s="74" t="s">
        <v>295</v>
      </c>
      <c r="D218" s="74" t="s">
        <v>82</v>
      </c>
      <c r="E218" s="88" t="s">
        <v>85</v>
      </c>
      <c r="F218" s="86" t="s">
        <v>208</v>
      </c>
      <c r="G218" s="74" t="s">
        <v>289</v>
      </c>
      <c r="H218" s="87">
        <v>44286</v>
      </c>
      <c r="I218" s="94">
        <v>3744.27</v>
      </c>
      <c r="J218" s="94">
        <v>2808.2</v>
      </c>
      <c r="K218" s="94">
        <v>936.07</v>
      </c>
    </row>
    <row r="219" spans="1:11">
      <c r="A219" s="74" t="s">
        <v>113</v>
      </c>
      <c r="B219" s="74" t="s">
        <v>296</v>
      </c>
      <c r="C219" s="74" t="s">
        <v>297</v>
      </c>
      <c r="D219" s="74" t="s">
        <v>82</v>
      </c>
      <c r="E219" s="88" t="s">
        <v>85</v>
      </c>
      <c r="F219" s="86" t="s">
        <v>116</v>
      </c>
      <c r="G219" s="74" t="s">
        <v>289</v>
      </c>
      <c r="H219" s="87">
        <v>44286</v>
      </c>
      <c r="I219" s="94">
        <v>3306.66</v>
      </c>
      <c r="J219" s="94">
        <v>2480</v>
      </c>
      <c r="K219" s="94">
        <v>826.66</v>
      </c>
    </row>
    <row r="220" spans="1:11">
      <c r="A220" s="74" t="s">
        <v>113</v>
      </c>
      <c r="B220" s="74" t="s">
        <v>298</v>
      </c>
      <c r="C220" s="74" t="s">
        <v>299</v>
      </c>
      <c r="D220" s="74" t="s">
        <v>82</v>
      </c>
      <c r="E220" s="88" t="s">
        <v>85</v>
      </c>
      <c r="F220" s="86" t="s">
        <v>279</v>
      </c>
      <c r="G220" s="74" t="s">
        <v>300</v>
      </c>
      <c r="H220" s="87">
        <v>44286</v>
      </c>
      <c r="I220" s="94">
        <v>6384.97</v>
      </c>
      <c r="J220" s="94">
        <v>4788.73</v>
      </c>
      <c r="K220" s="94">
        <v>1596.24</v>
      </c>
    </row>
    <row r="221" spans="1:11">
      <c r="A221" s="74" t="s">
        <v>113</v>
      </c>
      <c r="B221" s="74" t="s">
        <v>301</v>
      </c>
      <c r="C221" s="74" t="s">
        <v>302</v>
      </c>
      <c r="D221" s="74" t="s">
        <v>82</v>
      </c>
      <c r="E221" s="88" t="s">
        <v>85</v>
      </c>
      <c r="F221" s="86" t="s">
        <v>279</v>
      </c>
      <c r="G221" s="74" t="s">
        <v>303</v>
      </c>
      <c r="H221" s="87">
        <v>44286</v>
      </c>
      <c r="I221" s="94">
        <v>6172.12</v>
      </c>
      <c r="J221" s="94">
        <v>4629.09</v>
      </c>
      <c r="K221" s="94">
        <v>1543.03</v>
      </c>
    </row>
    <row r="222" spans="1:11">
      <c r="A222" s="74" t="s">
        <v>113</v>
      </c>
      <c r="B222" s="74" t="s">
        <v>304</v>
      </c>
      <c r="C222" s="74" t="s">
        <v>305</v>
      </c>
      <c r="D222" s="74" t="s">
        <v>86</v>
      </c>
      <c r="E222" s="74" t="s">
        <v>90</v>
      </c>
      <c r="F222" s="86" t="s">
        <v>306</v>
      </c>
      <c r="G222" s="74" t="s">
        <v>307</v>
      </c>
      <c r="H222" s="87">
        <v>44286</v>
      </c>
      <c r="I222" s="94">
        <v>6425.46</v>
      </c>
      <c r="J222" s="94">
        <v>4819.1</v>
      </c>
      <c r="K222" s="94">
        <v>1606.36</v>
      </c>
    </row>
    <row r="223" spans="1:11">
      <c r="A223" s="74" t="s">
        <v>113</v>
      </c>
      <c r="B223" s="74" t="s">
        <v>114</v>
      </c>
      <c r="C223" s="74" t="s">
        <v>115</v>
      </c>
      <c r="D223" s="74" t="s">
        <v>79</v>
      </c>
      <c r="E223" s="74" t="s">
        <v>80</v>
      </c>
      <c r="F223" s="86" t="s">
        <v>116</v>
      </c>
      <c r="G223" s="74" t="s">
        <v>117</v>
      </c>
      <c r="H223" s="87">
        <v>44316</v>
      </c>
      <c r="I223" s="94">
        <v>3296.33</v>
      </c>
      <c r="J223" s="94">
        <v>2472.25</v>
      </c>
      <c r="K223" s="94">
        <v>824.08</v>
      </c>
    </row>
    <row r="224" spans="1:11">
      <c r="A224" s="74" t="s">
        <v>113</v>
      </c>
      <c r="B224" s="74" t="s">
        <v>118</v>
      </c>
      <c r="C224" s="74" t="s">
        <v>119</v>
      </c>
      <c r="D224" s="74" t="s">
        <v>79</v>
      </c>
      <c r="E224" s="74" t="s">
        <v>80</v>
      </c>
      <c r="F224" s="86" t="s">
        <v>120</v>
      </c>
      <c r="G224" s="74" t="s">
        <v>117</v>
      </c>
      <c r="H224" s="87">
        <v>44316</v>
      </c>
      <c r="I224" s="94">
        <v>2738.77</v>
      </c>
      <c r="J224" s="94">
        <v>2054.08</v>
      </c>
      <c r="K224" s="94">
        <v>684.69</v>
      </c>
    </row>
    <row r="225" spans="1:11">
      <c r="A225" s="74" t="s">
        <v>113</v>
      </c>
      <c r="B225" s="74" t="s">
        <v>121</v>
      </c>
      <c r="C225" s="74" t="s">
        <v>122</v>
      </c>
      <c r="D225" s="74" t="s">
        <v>79</v>
      </c>
      <c r="E225" s="74" t="s">
        <v>80</v>
      </c>
      <c r="F225" s="86" t="s">
        <v>123</v>
      </c>
      <c r="G225" s="74" t="s">
        <v>117</v>
      </c>
      <c r="H225" s="87">
        <v>44316</v>
      </c>
      <c r="I225" s="94">
        <v>2369.69</v>
      </c>
      <c r="J225" s="94">
        <v>1777.27</v>
      </c>
      <c r="K225" s="94">
        <v>592.42</v>
      </c>
    </row>
    <row r="226" spans="1:11">
      <c r="A226" s="74" t="s">
        <v>113</v>
      </c>
      <c r="B226" s="74" t="s">
        <v>124</v>
      </c>
      <c r="C226" s="74" t="s">
        <v>125</v>
      </c>
      <c r="D226" s="74" t="s">
        <v>79</v>
      </c>
      <c r="E226" s="74" t="s">
        <v>80</v>
      </c>
      <c r="F226" s="86" t="s">
        <v>116</v>
      </c>
      <c r="G226" s="74" t="s">
        <v>117</v>
      </c>
      <c r="H226" s="87">
        <v>44316</v>
      </c>
      <c r="I226" s="94">
        <v>3209.69</v>
      </c>
      <c r="J226" s="94">
        <v>2407.27</v>
      </c>
      <c r="K226" s="94">
        <v>802.42</v>
      </c>
    </row>
    <row r="227" spans="1:11">
      <c r="A227" s="74" t="s">
        <v>113</v>
      </c>
      <c r="B227" s="74" t="s">
        <v>126</v>
      </c>
      <c r="C227" s="74" t="s">
        <v>127</v>
      </c>
      <c r="D227" s="74" t="s">
        <v>79</v>
      </c>
      <c r="E227" s="74" t="s">
        <v>80</v>
      </c>
      <c r="F227" s="86" t="s">
        <v>120</v>
      </c>
      <c r="G227" s="74" t="s">
        <v>117</v>
      </c>
      <c r="H227" s="87">
        <v>44316</v>
      </c>
      <c r="I227" s="94">
        <v>2998.25</v>
      </c>
      <c r="J227" s="94">
        <v>2248.69</v>
      </c>
      <c r="K227" s="94">
        <v>749.56</v>
      </c>
    </row>
    <row r="228" spans="1:11">
      <c r="A228" s="74" t="s">
        <v>113</v>
      </c>
      <c r="B228" s="74" t="s">
        <v>128</v>
      </c>
      <c r="C228" s="74" t="s">
        <v>129</v>
      </c>
      <c r="D228" s="74" t="s">
        <v>79</v>
      </c>
      <c r="E228" s="74" t="s">
        <v>80</v>
      </c>
      <c r="F228" s="86" t="s">
        <v>123</v>
      </c>
      <c r="G228" s="74" t="s">
        <v>117</v>
      </c>
      <c r="H228" s="87">
        <v>44316</v>
      </c>
      <c r="I228" s="94">
        <v>2437.35</v>
      </c>
      <c r="J228" s="94">
        <v>1828.01</v>
      </c>
      <c r="K228" s="94">
        <v>609.34</v>
      </c>
    </row>
    <row r="229" spans="1:11">
      <c r="A229" s="74" t="s">
        <v>113</v>
      </c>
      <c r="B229" s="74" t="s">
        <v>130</v>
      </c>
      <c r="C229" s="74" t="s">
        <v>131</v>
      </c>
      <c r="D229" s="74" t="s">
        <v>79</v>
      </c>
      <c r="E229" s="74" t="s">
        <v>80</v>
      </c>
      <c r="F229" s="86" t="s">
        <v>116</v>
      </c>
      <c r="G229" s="74" t="s">
        <v>117</v>
      </c>
      <c r="H229" s="87">
        <v>44316</v>
      </c>
      <c r="I229" s="94">
        <v>3375.03</v>
      </c>
      <c r="J229" s="94">
        <v>2531.27</v>
      </c>
      <c r="K229" s="94">
        <v>843.76</v>
      </c>
    </row>
    <row r="230" spans="1:11">
      <c r="A230" s="74" t="s">
        <v>113</v>
      </c>
      <c r="B230" s="74" t="s">
        <v>132</v>
      </c>
      <c r="C230" s="74" t="s">
        <v>133</v>
      </c>
      <c r="D230" s="74" t="s">
        <v>79</v>
      </c>
      <c r="E230" s="74" t="s">
        <v>80</v>
      </c>
      <c r="F230" s="86" t="s">
        <v>120</v>
      </c>
      <c r="G230" s="74" t="s">
        <v>117</v>
      </c>
      <c r="H230" s="87">
        <v>44316</v>
      </c>
      <c r="I230" s="94">
        <v>2935.76</v>
      </c>
      <c r="J230" s="94">
        <v>2201.82</v>
      </c>
      <c r="K230" s="94">
        <v>733.94</v>
      </c>
    </row>
    <row r="231" spans="1:11">
      <c r="A231" s="74" t="s">
        <v>113</v>
      </c>
      <c r="B231" s="74" t="s">
        <v>134</v>
      </c>
      <c r="C231" s="74" t="s">
        <v>135</v>
      </c>
      <c r="D231" s="74" t="s">
        <v>79</v>
      </c>
      <c r="E231" s="74" t="s">
        <v>80</v>
      </c>
      <c r="F231" s="86" t="s">
        <v>123</v>
      </c>
      <c r="G231" s="74" t="s">
        <v>117</v>
      </c>
      <c r="H231" s="87">
        <v>44316</v>
      </c>
      <c r="I231" s="94">
        <v>2395.95</v>
      </c>
      <c r="J231" s="94">
        <v>1796.96</v>
      </c>
      <c r="K231" s="94">
        <v>598.99</v>
      </c>
    </row>
    <row r="232" spans="1:11">
      <c r="A232" s="74" t="s">
        <v>113</v>
      </c>
      <c r="B232" s="74" t="s">
        <v>136</v>
      </c>
      <c r="C232" s="74" t="s">
        <v>137</v>
      </c>
      <c r="D232" s="74" t="s">
        <v>79</v>
      </c>
      <c r="E232" s="74" t="s">
        <v>80</v>
      </c>
      <c r="F232" s="86" t="s">
        <v>116</v>
      </c>
      <c r="G232" s="74" t="s">
        <v>138</v>
      </c>
      <c r="H232" s="87">
        <v>44316</v>
      </c>
      <c r="I232" s="94">
        <v>3149.89</v>
      </c>
      <c r="J232" s="94">
        <v>2362.42</v>
      </c>
      <c r="K232" s="94">
        <v>787.47</v>
      </c>
    </row>
    <row r="233" spans="1:11">
      <c r="A233" s="74" t="s">
        <v>113</v>
      </c>
      <c r="B233" s="74" t="s">
        <v>139</v>
      </c>
      <c r="C233" s="74" t="s">
        <v>140</v>
      </c>
      <c r="D233" s="74" t="s">
        <v>79</v>
      </c>
      <c r="E233" s="74" t="s">
        <v>80</v>
      </c>
      <c r="F233" s="86" t="s">
        <v>120</v>
      </c>
      <c r="G233" s="74" t="s">
        <v>138</v>
      </c>
      <c r="H233" s="87">
        <v>44316</v>
      </c>
      <c r="I233" s="94">
        <v>2752.81</v>
      </c>
      <c r="J233" s="94">
        <v>2064.61</v>
      </c>
      <c r="K233" s="94">
        <v>688.2</v>
      </c>
    </row>
    <row r="234" spans="1:11">
      <c r="A234" s="74" t="s">
        <v>113</v>
      </c>
      <c r="B234" s="74" t="s">
        <v>141</v>
      </c>
      <c r="C234" s="74" t="s">
        <v>142</v>
      </c>
      <c r="D234" s="74" t="s">
        <v>79</v>
      </c>
      <c r="E234" s="74" t="s">
        <v>80</v>
      </c>
      <c r="F234" s="86" t="s">
        <v>123</v>
      </c>
      <c r="G234" s="74" t="s">
        <v>138</v>
      </c>
      <c r="H234" s="87">
        <v>44316</v>
      </c>
      <c r="I234" s="94">
        <v>2489.57</v>
      </c>
      <c r="J234" s="94">
        <v>1867.18</v>
      </c>
      <c r="K234" s="94">
        <v>622.39</v>
      </c>
    </row>
    <row r="235" spans="1:11">
      <c r="A235" s="74" t="s">
        <v>113</v>
      </c>
      <c r="B235" s="74" t="s">
        <v>143</v>
      </c>
      <c r="C235" s="74" t="s">
        <v>144</v>
      </c>
      <c r="D235" s="74" t="s">
        <v>79</v>
      </c>
      <c r="E235" s="74" t="s">
        <v>80</v>
      </c>
      <c r="F235" s="86" t="s">
        <v>145</v>
      </c>
      <c r="G235" s="74" t="s">
        <v>146</v>
      </c>
      <c r="H235" s="87">
        <v>44316</v>
      </c>
      <c r="I235" s="94">
        <v>7690.99</v>
      </c>
      <c r="J235" s="94">
        <v>5768.24</v>
      </c>
      <c r="K235" s="94">
        <v>1922.75</v>
      </c>
    </row>
    <row r="236" spans="1:11">
      <c r="A236" s="74" t="s">
        <v>113</v>
      </c>
      <c r="B236" s="74" t="s">
        <v>147</v>
      </c>
      <c r="C236" s="74" t="s">
        <v>148</v>
      </c>
      <c r="D236" s="74" t="s">
        <v>79</v>
      </c>
      <c r="E236" s="74" t="s">
        <v>80</v>
      </c>
      <c r="F236" s="86" t="s">
        <v>149</v>
      </c>
      <c r="G236" s="74" t="s">
        <v>150</v>
      </c>
      <c r="H236" s="87">
        <v>44316</v>
      </c>
      <c r="I236" s="94">
        <v>7220.55</v>
      </c>
      <c r="J236" s="94">
        <v>5415.41</v>
      </c>
      <c r="K236" s="94">
        <v>1805.14</v>
      </c>
    </row>
    <row r="237" spans="1:11">
      <c r="A237" s="74" t="s">
        <v>113</v>
      </c>
      <c r="B237" s="74" t="s">
        <v>151</v>
      </c>
      <c r="C237" s="74" t="s">
        <v>152</v>
      </c>
      <c r="D237" s="74" t="s">
        <v>79</v>
      </c>
      <c r="E237" s="74" t="s">
        <v>81</v>
      </c>
      <c r="F237" s="86" t="s">
        <v>123</v>
      </c>
      <c r="G237" s="74" t="s">
        <v>153</v>
      </c>
      <c r="H237" s="87">
        <v>44316</v>
      </c>
      <c r="I237" s="94">
        <v>2474.46</v>
      </c>
      <c r="J237" s="94">
        <v>1855.85</v>
      </c>
      <c r="K237" s="94">
        <v>618.61</v>
      </c>
    </row>
    <row r="238" spans="1:11">
      <c r="A238" s="74" t="s">
        <v>113</v>
      </c>
      <c r="B238" s="74" t="s">
        <v>154</v>
      </c>
      <c r="C238" s="74" t="s">
        <v>155</v>
      </c>
      <c r="D238" s="74" t="s">
        <v>79</v>
      </c>
      <c r="E238" s="74" t="s">
        <v>81</v>
      </c>
      <c r="F238" s="86" t="s">
        <v>156</v>
      </c>
      <c r="G238" s="74" t="s">
        <v>157</v>
      </c>
      <c r="H238" s="87">
        <v>44316</v>
      </c>
      <c r="I238" s="94">
        <v>2067.33</v>
      </c>
      <c r="J238" s="94">
        <v>1550.5</v>
      </c>
      <c r="K238" s="94">
        <v>516.83</v>
      </c>
    </row>
    <row r="239" spans="1:11">
      <c r="A239" s="74" t="s">
        <v>113</v>
      </c>
      <c r="B239" s="74" t="s">
        <v>158</v>
      </c>
      <c r="C239" s="74" t="s">
        <v>159</v>
      </c>
      <c r="D239" s="74" t="s">
        <v>79</v>
      </c>
      <c r="E239" s="74" t="s">
        <v>81</v>
      </c>
      <c r="F239" s="86" t="s">
        <v>160</v>
      </c>
      <c r="G239" s="74" t="s">
        <v>161</v>
      </c>
      <c r="H239" s="87">
        <v>44316</v>
      </c>
      <c r="I239" s="94">
        <v>1609.1</v>
      </c>
      <c r="J239" s="94">
        <v>1206.83</v>
      </c>
      <c r="K239" s="94">
        <v>402.27</v>
      </c>
    </row>
    <row r="240" spans="1:11">
      <c r="A240" s="74" t="s">
        <v>113</v>
      </c>
      <c r="B240" s="74" t="s">
        <v>162</v>
      </c>
      <c r="C240" s="74" t="s">
        <v>163</v>
      </c>
      <c r="D240" s="74" t="s">
        <v>79</v>
      </c>
      <c r="E240" s="74" t="s">
        <v>81</v>
      </c>
      <c r="F240" s="86" t="s">
        <v>123</v>
      </c>
      <c r="G240" s="74" t="s">
        <v>153</v>
      </c>
      <c r="H240" s="87">
        <v>44316</v>
      </c>
      <c r="I240" s="94">
        <v>2394.4</v>
      </c>
      <c r="J240" s="94">
        <v>1795.8</v>
      </c>
      <c r="K240" s="94">
        <v>598.6</v>
      </c>
    </row>
    <row r="241" spans="1:11">
      <c r="A241" s="74" t="s">
        <v>113</v>
      </c>
      <c r="B241" s="74" t="s">
        <v>164</v>
      </c>
      <c r="C241" s="74" t="s">
        <v>165</v>
      </c>
      <c r="D241" s="74" t="s">
        <v>79</v>
      </c>
      <c r="E241" s="74" t="s">
        <v>81</v>
      </c>
      <c r="F241" s="86" t="s">
        <v>156</v>
      </c>
      <c r="G241" s="74" t="s">
        <v>157</v>
      </c>
      <c r="H241" s="87">
        <v>44316</v>
      </c>
      <c r="I241" s="94">
        <v>1950.62</v>
      </c>
      <c r="J241" s="94">
        <v>1462.97</v>
      </c>
      <c r="K241" s="94">
        <v>487.65</v>
      </c>
    </row>
    <row r="242" spans="1:11">
      <c r="A242" s="74" t="s">
        <v>113</v>
      </c>
      <c r="B242" s="74" t="s">
        <v>166</v>
      </c>
      <c r="C242" s="74" t="s">
        <v>167</v>
      </c>
      <c r="D242" s="74" t="s">
        <v>79</v>
      </c>
      <c r="E242" s="74" t="s">
        <v>81</v>
      </c>
      <c r="F242" s="86" t="s">
        <v>160</v>
      </c>
      <c r="G242" s="74" t="s">
        <v>161</v>
      </c>
      <c r="H242" s="87">
        <v>44316</v>
      </c>
      <c r="I242" s="94">
        <v>1630.65</v>
      </c>
      <c r="J242" s="94">
        <v>1222.99</v>
      </c>
      <c r="K242" s="94">
        <v>407.66</v>
      </c>
    </row>
    <row r="243" spans="1:11">
      <c r="A243" s="74" t="s">
        <v>113</v>
      </c>
      <c r="B243" s="74" t="s">
        <v>168</v>
      </c>
      <c r="C243" s="74" t="s">
        <v>169</v>
      </c>
      <c r="D243" s="74" t="s">
        <v>79</v>
      </c>
      <c r="E243" s="74" t="s">
        <v>81</v>
      </c>
      <c r="F243" s="86" t="s">
        <v>123</v>
      </c>
      <c r="G243" s="74" t="s">
        <v>153</v>
      </c>
      <c r="H243" s="87">
        <v>44316</v>
      </c>
      <c r="I243" s="94">
        <v>2516.3</v>
      </c>
      <c r="J243" s="94">
        <v>1887.23</v>
      </c>
      <c r="K243" s="94">
        <v>629.07</v>
      </c>
    </row>
    <row r="244" spans="1:11">
      <c r="A244" s="74" t="s">
        <v>113</v>
      </c>
      <c r="B244" s="74" t="s">
        <v>170</v>
      </c>
      <c r="C244" s="74" t="s">
        <v>171</v>
      </c>
      <c r="D244" s="74" t="s">
        <v>79</v>
      </c>
      <c r="E244" s="74" t="s">
        <v>81</v>
      </c>
      <c r="F244" s="86" t="s">
        <v>156</v>
      </c>
      <c r="G244" s="74" t="s">
        <v>157</v>
      </c>
      <c r="H244" s="87">
        <v>44316</v>
      </c>
      <c r="I244" s="94">
        <v>2070.25</v>
      </c>
      <c r="J244" s="94">
        <v>1552.69</v>
      </c>
      <c r="K244" s="94">
        <v>517.56</v>
      </c>
    </row>
    <row r="245" spans="1:11">
      <c r="A245" s="74" t="s">
        <v>113</v>
      </c>
      <c r="B245" s="74" t="s">
        <v>172</v>
      </c>
      <c r="C245" s="74" t="s">
        <v>173</v>
      </c>
      <c r="D245" s="74" t="s">
        <v>79</v>
      </c>
      <c r="E245" s="74" t="s">
        <v>81</v>
      </c>
      <c r="F245" s="86" t="s">
        <v>160</v>
      </c>
      <c r="G245" s="74" t="s">
        <v>161</v>
      </c>
      <c r="H245" s="87">
        <v>44316</v>
      </c>
      <c r="I245" s="94">
        <v>1692.89</v>
      </c>
      <c r="J245" s="94">
        <v>1269.67</v>
      </c>
      <c r="K245" s="94">
        <v>423.22</v>
      </c>
    </row>
    <row r="246" spans="1:11">
      <c r="A246" s="74" t="s">
        <v>113</v>
      </c>
      <c r="B246" s="74" t="s">
        <v>174</v>
      </c>
      <c r="C246" s="74" t="s">
        <v>175</v>
      </c>
      <c r="D246" s="74" t="s">
        <v>79</v>
      </c>
      <c r="E246" s="74" t="s">
        <v>81</v>
      </c>
      <c r="F246" s="86" t="s">
        <v>176</v>
      </c>
      <c r="G246" s="74" t="s">
        <v>177</v>
      </c>
      <c r="H246" s="87">
        <v>44316</v>
      </c>
      <c r="I246" s="94">
        <v>1240.38</v>
      </c>
      <c r="J246" s="94">
        <v>930.29</v>
      </c>
      <c r="K246" s="94">
        <v>310.09</v>
      </c>
    </row>
    <row r="247" spans="1:11">
      <c r="A247" s="74" t="s">
        <v>113</v>
      </c>
      <c r="B247" s="74" t="s">
        <v>178</v>
      </c>
      <c r="C247" s="74" t="s">
        <v>179</v>
      </c>
      <c r="D247" s="74" t="s">
        <v>79</v>
      </c>
      <c r="E247" s="74" t="s">
        <v>81</v>
      </c>
      <c r="F247" s="86" t="s">
        <v>180</v>
      </c>
      <c r="G247" s="74" t="s">
        <v>177</v>
      </c>
      <c r="H247" s="87">
        <v>44316</v>
      </c>
      <c r="I247" s="94">
        <v>808.03</v>
      </c>
      <c r="J247" s="94">
        <v>606.02</v>
      </c>
      <c r="K247" s="94">
        <v>202.01</v>
      </c>
    </row>
    <row r="248" spans="1:11">
      <c r="A248" s="74" t="s">
        <v>113</v>
      </c>
      <c r="B248" s="74" t="s">
        <v>181</v>
      </c>
      <c r="C248" s="74" t="s">
        <v>182</v>
      </c>
      <c r="D248" s="74" t="s">
        <v>79</v>
      </c>
      <c r="E248" s="74" t="s">
        <v>81</v>
      </c>
      <c r="F248" s="86" t="s">
        <v>183</v>
      </c>
      <c r="G248" s="74" t="s">
        <v>177</v>
      </c>
      <c r="H248" s="87">
        <v>44316</v>
      </c>
      <c r="I248" s="94">
        <v>418.01</v>
      </c>
      <c r="J248" s="94">
        <v>313.51</v>
      </c>
      <c r="K248" s="94">
        <v>104.5</v>
      </c>
    </row>
    <row r="249" spans="1:11">
      <c r="A249" s="74" t="s">
        <v>113</v>
      </c>
      <c r="B249" s="74" t="s">
        <v>184</v>
      </c>
      <c r="C249" s="74" t="s">
        <v>185</v>
      </c>
      <c r="D249" s="74" t="s">
        <v>79</v>
      </c>
      <c r="E249" s="74" t="s">
        <v>81</v>
      </c>
      <c r="F249" s="86" t="s">
        <v>176</v>
      </c>
      <c r="G249" s="74" t="s">
        <v>177</v>
      </c>
      <c r="H249" s="87">
        <v>44316</v>
      </c>
      <c r="I249" s="94">
        <v>1266.1</v>
      </c>
      <c r="J249" s="94">
        <v>949.58</v>
      </c>
      <c r="K249" s="94">
        <v>316.52</v>
      </c>
    </row>
    <row r="250" spans="1:11">
      <c r="A250" s="74" t="s">
        <v>113</v>
      </c>
      <c r="B250" s="74" t="s">
        <v>186</v>
      </c>
      <c r="C250" s="74" t="s">
        <v>187</v>
      </c>
      <c r="D250" s="74" t="s">
        <v>79</v>
      </c>
      <c r="E250" s="74" t="s">
        <v>81</v>
      </c>
      <c r="F250" s="86" t="s">
        <v>180</v>
      </c>
      <c r="G250" s="74" t="s">
        <v>177</v>
      </c>
      <c r="H250" s="87">
        <v>44316</v>
      </c>
      <c r="I250" s="94">
        <v>781.92</v>
      </c>
      <c r="J250" s="94">
        <v>586.44</v>
      </c>
      <c r="K250" s="94">
        <v>195.48</v>
      </c>
    </row>
    <row r="251" spans="1:11">
      <c r="A251" s="74" t="s">
        <v>113</v>
      </c>
      <c r="B251" s="74" t="s">
        <v>188</v>
      </c>
      <c r="C251" s="74" t="s">
        <v>189</v>
      </c>
      <c r="D251" s="74" t="s">
        <v>79</v>
      </c>
      <c r="E251" s="74" t="s">
        <v>81</v>
      </c>
      <c r="F251" s="86" t="s">
        <v>183</v>
      </c>
      <c r="G251" s="74" t="s">
        <v>177</v>
      </c>
      <c r="H251" s="87">
        <v>44316</v>
      </c>
      <c r="I251" s="94">
        <v>392.15</v>
      </c>
      <c r="J251" s="94">
        <v>294.11</v>
      </c>
      <c r="K251" s="94">
        <v>98.04</v>
      </c>
    </row>
    <row r="252" spans="1:11">
      <c r="A252" s="74" t="s">
        <v>113</v>
      </c>
      <c r="B252" s="74" t="s">
        <v>190</v>
      </c>
      <c r="C252" s="74" t="s">
        <v>191</v>
      </c>
      <c r="D252" s="74" t="s">
        <v>79</v>
      </c>
      <c r="E252" s="74" t="s">
        <v>81</v>
      </c>
      <c r="F252" s="86" t="s">
        <v>176</v>
      </c>
      <c r="G252" s="74" t="s">
        <v>177</v>
      </c>
      <c r="H252" s="87">
        <v>44316</v>
      </c>
      <c r="I252" s="94">
        <v>1207.96</v>
      </c>
      <c r="J252" s="94">
        <v>905.97</v>
      </c>
      <c r="K252" s="94">
        <v>301.99</v>
      </c>
    </row>
    <row r="253" spans="1:11">
      <c r="A253" s="74" t="s">
        <v>113</v>
      </c>
      <c r="B253" s="74" t="s">
        <v>192</v>
      </c>
      <c r="C253" s="74" t="s">
        <v>193</v>
      </c>
      <c r="D253" s="74" t="s">
        <v>79</v>
      </c>
      <c r="E253" s="74" t="s">
        <v>81</v>
      </c>
      <c r="F253" s="86" t="s">
        <v>180</v>
      </c>
      <c r="G253" s="74" t="s">
        <v>177</v>
      </c>
      <c r="H253" s="87">
        <v>44316</v>
      </c>
      <c r="I253" s="94">
        <v>822.83</v>
      </c>
      <c r="J253" s="94">
        <v>617.12</v>
      </c>
      <c r="K253" s="94">
        <v>205.71</v>
      </c>
    </row>
    <row r="254" spans="1:11">
      <c r="A254" s="74" t="s">
        <v>113</v>
      </c>
      <c r="B254" s="74" t="s">
        <v>194</v>
      </c>
      <c r="C254" s="74" t="s">
        <v>195</v>
      </c>
      <c r="D254" s="74" t="s">
        <v>79</v>
      </c>
      <c r="E254" s="74" t="s">
        <v>81</v>
      </c>
      <c r="F254" s="86" t="s">
        <v>183</v>
      </c>
      <c r="G254" s="74" t="s">
        <v>177</v>
      </c>
      <c r="H254" s="87">
        <v>44316</v>
      </c>
      <c r="I254" s="94">
        <v>419.46</v>
      </c>
      <c r="J254" s="94">
        <v>314.6</v>
      </c>
      <c r="K254" s="94">
        <v>104.86</v>
      </c>
    </row>
    <row r="255" spans="1:11">
      <c r="A255" s="74" t="s">
        <v>113</v>
      </c>
      <c r="B255" s="74" t="s">
        <v>196</v>
      </c>
      <c r="C255" s="74" t="s">
        <v>197</v>
      </c>
      <c r="D255" s="74" t="s">
        <v>79</v>
      </c>
      <c r="E255" s="74" t="s">
        <v>81</v>
      </c>
      <c r="F255" s="86" t="s">
        <v>176</v>
      </c>
      <c r="G255" s="74" t="s">
        <v>177</v>
      </c>
      <c r="H255" s="87">
        <v>44316</v>
      </c>
      <c r="I255" s="94">
        <v>1226.9</v>
      </c>
      <c r="J255" s="94">
        <v>920.18</v>
      </c>
      <c r="K255" s="94">
        <v>306.72</v>
      </c>
    </row>
    <row r="256" spans="1:11">
      <c r="A256" s="74" t="s">
        <v>113</v>
      </c>
      <c r="B256" s="74" t="s">
        <v>198</v>
      </c>
      <c r="C256" s="74" t="s">
        <v>199</v>
      </c>
      <c r="D256" s="74" t="s">
        <v>79</v>
      </c>
      <c r="E256" s="74" t="s">
        <v>81</v>
      </c>
      <c r="F256" s="86" t="s">
        <v>180</v>
      </c>
      <c r="G256" s="74" t="s">
        <v>177</v>
      </c>
      <c r="H256" s="87">
        <v>44316</v>
      </c>
      <c r="I256" s="94">
        <v>780.43</v>
      </c>
      <c r="J256" s="94">
        <v>585.32</v>
      </c>
      <c r="K256" s="94">
        <v>195.11</v>
      </c>
    </row>
    <row r="257" spans="1:11">
      <c r="A257" s="74" t="s">
        <v>113</v>
      </c>
      <c r="B257" s="74" t="s">
        <v>200</v>
      </c>
      <c r="C257" s="74" t="s">
        <v>201</v>
      </c>
      <c r="D257" s="74" t="s">
        <v>79</v>
      </c>
      <c r="E257" s="74" t="s">
        <v>81</v>
      </c>
      <c r="F257" s="86" t="s">
        <v>183</v>
      </c>
      <c r="G257" s="74" t="s">
        <v>177</v>
      </c>
      <c r="H257" s="87">
        <v>44316</v>
      </c>
      <c r="I257" s="94">
        <v>398.56</v>
      </c>
      <c r="J257" s="94">
        <v>298.92</v>
      </c>
      <c r="K257" s="94">
        <v>99.64</v>
      </c>
    </row>
    <row r="258" spans="1:11">
      <c r="A258" s="74" t="s">
        <v>113</v>
      </c>
      <c r="B258" s="74" t="s">
        <v>202</v>
      </c>
      <c r="C258" s="74" t="s">
        <v>203</v>
      </c>
      <c r="D258" s="74" t="s">
        <v>79</v>
      </c>
      <c r="E258" s="74" t="s">
        <v>81</v>
      </c>
      <c r="F258" s="86" t="s">
        <v>204</v>
      </c>
      <c r="G258" s="74" t="s">
        <v>205</v>
      </c>
      <c r="H258" s="87">
        <v>44316</v>
      </c>
      <c r="I258" s="94">
        <v>7686.22</v>
      </c>
      <c r="J258" s="94">
        <v>5764.67</v>
      </c>
      <c r="K258" s="94">
        <v>1921.55</v>
      </c>
    </row>
    <row r="259" spans="1:11">
      <c r="A259" s="74" t="s">
        <v>113</v>
      </c>
      <c r="B259" s="74" t="s">
        <v>206</v>
      </c>
      <c r="C259" s="74" t="s">
        <v>207</v>
      </c>
      <c r="D259" s="88" t="s">
        <v>82</v>
      </c>
      <c r="E259" s="88" t="s">
        <v>84</v>
      </c>
      <c r="F259" s="86" t="s">
        <v>208</v>
      </c>
      <c r="G259" s="74" t="s">
        <v>209</v>
      </c>
      <c r="H259" s="87">
        <v>44316</v>
      </c>
      <c r="I259" s="94">
        <v>3683.26</v>
      </c>
      <c r="J259" s="94">
        <v>2762.45</v>
      </c>
      <c r="K259" s="94">
        <v>920.81</v>
      </c>
    </row>
    <row r="260" spans="1:11">
      <c r="A260" s="74" t="s">
        <v>113</v>
      </c>
      <c r="B260" s="74" t="s">
        <v>210</v>
      </c>
      <c r="C260" s="74" t="s">
        <v>211</v>
      </c>
      <c r="D260" s="88" t="s">
        <v>82</v>
      </c>
      <c r="E260" s="88" t="s">
        <v>84</v>
      </c>
      <c r="F260" s="86" t="s">
        <v>116</v>
      </c>
      <c r="G260" s="74" t="s">
        <v>209</v>
      </c>
      <c r="H260" s="87">
        <v>44316</v>
      </c>
      <c r="I260" s="94">
        <v>3305.66</v>
      </c>
      <c r="J260" s="94">
        <v>2479.25</v>
      </c>
      <c r="K260" s="94">
        <v>826.41</v>
      </c>
    </row>
    <row r="261" spans="1:11">
      <c r="A261" s="74" t="s">
        <v>113</v>
      </c>
      <c r="B261" s="74" t="s">
        <v>212</v>
      </c>
      <c r="C261" s="74" t="s">
        <v>213</v>
      </c>
      <c r="D261" s="88" t="s">
        <v>82</v>
      </c>
      <c r="E261" s="88" t="s">
        <v>84</v>
      </c>
      <c r="F261" s="86" t="s">
        <v>208</v>
      </c>
      <c r="G261" s="74" t="s">
        <v>209</v>
      </c>
      <c r="H261" s="87">
        <v>44316</v>
      </c>
      <c r="I261" s="94">
        <v>3538.97</v>
      </c>
      <c r="J261" s="94">
        <v>2654.23</v>
      </c>
      <c r="K261" s="94">
        <v>884.74</v>
      </c>
    </row>
    <row r="262" spans="1:11">
      <c r="A262" s="74" t="s">
        <v>113</v>
      </c>
      <c r="B262" s="74" t="s">
        <v>214</v>
      </c>
      <c r="C262" s="74" t="s">
        <v>215</v>
      </c>
      <c r="D262" s="88" t="s">
        <v>82</v>
      </c>
      <c r="E262" s="88" t="s">
        <v>84</v>
      </c>
      <c r="F262" s="86" t="s">
        <v>116</v>
      </c>
      <c r="G262" s="74" t="s">
        <v>209</v>
      </c>
      <c r="H262" s="87">
        <v>44316</v>
      </c>
      <c r="I262" s="94">
        <v>3184.58</v>
      </c>
      <c r="J262" s="94">
        <v>2388.44</v>
      </c>
      <c r="K262" s="94">
        <v>796.14</v>
      </c>
    </row>
    <row r="263" spans="1:11">
      <c r="A263" s="74" t="s">
        <v>113</v>
      </c>
      <c r="B263" s="74" t="s">
        <v>216</v>
      </c>
      <c r="C263" s="74" t="s">
        <v>217</v>
      </c>
      <c r="D263" s="88" t="s">
        <v>82</v>
      </c>
      <c r="E263" s="88" t="s">
        <v>84</v>
      </c>
      <c r="F263" s="86" t="s">
        <v>218</v>
      </c>
      <c r="G263" s="74" t="s">
        <v>219</v>
      </c>
      <c r="H263" s="87">
        <v>44316</v>
      </c>
      <c r="I263" s="94">
        <v>4331.84</v>
      </c>
      <c r="J263" s="94">
        <v>3248.88</v>
      </c>
      <c r="K263" s="94">
        <v>1082.96</v>
      </c>
    </row>
    <row r="264" spans="1:11">
      <c r="A264" s="74" t="s">
        <v>113</v>
      </c>
      <c r="B264" s="74" t="s">
        <v>220</v>
      </c>
      <c r="C264" s="74" t="s">
        <v>221</v>
      </c>
      <c r="D264" s="88" t="s">
        <v>82</v>
      </c>
      <c r="E264" s="74" t="s">
        <v>83</v>
      </c>
      <c r="F264" s="86" t="s">
        <v>218</v>
      </c>
      <c r="G264" s="74" t="s">
        <v>222</v>
      </c>
      <c r="H264" s="87">
        <v>44316</v>
      </c>
      <c r="I264" s="94">
        <v>4634.35</v>
      </c>
      <c r="J264" s="94">
        <v>3475.76</v>
      </c>
      <c r="K264" s="94">
        <v>1158.59</v>
      </c>
    </row>
    <row r="265" spans="1:11">
      <c r="A265" s="74" t="s">
        <v>113</v>
      </c>
      <c r="B265" s="74" t="s">
        <v>223</v>
      </c>
      <c r="C265" s="74" t="s">
        <v>224</v>
      </c>
      <c r="D265" s="88" t="s">
        <v>82</v>
      </c>
      <c r="E265" s="74" t="s">
        <v>83</v>
      </c>
      <c r="F265" s="86" t="s">
        <v>225</v>
      </c>
      <c r="G265" s="74" t="s">
        <v>209</v>
      </c>
      <c r="H265" s="87">
        <v>44316</v>
      </c>
      <c r="I265" s="94">
        <v>4102.24</v>
      </c>
      <c r="J265" s="94">
        <v>3076.68</v>
      </c>
      <c r="K265" s="94">
        <v>1025.56</v>
      </c>
    </row>
    <row r="266" spans="1:11">
      <c r="A266" s="74" t="s">
        <v>113</v>
      </c>
      <c r="B266" s="74" t="s">
        <v>226</v>
      </c>
      <c r="C266" s="74" t="s">
        <v>227</v>
      </c>
      <c r="D266" s="88" t="s">
        <v>82</v>
      </c>
      <c r="E266" s="74" t="s">
        <v>83</v>
      </c>
      <c r="F266" s="86" t="s">
        <v>208</v>
      </c>
      <c r="G266" s="74" t="s">
        <v>209</v>
      </c>
      <c r="H266" s="87">
        <v>44316</v>
      </c>
      <c r="I266" s="94">
        <v>3638.88</v>
      </c>
      <c r="J266" s="94">
        <v>2729.16</v>
      </c>
      <c r="K266" s="94">
        <v>909.72</v>
      </c>
    </row>
    <row r="267" spans="1:11">
      <c r="A267" s="74" t="s">
        <v>113</v>
      </c>
      <c r="B267" s="74" t="s">
        <v>228</v>
      </c>
      <c r="C267" s="74" t="s">
        <v>229</v>
      </c>
      <c r="D267" s="88" t="s">
        <v>82</v>
      </c>
      <c r="E267" s="74" t="s">
        <v>83</v>
      </c>
      <c r="F267" s="86" t="s">
        <v>116</v>
      </c>
      <c r="G267" s="74" t="s">
        <v>209</v>
      </c>
      <c r="H267" s="87">
        <v>44316</v>
      </c>
      <c r="I267" s="94">
        <v>3260.08</v>
      </c>
      <c r="J267" s="94">
        <v>2445.06</v>
      </c>
      <c r="K267" s="94">
        <v>815.02</v>
      </c>
    </row>
    <row r="268" spans="1:11">
      <c r="A268" s="74" t="s">
        <v>113</v>
      </c>
      <c r="B268" s="74" t="s">
        <v>230</v>
      </c>
      <c r="C268" s="74" t="s">
        <v>231</v>
      </c>
      <c r="D268" s="88" t="s">
        <v>82</v>
      </c>
      <c r="E268" s="74" t="s">
        <v>83</v>
      </c>
      <c r="F268" s="86" t="s">
        <v>120</v>
      </c>
      <c r="G268" s="74" t="s">
        <v>209</v>
      </c>
      <c r="H268" s="87">
        <v>44316</v>
      </c>
      <c r="I268" s="94">
        <v>2804.19</v>
      </c>
      <c r="J268" s="94">
        <v>2103.14</v>
      </c>
      <c r="K268" s="94">
        <v>701.05</v>
      </c>
    </row>
    <row r="269" spans="1:11">
      <c r="A269" s="74" t="s">
        <v>113</v>
      </c>
      <c r="B269" s="74" t="s">
        <v>232</v>
      </c>
      <c r="C269" s="74" t="s">
        <v>233</v>
      </c>
      <c r="D269" s="88" t="s">
        <v>82</v>
      </c>
      <c r="E269" s="74" t="s">
        <v>83</v>
      </c>
      <c r="F269" s="86" t="s">
        <v>123</v>
      </c>
      <c r="G269" s="74" t="s">
        <v>209</v>
      </c>
      <c r="H269" s="87">
        <v>44316</v>
      </c>
      <c r="I269" s="94">
        <v>2479.57</v>
      </c>
      <c r="J269" s="94">
        <v>1859.68</v>
      </c>
      <c r="K269" s="94">
        <v>619.89</v>
      </c>
    </row>
    <row r="270" spans="1:11">
      <c r="A270" s="74" t="s">
        <v>113</v>
      </c>
      <c r="B270" s="74" t="s">
        <v>234</v>
      </c>
      <c r="C270" s="74" t="s">
        <v>235</v>
      </c>
      <c r="D270" s="88" t="s">
        <v>82</v>
      </c>
      <c r="E270" s="74" t="s">
        <v>83</v>
      </c>
      <c r="F270" s="86" t="s">
        <v>116</v>
      </c>
      <c r="G270" s="74" t="s">
        <v>209</v>
      </c>
      <c r="H270" s="87">
        <v>44316</v>
      </c>
      <c r="I270" s="94">
        <v>3385.17</v>
      </c>
      <c r="J270" s="94">
        <v>2538.88</v>
      </c>
      <c r="K270" s="94">
        <v>846.29</v>
      </c>
    </row>
    <row r="271" spans="1:11">
      <c r="A271" s="74" t="s">
        <v>113</v>
      </c>
      <c r="B271" s="74" t="s">
        <v>236</v>
      </c>
      <c r="C271" s="74" t="s">
        <v>237</v>
      </c>
      <c r="D271" s="88" t="s">
        <v>82</v>
      </c>
      <c r="E271" s="74" t="s">
        <v>83</v>
      </c>
      <c r="F271" s="86" t="s">
        <v>120</v>
      </c>
      <c r="G271" s="74" t="s">
        <v>209</v>
      </c>
      <c r="H271" s="87">
        <v>44316</v>
      </c>
      <c r="I271" s="94">
        <v>2738.58</v>
      </c>
      <c r="J271" s="94">
        <v>2053.94</v>
      </c>
      <c r="K271" s="94">
        <v>684.64</v>
      </c>
    </row>
    <row r="272" spans="1:11">
      <c r="A272" s="74" t="s">
        <v>113</v>
      </c>
      <c r="B272" s="74" t="s">
        <v>238</v>
      </c>
      <c r="C272" s="74" t="s">
        <v>239</v>
      </c>
      <c r="D272" s="74" t="s">
        <v>86</v>
      </c>
      <c r="E272" s="74" t="s">
        <v>87</v>
      </c>
      <c r="F272" s="86" t="s">
        <v>204</v>
      </c>
      <c r="G272" s="74" t="s">
        <v>240</v>
      </c>
      <c r="H272" s="87">
        <v>44316</v>
      </c>
      <c r="I272" s="94">
        <v>5676.27</v>
      </c>
      <c r="J272" s="94">
        <v>4257.2</v>
      </c>
      <c r="K272" s="94">
        <v>1419.07</v>
      </c>
    </row>
    <row r="273" spans="1:11">
      <c r="A273" s="74" t="s">
        <v>113</v>
      </c>
      <c r="B273" s="74" t="s">
        <v>241</v>
      </c>
      <c r="C273" s="74" t="s">
        <v>242</v>
      </c>
      <c r="D273" s="74" t="s">
        <v>86</v>
      </c>
      <c r="E273" s="74" t="s">
        <v>87</v>
      </c>
      <c r="F273" s="86" t="s">
        <v>243</v>
      </c>
      <c r="G273" s="74" t="s">
        <v>244</v>
      </c>
      <c r="H273" s="87">
        <v>44316</v>
      </c>
      <c r="I273" s="94">
        <v>4287.17</v>
      </c>
      <c r="J273" s="94">
        <v>3215.38</v>
      </c>
      <c r="K273" s="94">
        <v>1071.79</v>
      </c>
    </row>
    <row r="274" spans="1:11">
      <c r="A274" s="74" t="s">
        <v>113</v>
      </c>
      <c r="B274" s="74" t="s">
        <v>245</v>
      </c>
      <c r="C274" s="74" t="s">
        <v>246</v>
      </c>
      <c r="D274" s="74" t="s">
        <v>86</v>
      </c>
      <c r="E274" s="74" t="s">
        <v>87</v>
      </c>
      <c r="F274" s="86" t="s">
        <v>247</v>
      </c>
      <c r="G274" s="74" t="s">
        <v>248</v>
      </c>
      <c r="H274" s="87">
        <v>44316</v>
      </c>
      <c r="I274" s="94">
        <v>4054.01</v>
      </c>
      <c r="J274" s="94">
        <v>3040.51</v>
      </c>
      <c r="K274" s="94">
        <v>1013.5</v>
      </c>
    </row>
    <row r="275" spans="1:11">
      <c r="A275" s="74" t="s">
        <v>113</v>
      </c>
      <c r="B275" s="74" t="s">
        <v>249</v>
      </c>
      <c r="C275" s="74" t="s">
        <v>250</v>
      </c>
      <c r="D275" s="74" t="s">
        <v>86</v>
      </c>
      <c r="E275" s="74" t="s">
        <v>87</v>
      </c>
      <c r="F275" s="86" t="s">
        <v>251</v>
      </c>
      <c r="G275" s="74" t="s">
        <v>252</v>
      </c>
      <c r="H275" s="87">
        <v>44316</v>
      </c>
      <c r="I275" s="94">
        <v>3527.34</v>
      </c>
      <c r="J275" s="94">
        <v>2645.51</v>
      </c>
      <c r="K275" s="94">
        <v>881.83</v>
      </c>
    </row>
    <row r="276" spans="1:11">
      <c r="A276" s="74" t="s">
        <v>113</v>
      </c>
      <c r="B276" s="74" t="s">
        <v>253</v>
      </c>
      <c r="C276" s="74" t="s">
        <v>254</v>
      </c>
      <c r="D276" s="74" t="s">
        <v>86</v>
      </c>
      <c r="E276" s="74" t="s">
        <v>87</v>
      </c>
      <c r="F276" s="86" t="s">
        <v>255</v>
      </c>
      <c r="G276" s="74" t="s">
        <v>252</v>
      </c>
      <c r="H276" s="87">
        <v>44316</v>
      </c>
      <c r="I276" s="94">
        <v>3282.28</v>
      </c>
      <c r="J276" s="94">
        <v>2461.71</v>
      </c>
      <c r="K276" s="94">
        <v>820.57</v>
      </c>
    </row>
    <row r="277" spans="1:11">
      <c r="A277" s="74" t="s">
        <v>113</v>
      </c>
      <c r="B277" s="74" t="s">
        <v>256</v>
      </c>
      <c r="C277" s="74" t="s">
        <v>257</v>
      </c>
      <c r="D277" s="74" t="s">
        <v>86</v>
      </c>
      <c r="E277" s="74" t="s">
        <v>87</v>
      </c>
      <c r="F277" s="86" t="s">
        <v>258</v>
      </c>
      <c r="G277" s="74" t="s">
        <v>252</v>
      </c>
      <c r="H277" s="87">
        <v>44316</v>
      </c>
      <c r="I277" s="94">
        <v>2836.5</v>
      </c>
      <c r="J277" s="94">
        <v>2127.38</v>
      </c>
      <c r="K277" s="94">
        <v>709.12</v>
      </c>
    </row>
    <row r="278" spans="1:11">
      <c r="A278" s="74" t="s">
        <v>113</v>
      </c>
      <c r="B278" s="74" t="s">
        <v>259</v>
      </c>
      <c r="C278" s="74" t="s">
        <v>260</v>
      </c>
      <c r="D278" s="74" t="s">
        <v>86</v>
      </c>
      <c r="E278" s="74" t="s">
        <v>87</v>
      </c>
      <c r="F278" s="86" t="s">
        <v>261</v>
      </c>
      <c r="G278" s="74" t="s">
        <v>262</v>
      </c>
      <c r="H278" s="87">
        <v>44316</v>
      </c>
      <c r="I278" s="94">
        <v>2538.04</v>
      </c>
      <c r="J278" s="94">
        <v>1903.53</v>
      </c>
      <c r="K278" s="94">
        <v>634.51</v>
      </c>
    </row>
    <row r="279" spans="1:11">
      <c r="A279" s="74" t="s">
        <v>113</v>
      </c>
      <c r="B279" s="74" t="s">
        <v>263</v>
      </c>
      <c r="C279" s="74" t="s">
        <v>264</v>
      </c>
      <c r="D279" s="74" t="s">
        <v>86</v>
      </c>
      <c r="E279" s="74" t="s">
        <v>88</v>
      </c>
      <c r="F279" s="86" t="s">
        <v>149</v>
      </c>
      <c r="G279" s="74" t="s">
        <v>265</v>
      </c>
      <c r="H279" s="87">
        <v>44316</v>
      </c>
      <c r="I279" s="94">
        <v>5755.35</v>
      </c>
      <c r="J279" s="94">
        <v>4316.51</v>
      </c>
      <c r="K279" s="94">
        <v>1438.84</v>
      </c>
    </row>
    <row r="280" spans="1:11">
      <c r="A280" s="74" t="s">
        <v>113</v>
      </c>
      <c r="B280" s="74" t="s">
        <v>266</v>
      </c>
      <c r="C280" s="74" t="s">
        <v>267</v>
      </c>
      <c r="D280" s="74" t="s">
        <v>86</v>
      </c>
      <c r="E280" s="74" t="s">
        <v>88</v>
      </c>
      <c r="F280" s="86" t="s">
        <v>243</v>
      </c>
      <c r="G280" s="74" t="s">
        <v>268</v>
      </c>
      <c r="H280" s="87">
        <v>44316</v>
      </c>
      <c r="I280" s="94">
        <v>4266.25</v>
      </c>
      <c r="J280" s="94">
        <v>3199.69</v>
      </c>
      <c r="K280" s="94">
        <v>1066.56</v>
      </c>
    </row>
    <row r="281" spans="1:11">
      <c r="A281" s="74" t="s">
        <v>113</v>
      </c>
      <c r="B281" s="74" t="s">
        <v>269</v>
      </c>
      <c r="C281" s="74" t="s">
        <v>270</v>
      </c>
      <c r="D281" s="74" t="s">
        <v>86</v>
      </c>
      <c r="E281" s="74" t="s">
        <v>88</v>
      </c>
      <c r="F281" s="86" t="s">
        <v>247</v>
      </c>
      <c r="G281" s="74" t="s">
        <v>268</v>
      </c>
      <c r="H281" s="87">
        <v>44316</v>
      </c>
      <c r="I281" s="94">
        <v>4013.45</v>
      </c>
      <c r="J281" s="94">
        <v>3010.09</v>
      </c>
      <c r="K281" s="94">
        <v>1003.36</v>
      </c>
    </row>
    <row r="282" spans="1:11">
      <c r="A282" s="74" t="s">
        <v>113</v>
      </c>
      <c r="B282" s="74" t="s">
        <v>271</v>
      </c>
      <c r="C282" s="74" t="s">
        <v>272</v>
      </c>
      <c r="D282" s="74" t="s">
        <v>86</v>
      </c>
      <c r="E282" s="74" t="s">
        <v>88</v>
      </c>
      <c r="F282" s="86" t="s">
        <v>251</v>
      </c>
      <c r="G282" s="74" t="s">
        <v>268</v>
      </c>
      <c r="H282" s="87">
        <v>44316</v>
      </c>
      <c r="I282" s="94">
        <v>3707.55</v>
      </c>
      <c r="J282" s="94">
        <v>2780.66</v>
      </c>
      <c r="K282" s="94">
        <v>926.89</v>
      </c>
    </row>
    <row r="283" spans="1:11">
      <c r="A283" s="74" t="s">
        <v>113</v>
      </c>
      <c r="B283" s="74" t="s">
        <v>273</v>
      </c>
      <c r="C283" s="74" t="s">
        <v>274</v>
      </c>
      <c r="D283" s="74" t="s">
        <v>86</v>
      </c>
      <c r="E283" s="74" t="s">
        <v>88</v>
      </c>
      <c r="F283" s="86" t="s">
        <v>255</v>
      </c>
      <c r="G283" s="74" t="s">
        <v>268</v>
      </c>
      <c r="H283" s="87">
        <v>44316</v>
      </c>
      <c r="I283" s="94">
        <v>3310.23</v>
      </c>
      <c r="J283" s="94">
        <v>2482.67</v>
      </c>
      <c r="K283" s="94">
        <v>827.56</v>
      </c>
    </row>
    <row r="284" spans="1:11">
      <c r="A284" s="74" t="s">
        <v>113</v>
      </c>
      <c r="B284" s="74" t="s">
        <v>275</v>
      </c>
      <c r="C284" s="74" t="s">
        <v>276</v>
      </c>
      <c r="D284" s="74" t="s">
        <v>86</v>
      </c>
      <c r="E284" s="74" t="s">
        <v>88</v>
      </c>
      <c r="F284" s="86" t="s">
        <v>258</v>
      </c>
      <c r="G284" s="74" t="s">
        <v>268</v>
      </c>
      <c r="H284" s="87">
        <v>44316</v>
      </c>
      <c r="I284" s="94">
        <v>2997.58</v>
      </c>
      <c r="J284" s="94">
        <v>2248.19</v>
      </c>
      <c r="K284" s="94">
        <v>749.39</v>
      </c>
    </row>
    <row r="285" spans="1:11">
      <c r="A285" s="74" t="s">
        <v>113</v>
      </c>
      <c r="B285" s="74" t="s">
        <v>277</v>
      </c>
      <c r="C285" s="74" t="s">
        <v>278</v>
      </c>
      <c r="D285" s="74" t="s">
        <v>86</v>
      </c>
      <c r="E285" s="74" t="s">
        <v>89</v>
      </c>
      <c r="F285" s="86" t="s">
        <v>279</v>
      </c>
      <c r="G285" s="74" t="s">
        <v>280</v>
      </c>
      <c r="H285" s="87">
        <v>44316</v>
      </c>
      <c r="I285" s="94">
        <v>4752.77</v>
      </c>
      <c r="J285" s="94">
        <v>3564.58</v>
      </c>
      <c r="K285" s="94">
        <v>1188.19</v>
      </c>
    </row>
    <row r="286" spans="1:11">
      <c r="A286" s="74" t="s">
        <v>113</v>
      </c>
      <c r="B286" s="74" t="s">
        <v>281</v>
      </c>
      <c r="C286" s="74" t="s">
        <v>282</v>
      </c>
      <c r="D286" s="74" t="s">
        <v>86</v>
      </c>
      <c r="E286" s="74" t="s">
        <v>89</v>
      </c>
      <c r="F286" s="86" t="s">
        <v>225</v>
      </c>
      <c r="G286" s="74" t="s">
        <v>283</v>
      </c>
      <c r="H286" s="87">
        <v>44316</v>
      </c>
      <c r="I286" s="94">
        <v>3246.7</v>
      </c>
      <c r="J286" s="94">
        <v>2435.03</v>
      </c>
      <c r="K286" s="94">
        <v>811.67</v>
      </c>
    </row>
    <row r="287" spans="1:11">
      <c r="A287" s="74" t="s">
        <v>113</v>
      </c>
      <c r="B287" s="74" t="s">
        <v>284</v>
      </c>
      <c r="C287" s="74" t="s">
        <v>285</v>
      </c>
      <c r="D287" s="74" t="s">
        <v>86</v>
      </c>
      <c r="E287" s="74" t="s">
        <v>89</v>
      </c>
      <c r="F287" s="86" t="s">
        <v>208</v>
      </c>
      <c r="G287" s="74" t="s">
        <v>283</v>
      </c>
      <c r="H287" s="87">
        <v>44316</v>
      </c>
      <c r="I287" s="94">
        <v>2953.67</v>
      </c>
      <c r="J287" s="94">
        <v>2215.25</v>
      </c>
      <c r="K287" s="94">
        <v>738.42</v>
      </c>
    </row>
    <row r="288" spans="1:11">
      <c r="A288" s="74" t="s">
        <v>113</v>
      </c>
      <c r="B288" s="74" t="s">
        <v>286</v>
      </c>
      <c r="C288" s="74" t="s">
        <v>287</v>
      </c>
      <c r="D288" s="74" t="s">
        <v>82</v>
      </c>
      <c r="E288" s="88" t="s">
        <v>85</v>
      </c>
      <c r="F288" s="86" t="s">
        <v>288</v>
      </c>
      <c r="G288" s="74" t="s">
        <v>289</v>
      </c>
      <c r="H288" s="87">
        <v>44316</v>
      </c>
      <c r="I288" s="94">
        <v>4927.07</v>
      </c>
      <c r="J288" s="94">
        <v>3695.3</v>
      </c>
      <c r="K288" s="94">
        <v>1231.77</v>
      </c>
    </row>
    <row r="289" spans="1:11">
      <c r="A289" s="74" t="s">
        <v>113</v>
      </c>
      <c r="B289" s="74" t="s">
        <v>290</v>
      </c>
      <c r="C289" s="74" t="s">
        <v>291</v>
      </c>
      <c r="D289" s="74" t="s">
        <v>82</v>
      </c>
      <c r="E289" s="88" t="s">
        <v>85</v>
      </c>
      <c r="F289" s="86" t="s">
        <v>218</v>
      </c>
      <c r="G289" s="74" t="s">
        <v>289</v>
      </c>
      <c r="H289" s="87">
        <v>44316</v>
      </c>
      <c r="I289" s="94">
        <v>4592.77</v>
      </c>
      <c r="J289" s="94">
        <v>3444.58</v>
      </c>
      <c r="K289" s="94">
        <v>1148.19</v>
      </c>
    </row>
    <row r="290" spans="1:11">
      <c r="A290" s="74" t="s">
        <v>113</v>
      </c>
      <c r="B290" s="74" t="s">
        <v>292</v>
      </c>
      <c r="C290" s="74" t="s">
        <v>293</v>
      </c>
      <c r="D290" s="74" t="s">
        <v>82</v>
      </c>
      <c r="E290" s="88" t="s">
        <v>85</v>
      </c>
      <c r="F290" s="86" t="s">
        <v>225</v>
      </c>
      <c r="G290" s="74" t="s">
        <v>289</v>
      </c>
      <c r="H290" s="87">
        <v>44316</v>
      </c>
      <c r="I290" s="94">
        <v>4222.36</v>
      </c>
      <c r="J290" s="94">
        <v>3166.77</v>
      </c>
      <c r="K290" s="94">
        <v>1055.59</v>
      </c>
    </row>
    <row r="291" spans="1:11">
      <c r="A291" s="74" t="s">
        <v>113</v>
      </c>
      <c r="B291" s="74" t="s">
        <v>294</v>
      </c>
      <c r="C291" s="74" t="s">
        <v>295</v>
      </c>
      <c r="D291" s="74" t="s">
        <v>82</v>
      </c>
      <c r="E291" s="88" t="s">
        <v>85</v>
      </c>
      <c r="F291" s="86" t="s">
        <v>208</v>
      </c>
      <c r="G291" s="74" t="s">
        <v>289</v>
      </c>
      <c r="H291" s="87">
        <v>44316</v>
      </c>
      <c r="I291" s="94">
        <v>3782.16</v>
      </c>
      <c r="J291" s="94">
        <v>2836.62</v>
      </c>
      <c r="K291" s="94">
        <v>945.54</v>
      </c>
    </row>
    <row r="292" spans="1:11">
      <c r="A292" s="74" t="s">
        <v>113</v>
      </c>
      <c r="B292" s="74" t="s">
        <v>296</v>
      </c>
      <c r="C292" s="74" t="s">
        <v>297</v>
      </c>
      <c r="D292" s="74" t="s">
        <v>82</v>
      </c>
      <c r="E292" s="88" t="s">
        <v>85</v>
      </c>
      <c r="F292" s="86" t="s">
        <v>116</v>
      </c>
      <c r="G292" s="74" t="s">
        <v>289</v>
      </c>
      <c r="H292" s="87">
        <v>44316</v>
      </c>
      <c r="I292" s="94">
        <v>3356.94</v>
      </c>
      <c r="J292" s="94">
        <v>2517.71</v>
      </c>
      <c r="K292" s="94">
        <v>839.23</v>
      </c>
    </row>
    <row r="293" spans="1:11">
      <c r="A293" s="74" t="s">
        <v>113</v>
      </c>
      <c r="B293" s="74" t="s">
        <v>298</v>
      </c>
      <c r="C293" s="74" t="s">
        <v>299</v>
      </c>
      <c r="D293" s="74" t="s">
        <v>82</v>
      </c>
      <c r="E293" s="88" t="s">
        <v>85</v>
      </c>
      <c r="F293" s="86" t="s">
        <v>279</v>
      </c>
      <c r="G293" s="74" t="s">
        <v>300</v>
      </c>
      <c r="H293" s="87">
        <v>44316</v>
      </c>
      <c r="I293" s="94">
        <v>5878.04</v>
      </c>
      <c r="J293" s="94">
        <v>4408.53</v>
      </c>
      <c r="K293" s="94">
        <v>1469.51</v>
      </c>
    </row>
    <row r="294" spans="1:11">
      <c r="A294" s="74" t="s">
        <v>113</v>
      </c>
      <c r="B294" s="74" t="s">
        <v>301</v>
      </c>
      <c r="C294" s="74" t="s">
        <v>302</v>
      </c>
      <c r="D294" s="74" t="s">
        <v>82</v>
      </c>
      <c r="E294" s="88" t="s">
        <v>85</v>
      </c>
      <c r="F294" s="86" t="s">
        <v>279</v>
      </c>
      <c r="G294" s="74" t="s">
        <v>303</v>
      </c>
      <c r="H294" s="87">
        <v>44316</v>
      </c>
      <c r="I294" s="94">
        <v>6004.58</v>
      </c>
      <c r="J294" s="94">
        <v>4503.44</v>
      </c>
      <c r="K294" s="94">
        <v>1501.14</v>
      </c>
    </row>
    <row r="295" spans="1:11">
      <c r="A295" s="74" t="s">
        <v>113</v>
      </c>
      <c r="B295" s="74" t="s">
        <v>304</v>
      </c>
      <c r="C295" s="74" t="s">
        <v>305</v>
      </c>
      <c r="D295" s="74" t="s">
        <v>86</v>
      </c>
      <c r="E295" s="74" t="s">
        <v>90</v>
      </c>
      <c r="F295" s="86" t="s">
        <v>306</v>
      </c>
      <c r="G295" s="74" t="s">
        <v>307</v>
      </c>
      <c r="H295" s="87">
        <v>44316</v>
      </c>
      <c r="I295" s="94">
        <v>6857.53</v>
      </c>
      <c r="J295" s="94">
        <v>5143.15</v>
      </c>
      <c r="K295" s="94">
        <v>1714.38</v>
      </c>
    </row>
    <row r="296" spans="1:11">
      <c r="A296" s="74" t="s">
        <v>113</v>
      </c>
      <c r="B296" s="74" t="s">
        <v>114</v>
      </c>
      <c r="C296" s="74" t="s">
        <v>115</v>
      </c>
      <c r="D296" s="74" t="s">
        <v>79</v>
      </c>
      <c r="E296" s="74" t="s">
        <v>80</v>
      </c>
      <c r="F296" s="86" t="s">
        <v>116</v>
      </c>
      <c r="G296" s="74" t="s">
        <v>117</v>
      </c>
      <c r="H296" s="87">
        <v>44346</v>
      </c>
      <c r="I296" s="94">
        <v>3201.01</v>
      </c>
      <c r="J296" s="94">
        <v>2400.76</v>
      </c>
      <c r="K296" s="94">
        <v>800.25</v>
      </c>
    </row>
    <row r="297" spans="1:11">
      <c r="A297" s="74" t="s">
        <v>113</v>
      </c>
      <c r="B297" s="74" t="s">
        <v>118</v>
      </c>
      <c r="C297" s="74" t="s">
        <v>119</v>
      </c>
      <c r="D297" s="74" t="s">
        <v>79</v>
      </c>
      <c r="E297" s="74" t="s">
        <v>80</v>
      </c>
      <c r="F297" s="86" t="s">
        <v>120</v>
      </c>
      <c r="G297" s="74" t="s">
        <v>117</v>
      </c>
      <c r="H297" s="87">
        <v>44346</v>
      </c>
      <c r="I297" s="94">
        <v>2955.37</v>
      </c>
      <c r="J297" s="94">
        <v>2216.53</v>
      </c>
      <c r="K297" s="94">
        <v>738.84</v>
      </c>
    </row>
    <row r="298" spans="1:11">
      <c r="A298" s="74" t="s">
        <v>113</v>
      </c>
      <c r="B298" s="74" t="s">
        <v>121</v>
      </c>
      <c r="C298" s="74" t="s">
        <v>122</v>
      </c>
      <c r="D298" s="74" t="s">
        <v>79</v>
      </c>
      <c r="E298" s="74" t="s">
        <v>80</v>
      </c>
      <c r="F298" s="86" t="s">
        <v>123</v>
      </c>
      <c r="G298" s="74" t="s">
        <v>117</v>
      </c>
      <c r="H298" s="87">
        <v>44346</v>
      </c>
      <c r="I298" s="94">
        <v>2341.74</v>
      </c>
      <c r="J298" s="94">
        <v>1756.31</v>
      </c>
      <c r="K298" s="94">
        <v>585.43</v>
      </c>
    </row>
    <row r="299" spans="1:11">
      <c r="A299" s="74" t="s">
        <v>113</v>
      </c>
      <c r="B299" s="74" t="s">
        <v>124</v>
      </c>
      <c r="C299" s="74" t="s">
        <v>125</v>
      </c>
      <c r="D299" s="74" t="s">
        <v>79</v>
      </c>
      <c r="E299" s="74" t="s">
        <v>80</v>
      </c>
      <c r="F299" s="86" t="s">
        <v>116</v>
      </c>
      <c r="G299" s="74" t="s">
        <v>117</v>
      </c>
      <c r="H299" s="87">
        <v>44346</v>
      </c>
      <c r="I299" s="94">
        <v>3125.99</v>
      </c>
      <c r="J299" s="94">
        <v>2344.49</v>
      </c>
      <c r="K299" s="94">
        <v>781.5</v>
      </c>
    </row>
    <row r="300" spans="1:11">
      <c r="A300" s="74" t="s">
        <v>113</v>
      </c>
      <c r="B300" s="74" t="s">
        <v>126</v>
      </c>
      <c r="C300" s="74" t="s">
        <v>127</v>
      </c>
      <c r="D300" s="74" t="s">
        <v>79</v>
      </c>
      <c r="E300" s="74" t="s">
        <v>80</v>
      </c>
      <c r="F300" s="86" t="s">
        <v>120</v>
      </c>
      <c r="G300" s="74" t="s">
        <v>117</v>
      </c>
      <c r="H300" s="87">
        <v>44346</v>
      </c>
      <c r="I300" s="94">
        <v>2982.08</v>
      </c>
      <c r="J300" s="94">
        <v>2236.56</v>
      </c>
      <c r="K300" s="94">
        <v>745.52</v>
      </c>
    </row>
    <row r="301" spans="1:11">
      <c r="A301" s="74" t="s">
        <v>113</v>
      </c>
      <c r="B301" s="74" t="s">
        <v>128</v>
      </c>
      <c r="C301" s="74" t="s">
        <v>129</v>
      </c>
      <c r="D301" s="74" t="s">
        <v>79</v>
      </c>
      <c r="E301" s="74" t="s">
        <v>80</v>
      </c>
      <c r="F301" s="86" t="s">
        <v>123</v>
      </c>
      <c r="G301" s="74" t="s">
        <v>117</v>
      </c>
      <c r="H301" s="87">
        <v>44346</v>
      </c>
      <c r="I301" s="94">
        <v>2535.46</v>
      </c>
      <c r="J301" s="94">
        <v>1901.6</v>
      </c>
      <c r="K301" s="94">
        <v>633.86</v>
      </c>
    </row>
    <row r="302" spans="1:11">
      <c r="A302" s="74" t="s">
        <v>113</v>
      </c>
      <c r="B302" s="74" t="s">
        <v>130</v>
      </c>
      <c r="C302" s="74" t="s">
        <v>131</v>
      </c>
      <c r="D302" s="74" t="s">
        <v>79</v>
      </c>
      <c r="E302" s="74" t="s">
        <v>80</v>
      </c>
      <c r="F302" s="86" t="s">
        <v>116</v>
      </c>
      <c r="G302" s="74" t="s">
        <v>117</v>
      </c>
      <c r="H302" s="87">
        <v>44346</v>
      </c>
      <c r="I302" s="94">
        <v>3277.31</v>
      </c>
      <c r="J302" s="94">
        <v>2457.98</v>
      </c>
      <c r="K302" s="94">
        <v>819.33</v>
      </c>
    </row>
    <row r="303" spans="1:11">
      <c r="A303" s="74" t="s">
        <v>113</v>
      </c>
      <c r="B303" s="74" t="s">
        <v>132</v>
      </c>
      <c r="C303" s="74" t="s">
        <v>133</v>
      </c>
      <c r="D303" s="74" t="s">
        <v>79</v>
      </c>
      <c r="E303" s="74" t="s">
        <v>80</v>
      </c>
      <c r="F303" s="86" t="s">
        <v>120</v>
      </c>
      <c r="G303" s="74" t="s">
        <v>117</v>
      </c>
      <c r="H303" s="87">
        <v>44346</v>
      </c>
      <c r="I303" s="94">
        <v>2740.58</v>
      </c>
      <c r="J303" s="94">
        <v>2055.44</v>
      </c>
      <c r="K303" s="94">
        <v>685.14</v>
      </c>
    </row>
    <row r="304" spans="1:11">
      <c r="A304" s="74" t="s">
        <v>113</v>
      </c>
      <c r="B304" s="74" t="s">
        <v>134</v>
      </c>
      <c r="C304" s="74" t="s">
        <v>135</v>
      </c>
      <c r="D304" s="74" t="s">
        <v>79</v>
      </c>
      <c r="E304" s="74" t="s">
        <v>80</v>
      </c>
      <c r="F304" s="86" t="s">
        <v>123</v>
      </c>
      <c r="G304" s="74" t="s">
        <v>117</v>
      </c>
      <c r="H304" s="87">
        <v>44346</v>
      </c>
      <c r="I304" s="94">
        <v>2440.09</v>
      </c>
      <c r="J304" s="94">
        <v>1830.07</v>
      </c>
      <c r="K304" s="94">
        <v>610.02</v>
      </c>
    </row>
    <row r="305" spans="1:11">
      <c r="A305" s="74" t="s">
        <v>113</v>
      </c>
      <c r="B305" s="74" t="s">
        <v>136</v>
      </c>
      <c r="C305" s="74" t="s">
        <v>137</v>
      </c>
      <c r="D305" s="74" t="s">
        <v>79</v>
      </c>
      <c r="E305" s="74" t="s">
        <v>80</v>
      </c>
      <c r="F305" s="86" t="s">
        <v>116</v>
      </c>
      <c r="G305" s="74" t="s">
        <v>138</v>
      </c>
      <c r="H305" s="87">
        <v>44346</v>
      </c>
      <c r="I305" s="94">
        <v>3241.18</v>
      </c>
      <c r="J305" s="94">
        <v>2430.89</v>
      </c>
      <c r="K305" s="94">
        <v>810.29</v>
      </c>
    </row>
    <row r="306" spans="1:11">
      <c r="A306" s="74" t="s">
        <v>113</v>
      </c>
      <c r="B306" s="74" t="s">
        <v>139</v>
      </c>
      <c r="C306" s="74" t="s">
        <v>140</v>
      </c>
      <c r="D306" s="74" t="s">
        <v>79</v>
      </c>
      <c r="E306" s="74" t="s">
        <v>80</v>
      </c>
      <c r="F306" s="86" t="s">
        <v>120</v>
      </c>
      <c r="G306" s="74" t="s">
        <v>138</v>
      </c>
      <c r="H306" s="87">
        <v>44346</v>
      </c>
      <c r="I306" s="94">
        <v>2937.88</v>
      </c>
      <c r="J306" s="94">
        <v>2203.41</v>
      </c>
      <c r="K306" s="94">
        <v>734.47</v>
      </c>
    </row>
    <row r="307" spans="1:11">
      <c r="A307" s="74" t="s">
        <v>113</v>
      </c>
      <c r="B307" s="74" t="s">
        <v>141</v>
      </c>
      <c r="C307" s="74" t="s">
        <v>142</v>
      </c>
      <c r="D307" s="74" t="s">
        <v>79</v>
      </c>
      <c r="E307" s="74" t="s">
        <v>80</v>
      </c>
      <c r="F307" s="86" t="s">
        <v>123</v>
      </c>
      <c r="G307" s="74" t="s">
        <v>138</v>
      </c>
      <c r="H307" s="87">
        <v>44346</v>
      </c>
      <c r="I307" s="94">
        <v>2540.05</v>
      </c>
      <c r="J307" s="94">
        <v>1905.04</v>
      </c>
      <c r="K307" s="94">
        <v>635.01</v>
      </c>
    </row>
    <row r="308" spans="1:11">
      <c r="A308" s="74" t="s">
        <v>113</v>
      </c>
      <c r="B308" s="74" t="s">
        <v>143</v>
      </c>
      <c r="C308" s="74" t="s">
        <v>144</v>
      </c>
      <c r="D308" s="74" t="s">
        <v>79</v>
      </c>
      <c r="E308" s="74" t="s">
        <v>80</v>
      </c>
      <c r="F308" s="86" t="s">
        <v>145</v>
      </c>
      <c r="G308" s="74" t="s">
        <v>146</v>
      </c>
      <c r="H308" s="87">
        <v>44346</v>
      </c>
      <c r="I308" s="94">
        <v>7681.6</v>
      </c>
      <c r="J308" s="94">
        <v>5761.2</v>
      </c>
      <c r="K308" s="94">
        <v>1920.4</v>
      </c>
    </row>
    <row r="309" spans="1:11">
      <c r="A309" s="74" t="s">
        <v>113</v>
      </c>
      <c r="B309" s="74" t="s">
        <v>147</v>
      </c>
      <c r="C309" s="74" t="s">
        <v>148</v>
      </c>
      <c r="D309" s="74" t="s">
        <v>79</v>
      </c>
      <c r="E309" s="74" t="s">
        <v>80</v>
      </c>
      <c r="F309" s="86" t="s">
        <v>149</v>
      </c>
      <c r="G309" s="74" t="s">
        <v>150</v>
      </c>
      <c r="H309" s="87">
        <v>44346</v>
      </c>
      <c r="I309" s="94">
        <v>6729.65</v>
      </c>
      <c r="J309" s="94">
        <v>5047.24</v>
      </c>
      <c r="K309" s="94">
        <v>1682.41</v>
      </c>
    </row>
    <row r="310" spans="1:11">
      <c r="A310" s="74" t="s">
        <v>113</v>
      </c>
      <c r="B310" s="74" t="s">
        <v>151</v>
      </c>
      <c r="C310" s="74" t="s">
        <v>152</v>
      </c>
      <c r="D310" s="74" t="s">
        <v>79</v>
      </c>
      <c r="E310" s="74" t="s">
        <v>81</v>
      </c>
      <c r="F310" s="86" t="s">
        <v>123</v>
      </c>
      <c r="G310" s="74" t="s">
        <v>153</v>
      </c>
      <c r="H310" s="87">
        <v>44346</v>
      </c>
      <c r="I310" s="94">
        <v>2506.35</v>
      </c>
      <c r="J310" s="94">
        <v>1879.76</v>
      </c>
      <c r="K310" s="94">
        <v>626.59</v>
      </c>
    </row>
    <row r="311" spans="1:11">
      <c r="A311" s="74" t="s">
        <v>113</v>
      </c>
      <c r="B311" s="74" t="s">
        <v>154</v>
      </c>
      <c r="C311" s="74" t="s">
        <v>155</v>
      </c>
      <c r="D311" s="74" t="s">
        <v>79</v>
      </c>
      <c r="E311" s="74" t="s">
        <v>81</v>
      </c>
      <c r="F311" s="86" t="s">
        <v>156</v>
      </c>
      <c r="G311" s="74" t="s">
        <v>157</v>
      </c>
      <c r="H311" s="87">
        <v>44346</v>
      </c>
      <c r="I311" s="94">
        <v>1958.08</v>
      </c>
      <c r="J311" s="94">
        <v>1468.56</v>
      </c>
      <c r="K311" s="94">
        <v>489.52</v>
      </c>
    </row>
    <row r="312" spans="1:11">
      <c r="A312" s="74" t="s">
        <v>113</v>
      </c>
      <c r="B312" s="74" t="s">
        <v>158</v>
      </c>
      <c r="C312" s="74" t="s">
        <v>159</v>
      </c>
      <c r="D312" s="74" t="s">
        <v>79</v>
      </c>
      <c r="E312" s="74" t="s">
        <v>81</v>
      </c>
      <c r="F312" s="86" t="s">
        <v>160</v>
      </c>
      <c r="G312" s="74" t="s">
        <v>161</v>
      </c>
      <c r="H312" s="87">
        <v>44346</v>
      </c>
      <c r="I312" s="94">
        <v>1569.72</v>
      </c>
      <c r="J312" s="94">
        <v>1177.29</v>
      </c>
      <c r="K312" s="94">
        <v>392.43</v>
      </c>
    </row>
    <row r="313" spans="1:11">
      <c r="A313" s="74" t="s">
        <v>113</v>
      </c>
      <c r="B313" s="74" t="s">
        <v>162</v>
      </c>
      <c r="C313" s="74" t="s">
        <v>163</v>
      </c>
      <c r="D313" s="74" t="s">
        <v>79</v>
      </c>
      <c r="E313" s="74" t="s">
        <v>81</v>
      </c>
      <c r="F313" s="86" t="s">
        <v>123</v>
      </c>
      <c r="G313" s="74" t="s">
        <v>153</v>
      </c>
      <c r="H313" s="87">
        <v>44346</v>
      </c>
      <c r="I313" s="94">
        <v>2459.43</v>
      </c>
      <c r="J313" s="94">
        <v>1844.57</v>
      </c>
      <c r="K313" s="94">
        <v>614.86</v>
      </c>
    </row>
    <row r="314" spans="1:11">
      <c r="A314" s="74" t="s">
        <v>113</v>
      </c>
      <c r="B314" s="74" t="s">
        <v>164</v>
      </c>
      <c r="C314" s="74" t="s">
        <v>165</v>
      </c>
      <c r="D314" s="74" t="s">
        <v>79</v>
      </c>
      <c r="E314" s="74" t="s">
        <v>81</v>
      </c>
      <c r="F314" s="86" t="s">
        <v>156</v>
      </c>
      <c r="G314" s="74" t="s">
        <v>157</v>
      </c>
      <c r="H314" s="87">
        <v>44346</v>
      </c>
      <c r="I314" s="94">
        <v>1981.53</v>
      </c>
      <c r="J314" s="94">
        <v>1486.15</v>
      </c>
      <c r="K314" s="94">
        <v>495.38</v>
      </c>
    </row>
    <row r="315" spans="1:11">
      <c r="A315" s="74" t="s">
        <v>113</v>
      </c>
      <c r="B315" s="74" t="s">
        <v>166</v>
      </c>
      <c r="C315" s="74" t="s">
        <v>167</v>
      </c>
      <c r="D315" s="74" t="s">
        <v>79</v>
      </c>
      <c r="E315" s="74" t="s">
        <v>81</v>
      </c>
      <c r="F315" s="86" t="s">
        <v>160</v>
      </c>
      <c r="G315" s="74" t="s">
        <v>161</v>
      </c>
      <c r="H315" s="87">
        <v>44346</v>
      </c>
      <c r="I315" s="94">
        <v>1566.56</v>
      </c>
      <c r="J315" s="94">
        <v>1174.92</v>
      </c>
      <c r="K315" s="94">
        <v>391.64</v>
      </c>
    </row>
    <row r="316" spans="1:11">
      <c r="A316" s="74" t="s">
        <v>113</v>
      </c>
      <c r="B316" s="74" t="s">
        <v>168</v>
      </c>
      <c r="C316" s="74" t="s">
        <v>169</v>
      </c>
      <c r="D316" s="74" t="s">
        <v>79</v>
      </c>
      <c r="E316" s="74" t="s">
        <v>81</v>
      </c>
      <c r="F316" s="86" t="s">
        <v>123</v>
      </c>
      <c r="G316" s="74" t="s">
        <v>153</v>
      </c>
      <c r="H316" s="87">
        <v>44346</v>
      </c>
      <c r="I316" s="94">
        <v>2489.63</v>
      </c>
      <c r="J316" s="94">
        <v>1867.22</v>
      </c>
      <c r="K316" s="94">
        <v>622.41</v>
      </c>
    </row>
    <row r="317" spans="1:11">
      <c r="A317" s="74" t="s">
        <v>113</v>
      </c>
      <c r="B317" s="74" t="s">
        <v>170</v>
      </c>
      <c r="C317" s="74" t="s">
        <v>171</v>
      </c>
      <c r="D317" s="74" t="s">
        <v>79</v>
      </c>
      <c r="E317" s="74" t="s">
        <v>81</v>
      </c>
      <c r="F317" s="86" t="s">
        <v>156</v>
      </c>
      <c r="G317" s="74" t="s">
        <v>157</v>
      </c>
      <c r="H317" s="87">
        <v>44346</v>
      </c>
      <c r="I317" s="94">
        <v>2119.89</v>
      </c>
      <c r="J317" s="94">
        <v>1589.92</v>
      </c>
      <c r="K317" s="94">
        <v>529.97</v>
      </c>
    </row>
    <row r="318" spans="1:11">
      <c r="A318" s="74" t="s">
        <v>113</v>
      </c>
      <c r="B318" s="74" t="s">
        <v>172</v>
      </c>
      <c r="C318" s="74" t="s">
        <v>173</v>
      </c>
      <c r="D318" s="74" t="s">
        <v>79</v>
      </c>
      <c r="E318" s="74" t="s">
        <v>81</v>
      </c>
      <c r="F318" s="86" t="s">
        <v>160</v>
      </c>
      <c r="G318" s="74" t="s">
        <v>161</v>
      </c>
      <c r="H318" s="87">
        <v>44346</v>
      </c>
      <c r="I318" s="94">
        <v>1671.88</v>
      </c>
      <c r="J318" s="94">
        <v>1253.91</v>
      </c>
      <c r="K318" s="94">
        <v>417.97</v>
      </c>
    </row>
    <row r="319" spans="1:11">
      <c r="A319" s="74" t="s">
        <v>113</v>
      </c>
      <c r="B319" s="74" t="s">
        <v>174</v>
      </c>
      <c r="C319" s="74" t="s">
        <v>175</v>
      </c>
      <c r="D319" s="74" t="s">
        <v>79</v>
      </c>
      <c r="E319" s="74" t="s">
        <v>81</v>
      </c>
      <c r="F319" s="86" t="s">
        <v>176</v>
      </c>
      <c r="G319" s="74" t="s">
        <v>177</v>
      </c>
      <c r="H319" s="87">
        <v>44346</v>
      </c>
      <c r="I319" s="94">
        <v>1186.9</v>
      </c>
      <c r="J319" s="94">
        <v>890.18</v>
      </c>
      <c r="K319" s="94">
        <v>296.72</v>
      </c>
    </row>
    <row r="320" spans="1:11">
      <c r="A320" s="74" t="s">
        <v>113</v>
      </c>
      <c r="B320" s="74" t="s">
        <v>178</v>
      </c>
      <c r="C320" s="74" t="s">
        <v>179</v>
      </c>
      <c r="D320" s="74" t="s">
        <v>79</v>
      </c>
      <c r="E320" s="74" t="s">
        <v>81</v>
      </c>
      <c r="F320" s="86" t="s">
        <v>180</v>
      </c>
      <c r="G320" s="74" t="s">
        <v>177</v>
      </c>
      <c r="H320" s="87">
        <v>44346</v>
      </c>
      <c r="I320" s="94">
        <v>783.32</v>
      </c>
      <c r="J320" s="94">
        <v>587.49</v>
      </c>
      <c r="K320" s="94">
        <v>195.83</v>
      </c>
    </row>
    <row r="321" spans="1:11">
      <c r="A321" s="74" t="s">
        <v>113</v>
      </c>
      <c r="B321" s="74" t="s">
        <v>181</v>
      </c>
      <c r="C321" s="74" t="s">
        <v>182</v>
      </c>
      <c r="D321" s="74" t="s">
        <v>79</v>
      </c>
      <c r="E321" s="74" t="s">
        <v>81</v>
      </c>
      <c r="F321" s="86" t="s">
        <v>183</v>
      </c>
      <c r="G321" s="74" t="s">
        <v>177</v>
      </c>
      <c r="H321" s="87">
        <v>44346</v>
      </c>
      <c r="I321" s="94">
        <v>424.48</v>
      </c>
      <c r="J321" s="94">
        <v>318.36</v>
      </c>
      <c r="K321" s="94">
        <v>106.12</v>
      </c>
    </row>
    <row r="322" spans="1:11">
      <c r="A322" s="74" t="s">
        <v>113</v>
      </c>
      <c r="B322" s="74" t="s">
        <v>184</v>
      </c>
      <c r="C322" s="74" t="s">
        <v>185</v>
      </c>
      <c r="D322" s="74" t="s">
        <v>79</v>
      </c>
      <c r="E322" s="74" t="s">
        <v>81</v>
      </c>
      <c r="F322" s="86" t="s">
        <v>176</v>
      </c>
      <c r="G322" s="74" t="s">
        <v>177</v>
      </c>
      <c r="H322" s="87">
        <v>44346</v>
      </c>
      <c r="I322" s="94">
        <v>1171.02</v>
      </c>
      <c r="J322" s="94">
        <v>878.27</v>
      </c>
      <c r="K322" s="94">
        <v>292.75</v>
      </c>
    </row>
    <row r="323" spans="1:11">
      <c r="A323" s="74" t="s">
        <v>113</v>
      </c>
      <c r="B323" s="74" t="s">
        <v>186</v>
      </c>
      <c r="C323" s="74" t="s">
        <v>187</v>
      </c>
      <c r="D323" s="74" t="s">
        <v>79</v>
      </c>
      <c r="E323" s="74" t="s">
        <v>81</v>
      </c>
      <c r="F323" s="86" t="s">
        <v>180</v>
      </c>
      <c r="G323" s="74" t="s">
        <v>177</v>
      </c>
      <c r="H323" s="87">
        <v>44346</v>
      </c>
      <c r="I323" s="94">
        <v>812.68</v>
      </c>
      <c r="J323" s="94">
        <v>609.51</v>
      </c>
      <c r="K323" s="94">
        <v>203.17</v>
      </c>
    </row>
    <row r="324" spans="1:11">
      <c r="A324" s="74" t="s">
        <v>113</v>
      </c>
      <c r="B324" s="74" t="s">
        <v>188</v>
      </c>
      <c r="C324" s="74" t="s">
        <v>189</v>
      </c>
      <c r="D324" s="74" t="s">
        <v>79</v>
      </c>
      <c r="E324" s="74" t="s">
        <v>81</v>
      </c>
      <c r="F324" s="86" t="s">
        <v>183</v>
      </c>
      <c r="G324" s="74" t="s">
        <v>177</v>
      </c>
      <c r="H324" s="87">
        <v>44346</v>
      </c>
      <c r="I324" s="94">
        <v>425.58</v>
      </c>
      <c r="J324" s="94">
        <v>319.19</v>
      </c>
      <c r="K324" s="94">
        <v>106.39</v>
      </c>
    </row>
    <row r="325" spans="1:11">
      <c r="A325" s="74" t="s">
        <v>113</v>
      </c>
      <c r="B325" s="74" t="s">
        <v>190</v>
      </c>
      <c r="C325" s="74" t="s">
        <v>191</v>
      </c>
      <c r="D325" s="74" t="s">
        <v>79</v>
      </c>
      <c r="E325" s="74" t="s">
        <v>81</v>
      </c>
      <c r="F325" s="86" t="s">
        <v>176</v>
      </c>
      <c r="G325" s="74" t="s">
        <v>177</v>
      </c>
      <c r="H325" s="87">
        <v>44346</v>
      </c>
      <c r="I325" s="94">
        <v>1264.75</v>
      </c>
      <c r="J325" s="94">
        <v>948.56</v>
      </c>
      <c r="K325" s="94">
        <v>316.19</v>
      </c>
    </row>
    <row r="326" spans="1:11">
      <c r="A326" s="74" t="s">
        <v>113</v>
      </c>
      <c r="B326" s="74" t="s">
        <v>192</v>
      </c>
      <c r="C326" s="74" t="s">
        <v>193</v>
      </c>
      <c r="D326" s="74" t="s">
        <v>79</v>
      </c>
      <c r="E326" s="74" t="s">
        <v>81</v>
      </c>
      <c r="F326" s="86" t="s">
        <v>180</v>
      </c>
      <c r="G326" s="74" t="s">
        <v>177</v>
      </c>
      <c r="H326" s="87">
        <v>44346</v>
      </c>
      <c r="I326" s="94">
        <v>793.31</v>
      </c>
      <c r="J326" s="94">
        <v>594.98</v>
      </c>
      <c r="K326" s="94">
        <v>198.33</v>
      </c>
    </row>
    <row r="327" spans="1:11">
      <c r="A327" s="74" t="s">
        <v>113</v>
      </c>
      <c r="B327" s="74" t="s">
        <v>194</v>
      </c>
      <c r="C327" s="74" t="s">
        <v>195</v>
      </c>
      <c r="D327" s="74" t="s">
        <v>79</v>
      </c>
      <c r="E327" s="74" t="s">
        <v>81</v>
      </c>
      <c r="F327" s="86" t="s">
        <v>183</v>
      </c>
      <c r="G327" s="74" t="s">
        <v>177</v>
      </c>
      <c r="H327" s="87">
        <v>44346</v>
      </c>
      <c r="I327" s="94">
        <v>418.35</v>
      </c>
      <c r="J327" s="94">
        <v>313.76</v>
      </c>
      <c r="K327" s="94">
        <v>104.59</v>
      </c>
    </row>
    <row r="328" spans="1:11">
      <c r="A328" s="74" t="s">
        <v>113</v>
      </c>
      <c r="B328" s="74" t="s">
        <v>196</v>
      </c>
      <c r="C328" s="74" t="s">
        <v>197</v>
      </c>
      <c r="D328" s="74" t="s">
        <v>79</v>
      </c>
      <c r="E328" s="74" t="s">
        <v>81</v>
      </c>
      <c r="F328" s="86" t="s">
        <v>176</v>
      </c>
      <c r="G328" s="74" t="s">
        <v>177</v>
      </c>
      <c r="H328" s="87">
        <v>44346</v>
      </c>
      <c r="I328" s="94">
        <v>1176.97</v>
      </c>
      <c r="J328" s="94">
        <v>882.73</v>
      </c>
      <c r="K328" s="94">
        <v>294.24</v>
      </c>
    </row>
    <row r="329" spans="1:11">
      <c r="A329" s="74" t="s">
        <v>113</v>
      </c>
      <c r="B329" s="74" t="s">
        <v>198</v>
      </c>
      <c r="C329" s="74" t="s">
        <v>199</v>
      </c>
      <c r="D329" s="74" t="s">
        <v>79</v>
      </c>
      <c r="E329" s="74" t="s">
        <v>81</v>
      </c>
      <c r="F329" s="86" t="s">
        <v>180</v>
      </c>
      <c r="G329" s="74" t="s">
        <v>177</v>
      </c>
      <c r="H329" s="87">
        <v>44346</v>
      </c>
      <c r="I329" s="94">
        <v>803.77</v>
      </c>
      <c r="J329" s="94">
        <v>602.83</v>
      </c>
      <c r="K329" s="94">
        <v>200.94</v>
      </c>
    </row>
    <row r="330" spans="1:11">
      <c r="A330" s="74" t="s">
        <v>113</v>
      </c>
      <c r="B330" s="74" t="s">
        <v>200</v>
      </c>
      <c r="C330" s="74" t="s">
        <v>201</v>
      </c>
      <c r="D330" s="74" t="s">
        <v>79</v>
      </c>
      <c r="E330" s="74" t="s">
        <v>81</v>
      </c>
      <c r="F330" s="86" t="s">
        <v>183</v>
      </c>
      <c r="G330" s="74" t="s">
        <v>177</v>
      </c>
      <c r="H330" s="87">
        <v>44346</v>
      </c>
      <c r="I330" s="94">
        <v>390.28</v>
      </c>
      <c r="J330" s="94">
        <v>292.71</v>
      </c>
      <c r="K330" s="94">
        <v>97.57</v>
      </c>
    </row>
    <row r="331" spans="1:11">
      <c r="A331" s="74" t="s">
        <v>113</v>
      </c>
      <c r="B331" s="74" t="s">
        <v>202</v>
      </c>
      <c r="C331" s="74" t="s">
        <v>203</v>
      </c>
      <c r="D331" s="74" t="s">
        <v>79</v>
      </c>
      <c r="E331" s="74" t="s">
        <v>81</v>
      </c>
      <c r="F331" s="86" t="s">
        <v>204</v>
      </c>
      <c r="G331" s="74" t="s">
        <v>205</v>
      </c>
      <c r="H331" s="87">
        <v>44346</v>
      </c>
      <c r="I331" s="94">
        <v>7272.68</v>
      </c>
      <c r="J331" s="94">
        <v>5454.51</v>
      </c>
      <c r="K331" s="94">
        <v>1818.17</v>
      </c>
    </row>
    <row r="332" spans="1:11">
      <c r="A332" s="74" t="s">
        <v>113</v>
      </c>
      <c r="B332" s="74" t="s">
        <v>206</v>
      </c>
      <c r="C332" s="74" t="s">
        <v>207</v>
      </c>
      <c r="D332" s="88" t="s">
        <v>82</v>
      </c>
      <c r="E332" s="88" t="s">
        <v>84</v>
      </c>
      <c r="F332" s="86" t="s">
        <v>208</v>
      </c>
      <c r="G332" s="74" t="s">
        <v>209</v>
      </c>
      <c r="H332" s="87">
        <v>44346</v>
      </c>
      <c r="I332" s="94">
        <v>3776.97</v>
      </c>
      <c r="J332" s="94">
        <v>2832.73</v>
      </c>
      <c r="K332" s="94">
        <v>944.24</v>
      </c>
    </row>
    <row r="333" spans="1:11">
      <c r="A333" s="74" t="s">
        <v>113</v>
      </c>
      <c r="B333" s="74" t="s">
        <v>210</v>
      </c>
      <c r="C333" s="74" t="s">
        <v>211</v>
      </c>
      <c r="D333" s="88" t="s">
        <v>82</v>
      </c>
      <c r="E333" s="88" t="s">
        <v>84</v>
      </c>
      <c r="F333" s="86" t="s">
        <v>116</v>
      </c>
      <c r="G333" s="74" t="s">
        <v>209</v>
      </c>
      <c r="H333" s="87">
        <v>44346</v>
      </c>
      <c r="I333" s="94">
        <v>3120.74</v>
      </c>
      <c r="J333" s="94">
        <v>2340.56</v>
      </c>
      <c r="K333" s="94">
        <v>780.18</v>
      </c>
    </row>
    <row r="334" spans="1:11">
      <c r="A334" s="74" t="s">
        <v>113</v>
      </c>
      <c r="B334" s="74" t="s">
        <v>212</v>
      </c>
      <c r="C334" s="74" t="s">
        <v>213</v>
      </c>
      <c r="D334" s="88" t="s">
        <v>82</v>
      </c>
      <c r="E334" s="88" t="s">
        <v>84</v>
      </c>
      <c r="F334" s="86" t="s">
        <v>208</v>
      </c>
      <c r="G334" s="74" t="s">
        <v>209</v>
      </c>
      <c r="H334" s="87">
        <v>44346</v>
      </c>
      <c r="I334" s="94">
        <v>3531.43</v>
      </c>
      <c r="J334" s="94">
        <v>2648.57</v>
      </c>
      <c r="K334" s="94">
        <v>882.86</v>
      </c>
    </row>
    <row r="335" spans="1:11">
      <c r="A335" s="74" t="s">
        <v>113</v>
      </c>
      <c r="B335" s="74" t="s">
        <v>214</v>
      </c>
      <c r="C335" s="74" t="s">
        <v>215</v>
      </c>
      <c r="D335" s="88" t="s">
        <v>82</v>
      </c>
      <c r="E335" s="88" t="s">
        <v>84</v>
      </c>
      <c r="F335" s="86" t="s">
        <v>116</v>
      </c>
      <c r="G335" s="74" t="s">
        <v>209</v>
      </c>
      <c r="H335" s="87">
        <v>44346</v>
      </c>
      <c r="I335" s="94">
        <v>3362.8</v>
      </c>
      <c r="J335" s="94">
        <v>2522.1</v>
      </c>
      <c r="K335" s="94">
        <v>840.7</v>
      </c>
    </row>
    <row r="336" spans="1:11">
      <c r="A336" s="74" t="s">
        <v>113</v>
      </c>
      <c r="B336" s="74" t="s">
        <v>216</v>
      </c>
      <c r="C336" s="74" t="s">
        <v>217</v>
      </c>
      <c r="D336" s="88" t="s">
        <v>82</v>
      </c>
      <c r="E336" s="88" t="s">
        <v>84</v>
      </c>
      <c r="F336" s="86" t="s">
        <v>218</v>
      </c>
      <c r="G336" s="74" t="s">
        <v>219</v>
      </c>
      <c r="H336" s="87">
        <v>44346</v>
      </c>
      <c r="I336" s="94">
        <v>4462.54</v>
      </c>
      <c r="J336" s="94">
        <v>3346.91</v>
      </c>
      <c r="K336" s="94">
        <v>1115.63</v>
      </c>
    </row>
    <row r="337" spans="1:11">
      <c r="A337" s="74" t="s">
        <v>113</v>
      </c>
      <c r="B337" s="74" t="s">
        <v>220</v>
      </c>
      <c r="C337" s="74" t="s">
        <v>221</v>
      </c>
      <c r="D337" s="88" t="s">
        <v>82</v>
      </c>
      <c r="E337" s="74" t="s">
        <v>83</v>
      </c>
      <c r="F337" s="86" t="s">
        <v>218</v>
      </c>
      <c r="G337" s="74" t="s">
        <v>222</v>
      </c>
      <c r="H337" s="87">
        <v>44346</v>
      </c>
      <c r="I337" s="94">
        <v>4626.53</v>
      </c>
      <c r="J337" s="94">
        <v>3469.9</v>
      </c>
      <c r="K337" s="94">
        <v>1156.63</v>
      </c>
    </row>
    <row r="338" spans="1:11">
      <c r="A338" s="74" t="s">
        <v>113</v>
      </c>
      <c r="B338" s="74" t="s">
        <v>223</v>
      </c>
      <c r="C338" s="74" t="s">
        <v>224</v>
      </c>
      <c r="D338" s="88" t="s">
        <v>82</v>
      </c>
      <c r="E338" s="74" t="s">
        <v>83</v>
      </c>
      <c r="F338" s="86" t="s">
        <v>225</v>
      </c>
      <c r="G338" s="74" t="s">
        <v>209</v>
      </c>
      <c r="H338" s="87">
        <v>44346</v>
      </c>
      <c r="I338" s="94">
        <v>4002.51</v>
      </c>
      <c r="J338" s="94">
        <v>3001.88</v>
      </c>
      <c r="K338" s="94">
        <v>1000.63</v>
      </c>
    </row>
    <row r="339" spans="1:11">
      <c r="A339" s="74" t="s">
        <v>113</v>
      </c>
      <c r="B339" s="74" t="s">
        <v>226</v>
      </c>
      <c r="C339" s="74" t="s">
        <v>227</v>
      </c>
      <c r="D339" s="88" t="s">
        <v>82</v>
      </c>
      <c r="E339" s="74" t="s">
        <v>83</v>
      </c>
      <c r="F339" s="86" t="s">
        <v>208</v>
      </c>
      <c r="G339" s="74" t="s">
        <v>209</v>
      </c>
      <c r="H339" s="87">
        <v>44346</v>
      </c>
      <c r="I339" s="94">
        <v>3563.36</v>
      </c>
      <c r="J339" s="94">
        <v>2672.52</v>
      </c>
      <c r="K339" s="94">
        <v>890.84</v>
      </c>
    </row>
    <row r="340" spans="1:11">
      <c r="A340" s="74" t="s">
        <v>113</v>
      </c>
      <c r="B340" s="74" t="s">
        <v>228</v>
      </c>
      <c r="C340" s="74" t="s">
        <v>229</v>
      </c>
      <c r="D340" s="88" t="s">
        <v>82</v>
      </c>
      <c r="E340" s="74" t="s">
        <v>83</v>
      </c>
      <c r="F340" s="86" t="s">
        <v>116</v>
      </c>
      <c r="G340" s="74" t="s">
        <v>209</v>
      </c>
      <c r="H340" s="87">
        <v>44346</v>
      </c>
      <c r="I340" s="94">
        <v>3375.09</v>
      </c>
      <c r="J340" s="94">
        <v>2531.32</v>
      </c>
      <c r="K340" s="94">
        <v>843.77</v>
      </c>
    </row>
    <row r="341" spans="1:11">
      <c r="A341" s="74" t="s">
        <v>113</v>
      </c>
      <c r="B341" s="74" t="s">
        <v>230</v>
      </c>
      <c r="C341" s="74" t="s">
        <v>231</v>
      </c>
      <c r="D341" s="88" t="s">
        <v>82</v>
      </c>
      <c r="E341" s="74" t="s">
        <v>83</v>
      </c>
      <c r="F341" s="86" t="s">
        <v>120</v>
      </c>
      <c r="G341" s="74" t="s">
        <v>209</v>
      </c>
      <c r="H341" s="87">
        <v>44346</v>
      </c>
      <c r="I341" s="94">
        <v>2932.02</v>
      </c>
      <c r="J341" s="94">
        <v>2199.02</v>
      </c>
      <c r="K341" s="94">
        <v>733</v>
      </c>
    </row>
    <row r="342" spans="1:11">
      <c r="A342" s="74" t="s">
        <v>113</v>
      </c>
      <c r="B342" s="74" t="s">
        <v>232</v>
      </c>
      <c r="C342" s="74" t="s">
        <v>233</v>
      </c>
      <c r="D342" s="88" t="s">
        <v>82</v>
      </c>
      <c r="E342" s="74" t="s">
        <v>83</v>
      </c>
      <c r="F342" s="86" t="s">
        <v>123</v>
      </c>
      <c r="G342" s="74" t="s">
        <v>209</v>
      </c>
      <c r="H342" s="87">
        <v>44346</v>
      </c>
      <c r="I342" s="94">
        <v>2429.08</v>
      </c>
      <c r="J342" s="94">
        <v>1821.81</v>
      </c>
      <c r="K342" s="94">
        <v>607.27</v>
      </c>
    </row>
    <row r="343" spans="1:11">
      <c r="A343" s="74" t="s">
        <v>113</v>
      </c>
      <c r="B343" s="74" t="s">
        <v>234</v>
      </c>
      <c r="C343" s="74" t="s">
        <v>235</v>
      </c>
      <c r="D343" s="88" t="s">
        <v>82</v>
      </c>
      <c r="E343" s="74" t="s">
        <v>83</v>
      </c>
      <c r="F343" s="86" t="s">
        <v>116</v>
      </c>
      <c r="G343" s="74" t="s">
        <v>209</v>
      </c>
      <c r="H343" s="87">
        <v>44346</v>
      </c>
      <c r="I343" s="94">
        <v>3132.83</v>
      </c>
      <c r="J343" s="94">
        <v>2349.62</v>
      </c>
      <c r="K343" s="94">
        <v>783.21</v>
      </c>
    </row>
    <row r="344" spans="1:11">
      <c r="A344" s="74" t="s">
        <v>113</v>
      </c>
      <c r="B344" s="74" t="s">
        <v>236</v>
      </c>
      <c r="C344" s="74" t="s">
        <v>237</v>
      </c>
      <c r="D344" s="88" t="s">
        <v>82</v>
      </c>
      <c r="E344" s="74" t="s">
        <v>83</v>
      </c>
      <c r="F344" s="86" t="s">
        <v>120</v>
      </c>
      <c r="G344" s="74" t="s">
        <v>209</v>
      </c>
      <c r="H344" s="87">
        <v>44346</v>
      </c>
      <c r="I344" s="94">
        <v>2808</v>
      </c>
      <c r="J344" s="94">
        <v>2106</v>
      </c>
      <c r="K344" s="94">
        <v>702</v>
      </c>
    </row>
    <row r="345" spans="1:11">
      <c r="A345" s="74" t="s">
        <v>113</v>
      </c>
      <c r="B345" s="74" t="s">
        <v>238</v>
      </c>
      <c r="C345" s="74" t="s">
        <v>239</v>
      </c>
      <c r="D345" s="74" t="s">
        <v>86</v>
      </c>
      <c r="E345" s="74" t="s">
        <v>87</v>
      </c>
      <c r="F345" s="86" t="s">
        <v>204</v>
      </c>
      <c r="G345" s="74" t="s">
        <v>240</v>
      </c>
      <c r="H345" s="87">
        <v>44346</v>
      </c>
      <c r="I345" s="94">
        <v>5635.13</v>
      </c>
      <c r="J345" s="94">
        <v>4226.35</v>
      </c>
      <c r="K345" s="94">
        <v>1408.78</v>
      </c>
    </row>
    <row r="346" spans="1:11">
      <c r="A346" s="74" t="s">
        <v>113</v>
      </c>
      <c r="B346" s="74" t="s">
        <v>241</v>
      </c>
      <c r="C346" s="74" t="s">
        <v>242</v>
      </c>
      <c r="D346" s="74" t="s">
        <v>86</v>
      </c>
      <c r="E346" s="74" t="s">
        <v>87</v>
      </c>
      <c r="F346" s="86" t="s">
        <v>243</v>
      </c>
      <c r="G346" s="74" t="s">
        <v>244</v>
      </c>
      <c r="H346" s="87">
        <v>44346</v>
      </c>
      <c r="I346" s="94">
        <v>4157.1</v>
      </c>
      <c r="J346" s="94">
        <v>3117.83</v>
      </c>
      <c r="K346" s="94">
        <v>1039.27</v>
      </c>
    </row>
    <row r="347" spans="1:11">
      <c r="A347" s="74" t="s">
        <v>113</v>
      </c>
      <c r="B347" s="74" t="s">
        <v>245</v>
      </c>
      <c r="C347" s="74" t="s">
        <v>246</v>
      </c>
      <c r="D347" s="74" t="s">
        <v>86</v>
      </c>
      <c r="E347" s="74" t="s">
        <v>87</v>
      </c>
      <c r="F347" s="86" t="s">
        <v>247</v>
      </c>
      <c r="G347" s="74" t="s">
        <v>248</v>
      </c>
      <c r="H347" s="87">
        <v>44346</v>
      </c>
      <c r="I347" s="94">
        <v>4053.83</v>
      </c>
      <c r="J347" s="94">
        <v>3040.37</v>
      </c>
      <c r="K347" s="94">
        <v>1013.46</v>
      </c>
    </row>
    <row r="348" spans="1:11">
      <c r="A348" s="74" t="s">
        <v>113</v>
      </c>
      <c r="B348" s="74" t="s">
        <v>249</v>
      </c>
      <c r="C348" s="74" t="s">
        <v>250</v>
      </c>
      <c r="D348" s="74" t="s">
        <v>86</v>
      </c>
      <c r="E348" s="74" t="s">
        <v>87</v>
      </c>
      <c r="F348" s="86" t="s">
        <v>251</v>
      </c>
      <c r="G348" s="74" t="s">
        <v>252</v>
      </c>
      <c r="H348" s="87">
        <v>44346</v>
      </c>
      <c r="I348" s="94">
        <v>3653.24</v>
      </c>
      <c r="J348" s="94">
        <v>2739.93</v>
      </c>
      <c r="K348" s="94">
        <v>913.31</v>
      </c>
    </row>
    <row r="349" spans="1:11">
      <c r="A349" s="74" t="s">
        <v>113</v>
      </c>
      <c r="B349" s="74" t="s">
        <v>253</v>
      </c>
      <c r="C349" s="74" t="s">
        <v>254</v>
      </c>
      <c r="D349" s="74" t="s">
        <v>86</v>
      </c>
      <c r="E349" s="74" t="s">
        <v>87</v>
      </c>
      <c r="F349" s="86" t="s">
        <v>255</v>
      </c>
      <c r="G349" s="74" t="s">
        <v>252</v>
      </c>
      <c r="H349" s="87">
        <v>44346</v>
      </c>
      <c r="I349" s="94">
        <v>3418.42</v>
      </c>
      <c r="J349" s="94">
        <v>2563.82</v>
      </c>
      <c r="K349" s="94">
        <v>854.6</v>
      </c>
    </row>
    <row r="350" spans="1:11">
      <c r="A350" s="74" t="s">
        <v>113</v>
      </c>
      <c r="B350" s="74" t="s">
        <v>256</v>
      </c>
      <c r="C350" s="74" t="s">
        <v>257</v>
      </c>
      <c r="D350" s="74" t="s">
        <v>86</v>
      </c>
      <c r="E350" s="74" t="s">
        <v>87</v>
      </c>
      <c r="F350" s="86" t="s">
        <v>258</v>
      </c>
      <c r="G350" s="74" t="s">
        <v>252</v>
      </c>
      <c r="H350" s="87">
        <v>44346</v>
      </c>
      <c r="I350" s="94">
        <v>2866.34</v>
      </c>
      <c r="J350" s="94">
        <v>2149.76</v>
      </c>
      <c r="K350" s="94">
        <v>716.58</v>
      </c>
    </row>
    <row r="351" spans="1:11">
      <c r="A351" s="74" t="s">
        <v>113</v>
      </c>
      <c r="B351" s="74" t="s">
        <v>259</v>
      </c>
      <c r="C351" s="74" t="s">
        <v>260</v>
      </c>
      <c r="D351" s="74" t="s">
        <v>86</v>
      </c>
      <c r="E351" s="74" t="s">
        <v>87</v>
      </c>
      <c r="F351" s="86" t="s">
        <v>261</v>
      </c>
      <c r="G351" s="74" t="s">
        <v>262</v>
      </c>
      <c r="H351" s="87">
        <v>44346</v>
      </c>
      <c r="I351" s="94">
        <v>2607.73</v>
      </c>
      <c r="J351" s="94">
        <v>1955.8</v>
      </c>
      <c r="K351" s="94">
        <v>651.93</v>
      </c>
    </row>
    <row r="352" spans="1:11">
      <c r="A352" s="74" t="s">
        <v>113</v>
      </c>
      <c r="B352" s="74" t="s">
        <v>263</v>
      </c>
      <c r="C352" s="74" t="s">
        <v>264</v>
      </c>
      <c r="D352" s="74" t="s">
        <v>86</v>
      </c>
      <c r="E352" s="74" t="s">
        <v>88</v>
      </c>
      <c r="F352" s="86" t="s">
        <v>149</v>
      </c>
      <c r="G352" s="74" t="s">
        <v>265</v>
      </c>
      <c r="H352" s="87">
        <v>44346</v>
      </c>
      <c r="I352" s="94">
        <v>5613</v>
      </c>
      <c r="J352" s="94">
        <v>4209.75</v>
      </c>
      <c r="K352" s="94">
        <v>1403.25</v>
      </c>
    </row>
    <row r="353" spans="1:11">
      <c r="A353" s="74" t="s">
        <v>113</v>
      </c>
      <c r="B353" s="74" t="s">
        <v>266</v>
      </c>
      <c r="C353" s="74" t="s">
        <v>267</v>
      </c>
      <c r="D353" s="74" t="s">
        <v>86</v>
      </c>
      <c r="E353" s="74" t="s">
        <v>88</v>
      </c>
      <c r="F353" s="86" t="s">
        <v>243</v>
      </c>
      <c r="G353" s="74" t="s">
        <v>268</v>
      </c>
      <c r="H353" s="87">
        <v>44346</v>
      </c>
      <c r="I353" s="94">
        <v>4295.03</v>
      </c>
      <c r="J353" s="94">
        <v>3221.27</v>
      </c>
      <c r="K353" s="94">
        <v>1073.76</v>
      </c>
    </row>
    <row r="354" spans="1:11">
      <c r="A354" s="74" t="s">
        <v>113</v>
      </c>
      <c r="B354" s="74" t="s">
        <v>269</v>
      </c>
      <c r="C354" s="74" t="s">
        <v>270</v>
      </c>
      <c r="D354" s="74" t="s">
        <v>86</v>
      </c>
      <c r="E354" s="74" t="s">
        <v>88</v>
      </c>
      <c r="F354" s="86" t="s">
        <v>247</v>
      </c>
      <c r="G354" s="74" t="s">
        <v>268</v>
      </c>
      <c r="H354" s="87">
        <v>44346</v>
      </c>
      <c r="I354" s="94">
        <v>3964.4</v>
      </c>
      <c r="J354" s="94">
        <v>2973.3</v>
      </c>
      <c r="K354" s="94">
        <v>991.1</v>
      </c>
    </row>
    <row r="355" spans="1:11">
      <c r="A355" s="74" t="s">
        <v>113</v>
      </c>
      <c r="B355" s="74" t="s">
        <v>271</v>
      </c>
      <c r="C355" s="74" t="s">
        <v>272</v>
      </c>
      <c r="D355" s="74" t="s">
        <v>86</v>
      </c>
      <c r="E355" s="74" t="s">
        <v>88</v>
      </c>
      <c r="F355" s="86" t="s">
        <v>251</v>
      </c>
      <c r="G355" s="74" t="s">
        <v>268</v>
      </c>
      <c r="H355" s="87">
        <v>44346</v>
      </c>
      <c r="I355" s="94">
        <v>3520.94</v>
      </c>
      <c r="J355" s="94">
        <v>2640.71</v>
      </c>
      <c r="K355" s="94">
        <v>880.23</v>
      </c>
    </row>
    <row r="356" spans="1:11">
      <c r="A356" s="74" t="s">
        <v>113</v>
      </c>
      <c r="B356" s="74" t="s">
        <v>273</v>
      </c>
      <c r="C356" s="74" t="s">
        <v>274</v>
      </c>
      <c r="D356" s="74" t="s">
        <v>86</v>
      </c>
      <c r="E356" s="74" t="s">
        <v>88</v>
      </c>
      <c r="F356" s="86" t="s">
        <v>255</v>
      </c>
      <c r="G356" s="74" t="s">
        <v>268</v>
      </c>
      <c r="H356" s="87">
        <v>44346</v>
      </c>
      <c r="I356" s="94">
        <v>3409.37</v>
      </c>
      <c r="J356" s="94">
        <v>2557.03</v>
      </c>
      <c r="K356" s="94">
        <v>852.34</v>
      </c>
    </row>
    <row r="357" spans="1:11">
      <c r="A357" s="74" t="s">
        <v>113</v>
      </c>
      <c r="B357" s="74" t="s">
        <v>275</v>
      </c>
      <c r="C357" s="74" t="s">
        <v>276</v>
      </c>
      <c r="D357" s="74" t="s">
        <v>86</v>
      </c>
      <c r="E357" s="74" t="s">
        <v>88</v>
      </c>
      <c r="F357" s="86" t="s">
        <v>258</v>
      </c>
      <c r="G357" s="74" t="s">
        <v>268</v>
      </c>
      <c r="H357" s="87">
        <v>44346</v>
      </c>
      <c r="I357" s="94">
        <v>2982.43</v>
      </c>
      <c r="J357" s="94">
        <v>2236.82</v>
      </c>
      <c r="K357" s="94">
        <v>745.61</v>
      </c>
    </row>
    <row r="358" spans="1:11">
      <c r="A358" s="74" t="s">
        <v>113</v>
      </c>
      <c r="B358" s="74" t="s">
        <v>277</v>
      </c>
      <c r="C358" s="74" t="s">
        <v>278</v>
      </c>
      <c r="D358" s="74" t="s">
        <v>86</v>
      </c>
      <c r="E358" s="74" t="s">
        <v>89</v>
      </c>
      <c r="F358" s="86" t="s">
        <v>279</v>
      </c>
      <c r="G358" s="74" t="s">
        <v>280</v>
      </c>
      <c r="H358" s="87">
        <v>44346</v>
      </c>
      <c r="I358" s="94">
        <v>4762.59</v>
      </c>
      <c r="J358" s="94">
        <v>3571.94</v>
      </c>
      <c r="K358" s="94">
        <v>1190.65</v>
      </c>
    </row>
    <row r="359" spans="1:11">
      <c r="A359" s="74" t="s">
        <v>113</v>
      </c>
      <c r="B359" s="74" t="s">
        <v>281</v>
      </c>
      <c r="C359" s="74" t="s">
        <v>282</v>
      </c>
      <c r="D359" s="74" t="s">
        <v>86</v>
      </c>
      <c r="E359" s="74" t="s">
        <v>89</v>
      </c>
      <c r="F359" s="86" t="s">
        <v>225</v>
      </c>
      <c r="G359" s="74" t="s">
        <v>283</v>
      </c>
      <c r="H359" s="87">
        <v>44346</v>
      </c>
      <c r="I359" s="94">
        <v>3218.42</v>
      </c>
      <c r="J359" s="94">
        <v>2413.82</v>
      </c>
      <c r="K359" s="94">
        <v>804.6</v>
      </c>
    </row>
    <row r="360" spans="1:11">
      <c r="A360" s="74" t="s">
        <v>113</v>
      </c>
      <c r="B360" s="74" t="s">
        <v>284</v>
      </c>
      <c r="C360" s="74" t="s">
        <v>285</v>
      </c>
      <c r="D360" s="74" t="s">
        <v>86</v>
      </c>
      <c r="E360" s="74" t="s">
        <v>89</v>
      </c>
      <c r="F360" s="86" t="s">
        <v>208</v>
      </c>
      <c r="G360" s="74" t="s">
        <v>283</v>
      </c>
      <c r="H360" s="87">
        <v>44346</v>
      </c>
      <c r="I360" s="94">
        <v>2925.67</v>
      </c>
      <c r="J360" s="94">
        <v>2194.25</v>
      </c>
      <c r="K360" s="94">
        <v>731.42</v>
      </c>
    </row>
    <row r="361" spans="1:11">
      <c r="A361" s="74" t="s">
        <v>113</v>
      </c>
      <c r="B361" s="74" t="s">
        <v>286</v>
      </c>
      <c r="C361" s="74" t="s">
        <v>287</v>
      </c>
      <c r="D361" s="74" t="s">
        <v>82</v>
      </c>
      <c r="E361" s="88" t="s">
        <v>85</v>
      </c>
      <c r="F361" s="86" t="s">
        <v>288</v>
      </c>
      <c r="G361" s="74" t="s">
        <v>289</v>
      </c>
      <c r="H361" s="87">
        <v>44346</v>
      </c>
      <c r="I361" s="94">
        <v>4994.07</v>
      </c>
      <c r="J361" s="94">
        <v>3745.55</v>
      </c>
      <c r="K361" s="94">
        <v>1248.52</v>
      </c>
    </row>
    <row r="362" spans="1:11">
      <c r="A362" s="74" t="s">
        <v>113</v>
      </c>
      <c r="B362" s="74" t="s">
        <v>290</v>
      </c>
      <c r="C362" s="74" t="s">
        <v>291</v>
      </c>
      <c r="D362" s="74" t="s">
        <v>82</v>
      </c>
      <c r="E362" s="88" t="s">
        <v>85</v>
      </c>
      <c r="F362" s="86" t="s">
        <v>218</v>
      </c>
      <c r="G362" s="74" t="s">
        <v>289</v>
      </c>
      <c r="H362" s="87">
        <v>44346</v>
      </c>
      <c r="I362" s="94">
        <v>4300.21</v>
      </c>
      <c r="J362" s="94">
        <v>3225.16</v>
      </c>
      <c r="K362" s="94">
        <v>1075.05</v>
      </c>
    </row>
    <row r="363" spans="1:11">
      <c r="A363" s="74" t="s">
        <v>113</v>
      </c>
      <c r="B363" s="74" t="s">
        <v>292</v>
      </c>
      <c r="C363" s="74" t="s">
        <v>293</v>
      </c>
      <c r="D363" s="74" t="s">
        <v>82</v>
      </c>
      <c r="E363" s="88" t="s">
        <v>85</v>
      </c>
      <c r="F363" s="86" t="s">
        <v>225</v>
      </c>
      <c r="G363" s="74" t="s">
        <v>289</v>
      </c>
      <c r="H363" s="87">
        <v>44346</v>
      </c>
      <c r="I363" s="94">
        <v>4245.26</v>
      </c>
      <c r="J363" s="94">
        <v>3183.95</v>
      </c>
      <c r="K363" s="94">
        <v>1061.31</v>
      </c>
    </row>
    <row r="364" spans="1:11">
      <c r="A364" s="74" t="s">
        <v>113</v>
      </c>
      <c r="B364" s="74" t="s">
        <v>294</v>
      </c>
      <c r="C364" s="74" t="s">
        <v>295</v>
      </c>
      <c r="D364" s="74" t="s">
        <v>82</v>
      </c>
      <c r="E364" s="88" t="s">
        <v>85</v>
      </c>
      <c r="F364" s="86" t="s">
        <v>208</v>
      </c>
      <c r="G364" s="74" t="s">
        <v>289</v>
      </c>
      <c r="H364" s="87">
        <v>44346</v>
      </c>
      <c r="I364" s="94">
        <v>3660.5</v>
      </c>
      <c r="J364" s="94">
        <v>2745.38</v>
      </c>
      <c r="K364" s="94">
        <v>915.12</v>
      </c>
    </row>
    <row r="365" spans="1:11">
      <c r="A365" s="74" t="s">
        <v>113</v>
      </c>
      <c r="B365" s="74" t="s">
        <v>296</v>
      </c>
      <c r="C365" s="74" t="s">
        <v>297</v>
      </c>
      <c r="D365" s="74" t="s">
        <v>82</v>
      </c>
      <c r="E365" s="88" t="s">
        <v>85</v>
      </c>
      <c r="F365" s="86" t="s">
        <v>116</v>
      </c>
      <c r="G365" s="74" t="s">
        <v>289</v>
      </c>
      <c r="H365" s="87">
        <v>44346</v>
      </c>
      <c r="I365" s="94">
        <v>3317.15</v>
      </c>
      <c r="J365" s="94">
        <v>2487.86</v>
      </c>
      <c r="K365" s="94">
        <v>829.29</v>
      </c>
    </row>
    <row r="366" spans="1:11">
      <c r="A366" s="74" t="s">
        <v>113</v>
      </c>
      <c r="B366" s="74" t="s">
        <v>298</v>
      </c>
      <c r="C366" s="74" t="s">
        <v>299</v>
      </c>
      <c r="D366" s="74" t="s">
        <v>82</v>
      </c>
      <c r="E366" s="88" t="s">
        <v>85</v>
      </c>
      <c r="F366" s="86" t="s">
        <v>279</v>
      </c>
      <c r="G366" s="74" t="s">
        <v>300</v>
      </c>
      <c r="H366" s="87">
        <v>44346</v>
      </c>
      <c r="I366" s="94">
        <v>5936.99</v>
      </c>
      <c r="J366" s="94">
        <v>4452.74</v>
      </c>
      <c r="K366" s="94">
        <v>1484.25</v>
      </c>
    </row>
    <row r="367" spans="1:11">
      <c r="A367" s="74" t="s">
        <v>113</v>
      </c>
      <c r="B367" s="74" t="s">
        <v>301</v>
      </c>
      <c r="C367" s="74" t="s">
        <v>302</v>
      </c>
      <c r="D367" s="74" t="s">
        <v>82</v>
      </c>
      <c r="E367" s="88" t="s">
        <v>85</v>
      </c>
      <c r="F367" s="86" t="s">
        <v>279</v>
      </c>
      <c r="G367" s="74" t="s">
        <v>303</v>
      </c>
      <c r="H367" s="87">
        <v>44346</v>
      </c>
      <c r="I367" s="94">
        <v>5995.97</v>
      </c>
      <c r="J367" s="94">
        <v>4496.98</v>
      </c>
      <c r="K367" s="94">
        <v>1498.99</v>
      </c>
    </row>
    <row r="368" spans="1:11">
      <c r="A368" s="74" t="s">
        <v>113</v>
      </c>
      <c r="B368" s="74" t="s">
        <v>304</v>
      </c>
      <c r="C368" s="74" t="s">
        <v>305</v>
      </c>
      <c r="D368" s="74" t="s">
        <v>86</v>
      </c>
      <c r="E368" s="74" t="s">
        <v>90</v>
      </c>
      <c r="F368" s="86" t="s">
        <v>306</v>
      </c>
      <c r="G368" s="74" t="s">
        <v>307</v>
      </c>
      <c r="H368" s="87">
        <v>44346</v>
      </c>
      <c r="I368" s="94">
        <v>6727.04</v>
      </c>
      <c r="J368" s="94">
        <v>5045.28</v>
      </c>
      <c r="K368" s="94">
        <v>1681.76</v>
      </c>
    </row>
    <row r="369" spans="1:11">
      <c r="A369" s="74" t="s">
        <v>113</v>
      </c>
      <c r="B369" s="74" t="s">
        <v>114</v>
      </c>
      <c r="C369" s="74" t="s">
        <v>115</v>
      </c>
      <c r="D369" s="74" t="s">
        <v>79</v>
      </c>
      <c r="E369" s="74" t="s">
        <v>80</v>
      </c>
      <c r="F369" s="86" t="s">
        <v>116</v>
      </c>
      <c r="G369" s="74" t="s">
        <v>117</v>
      </c>
      <c r="H369" s="87">
        <v>44377</v>
      </c>
      <c r="I369" s="94">
        <v>3187.22</v>
      </c>
      <c r="J369" s="94">
        <v>2390.42</v>
      </c>
      <c r="K369" s="94">
        <v>796.8</v>
      </c>
    </row>
    <row r="370" spans="1:11">
      <c r="A370" s="74" t="s">
        <v>113</v>
      </c>
      <c r="B370" s="74" t="s">
        <v>118</v>
      </c>
      <c r="C370" s="74" t="s">
        <v>119</v>
      </c>
      <c r="D370" s="74" t="s">
        <v>79</v>
      </c>
      <c r="E370" s="74" t="s">
        <v>80</v>
      </c>
      <c r="F370" s="86" t="s">
        <v>120</v>
      </c>
      <c r="G370" s="74" t="s">
        <v>117</v>
      </c>
      <c r="H370" s="87">
        <v>44377</v>
      </c>
      <c r="I370" s="94">
        <v>2933.31</v>
      </c>
      <c r="J370" s="94">
        <v>2199.98</v>
      </c>
      <c r="K370" s="94">
        <v>733.33</v>
      </c>
    </row>
    <row r="371" spans="1:11">
      <c r="A371" s="74" t="s">
        <v>113</v>
      </c>
      <c r="B371" s="74" t="s">
        <v>121</v>
      </c>
      <c r="C371" s="74" t="s">
        <v>122</v>
      </c>
      <c r="D371" s="74" t="s">
        <v>79</v>
      </c>
      <c r="E371" s="74" t="s">
        <v>80</v>
      </c>
      <c r="F371" s="86" t="s">
        <v>123</v>
      </c>
      <c r="G371" s="74" t="s">
        <v>117</v>
      </c>
      <c r="H371" s="87">
        <v>44377</v>
      </c>
      <c r="I371" s="94">
        <v>2380.64</v>
      </c>
      <c r="J371" s="94">
        <v>1785.48</v>
      </c>
      <c r="K371" s="94">
        <v>595.16</v>
      </c>
    </row>
    <row r="372" spans="1:11">
      <c r="A372" s="74" t="s">
        <v>113</v>
      </c>
      <c r="B372" s="74" t="s">
        <v>124</v>
      </c>
      <c r="C372" s="74" t="s">
        <v>125</v>
      </c>
      <c r="D372" s="74" t="s">
        <v>79</v>
      </c>
      <c r="E372" s="74" t="s">
        <v>80</v>
      </c>
      <c r="F372" s="86" t="s">
        <v>116</v>
      </c>
      <c r="G372" s="74" t="s">
        <v>117</v>
      </c>
      <c r="H372" s="87">
        <v>44377</v>
      </c>
      <c r="I372" s="94">
        <v>3328.06</v>
      </c>
      <c r="J372" s="94">
        <v>2496.05</v>
      </c>
      <c r="K372" s="94">
        <v>832.01</v>
      </c>
    </row>
    <row r="373" spans="1:11">
      <c r="A373" s="74" t="s">
        <v>113</v>
      </c>
      <c r="B373" s="74" t="s">
        <v>126</v>
      </c>
      <c r="C373" s="74" t="s">
        <v>127</v>
      </c>
      <c r="D373" s="74" t="s">
        <v>79</v>
      </c>
      <c r="E373" s="74" t="s">
        <v>80</v>
      </c>
      <c r="F373" s="86" t="s">
        <v>120</v>
      </c>
      <c r="G373" s="74" t="s">
        <v>117</v>
      </c>
      <c r="H373" s="87">
        <v>44377</v>
      </c>
      <c r="I373" s="94">
        <v>2801.1</v>
      </c>
      <c r="J373" s="94">
        <v>2100.83</v>
      </c>
      <c r="K373" s="94">
        <v>700.27</v>
      </c>
    </row>
    <row r="374" spans="1:11">
      <c r="A374" s="74" t="s">
        <v>113</v>
      </c>
      <c r="B374" s="74" t="s">
        <v>128</v>
      </c>
      <c r="C374" s="74" t="s">
        <v>129</v>
      </c>
      <c r="D374" s="74" t="s">
        <v>79</v>
      </c>
      <c r="E374" s="74" t="s">
        <v>80</v>
      </c>
      <c r="F374" s="86" t="s">
        <v>123</v>
      </c>
      <c r="G374" s="74" t="s">
        <v>117</v>
      </c>
      <c r="H374" s="87">
        <v>44377</v>
      </c>
      <c r="I374" s="94">
        <v>2483.25</v>
      </c>
      <c r="J374" s="94">
        <v>1862.44</v>
      </c>
      <c r="K374" s="94">
        <v>620.81</v>
      </c>
    </row>
    <row r="375" spans="1:11">
      <c r="A375" s="74" t="s">
        <v>113</v>
      </c>
      <c r="B375" s="74" t="s">
        <v>130</v>
      </c>
      <c r="C375" s="74" t="s">
        <v>131</v>
      </c>
      <c r="D375" s="74" t="s">
        <v>79</v>
      </c>
      <c r="E375" s="74" t="s">
        <v>80</v>
      </c>
      <c r="F375" s="86" t="s">
        <v>116</v>
      </c>
      <c r="G375" s="74" t="s">
        <v>117</v>
      </c>
      <c r="H375" s="87">
        <v>44377</v>
      </c>
      <c r="I375" s="94">
        <v>3154.51</v>
      </c>
      <c r="J375" s="94">
        <v>2365.88</v>
      </c>
      <c r="K375" s="94">
        <v>788.63</v>
      </c>
    </row>
    <row r="376" spans="1:11">
      <c r="A376" s="74" t="s">
        <v>113</v>
      </c>
      <c r="B376" s="74" t="s">
        <v>132</v>
      </c>
      <c r="C376" s="74" t="s">
        <v>133</v>
      </c>
      <c r="D376" s="74" t="s">
        <v>79</v>
      </c>
      <c r="E376" s="74" t="s">
        <v>80</v>
      </c>
      <c r="F376" s="86" t="s">
        <v>120</v>
      </c>
      <c r="G376" s="74" t="s">
        <v>117</v>
      </c>
      <c r="H376" s="87">
        <v>44377</v>
      </c>
      <c r="I376" s="94">
        <v>2766.58</v>
      </c>
      <c r="J376" s="94">
        <v>2074.94</v>
      </c>
      <c r="K376" s="94">
        <v>691.64</v>
      </c>
    </row>
    <row r="377" spans="1:11">
      <c r="A377" s="74" t="s">
        <v>113</v>
      </c>
      <c r="B377" s="74" t="s">
        <v>134</v>
      </c>
      <c r="C377" s="74" t="s">
        <v>135</v>
      </c>
      <c r="D377" s="74" t="s">
        <v>79</v>
      </c>
      <c r="E377" s="74" t="s">
        <v>80</v>
      </c>
      <c r="F377" s="86" t="s">
        <v>123</v>
      </c>
      <c r="G377" s="74" t="s">
        <v>117</v>
      </c>
      <c r="H377" s="87">
        <v>44377</v>
      </c>
      <c r="I377" s="94">
        <v>2410.33</v>
      </c>
      <c r="J377" s="94">
        <v>1807.75</v>
      </c>
      <c r="K377" s="94">
        <v>602.58</v>
      </c>
    </row>
    <row r="378" spans="1:11">
      <c r="A378" s="74" t="s">
        <v>113</v>
      </c>
      <c r="B378" s="74" t="s">
        <v>136</v>
      </c>
      <c r="C378" s="74" t="s">
        <v>137</v>
      </c>
      <c r="D378" s="74" t="s">
        <v>79</v>
      </c>
      <c r="E378" s="74" t="s">
        <v>80</v>
      </c>
      <c r="F378" s="86" t="s">
        <v>116</v>
      </c>
      <c r="G378" s="74" t="s">
        <v>138</v>
      </c>
      <c r="H378" s="87">
        <v>44377</v>
      </c>
      <c r="I378" s="94">
        <v>3243.65</v>
      </c>
      <c r="J378" s="94">
        <v>2432.74</v>
      </c>
      <c r="K378" s="94">
        <v>810.91</v>
      </c>
    </row>
    <row r="379" spans="1:11">
      <c r="A379" s="74" t="s">
        <v>113</v>
      </c>
      <c r="B379" s="74" t="s">
        <v>139</v>
      </c>
      <c r="C379" s="74" t="s">
        <v>140</v>
      </c>
      <c r="D379" s="74" t="s">
        <v>79</v>
      </c>
      <c r="E379" s="74" t="s">
        <v>80</v>
      </c>
      <c r="F379" s="86" t="s">
        <v>120</v>
      </c>
      <c r="G379" s="74" t="s">
        <v>138</v>
      </c>
      <c r="H379" s="87">
        <v>44377</v>
      </c>
      <c r="I379" s="94">
        <v>2770.64</v>
      </c>
      <c r="J379" s="94">
        <v>2077.98</v>
      </c>
      <c r="K379" s="94">
        <v>692.66</v>
      </c>
    </row>
    <row r="380" spans="1:11">
      <c r="A380" s="74" t="s">
        <v>113</v>
      </c>
      <c r="B380" s="74" t="s">
        <v>141</v>
      </c>
      <c r="C380" s="74" t="s">
        <v>142</v>
      </c>
      <c r="D380" s="74" t="s">
        <v>79</v>
      </c>
      <c r="E380" s="74" t="s">
        <v>80</v>
      </c>
      <c r="F380" s="86" t="s">
        <v>123</v>
      </c>
      <c r="G380" s="74" t="s">
        <v>138</v>
      </c>
      <c r="H380" s="87">
        <v>44377</v>
      </c>
      <c r="I380" s="94">
        <v>2507.18</v>
      </c>
      <c r="J380" s="94">
        <v>1880.39</v>
      </c>
      <c r="K380" s="94">
        <v>626.79</v>
      </c>
    </row>
    <row r="381" spans="1:11">
      <c r="A381" s="74" t="s">
        <v>113</v>
      </c>
      <c r="B381" s="74" t="s">
        <v>143</v>
      </c>
      <c r="C381" s="74" t="s">
        <v>144</v>
      </c>
      <c r="D381" s="74" t="s">
        <v>79</v>
      </c>
      <c r="E381" s="74" t="s">
        <v>80</v>
      </c>
      <c r="F381" s="86" t="s">
        <v>145</v>
      </c>
      <c r="G381" s="74" t="s">
        <v>146</v>
      </c>
      <c r="H381" s="87">
        <v>44377</v>
      </c>
      <c r="I381" s="94">
        <v>7945.75</v>
      </c>
      <c r="J381" s="94">
        <v>5959.31</v>
      </c>
      <c r="K381" s="94">
        <v>1986.44</v>
      </c>
    </row>
    <row r="382" spans="1:11">
      <c r="A382" s="74" t="s">
        <v>113</v>
      </c>
      <c r="B382" s="74" t="s">
        <v>147</v>
      </c>
      <c r="C382" s="74" t="s">
        <v>148</v>
      </c>
      <c r="D382" s="74" t="s">
        <v>79</v>
      </c>
      <c r="E382" s="74" t="s">
        <v>80</v>
      </c>
      <c r="F382" s="86" t="s">
        <v>149</v>
      </c>
      <c r="G382" s="74" t="s">
        <v>150</v>
      </c>
      <c r="H382" s="87">
        <v>44377</v>
      </c>
      <c r="I382" s="94">
        <v>7058.88</v>
      </c>
      <c r="J382" s="94">
        <v>5294.16</v>
      </c>
      <c r="K382" s="94">
        <v>1764.72</v>
      </c>
    </row>
    <row r="383" spans="1:11">
      <c r="A383" s="74" t="s">
        <v>113</v>
      </c>
      <c r="B383" s="74" t="s">
        <v>151</v>
      </c>
      <c r="C383" s="74" t="s">
        <v>152</v>
      </c>
      <c r="D383" s="74" t="s">
        <v>79</v>
      </c>
      <c r="E383" s="74" t="s">
        <v>81</v>
      </c>
      <c r="F383" s="86" t="s">
        <v>123</v>
      </c>
      <c r="G383" s="74" t="s">
        <v>153</v>
      </c>
      <c r="H383" s="87">
        <v>44377</v>
      </c>
      <c r="I383" s="94">
        <v>2572.53</v>
      </c>
      <c r="J383" s="94">
        <v>1929.4</v>
      </c>
      <c r="K383" s="94">
        <v>643.13</v>
      </c>
    </row>
    <row r="384" spans="1:11">
      <c r="A384" s="74" t="s">
        <v>113</v>
      </c>
      <c r="B384" s="74" t="s">
        <v>154</v>
      </c>
      <c r="C384" s="74" t="s">
        <v>155</v>
      </c>
      <c r="D384" s="74" t="s">
        <v>79</v>
      </c>
      <c r="E384" s="74" t="s">
        <v>81</v>
      </c>
      <c r="F384" s="86" t="s">
        <v>156</v>
      </c>
      <c r="G384" s="74" t="s">
        <v>157</v>
      </c>
      <c r="H384" s="87">
        <v>44377</v>
      </c>
      <c r="I384" s="94">
        <v>2050.23</v>
      </c>
      <c r="J384" s="94">
        <v>1537.67</v>
      </c>
      <c r="K384" s="94">
        <v>512.56</v>
      </c>
    </row>
    <row r="385" spans="1:11">
      <c r="A385" s="74" t="s">
        <v>113</v>
      </c>
      <c r="B385" s="74" t="s">
        <v>158</v>
      </c>
      <c r="C385" s="74" t="s">
        <v>159</v>
      </c>
      <c r="D385" s="74" t="s">
        <v>79</v>
      </c>
      <c r="E385" s="74" t="s">
        <v>81</v>
      </c>
      <c r="F385" s="86" t="s">
        <v>160</v>
      </c>
      <c r="G385" s="74" t="s">
        <v>161</v>
      </c>
      <c r="H385" s="87">
        <v>44377</v>
      </c>
      <c r="I385" s="94">
        <v>1566.02</v>
      </c>
      <c r="J385" s="94">
        <v>1174.52</v>
      </c>
      <c r="K385" s="94">
        <v>391.5</v>
      </c>
    </row>
    <row r="386" spans="1:11">
      <c r="A386" s="74" t="s">
        <v>113</v>
      </c>
      <c r="B386" s="74" t="s">
        <v>162</v>
      </c>
      <c r="C386" s="74" t="s">
        <v>163</v>
      </c>
      <c r="D386" s="74" t="s">
        <v>79</v>
      </c>
      <c r="E386" s="74" t="s">
        <v>81</v>
      </c>
      <c r="F386" s="86" t="s">
        <v>123</v>
      </c>
      <c r="G386" s="74" t="s">
        <v>153</v>
      </c>
      <c r="H386" s="87">
        <v>44377</v>
      </c>
      <c r="I386" s="94">
        <v>2453.38</v>
      </c>
      <c r="J386" s="94">
        <v>1840.04</v>
      </c>
      <c r="K386" s="94">
        <v>613.34</v>
      </c>
    </row>
    <row r="387" spans="1:11">
      <c r="A387" s="74" t="s">
        <v>113</v>
      </c>
      <c r="B387" s="74" t="s">
        <v>164</v>
      </c>
      <c r="C387" s="74" t="s">
        <v>165</v>
      </c>
      <c r="D387" s="74" t="s">
        <v>79</v>
      </c>
      <c r="E387" s="74" t="s">
        <v>81</v>
      </c>
      <c r="F387" s="86" t="s">
        <v>156</v>
      </c>
      <c r="G387" s="74" t="s">
        <v>157</v>
      </c>
      <c r="H387" s="87">
        <v>44377</v>
      </c>
      <c r="I387" s="94">
        <v>2118.49</v>
      </c>
      <c r="J387" s="94">
        <v>1588.87</v>
      </c>
      <c r="K387" s="94">
        <v>529.62</v>
      </c>
    </row>
    <row r="388" spans="1:11">
      <c r="A388" s="74" t="s">
        <v>113</v>
      </c>
      <c r="B388" s="74" t="s">
        <v>166</v>
      </c>
      <c r="C388" s="74" t="s">
        <v>167</v>
      </c>
      <c r="D388" s="74" t="s">
        <v>79</v>
      </c>
      <c r="E388" s="74" t="s">
        <v>81</v>
      </c>
      <c r="F388" s="86" t="s">
        <v>160</v>
      </c>
      <c r="G388" s="74" t="s">
        <v>161</v>
      </c>
      <c r="H388" s="87">
        <v>44377</v>
      </c>
      <c r="I388" s="94">
        <v>1602.25</v>
      </c>
      <c r="J388" s="94">
        <v>1201.69</v>
      </c>
      <c r="K388" s="94">
        <v>400.56</v>
      </c>
    </row>
    <row r="389" spans="1:11">
      <c r="A389" s="74" t="s">
        <v>113</v>
      </c>
      <c r="B389" s="74" t="s">
        <v>168</v>
      </c>
      <c r="C389" s="74" t="s">
        <v>169</v>
      </c>
      <c r="D389" s="74" t="s">
        <v>79</v>
      </c>
      <c r="E389" s="74" t="s">
        <v>81</v>
      </c>
      <c r="F389" s="86" t="s">
        <v>123</v>
      </c>
      <c r="G389" s="74" t="s">
        <v>153</v>
      </c>
      <c r="H389" s="87">
        <v>44377</v>
      </c>
      <c r="I389" s="94">
        <v>2342.69</v>
      </c>
      <c r="J389" s="94">
        <v>1757.02</v>
      </c>
      <c r="K389" s="94">
        <v>585.67</v>
      </c>
    </row>
    <row r="390" spans="1:11">
      <c r="A390" s="74" t="s">
        <v>113</v>
      </c>
      <c r="B390" s="74" t="s">
        <v>170</v>
      </c>
      <c r="C390" s="74" t="s">
        <v>171</v>
      </c>
      <c r="D390" s="74" t="s">
        <v>79</v>
      </c>
      <c r="E390" s="74" t="s">
        <v>81</v>
      </c>
      <c r="F390" s="86" t="s">
        <v>156</v>
      </c>
      <c r="G390" s="74" t="s">
        <v>157</v>
      </c>
      <c r="H390" s="87">
        <v>44377</v>
      </c>
      <c r="I390" s="94">
        <v>1996.72</v>
      </c>
      <c r="J390" s="94">
        <v>1497.54</v>
      </c>
      <c r="K390" s="94">
        <v>499.18</v>
      </c>
    </row>
    <row r="391" spans="1:11">
      <c r="A391" s="74" t="s">
        <v>113</v>
      </c>
      <c r="B391" s="74" t="s">
        <v>172</v>
      </c>
      <c r="C391" s="74" t="s">
        <v>173</v>
      </c>
      <c r="D391" s="74" t="s">
        <v>79</v>
      </c>
      <c r="E391" s="74" t="s">
        <v>81</v>
      </c>
      <c r="F391" s="86" t="s">
        <v>160</v>
      </c>
      <c r="G391" s="74" t="s">
        <v>161</v>
      </c>
      <c r="H391" s="87">
        <v>44377</v>
      </c>
      <c r="I391" s="94">
        <v>1582.83</v>
      </c>
      <c r="J391" s="94">
        <v>1187.12</v>
      </c>
      <c r="K391" s="94">
        <v>395.71</v>
      </c>
    </row>
    <row r="392" spans="1:11">
      <c r="A392" s="74" t="s">
        <v>113</v>
      </c>
      <c r="B392" s="74" t="s">
        <v>174</v>
      </c>
      <c r="C392" s="74" t="s">
        <v>175</v>
      </c>
      <c r="D392" s="74" t="s">
        <v>79</v>
      </c>
      <c r="E392" s="74" t="s">
        <v>81</v>
      </c>
      <c r="F392" s="86" t="s">
        <v>176</v>
      </c>
      <c r="G392" s="74" t="s">
        <v>177</v>
      </c>
      <c r="H392" s="87">
        <v>44377</v>
      </c>
      <c r="I392" s="94">
        <v>1249.04</v>
      </c>
      <c r="J392" s="94">
        <v>936.78</v>
      </c>
      <c r="K392" s="94">
        <v>312.26</v>
      </c>
    </row>
    <row r="393" spans="1:11">
      <c r="A393" s="74" t="s">
        <v>113</v>
      </c>
      <c r="B393" s="74" t="s">
        <v>178</v>
      </c>
      <c r="C393" s="74" t="s">
        <v>179</v>
      </c>
      <c r="D393" s="74" t="s">
        <v>79</v>
      </c>
      <c r="E393" s="74" t="s">
        <v>81</v>
      </c>
      <c r="F393" s="86" t="s">
        <v>180</v>
      </c>
      <c r="G393" s="74" t="s">
        <v>177</v>
      </c>
      <c r="H393" s="87">
        <v>44377</v>
      </c>
      <c r="I393" s="94">
        <v>785.7</v>
      </c>
      <c r="J393" s="94">
        <v>589.28</v>
      </c>
      <c r="K393" s="94">
        <v>196.42</v>
      </c>
    </row>
    <row r="394" spans="1:11">
      <c r="A394" s="74" t="s">
        <v>113</v>
      </c>
      <c r="B394" s="74" t="s">
        <v>181</v>
      </c>
      <c r="C394" s="74" t="s">
        <v>182</v>
      </c>
      <c r="D394" s="74" t="s">
        <v>79</v>
      </c>
      <c r="E394" s="74" t="s">
        <v>81</v>
      </c>
      <c r="F394" s="86" t="s">
        <v>183</v>
      </c>
      <c r="G394" s="74" t="s">
        <v>177</v>
      </c>
      <c r="H394" s="87">
        <v>44377</v>
      </c>
      <c r="I394" s="94">
        <v>423.34</v>
      </c>
      <c r="J394" s="94">
        <v>317.51</v>
      </c>
      <c r="K394" s="94">
        <v>105.83</v>
      </c>
    </row>
    <row r="395" spans="1:11">
      <c r="A395" s="74" t="s">
        <v>113</v>
      </c>
      <c r="B395" s="74" t="s">
        <v>184</v>
      </c>
      <c r="C395" s="74" t="s">
        <v>185</v>
      </c>
      <c r="D395" s="74" t="s">
        <v>79</v>
      </c>
      <c r="E395" s="74" t="s">
        <v>81</v>
      </c>
      <c r="F395" s="86" t="s">
        <v>176</v>
      </c>
      <c r="G395" s="74" t="s">
        <v>177</v>
      </c>
      <c r="H395" s="87">
        <v>44377</v>
      </c>
      <c r="I395" s="94">
        <v>1270.58</v>
      </c>
      <c r="J395" s="94">
        <v>952.94</v>
      </c>
      <c r="K395" s="94">
        <v>317.64</v>
      </c>
    </row>
    <row r="396" spans="1:11">
      <c r="A396" s="74" t="s">
        <v>113</v>
      </c>
      <c r="B396" s="74" t="s">
        <v>186</v>
      </c>
      <c r="C396" s="74" t="s">
        <v>187</v>
      </c>
      <c r="D396" s="74" t="s">
        <v>79</v>
      </c>
      <c r="E396" s="74" t="s">
        <v>81</v>
      </c>
      <c r="F396" s="86" t="s">
        <v>180</v>
      </c>
      <c r="G396" s="74" t="s">
        <v>177</v>
      </c>
      <c r="H396" s="87">
        <v>44377</v>
      </c>
      <c r="I396" s="94">
        <v>816.05</v>
      </c>
      <c r="J396" s="94">
        <v>612.04</v>
      </c>
      <c r="K396" s="94">
        <v>204.01</v>
      </c>
    </row>
    <row r="397" spans="1:11">
      <c r="A397" s="74" t="s">
        <v>113</v>
      </c>
      <c r="B397" s="74" t="s">
        <v>188</v>
      </c>
      <c r="C397" s="74" t="s">
        <v>189</v>
      </c>
      <c r="D397" s="74" t="s">
        <v>79</v>
      </c>
      <c r="E397" s="74" t="s">
        <v>81</v>
      </c>
      <c r="F397" s="86" t="s">
        <v>183</v>
      </c>
      <c r="G397" s="74" t="s">
        <v>177</v>
      </c>
      <c r="H397" s="87">
        <v>44377</v>
      </c>
      <c r="I397" s="94">
        <v>402.4</v>
      </c>
      <c r="J397" s="94">
        <v>301.8</v>
      </c>
      <c r="K397" s="94">
        <v>100.6</v>
      </c>
    </row>
    <row r="398" spans="1:11">
      <c r="A398" s="74" t="s">
        <v>113</v>
      </c>
      <c r="B398" s="74" t="s">
        <v>190</v>
      </c>
      <c r="C398" s="74" t="s">
        <v>191</v>
      </c>
      <c r="D398" s="74" t="s">
        <v>79</v>
      </c>
      <c r="E398" s="74" t="s">
        <v>81</v>
      </c>
      <c r="F398" s="86" t="s">
        <v>176</v>
      </c>
      <c r="G398" s="74" t="s">
        <v>177</v>
      </c>
      <c r="H398" s="87">
        <v>44377</v>
      </c>
      <c r="I398" s="94">
        <v>1259.98</v>
      </c>
      <c r="J398" s="94">
        <v>944.99</v>
      </c>
      <c r="K398" s="94">
        <v>314.99</v>
      </c>
    </row>
    <row r="399" spans="1:11">
      <c r="A399" s="74" t="s">
        <v>113</v>
      </c>
      <c r="B399" s="74" t="s">
        <v>192</v>
      </c>
      <c r="C399" s="74" t="s">
        <v>193</v>
      </c>
      <c r="D399" s="74" t="s">
        <v>79</v>
      </c>
      <c r="E399" s="74" t="s">
        <v>81</v>
      </c>
      <c r="F399" s="86" t="s">
        <v>180</v>
      </c>
      <c r="G399" s="74" t="s">
        <v>177</v>
      </c>
      <c r="H399" s="87">
        <v>44377</v>
      </c>
      <c r="I399" s="94">
        <v>827.9</v>
      </c>
      <c r="J399" s="94">
        <v>620.93</v>
      </c>
      <c r="K399" s="94">
        <v>206.97</v>
      </c>
    </row>
    <row r="400" spans="1:11">
      <c r="A400" s="74" t="s">
        <v>113</v>
      </c>
      <c r="B400" s="74" t="s">
        <v>194</v>
      </c>
      <c r="C400" s="74" t="s">
        <v>195</v>
      </c>
      <c r="D400" s="74" t="s">
        <v>79</v>
      </c>
      <c r="E400" s="74" t="s">
        <v>81</v>
      </c>
      <c r="F400" s="86" t="s">
        <v>183</v>
      </c>
      <c r="G400" s="74" t="s">
        <v>177</v>
      </c>
      <c r="H400" s="87">
        <v>44377</v>
      </c>
      <c r="I400" s="94">
        <v>416.87</v>
      </c>
      <c r="J400" s="94">
        <v>312.65</v>
      </c>
      <c r="K400" s="94">
        <v>104.22</v>
      </c>
    </row>
    <row r="401" spans="1:11">
      <c r="A401" s="74" t="s">
        <v>113</v>
      </c>
      <c r="B401" s="74" t="s">
        <v>196</v>
      </c>
      <c r="C401" s="74" t="s">
        <v>197</v>
      </c>
      <c r="D401" s="74" t="s">
        <v>79</v>
      </c>
      <c r="E401" s="74" t="s">
        <v>81</v>
      </c>
      <c r="F401" s="86" t="s">
        <v>176</v>
      </c>
      <c r="G401" s="74" t="s">
        <v>177</v>
      </c>
      <c r="H401" s="87">
        <v>44377</v>
      </c>
      <c r="I401" s="94">
        <v>1215.76</v>
      </c>
      <c r="J401" s="94">
        <v>911.82</v>
      </c>
      <c r="K401" s="94">
        <v>303.94</v>
      </c>
    </row>
    <row r="402" spans="1:11">
      <c r="A402" s="74" t="s">
        <v>113</v>
      </c>
      <c r="B402" s="74" t="s">
        <v>198</v>
      </c>
      <c r="C402" s="74" t="s">
        <v>199</v>
      </c>
      <c r="D402" s="74" t="s">
        <v>79</v>
      </c>
      <c r="E402" s="74" t="s">
        <v>81</v>
      </c>
      <c r="F402" s="86" t="s">
        <v>180</v>
      </c>
      <c r="G402" s="74" t="s">
        <v>177</v>
      </c>
      <c r="H402" s="87">
        <v>44377</v>
      </c>
      <c r="I402" s="94">
        <v>797.87</v>
      </c>
      <c r="J402" s="94">
        <v>598.4</v>
      </c>
      <c r="K402" s="94">
        <v>199.47</v>
      </c>
    </row>
    <row r="403" spans="1:11">
      <c r="A403" s="74" t="s">
        <v>113</v>
      </c>
      <c r="B403" s="74" t="s">
        <v>200</v>
      </c>
      <c r="C403" s="74" t="s">
        <v>201</v>
      </c>
      <c r="D403" s="74" t="s">
        <v>79</v>
      </c>
      <c r="E403" s="74" t="s">
        <v>81</v>
      </c>
      <c r="F403" s="86" t="s">
        <v>183</v>
      </c>
      <c r="G403" s="74" t="s">
        <v>177</v>
      </c>
      <c r="H403" s="87">
        <v>44377</v>
      </c>
      <c r="I403" s="94">
        <v>392.56</v>
      </c>
      <c r="J403" s="94">
        <v>294.42</v>
      </c>
      <c r="K403" s="94">
        <v>98.14</v>
      </c>
    </row>
    <row r="404" spans="1:11">
      <c r="A404" s="74" t="s">
        <v>113</v>
      </c>
      <c r="B404" s="74" t="s">
        <v>202</v>
      </c>
      <c r="C404" s="74" t="s">
        <v>203</v>
      </c>
      <c r="D404" s="74" t="s">
        <v>79</v>
      </c>
      <c r="E404" s="74" t="s">
        <v>81</v>
      </c>
      <c r="F404" s="86" t="s">
        <v>204</v>
      </c>
      <c r="G404" s="74" t="s">
        <v>205</v>
      </c>
      <c r="H404" s="87">
        <v>44377</v>
      </c>
      <c r="I404" s="94">
        <v>7104.81</v>
      </c>
      <c r="J404" s="94">
        <v>5328.61</v>
      </c>
      <c r="K404" s="94">
        <v>1776.2</v>
      </c>
    </row>
    <row r="405" spans="1:11">
      <c r="A405" s="74" t="s">
        <v>113</v>
      </c>
      <c r="B405" s="74" t="s">
        <v>206</v>
      </c>
      <c r="C405" s="74" t="s">
        <v>207</v>
      </c>
      <c r="D405" s="88" t="s">
        <v>82</v>
      </c>
      <c r="E405" s="88" t="s">
        <v>84</v>
      </c>
      <c r="F405" s="86" t="s">
        <v>208</v>
      </c>
      <c r="G405" s="74" t="s">
        <v>209</v>
      </c>
      <c r="H405" s="87">
        <v>44377</v>
      </c>
      <c r="I405" s="94">
        <v>3857.45</v>
      </c>
      <c r="J405" s="94">
        <v>2893.09</v>
      </c>
      <c r="K405" s="94">
        <v>964.36</v>
      </c>
    </row>
    <row r="406" spans="1:11">
      <c r="A406" s="74" t="s">
        <v>113</v>
      </c>
      <c r="B406" s="74" t="s">
        <v>210</v>
      </c>
      <c r="C406" s="74" t="s">
        <v>211</v>
      </c>
      <c r="D406" s="88" t="s">
        <v>82</v>
      </c>
      <c r="E406" s="88" t="s">
        <v>84</v>
      </c>
      <c r="F406" s="86" t="s">
        <v>116</v>
      </c>
      <c r="G406" s="74" t="s">
        <v>209</v>
      </c>
      <c r="H406" s="87">
        <v>44377</v>
      </c>
      <c r="I406" s="94">
        <v>3228.37</v>
      </c>
      <c r="J406" s="94">
        <v>2421.28</v>
      </c>
      <c r="K406" s="94">
        <v>807.09</v>
      </c>
    </row>
    <row r="407" spans="1:11">
      <c r="A407" s="74" t="s">
        <v>113</v>
      </c>
      <c r="B407" s="74" t="s">
        <v>212</v>
      </c>
      <c r="C407" s="74" t="s">
        <v>213</v>
      </c>
      <c r="D407" s="88" t="s">
        <v>82</v>
      </c>
      <c r="E407" s="88" t="s">
        <v>84</v>
      </c>
      <c r="F407" s="86" t="s">
        <v>208</v>
      </c>
      <c r="G407" s="74" t="s">
        <v>209</v>
      </c>
      <c r="H407" s="87">
        <v>44377</v>
      </c>
      <c r="I407" s="94">
        <v>3844.8</v>
      </c>
      <c r="J407" s="94">
        <v>2883.6</v>
      </c>
      <c r="K407" s="94">
        <v>961.2</v>
      </c>
    </row>
    <row r="408" spans="1:11">
      <c r="A408" s="74" t="s">
        <v>113</v>
      </c>
      <c r="B408" s="74" t="s">
        <v>214</v>
      </c>
      <c r="C408" s="74" t="s">
        <v>215</v>
      </c>
      <c r="D408" s="88" t="s">
        <v>82</v>
      </c>
      <c r="E408" s="88" t="s">
        <v>84</v>
      </c>
      <c r="F408" s="86" t="s">
        <v>116</v>
      </c>
      <c r="G408" s="74" t="s">
        <v>209</v>
      </c>
      <c r="H408" s="87">
        <v>44377</v>
      </c>
      <c r="I408" s="94">
        <v>3274.82</v>
      </c>
      <c r="J408" s="94">
        <v>2456.12</v>
      </c>
      <c r="K408" s="94">
        <v>818.7</v>
      </c>
    </row>
    <row r="409" spans="1:11">
      <c r="A409" s="74" t="s">
        <v>113</v>
      </c>
      <c r="B409" s="74" t="s">
        <v>216</v>
      </c>
      <c r="C409" s="74" t="s">
        <v>217</v>
      </c>
      <c r="D409" s="88" t="s">
        <v>82</v>
      </c>
      <c r="E409" s="88" t="s">
        <v>84</v>
      </c>
      <c r="F409" s="86" t="s">
        <v>218</v>
      </c>
      <c r="G409" s="74" t="s">
        <v>219</v>
      </c>
      <c r="H409" s="87">
        <v>44377</v>
      </c>
      <c r="I409" s="94">
        <v>4468.79</v>
      </c>
      <c r="J409" s="94">
        <v>3351.59</v>
      </c>
      <c r="K409" s="94">
        <v>1117.2</v>
      </c>
    </row>
    <row r="410" spans="1:11">
      <c r="A410" s="74" t="s">
        <v>113</v>
      </c>
      <c r="B410" s="74" t="s">
        <v>220</v>
      </c>
      <c r="C410" s="74" t="s">
        <v>221</v>
      </c>
      <c r="D410" s="88" t="s">
        <v>82</v>
      </c>
      <c r="E410" s="74" t="s">
        <v>83</v>
      </c>
      <c r="F410" s="86" t="s">
        <v>218</v>
      </c>
      <c r="G410" s="74" t="s">
        <v>222</v>
      </c>
      <c r="H410" s="87">
        <v>44377</v>
      </c>
      <c r="I410" s="94">
        <v>4457.99</v>
      </c>
      <c r="J410" s="94">
        <v>3343.49</v>
      </c>
      <c r="K410" s="94">
        <v>1114.5</v>
      </c>
    </row>
    <row r="411" spans="1:11">
      <c r="A411" s="74" t="s">
        <v>113</v>
      </c>
      <c r="B411" s="74" t="s">
        <v>223</v>
      </c>
      <c r="C411" s="74" t="s">
        <v>224</v>
      </c>
      <c r="D411" s="88" t="s">
        <v>82</v>
      </c>
      <c r="E411" s="74" t="s">
        <v>83</v>
      </c>
      <c r="F411" s="86" t="s">
        <v>225</v>
      </c>
      <c r="G411" s="74" t="s">
        <v>209</v>
      </c>
      <c r="H411" s="87">
        <v>44377</v>
      </c>
      <c r="I411" s="94">
        <v>4017.27</v>
      </c>
      <c r="J411" s="94">
        <v>3012.95</v>
      </c>
      <c r="K411" s="94">
        <v>1004.32</v>
      </c>
    </row>
    <row r="412" spans="1:11">
      <c r="A412" s="74" t="s">
        <v>113</v>
      </c>
      <c r="B412" s="74" t="s">
        <v>226</v>
      </c>
      <c r="C412" s="74" t="s">
        <v>227</v>
      </c>
      <c r="D412" s="88" t="s">
        <v>82</v>
      </c>
      <c r="E412" s="74" t="s">
        <v>83</v>
      </c>
      <c r="F412" s="86" t="s">
        <v>208</v>
      </c>
      <c r="G412" s="74" t="s">
        <v>209</v>
      </c>
      <c r="H412" s="87">
        <v>44377</v>
      </c>
      <c r="I412" s="94">
        <v>3690.5</v>
      </c>
      <c r="J412" s="94">
        <v>2767.88</v>
      </c>
      <c r="K412" s="94">
        <v>922.62</v>
      </c>
    </row>
    <row r="413" spans="1:11">
      <c r="A413" s="74" t="s">
        <v>113</v>
      </c>
      <c r="B413" s="74" t="s">
        <v>228</v>
      </c>
      <c r="C413" s="74" t="s">
        <v>229</v>
      </c>
      <c r="D413" s="88" t="s">
        <v>82</v>
      </c>
      <c r="E413" s="74" t="s">
        <v>83</v>
      </c>
      <c r="F413" s="86" t="s">
        <v>116</v>
      </c>
      <c r="G413" s="74" t="s">
        <v>209</v>
      </c>
      <c r="H413" s="87">
        <v>44377</v>
      </c>
      <c r="I413" s="94">
        <v>3126.61</v>
      </c>
      <c r="J413" s="94">
        <v>2344.96</v>
      </c>
      <c r="K413" s="94">
        <v>781.65</v>
      </c>
    </row>
    <row r="414" spans="1:11">
      <c r="A414" s="74" t="s">
        <v>113</v>
      </c>
      <c r="B414" s="74" t="s">
        <v>230</v>
      </c>
      <c r="C414" s="74" t="s">
        <v>231</v>
      </c>
      <c r="D414" s="88" t="s">
        <v>82</v>
      </c>
      <c r="E414" s="74" t="s">
        <v>83</v>
      </c>
      <c r="F414" s="86" t="s">
        <v>120</v>
      </c>
      <c r="G414" s="74" t="s">
        <v>209</v>
      </c>
      <c r="H414" s="87">
        <v>44377</v>
      </c>
      <c r="I414" s="94">
        <v>2883.45</v>
      </c>
      <c r="J414" s="94">
        <v>2162.59</v>
      </c>
      <c r="K414" s="94">
        <v>720.86</v>
      </c>
    </row>
    <row r="415" spans="1:11">
      <c r="A415" s="74" t="s">
        <v>113</v>
      </c>
      <c r="B415" s="74" t="s">
        <v>232</v>
      </c>
      <c r="C415" s="74" t="s">
        <v>233</v>
      </c>
      <c r="D415" s="88" t="s">
        <v>82</v>
      </c>
      <c r="E415" s="74" t="s">
        <v>83</v>
      </c>
      <c r="F415" s="86" t="s">
        <v>123</v>
      </c>
      <c r="G415" s="74" t="s">
        <v>209</v>
      </c>
      <c r="H415" s="87">
        <v>44377</v>
      </c>
      <c r="I415" s="94">
        <v>2396.05</v>
      </c>
      <c r="J415" s="94">
        <v>1797.04</v>
      </c>
      <c r="K415" s="94">
        <v>599.01</v>
      </c>
    </row>
    <row r="416" spans="1:11">
      <c r="A416" s="74" t="s">
        <v>113</v>
      </c>
      <c r="B416" s="74" t="s">
        <v>234</v>
      </c>
      <c r="C416" s="74" t="s">
        <v>235</v>
      </c>
      <c r="D416" s="88" t="s">
        <v>82</v>
      </c>
      <c r="E416" s="74" t="s">
        <v>83</v>
      </c>
      <c r="F416" s="86" t="s">
        <v>116</v>
      </c>
      <c r="G416" s="74" t="s">
        <v>209</v>
      </c>
      <c r="H416" s="87">
        <v>44377</v>
      </c>
      <c r="I416" s="94">
        <v>3237.05</v>
      </c>
      <c r="J416" s="94">
        <v>2427.79</v>
      </c>
      <c r="K416" s="94">
        <v>809.26</v>
      </c>
    </row>
    <row r="417" spans="1:11">
      <c r="A417" s="74" t="s">
        <v>113</v>
      </c>
      <c r="B417" s="74" t="s">
        <v>236</v>
      </c>
      <c r="C417" s="74" t="s">
        <v>237</v>
      </c>
      <c r="D417" s="88" t="s">
        <v>82</v>
      </c>
      <c r="E417" s="74" t="s">
        <v>83</v>
      </c>
      <c r="F417" s="86" t="s">
        <v>120</v>
      </c>
      <c r="G417" s="74" t="s">
        <v>209</v>
      </c>
      <c r="H417" s="87">
        <v>44377</v>
      </c>
      <c r="I417" s="94">
        <v>2885.97</v>
      </c>
      <c r="J417" s="94">
        <v>2164.48</v>
      </c>
      <c r="K417" s="94">
        <v>721.49</v>
      </c>
    </row>
    <row r="418" spans="1:11">
      <c r="A418" s="74" t="s">
        <v>113</v>
      </c>
      <c r="B418" s="74" t="s">
        <v>238</v>
      </c>
      <c r="C418" s="74" t="s">
        <v>239</v>
      </c>
      <c r="D418" s="74" t="s">
        <v>86</v>
      </c>
      <c r="E418" s="74" t="s">
        <v>87</v>
      </c>
      <c r="F418" s="86" t="s">
        <v>204</v>
      </c>
      <c r="G418" s="74" t="s">
        <v>240</v>
      </c>
      <c r="H418" s="87">
        <v>44377</v>
      </c>
      <c r="I418" s="94">
        <v>6069.55</v>
      </c>
      <c r="J418" s="94">
        <v>4552.16</v>
      </c>
      <c r="K418" s="94">
        <v>1517.39</v>
      </c>
    </row>
    <row r="419" spans="1:11">
      <c r="A419" s="74" t="s">
        <v>113</v>
      </c>
      <c r="B419" s="74" t="s">
        <v>241</v>
      </c>
      <c r="C419" s="74" t="s">
        <v>242</v>
      </c>
      <c r="D419" s="74" t="s">
        <v>86</v>
      </c>
      <c r="E419" s="74" t="s">
        <v>87</v>
      </c>
      <c r="F419" s="86" t="s">
        <v>243</v>
      </c>
      <c r="G419" s="74" t="s">
        <v>244</v>
      </c>
      <c r="H419" s="87">
        <v>44377</v>
      </c>
      <c r="I419" s="94">
        <v>4076.72</v>
      </c>
      <c r="J419" s="94">
        <v>3057.54</v>
      </c>
      <c r="K419" s="94">
        <v>1019.18</v>
      </c>
    </row>
    <row r="420" spans="1:11">
      <c r="A420" s="74" t="s">
        <v>113</v>
      </c>
      <c r="B420" s="74" t="s">
        <v>245</v>
      </c>
      <c r="C420" s="74" t="s">
        <v>246</v>
      </c>
      <c r="D420" s="74" t="s">
        <v>86</v>
      </c>
      <c r="E420" s="74" t="s">
        <v>87</v>
      </c>
      <c r="F420" s="86" t="s">
        <v>247</v>
      </c>
      <c r="G420" s="74" t="s">
        <v>248</v>
      </c>
      <c r="H420" s="87">
        <v>44377</v>
      </c>
      <c r="I420" s="94">
        <v>3887.28</v>
      </c>
      <c r="J420" s="94">
        <v>2915.46</v>
      </c>
      <c r="K420" s="94">
        <v>971.82</v>
      </c>
    </row>
    <row r="421" spans="1:11">
      <c r="A421" s="74" t="s">
        <v>113</v>
      </c>
      <c r="B421" s="74" t="s">
        <v>249</v>
      </c>
      <c r="C421" s="74" t="s">
        <v>250</v>
      </c>
      <c r="D421" s="74" t="s">
        <v>86</v>
      </c>
      <c r="E421" s="74" t="s">
        <v>87</v>
      </c>
      <c r="F421" s="86" t="s">
        <v>251</v>
      </c>
      <c r="G421" s="74" t="s">
        <v>252</v>
      </c>
      <c r="H421" s="87">
        <v>44377</v>
      </c>
      <c r="I421" s="94">
        <v>3692.28</v>
      </c>
      <c r="J421" s="94">
        <v>2769.21</v>
      </c>
      <c r="K421" s="94">
        <v>923.07</v>
      </c>
    </row>
    <row r="422" spans="1:11">
      <c r="A422" s="74" t="s">
        <v>113</v>
      </c>
      <c r="B422" s="74" t="s">
        <v>253</v>
      </c>
      <c r="C422" s="74" t="s">
        <v>254</v>
      </c>
      <c r="D422" s="74" t="s">
        <v>86</v>
      </c>
      <c r="E422" s="74" t="s">
        <v>87</v>
      </c>
      <c r="F422" s="86" t="s">
        <v>255</v>
      </c>
      <c r="G422" s="74" t="s">
        <v>252</v>
      </c>
      <c r="H422" s="87">
        <v>44377</v>
      </c>
      <c r="I422" s="94">
        <v>3328.19</v>
      </c>
      <c r="J422" s="94">
        <v>2496.14</v>
      </c>
      <c r="K422" s="94">
        <v>832.05</v>
      </c>
    </row>
    <row r="423" spans="1:11">
      <c r="A423" s="74" t="s">
        <v>113</v>
      </c>
      <c r="B423" s="74" t="s">
        <v>256</v>
      </c>
      <c r="C423" s="74" t="s">
        <v>257</v>
      </c>
      <c r="D423" s="74" t="s">
        <v>86</v>
      </c>
      <c r="E423" s="74" t="s">
        <v>87</v>
      </c>
      <c r="F423" s="86" t="s">
        <v>258</v>
      </c>
      <c r="G423" s="74" t="s">
        <v>252</v>
      </c>
      <c r="H423" s="87">
        <v>44377</v>
      </c>
      <c r="I423" s="94">
        <v>2874.3</v>
      </c>
      <c r="J423" s="94">
        <v>2155.73</v>
      </c>
      <c r="K423" s="94">
        <v>718.57</v>
      </c>
    </row>
    <row r="424" spans="1:11">
      <c r="A424" s="74" t="s">
        <v>113</v>
      </c>
      <c r="B424" s="74" t="s">
        <v>259</v>
      </c>
      <c r="C424" s="74" t="s">
        <v>260</v>
      </c>
      <c r="D424" s="74" t="s">
        <v>86</v>
      </c>
      <c r="E424" s="74" t="s">
        <v>87</v>
      </c>
      <c r="F424" s="86" t="s">
        <v>261</v>
      </c>
      <c r="G424" s="74" t="s">
        <v>262</v>
      </c>
      <c r="H424" s="87">
        <v>44377</v>
      </c>
      <c r="I424" s="94">
        <v>2588.12</v>
      </c>
      <c r="J424" s="94">
        <v>1941.09</v>
      </c>
      <c r="K424" s="94">
        <v>647.03</v>
      </c>
    </row>
    <row r="425" spans="1:11">
      <c r="A425" s="74" t="s">
        <v>113</v>
      </c>
      <c r="B425" s="74" t="s">
        <v>263</v>
      </c>
      <c r="C425" s="74" t="s">
        <v>264</v>
      </c>
      <c r="D425" s="74" t="s">
        <v>86</v>
      </c>
      <c r="E425" s="74" t="s">
        <v>88</v>
      </c>
      <c r="F425" s="86" t="s">
        <v>149</v>
      </c>
      <c r="G425" s="74" t="s">
        <v>265</v>
      </c>
      <c r="H425" s="87">
        <v>44377</v>
      </c>
      <c r="I425" s="94">
        <v>5814.94</v>
      </c>
      <c r="J425" s="94">
        <v>4361.21</v>
      </c>
      <c r="K425" s="94">
        <v>1453.73</v>
      </c>
    </row>
    <row r="426" spans="1:11">
      <c r="A426" s="74" t="s">
        <v>113</v>
      </c>
      <c r="B426" s="74" t="s">
        <v>266</v>
      </c>
      <c r="C426" s="74" t="s">
        <v>267</v>
      </c>
      <c r="D426" s="74" t="s">
        <v>86</v>
      </c>
      <c r="E426" s="74" t="s">
        <v>88</v>
      </c>
      <c r="F426" s="86" t="s">
        <v>243</v>
      </c>
      <c r="G426" s="74" t="s">
        <v>268</v>
      </c>
      <c r="H426" s="87">
        <v>44377</v>
      </c>
      <c r="I426" s="94">
        <v>4427.56</v>
      </c>
      <c r="J426" s="94">
        <v>3320.67</v>
      </c>
      <c r="K426" s="94">
        <v>1106.89</v>
      </c>
    </row>
    <row r="427" spans="1:11">
      <c r="A427" s="74" t="s">
        <v>113</v>
      </c>
      <c r="B427" s="74" t="s">
        <v>269</v>
      </c>
      <c r="C427" s="74" t="s">
        <v>270</v>
      </c>
      <c r="D427" s="74" t="s">
        <v>86</v>
      </c>
      <c r="E427" s="74" t="s">
        <v>88</v>
      </c>
      <c r="F427" s="86" t="s">
        <v>247</v>
      </c>
      <c r="G427" s="74" t="s">
        <v>268</v>
      </c>
      <c r="H427" s="87">
        <v>44377</v>
      </c>
      <c r="I427" s="94">
        <v>4098.85</v>
      </c>
      <c r="J427" s="94">
        <v>3074.14</v>
      </c>
      <c r="K427" s="94">
        <v>1024.71</v>
      </c>
    </row>
    <row r="428" spans="1:11">
      <c r="A428" s="74" t="s">
        <v>113</v>
      </c>
      <c r="B428" s="74" t="s">
        <v>271</v>
      </c>
      <c r="C428" s="74" t="s">
        <v>272</v>
      </c>
      <c r="D428" s="74" t="s">
        <v>86</v>
      </c>
      <c r="E428" s="74" t="s">
        <v>88</v>
      </c>
      <c r="F428" s="86" t="s">
        <v>251</v>
      </c>
      <c r="G428" s="74" t="s">
        <v>268</v>
      </c>
      <c r="H428" s="87">
        <v>44377</v>
      </c>
      <c r="I428" s="94">
        <v>3661.46</v>
      </c>
      <c r="J428" s="94">
        <v>2746.1</v>
      </c>
      <c r="K428" s="94">
        <v>915.36</v>
      </c>
    </row>
    <row r="429" spans="1:11">
      <c r="A429" s="74" t="s">
        <v>113</v>
      </c>
      <c r="B429" s="74" t="s">
        <v>273</v>
      </c>
      <c r="C429" s="74" t="s">
        <v>274</v>
      </c>
      <c r="D429" s="74" t="s">
        <v>86</v>
      </c>
      <c r="E429" s="74" t="s">
        <v>88</v>
      </c>
      <c r="F429" s="86" t="s">
        <v>255</v>
      </c>
      <c r="G429" s="74" t="s">
        <v>268</v>
      </c>
      <c r="H429" s="87">
        <v>44377</v>
      </c>
      <c r="I429" s="94">
        <v>3165.03</v>
      </c>
      <c r="J429" s="94">
        <v>2373.77</v>
      </c>
      <c r="K429" s="94">
        <v>791.26</v>
      </c>
    </row>
    <row r="430" spans="1:11">
      <c r="A430" s="74" t="s">
        <v>113</v>
      </c>
      <c r="B430" s="74" t="s">
        <v>275</v>
      </c>
      <c r="C430" s="74" t="s">
        <v>276</v>
      </c>
      <c r="D430" s="74" t="s">
        <v>86</v>
      </c>
      <c r="E430" s="74" t="s">
        <v>88</v>
      </c>
      <c r="F430" s="86" t="s">
        <v>258</v>
      </c>
      <c r="G430" s="74" t="s">
        <v>268</v>
      </c>
      <c r="H430" s="87">
        <v>44377</v>
      </c>
      <c r="I430" s="94">
        <v>2967.28</v>
      </c>
      <c r="J430" s="94">
        <v>2225.46</v>
      </c>
      <c r="K430" s="94">
        <v>741.82</v>
      </c>
    </row>
    <row r="431" spans="1:11">
      <c r="A431" s="74" t="s">
        <v>113</v>
      </c>
      <c r="B431" s="74" t="s">
        <v>277</v>
      </c>
      <c r="C431" s="74" t="s">
        <v>278</v>
      </c>
      <c r="D431" s="74" t="s">
        <v>86</v>
      </c>
      <c r="E431" s="74" t="s">
        <v>89</v>
      </c>
      <c r="F431" s="86" t="s">
        <v>279</v>
      </c>
      <c r="G431" s="74" t="s">
        <v>280</v>
      </c>
      <c r="H431" s="87">
        <v>44377</v>
      </c>
      <c r="I431" s="94">
        <v>5109.99</v>
      </c>
      <c r="J431" s="94">
        <v>3832.49</v>
      </c>
      <c r="K431" s="94">
        <v>1277.5</v>
      </c>
    </row>
    <row r="432" spans="1:11">
      <c r="A432" s="74" t="s">
        <v>113</v>
      </c>
      <c r="B432" s="74" t="s">
        <v>281</v>
      </c>
      <c r="C432" s="74" t="s">
        <v>282</v>
      </c>
      <c r="D432" s="74" t="s">
        <v>86</v>
      </c>
      <c r="E432" s="74" t="s">
        <v>89</v>
      </c>
      <c r="F432" s="86" t="s">
        <v>225</v>
      </c>
      <c r="G432" s="74" t="s">
        <v>283</v>
      </c>
      <c r="H432" s="87">
        <v>44377</v>
      </c>
      <c r="I432" s="94">
        <v>3167.09</v>
      </c>
      <c r="J432" s="94">
        <v>2375.32</v>
      </c>
      <c r="K432" s="94">
        <v>791.77</v>
      </c>
    </row>
    <row r="433" spans="1:11">
      <c r="A433" s="74" t="s">
        <v>113</v>
      </c>
      <c r="B433" s="74" t="s">
        <v>284</v>
      </c>
      <c r="C433" s="74" t="s">
        <v>285</v>
      </c>
      <c r="D433" s="74" t="s">
        <v>86</v>
      </c>
      <c r="E433" s="74" t="s">
        <v>89</v>
      </c>
      <c r="F433" s="86" t="s">
        <v>208</v>
      </c>
      <c r="G433" s="74" t="s">
        <v>283</v>
      </c>
      <c r="H433" s="87">
        <v>44377</v>
      </c>
      <c r="I433" s="94">
        <v>2979.38</v>
      </c>
      <c r="J433" s="94">
        <v>2234.54</v>
      </c>
      <c r="K433" s="94">
        <v>744.84</v>
      </c>
    </row>
    <row r="434" spans="1:11">
      <c r="A434" s="74" t="s">
        <v>113</v>
      </c>
      <c r="B434" s="74" t="s">
        <v>286</v>
      </c>
      <c r="C434" s="74" t="s">
        <v>287</v>
      </c>
      <c r="D434" s="74" t="s">
        <v>82</v>
      </c>
      <c r="E434" s="88" t="s">
        <v>85</v>
      </c>
      <c r="F434" s="86" t="s">
        <v>288</v>
      </c>
      <c r="G434" s="74" t="s">
        <v>289</v>
      </c>
      <c r="H434" s="87">
        <v>44377</v>
      </c>
      <c r="I434" s="94">
        <v>4780.35</v>
      </c>
      <c r="J434" s="94">
        <v>3585.26</v>
      </c>
      <c r="K434" s="94">
        <v>1195.09</v>
      </c>
    </row>
    <row r="435" spans="1:11">
      <c r="A435" s="74" t="s">
        <v>113</v>
      </c>
      <c r="B435" s="74" t="s">
        <v>290</v>
      </c>
      <c r="C435" s="74" t="s">
        <v>291</v>
      </c>
      <c r="D435" s="74" t="s">
        <v>82</v>
      </c>
      <c r="E435" s="88" t="s">
        <v>85</v>
      </c>
      <c r="F435" s="86" t="s">
        <v>218</v>
      </c>
      <c r="G435" s="74" t="s">
        <v>289</v>
      </c>
      <c r="H435" s="87">
        <v>44377</v>
      </c>
      <c r="I435" s="94">
        <v>4413.88</v>
      </c>
      <c r="J435" s="94">
        <v>3310.41</v>
      </c>
      <c r="K435" s="94">
        <v>1103.47</v>
      </c>
    </row>
    <row r="436" spans="1:11">
      <c r="A436" s="74" t="s">
        <v>113</v>
      </c>
      <c r="B436" s="74" t="s">
        <v>292</v>
      </c>
      <c r="C436" s="74" t="s">
        <v>293</v>
      </c>
      <c r="D436" s="74" t="s">
        <v>82</v>
      </c>
      <c r="E436" s="88" t="s">
        <v>85</v>
      </c>
      <c r="F436" s="86" t="s">
        <v>225</v>
      </c>
      <c r="G436" s="74" t="s">
        <v>289</v>
      </c>
      <c r="H436" s="87">
        <v>44377</v>
      </c>
      <c r="I436" s="94">
        <v>3969.65</v>
      </c>
      <c r="J436" s="94">
        <v>2977.24</v>
      </c>
      <c r="K436" s="94">
        <v>992.41</v>
      </c>
    </row>
    <row r="437" spans="1:11">
      <c r="A437" s="74" t="s">
        <v>113</v>
      </c>
      <c r="B437" s="74" t="s">
        <v>294</v>
      </c>
      <c r="C437" s="74" t="s">
        <v>295</v>
      </c>
      <c r="D437" s="74" t="s">
        <v>82</v>
      </c>
      <c r="E437" s="88" t="s">
        <v>85</v>
      </c>
      <c r="F437" s="86" t="s">
        <v>208</v>
      </c>
      <c r="G437" s="74" t="s">
        <v>289</v>
      </c>
      <c r="H437" s="87">
        <v>44377</v>
      </c>
      <c r="I437" s="94">
        <v>3645.94</v>
      </c>
      <c r="J437" s="94">
        <v>2734.46</v>
      </c>
      <c r="K437" s="94">
        <v>911.48</v>
      </c>
    </row>
    <row r="438" spans="1:11">
      <c r="A438" s="74" t="s">
        <v>113</v>
      </c>
      <c r="B438" s="74" t="s">
        <v>296</v>
      </c>
      <c r="C438" s="74" t="s">
        <v>297</v>
      </c>
      <c r="D438" s="74" t="s">
        <v>82</v>
      </c>
      <c r="E438" s="88" t="s">
        <v>85</v>
      </c>
      <c r="F438" s="86" t="s">
        <v>116</v>
      </c>
      <c r="G438" s="74" t="s">
        <v>289</v>
      </c>
      <c r="H438" s="87">
        <v>44377</v>
      </c>
      <c r="I438" s="94">
        <v>3355</v>
      </c>
      <c r="J438" s="94">
        <v>2516.25</v>
      </c>
      <c r="K438" s="94">
        <v>838.75</v>
      </c>
    </row>
    <row r="439" spans="1:11">
      <c r="A439" s="74" t="s">
        <v>113</v>
      </c>
      <c r="B439" s="74" t="s">
        <v>298</v>
      </c>
      <c r="C439" s="74" t="s">
        <v>299</v>
      </c>
      <c r="D439" s="74" t="s">
        <v>82</v>
      </c>
      <c r="E439" s="88" t="s">
        <v>85</v>
      </c>
      <c r="F439" s="86" t="s">
        <v>279</v>
      </c>
      <c r="G439" s="74" t="s">
        <v>300</v>
      </c>
      <c r="H439" s="87">
        <v>44377</v>
      </c>
      <c r="I439" s="94">
        <v>6121.17</v>
      </c>
      <c r="J439" s="94">
        <v>4590.88</v>
      </c>
      <c r="K439" s="94">
        <v>1530.29</v>
      </c>
    </row>
    <row r="440" spans="1:11">
      <c r="A440" s="74" t="s">
        <v>113</v>
      </c>
      <c r="B440" s="74" t="s">
        <v>301</v>
      </c>
      <c r="C440" s="74" t="s">
        <v>302</v>
      </c>
      <c r="D440" s="74" t="s">
        <v>82</v>
      </c>
      <c r="E440" s="88" t="s">
        <v>85</v>
      </c>
      <c r="F440" s="86" t="s">
        <v>279</v>
      </c>
      <c r="G440" s="74" t="s">
        <v>303</v>
      </c>
      <c r="H440" s="87">
        <v>44377</v>
      </c>
      <c r="I440" s="94">
        <v>6318.9</v>
      </c>
      <c r="J440" s="94">
        <v>4739.18</v>
      </c>
      <c r="K440" s="94">
        <v>1579.72</v>
      </c>
    </row>
    <row r="441" spans="1:11">
      <c r="A441" s="74" t="s">
        <v>113</v>
      </c>
      <c r="B441" s="74" t="s">
        <v>304</v>
      </c>
      <c r="C441" s="74" t="s">
        <v>305</v>
      </c>
      <c r="D441" s="74" t="s">
        <v>86</v>
      </c>
      <c r="E441" s="74" t="s">
        <v>90</v>
      </c>
      <c r="F441" s="86" t="s">
        <v>306</v>
      </c>
      <c r="G441" s="74" t="s">
        <v>307</v>
      </c>
      <c r="H441" s="87">
        <v>44377</v>
      </c>
      <c r="I441" s="94">
        <v>6458.87</v>
      </c>
      <c r="J441" s="94">
        <v>4844.15</v>
      </c>
      <c r="K441" s="94">
        <v>1614.72</v>
      </c>
    </row>
    <row r="442" spans="1:11">
      <c r="A442" s="74" t="s">
        <v>113</v>
      </c>
      <c r="B442" s="74" t="s">
        <v>114</v>
      </c>
      <c r="C442" s="74" t="s">
        <v>115</v>
      </c>
      <c r="D442" s="74" t="s">
        <v>79</v>
      </c>
      <c r="E442" s="74" t="s">
        <v>80</v>
      </c>
      <c r="F442" s="86" t="s">
        <v>116</v>
      </c>
      <c r="G442" s="74" t="s">
        <v>117</v>
      </c>
      <c r="H442" s="87">
        <v>44408</v>
      </c>
      <c r="I442" s="94">
        <v>3147.48</v>
      </c>
      <c r="J442" s="94">
        <v>2360.61</v>
      </c>
      <c r="K442" s="94">
        <v>786.87</v>
      </c>
    </row>
    <row r="443" spans="1:11">
      <c r="A443" s="74" t="s">
        <v>113</v>
      </c>
      <c r="B443" s="74" t="s">
        <v>118</v>
      </c>
      <c r="C443" s="74" t="s">
        <v>119</v>
      </c>
      <c r="D443" s="74" t="s">
        <v>79</v>
      </c>
      <c r="E443" s="74" t="s">
        <v>80</v>
      </c>
      <c r="F443" s="86" t="s">
        <v>120</v>
      </c>
      <c r="G443" s="74" t="s">
        <v>117</v>
      </c>
      <c r="H443" s="87">
        <v>44408</v>
      </c>
      <c r="I443" s="94">
        <v>2945.19</v>
      </c>
      <c r="J443" s="94">
        <v>2208.89</v>
      </c>
      <c r="K443" s="94">
        <v>736.3</v>
      </c>
    </row>
    <row r="444" spans="1:11">
      <c r="A444" s="74" t="s">
        <v>113</v>
      </c>
      <c r="B444" s="74" t="s">
        <v>121</v>
      </c>
      <c r="C444" s="74" t="s">
        <v>122</v>
      </c>
      <c r="D444" s="74" t="s">
        <v>79</v>
      </c>
      <c r="E444" s="74" t="s">
        <v>80</v>
      </c>
      <c r="F444" s="86" t="s">
        <v>123</v>
      </c>
      <c r="G444" s="74" t="s">
        <v>117</v>
      </c>
      <c r="H444" s="87">
        <v>44408</v>
      </c>
      <c r="I444" s="94">
        <v>2453.15</v>
      </c>
      <c r="J444" s="94">
        <v>1839.86</v>
      </c>
      <c r="K444" s="94">
        <v>613.29</v>
      </c>
    </row>
    <row r="445" spans="1:11">
      <c r="A445" s="74" t="s">
        <v>113</v>
      </c>
      <c r="B445" s="74" t="s">
        <v>124</v>
      </c>
      <c r="C445" s="74" t="s">
        <v>125</v>
      </c>
      <c r="D445" s="74" t="s">
        <v>79</v>
      </c>
      <c r="E445" s="74" t="s">
        <v>80</v>
      </c>
      <c r="F445" s="86" t="s">
        <v>116</v>
      </c>
      <c r="G445" s="74" t="s">
        <v>117</v>
      </c>
      <c r="H445" s="87">
        <v>44408</v>
      </c>
      <c r="I445" s="94">
        <v>3145.53</v>
      </c>
      <c r="J445" s="94">
        <v>2359.15</v>
      </c>
      <c r="K445" s="94">
        <v>786.38</v>
      </c>
    </row>
    <row r="446" spans="1:11">
      <c r="A446" s="74" t="s">
        <v>113</v>
      </c>
      <c r="B446" s="74" t="s">
        <v>126</v>
      </c>
      <c r="C446" s="74" t="s">
        <v>127</v>
      </c>
      <c r="D446" s="74" t="s">
        <v>79</v>
      </c>
      <c r="E446" s="74" t="s">
        <v>80</v>
      </c>
      <c r="F446" s="86" t="s">
        <v>120</v>
      </c>
      <c r="G446" s="74" t="s">
        <v>117</v>
      </c>
      <c r="H446" s="87">
        <v>44408</v>
      </c>
      <c r="I446" s="94">
        <v>2903.71</v>
      </c>
      <c r="J446" s="94">
        <v>2177.78</v>
      </c>
      <c r="K446" s="94">
        <v>725.93</v>
      </c>
    </row>
    <row r="447" spans="1:11">
      <c r="A447" s="74" t="s">
        <v>113</v>
      </c>
      <c r="B447" s="74" t="s">
        <v>128</v>
      </c>
      <c r="C447" s="74" t="s">
        <v>129</v>
      </c>
      <c r="D447" s="74" t="s">
        <v>79</v>
      </c>
      <c r="E447" s="74" t="s">
        <v>80</v>
      </c>
      <c r="F447" s="86" t="s">
        <v>123</v>
      </c>
      <c r="G447" s="74" t="s">
        <v>117</v>
      </c>
      <c r="H447" s="87">
        <v>44408</v>
      </c>
      <c r="I447" s="94">
        <v>2410.43</v>
      </c>
      <c r="J447" s="94">
        <v>1807.82</v>
      </c>
      <c r="K447" s="94">
        <v>602.61</v>
      </c>
    </row>
    <row r="448" spans="1:11">
      <c r="A448" s="74" t="s">
        <v>113</v>
      </c>
      <c r="B448" s="74" t="s">
        <v>130</v>
      </c>
      <c r="C448" s="74" t="s">
        <v>131</v>
      </c>
      <c r="D448" s="74" t="s">
        <v>79</v>
      </c>
      <c r="E448" s="74" t="s">
        <v>80</v>
      </c>
      <c r="F448" s="86" t="s">
        <v>116</v>
      </c>
      <c r="G448" s="74" t="s">
        <v>117</v>
      </c>
      <c r="H448" s="87">
        <v>44408</v>
      </c>
      <c r="I448" s="94">
        <v>3131.87</v>
      </c>
      <c r="J448" s="94">
        <v>2348.9</v>
      </c>
      <c r="K448" s="94">
        <v>782.97</v>
      </c>
    </row>
    <row r="449" spans="1:11">
      <c r="A449" s="74" t="s">
        <v>113</v>
      </c>
      <c r="B449" s="74" t="s">
        <v>132</v>
      </c>
      <c r="C449" s="74" t="s">
        <v>133</v>
      </c>
      <c r="D449" s="74" t="s">
        <v>79</v>
      </c>
      <c r="E449" s="74" t="s">
        <v>80</v>
      </c>
      <c r="F449" s="86" t="s">
        <v>120</v>
      </c>
      <c r="G449" s="74" t="s">
        <v>117</v>
      </c>
      <c r="H449" s="87">
        <v>44408</v>
      </c>
      <c r="I449" s="94">
        <v>2934.47</v>
      </c>
      <c r="J449" s="94">
        <v>2200.85</v>
      </c>
      <c r="K449" s="94">
        <v>733.62</v>
      </c>
    </row>
    <row r="450" spans="1:11">
      <c r="A450" s="74" t="s">
        <v>113</v>
      </c>
      <c r="B450" s="74" t="s">
        <v>134</v>
      </c>
      <c r="C450" s="74" t="s">
        <v>135</v>
      </c>
      <c r="D450" s="74" t="s">
        <v>79</v>
      </c>
      <c r="E450" s="74" t="s">
        <v>80</v>
      </c>
      <c r="F450" s="86" t="s">
        <v>123</v>
      </c>
      <c r="G450" s="74" t="s">
        <v>117</v>
      </c>
      <c r="H450" s="87">
        <v>44408</v>
      </c>
      <c r="I450" s="94">
        <v>2345.92</v>
      </c>
      <c r="J450" s="94">
        <v>1759.44</v>
      </c>
      <c r="K450" s="94">
        <v>586.48</v>
      </c>
    </row>
    <row r="451" spans="1:11">
      <c r="A451" s="74" t="s">
        <v>113</v>
      </c>
      <c r="B451" s="74" t="s">
        <v>136</v>
      </c>
      <c r="C451" s="74" t="s">
        <v>137</v>
      </c>
      <c r="D451" s="74" t="s">
        <v>79</v>
      </c>
      <c r="E451" s="74" t="s">
        <v>80</v>
      </c>
      <c r="F451" s="86" t="s">
        <v>116</v>
      </c>
      <c r="G451" s="74" t="s">
        <v>138</v>
      </c>
      <c r="H451" s="87">
        <v>44408</v>
      </c>
      <c r="I451" s="94">
        <v>3121.32</v>
      </c>
      <c r="J451" s="94">
        <v>2340.99</v>
      </c>
      <c r="K451" s="94">
        <v>780.33</v>
      </c>
    </row>
    <row r="452" spans="1:11">
      <c r="A452" s="74" t="s">
        <v>113</v>
      </c>
      <c r="B452" s="74" t="s">
        <v>139</v>
      </c>
      <c r="C452" s="74" t="s">
        <v>140</v>
      </c>
      <c r="D452" s="74" t="s">
        <v>79</v>
      </c>
      <c r="E452" s="74" t="s">
        <v>80</v>
      </c>
      <c r="F452" s="86" t="s">
        <v>120</v>
      </c>
      <c r="G452" s="74" t="s">
        <v>138</v>
      </c>
      <c r="H452" s="87">
        <v>44408</v>
      </c>
      <c r="I452" s="94">
        <v>2779.76</v>
      </c>
      <c r="J452" s="94">
        <v>2084.82</v>
      </c>
      <c r="K452" s="94">
        <v>694.94</v>
      </c>
    </row>
    <row r="453" spans="1:11">
      <c r="A453" s="74" t="s">
        <v>113</v>
      </c>
      <c r="B453" s="74" t="s">
        <v>141</v>
      </c>
      <c r="C453" s="74" t="s">
        <v>142</v>
      </c>
      <c r="D453" s="74" t="s">
        <v>79</v>
      </c>
      <c r="E453" s="74" t="s">
        <v>80</v>
      </c>
      <c r="F453" s="86" t="s">
        <v>123</v>
      </c>
      <c r="G453" s="74" t="s">
        <v>138</v>
      </c>
      <c r="H453" s="87">
        <v>44408</v>
      </c>
      <c r="I453" s="94">
        <v>2451.27</v>
      </c>
      <c r="J453" s="94">
        <v>1838.45</v>
      </c>
      <c r="K453" s="94">
        <v>612.82</v>
      </c>
    </row>
    <row r="454" spans="1:11">
      <c r="A454" s="74" t="s">
        <v>113</v>
      </c>
      <c r="B454" s="74" t="s">
        <v>143</v>
      </c>
      <c r="C454" s="74" t="s">
        <v>144</v>
      </c>
      <c r="D454" s="74" t="s">
        <v>79</v>
      </c>
      <c r="E454" s="74" t="s">
        <v>80</v>
      </c>
      <c r="F454" s="86" t="s">
        <v>145</v>
      </c>
      <c r="G454" s="74" t="s">
        <v>146</v>
      </c>
      <c r="H454" s="87">
        <v>44408</v>
      </c>
      <c r="I454" s="94">
        <v>7573.91</v>
      </c>
      <c r="J454" s="94">
        <v>5680.43</v>
      </c>
      <c r="K454" s="94">
        <v>1893.48</v>
      </c>
    </row>
    <row r="455" spans="1:11">
      <c r="A455" s="74" t="s">
        <v>113</v>
      </c>
      <c r="B455" s="74" t="s">
        <v>147</v>
      </c>
      <c r="C455" s="74" t="s">
        <v>148</v>
      </c>
      <c r="D455" s="74" t="s">
        <v>79</v>
      </c>
      <c r="E455" s="74" t="s">
        <v>80</v>
      </c>
      <c r="F455" s="86" t="s">
        <v>149</v>
      </c>
      <c r="G455" s="74" t="s">
        <v>150</v>
      </c>
      <c r="H455" s="87">
        <v>44408</v>
      </c>
      <c r="I455" s="94">
        <v>7095.79</v>
      </c>
      <c r="J455" s="94">
        <v>5321.84</v>
      </c>
      <c r="K455" s="94">
        <v>1773.95</v>
      </c>
    </row>
    <row r="456" spans="1:11">
      <c r="A456" s="74" t="s">
        <v>113</v>
      </c>
      <c r="B456" s="74" t="s">
        <v>151</v>
      </c>
      <c r="C456" s="74" t="s">
        <v>152</v>
      </c>
      <c r="D456" s="74" t="s">
        <v>79</v>
      </c>
      <c r="E456" s="74" t="s">
        <v>81</v>
      </c>
      <c r="F456" s="86" t="s">
        <v>123</v>
      </c>
      <c r="G456" s="74" t="s">
        <v>153</v>
      </c>
      <c r="H456" s="87">
        <v>44408</v>
      </c>
      <c r="I456" s="94">
        <v>2569.69</v>
      </c>
      <c r="J456" s="94">
        <v>1927.27</v>
      </c>
      <c r="K456" s="94">
        <v>642.42</v>
      </c>
    </row>
    <row r="457" spans="1:11">
      <c r="A457" s="74" t="s">
        <v>113</v>
      </c>
      <c r="B457" s="74" t="s">
        <v>154</v>
      </c>
      <c r="C457" s="74" t="s">
        <v>155</v>
      </c>
      <c r="D457" s="74" t="s">
        <v>79</v>
      </c>
      <c r="E457" s="74" t="s">
        <v>81</v>
      </c>
      <c r="F457" s="86" t="s">
        <v>156</v>
      </c>
      <c r="G457" s="74" t="s">
        <v>157</v>
      </c>
      <c r="H457" s="87">
        <v>44408</v>
      </c>
      <c r="I457" s="94">
        <v>1983.08</v>
      </c>
      <c r="J457" s="94">
        <v>1487.31</v>
      </c>
      <c r="K457" s="94">
        <v>495.77</v>
      </c>
    </row>
    <row r="458" spans="1:11">
      <c r="A458" s="74" t="s">
        <v>113</v>
      </c>
      <c r="B458" s="74" t="s">
        <v>158</v>
      </c>
      <c r="C458" s="74" t="s">
        <v>159</v>
      </c>
      <c r="D458" s="74" t="s">
        <v>79</v>
      </c>
      <c r="E458" s="74" t="s">
        <v>81</v>
      </c>
      <c r="F458" s="86" t="s">
        <v>160</v>
      </c>
      <c r="G458" s="74" t="s">
        <v>161</v>
      </c>
      <c r="H458" s="87">
        <v>44408</v>
      </c>
      <c r="I458" s="94">
        <v>1691.1</v>
      </c>
      <c r="J458" s="94">
        <v>1268.33</v>
      </c>
      <c r="K458" s="94">
        <v>422.77</v>
      </c>
    </row>
    <row r="459" spans="1:11">
      <c r="A459" s="74" t="s">
        <v>113</v>
      </c>
      <c r="B459" s="74" t="s">
        <v>162</v>
      </c>
      <c r="C459" s="74" t="s">
        <v>163</v>
      </c>
      <c r="D459" s="74" t="s">
        <v>79</v>
      </c>
      <c r="E459" s="74" t="s">
        <v>81</v>
      </c>
      <c r="F459" s="86" t="s">
        <v>123</v>
      </c>
      <c r="G459" s="74" t="s">
        <v>153</v>
      </c>
      <c r="H459" s="87">
        <v>44408</v>
      </c>
      <c r="I459" s="94">
        <v>2439.24</v>
      </c>
      <c r="J459" s="94">
        <v>1829.43</v>
      </c>
      <c r="K459" s="94">
        <v>609.81</v>
      </c>
    </row>
    <row r="460" spans="1:11">
      <c r="A460" s="74" t="s">
        <v>113</v>
      </c>
      <c r="B460" s="74" t="s">
        <v>164</v>
      </c>
      <c r="C460" s="74" t="s">
        <v>165</v>
      </c>
      <c r="D460" s="74" t="s">
        <v>79</v>
      </c>
      <c r="E460" s="74" t="s">
        <v>81</v>
      </c>
      <c r="F460" s="86" t="s">
        <v>156</v>
      </c>
      <c r="G460" s="74" t="s">
        <v>157</v>
      </c>
      <c r="H460" s="87">
        <v>44408</v>
      </c>
      <c r="I460" s="94">
        <v>2101.84</v>
      </c>
      <c r="J460" s="94">
        <v>1576.38</v>
      </c>
      <c r="K460" s="94">
        <v>525.46</v>
      </c>
    </row>
    <row r="461" spans="1:11">
      <c r="A461" s="74" t="s">
        <v>113</v>
      </c>
      <c r="B461" s="74" t="s">
        <v>166</v>
      </c>
      <c r="C461" s="74" t="s">
        <v>167</v>
      </c>
      <c r="D461" s="74" t="s">
        <v>79</v>
      </c>
      <c r="E461" s="74" t="s">
        <v>81</v>
      </c>
      <c r="F461" s="86" t="s">
        <v>160</v>
      </c>
      <c r="G461" s="74" t="s">
        <v>161</v>
      </c>
      <c r="H461" s="87">
        <v>44408</v>
      </c>
      <c r="I461" s="94">
        <v>1678.31</v>
      </c>
      <c r="J461" s="94">
        <v>1258.73</v>
      </c>
      <c r="K461" s="94">
        <v>419.58</v>
      </c>
    </row>
    <row r="462" spans="1:11">
      <c r="A462" s="74" t="s">
        <v>113</v>
      </c>
      <c r="B462" s="74" t="s">
        <v>168</v>
      </c>
      <c r="C462" s="74" t="s">
        <v>169</v>
      </c>
      <c r="D462" s="74" t="s">
        <v>79</v>
      </c>
      <c r="E462" s="74" t="s">
        <v>81</v>
      </c>
      <c r="F462" s="86" t="s">
        <v>123</v>
      </c>
      <c r="G462" s="74" t="s">
        <v>153</v>
      </c>
      <c r="H462" s="87">
        <v>44408</v>
      </c>
      <c r="I462" s="94">
        <v>2418.36</v>
      </c>
      <c r="J462" s="94">
        <v>1813.77</v>
      </c>
      <c r="K462" s="94">
        <v>604.59</v>
      </c>
    </row>
    <row r="463" spans="1:11">
      <c r="A463" s="74" t="s">
        <v>113</v>
      </c>
      <c r="B463" s="74" t="s">
        <v>170</v>
      </c>
      <c r="C463" s="74" t="s">
        <v>171</v>
      </c>
      <c r="D463" s="74" t="s">
        <v>79</v>
      </c>
      <c r="E463" s="74" t="s">
        <v>81</v>
      </c>
      <c r="F463" s="86" t="s">
        <v>156</v>
      </c>
      <c r="G463" s="74" t="s">
        <v>157</v>
      </c>
      <c r="H463" s="87">
        <v>44408</v>
      </c>
      <c r="I463" s="94">
        <v>2022.06</v>
      </c>
      <c r="J463" s="94">
        <v>1516.55</v>
      </c>
      <c r="K463" s="94">
        <v>505.51</v>
      </c>
    </row>
    <row r="464" spans="1:11">
      <c r="A464" s="74" t="s">
        <v>113</v>
      </c>
      <c r="B464" s="74" t="s">
        <v>172</v>
      </c>
      <c r="C464" s="74" t="s">
        <v>173</v>
      </c>
      <c r="D464" s="74" t="s">
        <v>79</v>
      </c>
      <c r="E464" s="74" t="s">
        <v>81</v>
      </c>
      <c r="F464" s="86" t="s">
        <v>160</v>
      </c>
      <c r="G464" s="74" t="s">
        <v>161</v>
      </c>
      <c r="H464" s="87">
        <v>44408</v>
      </c>
      <c r="I464" s="94">
        <v>1661.78</v>
      </c>
      <c r="J464" s="94">
        <v>1246.34</v>
      </c>
      <c r="K464" s="94">
        <v>415.44</v>
      </c>
    </row>
    <row r="465" spans="1:11">
      <c r="A465" s="74" t="s">
        <v>113</v>
      </c>
      <c r="B465" s="74" t="s">
        <v>174</v>
      </c>
      <c r="C465" s="74" t="s">
        <v>175</v>
      </c>
      <c r="D465" s="74" t="s">
        <v>79</v>
      </c>
      <c r="E465" s="74" t="s">
        <v>81</v>
      </c>
      <c r="F465" s="86" t="s">
        <v>176</v>
      </c>
      <c r="G465" s="74" t="s">
        <v>177</v>
      </c>
      <c r="H465" s="87">
        <v>44408</v>
      </c>
      <c r="I465" s="94">
        <v>1204.66</v>
      </c>
      <c r="J465" s="94">
        <v>903.5</v>
      </c>
      <c r="K465" s="94">
        <v>301.16</v>
      </c>
    </row>
    <row r="466" spans="1:11">
      <c r="A466" s="74" t="s">
        <v>113</v>
      </c>
      <c r="B466" s="74" t="s">
        <v>178</v>
      </c>
      <c r="C466" s="74" t="s">
        <v>179</v>
      </c>
      <c r="D466" s="74" t="s">
        <v>79</v>
      </c>
      <c r="E466" s="74" t="s">
        <v>81</v>
      </c>
      <c r="F466" s="86" t="s">
        <v>180</v>
      </c>
      <c r="G466" s="74" t="s">
        <v>177</v>
      </c>
      <c r="H466" s="87">
        <v>44408</v>
      </c>
      <c r="I466" s="94">
        <v>782.56</v>
      </c>
      <c r="J466" s="94">
        <v>586.92</v>
      </c>
      <c r="K466" s="94">
        <v>195.64</v>
      </c>
    </row>
    <row r="467" spans="1:11">
      <c r="A467" s="74" t="s">
        <v>113</v>
      </c>
      <c r="B467" s="74" t="s">
        <v>181</v>
      </c>
      <c r="C467" s="74" t="s">
        <v>182</v>
      </c>
      <c r="D467" s="74" t="s">
        <v>79</v>
      </c>
      <c r="E467" s="74" t="s">
        <v>81</v>
      </c>
      <c r="F467" s="86" t="s">
        <v>183</v>
      </c>
      <c r="G467" s="74" t="s">
        <v>177</v>
      </c>
      <c r="H467" s="87">
        <v>44408</v>
      </c>
      <c r="I467" s="94">
        <v>398.01</v>
      </c>
      <c r="J467" s="94">
        <v>298.51</v>
      </c>
      <c r="K467" s="94">
        <v>99.5</v>
      </c>
    </row>
    <row r="468" spans="1:11">
      <c r="A468" s="74" t="s">
        <v>113</v>
      </c>
      <c r="B468" s="74" t="s">
        <v>184</v>
      </c>
      <c r="C468" s="74" t="s">
        <v>185</v>
      </c>
      <c r="D468" s="74" t="s">
        <v>79</v>
      </c>
      <c r="E468" s="74" t="s">
        <v>81</v>
      </c>
      <c r="F468" s="86" t="s">
        <v>176</v>
      </c>
      <c r="G468" s="74" t="s">
        <v>177</v>
      </c>
      <c r="H468" s="87">
        <v>44408</v>
      </c>
      <c r="I468" s="94">
        <v>1223.9</v>
      </c>
      <c r="J468" s="94">
        <v>917.93</v>
      </c>
      <c r="K468" s="94">
        <v>305.97</v>
      </c>
    </row>
    <row r="469" spans="1:11">
      <c r="A469" s="74" t="s">
        <v>113</v>
      </c>
      <c r="B469" s="74" t="s">
        <v>186</v>
      </c>
      <c r="C469" s="74" t="s">
        <v>187</v>
      </c>
      <c r="D469" s="74" t="s">
        <v>79</v>
      </c>
      <c r="E469" s="74" t="s">
        <v>81</v>
      </c>
      <c r="F469" s="86" t="s">
        <v>180</v>
      </c>
      <c r="G469" s="74" t="s">
        <v>177</v>
      </c>
      <c r="H469" s="87">
        <v>44408</v>
      </c>
      <c r="I469" s="94">
        <v>805.1</v>
      </c>
      <c r="J469" s="94">
        <v>603.83</v>
      </c>
      <c r="K469" s="94">
        <v>201.27</v>
      </c>
    </row>
    <row r="470" spans="1:11">
      <c r="A470" s="74" t="s">
        <v>113</v>
      </c>
      <c r="B470" s="74" t="s">
        <v>188</v>
      </c>
      <c r="C470" s="74" t="s">
        <v>189</v>
      </c>
      <c r="D470" s="74" t="s">
        <v>79</v>
      </c>
      <c r="E470" s="74" t="s">
        <v>81</v>
      </c>
      <c r="F470" s="86" t="s">
        <v>183</v>
      </c>
      <c r="G470" s="74" t="s">
        <v>177</v>
      </c>
      <c r="H470" s="87">
        <v>44408</v>
      </c>
      <c r="I470" s="94">
        <v>412.82</v>
      </c>
      <c r="J470" s="94">
        <v>309.62</v>
      </c>
      <c r="K470" s="94">
        <v>103.2</v>
      </c>
    </row>
    <row r="471" spans="1:11">
      <c r="A471" s="74" t="s">
        <v>113</v>
      </c>
      <c r="B471" s="74" t="s">
        <v>190</v>
      </c>
      <c r="C471" s="74" t="s">
        <v>191</v>
      </c>
      <c r="D471" s="74" t="s">
        <v>79</v>
      </c>
      <c r="E471" s="74" t="s">
        <v>81</v>
      </c>
      <c r="F471" s="86" t="s">
        <v>176</v>
      </c>
      <c r="G471" s="74" t="s">
        <v>177</v>
      </c>
      <c r="H471" s="87">
        <v>44408</v>
      </c>
      <c r="I471" s="94">
        <v>1224.59</v>
      </c>
      <c r="J471" s="94">
        <v>918.44</v>
      </c>
      <c r="K471" s="94">
        <v>306.15</v>
      </c>
    </row>
    <row r="472" spans="1:11">
      <c r="A472" s="74" t="s">
        <v>113</v>
      </c>
      <c r="B472" s="74" t="s">
        <v>192</v>
      </c>
      <c r="C472" s="74" t="s">
        <v>193</v>
      </c>
      <c r="D472" s="74" t="s">
        <v>79</v>
      </c>
      <c r="E472" s="74" t="s">
        <v>81</v>
      </c>
      <c r="F472" s="86" t="s">
        <v>180</v>
      </c>
      <c r="G472" s="74" t="s">
        <v>177</v>
      </c>
      <c r="H472" s="87">
        <v>44408</v>
      </c>
      <c r="I472" s="94">
        <v>825.09</v>
      </c>
      <c r="J472" s="94">
        <v>618.82</v>
      </c>
      <c r="K472" s="94">
        <v>206.27</v>
      </c>
    </row>
    <row r="473" spans="1:11">
      <c r="A473" s="74" t="s">
        <v>113</v>
      </c>
      <c r="B473" s="74" t="s">
        <v>194</v>
      </c>
      <c r="C473" s="74" t="s">
        <v>195</v>
      </c>
      <c r="D473" s="74" t="s">
        <v>79</v>
      </c>
      <c r="E473" s="74" t="s">
        <v>81</v>
      </c>
      <c r="F473" s="86" t="s">
        <v>183</v>
      </c>
      <c r="G473" s="74" t="s">
        <v>177</v>
      </c>
      <c r="H473" s="87">
        <v>44408</v>
      </c>
      <c r="I473" s="94">
        <v>416.76</v>
      </c>
      <c r="J473" s="94">
        <v>312.57</v>
      </c>
      <c r="K473" s="94">
        <v>104.19</v>
      </c>
    </row>
    <row r="474" spans="1:11">
      <c r="A474" s="74" t="s">
        <v>113</v>
      </c>
      <c r="B474" s="74" t="s">
        <v>196</v>
      </c>
      <c r="C474" s="74" t="s">
        <v>197</v>
      </c>
      <c r="D474" s="74" t="s">
        <v>79</v>
      </c>
      <c r="E474" s="74" t="s">
        <v>81</v>
      </c>
      <c r="F474" s="86" t="s">
        <v>176</v>
      </c>
      <c r="G474" s="74" t="s">
        <v>177</v>
      </c>
      <c r="H474" s="87">
        <v>44408</v>
      </c>
      <c r="I474" s="94">
        <v>1252.4</v>
      </c>
      <c r="J474" s="94">
        <v>939.3</v>
      </c>
      <c r="K474" s="94">
        <v>313.1</v>
      </c>
    </row>
    <row r="475" spans="1:11">
      <c r="A475" s="74" t="s">
        <v>113</v>
      </c>
      <c r="B475" s="74" t="s">
        <v>198</v>
      </c>
      <c r="C475" s="74" t="s">
        <v>199</v>
      </c>
      <c r="D475" s="74" t="s">
        <v>79</v>
      </c>
      <c r="E475" s="74" t="s">
        <v>81</v>
      </c>
      <c r="F475" s="86" t="s">
        <v>180</v>
      </c>
      <c r="G475" s="74" t="s">
        <v>177</v>
      </c>
      <c r="H475" s="87">
        <v>44408</v>
      </c>
      <c r="I475" s="94">
        <v>786.73</v>
      </c>
      <c r="J475" s="94">
        <v>590.05</v>
      </c>
      <c r="K475" s="94">
        <v>196.68</v>
      </c>
    </row>
    <row r="476" spans="1:11">
      <c r="A476" s="74" t="s">
        <v>113</v>
      </c>
      <c r="B476" s="74" t="s">
        <v>200</v>
      </c>
      <c r="C476" s="74" t="s">
        <v>201</v>
      </c>
      <c r="D476" s="74" t="s">
        <v>79</v>
      </c>
      <c r="E476" s="74" t="s">
        <v>81</v>
      </c>
      <c r="F476" s="86" t="s">
        <v>183</v>
      </c>
      <c r="G476" s="74" t="s">
        <v>177</v>
      </c>
      <c r="H476" s="87">
        <v>44408</v>
      </c>
      <c r="I476" s="94">
        <v>405.48</v>
      </c>
      <c r="J476" s="94">
        <v>304.11</v>
      </c>
      <c r="K476" s="94">
        <v>101.37</v>
      </c>
    </row>
    <row r="477" spans="1:11">
      <c r="A477" s="74" t="s">
        <v>113</v>
      </c>
      <c r="B477" s="74" t="s">
        <v>202</v>
      </c>
      <c r="C477" s="74" t="s">
        <v>203</v>
      </c>
      <c r="D477" s="74" t="s">
        <v>79</v>
      </c>
      <c r="E477" s="74" t="s">
        <v>81</v>
      </c>
      <c r="F477" s="86" t="s">
        <v>204</v>
      </c>
      <c r="G477" s="74" t="s">
        <v>205</v>
      </c>
      <c r="H477" s="87">
        <v>44408</v>
      </c>
      <c r="I477" s="94">
        <v>7476.4</v>
      </c>
      <c r="J477" s="94">
        <v>5607.3</v>
      </c>
      <c r="K477" s="94">
        <v>1869.1</v>
      </c>
    </row>
    <row r="478" spans="1:11">
      <c r="A478" s="74" t="s">
        <v>113</v>
      </c>
      <c r="B478" s="74" t="s">
        <v>206</v>
      </c>
      <c r="C478" s="74" t="s">
        <v>207</v>
      </c>
      <c r="D478" s="88" t="s">
        <v>82</v>
      </c>
      <c r="E478" s="88" t="s">
        <v>84</v>
      </c>
      <c r="F478" s="86" t="s">
        <v>208</v>
      </c>
      <c r="G478" s="74" t="s">
        <v>209</v>
      </c>
      <c r="H478" s="87">
        <v>44408</v>
      </c>
      <c r="I478" s="94">
        <v>3532.5</v>
      </c>
      <c r="J478" s="94">
        <v>2649.38</v>
      </c>
      <c r="K478" s="94">
        <v>883.12</v>
      </c>
    </row>
    <row r="479" spans="1:11">
      <c r="A479" s="74" t="s">
        <v>113</v>
      </c>
      <c r="B479" s="74" t="s">
        <v>210</v>
      </c>
      <c r="C479" s="74" t="s">
        <v>211</v>
      </c>
      <c r="D479" s="88" t="s">
        <v>82</v>
      </c>
      <c r="E479" s="88" t="s">
        <v>84</v>
      </c>
      <c r="F479" s="86" t="s">
        <v>116</v>
      </c>
      <c r="G479" s="74" t="s">
        <v>209</v>
      </c>
      <c r="H479" s="87">
        <v>44408</v>
      </c>
      <c r="I479" s="94">
        <v>3314.32</v>
      </c>
      <c r="J479" s="94">
        <v>2485.74</v>
      </c>
      <c r="K479" s="94">
        <v>828.58</v>
      </c>
    </row>
    <row r="480" spans="1:11">
      <c r="A480" s="74" t="s">
        <v>113</v>
      </c>
      <c r="B480" s="74" t="s">
        <v>212</v>
      </c>
      <c r="C480" s="74" t="s">
        <v>213</v>
      </c>
      <c r="D480" s="88" t="s">
        <v>82</v>
      </c>
      <c r="E480" s="88" t="s">
        <v>84</v>
      </c>
      <c r="F480" s="86" t="s">
        <v>208</v>
      </c>
      <c r="G480" s="74" t="s">
        <v>209</v>
      </c>
      <c r="H480" s="87">
        <v>44408</v>
      </c>
      <c r="I480" s="94">
        <v>3652.08</v>
      </c>
      <c r="J480" s="94">
        <v>2739.06</v>
      </c>
      <c r="K480" s="94">
        <v>913.02</v>
      </c>
    </row>
    <row r="481" spans="1:11">
      <c r="A481" s="74" t="s">
        <v>113</v>
      </c>
      <c r="B481" s="74" t="s">
        <v>214</v>
      </c>
      <c r="C481" s="74" t="s">
        <v>215</v>
      </c>
      <c r="D481" s="88" t="s">
        <v>82</v>
      </c>
      <c r="E481" s="88" t="s">
        <v>84</v>
      </c>
      <c r="F481" s="86" t="s">
        <v>116</v>
      </c>
      <c r="G481" s="74" t="s">
        <v>209</v>
      </c>
      <c r="H481" s="87">
        <v>44408</v>
      </c>
      <c r="I481" s="94">
        <v>3242.81</v>
      </c>
      <c r="J481" s="94">
        <v>2432.11</v>
      </c>
      <c r="K481" s="94">
        <v>810.7</v>
      </c>
    </row>
    <row r="482" spans="1:11">
      <c r="A482" s="74" t="s">
        <v>113</v>
      </c>
      <c r="B482" s="74" t="s">
        <v>216</v>
      </c>
      <c r="C482" s="74" t="s">
        <v>217</v>
      </c>
      <c r="D482" s="88" t="s">
        <v>82</v>
      </c>
      <c r="E482" s="88" t="s">
        <v>84</v>
      </c>
      <c r="F482" s="86" t="s">
        <v>218</v>
      </c>
      <c r="G482" s="74" t="s">
        <v>219</v>
      </c>
      <c r="H482" s="87">
        <v>44408</v>
      </c>
      <c r="I482" s="94">
        <v>4290.38</v>
      </c>
      <c r="J482" s="94">
        <v>3217.79</v>
      </c>
      <c r="K482" s="94">
        <v>1072.59</v>
      </c>
    </row>
    <row r="483" spans="1:11">
      <c r="A483" s="74" t="s">
        <v>113</v>
      </c>
      <c r="B483" s="74" t="s">
        <v>220</v>
      </c>
      <c r="C483" s="74" t="s">
        <v>221</v>
      </c>
      <c r="D483" s="88" t="s">
        <v>82</v>
      </c>
      <c r="E483" s="74" t="s">
        <v>83</v>
      </c>
      <c r="F483" s="86" t="s">
        <v>218</v>
      </c>
      <c r="G483" s="74" t="s">
        <v>222</v>
      </c>
      <c r="H483" s="87">
        <v>44408</v>
      </c>
      <c r="I483" s="94">
        <v>4589.21</v>
      </c>
      <c r="J483" s="94">
        <v>3441.91</v>
      </c>
      <c r="K483" s="94">
        <v>1147.3</v>
      </c>
    </row>
    <row r="484" spans="1:11">
      <c r="A484" s="74" t="s">
        <v>113</v>
      </c>
      <c r="B484" s="74" t="s">
        <v>223</v>
      </c>
      <c r="C484" s="74" t="s">
        <v>224</v>
      </c>
      <c r="D484" s="88" t="s">
        <v>82</v>
      </c>
      <c r="E484" s="74" t="s">
        <v>83</v>
      </c>
      <c r="F484" s="86" t="s">
        <v>225</v>
      </c>
      <c r="G484" s="74" t="s">
        <v>209</v>
      </c>
      <c r="H484" s="87">
        <v>44408</v>
      </c>
      <c r="I484" s="94">
        <v>4027.98</v>
      </c>
      <c r="J484" s="94">
        <v>3020.99</v>
      </c>
      <c r="K484" s="94">
        <v>1006.99</v>
      </c>
    </row>
    <row r="485" spans="1:11">
      <c r="A485" s="74" t="s">
        <v>113</v>
      </c>
      <c r="B485" s="74" t="s">
        <v>226</v>
      </c>
      <c r="C485" s="74" t="s">
        <v>227</v>
      </c>
      <c r="D485" s="88" t="s">
        <v>82</v>
      </c>
      <c r="E485" s="74" t="s">
        <v>83</v>
      </c>
      <c r="F485" s="86" t="s">
        <v>208</v>
      </c>
      <c r="G485" s="74" t="s">
        <v>209</v>
      </c>
      <c r="H485" s="87">
        <v>44408</v>
      </c>
      <c r="I485" s="94">
        <v>3714.31</v>
      </c>
      <c r="J485" s="94">
        <v>2785.73</v>
      </c>
      <c r="K485" s="94">
        <v>928.58</v>
      </c>
    </row>
    <row r="486" spans="1:11">
      <c r="A486" s="74" t="s">
        <v>113</v>
      </c>
      <c r="B486" s="74" t="s">
        <v>228</v>
      </c>
      <c r="C486" s="74" t="s">
        <v>229</v>
      </c>
      <c r="D486" s="88" t="s">
        <v>82</v>
      </c>
      <c r="E486" s="74" t="s">
        <v>83</v>
      </c>
      <c r="F486" s="86" t="s">
        <v>116</v>
      </c>
      <c r="G486" s="74" t="s">
        <v>209</v>
      </c>
      <c r="H486" s="87">
        <v>44408</v>
      </c>
      <c r="I486" s="94">
        <v>3331.68</v>
      </c>
      <c r="J486" s="94">
        <v>2498.76</v>
      </c>
      <c r="K486" s="94">
        <v>832.92</v>
      </c>
    </row>
    <row r="487" spans="1:11">
      <c r="A487" s="74" t="s">
        <v>113</v>
      </c>
      <c r="B487" s="74" t="s">
        <v>230</v>
      </c>
      <c r="C487" s="74" t="s">
        <v>231</v>
      </c>
      <c r="D487" s="88" t="s">
        <v>82</v>
      </c>
      <c r="E487" s="74" t="s">
        <v>83</v>
      </c>
      <c r="F487" s="86" t="s">
        <v>120</v>
      </c>
      <c r="G487" s="74" t="s">
        <v>209</v>
      </c>
      <c r="H487" s="87">
        <v>44408</v>
      </c>
      <c r="I487" s="94">
        <v>2917.08</v>
      </c>
      <c r="J487" s="94">
        <v>2187.81</v>
      </c>
      <c r="K487" s="94">
        <v>729.27</v>
      </c>
    </row>
    <row r="488" spans="1:11">
      <c r="A488" s="74" t="s">
        <v>113</v>
      </c>
      <c r="B488" s="74" t="s">
        <v>232</v>
      </c>
      <c r="C488" s="74" t="s">
        <v>233</v>
      </c>
      <c r="D488" s="88" t="s">
        <v>82</v>
      </c>
      <c r="E488" s="74" t="s">
        <v>83</v>
      </c>
      <c r="F488" s="86" t="s">
        <v>123</v>
      </c>
      <c r="G488" s="74" t="s">
        <v>209</v>
      </c>
      <c r="H488" s="87">
        <v>44408</v>
      </c>
      <c r="I488" s="94">
        <v>2548.39</v>
      </c>
      <c r="J488" s="94">
        <v>1911.29</v>
      </c>
      <c r="K488" s="94">
        <v>637.1</v>
      </c>
    </row>
    <row r="489" spans="1:11">
      <c r="A489" s="74" t="s">
        <v>113</v>
      </c>
      <c r="B489" s="74" t="s">
        <v>234</v>
      </c>
      <c r="C489" s="74" t="s">
        <v>235</v>
      </c>
      <c r="D489" s="88" t="s">
        <v>82</v>
      </c>
      <c r="E489" s="74" t="s">
        <v>83</v>
      </c>
      <c r="F489" s="86" t="s">
        <v>116</v>
      </c>
      <c r="G489" s="74" t="s">
        <v>209</v>
      </c>
      <c r="H489" s="87">
        <v>44408</v>
      </c>
      <c r="I489" s="94">
        <v>3343.84</v>
      </c>
      <c r="J489" s="94">
        <v>2507.88</v>
      </c>
      <c r="K489" s="94">
        <v>835.96</v>
      </c>
    </row>
    <row r="490" spans="1:11">
      <c r="A490" s="74" t="s">
        <v>113</v>
      </c>
      <c r="B490" s="74" t="s">
        <v>236</v>
      </c>
      <c r="C490" s="74" t="s">
        <v>237</v>
      </c>
      <c r="D490" s="88" t="s">
        <v>82</v>
      </c>
      <c r="E490" s="74" t="s">
        <v>83</v>
      </c>
      <c r="F490" s="86" t="s">
        <v>120</v>
      </c>
      <c r="G490" s="74" t="s">
        <v>209</v>
      </c>
      <c r="H490" s="87">
        <v>44408</v>
      </c>
      <c r="I490" s="94">
        <v>2816.24</v>
      </c>
      <c r="J490" s="94">
        <v>2112.18</v>
      </c>
      <c r="K490" s="94">
        <v>704.06</v>
      </c>
    </row>
    <row r="491" spans="1:11">
      <c r="A491" s="74" t="s">
        <v>113</v>
      </c>
      <c r="B491" s="74" t="s">
        <v>238</v>
      </c>
      <c r="C491" s="74" t="s">
        <v>239</v>
      </c>
      <c r="D491" s="74" t="s">
        <v>86</v>
      </c>
      <c r="E491" s="74" t="s">
        <v>87</v>
      </c>
      <c r="F491" s="86" t="s">
        <v>204</v>
      </c>
      <c r="G491" s="74" t="s">
        <v>240</v>
      </c>
      <c r="H491" s="87">
        <v>44408</v>
      </c>
      <c r="I491" s="94">
        <v>5708.48</v>
      </c>
      <c r="J491" s="94">
        <v>4281.36</v>
      </c>
      <c r="K491" s="94">
        <v>1427.12</v>
      </c>
    </row>
    <row r="492" spans="1:11">
      <c r="A492" s="74" t="s">
        <v>113</v>
      </c>
      <c r="B492" s="74" t="s">
        <v>241</v>
      </c>
      <c r="C492" s="74" t="s">
        <v>242</v>
      </c>
      <c r="D492" s="74" t="s">
        <v>86</v>
      </c>
      <c r="E492" s="74" t="s">
        <v>87</v>
      </c>
      <c r="F492" s="86" t="s">
        <v>243</v>
      </c>
      <c r="G492" s="74" t="s">
        <v>244</v>
      </c>
      <c r="H492" s="87">
        <v>44408</v>
      </c>
      <c r="I492" s="94">
        <v>4341.6</v>
      </c>
      <c r="J492" s="94">
        <v>3256.2</v>
      </c>
      <c r="K492" s="94">
        <v>1085.4</v>
      </c>
    </row>
    <row r="493" spans="1:11">
      <c r="A493" s="74" t="s">
        <v>113</v>
      </c>
      <c r="B493" s="74" t="s">
        <v>245</v>
      </c>
      <c r="C493" s="74" t="s">
        <v>246</v>
      </c>
      <c r="D493" s="74" t="s">
        <v>86</v>
      </c>
      <c r="E493" s="74" t="s">
        <v>87</v>
      </c>
      <c r="F493" s="86" t="s">
        <v>247</v>
      </c>
      <c r="G493" s="74" t="s">
        <v>248</v>
      </c>
      <c r="H493" s="87">
        <v>44408</v>
      </c>
      <c r="I493" s="94">
        <v>3866.2</v>
      </c>
      <c r="J493" s="94">
        <v>2899.65</v>
      </c>
      <c r="K493" s="94">
        <v>966.55</v>
      </c>
    </row>
    <row r="494" spans="1:11">
      <c r="A494" s="74" t="s">
        <v>113</v>
      </c>
      <c r="B494" s="74" t="s">
        <v>249</v>
      </c>
      <c r="C494" s="74" t="s">
        <v>250</v>
      </c>
      <c r="D494" s="74" t="s">
        <v>86</v>
      </c>
      <c r="E494" s="74" t="s">
        <v>87</v>
      </c>
      <c r="F494" s="86" t="s">
        <v>251</v>
      </c>
      <c r="G494" s="74" t="s">
        <v>252</v>
      </c>
      <c r="H494" s="87">
        <v>44408</v>
      </c>
      <c r="I494" s="94">
        <v>3672.58</v>
      </c>
      <c r="J494" s="94">
        <v>2754.44</v>
      </c>
      <c r="K494" s="94">
        <v>918.14</v>
      </c>
    </row>
    <row r="495" spans="1:11">
      <c r="A495" s="74" t="s">
        <v>113</v>
      </c>
      <c r="B495" s="74" t="s">
        <v>253</v>
      </c>
      <c r="C495" s="74" t="s">
        <v>254</v>
      </c>
      <c r="D495" s="74" t="s">
        <v>86</v>
      </c>
      <c r="E495" s="74" t="s">
        <v>87</v>
      </c>
      <c r="F495" s="86" t="s">
        <v>255</v>
      </c>
      <c r="G495" s="74" t="s">
        <v>252</v>
      </c>
      <c r="H495" s="87">
        <v>44408</v>
      </c>
      <c r="I495" s="94">
        <v>3152.69</v>
      </c>
      <c r="J495" s="94">
        <v>2364.52</v>
      </c>
      <c r="K495" s="94">
        <v>788.17</v>
      </c>
    </row>
    <row r="496" spans="1:11">
      <c r="A496" s="74" t="s">
        <v>113</v>
      </c>
      <c r="B496" s="74" t="s">
        <v>256</v>
      </c>
      <c r="C496" s="74" t="s">
        <v>257</v>
      </c>
      <c r="D496" s="74" t="s">
        <v>86</v>
      </c>
      <c r="E496" s="74" t="s">
        <v>87</v>
      </c>
      <c r="F496" s="86" t="s">
        <v>258</v>
      </c>
      <c r="G496" s="74" t="s">
        <v>252</v>
      </c>
      <c r="H496" s="87">
        <v>44408</v>
      </c>
      <c r="I496" s="94">
        <v>2936.81</v>
      </c>
      <c r="J496" s="94">
        <v>2202.61</v>
      </c>
      <c r="K496" s="94">
        <v>734.2</v>
      </c>
    </row>
    <row r="497" spans="1:11">
      <c r="A497" s="74" t="s">
        <v>113</v>
      </c>
      <c r="B497" s="74" t="s">
        <v>259</v>
      </c>
      <c r="C497" s="74" t="s">
        <v>260</v>
      </c>
      <c r="D497" s="74" t="s">
        <v>86</v>
      </c>
      <c r="E497" s="74" t="s">
        <v>87</v>
      </c>
      <c r="F497" s="86" t="s">
        <v>261</v>
      </c>
      <c r="G497" s="74" t="s">
        <v>262</v>
      </c>
      <c r="H497" s="87">
        <v>44408</v>
      </c>
      <c r="I497" s="94">
        <v>2714.05</v>
      </c>
      <c r="J497" s="94">
        <v>2035.54</v>
      </c>
      <c r="K497" s="94">
        <v>678.51</v>
      </c>
    </row>
    <row r="498" spans="1:11">
      <c r="A498" s="74" t="s">
        <v>113</v>
      </c>
      <c r="B498" s="74" t="s">
        <v>263</v>
      </c>
      <c r="C498" s="74" t="s">
        <v>264</v>
      </c>
      <c r="D498" s="74" t="s">
        <v>86</v>
      </c>
      <c r="E498" s="74" t="s">
        <v>88</v>
      </c>
      <c r="F498" s="86" t="s">
        <v>149</v>
      </c>
      <c r="G498" s="74" t="s">
        <v>265</v>
      </c>
      <c r="H498" s="87">
        <v>44408</v>
      </c>
      <c r="I498" s="94">
        <v>5690.09</v>
      </c>
      <c r="J498" s="94">
        <v>4267.57</v>
      </c>
      <c r="K498" s="94">
        <v>1422.52</v>
      </c>
    </row>
    <row r="499" spans="1:11">
      <c r="A499" s="74" t="s">
        <v>113</v>
      </c>
      <c r="B499" s="74" t="s">
        <v>266</v>
      </c>
      <c r="C499" s="74" t="s">
        <v>267</v>
      </c>
      <c r="D499" s="74" t="s">
        <v>86</v>
      </c>
      <c r="E499" s="74" t="s">
        <v>88</v>
      </c>
      <c r="F499" s="86" t="s">
        <v>243</v>
      </c>
      <c r="G499" s="74" t="s">
        <v>268</v>
      </c>
      <c r="H499" s="87">
        <v>44408</v>
      </c>
      <c r="I499" s="94">
        <v>4444.74</v>
      </c>
      <c r="J499" s="94">
        <v>3333.56</v>
      </c>
      <c r="K499" s="94">
        <v>1111.18</v>
      </c>
    </row>
    <row r="500" spans="1:11">
      <c r="A500" s="74" t="s">
        <v>113</v>
      </c>
      <c r="B500" s="74" t="s">
        <v>269</v>
      </c>
      <c r="C500" s="74" t="s">
        <v>270</v>
      </c>
      <c r="D500" s="74" t="s">
        <v>86</v>
      </c>
      <c r="E500" s="74" t="s">
        <v>88</v>
      </c>
      <c r="F500" s="86" t="s">
        <v>247</v>
      </c>
      <c r="G500" s="74" t="s">
        <v>268</v>
      </c>
      <c r="H500" s="87">
        <v>44408</v>
      </c>
      <c r="I500" s="94">
        <v>3939.5</v>
      </c>
      <c r="J500" s="94">
        <v>2954.63</v>
      </c>
      <c r="K500" s="94">
        <v>984.87</v>
      </c>
    </row>
    <row r="501" spans="1:11">
      <c r="A501" s="74" t="s">
        <v>113</v>
      </c>
      <c r="B501" s="74" t="s">
        <v>271</v>
      </c>
      <c r="C501" s="74" t="s">
        <v>272</v>
      </c>
      <c r="D501" s="74" t="s">
        <v>86</v>
      </c>
      <c r="E501" s="74" t="s">
        <v>88</v>
      </c>
      <c r="F501" s="86" t="s">
        <v>251</v>
      </c>
      <c r="G501" s="74" t="s">
        <v>268</v>
      </c>
      <c r="H501" s="87">
        <v>44408</v>
      </c>
      <c r="I501" s="94">
        <v>3659.06</v>
      </c>
      <c r="J501" s="94">
        <v>2744.3</v>
      </c>
      <c r="K501" s="94">
        <v>914.76</v>
      </c>
    </row>
    <row r="502" spans="1:11">
      <c r="A502" s="74" t="s">
        <v>113</v>
      </c>
      <c r="B502" s="74" t="s">
        <v>273</v>
      </c>
      <c r="C502" s="74" t="s">
        <v>274</v>
      </c>
      <c r="D502" s="74" t="s">
        <v>86</v>
      </c>
      <c r="E502" s="74" t="s">
        <v>88</v>
      </c>
      <c r="F502" s="86" t="s">
        <v>255</v>
      </c>
      <c r="G502" s="74" t="s">
        <v>268</v>
      </c>
      <c r="H502" s="87">
        <v>44408</v>
      </c>
      <c r="I502" s="94">
        <v>3127.27</v>
      </c>
      <c r="J502" s="94">
        <v>2345.45</v>
      </c>
      <c r="K502" s="94">
        <v>781.82</v>
      </c>
    </row>
    <row r="503" spans="1:11">
      <c r="A503" s="74" t="s">
        <v>113</v>
      </c>
      <c r="B503" s="74" t="s">
        <v>275</v>
      </c>
      <c r="C503" s="74" t="s">
        <v>276</v>
      </c>
      <c r="D503" s="74" t="s">
        <v>86</v>
      </c>
      <c r="E503" s="74" t="s">
        <v>88</v>
      </c>
      <c r="F503" s="86" t="s">
        <v>258</v>
      </c>
      <c r="G503" s="74" t="s">
        <v>268</v>
      </c>
      <c r="H503" s="87">
        <v>44408</v>
      </c>
      <c r="I503" s="94">
        <v>3018.75</v>
      </c>
      <c r="J503" s="94">
        <v>2264.06</v>
      </c>
      <c r="K503" s="94">
        <v>754.69</v>
      </c>
    </row>
    <row r="504" spans="1:11">
      <c r="A504" s="74" t="s">
        <v>113</v>
      </c>
      <c r="B504" s="74" t="s">
        <v>277</v>
      </c>
      <c r="C504" s="74" t="s">
        <v>278</v>
      </c>
      <c r="D504" s="74" t="s">
        <v>86</v>
      </c>
      <c r="E504" s="74" t="s">
        <v>89</v>
      </c>
      <c r="F504" s="86" t="s">
        <v>279</v>
      </c>
      <c r="G504" s="74" t="s">
        <v>280</v>
      </c>
      <c r="H504" s="87">
        <v>44408</v>
      </c>
      <c r="I504" s="94">
        <v>4967.63</v>
      </c>
      <c r="J504" s="94">
        <v>3725.72</v>
      </c>
      <c r="K504" s="94">
        <v>1241.91</v>
      </c>
    </row>
    <row r="505" spans="1:11">
      <c r="A505" s="74" t="s">
        <v>113</v>
      </c>
      <c r="B505" s="74" t="s">
        <v>281</v>
      </c>
      <c r="C505" s="74" t="s">
        <v>282</v>
      </c>
      <c r="D505" s="74" t="s">
        <v>86</v>
      </c>
      <c r="E505" s="74" t="s">
        <v>89</v>
      </c>
      <c r="F505" s="86" t="s">
        <v>225</v>
      </c>
      <c r="G505" s="74" t="s">
        <v>283</v>
      </c>
      <c r="H505" s="87">
        <v>44408</v>
      </c>
      <c r="I505" s="94">
        <v>3192.94</v>
      </c>
      <c r="J505" s="94">
        <v>2394.71</v>
      </c>
      <c r="K505" s="94">
        <v>798.23</v>
      </c>
    </row>
    <row r="506" spans="1:11">
      <c r="A506" s="74" t="s">
        <v>113</v>
      </c>
      <c r="B506" s="74" t="s">
        <v>284</v>
      </c>
      <c r="C506" s="74" t="s">
        <v>285</v>
      </c>
      <c r="D506" s="74" t="s">
        <v>86</v>
      </c>
      <c r="E506" s="74" t="s">
        <v>89</v>
      </c>
      <c r="F506" s="86" t="s">
        <v>208</v>
      </c>
      <c r="G506" s="74" t="s">
        <v>283</v>
      </c>
      <c r="H506" s="87">
        <v>44408</v>
      </c>
      <c r="I506" s="94">
        <v>3031.94</v>
      </c>
      <c r="J506" s="94">
        <v>2273.96</v>
      </c>
      <c r="K506" s="94">
        <v>757.98</v>
      </c>
    </row>
    <row r="507" spans="1:11">
      <c r="A507" s="74" t="s">
        <v>113</v>
      </c>
      <c r="B507" s="74" t="s">
        <v>286</v>
      </c>
      <c r="C507" s="74" t="s">
        <v>287</v>
      </c>
      <c r="D507" s="74" t="s">
        <v>82</v>
      </c>
      <c r="E507" s="88" t="s">
        <v>85</v>
      </c>
      <c r="F507" s="86" t="s">
        <v>288</v>
      </c>
      <c r="G507" s="74" t="s">
        <v>289</v>
      </c>
      <c r="H507" s="87">
        <v>44408</v>
      </c>
      <c r="I507" s="94">
        <v>4718.91</v>
      </c>
      <c r="J507" s="94">
        <v>3539.18</v>
      </c>
      <c r="K507" s="94">
        <v>1179.73</v>
      </c>
    </row>
    <row r="508" spans="1:11">
      <c r="A508" s="74" t="s">
        <v>113</v>
      </c>
      <c r="B508" s="74" t="s">
        <v>290</v>
      </c>
      <c r="C508" s="74" t="s">
        <v>291</v>
      </c>
      <c r="D508" s="74" t="s">
        <v>82</v>
      </c>
      <c r="E508" s="88" t="s">
        <v>85</v>
      </c>
      <c r="F508" s="86" t="s">
        <v>218</v>
      </c>
      <c r="G508" s="74" t="s">
        <v>289</v>
      </c>
      <c r="H508" s="87">
        <v>44408</v>
      </c>
      <c r="I508" s="94">
        <v>4514.34</v>
      </c>
      <c r="J508" s="94">
        <v>3385.76</v>
      </c>
      <c r="K508" s="94">
        <v>1128.58</v>
      </c>
    </row>
    <row r="509" spans="1:11">
      <c r="A509" s="74" t="s">
        <v>113</v>
      </c>
      <c r="B509" s="74" t="s">
        <v>292</v>
      </c>
      <c r="C509" s="74" t="s">
        <v>293</v>
      </c>
      <c r="D509" s="74" t="s">
        <v>82</v>
      </c>
      <c r="E509" s="88" t="s">
        <v>85</v>
      </c>
      <c r="F509" s="86" t="s">
        <v>225</v>
      </c>
      <c r="G509" s="74" t="s">
        <v>289</v>
      </c>
      <c r="H509" s="87">
        <v>44408</v>
      </c>
      <c r="I509" s="94">
        <v>4090.7</v>
      </c>
      <c r="J509" s="94">
        <v>3068.03</v>
      </c>
      <c r="K509" s="94">
        <v>1022.67</v>
      </c>
    </row>
    <row r="510" spans="1:11">
      <c r="A510" s="74" t="s">
        <v>113</v>
      </c>
      <c r="B510" s="74" t="s">
        <v>294</v>
      </c>
      <c r="C510" s="74" t="s">
        <v>295</v>
      </c>
      <c r="D510" s="74" t="s">
        <v>82</v>
      </c>
      <c r="E510" s="88" t="s">
        <v>85</v>
      </c>
      <c r="F510" s="86" t="s">
        <v>208</v>
      </c>
      <c r="G510" s="74" t="s">
        <v>289</v>
      </c>
      <c r="H510" s="87">
        <v>44408</v>
      </c>
      <c r="I510" s="94">
        <v>3603.47</v>
      </c>
      <c r="J510" s="94">
        <v>2702.6</v>
      </c>
      <c r="K510" s="94">
        <v>900.87</v>
      </c>
    </row>
    <row r="511" spans="1:11">
      <c r="A511" s="74" t="s">
        <v>113</v>
      </c>
      <c r="B511" s="74" t="s">
        <v>296</v>
      </c>
      <c r="C511" s="74" t="s">
        <v>297</v>
      </c>
      <c r="D511" s="74" t="s">
        <v>82</v>
      </c>
      <c r="E511" s="88" t="s">
        <v>85</v>
      </c>
      <c r="F511" s="86" t="s">
        <v>116</v>
      </c>
      <c r="G511" s="74" t="s">
        <v>289</v>
      </c>
      <c r="H511" s="87">
        <v>44408</v>
      </c>
      <c r="I511" s="94">
        <v>3343.94</v>
      </c>
      <c r="J511" s="94">
        <v>2507.96</v>
      </c>
      <c r="K511" s="94">
        <v>835.98</v>
      </c>
    </row>
    <row r="512" spans="1:11">
      <c r="A512" s="74" t="s">
        <v>113</v>
      </c>
      <c r="B512" s="74" t="s">
        <v>298</v>
      </c>
      <c r="C512" s="74" t="s">
        <v>299</v>
      </c>
      <c r="D512" s="74" t="s">
        <v>82</v>
      </c>
      <c r="E512" s="88" t="s">
        <v>85</v>
      </c>
      <c r="F512" s="86" t="s">
        <v>279</v>
      </c>
      <c r="G512" s="74" t="s">
        <v>300</v>
      </c>
      <c r="H512" s="87">
        <v>44408</v>
      </c>
      <c r="I512" s="94">
        <v>6156.52</v>
      </c>
      <c r="J512" s="94">
        <v>4617.39</v>
      </c>
      <c r="K512" s="94">
        <v>1539.13</v>
      </c>
    </row>
    <row r="513" spans="1:11">
      <c r="A513" s="74" t="s">
        <v>113</v>
      </c>
      <c r="B513" s="74" t="s">
        <v>301</v>
      </c>
      <c r="C513" s="74" t="s">
        <v>302</v>
      </c>
      <c r="D513" s="74" t="s">
        <v>82</v>
      </c>
      <c r="E513" s="88" t="s">
        <v>85</v>
      </c>
      <c r="F513" s="86" t="s">
        <v>279</v>
      </c>
      <c r="G513" s="74" t="s">
        <v>303</v>
      </c>
      <c r="H513" s="87">
        <v>44408</v>
      </c>
      <c r="I513" s="94">
        <v>6167.79</v>
      </c>
      <c r="J513" s="94">
        <v>4625.84</v>
      </c>
      <c r="K513" s="94">
        <v>1541.95</v>
      </c>
    </row>
    <row r="514" spans="1:11">
      <c r="A514" s="74" t="s">
        <v>113</v>
      </c>
      <c r="B514" s="74" t="s">
        <v>304</v>
      </c>
      <c r="C514" s="74" t="s">
        <v>305</v>
      </c>
      <c r="D514" s="74" t="s">
        <v>86</v>
      </c>
      <c r="E514" s="74" t="s">
        <v>90</v>
      </c>
      <c r="F514" s="86" t="s">
        <v>306</v>
      </c>
      <c r="G514" s="74" t="s">
        <v>307</v>
      </c>
      <c r="H514" s="87">
        <v>44408</v>
      </c>
      <c r="I514" s="94">
        <v>6785.25</v>
      </c>
      <c r="J514" s="94">
        <v>5088.94</v>
      </c>
      <c r="K514" s="94">
        <v>1696.31</v>
      </c>
    </row>
    <row r="515" spans="1:11">
      <c r="A515" s="74" t="s">
        <v>113</v>
      </c>
      <c r="B515" s="74" t="s">
        <v>114</v>
      </c>
      <c r="C515" s="74" t="s">
        <v>115</v>
      </c>
      <c r="D515" s="74" t="s">
        <v>79</v>
      </c>
      <c r="E515" s="74" t="s">
        <v>80</v>
      </c>
      <c r="F515" s="86" t="s">
        <v>116</v>
      </c>
      <c r="G515" s="74" t="s">
        <v>117</v>
      </c>
      <c r="H515" s="87">
        <v>44439</v>
      </c>
      <c r="I515" s="94">
        <v>3359.83</v>
      </c>
      <c r="J515" s="94">
        <v>2519.87</v>
      </c>
      <c r="K515" s="94">
        <v>839.96</v>
      </c>
    </row>
    <row r="516" spans="1:11">
      <c r="A516" s="74" t="s">
        <v>113</v>
      </c>
      <c r="B516" s="74" t="s">
        <v>118</v>
      </c>
      <c r="C516" s="74" t="s">
        <v>119</v>
      </c>
      <c r="D516" s="74" t="s">
        <v>79</v>
      </c>
      <c r="E516" s="74" t="s">
        <v>80</v>
      </c>
      <c r="F516" s="86" t="s">
        <v>120</v>
      </c>
      <c r="G516" s="74" t="s">
        <v>117</v>
      </c>
      <c r="H516" s="87">
        <v>44439</v>
      </c>
      <c r="I516" s="94">
        <v>3001.15</v>
      </c>
      <c r="J516" s="94">
        <v>2250.86</v>
      </c>
      <c r="K516" s="94">
        <v>750.29</v>
      </c>
    </row>
    <row r="517" spans="1:11">
      <c r="A517" s="74" t="s">
        <v>113</v>
      </c>
      <c r="B517" s="74" t="s">
        <v>121</v>
      </c>
      <c r="C517" s="74" t="s">
        <v>122</v>
      </c>
      <c r="D517" s="74" t="s">
        <v>79</v>
      </c>
      <c r="E517" s="74" t="s">
        <v>80</v>
      </c>
      <c r="F517" s="86" t="s">
        <v>123</v>
      </c>
      <c r="G517" s="74" t="s">
        <v>117</v>
      </c>
      <c r="H517" s="87">
        <v>44439</v>
      </c>
      <c r="I517" s="94">
        <v>2537.79</v>
      </c>
      <c r="J517" s="94">
        <v>1903.34</v>
      </c>
      <c r="K517" s="94">
        <v>634.45</v>
      </c>
    </row>
    <row r="518" spans="1:11">
      <c r="A518" s="74" t="s">
        <v>113</v>
      </c>
      <c r="B518" s="74" t="s">
        <v>124</v>
      </c>
      <c r="C518" s="74" t="s">
        <v>125</v>
      </c>
      <c r="D518" s="74" t="s">
        <v>79</v>
      </c>
      <c r="E518" s="74" t="s">
        <v>80</v>
      </c>
      <c r="F518" s="86" t="s">
        <v>116</v>
      </c>
      <c r="G518" s="74" t="s">
        <v>117</v>
      </c>
      <c r="H518" s="87">
        <v>44439</v>
      </c>
      <c r="I518" s="94">
        <v>3206.42</v>
      </c>
      <c r="J518" s="94">
        <v>2404.82</v>
      </c>
      <c r="K518" s="94">
        <v>801.6</v>
      </c>
    </row>
    <row r="519" spans="1:11">
      <c r="A519" s="74" t="s">
        <v>113</v>
      </c>
      <c r="B519" s="74" t="s">
        <v>126</v>
      </c>
      <c r="C519" s="74" t="s">
        <v>127</v>
      </c>
      <c r="D519" s="74" t="s">
        <v>79</v>
      </c>
      <c r="E519" s="74" t="s">
        <v>80</v>
      </c>
      <c r="F519" s="86" t="s">
        <v>120</v>
      </c>
      <c r="G519" s="74" t="s">
        <v>117</v>
      </c>
      <c r="H519" s="87">
        <v>44439</v>
      </c>
      <c r="I519" s="94">
        <v>2918.44</v>
      </c>
      <c r="J519" s="94">
        <v>2188.83</v>
      </c>
      <c r="K519" s="94">
        <v>729.61</v>
      </c>
    </row>
    <row r="520" spans="1:11">
      <c r="A520" s="74" t="s">
        <v>113</v>
      </c>
      <c r="B520" s="74" t="s">
        <v>128</v>
      </c>
      <c r="C520" s="74" t="s">
        <v>129</v>
      </c>
      <c r="D520" s="74" t="s">
        <v>79</v>
      </c>
      <c r="E520" s="74" t="s">
        <v>80</v>
      </c>
      <c r="F520" s="86" t="s">
        <v>123</v>
      </c>
      <c r="G520" s="74" t="s">
        <v>117</v>
      </c>
      <c r="H520" s="87">
        <v>44439</v>
      </c>
      <c r="I520" s="94">
        <v>2377</v>
      </c>
      <c r="J520" s="94">
        <v>1782.75</v>
      </c>
      <c r="K520" s="94">
        <v>594.25</v>
      </c>
    </row>
    <row r="521" spans="1:11">
      <c r="A521" s="74" t="s">
        <v>113</v>
      </c>
      <c r="B521" s="74" t="s">
        <v>130</v>
      </c>
      <c r="C521" s="74" t="s">
        <v>131</v>
      </c>
      <c r="D521" s="74" t="s">
        <v>79</v>
      </c>
      <c r="E521" s="74" t="s">
        <v>80</v>
      </c>
      <c r="F521" s="86" t="s">
        <v>116</v>
      </c>
      <c r="G521" s="74" t="s">
        <v>117</v>
      </c>
      <c r="H521" s="87">
        <v>44439</v>
      </c>
      <c r="I521" s="94">
        <v>3209.48</v>
      </c>
      <c r="J521" s="94">
        <v>2407.11</v>
      </c>
      <c r="K521" s="94">
        <v>802.37</v>
      </c>
    </row>
    <row r="522" spans="1:11">
      <c r="A522" s="74" t="s">
        <v>113</v>
      </c>
      <c r="B522" s="74" t="s">
        <v>132</v>
      </c>
      <c r="C522" s="74" t="s">
        <v>133</v>
      </c>
      <c r="D522" s="74" t="s">
        <v>79</v>
      </c>
      <c r="E522" s="74" t="s">
        <v>80</v>
      </c>
      <c r="F522" s="86" t="s">
        <v>120</v>
      </c>
      <c r="G522" s="74" t="s">
        <v>117</v>
      </c>
      <c r="H522" s="87">
        <v>44439</v>
      </c>
      <c r="I522" s="94">
        <v>2795.87</v>
      </c>
      <c r="J522" s="94">
        <v>2096.9</v>
      </c>
      <c r="K522" s="94">
        <v>698.97</v>
      </c>
    </row>
    <row r="523" spans="1:11">
      <c r="A523" s="74" t="s">
        <v>113</v>
      </c>
      <c r="B523" s="74" t="s">
        <v>134</v>
      </c>
      <c r="C523" s="74" t="s">
        <v>135</v>
      </c>
      <c r="D523" s="74" t="s">
        <v>79</v>
      </c>
      <c r="E523" s="74" t="s">
        <v>80</v>
      </c>
      <c r="F523" s="86" t="s">
        <v>123</v>
      </c>
      <c r="G523" s="74" t="s">
        <v>117</v>
      </c>
      <c r="H523" s="87">
        <v>44439</v>
      </c>
      <c r="I523" s="94">
        <v>2443.1</v>
      </c>
      <c r="J523" s="94">
        <v>1832.33</v>
      </c>
      <c r="K523" s="94">
        <v>610.77</v>
      </c>
    </row>
    <row r="524" spans="1:11">
      <c r="A524" s="74" t="s">
        <v>113</v>
      </c>
      <c r="B524" s="74" t="s">
        <v>136</v>
      </c>
      <c r="C524" s="74" t="s">
        <v>137</v>
      </c>
      <c r="D524" s="74" t="s">
        <v>79</v>
      </c>
      <c r="E524" s="74" t="s">
        <v>80</v>
      </c>
      <c r="F524" s="86" t="s">
        <v>116</v>
      </c>
      <c r="G524" s="74" t="s">
        <v>138</v>
      </c>
      <c r="H524" s="87">
        <v>44439</v>
      </c>
      <c r="I524" s="94">
        <v>3323.79</v>
      </c>
      <c r="J524" s="94">
        <v>2492.84</v>
      </c>
      <c r="K524" s="94">
        <v>830.95</v>
      </c>
    </row>
    <row r="525" spans="1:11">
      <c r="A525" s="74" t="s">
        <v>113</v>
      </c>
      <c r="B525" s="74" t="s">
        <v>139</v>
      </c>
      <c r="C525" s="74" t="s">
        <v>140</v>
      </c>
      <c r="D525" s="74" t="s">
        <v>79</v>
      </c>
      <c r="E525" s="74" t="s">
        <v>80</v>
      </c>
      <c r="F525" s="86" t="s">
        <v>120</v>
      </c>
      <c r="G525" s="74" t="s">
        <v>138</v>
      </c>
      <c r="H525" s="87">
        <v>44439</v>
      </c>
      <c r="I525" s="94">
        <v>2892.87</v>
      </c>
      <c r="J525" s="94">
        <v>2169.65</v>
      </c>
      <c r="K525" s="94">
        <v>723.22</v>
      </c>
    </row>
    <row r="526" spans="1:11">
      <c r="A526" s="74" t="s">
        <v>113</v>
      </c>
      <c r="B526" s="74" t="s">
        <v>141</v>
      </c>
      <c r="C526" s="74" t="s">
        <v>142</v>
      </c>
      <c r="D526" s="74" t="s">
        <v>79</v>
      </c>
      <c r="E526" s="74" t="s">
        <v>80</v>
      </c>
      <c r="F526" s="86" t="s">
        <v>123</v>
      </c>
      <c r="G526" s="74" t="s">
        <v>138</v>
      </c>
      <c r="H526" s="87">
        <v>44439</v>
      </c>
      <c r="I526" s="94">
        <v>2448.36</v>
      </c>
      <c r="J526" s="94">
        <v>1836.27</v>
      </c>
      <c r="K526" s="94">
        <v>612.09</v>
      </c>
    </row>
    <row r="527" spans="1:11">
      <c r="A527" s="74" t="s">
        <v>113</v>
      </c>
      <c r="B527" s="74" t="s">
        <v>143</v>
      </c>
      <c r="C527" s="74" t="s">
        <v>144</v>
      </c>
      <c r="D527" s="74" t="s">
        <v>79</v>
      </c>
      <c r="E527" s="74" t="s">
        <v>80</v>
      </c>
      <c r="F527" s="86" t="s">
        <v>145</v>
      </c>
      <c r="G527" s="74" t="s">
        <v>146</v>
      </c>
      <c r="H527" s="87">
        <v>44439</v>
      </c>
      <c r="I527" s="94">
        <v>7498.66</v>
      </c>
      <c r="J527" s="94">
        <v>5624</v>
      </c>
      <c r="K527" s="94">
        <v>1874.66</v>
      </c>
    </row>
    <row r="528" spans="1:11">
      <c r="A528" s="74" t="s">
        <v>113</v>
      </c>
      <c r="B528" s="74" t="s">
        <v>147</v>
      </c>
      <c r="C528" s="74" t="s">
        <v>148</v>
      </c>
      <c r="D528" s="74" t="s">
        <v>79</v>
      </c>
      <c r="E528" s="74" t="s">
        <v>80</v>
      </c>
      <c r="F528" s="86" t="s">
        <v>149</v>
      </c>
      <c r="G528" s="74" t="s">
        <v>150</v>
      </c>
      <c r="H528" s="87">
        <v>44439</v>
      </c>
      <c r="I528" s="94">
        <v>6712.1</v>
      </c>
      <c r="J528" s="94">
        <v>5034.08</v>
      </c>
      <c r="K528" s="94">
        <v>1678.02</v>
      </c>
    </row>
    <row r="529" spans="1:11">
      <c r="A529" s="74" t="s">
        <v>113</v>
      </c>
      <c r="B529" s="74" t="s">
        <v>151</v>
      </c>
      <c r="C529" s="74" t="s">
        <v>152</v>
      </c>
      <c r="D529" s="74" t="s">
        <v>79</v>
      </c>
      <c r="E529" s="74" t="s">
        <v>81</v>
      </c>
      <c r="F529" s="86" t="s">
        <v>123</v>
      </c>
      <c r="G529" s="74" t="s">
        <v>153</v>
      </c>
      <c r="H529" s="87">
        <v>44439</v>
      </c>
      <c r="I529" s="94">
        <v>2553.71</v>
      </c>
      <c r="J529" s="94">
        <v>1915.28</v>
      </c>
      <c r="K529" s="94">
        <v>638.43</v>
      </c>
    </row>
    <row r="530" spans="1:11">
      <c r="A530" s="74" t="s">
        <v>113</v>
      </c>
      <c r="B530" s="74" t="s">
        <v>154</v>
      </c>
      <c r="C530" s="74" t="s">
        <v>155</v>
      </c>
      <c r="D530" s="74" t="s">
        <v>79</v>
      </c>
      <c r="E530" s="74" t="s">
        <v>81</v>
      </c>
      <c r="F530" s="86" t="s">
        <v>156</v>
      </c>
      <c r="G530" s="74" t="s">
        <v>157</v>
      </c>
      <c r="H530" s="87">
        <v>44439</v>
      </c>
      <c r="I530" s="94">
        <v>2025.81</v>
      </c>
      <c r="J530" s="94">
        <v>1519.36</v>
      </c>
      <c r="K530" s="94">
        <v>506.45</v>
      </c>
    </row>
    <row r="531" spans="1:11">
      <c r="A531" s="74" t="s">
        <v>113</v>
      </c>
      <c r="B531" s="74" t="s">
        <v>158</v>
      </c>
      <c r="C531" s="74" t="s">
        <v>159</v>
      </c>
      <c r="D531" s="74" t="s">
        <v>79</v>
      </c>
      <c r="E531" s="74" t="s">
        <v>81</v>
      </c>
      <c r="F531" s="86" t="s">
        <v>160</v>
      </c>
      <c r="G531" s="74" t="s">
        <v>161</v>
      </c>
      <c r="H531" s="87">
        <v>44439</v>
      </c>
      <c r="I531" s="94">
        <v>1670.56</v>
      </c>
      <c r="J531" s="94">
        <v>1252.92</v>
      </c>
      <c r="K531" s="94">
        <v>417.64</v>
      </c>
    </row>
    <row r="532" spans="1:11">
      <c r="A532" s="74" t="s">
        <v>113</v>
      </c>
      <c r="B532" s="74" t="s">
        <v>162</v>
      </c>
      <c r="C532" s="74" t="s">
        <v>163</v>
      </c>
      <c r="D532" s="74" t="s">
        <v>79</v>
      </c>
      <c r="E532" s="74" t="s">
        <v>81</v>
      </c>
      <c r="F532" s="86" t="s">
        <v>123</v>
      </c>
      <c r="G532" s="74" t="s">
        <v>153</v>
      </c>
      <c r="H532" s="87">
        <v>44439</v>
      </c>
      <c r="I532" s="94">
        <v>2495.81</v>
      </c>
      <c r="J532" s="94">
        <v>1871.86</v>
      </c>
      <c r="K532" s="94">
        <v>623.95</v>
      </c>
    </row>
    <row r="533" spans="1:11">
      <c r="A533" s="74" t="s">
        <v>113</v>
      </c>
      <c r="B533" s="74" t="s">
        <v>164</v>
      </c>
      <c r="C533" s="74" t="s">
        <v>165</v>
      </c>
      <c r="D533" s="74" t="s">
        <v>79</v>
      </c>
      <c r="E533" s="74" t="s">
        <v>81</v>
      </c>
      <c r="F533" s="86" t="s">
        <v>156</v>
      </c>
      <c r="G533" s="74" t="s">
        <v>157</v>
      </c>
      <c r="H533" s="87">
        <v>44439</v>
      </c>
      <c r="I533" s="94">
        <v>2143.01</v>
      </c>
      <c r="J533" s="94">
        <v>1607.26</v>
      </c>
      <c r="K533" s="94">
        <v>535.75</v>
      </c>
    </row>
    <row r="534" spans="1:11">
      <c r="A534" s="74" t="s">
        <v>113</v>
      </c>
      <c r="B534" s="74" t="s">
        <v>166</v>
      </c>
      <c r="C534" s="74" t="s">
        <v>167</v>
      </c>
      <c r="D534" s="74" t="s">
        <v>79</v>
      </c>
      <c r="E534" s="74" t="s">
        <v>81</v>
      </c>
      <c r="F534" s="86" t="s">
        <v>160</v>
      </c>
      <c r="G534" s="74" t="s">
        <v>161</v>
      </c>
      <c r="H534" s="87">
        <v>44439</v>
      </c>
      <c r="I534" s="94">
        <v>1656.19</v>
      </c>
      <c r="J534" s="94">
        <v>1242.14</v>
      </c>
      <c r="K534" s="94">
        <v>414.05</v>
      </c>
    </row>
    <row r="535" spans="1:11">
      <c r="A535" s="74" t="s">
        <v>113</v>
      </c>
      <c r="B535" s="74" t="s">
        <v>168</v>
      </c>
      <c r="C535" s="74" t="s">
        <v>169</v>
      </c>
      <c r="D535" s="74" t="s">
        <v>79</v>
      </c>
      <c r="E535" s="74" t="s">
        <v>81</v>
      </c>
      <c r="F535" s="86" t="s">
        <v>123</v>
      </c>
      <c r="G535" s="74" t="s">
        <v>153</v>
      </c>
      <c r="H535" s="87">
        <v>44439</v>
      </c>
      <c r="I535" s="94">
        <v>2502.08</v>
      </c>
      <c r="J535" s="94">
        <v>1876.56</v>
      </c>
      <c r="K535" s="94">
        <v>625.52</v>
      </c>
    </row>
    <row r="536" spans="1:11">
      <c r="A536" s="74" t="s">
        <v>113</v>
      </c>
      <c r="B536" s="74" t="s">
        <v>170</v>
      </c>
      <c r="C536" s="74" t="s">
        <v>171</v>
      </c>
      <c r="D536" s="74" t="s">
        <v>79</v>
      </c>
      <c r="E536" s="74" t="s">
        <v>81</v>
      </c>
      <c r="F536" s="86" t="s">
        <v>156</v>
      </c>
      <c r="G536" s="74" t="s">
        <v>157</v>
      </c>
      <c r="H536" s="87">
        <v>44439</v>
      </c>
      <c r="I536" s="94">
        <v>2139.66</v>
      </c>
      <c r="J536" s="94">
        <v>1604.75</v>
      </c>
      <c r="K536" s="94">
        <v>534.91</v>
      </c>
    </row>
    <row r="537" spans="1:11">
      <c r="A537" s="74" t="s">
        <v>113</v>
      </c>
      <c r="B537" s="74" t="s">
        <v>172</v>
      </c>
      <c r="C537" s="74" t="s">
        <v>173</v>
      </c>
      <c r="D537" s="74" t="s">
        <v>79</v>
      </c>
      <c r="E537" s="74" t="s">
        <v>81</v>
      </c>
      <c r="F537" s="86" t="s">
        <v>160</v>
      </c>
      <c r="G537" s="74" t="s">
        <v>161</v>
      </c>
      <c r="H537" s="87">
        <v>44439</v>
      </c>
      <c r="I537" s="94">
        <v>1605.42</v>
      </c>
      <c r="J537" s="94">
        <v>1204.07</v>
      </c>
      <c r="K537" s="94">
        <v>401.35</v>
      </c>
    </row>
    <row r="538" spans="1:11">
      <c r="A538" s="74" t="s">
        <v>113</v>
      </c>
      <c r="B538" s="74" t="s">
        <v>174</v>
      </c>
      <c r="C538" s="74" t="s">
        <v>175</v>
      </c>
      <c r="D538" s="74" t="s">
        <v>79</v>
      </c>
      <c r="E538" s="74" t="s">
        <v>81</v>
      </c>
      <c r="F538" s="86" t="s">
        <v>176</v>
      </c>
      <c r="G538" s="74" t="s">
        <v>177</v>
      </c>
      <c r="H538" s="87">
        <v>44439</v>
      </c>
      <c r="I538" s="94">
        <v>1286.24</v>
      </c>
      <c r="J538" s="94">
        <v>964.68</v>
      </c>
      <c r="K538" s="94">
        <v>321.56</v>
      </c>
    </row>
    <row r="539" spans="1:11">
      <c r="A539" s="74" t="s">
        <v>113</v>
      </c>
      <c r="B539" s="74" t="s">
        <v>178</v>
      </c>
      <c r="C539" s="74" t="s">
        <v>179</v>
      </c>
      <c r="D539" s="74" t="s">
        <v>79</v>
      </c>
      <c r="E539" s="74" t="s">
        <v>81</v>
      </c>
      <c r="F539" s="86" t="s">
        <v>180</v>
      </c>
      <c r="G539" s="74" t="s">
        <v>177</v>
      </c>
      <c r="H539" s="87">
        <v>44439</v>
      </c>
      <c r="I539" s="94">
        <v>781.88</v>
      </c>
      <c r="J539" s="94">
        <v>586.41</v>
      </c>
      <c r="K539" s="94">
        <v>195.47</v>
      </c>
    </row>
    <row r="540" spans="1:11">
      <c r="A540" s="74" t="s">
        <v>113</v>
      </c>
      <c r="B540" s="74" t="s">
        <v>181</v>
      </c>
      <c r="C540" s="74" t="s">
        <v>182</v>
      </c>
      <c r="D540" s="74" t="s">
        <v>79</v>
      </c>
      <c r="E540" s="74" t="s">
        <v>81</v>
      </c>
      <c r="F540" s="86" t="s">
        <v>183</v>
      </c>
      <c r="G540" s="74" t="s">
        <v>177</v>
      </c>
      <c r="H540" s="87">
        <v>44439</v>
      </c>
      <c r="I540" s="94">
        <v>424.32</v>
      </c>
      <c r="J540" s="94">
        <v>318.24</v>
      </c>
      <c r="K540" s="94">
        <v>106.08</v>
      </c>
    </row>
    <row r="541" spans="1:11">
      <c r="A541" s="74" t="s">
        <v>113</v>
      </c>
      <c r="B541" s="74" t="s">
        <v>184</v>
      </c>
      <c r="C541" s="74" t="s">
        <v>185</v>
      </c>
      <c r="D541" s="74" t="s">
        <v>79</v>
      </c>
      <c r="E541" s="74" t="s">
        <v>81</v>
      </c>
      <c r="F541" s="86" t="s">
        <v>176</v>
      </c>
      <c r="G541" s="74" t="s">
        <v>177</v>
      </c>
      <c r="H541" s="87">
        <v>44439</v>
      </c>
      <c r="I541" s="94">
        <v>1177</v>
      </c>
      <c r="J541" s="94">
        <v>882.75</v>
      </c>
      <c r="K541" s="94">
        <v>294.25</v>
      </c>
    </row>
    <row r="542" spans="1:11">
      <c r="A542" s="74" t="s">
        <v>113</v>
      </c>
      <c r="B542" s="74" t="s">
        <v>186</v>
      </c>
      <c r="C542" s="74" t="s">
        <v>187</v>
      </c>
      <c r="D542" s="74" t="s">
        <v>79</v>
      </c>
      <c r="E542" s="74" t="s">
        <v>81</v>
      </c>
      <c r="F542" s="86" t="s">
        <v>180</v>
      </c>
      <c r="G542" s="74" t="s">
        <v>177</v>
      </c>
      <c r="H542" s="87">
        <v>44439</v>
      </c>
      <c r="I542" s="94">
        <v>836.48</v>
      </c>
      <c r="J542" s="94">
        <v>627.36</v>
      </c>
      <c r="K542" s="94">
        <v>209.12</v>
      </c>
    </row>
    <row r="543" spans="1:11">
      <c r="A543" s="74" t="s">
        <v>113</v>
      </c>
      <c r="B543" s="74" t="s">
        <v>188</v>
      </c>
      <c r="C543" s="74" t="s">
        <v>189</v>
      </c>
      <c r="D543" s="74" t="s">
        <v>79</v>
      </c>
      <c r="E543" s="74" t="s">
        <v>81</v>
      </c>
      <c r="F543" s="86" t="s">
        <v>183</v>
      </c>
      <c r="G543" s="74" t="s">
        <v>177</v>
      </c>
      <c r="H543" s="87">
        <v>44439</v>
      </c>
      <c r="I543" s="94">
        <v>401.43</v>
      </c>
      <c r="J543" s="94">
        <v>301.07</v>
      </c>
      <c r="K543" s="94">
        <v>100.36</v>
      </c>
    </row>
    <row r="544" spans="1:11">
      <c r="A544" s="74" t="s">
        <v>113</v>
      </c>
      <c r="B544" s="74" t="s">
        <v>190</v>
      </c>
      <c r="C544" s="74" t="s">
        <v>191</v>
      </c>
      <c r="D544" s="74" t="s">
        <v>79</v>
      </c>
      <c r="E544" s="74" t="s">
        <v>81</v>
      </c>
      <c r="F544" s="86" t="s">
        <v>176</v>
      </c>
      <c r="G544" s="74" t="s">
        <v>177</v>
      </c>
      <c r="H544" s="87">
        <v>44439</v>
      </c>
      <c r="I544" s="94">
        <v>1226.06</v>
      </c>
      <c r="J544" s="94">
        <v>919.55</v>
      </c>
      <c r="K544" s="94">
        <v>306.51</v>
      </c>
    </row>
    <row r="545" spans="1:11">
      <c r="A545" s="74" t="s">
        <v>113</v>
      </c>
      <c r="B545" s="74" t="s">
        <v>192</v>
      </c>
      <c r="C545" s="74" t="s">
        <v>193</v>
      </c>
      <c r="D545" s="74" t="s">
        <v>79</v>
      </c>
      <c r="E545" s="74" t="s">
        <v>81</v>
      </c>
      <c r="F545" s="86" t="s">
        <v>180</v>
      </c>
      <c r="G545" s="74" t="s">
        <v>177</v>
      </c>
      <c r="H545" s="87">
        <v>44439</v>
      </c>
      <c r="I545" s="94">
        <v>822.16</v>
      </c>
      <c r="J545" s="94">
        <v>616.62</v>
      </c>
      <c r="K545" s="94">
        <v>205.54</v>
      </c>
    </row>
    <row r="546" spans="1:11">
      <c r="A546" s="74" t="s">
        <v>113</v>
      </c>
      <c r="B546" s="74" t="s">
        <v>194</v>
      </c>
      <c r="C546" s="74" t="s">
        <v>195</v>
      </c>
      <c r="D546" s="74" t="s">
        <v>79</v>
      </c>
      <c r="E546" s="74" t="s">
        <v>81</v>
      </c>
      <c r="F546" s="86" t="s">
        <v>183</v>
      </c>
      <c r="G546" s="74" t="s">
        <v>177</v>
      </c>
      <c r="H546" s="87">
        <v>44439</v>
      </c>
      <c r="I546" s="94">
        <v>415.81</v>
      </c>
      <c r="J546" s="94">
        <v>311.86</v>
      </c>
      <c r="K546" s="94">
        <v>103.95</v>
      </c>
    </row>
    <row r="547" spans="1:11">
      <c r="A547" s="74" t="s">
        <v>113</v>
      </c>
      <c r="B547" s="74" t="s">
        <v>196</v>
      </c>
      <c r="C547" s="74" t="s">
        <v>197</v>
      </c>
      <c r="D547" s="74" t="s">
        <v>79</v>
      </c>
      <c r="E547" s="74" t="s">
        <v>81</v>
      </c>
      <c r="F547" s="86" t="s">
        <v>176</v>
      </c>
      <c r="G547" s="74" t="s">
        <v>177</v>
      </c>
      <c r="H547" s="87">
        <v>44439</v>
      </c>
      <c r="I547" s="94">
        <v>1231.88</v>
      </c>
      <c r="J547" s="94">
        <v>923.91</v>
      </c>
      <c r="K547" s="94">
        <v>307.97</v>
      </c>
    </row>
    <row r="548" spans="1:11">
      <c r="A548" s="74" t="s">
        <v>113</v>
      </c>
      <c r="B548" s="74" t="s">
        <v>198</v>
      </c>
      <c r="C548" s="74" t="s">
        <v>199</v>
      </c>
      <c r="D548" s="74" t="s">
        <v>79</v>
      </c>
      <c r="E548" s="74" t="s">
        <v>81</v>
      </c>
      <c r="F548" s="86" t="s">
        <v>180</v>
      </c>
      <c r="G548" s="74" t="s">
        <v>177</v>
      </c>
      <c r="H548" s="87">
        <v>44439</v>
      </c>
      <c r="I548" s="94">
        <v>812.81</v>
      </c>
      <c r="J548" s="94">
        <v>609.61</v>
      </c>
      <c r="K548" s="94">
        <v>203.2</v>
      </c>
    </row>
    <row r="549" spans="1:11">
      <c r="A549" s="74" t="s">
        <v>113</v>
      </c>
      <c r="B549" s="74" t="s">
        <v>200</v>
      </c>
      <c r="C549" s="74" t="s">
        <v>201</v>
      </c>
      <c r="D549" s="74" t="s">
        <v>79</v>
      </c>
      <c r="E549" s="74" t="s">
        <v>81</v>
      </c>
      <c r="F549" s="86" t="s">
        <v>183</v>
      </c>
      <c r="G549" s="74" t="s">
        <v>177</v>
      </c>
      <c r="H549" s="87">
        <v>44439</v>
      </c>
      <c r="I549" s="94">
        <v>393.65</v>
      </c>
      <c r="J549" s="94">
        <v>295.24</v>
      </c>
      <c r="K549" s="94">
        <v>98.41</v>
      </c>
    </row>
    <row r="550" spans="1:11">
      <c r="A550" s="74" t="s">
        <v>113</v>
      </c>
      <c r="B550" s="74" t="s">
        <v>202</v>
      </c>
      <c r="C550" s="74" t="s">
        <v>203</v>
      </c>
      <c r="D550" s="74" t="s">
        <v>79</v>
      </c>
      <c r="E550" s="74" t="s">
        <v>81</v>
      </c>
      <c r="F550" s="86" t="s">
        <v>204</v>
      </c>
      <c r="G550" s="74" t="s">
        <v>205</v>
      </c>
      <c r="H550" s="87">
        <v>44439</v>
      </c>
      <c r="I550" s="94">
        <v>7347.9</v>
      </c>
      <c r="J550" s="94">
        <v>5510.93</v>
      </c>
      <c r="K550" s="94">
        <v>1836.97</v>
      </c>
    </row>
    <row r="551" spans="1:11">
      <c r="A551" s="74" t="s">
        <v>113</v>
      </c>
      <c r="B551" s="74" t="s">
        <v>206</v>
      </c>
      <c r="C551" s="74" t="s">
        <v>207</v>
      </c>
      <c r="D551" s="88" t="s">
        <v>82</v>
      </c>
      <c r="E551" s="88" t="s">
        <v>84</v>
      </c>
      <c r="F551" s="86" t="s">
        <v>208</v>
      </c>
      <c r="G551" s="74" t="s">
        <v>209</v>
      </c>
      <c r="H551" s="87">
        <v>44439</v>
      </c>
      <c r="I551" s="94">
        <v>3544.01</v>
      </c>
      <c r="J551" s="94">
        <v>2658.01</v>
      </c>
      <c r="K551" s="94">
        <v>886</v>
      </c>
    </row>
    <row r="552" spans="1:11">
      <c r="A552" s="74" t="s">
        <v>113</v>
      </c>
      <c r="B552" s="74" t="s">
        <v>210</v>
      </c>
      <c r="C552" s="74" t="s">
        <v>211</v>
      </c>
      <c r="D552" s="88" t="s">
        <v>82</v>
      </c>
      <c r="E552" s="88" t="s">
        <v>84</v>
      </c>
      <c r="F552" s="86" t="s">
        <v>116</v>
      </c>
      <c r="G552" s="74" t="s">
        <v>209</v>
      </c>
      <c r="H552" s="87">
        <v>44439</v>
      </c>
      <c r="I552" s="94">
        <v>3216.47</v>
      </c>
      <c r="J552" s="94">
        <v>2412.35</v>
      </c>
      <c r="K552" s="94">
        <v>804.12</v>
      </c>
    </row>
    <row r="553" spans="1:11">
      <c r="A553" s="74" t="s">
        <v>113</v>
      </c>
      <c r="B553" s="74" t="s">
        <v>212</v>
      </c>
      <c r="C553" s="74" t="s">
        <v>213</v>
      </c>
      <c r="D553" s="88" t="s">
        <v>82</v>
      </c>
      <c r="E553" s="88" t="s">
        <v>84</v>
      </c>
      <c r="F553" s="86" t="s">
        <v>208</v>
      </c>
      <c r="G553" s="74" t="s">
        <v>209</v>
      </c>
      <c r="H553" s="87">
        <v>44439</v>
      </c>
      <c r="I553" s="94">
        <v>3587.19</v>
      </c>
      <c r="J553" s="94">
        <v>2690.39</v>
      </c>
      <c r="K553" s="94">
        <v>896.8</v>
      </c>
    </row>
    <row r="554" spans="1:11">
      <c r="A554" s="74" t="s">
        <v>113</v>
      </c>
      <c r="B554" s="74" t="s">
        <v>214</v>
      </c>
      <c r="C554" s="74" t="s">
        <v>215</v>
      </c>
      <c r="D554" s="88" t="s">
        <v>82</v>
      </c>
      <c r="E554" s="88" t="s">
        <v>84</v>
      </c>
      <c r="F554" s="86" t="s">
        <v>116</v>
      </c>
      <c r="G554" s="74" t="s">
        <v>209</v>
      </c>
      <c r="H554" s="87">
        <v>44439</v>
      </c>
      <c r="I554" s="94">
        <v>3171.4</v>
      </c>
      <c r="J554" s="94">
        <v>2378.55</v>
      </c>
      <c r="K554" s="94">
        <v>792.85</v>
      </c>
    </row>
    <row r="555" spans="1:11">
      <c r="A555" s="74" t="s">
        <v>113</v>
      </c>
      <c r="B555" s="74" t="s">
        <v>216</v>
      </c>
      <c r="C555" s="74" t="s">
        <v>217</v>
      </c>
      <c r="D555" s="88" t="s">
        <v>82</v>
      </c>
      <c r="E555" s="88" t="s">
        <v>84</v>
      </c>
      <c r="F555" s="86" t="s">
        <v>218</v>
      </c>
      <c r="G555" s="74" t="s">
        <v>219</v>
      </c>
      <c r="H555" s="87">
        <v>44439</v>
      </c>
      <c r="I555" s="94">
        <v>4486.88</v>
      </c>
      <c r="J555" s="94">
        <v>3365.16</v>
      </c>
      <c r="K555" s="94">
        <v>1121.72</v>
      </c>
    </row>
    <row r="556" spans="1:11">
      <c r="A556" s="74" t="s">
        <v>113</v>
      </c>
      <c r="B556" s="74" t="s">
        <v>220</v>
      </c>
      <c r="C556" s="74" t="s">
        <v>221</v>
      </c>
      <c r="D556" s="88" t="s">
        <v>82</v>
      </c>
      <c r="E556" s="74" t="s">
        <v>83</v>
      </c>
      <c r="F556" s="86" t="s">
        <v>218</v>
      </c>
      <c r="G556" s="74" t="s">
        <v>222</v>
      </c>
      <c r="H556" s="87">
        <v>44439</v>
      </c>
      <c r="I556" s="94">
        <v>4458.34</v>
      </c>
      <c r="J556" s="94">
        <v>3343.76</v>
      </c>
      <c r="K556" s="94">
        <v>1114.58</v>
      </c>
    </row>
    <row r="557" spans="1:11">
      <c r="A557" s="74" t="s">
        <v>113</v>
      </c>
      <c r="B557" s="74" t="s">
        <v>223</v>
      </c>
      <c r="C557" s="74" t="s">
        <v>224</v>
      </c>
      <c r="D557" s="88" t="s">
        <v>82</v>
      </c>
      <c r="E557" s="74" t="s">
        <v>83</v>
      </c>
      <c r="F557" s="86" t="s">
        <v>225</v>
      </c>
      <c r="G557" s="74" t="s">
        <v>209</v>
      </c>
      <c r="H557" s="87">
        <v>44439</v>
      </c>
      <c r="I557" s="94">
        <v>3909.82</v>
      </c>
      <c r="J557" s="94">
        <v>2932.37</v>
      </c>
      <c r="K557" s="94">
        <v>977.45</v>
      </c>
    </row>
    <row r="558" spans="1:11">
      <c r="A558" s="74" t="s">
        <v>113</v>
      </c>
      <c r="B558" s="74" t="s">
        <v>226</v>
      </c>
      <c r="C558" s="74" t="s">
        <v>227</v>
      </c>
      <c r="D558" s="88" t="s">
        <v>82</v>
      </c>
      <c r="E558" s="74" t="s">
        <v>83</v>
      </c>
      <c r="F558" s="86" t="s">
        <v>208</v>
      </c>
      <c r="G558" s="74" t="s">
        <v>209</v>
      </c>
      <c r="H558" s="87">
        <v>44439</v>
      </c>
      <c r="I558" s="94">
        <v>3779.17</v>
      </c>
      <c r="J558" s="94">
        <v>2834.38</v>
      </c>
      <c r="K558" s="94">
        <v>944.79</v>
      </c>
    </row>
    <row r="559" spans="1:11">
      <c r="A559" s="74" t="s">
        <v>113</v>
      </c>
      <c r="B559" s="74" t="s">
        <v>228</v>
      </c>
      <c r="C559" s="74" t="s">
        <v>229</v>
      </c>
      <c r="D559" s="88" t="s">
        <v>82</v>
      </c>
      <c r="E559" s="74" t="s">
        <v>83</v>
      </c>
      <c r="F559" s="86" t="s">
        <v>116</v>
      </c>
      <c r="G559" s="74" t="s">
        <v>209</v>
      </c>
      <c r="H559" s="87">
        <v>44439</v>
      </c>
      <c r="I559" s="94">
        <v>3401.57</v>
      </c>
      <c r="J559" s="94">
        <v>2551.18</v>
      </c>
      <c r="K559" s="94">
        <v>850.39</v>
      </c>
    </row>
    <row r="560" spans="1:11">
      <c r="A560" s="74" t="s">
        <v>113</v>
      </c>
      <c r="B560" s="74" t="s">
        <v>230</v>
      </c>
      <c r="C560" s="74" t="s">
        <v>231</v>
      </c>
      <c r="D560" s="88" t="s">
        <v>82</v>
      </c>
      <c r="E560" s="74" t="s">
        <v>83</v>
      </c>
      <c r="F560" s="86" t="s">
        <v>120</v>
      </c>
      <c r="G560" s="74" t="s">
        <v>209</v>
      </c>
      <c r="H560" s="87">
        <v>44439</v>
      </c>
      <c r="I560" s="94">
        <v>3001.58</v>
      </c>
      <c r="J560" s="94">
        <v>2251.19</v>
      </c>
      <c r="K560" s="94">
        <v>750.39</v>
      </c>
    </row>
    <row r="561" spans="1:11">
      <c r="A561" s="74" t="s">
        <v>113</v>
      </c>
      <c r="B561" s="74" t="s">
        <v>232</v>
      </c>
      <c r="C561" s="74" t="s">
        <v>233</v>
      </c>
      <c r="D561" s="88" t="s">
        <v>82</v>
      </c>
      <c r="E561" s="74" t="s">
        <v>83</v>
      </c>
      <c r="F561" s="86" t="s">
        <v>123</v>
      </c>
      <c r="G561" s="74" t="s">
        <v>209</v>
      </c>
      <c r="H561" s="87">
        <v>44439</v>
      </c>
      <c r="I561" s="94">
        <v>2438.9</v>
      </c>
      <c r="J561" s="94">
        <v>1829.18</v>
      </c>
      <c r="K561" s="94">
        <v>609.72</v>
      </c>
    </row>
    <row r="562" spans="1:11">
      <c r="A562" s="74" t="s">
        <v>113</v>
      </c>
      <c r="B562" s="74" t="s">
        <v>234</v>
      </c>
      <c r="C562" s="74" t="s">
        <v>235</v>
      </c>
      <c r="D562" s="88" t="s">
        <v>82</v>
      </c>
      <c r="E562" s="74" t="s">
        <v>83</v>
      </c>
      <c r="F562" s="86" t="s">
        <v>116</v>
      </c>
      <c r="G562" s="74" t="s">
        <v>209</v>
      </c>
      <c r="H562" s="87">
        <v>44439</v>
      </c>
      <c r="I562" s="94">
        <v>3382.75</v>
      </c>
      <c r="J562" s="94">
        <v>2537.06</v>
      </c>
      <c r="K562" s="94">
        <v>845.69</v>
      </c>
    </row>
    <row r="563" spans="1:11">
      <c r="A563" s="74" t="s">
        <v>113</v>
      </c>
      <c r="B563" s="74" t="s">
        <v>236</v>
      </c>
      <c r="C563" s="74" t="s">
        <v>237</v>
      </c>
      <c r="D563" s="88" t="s">
        <v>82</v>
      </c>
      <c r="E563" s="74" t="s">
        <v>83</v>
      </c>
      <c r="F563" s="86" t="s">
        <v>120</v>
      </c>
      <c r="G563" s="74" t="s">
        <v>209</v>
      </c>
      <c r="H563" s="87">
        <v>44439</v>
      </c>
      <c r="I563" s="94">
        <v>2900.23</v>
      </c>
      <c r="J563" s="94">
        <v>2175.17</v>
      </c>
      <c r="K563" s="94">
        <v>725.06</v>
      </c>
    </row>
    <row r="564" spans="1:11">
      <c r="A564" s="74" t="s">
        <v>113</v>
      </c>
      <c r="B564" s="74" t="s">
        <v>238</v>
      </c>
      <c r="C564" s="74" t="s">
        <v>239</v>
      </c>
      <c r="D564" s="74" t="s">
        <v>86</v>
      </c>
      <c r="E564" s="74" t="s">
        <v>87</v>
      </c>
      <c r="F564" s="86" t="s">
        <v>204</v>
      </c>
      <c r="G564" s="74" t="s">
        <v>240</v>
      </c>
      <c r="H564" s="87">
        <v>44439</v>
      </c>
      <c r="I564" s="94">
        <v>6047.78</v>
      </c>
      <c r="J564" s="94">
        <v>4535.84</v>
      </c>
      <c r="K564" s="94">
        <v>1511.94</v>
      </c>
    </row>
    <row r="565" spans="1:11">
      <c r="A565" s="74" t="s">
        <v>113</v>
      </c>
      <c r="B565" s="74" t="s">
        <v>241</v>
      </c>
      <c r="C565" s="74" t="s">
        <v>242</v>
      </c>
      <c r="D565" s="74" t="s">
        <v>86</v>
      </c>
      <c r="E565" s="74" t="s">
        <v>87</v>
      </c>
      <c r="F565" s="86" t="s">
        <v>243</v>
      </c>
      <c r="G565" s="74" t="s">
        <v>244</v>
      </c>
      <c r="H565" s="87">
        <v>44439</v>
      </c>
      <c r="I565" s="94">
        <v>4262.79</v>
      </c>
      <c r="J565" s="94">
        <v>3197.09</v>
      </c>
      <c r="K565" s="94">
        <v>1065.7</v>
      </c>
    </row>
    <row r="566" spans="1:11">
      <c r="A566" s="74" t="s">
        <v>113</v>
      </c>
      <c r="B566" s="74" t="s">
        <v>245</v>
      </c>
      <c r="C566" s="74" t="s">
        <v>246</v>
      </c>
      <c r="D566" s="74" t="s">
        <v>86</v>
      </c>
      <c r="E566" s="74" t="s">
        <v>87</v>
      </c>
      <c r="F566" s="86" t="s">
        <v>247</v>
      </c>
      <c r="G566" s="74" t="s">
        <v>248</v>
      </c>
      <c r="H566" s="87">
        <v>44439</v>
      </c>
      <c r="I566" s="94">
        <v>4005.6</v>
      </c>
      <c r="J566" s="94">
        <v>3004.2</v>
      </c>
      <c r="K566" s="94">
        <v>1001.4</v>
      </c>
    </row>
    <row r="567" spans="1:11">
      <c r="A567" s="74" t="s">
        <v>113</v>
      </c>
      <c r="B567" s="74" t="s">
        <v>249</v>
      </c>
      <c r="C567" s="74" t="s">
        <v>250</v>
      </c>
      <c r="D567" s="74" t="s">
        <v>86</v>
      </c>
      <c r="E567" s="74" t="s">
        <v>87</v>
      </c>
      <c r="F567" s="86" t="s">
        <v>251</v>
      </c>
      <c r="G567" s="74" t="s">
        <v>252</v>
      </c>
      <c r="H567" s="87">
        <v>44439</v>
      </c>
      <c r="I567" s="94">
        <v>3529.15</v>
      </c>
      <c r="J567" s="94">
        <v>2646.86</v>
      </c>
      <c r="K567" s="94">
        <v>882.29</v>
      </c>
    </row>
    <row r="568" spans="1:11">
      <c r="A568" s="74" t="s">
        <v>113</v>
      </c>
      <c r="B568" s="74" t="s">
        <v>253</v>
      </c>
      <c r="C568" s="74" t="s">
        <v>254</v>
      </c>
      <c r="D568" s="74" t="s">
        <v>86</v>
      </c>
      <c r="E568" s="74" t="s">
        <v>87</v>
      </c>
      <c r="F568" s="86" t="s">
        <v>255</v>
      </c>
      <c r="G568" s="74" t="s">
        <v>252</v>
      </c>
      <c r="H568" s="87">
        <v>44439</v>
      </c>
      <c r="I568" s="94">
        <v>3168.42</v>
      </c>
      <c r="J568" s="94">
        <v>2376.32</v>
      </c>
      <c r="K568" s="94">
        <v>792.1</v>
      </c>
    </row>
    <row r="569" spans="1:11">
      <c r="A569" s="74" t="s">
        <v>113</v>
      </c>
      <c r="B569" s="74" t="s">
        <v>256</v>
      </c>
      <c r="C569" s="74" t="s">
        <v>257</v>
      </c>
      <c r="D569" s="74" t="s">
        <v>86</v>
      </c>
      <c r="E569" s="74" t="s">
        <v>87</v>
      </c>
      <c r="F569" s="86" t="s">
        <v>258</v>
      </c>
      <c r="G569" s="74" t="s">
        <v>252</v>
      </c>
      <c r="H569" s="87">
        <v>44439</v>
      </c>
      <c r="I569" s="94">
        <v>3080.86</v>
      </c>
      <c r="J569" s="94">
        <v>2310.65</v>
      </c>
      <c r="K569" s="94">
        <v>770.21</v>
      </c>
    </row>
    <row r="570" spans="1:11">
      <c r="A570" s="74" t="s">
        <v>113</v>
      </c>
      <c r="B570" s="74" t="s">
        <v>259</v>
      </c>
      <c r="C570" s="74" t="s">
        <v>260</v>
      </c>
      <c r="D570" s="74" t="s">
        <v>86</v>
      </c>
      <c r="E570" s="74" t="s">
        <v>87</v>
      </c>
      <c r="F570" s="86" t="s">
        <v>261</v>
      </c>
      <c r="G570" s="74" t="s">
        <v>262</v>
      </c>
      <c r="H570" s="87">
        <v>44439</v>
      </c>
      <c r="I570" s="94">
        <v>2578.68</v>
      </c>
      <c r="J570" s="94">
        <v>1934.01</v>
      </c>
      <c r="K570" s="94">
        <v>644.67</v>
      </c>
    </row>
    <row r="571" spans="1:11">
      <c r="A571" s="74" t="s">
        <v>113</v>
      </c>
      <c r="B571" s="74" t="s">
        <v>263</v>
      </c>
      <c r="C571" s="74" t="s">
        <v>264</v>
      </c>
      <c r="D571" s="74" t="s">
        <v>86</v>
      </c>
      <c r="E571" s="74" t="s">
        <v>88</v>
      </c>
      <c r="F571" s="86" t="s">
        <v>149</v>
      </c>
      <c r="G571" s="74" t="s">
        <v>265</v>
      </c>
      <c r="H571" s="87">
        <v>44439</v>
      </c>
      <c r="I571" s="94">
        <v>5556.99</v>
      </c>
      <c r="J571" s="94">
        <v>4167.74</v>
      </c>
      <c r="K571" s="94">
        <v>1389.25</v>
      </c>
    </row>
    <row r="572" spans="1:11">
      <c r="A572" s="74" t="s">
        <v>113</v>
      </c>
      <c r="B572" s="74" t="s">
        <v>266</v>
      </c>
      <c r="C572" s="74" t="s">
        <v>267</v>
      </c>
      <c r="D572" s="74" t="s">
        <v>86</v>
      </c>
      <c r="E572" s="74" t="s">
        <v>88</v>
      </c>
      <c r="F572" s="86" t="s">
        <v>243</v>
      </c>
      <c r="G572" s="74" t="s">
        <v>268</v>
      </c>
      <c r="H572" s="87">
        <v>44439</v>
      </c>
      <c r="I572" s="94">
        <v>4328.1</v>
      </c>
      <c r="J572" s="94">
        <v>3246.08</v>
      </c>
      <c r="K572" s="94">
        <v>1082.02</v>
      </c>
    </row>
    <row r="573" spans="1:11">
      <c r="A573" s="74" t="s">
        <v>113</v>
      </c>
      <c r="B573" s="74" t="s">
        <v>269</v>
      </c>
      <c r="C573" s="74" t="s">
        <v>270</v>
      </c>
      <c r="D573" s="74" t="s">
        <v>86</v>
      </c>
      <c r="E573" s="74" t="s">
        <v>88</v>
      </c>
      <c r="F573" s="86" t="s">
        <v>247</v>
      </c>
      <c r="G573" s="74" t="s">
        <v>268</v>
      </c>
      <c r="H573" s="87">
        <v>44439</v>
      </c>
      <c r="I573" s="94">
        <v>3811.82</v>
      </c>
      <c r="J573" s="94">
        <v>2858.87</v>
      </c>
      <c r="K573" s="94">
        <v>952.95</v>
      </c>
    </row>
    <row r="574" spans="1:11">
      <c r="A574" s="74" t="s">
        <v>113</v>
      </c>
      <c r="B574" s="74" t="s">
        <v>271</v>
      </c>
      <c r="C574" s="74" t="s">
        <v>272</v>
      </c>
      <c r="D574" s="74" t="s">
        <v>86</v>
      </c>
      <c r="E574" s="74" t="s">
        <v>88</v>
      </c>
      <c r="F574" s="86" t="s">
        <v>251</v>
      </c>
      <c r="G574" s="74" t="s">
        <v>268</v>
      </c>
      <c r="H574" s="87">
        <v>44439</v>
      </c>
      <c r="I574" s="94">
        <v>3659.35</v>
      </c>
      <c r="J574" s="94">
        <v>2744.51</v>
      </c>
      <c r="K574" s="94">
        <v>914.84</v>
      </c>
    </row>
    <row r="575" spans="1:11">
      <c r="A575" s="74" t="s">
        <v>113</v>
      </c>
      <c r="B575" s="74" t="s">
        <v>273</v>
      </c>
      <c r="C575" s="74" t="s">
        <v>274</v>
      </c>
      <c r="D575" s="74" t="s">
        <v>86</v>
      </c>
      <c r="E575" s="74" t="s">
        <v>88</v>
      </c>
      <c r="F575" s="86" t="s">
        <v>255</v>
      </c>
      <c r="G575" s="74" t="s">
        <v>268</v>
      </c>
      <c r="H575" s="87">
        <v>44439</v>
      </c>
      <c r="I575" s="94">
        <v>3221.49</v>
      </c>
      <c r="J575" s="94">
        <v>2416.12</v>
      </c>
      <c r="K575" s="94">
        <v>805.37</v>
      </c>
    </row>
    <row r="576" spans="1:11">
      <c r="A576" s="74" t="s">
        <v>113</v>
      </c>
      <c r="B576" s="74" t="s">
        <v>275</v>
      </c>
      <c r="C576" s="74" t="s">
        <v>276</v>
      </c>
      <c r="D576" s="74" t="s">
        <v>86</v>
      </c>
      <c r="E576" s="74" t="s">
        <v>88</v>
      </c>
      <c r="F576" s="86" t="s">
        <v>258</v>
      </c>
      <c r="G576" s="74" t="s">
        <v>268</v>
      </c>
      <c r="H576" s="87">
        <v>44439</v>
      </c>
      <c r="I576" s="94">
        <v>2940.26</v>
      </c>
      <c r="J576" s="94">
        <v>2205.2</v>
      </c>
      <c r="K576" s="94">
        <v>735.06</v>
      </c>
    </row>
    <row r="577" spans="1:11">
      <c r="A577" s="74" t="s">
        <v>113</v>
      </c>
      <c r="B577" s="74" t="s">
        <v>277</v>
      </c>
      <c r="C577" s="74" t="s">
        <v>278</v>
      </c>
      <c r="D577" s="74" t="s">
        <v>86</v>
      </c>
      <c r="E577" s="74" t="s">
        <v>89</v>
      </c>
      <c r="F577" s="86" t="s">
        <v>279</v>
      </c>
      <c r="G577" s="74" t="s">
        <v>280</v>
      </c>
      <c r="H577" s="87">
        <v>44439</v>
      </c>
      <c r="I577" s="94">
        <v>4870.28</v>
      </c>
      <c r="J577" s="94">
        <v>3652.71</v>
      </c>
      <c r="K577" s="94">
        <v>1217.57</v>
      </c>
    </row>
    <row r="578" spans="1:11">
      <c r="A578" s="74" t="s">
        <v>113</v>
      </c>
      <c r="B578" s="74" t="s">
        <v>281</v>
      </c>
      <c r="C578" s="74" t="s">
        <v>282</v>
      </c>
      <c r="D578" s="74" t="s">
        <v>86</v>
      </c>
      <c r="E578" s="74" t="s">
        <v>89</v>
      </c>
      <c r="F578" s="86" t="s">
        <v>225</v>
      </c>
      <c r="G578" s="74" t="s">
        <v>283</v>
      </c>
      <c r="H578" s="87">
        <v>44439</v>
      </c>
      <c r="I578" s="94">
        <v>3156.72</v>
      </c>
      <c r="J578" s="94">
        <v>2367.54</v>
      </c>
      <c r="K578" s="94">
        <v>789.18</v>
      </c>
    </row>
    <row r="579" spans="1:11">
      <c r="A579" s="74" t="s">
        <v>113</v>
      </c>
      <c r="B579" s="74" t="s">
        <v>284</v>
      </c>
      <c r="C579" s="74" t="s">
        <v>285</v>
      </c>
      <c r="D579" s="74" t="s">
        <v>86</v>
      </c>
      <c r="E579" s="74" t="s">
        <v>89</v>
      </c>
      <c r="F579" s="86" t="s">
        <v>208</v>
      </c>
      <c r="G579" s="74" t="s">
        <v>283</v>
      </c>
      <c r="H579" s="87">
        <v>44439</v>
      </c>
      <c r="I579" s="94">
        <v>2935.38</v>
      </c>
      <c r="J579" s="94">
        <v>2201.54</v>
      </c>
      <c r="K579" s="94">
        <v>733.84</v>
      </c>
    </row>
    <row r="580" spans="1:11">
      <c r="A580" s="74" t="s">
        <v>113</v>
      </c>
      <c r="B580" s="74" t="s">
        <v>286</v>
      </c>
      <c r="C580" s="74" t="s">
        <v>287</v>
      </c>
      <c r="D580" s="74" t="s">
        <v>82</v>
      </c>
      <c r="E580" s="88" t="s">
        <v>85</v>
      </c>
      <c r="F580" s="86" t="s">
        <v>288</v>
      </c>
      <c r="G580" s="74" t="s">
        <v>289</v>
      </c>
      <c r="H580" s="87">
        <v>44439</v>
      </c>
      <c r="I580" s="94">
        <v>4740.52</v>
      </c>
      <c r="J580" s="94">
        <v>3555.39</v>
      </c>
      <c r="K580" s="94">
        <v>1185.13</v>
      </c>
    </row>
    <row r="581" spans="1:11">
      <c r="A581" s="74" t="s">
        <v>113</v>
      </c>
      <c r="B581" s="74" t="s">
        <v>290</v>
      </c>
      <c r="C581" s="74" t="s">
        <v>291</v>
      </c>
      <c r="D581" s="74" t="s">
        <v>82</v>
      </c>
      <c r="E581" s="88" t="s">
        <v>85</v>
      </c>
      <c r="F581" s="86" t="s">
        <v>218</v>
      </c>
      <c r="G581" s="74" t="s">
        <v>289</v>
      </c>
      <c r="H581" s="87">
        <v>44439</v>
      </c>
      <c r="I581" s="94">
        <v>4600.9</v>
      </c>
      <c r="J581" s="94">
        <v>3450.68</v>
      </c>
      <c r="K581" s="94">
        <v>1150.22</v>
      </c>
    </row>
    <row r="582" spans="1:11">
      <c r="A582" s="74" t="s">
        <v>113</v>
      </c>
      <c r="B582" s="74" t="s">
        <v>292</v>
      </c>
      <c r="C582" s="74" t="s">
        <v>293</v>
      </c>
      <c r="D582" s="74" t="s">
        <v>82</v>
      </c>
      <c r="E582" s="88" t="s">
        <v>85</v>
      </c>
      <c r="F582" s="86" t="s">
        <v>225</v>
      </c>
      <c r="G582" s="74" t="s">
        <v>289</v>
      </c>
      <c r="H582" s="87">
        <v>44439</v>
      </c>
      <c r="I582" s="94">
        <v>4237.9</v>
      </c>
      <c r="J582" s="94">
        <v>3178.43</v>
      </c>
      <c r="K582" s="94">
        <v>1059.47</v>
      </c>
    </row>
    <row r="583" spans="1:11">
      <c r="A583" s="74" t="s">
        <v>113</v>
      </c>
      <c r="B583" s="74" t="s">
        <v>294</v>
      </c>
      <c r="C583" s="74" t="s">
        <v>295</v>
      </c>
      <c r="D583" s="74" t="s">
        <v>82</v>
      </c>
      <c r="E583" s="88" t="s">
        <v>85</v>
      </c>
      <c r="F583" s="86" t="s">
        <v>208</v>
      </c>
      <c r="G583" s="74" t="s">
        <v>289</v>
      </c>
      <c r="H583" s="87">
        <v>44439</v>
      </c>
      <c r="I583" s="94">
        <v>3688.98</v>
      </c>
      <c r="J583" s="94">
        <v>2766.74</v>
      </c>
      <c r="K583" s="94">
        <v>922.24</v>
      </c>
    </row>
    <row r="584" spans="1:11">
      <c r="A584" s="74" t="s">
        <v>113</v>
      </c>
      <c r="B584" s="74" t="s">
        <v>296</v>
      </c>
      <c r="C584" s="74" t="s">
        <v>297</v>
      </c>
      <c r="D584" s="74" t="s">
        <v>82</v>
      </c>
      <c r="E584" s="88" t="s">
        <v>85</v>
      </c>
      <c r="F584" s="86" t="s">
        <v>116</v>
      </c>
      <c r="G584" s="74" t="s">
        <v>289</v>
      </c>
      <c r="H584" s="87">
        <v>44439</v>
      </c>
      <c r="I584" s="94">
        <v>3164.59</v>
      </c>
      <c r="J584" s="94">
        <v>2373.44</v>
      </c>
      <c r="K584" s="94">
        <v>791.15</v>
      </c>
    </row>
    <row r="585" spans="1:11">
      <c r="A585" s="74" t="s">
        <v>113</v>
      </c>
      <c r="B585" s="74" t="s">
        <v>298</v>
      </c>
      <c r="C585" s="74" t="s">
        <v>299</v>
      </c>
      <c r="D585" s="74" t="s">
        <v>82</v>
      </c>
      <c r="E585" s="88" t="s">
        <v>85</v>
      </c>
      <c r="F585" s="86" t="s">
        <v>279</v>
      </c>
      <c r="G585" s="74" t="s">
        <v>300</v>
      </c>
      <c r="H585" s="87">
        <v>44439</v>
      </c>
      <c r="I585" s="94">
        <v>6228.76</v>
      </c>
      <c r="J585" s="94">
        <v>4671.57</v>
      </c>
      <c r="K585" s="94">
        <v>1557.19</v>
      </c>
    </row>
    <row r="586" spans="1:11">
      <c r="A586" s="74" t="s">
        <v>113</v>
      </c>
      <c r="B586" s="74" t="s">
        <v>301</v>
      </c>
      <c r="C586" s="74" t="s">
        <v>302</v>
      </c>
      <c r="D586" s="74" t="s">
        <v>82</v>
      </c>
      <c r="E586" s="88" t="s">
        <v>85</v>
      </c>
      <c r="F586" s="86" t="s">
        <v>279</v>
      </c>
      <c r="G586" s="74" t="s">
        <v>303</v>
      </c>
      <c r="H586" s="87">
        <v>44439</v>
      </c>
      <c r="I586" s="94">
        <v>6304.78</v>
      </c>
      <c r="J586" s="94">
        <v>4728.59</v>
      </c>
      <c r="K586" s="94">
        <v>1576.19</v>
      </c>
    </row>
    <row r="587" spans="1:11">
      <c r="A587" s="74" t="s">
        <v>113</v>
      </c>
      <c r="B587" s="74" t="s">
        <v>304</v>
      </c>
      <c r="C587" s="74" t="s">
        <v>305</v>
      </c>
      <c r="D587" s="74" t="s">
        <v>86</v>
      </c>
      <c r="E587" s="74" t="s">
        <v>90</v>
      </c>
      <c r="F587" s="86" t="s">
        <v>306</v>
      </c>
      <c r="G587" s="74" t="s">
        <v>307</v>
      </c>
      <c r="H587" s="87">
        <v>44439</v>
      </c>
      <c r="I587" s="94">
        <v>6744.15</v>
      </c>
      <c r="J587" s="94">
        <v>5058.11</v>
      </c>
      <c r="K587" s="94">
        <v>1686.04</v>
      </c>
    </row>
    <row r="588" spans="1:11">
      <c r="A588" s="74" t="s">
        <v>113</v>
      </c>
      <c r="B588" s="74" t="s">
        <v>114</v>
      </c>
      <c r="C588" s="74" t="s">
        <v>115</v>
      </c>
      <c r="D588" s="74" t="s">
        <v>79</v>
      </c>
      <c r="E588" s="74" t="s">
        <v>80</v>
      </c>
      <c r="F588" s="86" t="s">
        <v>116</v>
      </c>
      <c r="G588" s="74" t="s">
        <v>117</v>
      </c>
      <c r="H588" s="87">
        <v>44469</v>
      </c>
      <c r="I588" s="94">
        <v>3158.49</v>
      </c>
      <c r="J588" s="94">
        <v>2368.87</v>
      </c>
      <c r="K588" s="94">
        <v>789.62</v>
      </c>
    </row>
    <row r="589" spans="1:11">
      <c r="A589" s="74" t="s">
        <v>113</v>
      </c>
      <c r="B589" s="74" t="s">
        <v>118</v>
      </c>
      <c r="C589" s="74" t="s">
        <v>119</v>
      </c>
      <c r="D589" s="74" t="s">
        <v>79</v>
      </c>
      <c r="E589" s="74" t="s">
        <v>80</v>
      </c>
      <c r="F589" s="86" t="s">
        <v>120</v>
      </c>
      <c r="G589" s="74" t="s">
        <v>117</v>
      </c>
      <c r="H589" s="87">
        <v>44469</v>
      </c>
      <c r="I589" s="94">
        <v>2981.3</v>
      </c>
      <c r="J589" s="94">
        <v>2235.98</v>
      </c>
      <c r="K589" s="94">
        <v>745.32</v>
      </c>
    </row>
    <row r="590" spans="1:11">
      <c r="A590" s="74" t="s">
        <v>113</v>
      </c>
      <c r="B590" s="74" t="s">
        <v>121</v>
      </c>
      <c r="C590" s="74" t="s">
        <v>122</v>
      </c>
      <c r="D590" s="74" t="s">
        <v>79</v>
      </c>
      <c r="E590" s="74" t="s">
        <v>80</v>
      </c>
      <c r="F590" s="86" t="s">
        <v>123</v>
      </c>
      <c r="G590" s="74" t="s">
        <v>117</v>
      </c>
      <c r="H590" s="87">
        <v>44469</v>
      </c>
      <c r="I590" s="94">
        <v>2441.47</v>
      </c>
      <c r="J590" s="94">
        <v>1831.1</v>
      </c>
      <c r="K590" s="94">
        <v>610.37</v>
      </c>
    </row>
    <row r="591" spans="1:11">
      <c r="A591" s="74" t="s">
        <v>113</v>
      </c>
      <c r="B591" s="74" t="s">
        <v>124</v>
      </c>
      <c r="C591" s="74" t="s">
        <v>125</v>
      </c>
      <c r="D591" s="74" t="s">
        <v>79</v>
      </c>
      <c r="E591" s="74" t="s">
        <v>80</v>
      </c>
      <c r="F591" s="86" t="s">
        <v>116</v>
      </c>
      <c r="G591" s="74" t="s">
        <v>117</v>
      </c>
      <c r="H591" s="87">
        <v>44469</v>
      </c>
      <c r="I591" s="94">
        <v>3250.33</v>
      </c>
      <c r="J591" s="94">
        <v>2437.75</v>
      </c>
      <c r="K591" s="94">
        <v>812.58</v>
      </c>
    </row>
    <row r="592" spans="1:11">
      <c r="A592" s="74" t="s">
        <v>113</v>
      </c>
      <c r="B592" s="74" t="s">
        <v>126</v>
      </c>
      <c r="C592" s="74" t="s">
        <v>127</v>
      </c>
      <c r="D592" s="74" t="s">
        <v>79</v>
      </c>
      <c r="E592" s="74" t="s">
        <v>80</v>
      </c>
      <c r="F592" s="86" t="s">
        <v>120</v>
      </c>
      <c r="G592" s="74" t="s">
        <v>117</v>
      </c>
      <c r="H592" s="87">
        <v>44469</v>
      </c>
      <c r="I592" s="94">
        <v>2846.09</v>
      </c>
      <c r="J592" s="94">
        <v>2134.57</v>
      </c>
      <c r="K592" s="94">
        <v>711.52</v>
      </c>
    </row>
    <row r="593" spans="1:11">
      <c r="A593" s="74" t="s">
        <v>113</v>
      </c>
      <c r="B593" s="74" t="s">
        <v>128</v>
      </c>
      <c r="C593" s="74" t="s">
        <v>129</v>
      </c>
      <c r="D593" s="74" t="s">
        <v>79</v>
      </c>
      <c r="E593" s="74" t="s">
        <v>80</v>
      </c>
      <c r="F593" s="86" t="s">
        <v>123</v>
      </c>
      <c r="G593" s="74" t="s">
        <v>117</v>
      </c>
      <c r="H593" s="87">
        <v>44469</v>
      </c>
      <c r="I593" s="94">
        <v>2363.78</v>
      </c>
      <c r="J593" s="94">
        <v>1772.84</v>
      </c>
      <c r="K593" s="94">
        <v>590.94</v>
      </c>
    </row>
    <row r="594" spans="1:11">
      <c r="A594" s="74" t="s">
        <v>113</v>
      </c>
      <c r="B594" s="74" t="s">
        <v>130</v>
      </c>
      <c r="C594" s="74" t="s">
        <v>131</v>
      </c>
      <c r="D594" s="74" t="s">
        <v>79</v>
      </c>
      <c r="E594" s="74" t="s">
        <v>80</v>
      </c>
      <c r="F594" s="86" t="s">
        <v>116</v>
      </c>
      <c r="G594" s="74" t="s">
        <v>117</v>
      </c>
      <c r="H594" s="87">
        <v>44469</v>
      </c>
      <c r="I594" s="94">
        <v>3322.03</v>
      </c>
      <c r="J594" s="94">
        <v>2491.52</v>
      </c>
      <c r="K594" s="94">
        <v>830.51</v>
      </c>
    </row>
    <row r="595" spans="1:11">
      <c r="A595" s="74" t="s">
        <v>113</v>
      </c>
      <c r="B595" s="74" t="s">
        <v>132</v>
      </c>
      <c r="C595" s="74" t="s">
        <v>133</v>
      </c>
      <c r="D595" s="74" t="s">
        <v>79</v>
      </c>
      <c r="E595" s="74" t="s">
        <v>80</v>
      </c>
      <c r="F595" s="86" t="s">
        <v>120</v>
      </c>
      <c r="G595" s="74" t="s">
        <v>117</v>
      </c>
      <c r="H595" s="87">
        <v>44469</v>
      </c>
      <c r="I595" s="94">
        <v>2859.4</v>
      </c>
      <c r="J595" s="94">
        <v>2144.55</v>
      </c>
      <c r="K595" s="94">
        <v>714.85</v>
      </c>
    </row>
    <row r="596" spans="1:11">
      <c r="A596" s="74" t="s">
        <v>113</v>
      </c>
      <c r="B596" s="74" t="s">
        <v>134</v>
      </c>
      <c r="C596" s="74" t="s">
        <v>135</v>
      </c>
      <c r="D596" s="74" t="s">
        <v>79</v>
      </c>
      <c r="E596" s="74" t="s">
        <v>80</v>
      </c>
      <c r="F596" s="86" t="s">
        <v>123</v>
      </c>
      <c r="G596" s="74" t="s">
        <v>117</v>
      </c>
      <c r="H596" s="87">
        <v>44469</v>
      </c>
      <c r="I596" s="94">
        <v>2487.85</v>
      </c>
      <c r="J596" s="94">
        <v>1865.89</v>
      </c>
      <c r="K596" s="94">
        <v>621.96</v>
      </c>
    </row>
    <row r="597" spans="1:11">
      <c r="A597" s="74" t="s">
        <v>113</v>
      </c>
      <c r="B597" s="74" t="s">
        <v>136</v>
      </c>
      <c r="C597" s="74" t="s">
        <v>137</v>
      </c>
      <c r="D597" s="74" t="s">
        <v>79</v>
      </c>
      <c r="E597" s="74" t="s">
        <v>80</v>
      </c>
      <c r="F597" s="86" t="s">
        <v>116</v>
      </c>
      <c r="G597" s="74" t="s">
        <v>138</v>
      </c>
      <c r="H597" s="87">
        <v>44469</v>
      </c>
      <c r="I597" s="94">
        <v>3192.04</v>
      </c>
      <c r="J597" s="94">
        <v>2394.03</v>
      </c>
      <c r="K597" s="94">
        <v>798.01</v>
      </c>
    </row>
    <row r="598" spans="1:11">
      <c r="A598" s="74" t="s">
        <v>113</v>
      </c>
      <c r="B598" s="74" t="s">
        <v>139</v>
      </c>
      <c r="C598" s="74" t="s">
        <v>140</v>
      </c>
      <c r="D598" s="74" t="s">
        <v>79</v>
      </c>
      <c r="E598" s="74" t="s">
        <v>80</v>
      </c>
      <c r="F598" s="86" t="s">
        <v>120</v>
      </c>
      <c r="G598" s="74" t="s">
        <v>138</v>
      </c>
      <c r="H598" s="87">
        <v>44469</v>
      </c>
      <c r="I598" s="94">
        <v>2987.88</v>
      </c>
      <c r="J598" s="94">
        <v>2240.91</v>
      </c>
      <c r="K598" s="94">
        <v>746.97</v>
      </c>
    </row>
    <row r="599" spans="1:11">
      <c r="A599" s="74" t="s">
        <v>113</v>
      </c>
      <c r="B599" s="74" t="s">
        <v>141</v>
      </c>
      <c r="C599" s="74" t="s">
        <v>142</v>
      </c>
      <c r="D599" s="74" t="s">
        <v>79</v>
      </c>
      <c r="E599" s="74" t="s">
        <v>80</v>
      </c>
      <c r="F599" s="86" t="s">
        <v>123</v>
      </c>
      <c r="G599" s="74" t="s">
        <v>138</v>
      </c>
      <c r="H599" s="87">
        <v>44469</v>
      </c>
      <c r="I599" s="94">
        <v>2525.02</v>
      </c>
      <c r="J599" s="94">
        <v>1893.77</v>
      </c>
      <c r="K599" s="94">
        <v>631.25</v>
      </c>
    </row>
    <row r="600" spans="1:11">
      <c r="A600" s="74" t="s">
        <v>113</v>
      </c>
      <c r="B600" s="74" t="s">
        <v>143</v>
      </c>
      <c r="C600" s="74" t="s">
        <v>144</v>
      </c>
      <c r="D600" s="74" t="s">
        <v>79</v>
      </c>
      <c r="E600" s="74" t="s">
        <v>80</v>
      </c>
      <c r="F600" s="86" t="s">
        <v>145</v>
      </c>
      <c r="G600" s="74" t="s">
        <v>146</v>
      </c>
      <c r="H600" s="87">
        <v>44469</v>
      </c>
      <c r="I600" s="94">
        <v>8111.15</v>
      </c>
      <c r="J600" s="94">
        <v>6083.36</v>
      </c>
      <c r="K600" s="94">
        <v>2027.79</v>
      </c>
    </row>
    <row r="601" spans="1:11">
      <c r="A601" s="74" t="s">
        <v>113</v>
      </c>
      <c r="B601" s="74" t="s">
        <v>147</v>
      </c>
      <c r="C601" s="74" t="s">
        <v>148</v>
      </c>
      <c r="D601" s="74" t="s">
        <v>79</v>
      </c>
      <c r="E601" s="74" t="s">
        <v>80</v>
      </c>
      <c r="F601" s="86" t="s">
        <v>149</v>
      </c>
      <c r="G601" s="74" t="s">
        <v>150</v>
      </c>
      <c r="H601" s="87">
        <v>44469</v>
      </c>
      <c r="I601" s="94">
        <v>7174.85</v>
      </c>
      <c r="J601" s="94">
        <v>5381.14</v>
      </c>
      <c r="K601" s="94">
        <v>1793.71</v>
      </c>
    </row>
    <row r="602" spans="1:11">
      <c r="A602" s="74" t="s">
        <v>113</v>
      </c>
      <c r="B602" s="74" t="s">
        <v>151</v>
      </c>
      <c r="C602" s="74" t="s">
        <v>152</v>
      </c>
      <c r="D602" s="74" t="s">
        <v>79</v>
      </c>
      <c r="E602" s="74" t="s">
        <v>81</v>
      </c>
      <c r="F602" s="86" t="s">
        <v>123</v>
      </c>
      <c r="G602" s="74" t="s">
        <v>153</v>
      </c>
      <c r="H602" s="87">
        <v>44469</v>
      </c>
      <c r="I602" s="94">
        <v>2441.88</v>
      </c>
      <c r="J602" s="94">
        <v>1831.41</v>
      </c>
      <c r="K602" s="94">
        <v>610.47</v>
      </c>
    </row>
    <row r="603" spans="1:11">
      <c r="A603" s="74" t="s">
        <v>113</v>
      </c>
      <c r="B603" s="74" t="s">
        <v>154</v>
      </c>
      <c r="C603" s="74" t="s">
        <v>155</v>
      </c>
      <c r="D603" s="74" t="s">
        <v>79</v>
      </c>
      <c r="E603" s="74" t="s">
        <v>81</v>
      </c>
      <c r="F603" s="86" t="s">
        <v>156</v>
      </c>
      <c r="G603" s="74" t="s">
        <v>157</v>
      </c>
      <c r="H603" s="87">
        <v>44469</v>
      </c>
      <c r="I603" s="94">
        <v>1992.1</v>
      </c>
      <c r="J603" s="94">
        <v>1494.08</v>
      </c>
      <c r="K603" s="94">
        <v>498.02</v>
      </c>
    </row>
    <row r="604" spans="1:11">
      <c r="A604" s="74" t="s">
        <v>113</v>
      </c>
      <c r="B604" s="74" t="s">
        <v>158</v>
      </c>
      <c r="C604" s="74" t="s">
        <v>159</v>
      </c>
      <c r="D604" s="74" t="s">
        <v>79</v>
      </c>
      <c r="E604" s="74" t="s">
        <v>81</v>
      </c>
      <c r="F604" s="86" t="s">
        <v>160</v>
      </c>
      <c r="G604" s="74" t="s">
        <v>161</v>
      </c>
      <c r="H604" s="87">
        <v>44469</v>
      </c>
      <c r="I604" s="94">
        <v>1689.08</v>
      </c>
      <c r="J604" s="94">
        <v>1266.81</v>
      </c>
      <c r="K604" s="94">
        <v>422.27</v>
      </c>
    </row>
    <row r="605" spans="1:11">
      <c r="A605" s="74" t="s">
        <v>113</v>
      </c>
      <c r="B605" s="74" t="s">
        <v>162</v>
      </c>
      <c r="C605" s="74" t="s">
        <v>163</v>
      </c>
      <c r="D605" s="74" t="s">
        <v>79</v>
      </c>
      <c r="E605" s="74" t="s">
        <v>81</v>
      </c>
      <c r="F605" s="86" t="s">
        <v>123</v>
      </c>
      <c r="G605" s="74" t="s">
        <v>153</v>
      </c>
      <c r="H605" s="87">
        <v>44469</v>
      </c>
      <c r="I605" s="94">
        <v>2359.04</v>
      </c>
      <c r="J605" s="94">
        <v>1769.28</v>
      </c>
      <c r="K605" s="94">
        <v>589.76</v>
      </c>
    </row>
    <row r="606" spans="1:11">
      <c r="A606" s="74" t="s">
        <v>113</v>
      </c>
      <c r="B606" s="74" t="s">
        <v>164</v>
      </c>
      <c r="C606" s="74" t="s">
        <v>165</v>
      </c>
      <c r="D606" s="74" t="s">
        <v>79</v>
      </c>
      <c r="E606" s="74" t="s">
        <v>81</v>
      </c>
      <c r="F606" s="86" t="s">
        <v>156</v>
      </c>
      <c r="G606" s="74" t="s">
        <v>157</v>
      </c>
      <c r="H606" s="87">
        <v>44469</v>
      </c>
      <c r="I606" s="94">
        <v>2112.25</v>
      </c>
      <c r="J606" s="94">
        <v>1584.19</v>
      </c>
      <c r="K606" s="94">
        <v>528.06</v>
      </c>
    </row>
    <row r="607" spans="1:11">
      <c r="A607" s="74" t="s">
        <v>113</v>
      </c>
      <c r="B607" s="74" t="s">
        <v>166</v>
      </c>
      <c r="C607" s="74" t="s">
        <v>167</v>
      </c>
      <c r="D607" s="74" t="s">
        <v>79</v>
      </c>
      <c r="E607" s="74" t="s">
        <v>81</v>
      </c>
      <c r="F607" s="86" t="s">
        <v>160</v>
      </c>
      <c r="G607" s="74" t="s">
        <v>161</v>
      </c>
      <c r="H607" s="87">
        <v>44469</v>
      </c>
      <c r="I607" s="94">
        <v>1706.83</v>
      </c>
      <c r="J607" s="94">
        <v>1280.12</v>
      </c>
      <c r="K607" s="94">
        <v>426.71</v>
      </c>
    </row>
    <row r="608" spans="1:11">
      <c r="A608" s="74" t="s">
        <v>113</v>
      </c>
      <c r="B608" s="74" t="s">
        <v>168</v>
      </c>
      <c r="C608" s="74" t="s">
        <v>169</v>
      </c>
      <c r="D608" s="74" t="s">
        <v>79</v>
      </c>
      <c r="E608" s="74" t="s">
        <v>81</v>
      </c>
      <c r="F608" s="86" t="s">
        <v>123</v>
      </c>
      <c r="G608" s="74" t="s">
        <v>153</v>
      </c>
      <c r="H608" s="87">
        <v>44469</v>
      </c>
      <c r="I608" s="94">
        <v>2423.32</v>
      </c>
      <c r="J608" s="94">
        <v>1817.49</v>
      </c>
      <c r="K608" s="94">
        <v>605.83</v>
      </c>
    </row>
    <row r="609" spans="1:11">
      <c r="A609" s="74" t="s">
        <v>113</v>
      </c>
      <c r="B609" s="74" t="s">
        <v>170</v>
      </c>
      <c r="C609" s="74" t="s">
        <v>171</v>
      </c>
      <c r="D609" s="74" t="s">
        <v>79</v>
      </c>
      <c r="E609" s="74" t="s">
        <v>81</v>
      </c>
      <c r="F609" s="86" t="s">
        <v>156</v>
      </c>
      <c r="G609" s="74" t="s">
        <v>157</v>
      </c>
      <c r="H609" s="87">
        <v>44469</v>
      </c>
      <c r="I609" s="94">
        <v>2013.04</v>
      </c>
      <c r="J609" s="94">
        <v>1509.78</v>
      </c>
      <c r="K609" s="94">
        <v>503.26</v>
      </c>
    </row>
    <row r="610" spans="1:11">
      <c r="A610" s="74" t="s">
        <v>113</v>
      </c>
      <c r="B610" s="74" t="s">
        <v>172</v>
      </c>
      <c r="C610" s="74" t="s">
        <v>173</v>
      </c>
      <c r="D610" s="74" t="s">
        <v>79</v>
      </c>
      <c r="E610" s="74" t="s">
        <v>81</v>
      </c>
      <c r="F610" s="86" t="s">
        <v>160</v>
      </c>
      <c r="G610" s="74" t="s">
        <v>161</v>
      </c>
      <c r="H610" s="87">
        <v>44469</v>
      </c>
      <c r="I610" s="94">
        <v>1674.5</v>
      </c>
      <c r="J610" s="94">
        <v>1255.88</v>
      </c>
      <c r="K610" s="94">
        <v>418.62</v>
      </c>
    </row>
    <row r="611" spans="1:11">
      <c r="A611" s="74" t="s">
        <v>113</v>
      </c>
      <c r="B611" s="74" t="s">
        <v>174</v>
      </c>
      <c r="C611" s="74" t="s">
        <v>175</v>
      </c>
      <c r="D611" s="74" t="s">
        <v>79</v>
      </c>
      <c r="E611" s="74" t="s">
        <v>81</v>
      </c>
      <c r="F611" s="86" t="s">
        <v>176</v>
      </c>
      <c r="G611" s="74" t="s">
        <v>177</v>
      </c>
      <c r="H611" s="87">
        <v>44469</v>
      </c>
      <c r="I611" s="94">
        <v>1190.88</v>
      </c>
      <c r="J611" s="94">
        <v>893.16</v>
      </c>
      <c r="K611" s="94">
        <v>297.72</v>
      </c>
    </row>
    <row r="612" spans="1:11">
      <c r="A612" s="74" t="s">
        <v>113</v>
      </c>
      <c r="B612" s="74" t="s">
        <v>178</v>
      </c>
      <c r="C612" s="74" t="s">
        <v>179</v>
      </c>
      <c r="D612" s="74" t="s">
        <v>79</v>
      </c>
      <c r="E612" s="74" t="s">
        <v>81</v>
      </c>
      <c r="F612" s="86" t="s">
        <v>180</v>
      </c>
      <c r="G612" s="74" t="s">
        <v>177</v>
      </c>
      <c r="H612" s="87">
        <v>44469</v>
      </c>
      <c r="I612" s="94">
        <v>794.09</v>
      </c>
      <c r="J612" s="94">
        <v>595.57</v>
      </c>
      <c r="K612" s="94">
        <v>198.52</v>
      </c>
    </row>
    <row r="613" spans="1:11">
      <c r="A613" s="74" t="s">
        <v>113</v>
      </c>
      <c r="B613" s="74" t="s">
        <v>181</v>
      </c>
      <c r="C613" s="74" t="s">
        <v>182</v>
      </c>
      <c r="D613" s="74" t="s">
        <v>79</v>
      </c>
      <c r="E613" s="74" t="s">
        <v>81</v>
      </c>
      <c r="F613" s="86" t="s">
        <v>183</v>
      </c>
      <c r="G613" s="74" t="s">
        <v>177</v>
      </c>
      <c r="H613" s="87">
        <v>44469</v>
      </c>
      <c r="I613" s="94">
        <v>412.91</v>
      </c>
      <c r="J613" s="94">
        <v>309.68</v>
      </c>
      <c r="K613" s="94">
        <v>103.23</v>
      </c>
    </row>
    <row r="614" spans="1:11">
      <c r="A614" s="74" t="s">
        <v>113</v>
      </c>
      <c r="B614" s="74" t="s">
        <v>184</v>
      </c>
      <c r="C614" s="74" t="s">
        <v>185</v>
      </c>
      <c r="D614" s="74" t="s">
        <v>79</v>
      </c>
      <c r="E614" s="74" t="s">
        <v>81</v>
      </c>
      <c r="F614" s="86" t="s">
        <v>176</v>
      </c>
      <c r="G614" s="74" t="s">
        <v>177</v>
      </c>
      <c r="H614" s="87">
        <v>44469</v>
      </c>
      <c r="I614" s="94">
        <v>1209.32</v>
      </c>
      <c r="J614" s="94">
        <v>906.99</v>
      </c>
      <c r="K614" s="94">
        <v>302.33</v>
      </c>
    </row>
    <row r="615" spans="1:11">
      <c r="A615" s="74" t="s">
        <v>113</v>
      </c>
      <c r="B615" s="74" t="s">
        <v>186</v>
      </c>
      <c r="C615" s="74" t="s">
        <v>187</v>
      </c>
      <c r="D615" s="74" t="s">
        <v>79</v>
      </c>
      <c r="E615" s="74" t="s">
        <v>81</v>
      </c>
      <c r="F615" s="86" t="s">
        <v>180</v>
      </c>
      <c r="G615" s="74" t="s">
        <v>177</v>
      </c>
      <c r="H615" s="87">
        <v>44469</v>
      </c>
      <c r="I615" s="94">
        <v>850.42</v>
      </c>
      <c r="J615" s="94">
        <v>637.82</v>
      </c>
      <c r="K615" s="94">
        <v>212.6</v>
      </c>
    </row>
    <row r="616" spans="1:11">
      <c r="A616" s="74" t="s">
        <v>113</v>
      </c>
      <c r="B616" s="74" t="s">
        <v>188</v>
      </c>
      <c r="C616" s="74" t="s">
        <v>189</v>
      </c>
      <c r="D616" s="74" t="s">
        <v>79</v>
      </c>
      <c r="E616" s="74" t="s">
        <v>81</v>
      </c>
      <c r="F616" s="86" t="s">
        <v>183</v>
      </c>
      <c r="G616" s="74" t="s">
        <v>177</v>
      </c>
      <c r="H616" s="87">
        <v>44469</v>
      </c>
      <c r="I616" s="94">
        <v>400.76</v>
      </c>
      <c r="J616" s="94">
        <v>300.57</v>
      </c>
      <c r="K616" s="94">
        <v>100.19</v>
      </c>
    </row>
    <row r="617" spans="1:11">
      <c r="A617" s="74" t="s">
        <v>113</v>
      </c>
      <c r="B617" s="74" t="s">
        <v>190</v>
      </c>
      <c r="C617" s="74" t="s">
        <v>191</v>
      </c>
      <c r="D617" s="74" t="s">
        <v>79</v>
      </c>
      <c r="E617" s="74" t="s">
        <v>81</v>
      </c>
      <c r="F617" s="86" t="s">
        <v>176</v>
      </c>
      <c r="G617" s="74" t="s">
        <v>177</v>
      </c>
      <c r="H617" s="87">
        <v>44469</v>
      </c>
      <c r="I617" s="94">
        <v>1267.84</v>
      </c>
      <c r="J617" s="94">
        <v>950.88</v>
      </c>
      <c r="K617" s="94">
        <v>316.96</v>
      </c>
    </row>
    <row r="618" spans="1:11">
      <c r="A618" s="74" t="s">
        <v>113</v>
      </c>
      <c r="B618" s="74" t="s">
        <v>192</v>
      </c>
      <c r="C618" s="74" t="s">
        <v>193</v>
      </c>
      <c r="D618" s="74" t="s">
        <v>79</v>
      </c>
      <c r="E618" s="74" t="s">
        <v>81</v>
      </c>
      <c r="F618" s="86" t="s">
        <v>180</v>
      </c>
      <c r="G618" s="74" t="s">
        <v>177</v>
      </c>
      <c r="H618" s="87">
        <v>44469</v>
      </c>
      <c r="I618" s="94">
        <v>856.3</v>
      </c>
      <c r="J618" s="94">
        <v>642.23</v>
      </c>
      <c r="K618" s="94">
        <v>214.07</v>
      </c>
    </row>
    <row r="619" spans="1:11">
      <c r="A619" s="74" t="s">
        <v>113</v>
      </c>
      <c r="B619" s="74" t="s">
        <v>194</v>
      </c>
      <c r="C619" s="74" t="s">
        <v>195</v>
      </c>
      <c r="D619" s="74" t="s">
        <v>79</v>
      </c>
      <c r="E619" s="74" t="s">
        <v>81</v>
      </c>
      <c r="F619" s="86" t="s">
        <v>183</v>
      </c>
      <c r="G619" s="74" t="s">
        <v>177</v>
      </c>
      <c r="H619" s="87">
        <v>44469</v>
      </c>
      <c r="I619" s="94">
        <v>390.98</v>
      </c>
      <c r="J619" s="94">
        <v>293.24</v>
      </c>
      <c r="K619" s="94">
        <v>97.74</v>
      </c>
    </row>
    <row r="620" spans="1:11">
      <c r="A620" s="74" t="s">
        <v>113</v>
      </c>
      <c r="B620" s="74" t="s">
        <v>196</v>
      </c>
      <c r="C620" s="74" t="s">
        <v>197</v>
      </c>
      <c r="D620" s="74" t="s">
        <v>79</v>
      </c>
      <c r="E620" s="74" t="s">
        <v>81</v>
      </c>
      <c r="F620" s="86" t="s">
        <v>176</v>
      </c>
      <c r="G620" s="74" t="s">
        <v>177</v>
      </c>
      <c r="H620" s="87">
        <v>44469</v>
      </c>
      <c r="I620" s="94">
        <v>1269.49</v>
      </c>
      <c r="J620" s="94">
        <v>952.12</v>
      </c>
      <c r="K620" s="94">
        <v>317.37</v>
      </c>
    </row>
    <row r="621" spans="1:11">
      <c r="A621" s="74" t="s">
        <v>113</v>
      </c>
      <c r="B621" s="74" t="s">
        <v>198</v>
      </c>
      <c r="C621" s="74" t="s">
        <v>199</v>
      </c>
      <c r="D621" s="74" t="s">
        <v>79</v>
      </c>
      <c r="E621" s="74" t="s">
        <v>81</v>
      </c>
      <c r="F621" s="86" t="s">
        <v>180</v>
      </c>
      <c r="G621" s="74" t="s">
        <v>177</v>
      </c>
      <c r="H621" s="87">
        <v>44469</v>
      </c>
      <c r="I621" s="94">
        <v>799.86</v>
      </c>
      <c r="J621" s="94">
        <v>599.9</v>
      </c>
      <c r="K621" s="94">
        <v>199.96</v>
      </c>
    </row>
    <row r="622" spans="1:11">
      <c r="A622" s="74" t="s">
        <v>113</v>
      </c>
      <c r="B622" s="74" t="s">
        <v>200</v>
      </c>
      <c r="C622" s="74" t="s">
        <v>201</v>
      </c>
      <c r="D622" s="74" t="s">
        <v>79</v>
      </c>
      <c r="E622" s="74" t="s">
        <v>81</v>
      </c>
      <c r="F622" s="86" t="s">
        <v>183</v>
      </c>
      <c r="G622" s="74" t="s">
        <v>177</v>
      </c>
      <c r="H622" s="87">
        <v>44469</v>
      </c>
      <c r="I622" s="94">
        <v>428.86</v>
      </c>
      <c r="J622" s="94">
        <v>321.65</v>
      </c>
      <c r="K622" s="94">
        <v>107.21</v>
      </c>
    </row>
    <row r="623" spans="1:11">
      <c r="A623" s="74" t="s">
        <v>113</v>
      </c>
      <c r="B623" s="74" t="s">
        <v>202</v>
      </c>
      <c r="C623" s="74" t="s">
        <v>203</v>
      </c>
      <c r="D623" s="74" t="s">
        <v>79</v>
      </c>
      <c r="E623" s="74" t="s">
        <v>81</v>
      </c>
      <c r="F623" s="86" t="s">
        <v>204</v>
      </c>
      <c r="G623" s="74" t="s">
        <v>205</v>
      </c>
      <c r="H623" s="87">
        <v>44469</v>
      </c>
      <c r="I623" s="94">
        <v>7576.62</v>
      </c>
      <c r="J623" s="94">
        <v>5682.47</v>
      </c>
      <c r="K623" s="94">
        <v>1894.15</v>
      </c>
    </row>
    <row r="624" spans="1:11">
      <c r="A624" s="74" t="s">
        <v>113</v>
      </c>
      <c r="B624" s="74" t="s">
        <v>206</v>
      </c>
      <c r="C624" s="74" t="s">
        <v>207</v>
      </c>
      <c r="D624" s="88" t="s">
        <v>82</v>
      </c>
      <c r="E624" s="88" t="s">
        <v>84</v>
      </c>
      <c r="F624" s="86" t="s">
        <v>208</v>
      </c>
      <c r="G624" s="74" t="s">
        <v>209</v>
      </c>
      <c r="H624" s="87">
        <v>44469</v>
      </c>
      <c r="I624" s="94">
        <v>3851.42</v>
      </c>
      <c r="J624" s="94">
        <v>2888.57</v>
      </c>
      <c r="K624" s="94">
        <v>962.85</v>
      </c>
    </row>
    <row r="625" spans="1:11">
      <c r="A625" s="74" t="s">
        <v>113</v>
      </c>
      <c r="B625" s="74" t="s">
        <v>210</v>
      </c>
      <c r="C625" s="74" t="s">
        <v>211</v>
      </c>
      <c r="D625" s="88" t="s">
        <v>82</v>
      </c>
      <c r="E625" s="88" t="s">
        <v>84</v>
      </c>
      <c r="F625" s="86" t="s">
        <v>116</v>
      </c>
      <c r="G625" s="74" t="s">
        <v>209</v>
      </c>
      <c r="H625" s="87">
        <v>44469</v>
      </c>
      <c r="I625" s="94">
        <v>3375.3</v>
      </c>
      <c r="J625" s="94">
        <v>2531.48</v>
      </c>
      <c r="K625" s="94">
        <v>843.82</v>
      </c>
    </row>
    <row r="626" spans="1:11">
      <c r="A626" s="74" t="s">
        <v>113</v>
      </c>
      <c r="B626" s="74" t="s">
        <v>212</v>
      </c>
      <c r="C626" s="74" t="s">
        <v>213</v>
      </c>
      <c r="D626" s="88" t="s">
        <v>82</v>
      </c>
      <c r="E626" s="88" t="s">
        <v>84</v>
      </c>
      <c r="F626" s="86" t="s">
        <v>208</v>
      </c>
      <c r="G626" s="74" t="s">
        <v>209</v>
      </c>
      <c r="H626" s="87">
        <v>44469</v>
      </c>
      <c r="I626" s="94">
        <v>3521.16</v>
      </c>
      <c r="J626" s="94">
        <v>2640.87</v>
      </c>
      <c r="K626" s="94">
        <v>880.29</v>
      </c>
    </row>
    <row r="627" spans="1:11">
      <c r="A627" s="74" t="s">
        <v>113</v>
      </c>
      <c r="B627" s="74" t="s">
        <v>214</v>
      </c>
      <c r="C627" s="74" t="s">
        <v>215</v>
      </c>
      <c r="D627" s="88" t="s">
        <v>82</v>
      </c>
      <c r="E627" s="88" t="s">
        <v>84</v>
      </c>
      <c r="F627" s="86" t="s">
        <v>116</v>
      </c>
      <c r="G627" s="74" t="s">
        <v>209</v>
      </c>
      <c r="H627" s="87">
        <v>44469</v>
      </c>
      <c r="I627" s="94">
        <v>3282.31</v>
      </c>
      <c r="J627" s="94">
        <v>2461.73</v>
      </c>
      <c r="K627" s="94">
        <v>820.58</v>
      </c>
    </row>
    <row r="628" spans="1:11">
      <c r="A628" s="74" t="s">
        <v>113</v>
      </c>
      <c r="B628" s="74" t="s">
        <v>216</v>
      </c>
      <c r="C628" s="74" t="s">
        <v>217</v>
      </c>
      <c r="D628" s="88" t="s">
        <v>82</v>
      </c>
      <c r="E628" s="88" t="s">
        <v>84</v>
      </c>
      <c r="F628" s="86" t="s">
        <v>218</v>
      </c>
      <c r="G628" s="74" t="s">
        <v>219</v>
      </c>
      <c r="H628" s="87">
        <v>44469</v>
      </c>
      <c r="I628" s="94">
        <v>4404.1</v>
      </c>
      <c r="J628" s="94">
        <v>3303.08</v>
      </c>
      <c r="K628" s="94">
        <v>1101.02</v>
      </c>
    </row>
    <row r="629" spans="1:11">
      <c r="A629" s="74" t="s">
        <v>113</v>
      </c>
      <c r="B629" s="74" t="s">
        <v>220</v>
      </c>
      <c r="C629" s="74" t="s">
        <v>221</v>
      </c>
      <c r="D629" s="88" t="s">
        <v>82</v>
      </c>
      <c r="E629" s="74" t="s">
        <v>83</v>
      </c>
      <c r="F629" s="86" t="s">
        <v>218</v>
      </c>
      <c r="G629" s="74" t="s">
        <v>222</v>
      </c>
      <c r="H629" s="87">
        <v>44469</v>
      </c>
      <c r="I629" s="94">
        <v>4318.1</v>
      </c>
      <c r="J629" s="94">
        <v>3238.58</v>
      </c>
      <c r="K629" s="94">
        <v>1079.52</v>
      </c>
    </row>
    <row r="630" spans="1:11">
      <c r="A630" s="74" t="s">
        <v>113</v>
      </c>
      <c r="B630" s="74" t="s">
        <v>223</v>
      </c>
      <c r="C630" s="74" t="s">
        <v>224</v>
      </c>
      <c r="D630" s="88" t="s">
        <v>82</v>
      </c>
      <c r="E630" s="74" t="s">
        <v>83</v>
      </c>
      <c r="F630" s="86" t="s">
        <v>225</v>
      </c>
      <c r="G630" s="74" t="s">
        <v>209</v>
      </c>
      <c r="H630" s="87">
        <v>44469</v>
      </c>
      <c r="I630" s="94">
        <v>4093.12</v>
      </c>
      <c r="J630" s="94">
        <v>3069.84</v>
      </c>
      <c r="K630" s="94">
        <v>1023.28</v>
      </c>
    </row>
    <row r="631" spans="1:11">
      <c r="A631" s="74" t="s">
        <v>113</v>
      </c>
      <c r="B631" s="74" t="s">
        <v>226</v>
      </c>
      <c r="C631" s="74" t="s">
        <v>227</v>
      </c>
      <c r="D631" s="88" t="s">
        <v>82</v>
      </c>
      <c r="E631" s="74" t="s">
        <v>83</v>
      </c>
      <c r="F631" s="86" t="s">
        <v>208</v>
      </c>
      <c r="G631" s="74" t="s">
        <v>209</v>
      </c>
      <c r="H631" s="87">
        <v>44469</v>
      </c>
      <c r="I631" s="94">
        <v>3779.15</v>
      </c>
      <c r="J631" s="94">
        <v>2834.36</v>
      </c>
      <c r="K631" s="94">
        <v>944.79</v>
      </c>
    </row>
    <row r="632" spans="1:11">
      <c r="A632" s="74" t="s">
        <v>113</v>
      </c>
      <c r="B632" s="74" t="s">
        <v>228</v>
      </c>
      <c r="C632" s="74" t="s">
        <v>229</v>
      </c>
      <c r="D632" s="88" t="s">
        <v>82</v>
      </c>
      <c r="E632" s="74" t="s">
        <v>83</v>
      </c>
      <c r="F632" s="86" t="s">
        <v>116</v>
      </c>
      <c r="G632" s="74" t="s">
        <v>209</v>
      </c>
      <c r="H632" s="87">
        <v>44469</v>
      </c>
      <c r="I632" s="94">
        <v>3363.7</v>
      </c>
      <c r="J632" s="94">
        <v>2522.78</v>
      </c>
      <c r="K632" s="94">
        <v>840.92</v>
      </c>
    </row>
    <row r="633" spans="1:11">
      <c r="A633" s="74" t="s">
        <v>113</v>
      </c>
      <c r="B633" s="74" t="s">
        <v>230</v>
      </c>
      <c r="C633" s="74" t="s">
        <v>231</v>
      </c>
      <c r="D633" s="88" t="s">
        <v>82</v>
      </c>
      <c r="E633" s="74" t="s">
        <v>83</v>
      </c>
      <c r="F633" s="86" t="s">
        <v>120</v>
      </c>
      <c r="G633" s="74" t="s">
        <v>209</v>
      </c>
      <c r="H633" s="87">
        <v>44469</v>
      </c>
      <c r="I633" s="94">
        <v>2771.32</v>
      </c>
      <c r="J633" s="94">
        <v>2078.49</v>
      </c>
      <c r="K633" s="94">
        <v>692.83</v>
      </c>
    </row>
    <row r="634" spans="1:11">
      <c r="A634" s="74" t="s">
        <v>113</v>
      </c>
      <c r="B634" s="74" t="s">
        <v>232</v>
      </c>
      <c r="C634" s="74" t="s">
        <v>233</v>
      </c>
      <c r="D634" s="88" t="s">
        <v>82</v>
      </c>
      <c r="E634" s="74" t="s">
        <v>83</v>
      </c>
      <c r="F634" s="86" t="s">
        <v>123</v>
      </c>
      <c r="G634" s="74" t="s">
        <v>209</v>
      </c>
      <c r="H634" s="87">
        <v>44469</v>
      </c>
      <c r="I634" s="94">
        <v>2533.93</v>
      </c>
      <c r="J634" s="94">
        <v>1900.45</v>
      </c>
      <c r="K634" s="94">
        <v>633.48</v>
      </c>
    </row>
    <row r="635" spans="1:11">
      <c r="A635" s="74" t="s">
        <v>113</v>
      </c>
      <c r="B635" s="74" t="s">
        <v>234</v>
      </c>
      <c r="C635" s="74" t="s">
        <v>235</v>
      </c>
      <c r="D635" s="88" t="s">
        <v>82</v>
      </c>
      <c r="E635" s="74" t="s">
        <v>83</v>
      </c>
      <c r="F635" s="86" t="s">
        <v>116</v>
      </c>
      <c r="G635" s="74" t="s">
        <v>209</v>
      </c>
      <c r="H635" s="87">
        <v>44469</v>
      </c>
      <c r="I635" s="94">
        <v>3357.23</v>
      </c>
      <c r="J635" s="94">
        <v>2517.92</v>
      </c>
      <c r="K635" s="94">
        <v>839.31</v>
      </c>
    </row>
    <row r="636" spans="1:11">
      <c r="A636" s="74" t="s">
        <v>113</v>
      </c>
      <c r="B636" s="74" t="s">
        <v>236</v>
      </c>
      <c r="C636" s="74" t="s">
        <v>237</v>
      </c>
      <c r="D636" s="88" t="s">
        <v>82</v>
      </c>
      <c r="E636" s="74" t="s">
        <v>83</v>
      </c>
      <c r="F636" s="86" t="s">
        <v>120</v>
      </c>
      <c r="G636" s="74" t="s">
        <v>209</v>
      </c>
      <c r="H636" s="87">
        <v>44469</v>
      </c>
      <c r="I636" s="94">
        <v>2953.75</v>
      </c>
      <c r="J636" s="94">
        <v>2215.31</v>
      </c>
      <c r="K636" s="94">
        <v>738.44</v>
      </c>
    </row>
    <row r="637" spans="1:11">
      <c r="A637" s="74" t="s">
        <v>113</v>
      </c>
      <c r="B637" s="74" t="s">
        <v>238</v>
      </c>
      <c r="C637" s="74" t="s">
        <v>239</v>
      </c>
      <c r="D637" s="74" t="s">
        <v>86</v>
      </c>
      <c r="E637" s="74" t="s">
        <v>87</v>
      </c>
      <c r="F637" s="86" t="s">
        <v>204</v>
      </c>
      <c r="G637" s="74" t="s">
        <v>240</v>
      </c>
      <c r="H637" s="87">
        <v>44469</v>
      </c>
      <c r="I637" s="94">
        <v>5620.13</v>
      </c>
      <c r="J637" s="94">
        <v>4215.1</v>
      </c>
      <c r="K637" s="94">
        <v>1405.03</v>
      </c>
    </row>
    <row r="638" spans="1:11">
      <c r="A638" s="74" t="s">
        <v>113</v>
      </c>
      <c r="B638" s="74" t="s">
        <v>241</v>
      </c>
      <c r="C638" s="74" t="s">
        <v>242</v>
      </c>
      <c r="D638" s="74" t="s">
        <v>86</v>
      </c>
      <c r="E638" s="74" t="s">
        <v>87</v>
      </c>
      <c r="F638" s="86" t="s">
        <v>243</v>
      </c>
      <c r="G638" s="74" t="s">
        <v>244</v>
      </c>
      <c r="H638" s="87">
        <v>44469</v>
      </c>
      <c r="I638" s="94">
        <v>4214.86</v>
      </c>
      <c r="J638" s="94">
        <v>3161.15</v>
      </c>
      <c r="K638" s="94">
        <v>1053.71</v>
      </c>
    </row>
    <row r="639" spans="1:11">
      <c r="A639" s="74" t="s">
        <v>113</v>
      </c>
      <c r="B639" s="74" t="s">
        <v>245</v>
      </c>
      <c r="C639" s="74" t="s">
        <v>246</v>
      </c>
      <c r="D639" s="74" t="s">
        <v>86</v>
      </c>
      <c r="E639" s="74" t="s">
        <v>87</v>
      </c>
      <c r="F639" s="86" t="s">
        <v>247</v>
      </c>
      <c r="G639" s="74" t="s">
        <v>248</v>
      </c>
      <c r="H639" s="87">
        <v>44469</v>
      </c>
      <c r="I639" s="94">
        <v>4076.76</v>
      </c>
      <c r="J639" s="94">
        <v>3057.57</v>
      </c>
      <c r="K639" s="94">
        <v>1019.19</v>
      </c>
    </row>
    <row r="640" spans="1:11">
      <c r="A640" s="74" t="s">
        <v>113</v>
      </c>
      <c r="B640" s="74" t="s">
        <v>249</v>
      </c>
      <c r="C640" s="74" t="s">
        <v>250</v>
      </c>
      <c r="D640" s="74" t="s">
        <v>86</v>
      </c>
      <c r="E640" s="74" t="s">
        <v>87</v>
      </c>
      <c r="F640" s="86" t="s">
        <v>251</v>
      </c>
      <c r="G640" s="74" t="s">
        <v>252</v>
      </c>
      <c r="H640" s="87">
        <v>44469</v>
      </c>
      <c r="I640" s="94">
        <v>3699.91</v>
      </c>
      <c r="J640" s="94">
        <v>2774.93</v>
      </c>
      <c r="K640" s="94">
        <v>924.98</v>
      </c>
    </row>
    <row r="641" spans="1:11">
      <c r="A641" s="74" t="s">
        <v>113</v>
      </c>
      <c r="B641" s="74" t="s">
        <v>253</v>
      </c>
      <c r="C641" s="74" t="s">
        <v>254</v>
      </c>
      <c r="D641" s="74" t="s">
        <v>86</v>
      </c>
      <c r="E641" s="74" t="s">
        <v>87</v>
      </c>
      <c r="F641" s="86" t="s">
        <v>255</v>
      </c>
      <c r="G641" s="74" t="s">
        <v>252</v>
      </c>
      <c r="H641" s="87">
        <v>44469</v>
      </c>
      <c r="I641" s="94">
        <v>3152.89</v>
      </c>
      <c r="J641" s="94">
        <v>2364.67</v>
      </c>
      <c r="K641" s="94">
        <v>788.22</v>
      </c>
    </row>
    <row r="642" spans="1:11">
      <c r="A642" s="74" t="s">
        <v>113</v>
      </c>
      <c r="B642" s="74" t="s">
        <v>256</v>
      </c>
      <c r="C642" s="74" t="s">
        <v>257</v>
      </c>
      <c r="D642" s="74" t="s">
        <v>86</v>
      </c>
      <c r="E642" s="74" t="s">
        <v>87</v>
      </c>
      <c r="F642" s="86" t="s">
        <v>258</v>
      </c>
      <c r="G642" s="74" t="s">
        <v>252</v>
      </c>
      <c r="H642" s="87">
        <v>44469</v>
      </c>
      <c r="I642" s="94">
        <v>2996.9</v>
      </c>
      <c r="J642" s="94">
        <v>2247.68</v>
      </c>
      <c r="K642" s="94">
        <v>749.22</v>
      </c>
    </row>
    <row r="643" spans="1:11">
      <c r="A643" s="74" t="s">
        <v>113</v>
      </c>
      <c r="B643" s="74" t="s">
        <v>259</v>
      </c>
      <c r="C643" s="74" t="s">
        <v>260</v>
      </c>
      <c r="D643" s="74" t="s">
        <v>86</v>
      </c>
      <c r="E643" s="74" t="s">
        <v>87</v>
      </c>
      <c r="F643" s="86" t="s">
        <v>261</v>
      </c>
      <c r="G643" s="74" t="s">
        <v>262</v>
      </c>
      <c r="H643" s="87">
        <v>44469</v>
      </c>
      <c r="I643" s="94">
        <v>2554.17</v>
      </c>
      <c r="J643" s="94">
        <v>1915.63</v>
      </c>
      <c r="K643" s="94">
        <v>638.54</v>
      </c>
    </row>
    <row r="644" spans="1:11">
      <c r="A644" s="74" t="s">
        <v>113</v>
      </c>
      <c r="B644" s="74" t="s">
        <v>263</v>
      </c>
      <c r="C644" s="74" t="s">
        <v>264</v>
      </c>
      <c r="D644" s="74" t="s">
        <v>86</v>
      </c>
      <c r="E644" s="74" t="s">
        <v>88</v>
      </c>
      <c r="F644" s="86" t="s">
        <v>149</v>
      </c>
      <c r="G644" s="74" t="s">
        <v>265</v>
      </c>
      <c r="H644" s="87">
        <v>44469</v>
      </c>
      <c r="I644" s="94">
        <v>5634.61</v>
      </c>
      <c r="J644" s="94">
        <v>4225.96</v>
      </c>
      <c r="K644" s="94">
        <v>1408.65</v>
      </c>
    </row>
    <row r="645" spans="1:11">
      <c r="A645" s="74" t="s">
        <v>113</v>
      </c>
      <c r="B645" s="74" t="s">
        <v>266</v>
      </c>
      <c r="C645" s="74" t="s">
        <v>267</v>
      </c>
      <c r="D645" s="74" t="s">
        <v>86</v>
      </c>
      <c r="E645" s="74" t="s">
        <v>88</v>
      </c>
      <c r="F645" s="86" t="s">
        <v>243</v>
      </c>
      <c r="G645" s="74" t="s">
        <v>268</v>
      </c>
      <c r="H645" s="87">
        <v>44469</v>
      </c>
      <c r="I645" s="94">
        <v>4059.21</v>
      </c>
      <c r="J645" s="94">
        <v>3044.41</v>
      </c>
      <c r="K645" s="94">
        <v>1014.8</v>
      </c>
    </row>
    <row r="646" spans="1:11">
      <c r="A646" s="74" t="s">
        <v>113</v>
      </c>
      <c r="B646" s="74" t="s">
        <v>269</v>
      </c>
      <c r="C646" s="74" t="s">
        <v>270</v>
      </c>
      <c r="D646" s="74" t="s">
        <v>86</v>
      </c>
      <c r="E646" s="74" t="s">
        <v>88</v>
      </c>
      <c r="F646" s="86" t="s">
        <v>247</v>
      </c>
      <c r="G646" s="74" t="s">
        <v>268</v>
      </c>
      <c r="H646" s="87">
        <v>44469</v>
      </c>
      <c r="I646" s="94">
        <v>3940.26</v>
      </c>
      <c r="J646" s="94">
        <v>2955.2</v>
      </c>
      <c r="K646" s="94">
        <v>985.06</v>
      </c>
    </row>
    <row r="647" spans="1:11">
      <c r="A647" s="74" t="s">
        <v>113</v>
      </c>
      <c r="B647" s="74" t="s">
        <v>271</v>
      </c>
      <c r="C647" s="74" t="s">
        <v>272</v>
      </c>
      <c r="D647" s="74" t="s">
        <v>86</v>
      </c>
      <c r="E647" s="74" t="s">
        <v>88</v>
      </c>
      <c r="F647" s="86" t="s">
        <v>251</v>
      </c>
      <c r="G647" s="74" t="s">
        <v>268</v>
      </c>
      <c r="H647" s="87">
        <v>44469</v>
      </c>
      <c r="I647" s="94">
        <v>3513.42</v>
      </c>
      <c r="J647" s="94">
        <v>2635.07</v>
      </c>
      <c r="K647" s="94">
        <v>878.35</v>
      </c>
    </row>
    <row r="648" spans="1:11">
      <c r="A648" s="74" t="s">
        <v>113</v>
      </c>
      <c r="B648" s="74" t="s">
        <v>273</v>
      </c>
      <c r="C648" s="74" t="s">
        <v>274</v>
      </c>
      <c r="D648" s="74" t="s">
        <v>86</v>
      </c>
      <c r="E648" s="74" t="s">
        <v>88</v>
      </c>
      <c r="F648" s="86" t="s">
        <v>255</v>
      </c>
      <c r="G648" s="74" t="s">
        <v>268</v>
      </c>
      <c r="H648" s="87">
        <v>44469</v>
      </c>
      <c r="I648" s="94">
        <v>3358.95</v>
      </c>
      <c r="J648" s="94">
        <v>2519.21</v>
      </c>
      <c r="K648" s="94">
        <v>839.74</v>
      </c>
    </row>
    <row r="649" spans="1:11">
      <c r="A649" s="74" t="s">
        <v>113</v>
      </c>
      <c r="B649" s="74" t="s">
        <v>275</v>
      </c>
      <c r="C649" s="74" t="s">
        <v>276</v>
      </c>
      <c r="D649" s="74" t="s">
        <v>86</v>
      </c>
      <c r="E649" s="74" t="s">
        <v>88</v>
      </c>
      <c r="F649" s="86" t="s">
        <v>258</v>
      </c>
      <c r="G649" s="74" t="s">
        <v>268</v>
      </c>
      <c r="H649" s="87">
        <v>44469</v>
      </c>
      <c r="I649" s="94">
        <v>2899.88</v>
      </c>
      <c r="J649" s="94">
        <v>2174.91</v>
      </c>
      <c r="K649" s="94">
        <v>724.97</v>
      </c>
    </row>
    <row r="650" spans="1:11">
      <c r="A650" s="74" t="s">
        <v>113</v>
      </c>
      <c r="B650" s="74" t="s">
        <v>277</v>
      </c>
      <c r="C650" s="74" t="s">
        <v>278</v>
      </c>
      <c r="D650" s="74" t="s">
        <v>86</v>
      </c>
      <c r="E650" s="74" t="s">
        <v>89</v>
      </c>
      <c r="F650" s="86" t="s">
        <v>279</v>
      </c>
      <c r="G650" s="74" t="s">
        <v>280</v>
      </c>
      <c r="H650" s="87">
        <v>44469</v>
      </c>
      <c r="I650" s="94">
        <v>4772.08</v>
      </c>
      <c r="J650" s="94">
        <v>3579.06</v>
      </c>
      <c r="K650" s="94">
        <v>1193.02</v>
      </c>
    </row>
    <row r="651" spans="1:11">
      <c r="A651" s="74" t="s">
        <v>113</v>
      </c>
      <c r="B651" s="74" t="s">
        <v>281</v>
      </c>
      <c r="C651" s="74" t="s">
        <v>282</v>
      </c>
      <c r="D651" s="74" t="s">
        <v>86</v>
      </c>
      <c r="E651" s="74" t="s">
        <v>89</v>
      </c>
      <c r="F651" s="86" t="s">
        <v>225</v>
      </c>
      <c r="G651" s="74" t="s">
        <v>283</v>
      </c>
      <c r="H651" s="87">
        <v>44469</v>
      </c>
      <c r="I651" s="94">
        <v>3410.83</v>
      </c>
      <c r="J651" s="94">
        <v>2558.12</v>
      </c>
      <c r="K651" s="94">
        <v>852.71</v>
      </c>
    </row>
    <row r="652" spans="1:11">
      <c r="A652" s="74" t="s">
        <v>113</v>
      </c>
      <c r="B652" s="74" t="s">
        <v>284</v>
      </c>
      <c r="C652" s="74" t="s">
        <v>285</v>
      </c>
      <c r="D652" s="74" t="s">
        <v>86</v>
      </c>
      <c r="E652" s="74" t="s">
        <v>89</v>
      </c>
      <c r="F652" s="86" t="s">
        <v>208</v>
      </c>
      <c r="G652" s="74" t="s">
        <v>283</v>
      </c>
      <c r="H652" s="87">
        <v>44469</v>
      </c>
      <c r="I652" s="94">
        <v>2908.9</v>
      </c>
      <c r="J652" s="94">
        <v>2181.68</v>
      </c>
      <c r="K652" s="94">
        <v>727.22</v>
      </c>
    </row>
    <row r="653" spans="1:11">
      <c r="A653" s="74" t="s">
        <v>113</v>
      </c>
      <c r="B653" s="74" t="s">
        <v>286</v>
      </c>
      <c r="C653" s="74" t="s">
        <v>287</v>
      </c>
      <c r="D653" s="74" t="s">
        <v>82</v>
      </c>
      <c r="E653" s="88" t="s">
        <v>85</v>
      </c>
      <c r="F653" s="86" t="s">
        <v>288</v>
      </c>
      <c r="G653" s="74" t="s">
        <v>289</v>
      </c>
      <c r="H653" s="87">
        <v>44469</v>
      </c>
      <c r="I653" s="94">
        <v>5037.3</v>
      </c>
      <c r="J653" s="94">
        <v>3777.98</v>
      </c>
      <c r="K653" s="94">
        <v>1259.32</v>
      </c>
    </row>
    <row r="654" spans="1:11">
      <c r="A654" s="74" t="s">
        <v>113</v>
      </c>
      <c r="B654" s="74" t="s">
        <v>290</v>
      </c>
      <c r="C654" s="74" t="s">
        <v>291</v>
      </c>
      <c r="D654" s="74" t="s">
        <v>82</v>
      </c>
      <c r="E654" s="88" t="s">
        <v>85</v>
      </c>
      <c r="F654" s="86" t="s">
        <v>218</v>
      </c>
      <c r="G654" s="74" t="s">
        <v>289</v>
      </c>
      <c r="H654" s="87">
        <v>44469</v>
      </c>
      <c r="I654" s="94">
        <v>4511.08</v>
      </c>
      <c r="J654" s="94">
        <v>3383.31</v>
      </c>
      <c r="K654" s="94">
        <v>1127.77</v>
      </c>
    </row>
    <row r="655" spans="1:11">
      <c r="A655" s="74" t="s">
        <v>113</v>
      </c>
      <c r="B655" s="74" t="s">
        <v>292</v>
      </c>
      <c r="C655" s="74" t="s">
        <v>293</v>
      </c>
      <c r="D655" s="74" t="s">
        <v>82</v>
      </c>
      <c r="E655" s="88" t="s">
        <v>85</v>
      </c>
      <c r="F655" s="86" t="s">
        <v>225</v>
      </c>
      <c r="G655" s="74" t="s">
        <v>289</v>
      </c>
      <c r="H655" s="87">
        <v>44469</v>
      </c>
      <c r="I655" s="94">
        <v>4039.39</v>
      </c>
      <c r="J655" s="94">
        <v>3029.54</v>
      </c>
      <c r="K655" s="94">
        <v>1009.85</v>
      </c>
    </row>
    <row r="656" spans="1:11">
      <c r="A656" s="74" t="s">
        <v>113</v>
      </c>
      <c r="B656" s="74" t="s">
        <v>294</v>
      </c>
      <c r="C656" s="74" t="s">
        <v>295</v>
      </c>
      <c r="D656" s="74" t="s">
        <v>82</v>
      </c>
      <c r="E656" s="88" t="s">
        <v>85</v>
      </c>
      <c r="F656" s="86" t="s">
        <v>208</v>
      </c>
      <c r="G656" s="74" t="s">
        <v>289</v>
      </c>
      <c r="H656" s="87">
        <v>44469</v>
      </c>
      <c r="I656" s="94">
        <v>3593.94</v>
      </c>
      <c r="J656" s="94">
        <v>2695.46</v>
      </c>
      <c r="K656" s="94">
        <v>898.48</v>
      </c>
    </row>
    <row r="657" spans="1:11">
      <c r="A657" s="74" t="s">
        <v>113</v>
      </c>
      <c r="B657" s="74" t="s">
        <v>296</v>
      </c>
      <c r="C657" s="74" t="s">
        <v>297</v>
      </c>
      <c r="D657" s="74" t="s">
        <v>82</v>
      </c>
      <c r="E657" s="88" t="s">
        <v>85</v>
      </c>
      <c r="F657" s="86" t="s">
        <v>116</v>
      </c>
      <c r="G657" s="74" t="s">
        <v>289</v>
      </c>
      <c r="H657" s="87">
        <v>44469</v>
      </c>
      <c r="I657" s="94">
        <v>3178.19</v>
      </c>
      <c r="J657" s="94">
        <v>2383.64</v>
      </c>
      <c r="K657" s="94">
        <v>794.55</v>
      </c>
    </row>
    <row r="658" spans="1:11">
      <c r="A658" s="74" t="s">
        <v>113</v>
      </c>
      <c r="B658" s="74" t="s">
        <v>298</v>
      </c>
      <c r="C658" s="74" t="s">
        <v>299</v>
      </c>
      <c r="D658" s="74" t="s">
        <v>82</v>
      </c>
      <c r="E658" s="88" t="s">
        <v>85</v>
      </c>
      <c r="F658" s="86" t="s">
        <v>279</v>
      </c>
      <c r="G658" s="74" t="s">
        <v>300</v>
      </c>
      <c r="H658" s="87">
        <v>44469</v>
      </c>
      <c r="I658" s="94">
        <v>6048.23</v>
      </c>
      <c r="J658" s="94">
        <v>4536.17</v>
      </c>
      <c r="K658" s="94">
        <v>1512.06</v>
      </c>
    </row>
    <row r="659" spans="1:11">
      <c r="A659" s="74" t="s">
        <v>113</v>
      </c>
      <c r="B659" s="74" t="s">
        <v>301</v>
      </c>
      <c r="C659" s="74" t="s">
        <v>302</v>
      </c>
      <c r="D659" s="74" t="s">
        <v>82</v>
      </c>
      <c r="E659" s="88" t="s">
        <v>85</v>
      </c>
      <c r="F659" s="86" t="s">
        <v>279</v>
      </c>
      <c r="G659" s="74" t="s">
        <v>303</v>
      </c>
      <c r="H659" s="87">
        <v>44469</v>
      </c>
      <c r="I659" s="94">
        <v>6429.08</v>
      </c>
      <c r="J659" s="94">
        <v>4821.81</v>
      </c>
      <c r="K659" s="94">
        <v>1607.27</v>
      </c>
    </row>
    <row r="660" spans="1:11">
      <c r="A660" s="74" t="s">
        <v>113</v>
      </c>
      <c r="B660" s="74" t="s">
        <v>304</v>
      </c>
      <c r="C660" s="74" t="s">
        <v>305</v>
      </c>
      <c r="D660" s="74" t="s">
        <v>86</v>
      </c>
      <c r="E660" s="74" t="s">
        <v>90</v>
      </c>
      <c r="F660" s="86" t="s">
        <v>306</v>
      </c>
      <c r="G660" s="74" t="s">
        <v>307</v>
      </c>
      <c r="H660" s="87">
        <v>44469</v>
      </c>
      <c r="I660" s="94">
        <v>6412.76</v>
      </c>
      <c r="J660" s="94">
        <v>4809.57</v>
      </c>
      <c r="K660" s="94">
        <v>1603.19</v>
      </c>
    </row>
    <row r="661" spans="1:11">
      <c r="A661" s="74" t="s">
        <v>113</v>
      </c>
      <c r="B661" s="74" t="s">
        <v>114</v>
      </c>
      <c r="C661" s="74" t="s">
        <v>115</v>
      </c>
      <c r="D661" s="74" t="s">
        <v>79</v>
      </c>
      <c r="E661" s="74" t="s">
        <v>80</v>
      </c>
      <c r="F661" s="86" t="s">
        <v>116</v>
      </c>
      <c r="G661" s="74" t="s">
        <v>117</v>
      </c>
      <c r="H661" s="87">
        <v>43861</v>
      </c>
      <c r="I661" s="94">
        <v>3211.48</v>
      </c>
      <c r="J661" s="94">
        <v>2408.61</v>
      </c>
      <c r="K661" s="94">
        <v>802.87</v>
      </c>
    </row>
    <row r="662" spans="1:11">
      <c r="A662" s="74" t="s">
        <v>113</v>
      </c>
      <c r="B662" s="74" t="s">
        <v>118</v>
      </c>
      <c r="C662" s="74" t="s">
        <v>119</v>
      </c>
      <c r="D662" s="74" t="s">
        <v>79</v>
      </c>
      <c r="E662" s="74" t="s">
        <v>80</v>
      </c>
      <c r="F662" s="86" t="s">
        <v>120</v>
      </c>
      <c r="G662" s="74" t="s">
        <v>117</v>
      </c>
      <c r="H662" s="87">
        <v>43861</v>
      </c>
      <c r="I662" s="94">
        <v>2789.04</v>
      </c>
      <c r="J662" s="94">
        <v>2091.78</v>
      </c>
      <c r="K662" s="94">
        <v>697.26</v>
      </c>
    </row>
    <row r="663" spans="1:11">
      <c r="A663" s="74" t="s">
        <v>113</v>
      </c>
      <c r="B663" s="74" t="s">
        <v>121</v>
      </c>
      <c r="C663" s="74" t="s">
        <v>122</v>
      </c>
      <c r="D663" s="74" t="s">
        <v>79</v>
      </c>
      <c r="E663" s="74" t="s">
        <v>80</v>
      </c>
      <c r="F663" s="86" t="s">
        <v>123</v>
      </c>
      <c r="G663" s="74" t="s">
        <v>117</v>
      </c>
      <c r="H663" s="87">
        <v>43861</v>
      </c>
      <c r="I663" s="94">
        <v>2431.02</v>
      </c>
      <c r="J663" s="94">
        <v>1823.27</v>
      </c>
      <c r="K663" s="94">
        <v>607.75</v>
      </c>
    </row>
    <row r="664" spans="1:11">
      <c r="A664" s="74" t="s">
        <v>113</v>
      </c>
      <c r="B664" s="74" t="s">
        <v>124</v>
      </c>
      <c r="C664" s="74" t="s">
        <v>125</v>
      </c>
      <c r="D664" s="74" t="s">
        <v>79</v>
      </c>
      <c r="E664" s="74" t="s">
        <v>80</v>
      </c>
      <c r="F664" s="86" t="s">
        <v>116</v>
      </c>
      <c r="G664" s="74" t="s">
        <v>117</v>
      </c>
      <c r="H664" s="87">
        <v>43861</v>
      </c>
      <c r="I664" s="94">
        <v>3208.83</v>
      </c>
      <c r="J664" s="94">
        <v>2406.62</v>
      </c>
      <c r="K664" s="94">
        <v>802.21</v>
      </c>
    </row>
    <row r="665" spans="1:11">
      <c r="A665" s="74" t="s">
        <v>113</v>
      </c>
      <c r="B665" s="74" t="s">
        <v>126</v>
      </c>
      <c r="C665" s="74" t="s">
        <v>127</v>
      </c>
      <c r="D665" s="74" t="s">
        <v>79</v>
      </c>
      <c r="E665" s="74" t="s">
        <v>80</v>
      </c>
      <c r="F665" s="86" t="s">
        <v>120</v>
      </c>
      <c r="G665" s="74" t="s">
        <v>117</v>
      </c>
      <c r="H665" s="87">
        <v>43861</v>
      </c>
      <c r="I665" s="94">
        <v>2886.77</v>
      </c>
      <c r="J665" s="94">
        <v>2165.08</v>
      </c>
      <c r="K665" s="94">
        <v>721.69</v>
      </c>
    </row>
    <row r="666" spans="1:11">
      <c r="A666" s="74" t="s">
        <v>113</v>
      </c>
      <c r="B666" s="74" t="s">
        <v>128</v>
      </c>
      <c r="C666" s="74" t="s">
        <v>129</v>
      </c>
      <c r="D666" s="74" t="s">
        <v>79</v>
      </c>
      <c r="E666" s="74" t="s">
        <v>80</v>
      </c>
      <c r="F666" s="86" t="s">
        <v>123</v>
      </c>
      <c r="G666" s="74" t="s">
        <v>117</v>
      </c>
      <c r="H666" s="87">
        <v>43861</v>
      </c>
      <c r="I666" s="94">
        <v>2419.77</v>
      </c>
      <c r="J666" s="94">
        <v>1814.83</v>
      </c>
      <c r="K666" s="94">
        <v>604.94</v>
      </c>
    </row>
    <row r="667" spans="1:11">
      <c r="A667" s="74" t="s">
        <v>113</v>
      </c>
      <c r="B667" s="74" t="s">
        <v>130</v>
      </c>
      <c r="C667" s="74" t="s">
        <v>131</v>
      </c>
      <c r="D667" s="74" t="s">
        <v>79</v>
      </c>
      <c r="E667" s="74" t="s">
        <v>80</v>
      </c>
      <c r="F667" s="86" t="s">
        <v>116</v>
      </c>
      <c r="G667" s="74" t="s">
        <v>117</v>
      </c>
      <c r="H667" s="87">
        <v>43861</v>
      </c>
      <c r="I667" s="94">
        <v>3363.18</v>
      </c>
      <c r="J667" s="94">
        <v>2522.39</v>
      </c>
      <c r="K667" s="94">
        <v>840.79</v>
      </c>
    </row>
    <row r="668" spans="1:11">
      <c r="A668" s="74" t="s">
        <v>113</v>
      </c>
      <c r="B668" s="74" t="s">
        <v>132</v>
      </c>
      <c r="C668" s="74" t="s">
        <v>133</v>
      </c>
      <c r="D668" s="74" t="s">
        <v>79</v>
      </c>
      <c r="E668" s="74" t="s">
        <v>80</v>
      </c>
      <c r="F668" s="86" t="s">
        <v>120</v>
      </c>
      <c r="G668" s="74" t="s">
        <v>117</v>
      </c>
      <c r="H668" s="87">
        <v>43861</v>
      </c>
      <c r="I668" s="94">
        <v>2969.16</v>
      </c>
      <c r="J668" s="94">
        <v>2226.87</v>
      </c>
      <c r="K668" s="94">
        <v>742.29</v>
      </c>
    </row>
    <row r="669" spans="1:11">
      <c r="A669" s="74" t="s">
        <v>113</v>
      </c>
      <c r="B669" s="74" t="s">
        <v>134</v>
      </c>
      <c r="C669" s="74" t="s">
        <v>135</v>
      </c>
      <c r="D669" s="74" t="s">
        <v>79</v>
      </c>
      <c r="E669" s="74" t="s">
        <v>80</v>
      </c>
      <c r="F669" s="86" t="s">
        <v>123</v>
      </c>
      <c r="G669" s="74" t="s">
        <v>117</v>
      </c>
      <c r="H669" s="87">
        <v>43861</v>
      </c>
      <c r="I669" s="94">
        <v>2572.94</v>
      </c>
      <c r="J669" s="94">
        <v>1929.71</v>
      </c>
      <c r="K669" s="94">
        <v>643.23</v>
      </c>
    </row>
    <row r="670" spans="1:11">
      <c r="A670" s="74" t="s">
        <v>113</v>
      </c>
      <c r="B670" s="74" t="s">
        <v>136</v>
      </c>
      <c r="C670" s="74" t="s">
        <v>137</v>
      </c>
      <c r="D670" s="74" t="s">
        <v>79</v>
      </c>
      <c r="E670" s="74" t="s">
        <v>80</v>
      </c>
      <c r="F670" s="86" t="s">
        <v>116</v>
      </c>
      <c r="G670" s="74" t="s">
        <v>138</v>
      </c>
      <c r="H670" s="87">
        <v>43861</v>
      </c>
      <c r="I670" s="94">
        <v>3135.92</v>
      </c>
      <c r="J670" s="94">
        <v>2351.94</v>
      </c>
      <c r="K670" s="94">
        <v>783.98</v>
      </c>
    </row>
    <row r="671" spans="1:11">
      <c r="A671" s="74" t="s">
        <v>113</v>
      </c>
      <c r="B671" s="74" t="s">
        <v>139</v>
      </c>
      <c r="C671" s="74" t="s">
        <v>140</v>
      </c>
      <c r="D671" s="74" t="s">
        <v>79</v>
      </c>
      <c r="E671" s="74" t="s">
        <v>80</v>
      </c>
      <c r="F671" s="86" t="s">
        <v>120</v>
      </c>
      <c r="G671" s="74" t="s">
        <v>138</v>
      </c>
      <c r="H671" s="87">
        <v>43861</v>
      </c>
      <c r="I671" s="94">
        <v>3002.29</v>
      </c>
      <c r="J671" s="94">
        <v>2251.72</v>
      </c>
      <c r="K671" s="94">
        <v>750.57</v>
      </c>
    </row>
    <row r="672" spans="1:11">
      <c r="A672" s="74" t="s">
        <v>113</v>
      </c>
      <c r="B672" s="74" t="s">
        <v>141</v>
      </c>
      <c r="C672" s="74" t="s">
        <v>142</v>
      </c>
      <c r="D672" s="74" t="s">
        <v>79</v>
      </c>
      <c r="E672" s="74" t="s">
        <v>80</v>
      </c>
      <c r="F672" s="86" t="s">
        <v>123</v>
      </c>
      <c r="G672" s="74" t="s">
        <v>138</v>
      </c>
      <c r="H672" s="87">
        <v>43861</v>
      </c>
      <c r="I672" s="94">
        <v>2562.09</v>
      </c>
      <c r="J672" s="94">
        <v>1921.57</v>
      </c>
      <c r="K672" s="94">
        <v>640.52</v>
      </c>
    </row>
    <row r="673" spans="1:11">
      <c r="A673" s="74" t="s">
        <v>113</v>
      </c>
      <c r="B673" s="74" t="s">
        <v>143</v>
      </c>
      <c r="C673" s="74" t="s">
        <v>144</v>
      </c>
      <c r="D673" s="74" t="s">
        <v>79</v>
      </c>
      <c r="E673" s="74" t="s">
        <v>80</v>
      </c>
      <c r="F673" s="86" t="s">
        <v>145</v>
      </c>
      <c r="G673" s="74" t="s">
        <v>146</v>
      </c>
      <c r="H673" s="87">
        <v>43861</v>
      </c>
      <c r="I673" s="94">
        <v>7412.7</v>
      </c>
      <c r="J673" s="94">
        <v>5559.53</v>
      </c>
      <c r="K673" s="94">
        <v>1853.17</v>
      </c>
    </row>
    <row r="674" spans="1:11">
      <c r="A674" s="74" t="s">
        <v>113</v>
      </c>
      <c r="B674" s="74" t="s">
        <v>147</v>
      </c>
      <c r="C674" s="74" t="s">
        <v>148</v>
      </c>
      <c r="D674" s="74" t="s">
        <v>79</v>
      </c>
      <c r="E674" s="74" t="s">
        <v>80</v>
      </c>
      <c r="F674" s="86" t="s">
        <v>149</v>
      </c>
      <c r="G674" s="74" t="s">
        <v>150</v>
      </c>
      <c r="H674" s="87">
        <v>43861</v>
      </c>
      <c r="I674" s="94">
        <v>6839.11</v>
      </c>
      <c r="J674" s="94">
        <v>5129.33</v>
      </c>
      <c r="K674" s="94">
        <v>1709.78</v>
      </c>
    </row>
    <row r="675" spans="1:11">
      <c r="A675" s="74" t="s">
        <v>113</v>
      </c>
      <c r="B675" s="74" t="s">
        <v>151</v>
      </c>
      <c r="C675" s="74" t="s">
        <v>152</v>
      </c>
      <c r="D675" s="74" t="s">
        <v>79</v>
      </c>
      <c r="E675" s="74" t="s">
        <v>81</v>
      </c>
      <c r="F675" s="86" t="s">
        <v>123</v>
      </c>
      <c r="G675" s="74" t="s">
        <v>153</v>
      </c>
      <c r="H675" s="87">
        <v>43861</v>
      </c>
      <c r="I675" s="94">
        <v>2419.68</v>
      </c>
      <c r="J675" s="94">
        <v>1814.76</v>
      </c>
      <c r="K675" s="94">
        <v>604.92</v>
      </c>
    </row>
    <row r="676" spans="1:11">
      <c r="A676" s="74" t="s">
        <v>113</v>
      </c>
      <c r="B676" s="74" t="s">
        <v>154</v>
      </c>
      <c r="C676" s="74" t="s">
        <v>155</v>
      </c>
      <c r="D676" s="74" t="s">
        <v>79</v>
      </c>
      <c r="E676" s="74" t="s">
        <v>81</v>
      </c>
      <c r="F676" s="86" t="s">
        <v>156</v>
      </c>
      <c r="G676" s="74" t="s">
        <v>157</v>
      </c>
      <c r="H676" s="87">
        <v>43861</v>
      </c>
      <c r="I676" s="94">
        <v>2015.97</v>
      </c>
      <c r="J676" s="94">
        <v>1511.98</v>
      </c>
      <c r="K676" s="94">
        <v>503.99</v>
      </c>
    </row>
    <row r="677" spans="1:11">
      <c r="A677" s="74" t="s">
        <v>113</v>
      </c>
      <c r="B677" s="74" t="s">
        <v>158</v>
      </c>
      <c r="C677" s="74" t="s">
        <v>159</v>
      </c>
      <c r="D677" s="74" t="s">
        <v>79</v>
      </c>
      <c r="E677" s="74" t="s">
        <v>81</v>
      </c>
      <c r="F677" s="86" t="s">
        <v>160</v>
      </c>
      <c r="G677" s="74" t="s">
        <v>161</v>
      </c>
      <c r="H677" s="87">
        <v>43861</v>
      </c>
      <c r="I677" s="94">
        <v>1668.07</v>
      </c>
      <c r="J677" s="94">
        <v>1251.05</v>
      </c>
      <c r="K677" s="94">
        <v>417.02</v>
      </c>
    </row>
    <row r="678" spans="1:11">
      <c r="A678" s="74" t="s">
        <v>113</v>
      </c>
      <c r="B678" s="74" t="s">
        <v>162</v>
      </c>
      <c r="C678" s="74" t="s">
        <v>163</v>
      </c>
      <c r="D678" s="74" t="s">
        <v>79</v>
      </c>
      <c r="E678" s="74" t="s">
        <v>81</v>
      </c>
      <c r="F678" s="86" t="s">
        <v>123</v>
      </c>
      <c r="G678" s="74" t="s">
        <v>153</v>
      </c>
      <c r="H678" s="87">
        <v>43861</v>
      </c>
      <c r="I678" s="94">
        <v>2571.9</v>
      </c>
      <c r="J678" s="94">
        <v>1928.93</v>
      </c>
      <c r="K678" s="94">
        <v>642.97</v>
      </c>
    </row>
    <row r="679" spans="1:11">
      <c r="A679" s="74" t="s">
        <v>113</v>
      </c>
      <c r="B679" s="74" t="s">
        <v>164</v>
      </c>
      <c r="C679" s="74" t="s">
        <v>165</v>
      </c>
      <c r="D679" s="74" t="s">
        <v>79</v>
      </c>
      <c r="E679" s="74" t="s">
        <v>81</v>
      </c>
      <c r="F679" s="86" t="s">
        <v>156</v>
      </c>
      <c r="G679" s="74" t="s">
        <v>157</v>
      </c>
      <c r="H679" s="87">
        <v>43861</v>
      </c>
      <c r="I679" s="94">
        <v>2029.96</v>
      </c>
      <c r="J679" s="94">
        <v>1522.47</v>
      </c>
      <c r="K679" s="94">
        <v>507.49</v>
      </c>
    </row>
    <row r="680" spans="1:11">
      <c r="A680" s="74" t="s">
        <v>113</v>
      </c>
      <c r="B680" s="74" t="s">
        <v>166</v>
      </c>
      <c r="C680" s="74" t="s">
        <v>167</v>
      </c>
      <c r="D680" s="74" t="s">
        <v>79</v>
      </c>
      <c r="E680" s="74" t="s">
        <v>81</v>
      </c>
      <c r="F680" s="86" t="s">
        <v>160</v>
      </c>
      <c r="G680" s="74" t="s">
        <v>161</v>
      </c>
      <c r="H680" s="87">
        <v>43861</v>
      </c>
      <c r="I680" s="94">
        <v>1699.89</v>
      </c>
      <c r="J680" s="94">
        <v>1274.92</v>
      </c>
      <c r="K680" s="94">
        <v>424.97</v>
      </c>
    </row>
    <row r="681" spans="1:11">
      <c r="A681" s="74" t="s">
        <v>113</v>
      </c>
      <c r="B681" s="74" t="s">
        <v>168</v>
      </c>
      <c r="C681" s="74" t="s">
        <v>169</v>
      </c>
      <c r="D681" s="74" t="s">
        <v>79</v>
      </c>
      <c r="E681" s="74" t="s">
        <v>81</v>
      </c>
      <c r="F681" s="86" t="s">
        <v>123</v>
      </c>
      <c r="G681" s="74" t="s">
        <v>153</v>
      </c>
      <c r="H681" s="87">
        <v>43861</v>
      </c>
      <c r="I681" s="94">
        <v>2490.77</v>
      </c>
      <c r="J681" s="94">
        <v>1868.08</v>
      </c>
      <c r="K681" s="94">
        <v>622.69</v>
      </c>
    </row>
    <row r="682" spans="1:11">
      <c r="A682" s="74" t="s">
        <v>113</v>
      </c>
      <c r="B682" s="74" t="s">
        <v>170</v>
      </c>
      <c r="C682" s="74" t="s">
        <v>171</v>
      </c>
      <c r="D682" s="74" t="s">
        <v>79</v>
      </c>
      <c r="E682" s="74" t="s">
        <v>81</v>
      </c>
      <c r="F682" s="86" t="s">
        <v>156</v>
      </c>
      <c r="G682" s="74" t="s">
        <v>157</v>
      </c>
      <c r="H682" s="87">
        <v>43861</v>
      </c>
      <c r="I682" s="94">
        <v>2073.94</v>
      </c>
      <c r="J682" s="94">
        <v>1555.46</v>
      </c>
      <c r="K682" s="94">
        <v>518.48</v>
      </c>
    </row>
    <row r="683" spans="1:11">
      <c r="A683" s="74" t="s">
        <v>113</v>
      </c>
      <c r="B683" s="74" t="s">
        <v>172</v>
      </c>
      <c r="C683" s="74" t="s">
        <v>173</v>
      </c>
      <c r="D683" s="74" t="s">
        <v>79</v>
      </c>
      <c r="E683" s="74" t="s">
        <v>81</v>
      </c>
      <c r="F683" s="86" t="s">
        <v>160</v>
      </c>
      <c r="G683" s="74" t="s">
        <v>161</v>
      </c>
      <c r="H683" s="87">
        <v>43861</v>
      </c>
      <c r="I683" s="94">
        <v>1655.73</v>
      </c>
      <c r="J683" s="94">
        <v>1241.8</v>
      </c>
      <c r="K683" s="94">
        <v>413.93</v>
      </c>
    </row>
    <row r="684" spans="1:11">
      <c r="A684" s="74" t="s">
        <v>113</v>
      </c>
      <c r="B684" s="74" t="s">
        <v>174</v>
      </c>
      <c r="C684" s="74" t="s">
        <v>175</v>
      </c>
      <c r="D684" s="74" t="s">
        <v>79</v>
      </c>
      <c r="E684" s="74" t="s">
        <v>81</v>
      </c>
      <c r="F684" s="86" t="s">
        <v>176</v>
      </c>
      <c r="G684" s="74" t="s">
        <v>177</v>
      </c>
      <c r="H684" s="87">
        <v>43861</v>
      </c>
      <c r="I684" s="94">
        <v>1251.01</v>
      </c>
      <c r="J684" s="94">
        <v>938.26</v>
      </c>
      <c r="K684" s="94">
        <v>312.75</v>
      </c>
    </row>
    <row r="685" spans="1:11">
      <c r="A685" s="74" t="s">
        <v>113</v>
      </c>
      <c r="B685" s="74" t="s">
        <v>178</v>
      </c>
      <c r="C685" s="74" t="s">
        <v>179</v>
      </c>
      <c r="D685" s="74" t="s">
        <v>79</v>
      </c>
      <c r="E685" s="74" t="s">
        <v>81</v>
      </c>
      <c r="F685" s="86" t="s">
        <v>180</v>
      </c>
      <c r="G685" s="74" t="s">
        <v>177</v>
      </c>
      <c r="H685" s="87">
        <v>43861</v>
      </c>
      <c r="I685" s="94">
        <v>850.76</v>
      </c>
      <c r="J685" s="94">
        <v>638.07</v>
      </c>
      <c r="K685" s="94">
        <v>212.69</v>
      </c>
    </row>
    <row r="686" spans="1:11">
      <c r="A686" s="74" t="s">
        <v>113</v>
      </c>
      <c r="B686" s="74" t="s">
        <v>181</v>
      </c>
      <c r="C686" s="74" t="s">
        <v>182</v>
      </c>
      <c r="D686" s="74" t="s">
        <v>79</v>
      </c>
      <c r="E686" s="74" t="s">
        <v>81</v>
      </c>
      <c r="F686" s="86" t="s">
        <v>183</v>
      </c>
      <c r="G686" s="74" t="s">
        <v>177</v>
      </c>
      <c r="H686" s="87">
        <v>43861</v>
      </c>
      <c r="I686" s="94">
        <v>399.43</v>
      </c>
      <c r="J686" s="94">
        <v>299.57</v>
      </c>
      <c r="K686" s="94">
        <v>99.86</v>
      </c>
    </row>
    <row r="687" spans="1:11">
      <c r="A687" s="74" t="s">
        <v>113</v>
      </c>
      <c r="B687" s="74" t="s">
        <v>184</v>
      </c>
      <c r="C687" s="74" t="s">
        <v>185</v>
      </c>
      <c r="D687" s="74" t="s">
        <v>79</v>
      </c>
      <c r="E687" s="74" t="s">
        <v>81</v>
      </c>
      <c r="F687" s="86" t="s">
        <v>176</v>
      </c>
      <c r="G687" s="74" t="s">
        <v>177</v>
      </c>
      <c r="H687" s="87">
        <v>43861</v>
      </c>
      <c r="I687" s="94">
        <v>1224.04</v>
      </c>
      <c r="J687" s="94">
        <v>918.03</v>
      </c>
      <c r="K687" s="94">
        <v>306.01</v>
      </c>
    </row>
    <row r="688" spans="1:11">
      <c r="A688" s="74" t="s">
        <v>113</v>
      </c>
      <c r="B688" s="74" t="s">
        <v>186</v>
      </c>
      <c r="C688" s="74" t="s">
        <v>187</v>
      </c>
      <c r="D688" s="74" t="s">
        <v>79</v>
      </c>
      <c r="E688" s="74" t="s">
        <v>81</v>
      </c>
      <c r="F688" s="86" t="s">
        <v>180</v>
      </c>
      <c r="G688" s="74" t="s">
        <v>177</v>
      </c>
      <c r="H688" s="87">
        <v>43861</v>
      </c>
      <c r="I688" s="94">
        <v>800.07</v>
      </c>
      <c r="J688" s="94">
        <v>600.05</v>
      </c>
      <c r="K688" s="94">
        <v>200.02</v>
      </c>
    </row>
    <row r="689" spans="1:11">
      <c r="A689" s="74" t="s">
        <v>113</v>
      </c>
      <c r="B689" s="74" t="s">
        <v>188</v>
      </c>
      <c r="C689" s="74" t="s">
        <v>189</v>
      </c>
      <c r="D689" s="74" t="s">
        <v>79</v>
      </c>
      <c r="E689" s="74" t="s">
        <v>81</v>
      </c>
      <c r="F689" s="86" t="s">
        <v>183</v>
      </c>
      <c r="G689" s="74" t="s">
        <v>177</v>
      </c>
      <c r="H689" s="87">
        <v>43861</v>
      </c>
      <c r="I689" s="94">
        <v>418.02</v>
      </c>
      <c r="J689" s="94">
        <v>313.52</v>
      </c>
      <c r="K689" s="94">
        <v>104.5</v>
      </c>
    </row>
    <row r="690" spans="1:11">
      <c r="A690" s="74" t="s">
        <v>113</v>
      </c>
      <c r="B690" s="74" t="s">
        <v>190</v>
      </c>
      <c r="C690" s="74" t="s">
        <v>191</v>
      </c>
      <c r="D690" s="74" t="s">
        <v>79</v>
      </c>
      <c r="E690" s="74" t="s">
        <v>81</v>
      </c>
      <c r="F690" s="86" t="s">
        <v>176</v>
      </c>
      <c r="G690" s="74" t="s">
        <v>177</v>
      </c>
      <c r="H690" s="87">
        <v>43861</v>
      </c>
      <c r="I690" s="94">
        <v>1212.26</v>
      </c>
      <c r="J690" s="94">
        <v>909.2</v>
      </c>
      <c r="K690" s="94">
        <v>303.06</v>
      </c>
    </row>
    <row r="691" spans="1:11">
      <c r="A691" s="74" t="s">
        <v>113</v>
      </c>
      <c r="B691" s="74" t="s">
        <v>192</v>
      </c>
      <c r="C691" s="74" t="s">
        <v>193</v>
      </c>
      <c r="D691" s="74" t="s">
        <v>79</v>
      </c>
      <c r="E691" s="74" t="s">
        <v>81</v>
      </c>
      <c r="F691" s="86" t="s">
        <v>180</v>
      </c>
      <c r="G691" s="74" t="s">
        <v>177</v>
      </c>
      <c r="H691" s="87">
        <v>43861</v>
      </c>
      <c r="I691" s="94">
        <v>818.06</v>
      </c>
      <c r="J691" s="94">
        <v>613.55</v>
      </c>
      <c r="K691" s="94">
        <v>204.51</v>
      </c>
    </row>
    <row r="692" spans="1:11">
      <c r="A692" s="74" t="s">
        <v>113</v>
      </c>
      <c r="B692" s="74" t="s">
        <v>194</v>
      </c>
      <c r="C692" s="74" t="s">
        <v>195</v>
      </c>
      <c r="D692" s="74" t="s">
        <v>79</v>
      </c>
      <c r="E692" s="74" t="s">
        <v>81</v>
      </c>
      <c r="F692" s="86" t="s">
        <v>183</v>
      </c>
      <c r="G692" s="74" t="s">
        <v>177</v>
      </c>
      <c r="H692" s="87">
        <v>43861</v>
      </c>
      <c r="I692" s="94">
        <v>394.97</v>
      </c>
      <c r="J692" s="94">
        <v>296.23</v>
      </c>
      <c r="K692" s="94">
        <v>98.74</v>
      </c>
    </row>
    <row r="693" spans="1:11">
      <c r="A693" s="74" t="s">
        <v>113</v>
      </c>
      <c r="B693" s="74" t="s">
        <v>196</v>
      </c>
      <c r="C693" s="74" t="s">
        <v>197</v>
      </c>
      <c r="D693" s="74" t="s">
        <v>79</v>
      </c>
      <c r="E693" s="74" t="s">
        <v>81</v>
      </c>
      <c r="F693" s="86" t="s">
        <v>176</v>
      </c>
      <c r="G693" s="74" t="s">
        <v>177</v>
      </c>
      <c r="H693" s="87">
        <v>43861</v>
      </c>
      <c r="I693" s="94">
        <v>1213.78</v>
      </c>
      <c r="J693" s="94">
        <v>910.34</v>
      </c>
      <c r="K693" s="94">
        <v>303.44</v>
      </c>
    </row>
    <row r="694" spans="1:11">
      <c r="A694" s="74" t="s">
        <v>113</v>
      </c>
      <c r="B694" s="74" t="s">
        <v>198</v>
      </c>
      <c r="C694" s="74" t="s">
        <v>199</v>
      </c>
      <c r="D694" s="74" t="s">
        <v>79</v>
      </c>
      <c r="E694" s="74" t="s">
        <v>81</v>
      </c>
      <c r="F694" s="86" t="s">
        <v>180</v>
      </c>
      <c r="G694" s="74" t="s">
        <v>177</v>
      </c>
      <c r="H694" s="87">
        <v>43861</v>
      </c>
      <c r="I694" s="94">
        <v>824.33</v>
      </c>
      <c r="J694" s="94">
        <v>618.25</v>
      </c>
      <c r="K694" s="94">
        <v>206.08</v>
      </c>
    </row>
    <row r="695" spans="1:11">
      <c r="A695" s="74" t="s">
        <v>113</v>
      </c>
      <c r="B695" s="74" t="s">
        <v>200</v>
      </c>
      <c r="C695" s="74" t="s">
        <v>201</v>
      </c>
      <c r="D695" s="74" t="s">
        <v>79</v>
      </c>
      <c r="E695" s="74" t="s">
        <v>81</v>
      </c>
      <c r="F695" s="86" t="s">
        <v>183</v>
      </c>
      <c r="G695" s="74" t="s">
        <v>177</v>
      </c>
      <c r="H695" s="87">
        <v>43861</v>
      </c>
      <c r="I695" s="94">
        <v>394.05</v>
      </c>
      <c r="J695" s="94">
        <v>295.54</v>
      </c>
      <c r="K695" s="94">
        <v>98.51</v>
      </c>
    </row>
    <row r="696" spans="1:11">
      <c r="A696" s="74" t="s">
        <v>113</v>
      </c>
      <c r="B696" s="74" t="s">
        <v>202</v>
      </c>
      <c r="C696" s="74" t="s">
        <v>203</v>
      </c>
      <c r="D696" s="74" t="s">
        <v>79</v>
      </c>
      <c r="E696" s="74" t="s">
        <v>81</v>
      </c>
      <c r="F696" s="86" t="s">
        <v>204</v>
      </c>
      <c r="G696" s="74" t="s">
        <v>205</v>
      </c>
      <c r="H696" s="87">
        <v>43861</v>
      </c>
      <c r="I696" s="94">
        <v>7462.44</v>
      </c>
      <c r="J696" s="94">
        <v>5596.83</v>
      </c>
      <c r="K696" s="94">
        <v>1865.61</v>
      </c>
    </row>
    <row r="697" spans="1:11">
      <c r="A697" s="74" t="s">
        <v>113</v>
      </c>
      <c r="B697" s="74" t="s">
        <v>206</v>
      </c>
      <c r="C697" s="74" t="s">
        <v>207</v>
      </c>
      <c r="D697" s="88" t="s">
        <v>82</v>
      </c>
      <c r="E697" s="88" t="s">
        <v>84</v>
      </c>
      <c r="F697" s="86" t="s">
        <v>208</v>
      </c>
      <c r="G697" s="74" t="s">
        <v>209</v>
      </c>
      <c r="H697" s="87">
        <v>43861</v>
      </c>
      <c r="I697" s="94">
        <v>3599.26</v>
      </c>
      <c r="J697" s="94">
        <v>2699.45</v>
      </c>
      <c r="K697" s="94">
        <v>899.81</v>
      </c>
    </row>
    <row r="698" spans="1:11">
      <c r="A698" s="74" t="s">
        <v>113</v>
      </c>
      <c r="B698" s="74" t="s">
        <v>210</v>
      </c>
      <c r="C698" s="74" t="s">
        <v>211</v>
      </c>
      <c r="D698" s="88" t="s">
        <v>82</v>
      </c>
      <c r="E698" s="88" t="s">
        <v>84</v>
      </c>
      <c r="F698" s="86" t="s">
        <v>116</v>
      </c>
      <c r="G698" s="74" t="s">
        <v>209</v>
      </c>
      <c r="H698" s="87">
        <v>43861</v>
      </c>
      <c r="I698" s="94">
        <v>3361.05</v>
      </c>
      <c r="J698" s="94">
        <v>2520.79</v>
      </c>
      <c r="K698" s="94">
        <v>840.26</v>
      </c>
    </row>
    <row r="699" spans="1:11">
      <c r="A699" s="74" t="s">
        <v>113</v>
      </c>
      <c r="B699" s="74" t="s">
        <v>212</v>
      </c>
      <c r="C699" s="74" t="s">
        <v>213</v>
      </c>
      <c r="D699" s="88" t="s">
        <v>82</v>
      </c>
      <c r="E699" s="88" t="s">
        <v>84</v>
      </c>
      <c r="F699" s="86" t="s">
        <v>208</v>
      </c>
      <c r="G699" s="74" t="s">
        <v>209</v>
      </c>
      <c r="H699" s="87">
        <v>43861</v>
      </c>
      <c r="I699" s="94">
        <v>3790.78</v>
      </c>
      <c r="J699" s="94">
        <v>2843.09</v>
      </c>
      <c r="K699" s="94">
        <v>947.69</v>
      </c>
    </row>
    <row r="700" spans="1:11">
      <c r="A700" s="74" t="s">
        <v>113</v>
      </c>
      <c r="B700" s="74" t="s">
        <v>214</v>
      </c>
      <c r="C700" s="74" t="s">
        <v>215</v>
      </c>
      <c r="D700" s="88" t="s">
        <v>82</v>
      </c>
      <c r="E700" s="88" t="s">
        <v>84</v>
      </c>
      <c r="F700" s="86" t="s">
        <v>116</v>
      </c>
      <c r="G700" s="74" t="s">
        <v>209</v>
      </c>
      <c r="H700" s="87">
        <v>43861</v>
      </c>
      <c r="I700" s="94">
        <v>3211.61</v>
      </c>
      <c r="J700" s="94">
        <v>2408.71</v>
      </c>
      <c r="K700" s="94">
        <v>802.9</v>
      </c>
    </row>
    <row r="701" spans="1:11">
      <c r="A701" s="74" t="s">
        <v>113</v>
      </c>
      <c r="B701" s="74" t="s">
        <v>216</v>
      </c>
      <c r="C701" s="74" t="s">
        <v>217</v>
      </c>
      <c r="D701" s="88" t="s">
        <v>82</v>
      </c>
      <c r="E701" s="88" t="s">
        <v>84</v>
      </c>
      <c r="F701" s="86" t="s">
        <v>218</v>
      </c>
      <c r="G701" s="74" t="s">
        <v>219</v>
      </c>
      <c r="H701" s="87">
        <v>43861</v>
      </c>
      <c r="I701" s="94">
        <v>4388.28</v>
      </c>
      <c r="J701" s="94">
        <v>3291.21</v>
      </c>
      <c r="K701" s="94">
        <v>1097.07</v>
      </c>
    </row>
    <row r="702" spans="1:11">
      <c r="A702" s="74" t="s">
        <v>113</v>
      </c>
      <c r="B702" s="74" t="s">
        <v>220</v>
      </c>
      <c r="C702" s="74" t="s">
        <v>221</v>
      </c>
      <c r="D702" s="88" t="s">
        <v>82</v>
      </c>
      <c r="E702" s="74" t="s">
        <v>83</v>
      </c>
      <c r="F702" s="86" t="s">
        <v>218</v>
      </c>
      <c r="G702" s="74" t="s">
        <v>222</v>
      </c>
      <c r="H702" s="87">
        <v>43861</v>
      </c>
      <c r="I702" s="94">
        <v>4367.67</v>
      </c>
      <c r="J702" s="94">
        <v>3275.75</v>
      </c>
      <c r="K702" s="94">
        <v>1091.92</v>
      </c>
    </row>
    <row r="703" spans="1:11">
      <c r="A703" s="74" t="s">
        <v>113</v>
      </c>
      <c r="B703" s="74" t="s">
        <v>223</v>
      </c>
      <c r="C703" s="74" t="s">
        <v>224</v>
      </c>
      <c r="D703" s="88" t="s">
        <v>82</v>
      </c>
      <c r="E703" s="74" t="s">
        <v>83</v>
      </c>
      <c r="F703" s="86" t="s">
        <v>225</v>
      </c>
      <c r="G703" s="74" t="s">
        <v>209</v>
      </c>
      <c r="H703" s="87">
        <v>43861</v>
      </c>
      <c r="I703" s="94">
        <v>4081.21</v>
      </c>
      <c r="J703" s="94">
        <v>3060.91</v>
      </c>
      <c r="K703" s="94">
        <v>1020.3</v>
      </c>
    </row>
    <row r="704" spans="1:11">
      <c r="A704" s="74" t="s">
        <v>113</v>
      </c>
      <c r="B704" s="74" t="s">
        <v>226</v>
      </c>
      <c r="C704" s="74" t="s">
        <v>227</v>
      </c>
      <c r="D704" s="88" t="s">
        <v>82</v>
      </c>
      <c r="E704" s="74" t="s">
        <v>83</v>
      </c>
      <c r="F704" s="86" t="s">
        <v>208</v>
      </c>
      <c r="G704" s="74" t="s">
        <v>209</v>
      </c>
      <c r="H704" s="87">
        <v>43861</v>
      </c>
      <c r="I704" s="94">
        <v>3594.71</v>
      </c>
      <c r="J704" s="94">
        <v>2696.03</v>
      </c>
      <c r="K704" s="94">
        <v>898.68</v>
      </c>
    </row>
    <row r="705" spans="1:11">
      <c r="A705" s="74" t="s">
        <v>113</v>
      </c>
      <c r="B705" s="74" t="s">
        <v>228</v>
      </c>
      <c r="C705" s="74" t="s">
        <v>229</v>
      </c>
      <c r="D705" s="88" t="s">
        <v>82</v>
      </c>
      <c r="E705" s="74" t="s">
        <v>83</v>
      </c>
      <c r="F705" s="86" t="s">
        <v>116</v>
      </c>
      <c r="G705" s="74" t="s">
        <v>209</v>
      </c>
      <c r="H705" s="87">
        <v>43861</v>
      </c>
      <c r="I705" s="94">
        <v>3408.65</v>
      </c>
      <c r="J705" s="94">
        <v>2556.49</v>
      </c>
      <c r="K705" s="94">
        <v>852.16</v>
      </c>
    </row>
    <row r="706" spans="1:11">
      <c r="A706" s="74" t="s">
        <v>113</v>
      </c>
      <c r="B706" s="74" t="s">
        <v>230</v>
      </c>
      <c r="C706" s="74" t="s">
        <v>231</v>
      </c>
      <c r="D706" s="88" t="s">
        <v>82</v>
      </c>
      <c r="E706" s="74" t="s">
        <v>83</v>
      </c>
      <c r="F706" s="86" t="s">
        <v>120</v>
      </c>
      <c r="G706" s="74" t="s">
        <v>209</v>
      </c>
      <c r="H706" s="87">
        <v>43861</v>
      </c>
      <c r="I706" s="94">
        <v>2836.46</v>
      </c>
      <c r="J706" s="94">
        <v>2127.35</v>
      </c>
      <c r="K706" s="94">
        <v>709.11</v>
      </c>
    </row>
    <row r="707" spans="1:11">
      <c r="A707" s="74" t="s">
        <v>113</v>
      </c>
      <c r="B707" s="74" t="s">
        <v>232</v>
      </c>
      <c r="C707" s="74" t="s">
        <v>233</v>
      </c>
      <c r="D707" s="88" t="s">
        <v>82</v>
      </c>
      <c r="E707" s="74" t="s">
        <v>83</v>
      </c>
      <c r="F707" s="86" t="s">
        <v>123</v>
      </c>
      <c r="G707" s="74" t="s">
        <v>209</v>
      </c>
      <c r="H707" s="87">
        <v>43861</v>
      </c>
      <c r="I707" s="94">
        <v>2488.53</v>
      </c>
      <c r="J707" s="94">
        <v>1866.4</v>
      </c>
      <c r="K707" s="94">
        <v>622.13</v>
      </c>
    </row>
    <row r="708" spans="1:11">
      <c r="A708" s="74" t="s">
        <v>113</v>
      </c>
      <c r="B708" s="74" t="s">
        <v>234</v>
      </c>
      <c r="C708" s="74" t="s">
        <v>235</v>
      </c>
      <c r="D708" s="88" t="s">
        <v>82</v>
      </c>
      <c r="E708" s="74" t="s">
        <v>83</v>
      </c>
      <c r="F708" s="86" t="s">
        <v>116</v>
      </c>
      <c r="G708" s="74" t="s">
        <v>209</v>
      </c>
      <c r="H708" s="87">
        <v>43861</v>
      </c>
      <c r="I708" s="94">
        <v>3318.2</v>
      </c>
      <c r="J708" s="94">
        <v>2488.65</v>
      </c>
      <c r="K708" s="94">
        <v>829.55</v>
      </c>
    </row>
    <row r="709" spans="1:11">
      <c r="A709" s="74" t="s">
        <v>113</v>
      </c>
      <c r="B709" s="74" t="s">
        <v>236</v>
      </c>
      <c r="C709" s="74" t="s">
        <v>237</v>
      </c>
      <c r="D709" s="88" t="s">
        <v>82</v>
      </c>
      <c r="E709" s="74" t="s">
        <v>83</v>
      </c>
      <c r="F709" s="86" t="s">
        <v>120</v>
      </c>
      <c r="G709" s="74" t="s">
        <v>209</v>
      </c>
      <c r="H709" s="87">
        <v>43861</v>
      </c>
      <c r="I709" s="94">
        <v>2879.36</v>
      </c>
      <c r="J709" s="94">
        <v>2159.52</v>
      </c>
      <c r="K709" s="94">
        <v>719.84</v>
      </c>
    </row>
    <row r="710" spans="1:11">
      <c r="A710" s="74" t="s">
        <v>113</v>
      </c>
      <c r="B710" s="74" t="s">
        <v>238</v>
      </c>
      <c r="C710" s="74" t="s">
        <v>239</v>
      </c>
      <c r="D710" s="74" t="s">
        <v>86</v>
      </c>
      <c r="E710" s="74" t="s">
        <v>87</v>
      </c>
      <c r="F710" s="86" t="s">
        <v>204</v>
      </c>
      <c r="G710" s="74" t="s">
        <v>240</v>
      </c>
      <c r="H710" s="87">
        <v>43861</v>
      </c>
      <c r="I710" s="94">
        <v>5734.71</v>
      </c>
      <c r="J710" s="94">
        <v>4301.03</v>
      </c>
      <c r="K710" s="94">
        <v>1433.68</v>
      </c>
    </row>
    <row r="711" spans="1:11">
      <c r="A711" s="74" t="s">
        <v>113</v>
      </c>
      <c r="B711" s="74" t="s">
        <v>241</v>
      </c>
      <c r="C711" s="74" t="s">
        <v>242</v>
      </c>
      <c r="D711" s="74" t="s">
        <v>86</v>
      </c>
      <c r="E711" s="74" t="s">
        <v>87</v>
      </c>
      <c r="F711" s="86" t="s">
        <v>243</v>
      </c>
      <c r="G711" s="74" t="s">
        <v>244</v>
      </c>
      <c r="H711" s="87">
        <v>43861</v>
      </c>
      <c r="I711" s="94">
        <v>4423.24</v>
      </c>
      <c r="J711" s="94">
        <v>3317.43</v>
      </c>
      <c r="K711" s="94">
        <v>1105.81</v>
      </c>
    </row>
    <row r="712" spans="1:11">
      <c r="A712" s="74" t="s">
        <v>113</v>
      </c>
      <c r="B712" s="74" t="s">
        <v>245</v>
      </c>
      <c r="C712" s="74" t="s">
        <v>246</v>
      </c>
      <c r="D712" s="74" t="s">
        <v>86</v>
      </c>
      <c r="E712" s="74" t="s">
        <v>87</v>
      </c>
      <c r="F712" s="86" t="s">
        <v>247</v>
      </c>
      <c r="G712" s="74" t="s">
        <v>248</v>
      </c>
      <c r="H712" s="87">
        <v>43861</v>
      </c>
      <c r="I712" s="94">
        <v>4040.41</v>
      </c>
      <c r="J712" s="94">
        <v>3030.31</v>
      </c>
      <c r="K712" s="94">
        <v>1010.1</v>
      </c>
    </row>
    <row r="713" spans="1:11">
      <c r="A713" s="74" t="s">
        <v>113</v>
      </c>
      <c r="B713" s="74" t="s">
        <v>249</v>
      </c>
      <c r="C713" s="74" t="s">
        <v>250</v>
      </c>
      <c r="D713" s="74" t="s">
        <v>86</v>
      </c>
      <c r="E713" s="74" t="s">
        <v>87</v>
      </c>
      <c r="F713" s="86" t="s">
        <v>251</v>
      </c>
      <c r="G713" s="74" t="s">
        <v>252</v>
      </c>
      <c r="H713" s="87">
        <v>43861</v>
      </c>
      <c r="I713" s="94">
        <v>3654.28</v>
      </c>
      <c r="J713" s="94">
        <v>2740.71</v>
      </c>
      <c r="K713" s="94">
        <v>913.57</v>
      </c>
    </row>
    <row r="714" spans="1:11">
      <c r="A714" s="74" t="s">
        <v>113</v>
      </c>
      <c r="B714" s="74" t="s">
        <v>253</v>
      </c>
      <c r="C714" s="74" t="s">
        <v>254</v>
      </c>
      <c r="D714" s="74" t="s">
        <v>86</v>
      </c>
      <c r="E714" s="74" t="s">
        <v>87</v>
      </c>
      <c r="F714" s="86" t="s">
        <v>255</v>
      </c>
      <c r="G714" s="74" t="s">
        <v>252</v>
      </c>
      <c r="H714" s="87">
        <v>43861</v>
      </c>
      <c r="I714" s="94">
        <v>3125.07</v>
      </c>
      <c r="J714" s="94">
        <v>2343.8</v>
      </c>
      <c r="K714" s="94">
        <v>781.27</v>
      </c>
    </row>
    <row r="715" spans="1:11">
      <c r="A715" s="74" t="s">
        <v>113</v>
      </c>
      <c r="B715" s="74" t="s">
        <v>256</v>
      </c>
      <c r="C715" s="74" t="s">
        <v>257</v>
      </c>
      <c r="D715" s="74" t="s">
        <v>86</v>
      </c>
      <c r="E715" s="74" t="s">
        <v>87</v>
      </c>
      <c r="F715" s="86" t="s">
        <v>258</v>
      </c>
      <c r="G715" s="74" t="s">
        <v>252</v>
      </c>
      <c r="H715" s="87">
        <v>43861</v>
      </c>
      <c r="I715" s="94">
        <v>2929.77</v>
      </c>
      <c r="J715" s="94">
        <v>2197.33</v>
      </c>
      <c r="K715" s="94">
        <v>732.44</v>
      </c>
    </row>
    <row r="716" spans="1:11">
      <c r="A716" s="74" t="s">
        <v>113</v>
      </c>
      <c r="B716" s="74" t="s">
        <v>259</v>
      </c>
      <c r="C716" s="74" t="s">
        <v>260</v>
      </c>
      <c r="D716" s="74" t="s">
        <v>86</v>
      </c>
      <c r="E716" s="74" t="s">
        <v>87</v>
      </c>
      <c r="F716" s="86" t="s">
        <v>261</v>
      </c>
      <c r="G716" s="74" t="s">
        <v>262</v>
      </c>
      <c r="H716" s="87">
        <v>43861</v>
      </c>
      <c r="I716" s="94">
        <v>2729.03</v>
      </c>
      <c r="J716" s="94">
        <v>2046.77</v>
      </c>
      <c r="K716" s="94">
        <v>682.26</v>
      </c>
    </row>
    <row r="717" spans="1:11">
      <c r="A717" s="74" t="s">
        <v>113</v>
      </c>
      <c r="B717" s="74" t="s">
        <v>263</v>
      </c>
      <c r="C717" s="74" t="s">
        <v>264</v>
      </c>
      <c r="D717" s="74" t="s">
        <v>86</v>
      </c>
      <c r="E717" s="74" t="s">
        <v>88</v>
      </c>
      <c r="F717" s="86" t="s">
        <v>149</v>
      </c>
      <c r="G717" s="74" t="s">
        <v>265</v>
      </c>
      <c r="H717" s="87">
        <v>43861</v>
      </c>
      <c r="I717" s="94">
        <v>5595.05</v>
      </c>
      <c r="J717" s="94">
        <v>4196.29</v>
      </c>
      <c r="K717" s="94">
        <v>1398.76</v>
      </c>
    </row>
    <row r="718" spans="1:11">
      <c r="A718" s="74" t="s">
        <v>113</v>
      </c>
      <c r="B718" s="74" t="s">
        <v>266</v>
      </c>
      <c r="C718" s="74" t="s">
        <v>267</v>
      </c>
      <c r="D718" s="74" t="s">
        <v>86</v>
      </c>
      <c r="E718" s="74" t="s">
        <v>88</v>
      </c>
      <c r="F718" s="86" t="s">
        <v>243</v>
      </c>
      <c r="G718" s="74" t="s">
        <v>268</v>
      </c>
      <c r="H718" s="87">
        <v>43861</v>
      </c>
      <c r="I718" s="94">
        <v>4194.06</v>
      </c>
      <c r="J718" s="94">
        <v>3145.55</v>
      </c>
      <c r="K718" s="94">
        <v>1048.51</v>
      </c>
    </row>
    <row r="719" spans="1:11">
      <c r="A719" s="74" t="s">
        <v>113</v>
      </c>
      <c r="B719" s="74" t="s">
        <v>269</v>
      </c>
      <c r="C719" s="74" t="s">
        <v>270</v>
      </c>
      <c r="D719" s="74" t="s">
        <v>86</v>
      </c>
      <c r="E719" s="74" t="s">
        <v>88</v>
      </c>
      <c r="F719" s="86" t="s">
        <v>247</v>
      </c>
      <c r="G719" s="74" t="s">
        <v>268</v>
      </c>
      <c r="H719" s="87">
        <v>43861</v>
      </c>
      <c r="I719" s="94">
        <v>3986.27</v>
      </c>
      <c r="J719" s="94">
        <v>2989.7</v>
      </c>
      <c r="K719" s="94">
        <v>996.57</v>
      </c>
    </row>
    <row r="720" spans="1:11">
      <c r="A720" s="74" t="s">
        <v>113</v>
      </c>
      <c r="B720" s="74" t="s">
        <v>271</v>
      </c>
      <c r="C720" s="74" t="s">
        <v>272</v>
      </c>
      <c r="D720" s="74" t="s">
        <v>86</v>
      </c>
      <c r="E720" s="74" t="s">
        <v>88</v>
      </c>
      <c r="F720" s="86" t="s">
        <v>251</v>
      </c>
      <c r="G720" s="74" t="s">
        <v>268</v>
      </c>
      <c r="H720" s="87">
        <v>43861</v>
      </c>
      <c r="I720" s="94">
        <v>3487.91</v>
      </c>
      <c r="J720" s="94">
        <v>2615.93</v>
      </c>
      <c r="K720" s="94">
        <v>871.98</v>
      </c>
    </row>
    <row r="721" spans="1:11">
      <c r="A721" s="74" t="s">
        <v>113</v>
      </c>
      <c r="B721" s="74" t="s">
        <v>273</v>
      </c>
      <c r="C721" s="74" t="s">
        <v>274</v>
      </c>
      <c r="D721" s="74" t="s">
        <v>86</v>
      </c>
      <c r="E721" s="74" t="s">
        <v>88</v>
      </c>
      <c r="F721" s="86" t="s">
        <v>255</v>
      </c>
      <c r="G721" s="74" t="s">
        <v>268</v>
      </c>
      <c r="H721" s="87">
        <v>43861</v>
      </c>
      <c r="I721" s="94">
        <v>3375.92</v>
      </c>
      <c r="J721" s="94">
        <v>2531.94</v>
      </c>
      <c r="K721" s="94">
        <v>843.98</v>
      </c>
    </row>
    <row r="722" spans="1:11">
      <c r="A722" s="74" t="s">
        <v>113</v>
      </c>
      <c r="B722" s="74" t="s">
        <v>275</v>
      </c>
      <c r="C722" s="74" t="s">
        <v>276</v>
      </c>
      <c r="D722" s="74" t="s">
        <v>86</v>
      </c>
      <c r="E722" s="74" t="s">
        <v>88</v>
      </c>
      <c r="F722" s="86" t="s">
        <v>258</v>
      </c>
      <c r="G722" s="74" t="s">
        <v>268</v>
      </c>
      <c r="H722" s="87">
        <v>43861</v>
      </c>
      <c r="I722" s="94">
        <v>2824.34</v>
      </c>
      <c r="J722" s="94">
        <v>2118.26</v>
      </c>
      <c r="K722" s="94">
        <v>706.08</v>
      </c>
    </row>
    <row r="723" spans="1:11">
      <c r="A723" s="74" t="s">
        <v>113</v>
      </c>
      <c r="B723" s="74" t="s">
        <v>277</v>
      </c>
      <c r="C723" s="74" t="s">
        <v>278</v>
      </c>
      <c r="D723" s="74" t="s">
        <v>86</v>
      </c>
      <c r="E723" s="74" t="s">
        <v>89</v>
      </c>
      <c r="F723" s="86" t="s">
        <v>279</v>
      </c>
      <c r="G723" s="74" t="s">
        <v>280</v>
      </c>
      <c r="H723" s="87">
        <v>43861</v>
      </c>
      <c r="I723" s="94">
        <v>5014.54</v>
      </c>
      <c r="J723" s="94">
        <v>3760.91</v>
      </c>
      <c r="K723" s="94">
        <v>1253.63</v>
      </c>
    </row>
    <row r="724" spans="1:11">
      <c r="A724" s="74" t="s">
        <v>113</v>
      </c>
      <c r="B724" s="74" t="s">
        <v>281</v>
      </c>
      <c r="C724" s="74" t="s">
        <v>282</v>
      </c>
      <c r="D724" s="74" t="s">
        <v>86</v>
      </c>
      <c r="E724" s="74" t="s">
        <v>89</v>
      </c>
      <c r="F724" s="86" t="s">
        <v>225</v>
      </c>
      <c r="G724" s="74" t="s">
        <v>283</v>
      </c>
      <c r="H724" s="87">
        <v>43861</v>
      </c>
      <c r="I724" s="94">
        <v>3419.21</v>
      </c>
      <c r="J724" s="94">
        <v>2564.41</v>
      </c>
      <c r="K724" s="94">
        <v>854.8</v>
      </c>
    </row>
    <row r="725" spans="1:11">
      <c r="A725" s="74" t="s">
        <v>113</v>
      </c>
      <c r="B725" s="74" t="s">
        <v>284</v>
      </c>
      <c r="C725" s="74" t="s">
        <v>285</v>
      </c>
      <c r="D725" s="74" t="s">
        <v>86</v>
      </c>
      <c r="E725" s="74" t="s">
        <v>89</v>
      </c>
      <c r="F725" s="86" t="s">
        <v>208</v>
      </c>
      <c r="G725" s="74" t="s">
        <v>283</v>
      </c>
      <c r="H725" s="87">
        <v>43861</v>
      </c>
      <c r="I725" s="94">
        <v>3061.23</v>
      </c>
      <c r="J725" s="94">
        <v>2295.92</v>
      </c>
      <c r="K725" s="94">
        <v>765.31</v>
      </c>
    </row>
    <row r="726" spans="1:11">
      <c r="A726" s="74" t="s">
        <v>113</v>
      </c>
      <c r="B726" s="74" t="s">
        <v>286</v>
      </c>
      <c r="C726" s="74" t="s">
        <v>287</v>
      </c>
      <c r="D726" s="74" t="s">
        <v>82</v>
      </c>
      <c r="E726" s="88" t="s">
        <v>85</v>
      </c>
      <c r="F726" s="86" t="s">
        <v>288</v>
      </c>
      <c r="G726" s="74" t="s">
        <v>289</v>
      </c>
      <c r="H726" s="87">
        <v>43861</v>
      </c>
      <c r="I726" s="94">
        <v>5098.54</v>
      </c>
      <c r="J726" s="94">
        <v>3823.91</v>
      </c>
      <c r="K726" s="94">
        <v>1274.63</v>
      </c>
    </row>
    <row r="727" spans="1:11">
      <c r="A727" s="74" t="s">
        <v>113</v>
      </c>
      <c r="B727" s="74" t="s">
        <v>290</v>
      </c>
      <c r="C727" s="74" t="s">
        <v>291</v>
      </c>
      <c r="D727" s="74" t="s">
        <v>82</v>
      </c>
      <c r="E727" s="88" t="s">
        <v>85</v>
      </c>
      <c r="F727" s="86" t="s">
        <v>218</v>
      </c>
      <c r="G727" s="74" t="s">
        <v>289</v>
      </c>
      <c r="H727" s="87">
        <v>43861</v>
      </c>
      <c r="I727" s="94">
        <v>4462.5</v>
      </c>
      <c r="J727" s="94">
        <v>3346.88</v>
      </c>
      <c r="K727" s="94">
        <v>1115.62</v>
      </c>
    </row>
    <row r="728" spans="1:11">
      <c r="A728" s="74" t="s">
        <v>113</v>
      </c>
      <c r="B728" s="74" t="s">
        <v>292</v>
      </c>
      <c r="C728" s="74" t="s">
        <v>293</v>
      </c>
      <c r="D728" s="74" t="s">
        <v>82</v>
      </c>
      <c r="E728" s="88" t="s">
        <v>85</v>
      </c>
      <c r="F728" s="86" t="s">
        <v>225</v>
      </c>
      <c r="G728" s="74" t="s">
        <v>289</v>
      </c>
      <c r="H728" s="87">
        <v>43861</v>
      </c>
      <c r="I728" s="94">
        <v>4259.04</v>
      </c>
      <c r="J728" s="94">
        <v>3194.28</v>
      </c>
      <c r="K728" s="94">
        <v>1064.76</v>
      </c>
    </row>
    <row r="729" spans="1:11">
      <c r="A729" s="74" t="s">
        <v>113</v>
      </c>
      <c r="B729" s="74" t="s">
        <v>294</v>
      </c>
      <c r="C729" s="74" t="s">
        <v>295</v>
      </c>
      <c r="D729" s="74" t="s">
        <v>82</v>
      </c>
      <c r="E729" s="88" t="s">
        <v>85</v>
      </c>
      <c r="F729" s="86" t="s">
        <v>208</v>
      </c>
      <c r="G729" s="74" t="s">
        <v>289</v>
      </c>
      <c r="H729" s="87">
        <v>43861</v>
      </c>
      <c r="I729" s="94">
        <v>3592.51</v>
      </c>
      <c r="J729" s="94">
        <v>2694.38</v>
      </c>
      <c r="K729" s="94">
        <v>898.13</v>
      </c>
    </row>
    <row r="730" spans="1:11">
      <c r="A730" s="74" t="s">
        <v>113</v>
      </c>
      <c r="B730" s="74" t="s">
        <v>296</v>
      </c>
      <c r="C730" s="74" t="s">
        <v>297</v>
      </c>
      <c r="D730" s="74" t="s">
        <v>82</v>
      </c>
      <c r="E730" s="88" t="s">
        <v>85</v>
      </c>
      <c r="F730" s="86" t="s">
        <v>116</v>
      </c>
      <c r="G730" s="74" t="s">
        <v>289</v>
      </c>
      <c r="H730" s="87">
        <v>43861</v>
      </c>
      <c r="I730" s="94">
        <v>3387.47</v>
      </c>
      <c r="J730" s="94">
        <v>2540.6</v>
      </c>
      <c r="K730" s="94">
        <v>846.87</v>
      </c>
    </row>
    <row r="731" spans="1:11">
      <c r="A731" s="74" t="s">
        <v>113</v>
      </c>
      <c r="B731" s="74" t="s">
        <v>298</v>
      </c>
      <c r="C731" s="74" t="s">
        <v>299</v>
      </c>
      <c r="D731" s="74" t="s">
        <v>82</v>
      </c>
      <c r="E731" s="88" t="s">
        <v>85</v>
      </c>
      <c r="F731" s="86" t="s">
        <v>279</v>
      </c>
      <c r="G731" s="74" t="s">
        <v>300</v>
      </c>
      <c r="H731" s="87">
        <v>43861</v>
      </c>
      <c r="I731" s="94">
        <v>6054.27</v>
      </c>
      <c r="J731" s="94">
        <v>4540.7</v>
      </c>
      <c r="K731" s="94">
        <v>1513.57</v>
      </c>
    </row>
    <row r="732" spans="1:11">
      <c r="A732" s="74" t="s">
        <v>113</v>
      </c>
      <c r="B732" s="74" t="s">
        <v>301</v>
      </c>
      <c r="C732" s="74" t="s">
        <v>302</v>
      </c>
      <c r="D732" s="74" t="s">
        <v>82</v>
      </c>
      <c r="E732" s="88" t="s">
        <v>85</v>
      </c>
      <c r="F732" s="86" t="s">
        <v>279</v>
      </c>
      <c r="G732" s="74" t="s">
        <v>303</v>
      </c>
      <c r="H732" s="87">
        <v>43861</v>
      </c>
      <c r="I732" s="94">
        <v>6036.87</v>
      </c>
      <c r="J732" s="94">
        <v>4527.65</v>
      </c>
      <c r="K732" s="94">
        <v>1509.22</v>
      </c>
    </row>
    <row r="733" spans="1:11">
      <c r="A733" s="74" t="s">
        <v>113</v>
      </c>
      <c r="B733" s="74" t="s">
        <v>304</v>
      </c>
      <c r="C733" s="74" t="s">
        <v>305</v>
      </c>
      <c r="D733" s="74" t="s">
        <v>86</v>
      </c>
      <c r="E733" s="74" t="s">
        <v>90</v>
      </c>
      <c r="F733" s="86" t="s">
        <v>306</v>
      </c>
      <c r="G733" s="74" t="s">
        <v>307</v>
      </c>
      <c r="H733" s="87">
        <v>43861</v>
      </c>
      <c r="I733" s="94">
        <v>6610.4</v>
      </c>
      <c r="J733" s="94">
        <v>4957.8</v>
      </c>
      <c r="K733" s="94">
        <v>1652.6</v>
      </c>
    </row>
    <row r="734" spans="1:11">
      <c r="A734" s="74" t="s">
        <v>113</v>
      </c>
      <c r="B734" s="74" t="s">
        <v>114</v>
      </c>
      <c r="C734" s="74" t="s">
        <v>115</v>
      </c>
      <c r="D734" s="74" t="s">
        <v>79</v>
      </c>
      <c r="E734" s="74" t="s">
        <v>80</v>
      </c>
      <c r="F734" s="86" t="s">
        <v>116</v>
      </c>
      <c r="G734" s="74" t="s">
        <v>117</v>
      </c>
      <c r="H734" s="87">
        <v>43889</v>
      </c>
      <c r="I734" s="94">
        <v>3164.16</v>
      </c>
      <c r="J734" s="94">
        <v>2373.12</v>
      </c>
      <c r="K734" s="94">
        <v>791.04</v>
      </c>
    </row>
    <row r="735" spans="1:11">
      <c r="A735" s="74" t="s">
        <v>113</v>
      </c>
      <c r="B735" s="74" t="s">
        <v>118</v>
      </c>
      <c r="C735" s="74" t="s">
        <v>119</v>
      </c>
      <c r="D735" s="74" t="s">
        <v>79</v>
      </c>
      <c r="E735" s="74" t="s">
        <v>80</v>
      </c>
      <c r="F735" s="86" t="s">
        <v>120</v>
      </c>
      <c r="G735" s="74" t="s">
        <v>117</v>
      </c>
      <c r="H735" s="87">
        <v>43889</v>
      </c>
      <c r="I735" s="94">
        <v>2835.47</v>
      </c>
      <c r="J735" s="94">
        <v>2126.6</v>
      </c>
      <c r="K735" s="94">
        <v>708.87</v>
      </c>
    </row>
    <row r="736" spans="1:11">
      <c r="A736" s="74" t="s">
        <v>113</v>
      </c>
      <c r="B736" s="74" t="s">
        <v>121</v>
      </c>
      <c r="C736" s="74" t="s">
        <v>122</v>
      </c>
      <c r="D736" s="74" t="s">
        <v>79</v>
      </c>
      <c r="E736" s="74" t="s">
        <v>80</v>
      </c>
      <c r="F736" s="86" t="s">
        <v>123</v>
      </c>
      <c r="G736" s="74" t="s">
        <v>117</v>
      </c>
      <c r="H736" s="87">
        <v>43889</v>
      </c>
      <c r="I736" s="94">
        <v>2345.84</v>
      </c>
      <c r="J736" s="94">
        <v>1759.38</v>
      </c>
      <c r="K736" s="94">
        <v>586.46</v>
      </c>
    </row>
    <row r="737" spans="1:11">
      <c r="A737" s="74" t="s">
        <v>113</v>
      </c>
      <c r="B737" s="74" t="s">
        <v>124</v>
      </c>
      <c r="C737" s="74" t="s">
        <v>125</v>
      </c>
      <c r="D737" s="74" t="s">
        <v>79</v>
      </c>
      <c r="E737" s="74" t="s">
        <v>80</v>
      </c>
      <c r="F737" s="86" t="s">
        <v>116</v>
      </c>
      <c r="G737" s="74" t="s">
        <v>117</v>
      </c>
      <c r="H737" s="87">
        <v>43889</v>
      </c>
      <c r="I737" s="94">
        <v>3255.15</v>
      </c>
      <c r="J737" s="94">
        <v>2441.36</v>
      </c>
      <c r="K737" s="94">
        <v>813.79</v>
      </c>
    </row>
    <row r="738" spans="1:11">
      <c r="A738" s="74" t="s">
        <v>113</v>
      </c>
      <c r="B738" s="74" t="s">
        <v>126</v>
      </c>
      <c r="C738" s="74" t="s">
        <v>127</v>
      </c>
      <c r="D738" s="74" t="s">
        <v>79</v>
      </c>
      <c r="E738" s="74" t="s">
        <v>80</v>
      </c>
      <c r="F738" s="86" t="s">
        <v>120</v>
      </c>
      <c r="G738" s="74" t="s">
        <v>117</v>
      </c>
      <c r="H738" s="87">
        <v>43889</v>
      </c>
      <c r="I738" s="94">
        <v>2959.76</v>
      </c>
      <c r="J738" s="94">
        <v>2219.82</v>
      </c>
      <c r="K738" s="94">
        <v>739.94</v>
      </c>
    </row>
    <row r="739" spans="1:11">
      <c r="A739" s="74" t="s">
        <v>113</v>
      </c>
      <c r="B739" s="74" t="s">
        <v>128</v>
      </c>
      <c r="C739" s="74" t="s">
        <v>129</v>
      </c>
      <c r="D739" s="74" t="s">
        <v>79</v>
      </c>
      <c r="E739" s="74" t="s">
        <v>80</v>
      </c>
      <c r="F739" s="86" t="s">
        <v>123</v>
      </c>
      <c r="G739" s="74" t="s">
        <v>117</v>
      </c>
      <c r="H739" s="87">
        <v>43889</v>
      </c>
      <c r="I739" s="94">
        <v>2446.32</v>
      </c>
      <c r="J739" s="94">
        <v>1834.74</v>
      </c>
      <c r="K739" s="94">
        <v>611.58</v>
      </c>
    </row>
    <row r="740" spans="1:11">
      <c r="A740" s="74" t="s">
        <v>113</v>
      </c>
      <c r="B740" s="74" t="s">
        <v>130</v>
      </c>
      <c r="C740" s="74" t="s">
        <v>131</v>
      </c>
      <c r="D740" s="74" t="s">
        <v>79</v>
      </c>
      <c r="E740" s="74" t="s">
        <v>80</v>
      </c>
      <c r="F740" s="86" t="s">
        <v>116</v>
      </c>
      <c r="G740" s="74" t="s">
        <v>117</v>
      </c>
      <c r="H740" s="87">
        <v>43889</v>
      </c>
      <c r="I740" s="94">
        <v>3230.96</v>
      </c>
      <c r="J740" s="94">
        <v>2423.22</v>
      </c>
      <c r="K740" s="94">
        <v>807.74</v>
      </c>
    </row>
    <row r="741" spans="1:11">
      <c r="A741" s="74" t="s">
        <v>113</v>
      </c>
      <c r="B741" s="74" t="s">
        <v>132</v>
      </c>
      <c r="C741" s="74" t="s">
        <v>133</v>
      </c>
      <c r="D741" s="74" t="s">
        <v>79</v>
      </c>
      <c r="E741" s="74" t="s">
        <v>80</v>
      </c>
      <c r="F741" s="86" t="s">
        <v>120</v>
      </c>
      <c r="G741" s="74" t="s">
        <v>117</v>
      </c>
      <c r="H741" s="87">
        <v>43889</v>
      </c>
      <c r="I741" s="94">
        <v>2914.31</v>
      </c>
      <c r="J741" s="94">
        <v>2185.73</v>
      </c>
      <c r="K741" s="94">
        <v>728.58</v>
      </c>
    </row>
    <row r="742" spans="1:11">
      <c r="A742" s="74" t="s">
        <v>113</v>
      </c>
      <c r="B742" s="74" t="s">
        <v>134</v>
      </c>
      <c r="C742" s="74" t="s">
        <v>135</v>
      </c>
      <c r="D742" s="74" t="s">
        <v>79</v>
      </c>
      <c r="E742" s="74" t="s">
        <v>80</v>
      </c>
      <c r="F742" s="86" t="s">
        <v>123</v>
      </c>
      <c r="G742" s="74" t="s">
        <v>117</v>
      </c>
      <c r="H742" s="87">
        <v>43889</v>
      </c>
      <c r="I742" s="94">
        <v>2434.99</v>
      </c>
      <c r="J742" s="94">
        <v>1826.24</v>
      </c>
      <c r="K742" s="94">
        <v>608.75</v>
      </c>
    </row>
    <row r="743" spans="1:11">
      <c r="A743" s="74" t="s">
        <v>113</v>
      </c>
      <c r="B743" s="74" t="s">
        <v>136</v>
      </c>
      <c r="C743" s="74" t="s">
        <v>137</v>
      </c>
      <c r="D743" s="74" t="s">
        <v>79</v>
      </c>
      <c r="E743" s="74" t="s">
        <v>80</v>
      </c>
      <c r="F743" s="86" t="s">
        <v>116</v>
      </c>
      <c r="G743" s="74" t="s">
        <v>138</v>
      </c>
      <c r="H743" s="87">
        <v>43889</v>
      </c>
      <c r="I743" s="94">
        <v>3268.58</v>
      </c>
      <c r="J743" s="94">
        <v>2451.44</v>
      </c>
      <c r="K743" s="94">
        <v>817.14</v>
      </c>
    </row>
    <row r="744" spans="1:11">
      <c r="A744" s="74" t="s">
        <v>113</v>
      </c>
      <c r="B744" s="74" t="s">
        <v>139</v>
      </c>
      <c r="C744" s="74" t="s">
        <v>140</v>
      </c>
      <c r="D744" s="74" t="s">
        <v>79</v>
      </c>
      <c r="E744" s="74" t="s">
        <v>80</v>
      </c>
      <c r="F744" s="86" t="s">
        <v>120</v>
      </c>
      <c r="G744" s="74" t="s">
        <v>138</v>
      </c>
      <c r="H744" s="87">
        <v>43889</v>
      </c>
      <c r="I744" s="94">
        <v>2962.03</v>
      </c>
      <c r="J744" s="94">
        <v>2221.52</v>
      </c>
      <c r="K744" s="94">
        <v>740.51</v>
      </c>
    </row>
    <row r="745" spans="1:11">
      <c r="A745" s="74" t="s">
        <v>113</v>
      </c>
      <c r="B745" s="74" t="s">
        <v>141</v>
      </c>
      <c r="C745" s="74" t="s">
        <v>142</v>
      </c>
      <c r="D745" s="74" t="s">
        <v>79</v>
      </c>
      <c r="E745" s="74" t="s">
        <v>80</v>
      </c>
      <c r="F745" s="86" t="s">
        <v>123</v>
      </c>
      <c r="G745" s="74" t="s">
        <v>138</v>
      </c>
      <c r="H745" s="87">
        <v>43889</v>
      </c>
      <c r="I745" s="94">
        <v>2446.37</v>
      </c>
      <c r="J745" s="94">
        <v>1834.78</v>
      </c>
      <c r="K745" s="94">
        <v>611.59</v>
      </c>
    </row>
    <row r="746" spans="1:11">
      <c r="A746" s="74" t="s">
        <v>113</v>
      </c>
      <c r="B746" s="74" t="s">
        <v>143</v>
      </c>
      <c r="C746" s="74" t="s">
        <v>144</v>
      </c>
      <c r="D746" s="74" t="s">
        <v>79</v>
      </c>
      <c r="E746" s="74" t="s">
        <v>80</v>
      </c>
      <c r="F746" s="86" t="s">
        <v>145</v>
      </c>
      <c r="G746" s="74" t="s">
        <v>146</v>
      </c>
      <c r="H746" s="87">
        <v>43889</v>
      </c>
      <c r="I746" s="94">
        <v>7531.94</v>
      </c>
      <c r="J746" s="94">
        <v>5648.96</v>
      </c>
      <c r="K746" s="94">
        <v>1882.98</v>
      </c>
    </row>
    <row r="747" spans="1:11">
      <c r="A747" s="74" t="s">
        <v>113</v>
      </c>
      <c r="B747" s="74" t="s">
        <v>147</v>
      </c>
      <c r="C747" s="74" t="s">
        <v>148</v>
      </c>
      <c r="D747" s="74" t="s">
        <v>79</v>
      </c>
      <c r="E747" s="74" t="s">
        <v>80</v>
      </c>
      <c r="F747" s="86" t="s">
        <v>149</v>
      </c>
      <c r="G747" s="74" t="s">
        <v>150</v>
      </c>
      <c r="H747" s="87">
        <v>43889</v>
      </c>
      <c r="I747" s="94">
        <v>6974.94</v>
      </c>
      <c r="J747" s="94">
        <v>5231.21</v>
      </c>
      <c r="K747" s="94">
        <v>1743.73</v>
      </c>
    </row>
    <row r="748" spans="1:11">
      <c r="A748" s="74" t="s">
        <v>113</v>
      </c>
      <c r="B748" s="74" t="s">
        <v>151</v>
      </c>
      <c r="C748" s="74" t="s">
        <v>152</v>
      </c>
      <c r="D748" s="74" t="s">
        <v>79</v>
      </c>
      <c r="E748" s="74" t="s">
        <v>81</v>
      </c>
      <c r="F748" s="86" t="s">
        <v>123</v>
      </c>
      <c r="G748" s="74" t="s">
        <v>153</v>
      </c>
      <c r="H748" s="87">
        <v>43889</v>
      </c>
      <c r="I748" s="94">
        <v>2552.68</v>
      </c>
      <c r="J748" s="94">
        <v>1914.51</v>
      </c>
      <c r="K748" s="94">
        <v>638.17</v>
      </c>
    </row>
    <row r="749" spans="1:11">
      <c r="A749" s="74" t="s">
        <v>113</v>
      </c>
      <c r="B749" s="74" t="s">
        <v>154</v>
      </c>
      <c r="C749" s="74" t="s">
        <v>155</v>
      </c>
      <c r="D749" s="74" t="s">
        <v>79</v>
      </c>
      <c r="E749" s="74" t="s">
        <v>81</v>
      </c>
      <c r="F749" s="86" t="s">
        <v>156</v>
      </c>
      <c r="G749" s="74" t="s">
        <v>157</v>
      </c>
      <c r="H749" s="87">
        <v>43889</v>
      </c>
      <c r="I749" s="94">
        <v>2113.98</v>
      </c>
      <c r="J749" s="94">
        <v>1585.49</v>
      </c>
      <c r="K749" s="94">
        <v>528.49</v>
      </c>
    </row>
    <row r="750" spans="1:11">
      <c r="A750" s="74" t="s">
        <v>113</v>
      </c>
      <c r="B750" s="74" t="s">
        <v>158</v>
      </c>
      <c r="C750" s="74" t="s">
        <v>159</v>
      </c>
      <c r="D750" s="74" t="s">
        <v>79</v>
      </c>
      <c r="E750" s="74" t="s">
        <v>81</v>
      </c>
      <c r="F750" s="86" t="s">
        <v>160</v>
      </c>
      <c r="G750" s="74" t="s">
        <v>161</v>
      </c>
      <c r="H750" s="87">
        <v>43889</v>
      </c>
      <c r="I750" s="94">
        <v>1633.92</v>
      </c>
      <c r="J750" s="94">
        <v>1225.44</v>
      </c>
      <c r="K750" s="94">
        <v>408.48</v>
      </c>
    </row>
    <row r="751" spans="1:11">
      <c r="A751" s="74" t="s">
        <v>113</v>
      </c>
      <c r="B751" s="74" t="s">
        <v>162</v>
      </c>
      <c r="C751" s="74" t="s">
        <v>163</v>
      </c>
      <c r="D751" s="74" t="s">
        <v>79</v>
      </c>
      <c r="E751" s="74" t="s">
        <v>81</v>
      </c>
      <c r="F751" s="86" t="s">
        <v>123</v>
      </c>
      <c r="G751" s="74" t="s">
        <v>153</v>
      </c>
      <c r="H751" s="87">
        <v>43889</v>
      </c>
      <c r="I751" s="94">
        <v>2448.12</v>
      </c>
      <c r="J751" s="94">
        <v>1836.09</v>
      </c>
      <c r="K751" s="94">
        <v>612.03</v>
      </c>
    </row>
    <row r="752" spans="1:11">
      <c r="A752" s="74" t="s">
        <v>113</v>
      </c>
      <c r="B752" s="74" t="s">
        <v>164</v>
      </c>
      <c r="C752" s="74" t="s">
        <v>165</v>
      </c>
      <c r="D752" s="74" t="s">
        <v>79</v>
      </c>
      <c r="E752" s="74" t="s">
        <v>81</v>
      </c>
      <c r="F752" s="86" t="s">
        <v>156</v>
      </c>
      <c r="G752" s="74" t="s">
        <v>157</v>
      </c>
      <c r="H752" s="87">
        <v>43889</v>
      </c>
      <c r="I752" s="94">
        <v>2042.71</v>
      </c>
      <c r="J752" s="94">
        <v>1532.03</v>
      </c>
      <c r="K752" s="94">
        <v>510.68</v>
      </c>
    </row>
    <row r="753" spans="1:11">
      <c r="A753" s="74" t="s">
        <v>113</v>
      </c>
      <c r="B753" s="74" t="s">
        <v>166</v>
      </c>
      <c r="C753" s="74" t="s">
        <v>167</v>
      </c>
      <c r="D753" s="74" t="s">
        <v>79</v>
      </c>
      <c r="E753" s="74" t="s">
        <v>81</v>
      </c>
      <c r="F753" s="86" t="s">
        <v>160</v>
      </c>
      <c r="G753" s="74" t="s">
        <v>161</v>
      </c>
      <c r="H753" s="87">
        <v>43889</v>
      </c>
      <c r="I753" s="94">
        <v>1698.79</v>
      </c>
      <c r="J753" s="94">
        <v>1274.09</v>
      </c>
      <c r="K753" s="94">
        <v>424.7</v>
      </c>
    </row>
    <row r="754" spans="1:11">
      <c r="A754" s="74" t="s">
        <v>113</v>
      </c>
      <c r="B754" s="74" t="s">
        <v>168</v>
      </c>
      <c r="C754" s="74" t="s">
        <v>169</v>
      </c>
      <c r="D754" s="74" t="s">
        <v>79</v>
      </c>
      <c r="E754" s="74" t="s">
        <v>81</v>
      </c>
      <c r="F754" s="86" t="s">
        <v>123</v>
      </c>
      <c r="G754" s="74" t="s">
        <v>153</v>
      </c>
      <c r="H754" s="87">
        <v>43889</v>
      </c>
      <c r="I754" s="94">
        <v>2552.4</v>
      </c>
      <c r="J754" s="94">
        <v>1914.3</v>
      </c>
      <c r="K754" s="94">
        <v>638.1</v>
      </c>
    </row>
    <row r="755" spans="1:11">
      <c r="A755" s="74" t="s">
        <v>113</v>
      </c>
      <c r="B755" s="74" t="s">
        <v>170</v>
      </c>
      <c r="C755" s="74" t="s">
        <v>171</v>
      </c>
      <c r="D755" s="74" t="s">
        <v>79</v>
      </c>
      <c r="E755" s="74" t="s">
        <v>81</v>
      </c>
      <c r="F755" s="86" t="s">
        <v>156</v>
      </c>
      <c r="G755" s="74" t="s">
        <v>157</v>
      </c>
      <c r="H755" s="87">
        <v>43889</v>
      </c>
      <c r="I755" s="94">
        <v>2052.21</v>
      </c>
      <c r="J755" s="94">
        <v>1539.16</v>
      </c>
      <c r="K755" s="94">
        <v>513.05</v>
      </c>
    </row>
    <row r="756" spans="1:11">
      <c r="A756" s="74" t="s">
        <v>113</v>
      </c>
      <c r="B756" s="74" t="s">
        <v>172</v>
      </c>
      <c r="C756" s="74" t="s">
        <v>173</v>
      </c>
      <c r="D756" s="74" t="s">
        <v>79</v>
      </c>
      <c r="E756" s="74" t="s">
        <v>81</v>
      </c>
      <c r="F756" s="86" t="s">
        <v>160</v>
      </c>
      <c r="G756" s="74" t="s">
        <v>161</v>
      </c>
      <c r="H756" s="87">
        <v>43889</v>
      </c>
      <c r="I756" s="94">
        <v>1631.76</v>
      </c>
      <c r="J756" s="94">
        <v>1223.82</v>
      </c>
      <c r="K756" s="94">
        <v>407.94</v>
      </c>
    </row>
    <row r="757" spans="1:11">
      <c r="A757" s="74" t="s">
        <v>113</v>
      </c>
      <c r="B757" s="74" t="s">
        <v>174</v>
      </c>
      <c r="C757" s="74" t="s">
        <v>175</v>
      </c>
      <c r="D757" s="74" t="s">
        <v>79</v>
      </c>
      <c r="E757" s="74" t="s">
        <v>81</v>
      </c>
      <c r="F757" s="86" t="s">
        <v>176</v>
      </c>
      <c r="G757" s="74" t="s">
        <v>177</v>
      </c>
      <c r="H757" s="87">
        <v>43889</v>
      </c>
      <c r="I757" s="94">
        <v>1199.52</v>
      </c>
      <c r="J757" s="94">
        <v>899.64</v>
      </c>
      <c r="K757" s="94">
        <v>299.88</v>
      </c>
    </row>
    <row r="758" spans="1:11">
      <c r="A758" s="74" t="s">
        <v>113</v>
      </c>
      <c r="B758" s="74" t="s">
        <v>178</v>
      </c>
      <c r="C758" s="74" t="s">
        <v>179</v>
      </c>
      <c r="D758" s="74" t="s">
        <v>79</v>
      </c>
      <c r="E758" s="74" t="s">
        <v>81</v>
      </c>
      <c r="F758" s="86" t="s">
        <v>180</v>
      </c>
      <c r="G758" s="74" t="s">
        <v>177</v>
      </c>
      <c r="H758" s="87">
        <v>43889</v>
      </c>
      <c r="I758" s="94">
        <v>804.45</v>
      </c>
      <c r="J758" s="94">
        <v>603.34</v>
      </c>
      <c r="K758" s="94">
        <v>201.11</v>
      </c>
    </row>
    <row r="759" spans="1:11">
      <c r="A759" s="74" t="s">
        <v>113</v>
      </c>
      <c r="B759" s="74" t="s">
        <v>181</v>
      </c>
      <c r="C759" s="74" t="s">
        <v>182</v>
      </c>
      <c r="D759" s="74" t="s">
        <v>79</v>
      </c>
      <c r="E759" s="74" t="s">
        <v>81</v>
      </c>
      <c r="F759" s="86" t="s">
        <v>183</v>
      </c>
      <c r="G759" s="74" t="s">
        <v>177</v>
      </c>
      <c r="H759" s="87">
        <v>43889</v>
      </c>
      <c r="I759" s="94">
        <v>418.82</v>
      </c>
      <c r="J759" s="94">
        <v>314.12</v>
      </c>
      <c r="K759" s="94">
        <v>104.7</v>
      </c>
    </row>
    <row r="760" spans="1:11">
      <c r="A760" s="74" t="s">
        <v>113</v>
      </c>
      <c r="B760" s="74" t="s">
        <v>184</v>
      </c>
      <c r="C760" s="74" t="s">
        <v>185</v>
      </c>
      <c r="D760" s="74" t="s">
        <v>79</v>
      </c>
      <c r="E760" s="74" t="s">
        <v>81</v>
      </c>
      <c r="F760" s="86" t="s">
        <v>176</v>
      </c>
      <c r="G760" s="74" t="s">
        <v>177</v>
      </c>
      <c r="H760" s="87">
        <v>43889</v>
      </c>
      <c r="I760" s="94">
        <v>1240.48</v>
      </c>
      <c r="J760" s="94">
        <v>930.36</v>
      </c>
      <c r="K760" s="94">
        <v>310.12</v>
      </c>
    </row>
    <row r="761" spans="1:11">
      <c r="A761" s="74" t="s">
        <v>113</v>
      </c>
      <c r="B761" s="74" t="s">
        <v>186</v>
      </c>
      <c r="C761" s="74" t="s">
        <v>187</v>
      </c>
      <c r="D761" s="74" t="s">
        <v>79</v>
      </c>
      <c r="E761" s="74" t="s">
        <v>81</v>
      </c>
      <c r="F761" s="86" t="s">
        <v>180</v>
      </c>
      <c r="G761" s="74" t="s">
        <v>177</v>
      </c>
      <c r="H761" s="87">
        <v>43889</v>
      </c>
      <c r="I761" s="94">
        <v>838.07</v>
      </c>
      <c r="J761" s="94">
        <v>628.55</v>
      </c>
      <c r="K761" s="94">
        <v>209.52</v>
      </c>
    </row>
    <row r="762" spans="1:11">
      <c r="A762" s="74" t="s">
        <v>113</v>
      </c>
      <c r="B762" s="74" t="s">
        <v>188</v>
      </c>
      <c r="C762" s="74" t="s">
        <v>189</v>
      </c>
      <c r="D762" s="74" t="s">
        <v>79</v>
      </c>
      <c r="E762" s="74" t="s">
        <v>81</v>
      </c>
      <c r="F762" s="86" t="s">
        <v>183</v>
      </c>
      <c r="G762" s="74" t="s">
        <v>177</v>
      </c>
      <c r="H762" s="87">
        <v>43889</v>
      </c>
      <c r="I762" s="94">
        <v>409.74</v>
      </c>
      <c r="J762" s="94">
        <v>307.31</v>
      </c>
      <c r="K762" s="94">
        <v>102.43</v>
      </c>
    </row>
    <row r="763" spans="1:11">
      <c r="A763" s="74" t="s">
        <v>113</v>
      </c>
      <c r="B763" s="74" t="s">
        <v>190</v>
      </c>
      <c r="C763" s="74" t="s">
        <v>191</v>
      </c>
      <c r="D763" s="74" t="s">
        <v>79</v>
      </c>
      <c r="E763" s="74" t="s">
        <v>81</v>
      </c>
      <c r="F763" s="86" t="s">
        <v>176</v>
      </c>
      <c r="G763" s="74" t="s">
        <v>177</v>
      </c>
      <c r="H763" s="87">
        <v>43889</v>
      </c>
      <c r="I763" s="94">
        <v>1190.12</v>
      </c>
      <c r="J763" s="94">
        <v>892.59</v>
      </c>
      <c r="K763" s="94">
        <v>297.53</v>
      </c>
    </row>
    <row r="764" spans="1:11">
      <c r="A764" s="74" t="s">
        <v>113</v>
      </c>
      <c r="B764" s="74" t="s">
        <v>192</v>
      </c>
      <c r="C764" s="74" t="s">
        <v>193</v>
      </c>
      <c r="D764" s="74" t="s">
        <v>79</v>
      </c>
      <c r="E764" s="74" t="s">
        <v>81</v>
      </c>
      <c r="F764" s="86" t="s">
        <v>180</v>
      </c>
      <c r="G764" s="74" t="s">
        <v>177</v>
      </c>
      <c r="H764" s="87">
        <v>43889</v>
      </c>
      <c r="I764" s="94">
        <v>782.37</v>
      </c>
      <c r="J764" s="94">
        <v>586.78</v>
      </c>
      <c r="K764" s="94">
        <v>195.59</v>
      </c>
    </row>
    <row r="765" spans="1:11">
      <c r="A765" s="74" t="s">
        <v>113</v>
      </c>
      <c r="B765" s="74" t="s">
        <v>194</v>
      </c>
      <c r="C765" s="74" t="s">
        <v>195</v>
      </c>
      <c r="D765" s="74" t="s">
        <v>79</v>
      </c>
      <c r="E765" s="74" t="s">
        <v>81</v>
      </c>
      <c r="F765" s="86" t="s">
        <v>183</v>
      </c>
      <c r="G765" s="74" t="s">
        <v>177</v>
      </c>
      <c r="H765" s="87">
        <v>43889</v>
      </c>
      <c r="I765" s="94">
        <v>419.79</v>
      </c>
      <c r="J765" s="94">
        <v>314.84</v>
      </c>
      <c r="K765" s="94">
        <v>104.95</v>
      </c>
    </row>
    <row r="766" spans="1:11">
      <c r="A766" s="74" t="s">
        <v>113</v>
      </c>
      <c r="B766" s="74" t="s">
        <v>196</v>
      </c>
      <c r="C766" s="74" t="s">
        <v>197</v>
      </c>
      <c r="D766" s="74" t="s">
        <v>79</v>
      </c>
      <c r="E766" s="74" t="s">
        <v>81</v>
      </c>
      <c r="F766" s="86" t="s">
        <v>176</v>
      </c>
      <c r="G766" s="74" t="s">
        <v>177</v>
      </c>
      <c r="H766" s="87">
        <v>43889</v>
      </c>
      <c r="I766" s="94">
        <v>1199.48</v>
      </c>
      <c r="J766" s="94">
        <v>899.61</v>
      </c>
      <c r="K766" s="94">
        <v>299.87</v>
      </c>
    </row>
    <row r="767" spans="1:11">
      <c r="A767" s="74" t="s">
        <v>113</v>
      </c>
      <c r="B767" s="74" t="s">
        <v>198</v>
      </c>
      <c r="C767" s="74" t="s">
        <v>199</v>
      </c>
      <c r="D767" s="74" t="s">
        <v>79</v>
      </c>
      <c r="E767" s="74" t="s">
        <v>81</v>
      </c>
      <c r="F767" s="86" t="s">
        <v>180</v>
      </c>
      <c r="G767" s="74" t="s">
        <v>177</v>
      </c>
      <c r="H767" s="87">
        <v>43889</v>
      </c>
      <c r="I767" s="94">
        <v>817.72</v>
      </c>
      <c r="J767" s="94">
        <v>613.29</v>
      </c>
      <c r="K767" s="94">
        <v>204.43</v>
      </c>
    </row>
    <row r="768" spans="1:11">
      <c r="A768" s="74" t="s">
        <v>113</v>
      </c>
      <c r="B768" s="74" t="s">
        <v>200</v>
      </c>
      <c r="C768" s="74" t="s">
        <v>201</v>
      </c>
      <c r="D768" s="74" t="s">
        <v>79</v>
      </c>
      <c r="E768" s="74" t="s">
        <v>81</v>
      </c>
      <c r="F768" s="86" t="s">
        <v>183</v>
      </c>
      <c r="G768" s="74" t="s">
        <v>177</v>
      </c>
      <c r="H768" s="87">
        <v>43889</v>
      </c>
      <c r="I768" s="94">
        <v>428.66</v>
      </c>
      <c r="J768" s="94">
        <v>321.5</v>
      </c>
      <c r="K768" s="94">
        <v>107.16</v>
      </c>
    </row>
    <row r="769" spans="1:11">
      <c r="A769" s="74" t="s">
        <v>113</v>
      </c>
      <c r="B769" s="74" t="s">
        <v>202</v>
      </c>
      <c r="C769" s="74" t="s">
        <v>203</v>
      </c>
      <c r="D769" s="74" t="s">
        <v>79</v>
      </c>
      <c r="E769" s="74" t="s">
        <v>81</v>
      </c>
      <c r="F769" s="86" t="s">
        <v>204</v>
      </c>
      <c r="G769" s="74" t="s">
        <v>205</v>
      </c>
      <c r="H769" s="87">
        <v>43889</v>
      </c>
      <c r="I769" s="94">
        <v>7515.86</v>
      </c>
      <c r="J769" s="94">
        <v>5636.9</v>
      </c>
      <c r="K769" s="94">
        <v>1878.96</v>
      </c>
    </row>
    <row r="770" spans="1:11">
      <c r="A770" s="74" t="s">
        <v>113</v>
      </c>
      <c r="B770" s="74" t="s">
        <v>206</v>
      </c>
      <c r="C770" s="74" t="s">
        <v>207</v>
      </c>
      <c r="D770" s="88" t="s">
        <v>82</v>
      </c>
      <c r="E770" s="88" t="s">
        <v>84</v>
      </c>
      <c r="F770" s="86" t="s">
        <v>208</v>
      </c>
      <c r="G770" s="74" t="s">
        <v>209</v>
      </c>
      <c r="H770" s="87">
        <v>43889</v>
      </c>
      <c r="I770" s="94">
        <v>3710.79</v>
      </c>
      <c r="J770" s="94">
        <v>2783.09</v>
      </c>
      <c r="K770" s="94">
        <v>927.7</v>
      </c>
    </row>
    <row r="771" spans="1:11">
      <c r="A771" s="74" t="s">
        <v>113</v>
      </c>
      <c r="B771" s="74" t="s">
        <v>210</v>
      </c>
      <c r="C771" s="74" t="s">
        <v>211</v>
      </c>
      <c r="D771" s="88" t="s">
        <v>82</v>
      </c>
      <c r="E771" s="88" t="s">
        <v>84</v>
      </c>
      <c r="F771" s="86" t="s">
        <v>116</v>
      </c>
      <c r="G771" s="74" t="s">
        <v>209</v>
      </c>
      <c r="H771" s="87">
        <v>43889</v>
      </c>
      <c r="I771" s="94">
        <v>3204.79</v>
      </c>
      <c r="J771" s="94">
        <v>2403.59</v>
      </c>
      <c r="K771" s="94">
        <v>801.2</v>
      </c>
    </row>
    <row r="772" spans="1:11">
      <c r="A772" s="74" t="s">
        <v>113</v>
      </c>
      <c r="B772" s="74" t="s">
        <v>212</v>
      </c>
      <c r="C772" s="74" t="s">
        <v>213</v>
      </c>
      <c r="D772" s="88" t="s">
        <v>82</v>
      </c>
      <c r="E772" s="88" t="s">
        <v>84</v>
      </c>
      <c r="F772" s="86" t="s">
        <v>208</v>
      </c>
      <c r="G772" s="74" t="s">
        <v>209</v>
      </c>
      <c r="H772" s="87">
        <v>43889</v>
      </c>
      <c r="I772" s="94">
        <v>3710.25</v>
      </c>
      <c r="J772" s="94">
        <v>2782.69</v>
      </c>
      <c r="K772" s="94">
        <v>927.56</v>
      </c>
    </row>
    <row r="773" spans="1:11">
      <c r="A773" s="74" t="s">
        <v>113</v>
      </c>
      <c r="B773" s="74" t="s">
        <v>214</v>
      </c>
      <c r="C773" s="74" t="s">
        <v>215</v>
      </c>
      <c r="D773" s="88" t="s">
        <v>82</v>
      </c>
      <c r="E773" s="88" t="s">
        <v>84</v>
      </c>
      <c r="F773" s="86" t="s">
        <v>116</v>
      </c>
      <c r="G773" s="74" t="s">
        <v>209</v>
      </c>
      <c r="H773" s="87">
        <v>43889</v>
      </c>
      <c r="I773" s="94">
        <v>3142.76</v>
      </c>
      <c r="J773" s="94">
        <v>2357.07</v>
      </c>
      <c r="K773" s="94">
        <v>785.69</v>
      </c>
    </row>
    <row r="774" spans="1:11">
      <c r="A774" s="74" t="s">
        <v>113</v>
      </c>
      <c r="B774" s="74" t="s">
        <v>216</v>
      </c>
      <c r="C774" s="74" t="s">
        <v>217</v>
      </c>
      <c r="D774" s="88" t="s">
        <v>82</v>
      </c>
      <c r="E774" s="88" t="s">
        <v>84</v>
      </c>
      <c r="F774" s="86" t="s">
        <v>218</v>
      </c>
      <c r="G774" s="74" t="s">
        <v>219</v>
      </c>
      <c r="H774" s="87">
        <v>43889</v>
      </c>
      <c r="I774" s="94">
        <v>4702.97</v>
      </c>
      <c r="J774" s="94">
        <v>3527.23</v>
      </c>
      <c r="K774" s="94">
        <v>1175.74</v>
      </c>
    </row>
    <row r="775" spans="1:11">
      <c r="A775" s="74" t="s">
        <v>113</v>
      </c>
      <c r="B775" s="74" t="s">
        <v>220</v>
      </c>
      <c r="C775" s="74" t="s">
        <v>221</v>
      </c>
      <c r="D775" s="88" t="s">
        <v>82</v>
      </c>
      <c r="E775" s="74" t="s">
        <v>83</v>
      </c>
      <c r="F775" s="86" t="s">
        <v>218</v>
      </c>
      <c r="G775" s="74" t="s">
        <v>222</v>
      </c>
      <c r="H775" s="87">
        <v>43889</v>
      </c>
      <c r="I775" s="94">
        <v>4642.09</v>
      </c>
      <c r="J775" s="94">
        <v>3481.57</v>
      </c>
      <c r="K775" s="94">
        <v>1160.52</v>
      </c>
    </row>
    <row r="776" spans="1:11">
      <c r="A776" s="74" t="s">
        <v>113</v>
      </c>
      <c r="B776" s="74" t="s">
        <v>223</v>
      </c>
      <c r="C776" s="74" t="s">
        <v>224</v>
      </c>
      <c r="D776" s="88" t="s">
        <v>82</v>
      </c>
      <c r="E776" s="74" t="s">
        <v>83</v>
      </c>
      <c r="F776" s="86" t="s">
        <v>225</v>
      </c>
      <c r="G776" s="74" t="s">
        <v>209</v>
      </c>
      <c r="H776" s="87">
        <v>43889</v>
      </c>
      <c r="I776" s="94">
        <v>4122.01</v>
      </c>
      <c r="J776" s="94">
        <v>3091.51</v>
      </c>
      <c r="K776" s="94">
        <v>1030.5</v>
      </c>
    </row>
    <row r="777" spans="1:11">
      <c r="A777" s="74" t="s">
        <v>113</v>
      </c>
      <c r="B777" s="74" t="s">
        <v>226</v>
      </c>
      <c r="C777" s="74" t="s">
        <v>227</v>
      </c>
      <c r="D777" s="88" t="s">
        <v>82</v>
      </c>
      <c r="E777" s="74" t="s">
        <v>83</v>
      </c>
      <c r="F777" s="86" t="s">
        <v>208</v>
      </c>
      <c r="G777" s="74" t="s">
        <v>209</v>
      </c>
      <c r="H777" s="87">
        <v>43889</v>
      </c>
      <c r="I777" s="94">
        <v>3788.79</v>
      </c>
      <c r="J777" s="94">
        <v>2841.59</v>
      </c>
      <c r="K777" s="94">
        <v>947.2</v>
      </c>
    </row>
    <row r="778" spans="1:11">
      <c r="A778" s="74" t="s">
        <v>113</v>
      </c>
      <c r="B778" s="74" t="s">
        <v>228</v>
      </c>
      <c r="C778" s="74" t="s">
        <v>229</v>
      </c>
      <c r="D778" s="88" t="s">
        <v>82</v>
      </c>
      <c r="E778" s="74" t="s">
        <v>83</v>
      </c>
      <c r="F778" s="86" t="s">
        <v>116</v>
      </c>
      <c r="G778" s="74" t="s">
        <v>209</v>
      </c>
      <c r="H778" s="87">
        <v>43889</v>
      </c>
      <c r="I778" s="94">
        <v>3212.3</v>
      </c>
      <c r="J778" s="94">
        <v>2409.23</v>
      </c>
      <c r="K778" s="94">
        <v>803.07</v>
      </c>
    </row>
    <row r="779" spans="1:11">
      <c r="A779" s="74" t="s">
        <v>113</v>
      </c>
      <c r="B779" s="74" t="s">
        <v>230</v>
      </c>
      <c r="C779" s="74" t="s">
        <v>231</v>
      </c>
      <c r="D779" s="88" t="s">
        <v>82</v>
      </c>
      <c r="E779" s="74" t="s">
        <v>83</v>
      </c>
      <c r="F779" s="86" t="s">
        <v>120</v>
      </c>
      <c r="G779" s="74" t="s">
        <v>209</v>
      </c>
      <c r="H779" s="87">
        <v>43889</v>
      </c>
      <c r="I779" s="94">
        <v>2731.67</v>
      </c>
      <c r="J779" s="94">
        <v>2048.75</v>
      </c>
      <c r="K779" s="94">
        <v>682.92</v>
      </c>
    </row>
    <row r="780" spans="1:11">
      <c r="A780" s="74" t="s">
        <v>113</v>
      </c>
      <c r="B780" s="74" t="s">
        <v>232</v>
      </c>
      <c r="C780" s="74" t="s">
        <v>233</v>
      </c>
      <c r="D780" s="88" t="s">
        <v>82</v>
      </c>
      <c r="E780" s="74" t="s">
        <v>83</v>
      </c>
      <c r="F780" s="86" t="s">
        <v>123</v>
      </c>
      <c r="G780" s="74" t="s">
        <v>209</v>
      </c>
      <c r="H780" s="87">
        <v>43889</v>
      </c>
      <c r="I780" s="94">
        <v>2392.76</v>
      </c>
      <c r="J780" s="94">
        <v>1794.57</v>
      </c>
      <c r="K780" s="94">
        <v>598.19</v>
      </c>
    </row>
    <row r="781" spans="1:11">
      <c r="A781" s="74" t="s">
        <v>113</v>
      </c>
      <c r="B781" s="74" t="s">
        <v>234</v>
      </c>
      <c r="C781" s="74" t="s">
        <v>235</v>
      </c>
      <c r="D781" s="88" t="s">
        <v>82</v>
      </c>
      <c r="E781" s="74" t="s">
        <v>83</v>
      </c>
      <c r="F781" s="86" t="s">
        <v>116</v>
      </c>
      <c r="G781" s="74" t="s">
        <v>209</v>
      </c>
      <c r="H781" s="87">
        <v>43889</v>
      </c>
      <c r="I781" s="94">
        <v>3141.57</v>
      </c>
      <c r="J781" s="94">
        <v>2356.18</v>
      </c>
      <c r="K781" s="94">
        <v>785.39</v>
      </c>
    </row>
    <row r="782" spans="1:11">
      <c r="A782" s="74" t="s">
        <v>113</v>
      </c>
      <c r="B782" s="74" t="s">
        <v>236</v>
      </c>
      <c r="C782" s="74" t="s">
        <v>237</v>
      </c>
      <c r="D782" s="88" t="s">
        <v>82</v>
      </c>
      <c r="E782" s="74" t="s">
        <v>83</v>
      </c>
      <c r="F782" s="86" t="s">
        <v>120</v>
      </c>
      <c r="G782" s="74" t="s">
        <v>209</v>
      </c>
      <c r="H782" s="87">
        <v>43889</v>
      </c>
      <c r="I782" s="94">
        <v>2956.25</v>
      </c>
      <c r="J782" s="94">
        <v>2217.19</v>
      </c>
      <c r="K782" s="94">
        <v>739.06</v>
      </c>
    </row>
    <row r="783" spans="1:11">
      <c r="A783" s="74" t="s">
        <v>113</v>
      </c>
      <c r="B783" s="74" t="s">
        <v>238</v>
      </c>
      <c r="C783" s="74" t="s">
        <v>239</v>
      </c>
      <c r="D783" s="74" t="s">
        <v>86</v>
      </c>
      <c r="E783" s="74" t="s">
        <v>87</v>
      </c>
      <c r="F783" s="86" t="s">
        <v>204</v>
      </c>
      <c r="G783" s="74" t="s">
        <v>240</v>
      </c>
      <c r="H783" s="87">
        <v>43889</v>
      </c>
      <c r="I783" s="94">
        <v>5795.25</v>
      </c>
      <c r="J783" s="94">
        <v>4346.44</v>
      </c>
      <c r="K783" s="94">
        <v>1448.81</v>
      </c>
    </row>
    <row r="784" spans="1:11">
      <c r="A784" s="74" t="s">
        <v>113</v>
      </c>
      <c r="B784" s="74" t="s">
        <v>241</v>
      </c>
      <c r="C784" s="74" t="s">
        <v>242</v>
      </c>
      <c r="D784" s="74" t="s">
        <v>86</v>
      </c>
      <c r="E784" s="74" t="s">
        <v>87</v>
      </c>
      <c r="F784" s="86" t="s">
        <v>243</v>
      </c>
      <c r="G784" s="74" t="s">
        <v>244</v>
      </c>
      <c r="H784" s="87">
        <v>43889</v>
      </c>
      <c r="I784" s="94">
        <v>4431.71</v>
      </c>
      <c r="J784" s="94">
        <v>3323.78</v>
      </c>
      <c r="K784" s="94">
        <v>1107.93</v>
      </c>
    </row>
    <row r="785" spans="1:11">
      <c r="A785" s="74" t="s">
        <v>113</v>
      </c>
      <c r="B785" s="74" t="s">
        <v>245</v>
      </c>
      <c r="C785" s="74" t="s">
        <v>246</v>
      </c>
      <c r="D785" s="74" t="s">
        <v>86</v>
      </c>
      <c r="E785" s="74" t="s">
        <v>87</v>
      </c>
      <c r="F785" s="86" t="s">
        <v>247</v>
      </c>
      <c r="G785" s="74" t="s">
        <v>248</v>
      </c>
      <c r="H785" s="87">
        <v>43889</v>
      </c>
      <c r="I785" s="94">
        <v>3768.27</v>
      </c>
      <c r="J785" s="94">
        <v>2826.2</v>
      </c>
      <c r="K785" s="94">
        <v>942.07</v>
      </c>
    </row>
    <row r="786" spans="1:11">
      <c r="A786" s="74" t="s">
        <v>113</v>
      </c>
      <c r="B786" s="74" t="s">
        <v>249</v>
      </c>
      <c r="C786" s="74" t="s">
        <v>250</v>
      </c>
      <c r="D786" s="74" t="s">
        <v>86</v>
      </c>
      <c r="E786" s="74" t="s">
        <v>87</v>
      </c>
      <c r="F786" s="86" t="s">
        <v>251</v>
      </c>
      <c r="G786" s="74" t="s">
        <v>252</v>
      </c>
      <c r="H786" s="87">
        <v>43889</v>
      </c>
      <c r="I786" s="94">
        <v>3648.27</v>
      </c>
      <c r="J786" s="94">
        <v>2736.2</v>
      </c>
      <c r="K786" s="94">
        <v>912.07</v>
      </c>
    </row>
    <row r="787" spans="1:11">
      <c r="A787" s="74" t="s">
        <v>113</v>
      </c>
      <c r="B787" s="74" t="s">
        <v>253</v>
      </c>
      <c r="C787" s="74" t="s">
        <v>254</v>
      </c>
      <c r="D787" s="74" t="s">
        <v>86</v>
      </c>
      <c r="E787" s="74" t="s">
        <v>87</v>
      </c>
      <c r="F787" s="86" t="s">
        <v>255</v>
      </c>
      <c r="G787" s="74" t="s">
        <v>252</v>
      </c>
      <c r="H787" s="87">
        <v>43889</v>
      </c>
      <c r="I787" s="94">
        <v>3152.99</v>
      </c>
      <c r="J787" s="94">
        <v>2364.74</v>
      </c>
      <c r="K787" s="94">
        <v>788.25</v>
      </c>
    </row>
    <row r="788" spans="1:11">
      <c r="A788" s="74" t="s">
        <v>113</v>
      </c>
      <c r="B788" s="74" t="s">
        <v>256</v>
      </c>
      <c r="C788" s="74" t="s">
        <v>257</v>
      </c>
      <c r="D788" s="74" t="s">
        <v>86</v>
      </c>
      <c r="E788" s="74" t="s">
        <v>87</v>
      </c>
      <c r="F788" s="86" t="s">
        <v>258</v>
      </c>
      <c r="G788" s="74" t="s">
        <v>252</v>
      </c>
      <c r="H788" s="87">
        <v>43889</v>
      </c>
      <c r="I788" s="94">
        <v>3071.85</v>
      </c>
      <c r="J788" s="94">
        <v>2303.89</v>
      </c>
      <c r="K788" s="94">
        <v>767.96</v>
      </c>
    </row>
    <row r="789" spans="1:11">
      <c r="A789" s="74" t="s">
        <v>113</v>
      </c>
      <c r="B789" s="74" t="s">
        <v>259</v>
      </c>
      <c r="C789" s="74" t="s">
        <v>260</v>
      </c>
      <c r="D789" s="74" t="s">
        <v>86</v>
      </c>
      <c r="E789" s="74" t="s">
        <v>87</v>
      </c>
      <c r="F789" s="86" t="s">
        <v>261</v>
      </c>
      <c r="G789" s="74" t="s">
        <v>262</v>
      </c>
      <c r="H789" s="87">
        <v>43889</v>
      </c>
      <c r="I789" s="94">
        <v>2652</v>
      </c>
      <c r="J789" s="94">
        <v>1989</v>
      </c>
      <c r="K789" s="94">
        <v>663</v>
      </c>
    </row>
    <row r="790" spans="1:11">
      <c r="A790" s="74" t="s">
        <v>113</v>
      </c>
      <c r="B790" s="74" t="s">
        <v>263</v>
      </c>
      <c r="C790" s="74" t="s">
        <v>264</v>
      </c>
      <c r="D790" s="74" t="s">
        <v>86</v>
      </c>
      <c r="E790" s="74" t="s">
        <v>88</v>
      </c>
      <c r="F790" s="86" t="s">
        <v>149</v>
      </c>
      <c r="G790" s="74" t="s">
        <v>265</v>
      </c>
      <c r="H790" s="87">
        <v>43889</v>
      </c>
      <c r="I790" s="94">
        <v>5310.54</v>
      </c>
      <c r="J790" s="94">
        <v>3982.91</v>
      </c>
      <c r="K790" s="94">
        <v>1327.63</v>
      </c>
    </row>
    <row r="791" spans="1:11">
      <c r="A791" s="74" t="s">
        <v>113</v>
      </c>
      <c r="B791" s="74" t="s">
        <v>266</v>
      </c>
      <c r="C791" s="74" t="s">
        <v>267</v>
      </c>
      <c r="D791" s="74" t="s">
        <v>86</v>
      </c>
      <c r="E791" s="74" t="s">
        <v>88</v>
      </c>
      <c r="F791" s="86" t="s">
        <v>243</v>
      </c>
      <c r="G791" s="74" t="s">
        <v>268</v>
      </c>
      <c r="H791" s="87">
        <v>43889</v>
      </c>
      <c r="I791" s="94">
        <v>4163.07</v>
      </c>
      <c r="J791" s="94">
        <v>3122.3</v>
      </c>
      <c r="K791" s="94">
        <v>1040.77</v>
      </c>
    </row>
    <row r="792" spans="1:11">
      <c r="A792" s="74" t="s">
        <v>113</v>
      </c>
      <c r="B792" s="74" t="s">
        <v>269</v>
      </c>
      <c r="C792" s="74" t="s">
        <v>270</v>
      </c>
      <c r="D792" s="74" t="s">
        <v>86</v>
      </c>
      <c r="E792" s="74" t="s">
        <v>88</v>
      </c>
      <c r="F792" s="86" t="s">
        <v>247</v>
      </c>
      <c r="G792" s="74" t="s">
        <v>268</v>
      </c>
      <c r="H792" s="87">
        <v>43889</v>
      </c>
      <c r="I792" s="94">
        <v>3776.44</v>
      </c>
      <c r="J792" s="94">
        <v>2832.33</v>
      </c>
      <c r="K792" s="94">
        <v>944.11</v>
      </c>
    </row>
    <row r="793" spans="1:11">
      <c r="A793" s="74" t="s">
        <v>113</v>
      </c>
      <c r="B793" s="74" t="s">
        <v>271</v>
      </c>
      <c r="C793" s="74" t="s">
        <v>272</v>
      </c>
      <c r="D793" s="74" t="s">
        <v>86</v>
      </c>
      <c r="E793" s="74" t="s">
        <v>88</v>
      </c>
      <c r="F793" s="86" t="s">
        <v>251</v>
      </c>
      <c r="G793" s="74" t="s">
        <v>268</v>
      </c>
      <c r="H793" s="87">
        <v>43889</v>
      </c>
      <c r="I793" s="94">
        <v>3571.27</v>
      </c>
      <c r="J793" s="94">
        <v>2678.45</v>
      </c>
      <c r="K793" s="94">
        <v>892.82</v>
      </c>
    </row>
    <row r="794" spans="1:11">
      <c r="A794" s="74" t="s">
        <v>113</v>
      </c>
      <c r="B794" s="74" t="s">
        <v>273</v>
      </c>
      <c r="C794" s="74" t="s">
        <v>274</v>
      </c>
      <c r="D794" s="74" t="s">
        <v>86</v>
      </c>
      <c r="E794" s="74" t="s">
        <v>88</v>
      </c>
      <c r="F794" s="86" t="s">
        <v>255</v>
      </c>
      <c r="G794" s="74" t="s">
        <v>268</v>
      </c>
      <c r="H794" s="87">
        <v>43889</v>
      </c>
      <c r="I794" s="94">
        <v>3290.57</v>
      </c>
      <c r="J794" s="94">
        <v>2467.93</v>
      </c>
      <c r="K794" s="94">
        <v>822.64</v>
      </c>
    </row>
    <row r="795" spans="1:11">
      <c r="A795" s="74" t="s">
        <v>113</v>
      </c>
      <c r="B795" s="74" t="s">
        <v>275</v>
      </c>
      <c r="C795" s="74" t="s">
        <v>276</v>
      </c>
      <c r="D795" s="74" t="s">
        <v>86</v>
      </c>
      <c r="E795" s="74" t="s">
        <v>88</v>
      </c>
      <c r="F795" s="86" t="s">
        <v>258</v>
      </c>
      <c r="G795" s="74" t="s">
        <v>268</v>
      </c>
      <c r="H795" s="87">
        <v>43889</v>
      </c>
      <c r="I795" s="94">
        <v>2952.13</v>
      </c>
      <c r="J795" s="94">
        <v>2214.1</v>
      </c>
      <c r="K795" s="94">
        <v>738.03</v>
      </c>
    </row>
    <row r="796" spans="1:11">
      <c r="A796" s="74" t="s">
        <v>113</v>
      </c>
      <c r="B796" s="74" t="s">
        <v>277</v>
      </c>
      <c r="C796" s="74" t="s">
        <v>278</v>
      </c>
      <c r="D796" s="74" t="s">
        <v>86</v>
      </c>
      <c r="E796" s="74" t="s">
        <v>89</v>
      </c>
      <c r="F796" s="86" t="s">
        <v>279</v>
      </c>
      <c r="G796" s="74" t="s">
        <v>280</v>
      </c>
      <c r="H796" s="87">
        <v>43889</v>
      </c>
      <c r="I796" s="94">
        <v>5122.26</v>
      </c>
      <c r="J796" s="94">
        <v>3841.7</v>
      </c>
      <c r="K796" s="94">
        <v>1280.56</v>
      </c>
    </row>
    <row r="797" spans="1:11">
      <c r="A797" s="74" t="s">
        <v>113</v>
      </c>
      <c r="B797" s="74" t="s">
        <v>281</v>
      </c>
      <c r="C797" s="74" t="s">
        <v>282</v>
      </c>
      <c r="D797" s="74" t="s">
        <v>86</v>
      </c>
      <c r="E797" s="74" t="s">
        <v>89</v>
      </c>
      <c r="F797" s="86" t="s">
        <v>225</v>
      </c>
      <c r="G797" s="74" t="s">
        <v>283</v>
      </c>
      <c r="H797" s="87">
        <v>43889</v>
      </c>
      <c r="I797" s="94">
        <v>3137.42</v>
      </c>
      <c r="J797" s="94">
        <v>2353.07</v>
      </c>
      <c r="K797" s="94">
        <v>784.35</v>
      </c>
    </row>
    <row r="798" spans="1:11">
      <c r="A798" s="74" t="s">
        <v>113</v>
      </c>
      <c r="B798" s="74" t="s">
        <v>284</v>
      </c>
      <c r="C798" s="74" t="s">
        <v>285</v>
      </c>
      <c r="D798" s="74" t="s">
        <v>86</v>
      </c>
      <c r="E798" s="74" t="s">
        <v>89</v>
      </c>
      <c r="F798" s="86" t="s">
        <v>208</v>
      </c>
      <c r="G798" s="74" t="s">
        <v>283</v>
      </c>
      <c r="H798" s="87">
        <v>43889</v>
      </c>
      <c r="I798" s="94">
        <v>2966.18</v>
      </c>
      <c r="J798" s="94">
        <v>2224.64</v>
      </c>
      <c r="K798" s="94">
        <v>741.54</v>
      </c>
    </row>
    <row r="799" spans="1:11">
      <c r="A799" s="74" t="s">
        <v>113</v>
      </c>
      <c r="B799" s="74" t="s">
        <v>286</v>
      </c>
      <c r="C799" s="74" t="s">
        <v>287</v>
      </c>
      <c r="D799" s="74" t="s">
        <v>82</v>
      </c>
      <c r="E799" s="88" t="s">
        <v>85</v>
      </c>
      <c r="F799" s="86" t="s">
        <v>288</v>
      </c>
      <c r="G799" s="74" t="s">
        <v>289</v>
      </c>
      <c r="H799" s="87">
        <v>43889</v>
      </c>
      <c r="I799" s="94">
        <v>5097.39</v>
      </c>
      <c r="J799" s="94">
        <v>3823.04</v>
      </c>
      <c r="K799" s="94">
        <v>1274.35</v>
      </c>
    </row>
    <row r="800" spans="1:11">
      <c r="A800" s="74" t="s">
        <v>113</v>
      </c>
      <c r="B800" s="74" t="s">
        <v>290</v>
      </c>
      <c r="C800" s="74" t="s">
        <v>291</v>
      </c>
      <c r="D800" s="74" t="s">
        <v>82</v>
      </c>
      <c r="E800" s="88" t="s">
        <v>85</v>
      </c>
      <c r="F800" s="86" t="s">
        <v>218</v>
      </c>
      <c r="G800" s="74" t="s">
        <v>289</v>
      </c>
      <c r="H800" s="87">
        <v>43889</v>
      </c>
      <c r="I800" s="94">
        <v>4570.87</v>
      </c>
      <c r="J800" s="94">
        <v>3428.15</v>
      </c>
      <c r="K800" s="94">
        <v>1142.72</v>
      </c>
    </row>
    <row r="801" spans="1:11">
      <c r="A801" s="74" t="s">
        <v>113</v>
      </c>
      <c r="B801" s="74" t="s">
        <v>292</v>
      </c>
      <c r="C801" s="74" t="s">
        <v>293</v>
      </c>
      <c r="D801" s="74" t="s">
        <v>82</v>
      </c>
      <c r="E801" s="88" t="s">
        <v>85</v>
      </c>
      <c r="F801" s="86" t="s">
        <v>225</v>
      </c>
      <c r="G801" s="74" t="s">
        <v>289</v>
      </c>
      <c r="H801" s="87">
        <v>43889</v>
      </c>
      <c r="I801" s="94">
        <v>4178.78</v>
      </c>
      <c r="J801" s="94">
        <v>3134.09</v>
      </c>
      <c r="K801" s="94">
        <v>1044.69</v>
      </c>
    </row>
    <row r="802" spans="1:11">
      <c r="A802" s="74" t="s">
        <v>113</v>
      </c>
      <c r="B802" s="74" t="s">
        <v>294</v>
      </c>
      <c r="C802" s="74" t="s">
        <v>295</v>
      </c>
      <c r="D802" s="74" t="s">
        <v>82</v>
      </c>
      <c r="E802" s="88" t="s">
        <v>85</v>
      </c>
      <c r="F802" s="86" t="s">
        <v>208</v>
      </c>
      <c r="G802" s="74" t="s">
        <v>289</v>
      </c>
      <c r="H802" s="87">
        <v>43889</v>
      </c>
      <c r="I802" s="94">
        <v>3576.06</v>
      </c>
      <c r="J802" s="94">
        <v>2682.05</v>
      </c>
      <c r="K802" s="94">
        <v>894.01</v>
      </c>
    </row>
    <row r="803" spans="1:11">
      <c r="A803" s="74" t="s">
        <v>113</v>
      </c>
      <c r="B803" s="74" t="s">
        <v>296</v>
      </c>
      <c r="C803" s="74" t="s">
        <v>297</v>
      </c>
      <c r="D803" s="74" t="s">
        <v>82</v>
      </c>
      <c r="E803" s="88" t="s">
        <v>85</v>
      </c>
      <c r="F803" s="86" t="s">
        <v>116</v>
      </c>
      <c r="G803" s="74" t="s">
        <v>289</v>
      </c>
      <c r="H803" s="87">
        <v>43889</v>
      </c>
      <c r="I803" s="94">
        <v>3420</v>
      </c>
      <c r="J803" s="94">
        <v>2565</v>
      </c>
      <c r="K803" s="94">
        <v>855</v>
      </c>
    </row>
    <row r="804" spans="1:11">
      <c r="A804" s="74" t="s">
        <v>113</v>
      </c>
      <c r="B804" s="74" t="s">
        <v>298</v>
      </c>
      <c r="C804" s="74" t="s">
        <v>299</v>
      </c>
      <c r="D804" s="74" t="s">
        <v>82</v>
      </c>
      <c r="E804" s="88" t="s">
        <v>85</v>
      </c>
      <c r="F804" s="86" t="s">
        <v>279</v>
      </c>
      <c r="G804" s="74" t="s">
        <v>300</v>
      </c>
      <c r="H804" s="87">
        <v>43889</v>
      </c>
      <c r="I804" s="94">
        <v>5853.5</v>
      </c>
      <c r="J804" s="94">
        <v>4390.13</v>
      </c>
      <c r="K804" s="94">
        <v>1463.37</v>
      </c>
    </row>
    <row r="805" spans="1:11">
      <c r="A805" s="74" t="s">
        <v>113</v>
      </c>
      <c r="B805" s="74" t="s">
        <v>301</v>
      </c>
      <c r="C805" s="74" t="s">
        <v>302</v>
      </c>
      <c r="D805" s="74" t="s">
        <v>82</v>
      </c>
      <c r="E805" s="88" t="s">
        <v>85</v>
      </c>
      <c r="F805" s="86" t="s">
        <v>279</v>
      </c>
      <c r="G805" s="74" t="s">
        <v>303</v>
      </c>
      <c r="H805" s="87">
        <v>43889</v>
      </c>
      <c r="I805" s="94">
        <v>6325.84</v>
      </c>
      <c r="J805" s="94">
        <v>4744.38</v>
      </c>
      <c r="K805" s="94">
        <v>1581.46</v>
      </c>
    </row>
    <row r="806" spans="1:11">
      <c r="A806" s="74" t="s">
        <v>113</v>
      </c>
      <c r="B806" s="74" t="s">
        <v>304</v>
      </c>
      <c r="C806" s="74" t="s">
        <v>305</v>
      </c>
      <c r="D806" s="74" t="s">
        <v>86</v>
      </c>
      <c r="E806" s="74" t="s">
        <v>90</v>
      </c>
      <c r="F806" s="86" t="s">
        <v>306</v>
      </c>
      <c r="G806" s="74" t="s">
        <v>307</v>
      </c>
      <c r="H806" s="87">
        <v>43889</v>
      </c>
      <c r="I806" s="94">
        <v>6458.3</v>
      </c>
      <c r="J806" s="94">
        <v>4843.73</v>
      </c>
      <c r="K806" s="94">
        <v>1614.57</v>
      </c>
    </row>
    <row r="807" spans="1:11">
      <c r="A807" s="74" t="s">
        <v>113</v>
      </c>
      <c r="B807" s="74" t="s">
        <v>114</v>
      </c>
      <c r="C807" s="74" t="s">
        <v>115</v>
      </c>
      <c r="D807" s="74" t="s">
        <v>79</v>
      </c>
      <c r="E807" s="74" t="s">
        <v>80</v>
      </c>
      <c r="F807" s="86" t="s">
        <v>116</v>
      </c>
      <c r="G807" s="74" t="s">
        <v>117</v>
      </c>
      <c r="H807" s="87">
        <v>43921</v>
      </c>
      <c r="I807" s="94">
        <v>3250.54</v>
      </c>
      <c r="J807" s="94">
        <v>2437.91</v>
      </c>
      <c r="K807" s="94">
        <v>812.63</v>
      </c>
    </row>
    <row r="808" spans="1:11">
      <c r="A808" s="74" t="s">
        <v>113</v>
      </c>
      <c r="B808" s="74" t="s">
        <v>118</v>
      </c>
      <c r="C808" s="74" t="s">
        <v>119</v>
      </c>
      <c r="D808" s="74" t="s">
        <v>79</v>
      </c>
      <c r="E808" s="74" t="s">
        <v>80</v>
      </c>
      <c r="F808" s="86" t="s">
        <v>120</v>
      </c>
      <c r="G808" s="74" t="s">
        <v>117</v>
      </c>
      <c r="H808" s="87">
        <v>43921</v>
      </c>
      <c r="I808" s="94">
        <v>2866.82</v>
      </c>
      <c r="J808" s="94">
        <v>2150.12</v>
      </c>
      <c r="K808" s="94">
        <v>716.7</v>
      </c>
    </row>
    <row r="809" spans="1:11">
      <c r="A809" s="74" t="s">
        <v>113</v>
      </c>
      <c r="B809" s="74" t="s">
        <v>121</v>
      </c>
      <c r="C809" s="74" t="s">
        <v>122</v>
      </c>
      <c r="D809" s="74" t="s">
        <v>79</v>
      </c>
      <c r="E809" s="74" t="s">
        <v>80</v>
      </c>
      <c r="F809" s="86" t="s">
        <v>123</v>
      </c>
      <c r="G809" s="74" t="s">
        <v>117</v>
      </c>
      <c r="H809" s="87">
        <v>43921</v>
      </c>
      <c r="I809" s="94">
        <v>2428.59</v>
      </c>
      <c r="J809" s="94">
        <v>1821.44</v>
      </c>
      <c r="K809" s="94">
        <v>607.15</v>
      </c>
    </row>
    <row r="810" spans="1:11">
      <c r="A810" s="74" t="s">
        <v>113</v>
      </c>
      <c r="B810" s="74" t="s">
        <v>124</v>
      </c>
      <c r="C810" s="74" t="s">
        <v>125</v>
      </c>
      <c r="D810" s="74" t="s">
        <v>79</v>
      </c>
      <c r="E810" s="74" t="s">
        <v>80</v>
      </c>
      <c r="F810" s="86" t="s">
        <v>116</v>
      </c>
      <c r="G810" s="74" t="s">
        <v>117</v>
      </c>
      <c r="H810" s="87">
        <v>43921</v>
      </c>
      <c r="I810" s="94">
        <v>3152.16</v>
      </c>
      <c r="J810" s="94">
        <v>2364.12</v>
      </c>
      <c r="K810" s="94">
        <v>788.04</v>
      </c>
    </row>
    <row r="811" spans="1:11">
      <c r="A811" s="74" t="s">
        <v>113</v>
      </c>
      <c r="B811" s="74" t="s">
        <v>126</v>
      </c>
      <c r="C811" s="74" t="s">
        <v>127</v>
      </c>
      <c r="D811" s="74" t="s">
        <v>79</v>
      </c>
      <c r="E811" s="74" t="s">
        <v>80</v>
      </c>
      <c r="F811" s="86" t="s">
        <v>120</v>
      </c>
      <c r="G811" s="74" t="s">
        <v>117</v>
      </c>
      <c r="H811" s="87">
        <v>43921</v>
      </c>
      <c r="I811" s="94">
        <v>2776.76</v>
      </c>
      <c r="J811" s="94">
        <v>2082.57</v>
      </c>
      <c r="K811" s="94">
        <v>694.19</v>
      </c>
    </row>
    <row r="812" spans="1:11">
      <c r="A812" s="74" t="s">
        <v>113</v>
      </c>
      <c r="B812" s="74" t="s">
        <v>128</v>
      </c>
      <c r="C812" s="74" t="s">
        <v>129</v>
      </c>
      <c r="D812" s="74" t="s">
        <v>79</v>
      </c>
      <c r="E812" s="74" t="s">
        <v>80</v>
      </c>
      <c r="F812" s="86" t="s">
        <v>123</v>
      </c>
      <c r="G812" s="74" t="s">
        <v>117</v>
      </c>
      <c r="H812" s="87">
        <v>43921</v>
      </c>
      <c r="I812" s="94">
        <v>2541.61</v>
      </c>
      <c r="J812" s="94">
        <v>1906.21</v>
      </c>
      <c r="K812" s="94">
        <v>635.4</v>
      </c>
    </row>
    <row r="813" spans="1:11">
      <c r="A813" s="74" t="s">
        <v>113</v>
      </c>
      <c r="B813" s="74" t="s">
        <v>130</v>
      </c>
      <c r="C813" s="74" t="s">
        <v>131</v>
      </c>
      <c r="D813" s="74" t="s">
        <v>79</v>
      </c>
      <c r="E813" s="74" t="s">
        <v>80</v>
      </c>
      <c r="F813" s="86" t="s">
        <v>116</v>
      </c>
      <c r="G813" s="74" t="s">
        <v>117</v>
      </c>
      <c r="H813" s="87">
        <v>43921</v>
      </c>
      <c r="I813" s="94">
        <v>3232.81</v>
      </c>
      <c r="J813" s="94">
        <v>2424.61</v>
      </c>
      <c r="K813" s="94">
        <v>808.2</v>
      </c>
    </row>
    <row r="814" spans="1:11">
      <c r="A814" s="74" t="s">
        <v>113</v>
      </c>
      <c r="B814" s="74" t="s">
        <v>132</v>
      </c>
      <c r="C814" s="74" t="s">
        <v>133</v>
      </c>
      <c r="D814" s="74" t="s">
        <v>79</v>
      </c>
      <c r="E814" s="74" t="s">
        <v>80</v>
      </c>
      <c r="F814" s="86" t="s">
        <v>120</v>
      </c>
      <c r="G814" s="74" t="s">
        <v>117</v>
      </c>
      <c r="H814" s="87">
        <v>43921</v>
      </c>
      <c r="I814" s="94">
        <v>2869.99</v>
      </c>
      <c r="J814" s="94">
        <v>2152.49</v>
      </c>
      <c r="K814" s="94">
        <v>717.5</v>
      </c>
    </row>
    <row r="815" spans="1:11">
      <c r="A815" s="74" t="s">
        <v>113</v>
      </c>
      <c r="B815" s="74" t="s">
        <v>134</v>
      </c>
      <c r="C815" s="74" t="s">
        <v>135</v>
      </c>
      <c r="D815" s="74" t="s">
        <v>79</v>
      </c>
      <c r="E815" s="74" t="s">
        <v>80</v>
      </c>
      <c r="F815" s="86" t="s">
        <v>123</v>
      </c>
      <c r="G815" s="74" t="s">
        <v>117</v>
      </c>
      <c r="H815" s="87">
        <v>43921</v>
      </c>
      <c r="I815" s="94">
        <v>2365.95</v>
      </c>
      <c r="J815" s="94">
        <v>1774.46</v>
      </c>
      <c r="K815" s="94">
        <v>591.49</v>
      </c>
    </row>
    <row r="816" spans="1:11">
      <c r="A816" s="74" t="s">
        <v>113</v>
      </c>
      <c r="B816" s="74" t="s">
        <v>136</v>
      </c>
      <c r="C816" s="74" t="s">
        <v>137</v>
      </c>
      <c r="D816" s="74" t="s">
        <v>79</v>
      </c>
      <c r="E816" s="74" t="s">
        <v>80</v>
      </c>
      <c r="F816" s="86" t="s">
        <v>116</v>
      </c>
      <c r="G816" s="74" t="s">
        <v>138</v>
      </c>
      <c r="H816" s="87">
        <v>43921</v>
      </c>
      <c r="I816" s="94">
        <v>3243.3</v>
      </c>
      <c r="J816" s="94">
        <v>2432.48</v>
      </c>
      <c r="K816" s="94">
        <v>810.82</v>
      </c>
    </row>
    <row r="817" spans="1:11">
      <c r="A817" s="74" t="s">
        <v>113</v>
      </c>
      <c r="B817" s="74" t="s">
        <v>139</v>
      </c>
      <c r="C817" s="74" t="s">
        <v>140</v>
      </c>
      <c r="D817" s="74" t="s">
        <v>79</v>
      </c>
      <c r="E817" s="74" t="s">
        <v>80</v>
      </c>
      <c r="F817" s="86" t="s">
        <v>120</v>
      </c>
      <c r="G817" s="74" t="s">
        <v>138</v>
      </c>
      <c r="H817" s="87">
        <v>43921</v>
      </c>
      <c r="I817" s="94">
        <v>2937.91</v>
      </c>
      <c r="J817" s="94">
        <v>2203.43</v>
      </c>
      <c r="K817" s="94">
        <v>734.48</v>
      </c>
    </row>
    <row r="818" spans="1:11">
      <c r="A818" s="74" t="s">
        <v>113</v>
      </c>
      <c r="B818" s="74" t="s">
        <v>141</v>
      </c>
      <c r="C818" s="74" t="s">
        <v>142</v>
      </c>
      <c r="D818" s="74" t="s">
        <v>79</v>
      </c>
      <c r="E818" s="74" t="s">
        <v>80</v>
      </c>
      <c r="F818" s="86" t="s">
        <v>123</v>
      </c>
      <c r="G818" s="74" t="s">
        <v>138</v>
      </c>
      <c r="H818" s="87">
        <v>43921</v>
      </c>
      <c r="I818" s="94">
        <v>2551.87</v>
      </c>
      <c r="J818" s="94">
        <v>1913.9</v>
      </c>
      <c r="K818" s="94">
        <v>637.97</v>
      </c>
    </row>
    <row r="819" spans="1:11">
      <c r="A819" s="74" t="s">
        <v>113</v>
      </c>
      <c r="B819" s="74" t="s">
        <v>143</v>
      </c>
      <c r="C819" s="74" t="s">
        <v>144</v>
      </c>
      <c r="D819" s="74" t="s">
        <v>79</v>
      </c>
      <c r="E819" s="74" t="s">
        <v>80</v>
      </c>
      <c r="F819" s="86" t="s">
        <v>145</v>
      </c>
      <c r="G819" s="74" t="s">
        <v>146</v>
      </c>
      <c r="H819" s="87">
        <v>43921</v>
      </c>
      <c r="I819" s="94">
        <v>7997.93</v>
      </c>
      <c r="J819" s="94">
        <v>5998.45</v>
      </c>
      <c r="K819" s="94">
        <v>1999.48</v>
      </c>
    </row>
    <row r="820" spans="1:11">
      <c r="A820" s="74" t="s">
        <v>113</v>
      </c>
      <c r="B820" s="74" t="s">
        <v>147</v>
      </c>
      <c r="C820" s="74" t="s">
        <v>148</v>
      </c>
      <c r="D820" s="74" t="s">
        <v>79</v>
      </c>
      <c r="E820" s="74" t="s">
        <v>80</v>
      </c>
      <c r="F820" s="86" t="s">
        <v>149</v>
      </c>
      <c r="G820" s="74" t="s">
        <v>150</v>
      </c>
      <c r="H820" s="87">
        <v>43921</v>
      </c>
      <c r="I820" s="94">
        <v>7229.18</v>
      </c>
      <c r="J820" s="94">
        <v>5421.89</v>
      </c>
      <c r="K820" s="94">
        <v>1807.29</v>
      </c>
    </row>
    <row r="821" spans="1:11">
      <c r="A821" s="74" t="s">
        <v>113</v>
      </c>
      <c r="B821" s="74" t="s">
        <v>151</v>
      </c>
      <c r="C821" s="74" t="s">
        <v>152</v>
      </c>
      <c r="D821" s="74" t="s">
        <v>79</v>
      </c>
      <c r="E821" s="74" t="s">
        <v>81</v>
      </c>
      <c r="F821" s="86" t="s">
        <v>123</v>
      </c>
      <c r="G821" s="74" t="s">
        <v>153</v>
      </c>
      <c r="H821" s="87">
        <v>43921</v>
      </c>
      <c r="I821" s="94">
        <v>2462.51</v>
      </c>
      <c r="J821" s="94">
        <v>1846.88</v>
      </c>
      <c r="K821" s="94">
        <v>615.63</v>
      </c>
    </row>
    <row r="822" spans="1:11">
      <c r="A822" s="74" t="s">
        <v>113</v>
      </c>
      <c r="B822" s="74" t="s">
        <v>154</v>
      </c>
      <c r="C822" s="74" t="s">
        <v>155</v>
      </c>
      <c r="D822" s="74" t="s">
        <v>79</v>
      </c>
      <c r="E822" s="74" t="s">
        <v>81</v>
      </c>
      <c r="F822" s="86" t="s">
        <v>156</v>
      </c>
      <c r="G822" s="74" t="s">
        <v>157</v>
      </c>
      <c r="H822" s="87">
        <v>43921</v>
      </c>
      <c r="I822" s="94">
        <v>2058.61</v>
      </c>
      <c r="J822" s="94">
        <v>1543.96</v>
      </c>
      <c r="K822" s="94">
        <v>514.65</v>
      </c>
    </row>
    <row r="823" spans="1:11">
      <c r="A823" s="74" t="s">
        <v>113</v>
      </c>
      <c r="B823" s="74" t="s">
        <v>158</v>
      </c>
      <c r="C823" s="74" t="s">
        <v>159</v>
      </c>
      <c r="D823" s="74" t="s">
        <v>79</v>
      </c>
      <c r="E823" s="74" t="s">
        <v>81</v>
      </c>
      <c r="F823" s="86" t="s">
        <v>160</v>
      </c>
      <c r="G823" s="74" t="s">
        <v>161</v>
      </c>
      <c r="H823" s="87">
        <v>43921</v>
      </c>
      <c r="I823" s="94">
        <v>1632.02</v>
      </c>
      <c r="J823" s="94">
        <v>1224.02</v>
      </c>
      <c r="K823" s="94">
        <v>408</v>
      </c>
    </row>
    <row r="824" spans="1:11">
      <c r="A824" s="74" t="s">
        <v>113</v>
      </c>
      <c r="B824" s="74" t="s">
        <v>162</v>
      </c>
      <c r="C824" s="74" t="s">
        <v>163</v>
      </c>
      <c r="D824" s="74" t="s">
        <v>79</v>
      </c>
      <c r="E824" s="74" t="s">
        <v>81</v>
      </c>
      <c r="F824" s="86" t="s">
        <v>123</v>
      </c>
      <c r="G824" s="74" t="s">
        <v>153</v>
      </c>
      <c r="H824" s="87">
        <v>43921</v>
      </c>
      <c r="I824" s="94">
        <v>2499.73</v>
      </c>
      <c r="J824" s="94">
        <v>1874.8</v>
      </c>
      <c r="K824" s="94">
        <v>624.93</v>
      </c>
    </row>
    <row r="825" spans="1:11">
      <c r="A825" s="74" t="s">
        <v>113</v>
      </c>
      <c r="B825" s="74" t="s">
        <v>164</v>
      </c>
      <c r="C825" s="74" t="s">
        <v>165</v>
      </c>
      <c r="D825" s="74" t="s">
        <v>79</v>
      </c>
      <c r="E825" s="74" t="s">
        <v>81</v>
      </c>
      <c r="F825" s="86" t="s">
        <v>156</v>
      </c>
      <c r="G825" s="74" t="s">
        <v>157</v>
      </c>
      <c r="H825" s="87">
        <v>43921</v>
      </c>
      <c r="I825" s="94">
        <v>1959.73</v>
      </c>
      <c r="J825" s="94">
        <v>1469.8</v>
      </c>
      <c r="K825" s="94">
        <v>489.93</v>
      </c>
    </row>
    <row r="826" spans="1:11">
      <c r="A826" s="74" t="s">
        <v>113</v>
      </c>
      <c r="B826" s="74" t="s">
        <v>166</v>
      </c>
      <c r="C826" s="74" t="s">
        <v>167</v>
      </c>
      <c r="D826" s="74" t="s">
        <v>79</v>
      </c>
      <c r="E826" s="74" t="s">
        <v>81</v>
      </c>
      <c r="F826" s="86" t="s">
        <v>160</v>
      </c>
      <c r="G826" s="74" t="s">
        <v>161</v>
      </c>
      <c r="H826" s="87">
        <v>43921</v>
      </c>
      <c r="I826" s="94">
        <v>1571.38</v>
      </c>
      <c r="J826" s="94">
        <v>1178.54</v>
      </c>
      <c r="K826" s="94">
        <v>392.84</v>
      </c>
    </row>
    <row r="827" spans="1:11">
      <c r="A827" s="74" t="s">
        <v>113</v>
      </c>
      <c r="B827" s="74" t="s">
        <v>168</v>
      </c>
      <c r="C827" s="74" t="s">
        <v>169</v>
      </c>
      <c r="D827" s="74" t="s">
        <v>79</v>
      </c>
      <c r="E827" s="74" t="s">
        <v>81</v>
      </c>
      <c r="F827" s="86" t="s">
        <v>123</v>
      </c>
      <c r="G827" s="74" t="s">
        <v>153</v>
      </c>
      <c r="H827" s="87">
        <v>43921</v>
      </c>
      <c r="I827" s="94">
        <v>2570.38</v>
      </c>
      <c r="J827" s="94">
        <v>1927.79</v>
      </c>
      <c r="K827" s="94">
        <v>642.59</v>
      </c>
    </row>
    <row r="828" spans="1:11">
      <c r="A828" s="74" t="s">
        <v>113</v>
      </c>
      <c r="B828" s="74" t="s">
        <v>170</v>
      </c>
      <c r="C828" s="74" t="s">
        <v>171</v>
      </c>
      <c r="D828" s="74" t="s">
        <v>79</v>
      </c>
      <c r="E828" s="74" t="s">
        <v>81</v>
      </c>
      <c r="F828" s="86" t="s">
        <v>156</v>
      </c>
      <c r="G828" s="74" t="s">
        <v>157</v>
      </c>
      <c r="H828" s="87">
        <v>43921</v>
      </c>
      <c r="I828" s="94">
        <v>2107.01</v>
      </c>
      <c r="J828" s="94">
        <v>1580.26</v>
      </c>
      <c r="K828" s="94">
        <v>526.75</v>
      </c>
    </row>
    <row r="829" spans="1:11">
      <c r="A829" s="74" t="s">
        <v>113</v>
      </c>
      <c r="B829" s="74" t="s">
        <v>172</v>
      </c>
      <c r="C829" s="74" t="s">
        <v>173</v>
      </c>
      <c r="D829" s="74" t="s">
        <v>79</v>
      </c>
      <c r="E829" s="74" t="s">
        <v>81</v>
      </c>
      <c r="F829" s="86" t="s">
        <v>160</v>
      </c>
      <c r="G829" s="74" t="s">
        <v>161</v>
      </c>
      <c r="H829" s="87">
        <v>43921</v>
      </c>
      <c r="I829" s="94">
        <v>1601.63</v>
      </c>
      <c r="J829" s="94">
        <v>1201.22</v>
      </c>
      <c r="K829" s="94">
        <v>400.41</v>
      </c>
    </row>
    <row r="830" spans="1:11">
      <c r="A830" s="74" t="s">
        <v>113</v>
      </c>
      <c r="B830" s="74" t="s">
        <v>174</v>
      </c>
      <c r="C830" s="74" t="s">
        <v>175</v>
      </c>
      <c r="D830" s="74" t="s">
        <v>79</v>
      </c>
      <c r="E830" s="74" t="s">
        <v>81</v>
      </c>
      <c r="F830" s="86" t="s">
        <v>176</v>
      </c>
      <c r="G830" s="74" t="s">
        <v>177</v>
      </c>
      <c r="H830" s="87">
        <v>43921</v>
      </c>
      <c r="I830" s="94">
        <v>1200.93</v>
      </c>
      <c r="J830" s="94">
        <v>900.7</v>
      </c>
      <c r="K830" s="94">
        <v>300.23</v>
      </c>
    </row>
    <row r="831" spans="1:11">
      <c r="A831" s="74" t="s">
        <v>113</v>
      </c>
      <c r="B831" s="74" t="s">
        <v>178</v>
      </c>
      <c r="C831" s="74" t="s">
        <v>179</v>
      </c>
      <c r="D831" s="74" t="s">
        <v>79</v>
      </c>
      <c r="E831" s="74" t="s">
        <v>81</v>
      </c>
      <c r="F831" s="86" t="s">
        <v>180</v>
      </c>
      <c r="G831" s="74" t="s">
        <v>177</v>
      </c>
      <c r="H831" s="87">
        <v>43921</v>
      </c>
      <c r="I831" s="94">
        <v>824.56</v>
      </c>
      <c r="J831" s="94">
        <v>618.42</v>
      </c>
      <c r="K831" s="94">
        <v>206.14</v>
      </c>
    </row>
    <row r="832" spans="1:11">
      <c r="A832" s="74" t="s">
        <v>113</v>
      </c>
      <c r="B832" s="74" t="s">
        <v>181</v>
      </c>
      <c r="C832" s="74" t="s">
        <v>182</v>
      </c>
      <c r="D832" s="74" t="s">
        <v>79</v>
      </c>
      <c r="E832" s="74" t="s">
        <v>81</v>
      </c>
      <c r="F832" s="86" t="s">
        <v>183</v>
      </c>
      <c r="G832" s="74" t="s">
        <v>177</v>
      </c>
      <c r="H832" s="87">
        <v>43921</v>
      </c>
      <c r="I832" s="94">
        <v>394.7</v>
      </c>
      <c r="J832" s="94">
        <v>296.03</v>
      </c>
      <c r="K832" s="94">
        <v>98.67</v>
      </c>
    </row>
    <row r="833" spans="1:11">
      <c r="A833" s="74" t="s">
        <v>113</v>
      </c>
      <c r="B833" s="74" t="s">
        <v>184</v>
      </c>
      <c r="C833" s="74" t="s">
        <v>185</v>
      </c>
      <c r="D833" s="74" t="s">
        <v>79</v>
      </c>
      <c r="E833" s="74" t="s">
        <v>81</v>
      </c>
      <c r="F833" s="86" t="s">
        <v>176</v>
      </c>
      <c r="G833" s="74" t="s">
        <v>177</v>
      </c>
      <c r="H833" s="87">
        <v>43921</v>
      </c>
      <c r="I833" s="94">
        <v>1217.64</v>
      </c>
      <c r="J833" s="94">
        <v>913.23</v>
      </c>
      <c r="K833" s="94">
        <v>304.41</v>
      </c>
    </row>
    <row r="834" spans="1:11">
      <c r="A834" s="74" t="s">
        <v>113</v>
      </c>
      <c r="B834" s="74" t="s">
        <v>186</v>
      </c>
      <c r="C834" s="74" t="s">
        <v>187</v>
      </c>
      <c r="D834" s="74" t="s">
        <v>79</v>
      </c>
      <c r="E834" s="74" t="s">
        <v>81</v>
      </c>
      <c r="F834" s="86" t="s">
        <v>180</v>
      </c>
      <c r="G834" s="74" t="s">
        <v>177</v>
      </c>
      <c r="H834" s="87">
        <v>43921</v>
      </c>
      <c r="I834" s="94">
        <v>816.97</v>
      </c>
      <c r="J834" s="94">
        <v>612.73</v>
      </c>
      <c r="K834" s="94">
        <v>204.24</v>
      </c>
    </row>
    <row r="835" spans="1:11">
      <c r="A835" s="74" t="s">
        <v>113</v>
      </c>
      <c r="B835" s="74" t="s">
        <v>188</v>
      </c>
      <c r="C835" s="74" t="s">
        <v>189</v>
      </c>
      <c r="D835" s="74" t="s">
        <v>79</v>
      </c>
      <c r="E835" s="74" t="s">
        <v>81</v>
      </c>
      <c r="F835" s="86" t="s">
        <v>183</v>
      </c>
      <c r="G835" s="74" t="s">
        <v>177</v>
      </c>
      <c r="H835" s="87">
        <v>43921</v>
      </c>
      <c r="I835" s="94">
        <v>402.93</v>
      </c>
      <c r="J835" s="94">
        <v>302.2</v>
      </c>
      <c r="K835" s="94">
        <v>100.73</v>
      </c>
    </row>
    <row r="836" spans="1:11">
      <c r="A836" s="74" t="s">
        <v>113</v>
      </c>
      <c r="B836" s="74" t="s">
        <v>190</v>
      </c>
      <c r="C836" s="74" t="s">
        <v>191</v>
      </c>
      <c r="D836" s="74" t="s">
        <v>79</v>
      </c>
      <c r="E836" s="74" t="s">
        <v>81</v>
      </c>
      <c r="F836" s="86" t="s">
        <v>176</v>
      </c>
      <c r="G836" s="74" t="s">
        <v>177</v>
      </c>
      <c r="H836" s="87">
        <v>43921</v>
      </c>
      <c r="I836" s="94">
        <v>1180.07</v>
      </c>
      <c r="J836" s="94">
        <v>885.05</v>
      </c>
      <c r="K836" s="94">
        <v>295.02</v>
      </c>
    </row>
    <row r="837" spans="1:11">
      <c r="A837" s="74" t="s">
        <v>113</v>
      </c>
      <c r="B837" s="74" t="s">
        <v>192</v>
      </c>
      <c r="C837" s="74" t="s">
        <v>193</v>
      </c>
      <c r="D837" s="74" t="s">
        <v>79</v>
      </c>
      <c r="E837" s="74" t="s">
        <v>81</v>
      </c>
      <c r="F837" s="86" t="s">
        <v>180</v>
      </c>
      <c r="G837" s="74" t="s">
        <v>177</v>
      </c>
      <c r="H837" s="87">
        <v>43921</v>
      </c>
      <c r="I837" s="94">
        <v>837.99</v>
      </c>
      <c r="J837" s="94">
        <v>628.49</v>
      </c>
      <c r="K837" s="94">
        <v>209.5</v>
      </c>
    </row>
    <row r="838" spans="1:11">
      <c r="A838" s="74" t="s">
        <v>113</v>
      </c>
      <c r="B838" s="74" t="s">
        <v>194</v>
      </c>
      <c r="C838" s="74" t="s">
        <v>195</v>
      </c>
      <c r="D838" s="74" t="s">
        <v>79</v>
      </c>
      <c r="E838" s="74" t="s">
        <v>81</v>
      </c>
      <c r="F838" s="86" t="s">
        <v>183</v>
      </c>
      <c r="G838" s="74" t="s">
        <v>177</v>
      </c>
      <c r="H838" s="87">
        <v>43921</v>
      </c>
      <c r="I838" s="94">
        <v>400.46</v>
      </c>
      <c r="J838" s="94">
        <v>300.35</v>
      </c>
      <c r="K838" s="94">
        <v>100.11</v>
      </c>
    </row>
    <row r="839" spans="1:11">
      <c r="A839" s="74" t="s">
        <v>113</v>
      </c>
      <c r="B839" s="74" t="s">
        <v>196</v>
      </c>
      <c r="C839" s="74" t="s">
        <v>197</v>
      </c>
      <c r="D839" s="74" t="s">
        <v>79</v>
      </c>
      <c r="E839" s="74" t="s">
        <v>81</v>
      </c>
      <c r="F839" s="86" t="s">
        <v>176</v>
      </c>
      <c r="G839" s="74" t="s">
        <v>177</v>
      </c>
      <c r="H839" s="87">
        <v>43921</v>
      </c>
      <c r="I839" s="94">
        <v>1274.81</v>
      </c>
      <c r="J839" s="94">
        <v>956.11</v>
      </c>
      <c r="K839" s="94">
        <v>318.7</v>
      </c>
    </row>
    <row r="840" spans="1:11">
      <c r="A840" s="74" t="s">
        <v>113</v>
      </c>
      <c r="B840" s="74" t="s">
        <v>198</v>
      </c>
      <c r="C840" s="74" t="s">
        <v>199</v>
      </c>
      <c r="D840" s="74" t="s">
        <v>79</v>
      </c>
      <c r="E840" s="74" t="s">
        <v>81</v>
      </c>
      <c r="F840" s="86" t="s">
        <v>180</v>
      </c>
      <c r="G840" s="74" t="s">
        <v>177</v>
      </c>
      <c r="H840" s="87">
        <v>43921</v>
      </c>
      <c r="I840" s="94">
        <v>833.93</v>
      </c>
      <c r="J840" s="94">
        <v>625.45</v>
      </c>
      <c r="K840" s="94">
        <v>208.48</v>
      </c>
    </row>
    <row r="841" spans="1:11">
      <c r="A841" s="74" t="s">
        <v>113</v>
      </c>
      <c r="B841" s="74" t="s">
        <v>200</v>
      </c>
      <c r="C841" s="74" t="s">
        <v>201</v>
      </c>
      <c r="D841" s="74" t="s">
        <v>79</v>
      </c>
      <c r="E841" s="74" t="s">
        <v>81</v>
      </c>
      <c r="F841" s="86" t="s">
        <v>183</v>
      </c>
      <c r="G841" s="74" t="s">
        <v>177</v>
      </c>
      <c r="H841" s="87">
        <v>43921</v>
      </c>
      <c r="I841" s="94">
        <v>421.94</v>
      </c>
      <c r="J841" s="94">
        <v>316.46</v>
      </c>
      <c r="K841" s="94">
        <v>105.48</v>
      </c>
    </row>
    <row r="842" spans="1:11">
      <c r="A842" s="74" t="s">
        <v>113</v>
      </c>
      <c r="B842" s="74" t="s">
        <v>202</v>
      </c>
      <c r="C842" s="74" t="s">
        <v>203</v>
      </c>
      <c r="D842" s="74" t="s">
        <v>79</v>
      </c>
      <c r="E842" s="74" t="s">
        <v>81</v>
      </c>
      <c r="F842" s="86" t="s">
        <v>204</v>
      </c>
      <c r="G842" s="74" t="s">
        <v>205</v>
      </c>
      <c r="H842" s="87">
        <v>43921</v>
      </c>
      <c r="I842" s="94">
        <v>7662.4</v>
      </c>
      <c r="J842" s="94">
        <v>5746.8</v>
      </c>
      <c r="K842" s="94">
        <v>1915.6</v>
      </c>
    </row>
    <row r="843" spans="1:11">
      <c r="A843" s="74" t="s">
        <v>113</v>
      </c>
      <c r="B843" s="74" t="s">
        <v>206</v>
      </c>
      <c r="C843" s="74" t="s">
        <v>207</v>
      </c>
      <c r="D843" s="88" t="s">
        <v>82</v>
      </c>
      <c r="E843" s="88" t="s">
        <v>84</v>
      </c>
      <c r="F843" s="86" t="s">
        <v>208</v>
      </c>
      <c r="G843" s="74" t="s">
        <v>209</v>
      </c>
      <c r="H843" s="87">
        <v>43921</v>
      </c>
      <c r="I843" s="94">
        <v>3786.76</v>
      </c>
      <c r="J843" s="94">
        <v>2840.07</v>
      </c>
      <c r="K843" s="94">
        <v>946.69</v>
      </c>
    </row>
    <row r="844" spans="1:11">
      <c r="A844" s="74" t="s">
        <v>113</v>
      </c>
      <c r="B844" s="74" t="s">
        <v>210</v>
      </c>
      <c r="C844" s="74" t="s">
        <v>211</v>
      </c>
      <c r="D844" s="88" t="s">
        <v>82</v>
      </c>
      <c r="E844" s="88" t="s">
        <v>84</v>
      </c>
      <c r="F844" s="86" t="s">
        <v>116</v>
      </c>
      <c r="G844" s="74" t="s">
        <v>209</v>
      </c>
      <c r="H844" s="87">
        <v>43921</v>
      </c>
      <c r="I844" s="94">
        <v>3288.18</v>
      </c>
      <c r="J844" s="94">
        <v>2466.14</v>
      </c>
      <c r="K844" s="94">
        <v>822.04</v>
      </c>
    </row>
    <row r="845" spans="1:11">
      <c r="A845" s="74" t="s">
        <v>113</v>
      </c>
      <c r="B845" s="74" t="s">
        <v>212</v>
      </c>
      <c r="C845" s="74" t="s">
        <v>213</v>
      </c>
      <c r="D845" s="88" t="s">
        <v>82</v>
      </c>
      <c r="E845" s="88" t="s">
        <v>84</v>
      </c>
      <c r="F845" s="86" t="s">
        <v>208</v>
      </c>
      <c r="G845" s="74" t="s">
        <v>209</v>
      </c>
      <c r="H845" s="87">
        <v>43921</v>
      </c>
      <c r="I845" s="94">
        <v>3663.85</v>
      </c>
      <c r="J845" s="94">
        <v>2747.89</v>
      </c>
      <c r="K845" s="94">
        <v>915.96</v>
      </c>
    </row>
    <row r="846" spans="1:11">
      <c r="A846" s="74" t="s">
        <v>113</v>
      </c>
      <c r="B846" s="74" t="s">
        <v>214</v>
      </c>
      <c r="C846" s="74" t="s">
        <v>215</v>
      </c>
      <c r="D846" s="88" t="s">
        <v>82</v>
      </c>
      <c r="E846" s="88" t="s">
        <v>84</v>
      </c>
      <c r="F846" s="86" t="s">
        <v>116</v>
      </c>
      <c r="G846" s="74" t="s">
        <v>209</v>
      </c>
      <c r="H846" s="87">
        <v>43921</v>
      </c>
      <c r="I846" s="94">
        <v>3253.6</v>
      </c>
      <c r="J846" s="94">
        <v>2440.2</v>
      </c>
      <c r="K846" s="94">
        <v>813.4</v>
      </c>
    </row>
    <row r="847" spans="1:11">
      <c r="A847" s="74" t="s">
        <v>113</v>
      </c>
      <c r="B847" s="74" t="s">
        <v>216</v>
      </c>
      <c r="C847" s="74" t="s">
        <v>217</v>
      </c>
      <c r="D847" s="88" t="s">
        <v>82</v>
      </c>
      <c r="E847" s="88" t="s">
        <v>84</v>
      </c>
      <c r="F847" s="86" t="s">
        <v>218</v>
      </c>
      <c r="G847" s="74" t="s">
        <v>219</v>
      </c>
      <c r="H847" s="87">
        <v>43921</v>
      </c>
      <c r="I847" s="94">
        <v>4479.28</v>
      </c>
      <c r="J847" s="94">
        <v>3359.46</v>
      </c>
      <c r="K847" s="94">
        <v>1119.82</v>
      </c>
    </row>
    <row r="848" spans="1:11">
      <c r="A848" s="74" t="s">
        <v>113</v>
      </c>
      <c r="B848" s="74" t="s">
        <v>220</v>
      </c>
      <c r="C848" s="74" t="s">
        <v>221</v>
      </c>
      <c r="D848" s="88" t="s">
        <v>82</v>
      </c>
      <c r="E848" s="74" t="s">
        <v>83</v>
      </c>
      <c r="F848" s="86" t="s">
        <v>218</v>
      </c>
      <c r="G848" s="74" t="s">
        <v>222</v>
      </c>
      <c r="H848" s="87">
        <v>43921</v>
      </c>
      <c r="I848" s="94">
        <v>4382.33</v>
      </c>
      <c r="J848" s="94">
        <v>3286.75</v>
      </c>
      <c r="K848" s="94">
        <v>1095.58</v>
      </c>
    </row>
    <row r="849" spans="1:11">
      <c r="A849" s="74" t="s">
        <v>113</v>
      </c>
      <c r="B849" s="74" t="s">
        <v>223</v>
      </c>
      <c r="C849" s="74" t="s">
        <v>224</v>
      </c>
      <c r="D849" s="88" t="s">
        <v>82</v>
      </c>
      <c r="E849" s="74" t="s">
        <v>83</v>
      </c>
      <c r="F849" s="86" t="s">
        <v>225</v>
      </c>
      <c r="G849" s="74" t="s">
        <v>209</v>
      </c>
      <c r="H849" s="87">
        <v>43921</v>
      </c>
      <c r="I849" s="94">
        <v>4045.21</v>
      </c>
      <c r="J849" s="94">
        <v>3033.91</v>
      </c>
      <c r="K849" s="94">
        <v>1011.3</v>
      </c>
    </row>
    <row r="850" spans="1:11">
      <c r="A850" s="74" t="s">
        <v>113</v>
      </c>
      <c r="B850" s="74" t="s">
        <v>226</v>
      </c>
      <c r="C850" s="74" t="s">
        <v>227</v>
      </c>
      <c r="D850" s="88" t="s">
        <v>82</v>
      </c>
      <c r="E850" s="74" t="s">
        <v>83</v>
      </c>
      <c r="F850" s="86" t="s">
        <v>208</v>
      </c>
      <c r="G850" s="74" t="s">
        <v>209</v>
      </c>
      <c r="H850" s="87">
        <v>43921</v>
      </c>
      <c r="I850" s="94">
        <v>3518.94</v>
      </c>
      <c r="J850" s="94">
        <v>2639.21</v>
      </c>
      <c r="K850" s="94">
        <v>879.73</v>
      </c>
    </row>
    <row r="851" spans="1:11">
      <c r="A851" s="74" t="s">
        <v>113</v>
      </c>
      <c r="B851" s="74" t="s">
        <v>228</v>
      </c>
      <c r="C851" s="74" t="s">
        <v>229</v>
      </c>
      <c r="D851" s="88" t="s">
        <v>82</v>
      </c>
      <c r="E851" s="74" t="s">
        <v>83</v>
      </c>
      <c r="F851" s="86" t="s">
        <v>116</v>
      </c>
      <c r="G851" s="74" t="s">
        <v>209</v>
      </c>
      <c r="H851" s="87">
        <v>43921</v>
      </c>
      <c r="I851" s="94">
        <v>3146.51</v>
      </c>
      <c r="J851" s="94">
        <v>2359.88</v>
      </c>
      <c r="K851" s="94">
        <v>786.63</v>
      </c>
    </row>
    <row r="852" spans="1:11">
      <c r="A852" s="74" t="s">
        <v>113</v>
      </c>
      <c r="B852" s="74" t="s">
        <v>230</v>
      </c>
      <c r="C852" s="74" t="s">
        <v>231</v>
      </c>
      <c r="D852" s="88" t="s">
        <v>82</v>
      </c>
      <c r="E852" s="74" t="s">
        <v>83</v>
      </c>
      <c r="F852" s="86" t="s">
        <v>120</v>
      </c>
      <c r="G852" s="74" t="s">
        <v>209</v>
      </c>
      <c r="H852" s="87">
        <v>43921</v>
      </c>
      <c r="I852" s="94">
        <v>2772.57</v>
      </c>
      <c r="J852" s="94">
        <v>2079.43</v>
      </c>
      <c r="K852" s="94">
        <v>693.14</v>
      </c>
    </row>
    <row r="853" spans="1:11">
      <c r="A853" s="74" t="s">
        <v>113</v>
      </c>
      <c r="B853" s="74" t="s">
        <v>232</v>
      </c>
      <c r="C853" s="74" t="s">
        <v>233</v>
      </c>
      <c r="D853" s="88" t="s">
        <v>82</v>
      </c>
      <c r="E853" s="74" t="s">
        <v>83</v>
      </c>
      <c r="F853" s="86" t="s">
        <v>123</v>
      </c>
      <c r="G853" s="74" t="s">
        <v>209</v>
      </c>
      <c r="H853" s="87">
        <v>43921</v>
      </c>
      <c r="I853" s="94">
        <v>2499.33</v>
      </c>
      <c r="J853" s="94">
        <v>1874.5</v>
      </c>
      <c r="K853" s="94">
        <v>624.83</v>
      </c>
    </row>
    <row r="854" spans="1:11">
      <c r="A854" s="74" t="s">
        <v>113</v>
      </c>
      <c r="B854" s="74" t="s">
        <v>234</v>
      </c>
      <c r="C854" s="74" t="s">
        <v>235</v>
      </c>
      <c r="D854" s="88" t="s">
        <v>82</v>
      </c>
      <c r="E854" s="74" t="s">
        <v>83</v>
      </c>
      <c r="F854" s="86" t="s">
        <v>116</v>
      </c>
      <c r="G854" s="74" t="s">
        <v>209</v>
      </c>
      <c r="H854" s="87">
        <v>43921</v>
      </c>
      <c r="I854" s="94">
        <v>3335.12</v>
      </c>
      <c r="J854" s="94">
        <v>2501.34</v>
      </c>
      <c r="K854" s="94">
        <v>833.78</v>
      </c>
    </row>
    <row r="855" spans="1:11">
      <c r="A855" s="74" t="s">
        <v>113</v>
      </c>
      <c r="B855" s="74" t="s">
        <v>236</v>
      </c>
      <c r="C855" s="74" t="s">
        <v>237</v>
      </c>
      <c r="D855" s="88" t="s">
        <v>82</v>
      </c>
      <c r="E855" s="74" t="s">
        <v>83</v>
      </c>
      <c r="F855" s="86" t="s">
        <v>120</v>
      </c>
      <c r="G855" s="74" t="s">
        <v>209</v>
      </c>
      <c r="H855" s="87">
        <v>43921</v>
      </c>
      <c r="I855" s="94">
        <v>2881.64</v>
      </c>
      <c r="J855" s="94">
        <v>2161.23</v>
      </c>
      <c r="K855" s="94">
        <v>720.41</v>
      </c>
    </row>
    <row r="856" spans="1:11">
      <c r="A856" s="74" t="s">
        <v>113</v>
      </c>
      <c r="B856" s="74" t="s">
        <v>238</v>
      </c>
      <c r="C856" s="74" t="s">
        <v>239</v>
      </c>
      <c r="D856" s="74" t="s">
        <v>86</v>
      </c>
      <c r="E856" s="74" t="s">
        <v>87</v>
      </c>
      <c r="F856" s="86" t="s">
        <v>204</v>
      </c>
      <c r="G856" s="74" t="s">
        <v>240</v>
      </c>
      <c r="H856" s="87">
        <v>43921</v>
      </c>
      <c r="I856" s="94">
        <v>5740.01</v>
      </c>
      <c r="J856" s="94">
        <v>4305.01</v>
      </c>
      <c r="K856" s="94">
        <v>1435</v>
      </c>
    </row>
    <row r="857" spans="1:11">
      <c r="A857" s="74" t="s">
        <v>113</v>
      </c>
      <c r="B857" s="74" t="s">
        <v>241</v>
      </c>
      <c r="C857" s="74" t="s">
        <v>242</v>
      </c>
      <c r="D857" s="74" t="s">
        <v>86</v>
      </c>
      <c r="E857" s="74" t="s">
        <v>87</v>
      </c>
      <c r="F857" s="86" t="s">
        <v>243</v>
      </c>
      <c r="G857" s="74" t="s">
        <v>244</v>
      </c>
      <c r="H857" s="87">
        <v>43921</v>
      </c>
      <c r="I857" s="94">
        <v>4344.15</v>
      </c>
      <c r="J857" s="94">
        <v>3258.11</v>
      </c>
      <c r="K857" s="94">
        <v>1086.04</v>
      </c>
    </row>
    <row r="858" spans="1:11">
      <c r="A858" s="74" t="s">
        <v>113</v>
      </c>
      <c r="B858" s="74" t="s">
        <v>245</v>
      </c>
      <c r="C858" s="74" t="s">
        <v>246</v>
      </c>
      <c r="D858" s="74" t="s">
        <v>86</v>
      </c>
      <c r="E858" s="74" t="s">
        <v>87</v>
      </c>
      <c r="F858" s="86" t="s">
        <v>247</v>
      </c>
      <c r="G858" s="74" t="s">
        <v>248</v>
      </c>
      <c r="H858" s="87">
        <v>43921</v>
      </c>
      <c r="I858" s="94">
        <v>3875.69</v>
      </c>
      <c r="J858" s="94">
        <v>2906.77</v>
      </c>
      <c r="K858" s="94">
        <v>968.92</v>
      </c>
    </row>
    <row r="859" spans="1:11">
      <c r="A859" s="74" t="s">
        <v>113</v>
      </c>
      <c r="B859" s="74" t="s">
        <v>249</v>
      </c>
      <c r="C859" s="74" t="s">
        <v>250</v>
      </c>
      <c r="D859" s="74" t="s">
        <v>86</v>
      </c>
      <c r="E859" s="74" t="s">
        <v>87</v>
      </c>
      <c r="F859" s="86" t="s">
        <v>251</v>
      </c>
      <c r="G859" s="74" t="s">
        <v>252</v>
      </c>
      <c r="H859" s="87">
        <v>43921</v>
      </c>
      <c r="I859" s="94">
        <v>3437.71</v>
      </c>
      <c r="J859" s="94">
        <v>2578.28</v>
      </c>
      <c r="K859" s="94">
        <v>859.43</v>
      </c>
    </row>
    <row r="860" spans="1:11">
      <c r="A860" s="74" t="s">
        <v>113</v>
      </c>
      <c r="B860" s="74" t="s">
        <v>253</v>
      </c>
      <c r="C860" s="74" t="s">
        <v>254</v>
      </c>
      <c r="D860" s="74" t="s">
        <v>86</v>
      </c>
      <c r="E860" s="74" t="s">
        <v>87</v>
      </c>
      <c r="F860" s="86" t="s">
        <v>255</v>
      </c>
      <c r="G860" s="74" t="s">
        <v>252</v>
      </c>
      <c r="H860" s="87">
        <v>43921</v>
      </c>
      <c r="I860" s="94">
        <v>3285.99</v>
      </c>
      <c r="J860" s="94">
        <v>2464.49</v>
      </c>
      <c r="K860" s="94">
        <v>821.5</v>
      </c>
    </row>
    <row r="861" spans="1:11">
      <c r="A861" s="74" t="s">
        <v>113</v>
      </c>
      <c r="B861" s="74" t="s">
        <v>256</v>
      </c>
      <c r="C861" s="74" t="s">
        <v>257</v>
      </c>
      <c r="D861" s="74" t="s">
        <v>86</v>
      </c>
      <c r="E861" s="74" t="s">
        <v>87</v>
      </c>
      <c r="F861" s="86" t="s">
        <v>258</v>
      </c>
      <c r="G861" s="74" t="s">
        <v>252</v>
      </c>
      <c r="H861" s="87">
        <v>43921</v>
      </c>
      <c r="I861" s="94">
        <v>2913.99</v>
      </c>
      <c r="J861" s="94">
        <v>2185.49</v>
      </c>
      <c r="K861" s="94">
        <v>728.5</v>
      </c>
    </row>
    <row r="862" spans="1:11">
      <c r="A862" s="74" t="s">
        <v>113</v>
      </c>
      <c r="B862" s="74" t="s">
        <v>259</v>
      </c>
      <c r="C862" s="74" t="s">
        <v>260</v>
      </c>
      <c r="D862" s="74" t="s">
        <v>86</v>
      </c>
      <c r="E862" s="74" t="s">
        <v>87</v>
      </c>
      <c r="F862" s="86" t="s">
        <v>261</v>
      </c>
      <c r="G862" s="74" t="s">
        <v>262</v>
      </c>
      <c r="H862" s="87">
        <v>43921</v>
      </c>
      <c r="I862" s="94">
        <v>2503.61</v>
      </c>
      <c r="J862" s="94">
        <v>1877.71</v>
      </c>
      <c r="K862" s="94">
        <v>625.9</v>
      </c>
    </row>
    <row r="863" spans="1:11">
      <c r="A863" s="74" t="s">
        <v>113</v>
      </c>
      <c r="B863" s="74" t="s">
        <v>263</v>
      </c>
      <c r="C863" s="74" t="s">
        <v>264</v>
      </c>
      <c r="D863" s="74" t="s">
        <v>86</v>
      </c>
      <c r="E863" s="74" t="s">
        <v>88</v>
      </c>
      <c r="F863" s="86" t="s">
        <v>149</v>
      </c>
      <c r="G863" s="74" t="s">
        <v>265</v>
      </c>
      <c r="H863" s="87">
        <v>43921</v>
      </c>
      <c r="I863" s="94">
        <v>5383.81</v>
      </c>
      <c r="J863" s="94">
        <v>4037.86</v>
      </c>
      <c r="K863" s="94">
        <v>1345.95</v>
      </c>
    </row>
    <row r="864" spans="1:11">
      <c r="A864" s="74" t="s">
        <v>113</v>
      </c>
      <c r="B864" s="74" t="s">
        <v>266</v>
      </c>
      <c r="C864" s="74" t="s">
        <v>267</v>
      </c>
      <c r="D864" s="74" t="s">
        <v>86</v>
      </c>
      <c r="E864" s="74" t="s">
        <v>88</v>
      </c>
      <c r="F864" s="86" t="s">
        <v>243</v>
      </c>
      <c r="G864" s="74" t="s">
        <v>268</v>
      </c>
      <c r="H864" s="87">
        <v>43921</v>
      </c>
      <c r="I864" s="94">
        <v>4283.19</v>
      </c>
      <c r="J864" s="94">
        <v>3212.39</v>
      </c>
      <c r="K864" s="94">
        <v>1070.8</v>
      </c>
    </row>
    <row r="865" spans="1:11">
      <c r="A865" s="74" t="s">
        <v>113</v>
      </c>
      <c r="B865" s="74" t="s">
        <v>269</v>
      </c>
      <c r="C865" s="74" t="s">
        <v>270</v>
      </c>
      <c r="D865" s="74" t="s">
        <v>86</v>
      </c>
      <c r="E865" s="74" t="s">
        <v>88</v>
      </c>
      <c r="F865" s="86" t="s">
        <v>247</v>
      </c>
      <c r="G865" s="74" t="s">
        <v>268</v>
      </c>
      <c r="H865" s="87">
        <v>43921</v>
      </c>
      <c r="I865" s="94">
        <v>3943.45</v>
      </c>
      <c r="J865" s="94">
        <v>2957.59</v>
      </c>
      <c r="K865" s="94">
        <v>985.86</v>
      </c>
    </row>
    <row r="866" spans="1:11">
      <c r="A866" s="74" t="s">
        <v>113</v>
      </c>
      <c r="B866" s="74" t="s">
        <v>271</v>
      </c>
      <c r="C866" s="74" t="s">
        <v>272</v>
      </c>
      <c r="D866" s="74" t="s">
        <v>86</v>
      </c>
      <c r="E866" s="74" t="s">
        <v>88</v>
      </c>
      <c r="F866" s="86" t="s">
        <v>251</v>
      </c>
      <c r="G866" s="74" t="s">
        <v>268</v>
      </c>
      <c r="H866" s="87">
        <v>43921</v>
      </c>
      <c r="I866" s="94">
        <v>3627.18</v>
      </c>
      <c r="J866" s="94">
        <v>2720.39</v>
      </c>
      <c r="K866" s="94">
        <v>906.79</v>
      </c>
    </row>
    <row r="867" spans="1:11">
      <c r="A867" s="74" t="s">
        <v>113</v>
      </c>
      <c r="B867" s="74" t="s">
        <v>273</v>
      </c>
      <c r="C867" s="74" t="s">
        <v>274</v>
      </c>
      <c r="D867" s="74" t="s">
        <v>86</v>
      </c>
      <c r="E867" s="74" t="s">
        <v>88</v>
      </c>
      <c r="F867" s="86" t="s">
        <v>255</v>
      </c>
      <c r="G867" s="74" t="s">
        <v>268</v>
      </c>
      <c r="H867" s="87">
        <v>43921</v>
      </c>
      <c r="I867" s="94">
        <v>3374.82</v>
      </c>
      <c r="J867" s="94">
        <v>2531.12</v>
      </c>
      <c r="K867" s="94">
        <v>843.7</v>
      </c>
    </row>
    <row r="868" spans="1:11">
      <c r="A868" s="74" t="s">
        <v>113</v>
      </c>
      <c r="B868" s="74" t="s">
        <v>275</v>
      </c>
      <c r="C868" s="74" t="s">
        <v>276</v>
      </c>
      <c r="D868" s="74" t="s">
        <v>86</v>
      </c>
      <c r="E868" s="74" t="s">
        <v>88</v>
      </c>
      <c r="F868" s="86" t="s">
        <v>258</v>
      </c>
      <c r="G868" s="74" t="s">
        <v>268</v>
      </c>
      <c r="H868" s="87">
        <v>43921</v>
      </c>
      <c r="I868" s="94">
        <v>2862.57</v>
      </c>
      <c r="J868" s="94">
        <v>2146.93</v>
      </c>
      <c r="K868" s="94">
        <v>715.64</v>
      </c>
    </row>
    <row r="869" spans="1:11">
      <c r="A869" s="74" t="s">
        <v>113</v>
      </c>
      <c r="B869" s="74" t="s">
        <v>277</v>
      </c>
      <c r="C869" s="74" t="s">
        <v>278</v>
      </c>
      <c r="D869" s="74" t="s">
        <v>86</v>
      </c>
      <c r="E869" s="74" t="s">
        <v>89</v>
      </c>
      <c r="F869" s="86" t="s">
        <v>279</v>
      </c>
      <c r="G869" s="74" t="s">
        <v>280</v>
      </c>
      <c r="H869" s="87">
        <v>43921</v>
      </c>
      <c r="I869" s="94">
        <v>4911.78</v>
      </c>
      <c r="J869" s="94">
        <v>3683.84</v>
      </c>
      <c r="K869" s="94">
        <v>1227.94</v>
      </c>
    </row>
    <row r="870" spans="1:11">
      <c r="A870" s="74" t="s">
        <v>113</v>
      </c>
      <c r="B870" s="74" t="s">
        <v>281</v>
      </c>
      <c r="C870" s="74" t="s">
        <v>282</v>
      </c>
      <c r="D870" s="74" t="s">
        <v>86</v>
      </c>
      <c r="E870" s="74" t="s">
        <v>89</v>
      </c>
      <c r="F870" s="86" t="s">
        <v>225</v>
      </c>
      <c r="G870" s="74" t="s">
        <v>283</v>
      </c>
      <c r="H870" s="87">
        <v>43921</v>
      </c>
      <c r="I870" s="94">
        <v>3261.28</v>
      </c>
      <c r="J870" s="94">
        <v>2445.96</v>
      </c>
      <c r="K870" s="94">
        <v>815.32</v>
      </c>
    </row>
    <row r="871" spans="1:11">
      <c r="A871" s="74" t="s">
        <v>113</v>
      </c>
      <c r="B871" s="74" t="s">
        <v>284</v>
      </c>
      <c r="C871" s="74" t="s">
        <v>285</v>
      </c>
      <c r="D871" s="74" t="s">
        <v>86</v>
      </c>
      <c r="E871" s="74" t="s">
        <v>89</v>
      </c>
      <c r="F871" s="86" t="s">
        <v>208</v>
      </c>
      <c r="G871" s="74" t="s">
        <v>283</v>
      </c>
      <c r="H871" s="87">
        <v>43921</v>
      </c>
      <c r="I871" s="94">
        <v>2850.53</v>
      </c>
      <c r="J871" s="94">
        <v>2137.9</v>
      </c>
      <c r="K871" s="94">
        <v>712.63</v>
      </c>
    </row>
    <row r="872" spans="1:11">
      <c r="A872" s="74" t="s">
        <v>113</v>
      </c>
      <c r="B872" s="74" t="s">
        <v>286</v>
      </c>
      <c r="C872" s="74" t="s">
        <v>287</v>
      </c>
      <c r="D872" s="74" t="s">
        <v>82</v>
      </c>
      <c r="E872" s="88" t="s">
        <v>85</v>
      </c>
      <c r="F872" s="86" t="s">
        <v>288</v>
      </c>
      <c r="G872" s="74" t="s">
        <v>289</v>
      </c>
      <c r="H872" s="87">
        <v>43921</v>
      </c>
      <c r="I872" s="94">
        <v>4900.22</v>
      </c>
      <c r="J872" s="94">
        <v>3675.17</v>
      </c>
      <c r="K872" s="94">
        <v>1225.05</v>
      </c>
    </row>
    <row r="873" spans="1:11">
      <c r="A873" s="74" t="s">
        <v>113</v>
      </c>
      <c r="B873" s="74" t="s">
        <v>290</v>
      </c>
      <c r="C873" s="74" t="s">
        <v>291</v>
      </c>
      <c r="D873" s="74" t="s">
        <v>82</v>
      </c>
      <c r="E873" s="88" t="s">
        <v>85</v>
      </c>
      <c r="F873" s="86" t="s">
        <v>218</v>
      </c>
      <c r="G873" s="74" t="s">
        <v>289</v>
      </c>
      <c r="H873" s="87">
        <v>43921</v>
      </c>
      <c r="I873" s="94">
        <v>4421.3</v>
      </c>
      <c r="J873" s="94">
        <v>3315.98</v>
      </c>
      <c r="K873" s="94">
        <v>1105.32</v>
      </c>
    </row>
    <row r="874" spans="1:11">
      <c r="A874" s="74" t="s">
        <v>113</v>
      </c>
      <c r="B874" s="74" t="s">
        <v>292</v>
      </c>
      <c r="C874" s="74" t="s">
        <v>293</v>
      </c>
      <c r="D874" s="74" t="s">
        <v>82</v>
      </c>
      <c r="E874" s="88" t="s">
        <v>85</v>
      </c>
      <c r="F874" s="86" t="s">
        <v>225</v>
      </c>
      <c r="G874" s="74" t="s">
        <v>289</v>
      </c>
      <c r="H874" s="87">
        <v>43921</v>
      </c>
      <c r="I874" s="94">
        <v>4256.39</v>
      </c>
      <c r="J874" s="94">
        <v>3192.29</v>
      </c>
      <c r="K874" s="94">
        <v>1064.1</v>
      </c>
    </row>
    <row r="875" spans="1:11">
      <c r="A875" s="74" t="s">
        <v>113</v>
      </c>
      <c r="B875" s="74" t="s">
        <v>294</v>
      </c>
      <c r="C875" s="74" t="s">
        <v>295</v>
      </c>
      <c r="D875" s="74" t="s">
        <v>82</v>
      </c>
      <c r="E875" s="88" t="s">
        <v>85</v>
      </c>
      <c r="F875" s="86" t="s">
        <v>208</v>
      </c>
      <c r="G875" s="74" t="s">
        <v>289</v>
      </c>
      <c r="H875" s="87">
        <v>43921</v>
      </c>
      <c r="I875" s="94">
        <v>3775.71</v>
      </c>
      <c r="J875" s="94">
        <v>2831.78</v>
      </c>
      <c r="K875" s="94">
        <v>943.93</v>
      </c>
    </row>
    <row r="876" spans="1:11">
      <c r="A876" s="74" t="s">
        <v>113</v>
      </c>
      <c r="B876" s="74" t="s">
        <v>296</v>
      </c>
      <c r="C876" s="74" t="s">
        <v>297</v>
      </c>
      <c r="D876" s="74" t="s">
        <v>82</v>
      </c>
      <c r="E876" s="88" t="s">
        <v>85</v>
      </c>
      <c r="F876" s="86" t="s">
        <v>116</v>
      </c>
      <c r="G876" s="74" t="s">
        <v>289</v>
      </c>
      <c r="H876" s="87">
        <v>43921</v>
      </c>
      <c r="I876" s="94">
        <v>3398.75</v>
      </c>
      <c r="J876" s="94">
        <v>2549.06</v>
      </c>
      <c r="K876" s="94">
        <v>849.69</v>
      </c>
    </row>
    <row r="877" spans="1:11">
      <c r="A877" s="74" t="s">
        <v>113</v>
      </c>
      <c r="B877" s="74" t="s">
        <v>298</v>
      </c>
      <c r="C877" s="74" t="s">
        <v>299</v>
      </c>
      <c r="D877" s="74" t="s">
        <v>82</v>
      </c>
      <c r="E877" s="88" t="s">
        <v>85</v>
      </c>
      <c r="F877" s="86" t="s">
        <v>279</v>
      </c>
      <c r="G877" s="74" t="s">
        <v>300</v>
      </c>
      <c r="H877" s="87">
        <v>43921</v>
      </c>
      <c r="I877" s="94">
        <v>6019.89</v>
      </c>
      <c r="J877" s="94">
        <v>4514.92</v>
      </c>
      <c r="K877" s="94">
        <v>1504.97</v>
      </c>
    </row>
    <row r="878" spans="1:11">
      <c r="A878" s="74" t="s">
        <v>113</v>
      </c>
      <c r="B878" s="74" t="s">
        <v>301</v>
      </c>
      <c r="C878" s="74" t="s">
        <v>302</v>
      </c>
      <c r="D878" s="74" t="s">
        <v>82</v>
      </c>
      <c r="E878" s="88" t="s">
        <v>85</v>
      </c>
      <c r="F878" s="86" t="s">
        <v>279</v>
      </c>
      <c r="G878" s="74" t="s">
        <v>303</v>
      </c>
      <c r="H878" s="87">
        <v>43921</v>
      </c>
      <c r="I878" s="94">
        <v>6043.64</v>
      </c>
      <c r="J878" s="94">
        <v>4532.73</v>
      </c>
      <c r="K878" s="94">
        <v>1510.91</v>
      </c>
    </row>
    <row r="879" spans="1:11">
      <c r="A879" s="74" t="s">
        <v>113</v>
      </c>
      <c r="B879" s="74" t="s">
        <v>304</v>
      </c>
      <c r="C879" s="74" t="s">
        <v>305</v>
      </c>
      <c r="D879" s="74" t="s">
        <v>86</v>
      </c>
      <c r="E879" s="74" t="s">
        <v>90</v>
      </c>
      <c r="F879" s="86" t="s">
        <v>306</v>
      </c>
      <c r="G879" s="74" t="s">
        <v>307</v>
      </c>
      <c r="H879" s="87">
        <v>43921</v>
      </c>
      <c r="I879" s="94">
        <v>6757.79</v>
      </c>
      <c r="J879" s="94">
        <v>5068.34</v>
      </c>
      <c r="K879" s="94">
        <v>1689.45</v>
      </c>
    </row>
    <row r="880" spans="1:11">
      <c r="A880" s="74" t="s">
        <v>113</v>
      </c>
      <c r="B880" s="74" t="s">
        <v>114</v>
      </c>
      <c r="C880" s="74" t="s">
        <v>115</v>
      </c>
      <c r="D880" s="74" t="s">
        <v>79</v>
      </c>
      <c r="E880" s="74" t="s">
        <v>80</v>
      </c>
      <c r="F880" s="86" t="s">
        <v>116</v>
      </c>
      <c r="G880" s="74" t="s">
        <v>117</v>
      </c>
      <c r="H880" s="87">
        <v>43951</v>
      </c>
      <c r="I880" s="94">
        <v>3346.71</v>
      </c>
      <c r="J880" s="94">
        <v>2510.03</v>
      </c>
      <c r="K880" s="94">
        <v>836.68</v>
      </c>
    </row>
    <row r="881" spans="1:11">
      <c r="A881" s="74" t="s">
        <v>113</v>
      </c>
      <c r="B881" s="74" t="s">
        <v>118</v>
      </c>
      <c r="C881" s="74" t="s">
        <v>119</v>
      </c>
      <c r="D881" s="74" t="s">
        <v>79</v>
      </c>
      <c r="E881" s="74" t="s">
        <v>80</v>
      </c>
      <c r="F881" s="86" t="s">
        <v>120</v>
      </c>
      <c r="G881" s="74" t="s">
        <v>117</v>
      </c>
      <c r="H881" s="87">
        <v>43951</v>
      </c>
      <c r="I881" s="94">
        <v>3001.26</v>
      </c>
      <c r="J881" s="94">
        <v>2250.95</v>
      </c>
      <c r="K881" s="94">
        <v>750.31</v>
      </c>
    </row>
    <row r="882" spans="1:11">
      <c r="A882" s="74" t="s">
        <v>113</v>
      </c>
      <c r="B882" s="74" t="s">
        <v>121</v>
      </c>
      <c r="C882" s="74" t="s">
        <v>122</v>
      </c>
      <c r="D882" s="74" t="s">
        <v>79</v>
      </c>
      <c r="E882" s="74" t="s">
        <v>80</v>
      </c>
      <c r="F882" s="86" t="s">
        <v>123</v>
      </c>
      <c r="G882" s="74" t="s">
        <v>117</v>
      </c>
      <c r="H882" s="87">
        <v>43951</v>
      </c>
      <c r="I882" s="94">
        <v>2424.57</v>
      </c>
      <c r="J882" s="94">
        <v>1818.43</v>
      </c>
      <c r="K882" s="94">
        <v>606.14</v>
      </c>
    </row>
    <row r="883" spans="1:11">
      <c r="A883" s="74" t="s">
        <v>113</v>
      </c>
      <c r="B883" s="74" t="s">
        <v>124</v>
      </c>
      <c r="C883" s="74" t="s">
        <v>125</v>
      </c>
      <c r="D883" s="74" t="s">
        <v>79</v>
      </c>
      <c r="E883" s="74" t="s">
        <v>80</v>
      </c>
      <c r="F883" s="86" t="s">
        <v>116</v>
      </c>
      <c r="G883" s="74" t="s">
        <v>117</v>
      </c>
      <c r="H883" s="87">
        <v>43951</v>
      </c>
      <c r="I883" s="94">
        <v>3253.69</v>
      </c>
      <c r="J883" s="94">
        <v>2440.27</v>
      </c>
      <c r="K883" s="94">
        <v>813.42</v>
      </c>
    </row>
    <row r="884" spans="1:11">
      <c r="A884" s="74" t="s">
        <v>113</v>
      </c>
      <c r="B884" s="74" t="s">
        <v>126</v>
      </c>
      <c r="C884" s="74" t="s">
        <v>127</v>
      </c>
      <c r="D884" s="74" t="s">
        <v>79</v>
      </c>
      <c r="E884" s="74" t="s">
        <v>80</v>
      </c>
      <c r="F884" s="86" t="s">
        <v>120</v>
      </c>
      <c r="G884" s="74" t="s">
        <v>117</v>
      </c>
      <c r="H884" s="87">
        <v>43951</v>
      </c>
      <c r="I884" s="94">
        <v>2763.45</v>
      </c>
      <c r="J884" s="94">
        <v>2072.59</v>
      </c>
      <c r="K884" s="94">
        <v>690.86</v>
      </c>
    </row>
    <row r="885" spans="1:11">
      <c r="A885" s="74" t="s">
        <v>113</v>
      </c>
      <c r="B885" s="74" t="s">
        <v>128</v>
      </c>
      <c r="C885" s="74" t="s">
        <v>129</v>
      </c>
      <c r="D885" s="74" t="s">
        <v>79</v>
      </c>
      <c r="E885" s="74" t="s">
        <v>80</v>
      </c>
      <c r="F885" s="86" t="s">
        <v>123</v>
      </c>
      <c r="G885" s="74" t="s">
        <v>117</v>
      </c>
      <c r="H885" s="87">
        <v>43951</v>
      </c>
      <c r="I885" s="94">
        <v>2557.11</v>
      </c>
      <c r="J885" s="94">
        <v>1917.83</v>
      </c>
      <c r="K885" s="94">
        <v>639.28</v>
      </c>
    </row>
    <row r="886" spans="1:11">
      <c r="A886" s="74" t="s">
        <v>113</v>
      </c>
      <c r="B886" s="74" t="s">
        <v>130</v>
      </c>
      <c r="C886" s="74" t="s">
        <v>131</v>
      </c>
      <c r="D886" s="74" t="s">
        <v>79</v>
      </c>
      <c r="E886" s="74" t="s">
        <v>80</v>
      </c>
      <c r="F886" s="86" t="s">
        <v>116</v>
      </c>
      <c r="G886" s="74" t="s">
        <v>117</v>
      </c>
      <c r="H886" s="87">
        <v>43951</v>
      </c>
      <c r="I886" s="94">
        <v>3306.99</v>
      </c>
      <c r="J886" s="94">
        <v>2480.24</v>
      </c>
      <c r="K886" s="94">
        <v>826.75</v>
      </c>
    </row>
    <row r="887" spans="1:11">
      <c r="A887" s="74" t="s">
        <v>113</v>
      </c>
      <c r="B887" s="74" t="s">
        <v>132</v>
      </c>
      <c r="C887" s="74" t="s">
        <v>133</v>
      </c>
      <c r="D887" s="74" t="s">
        <v>79</v>
      </c>
      <c r="E887" s="74" t="s">
        <v>80</v>
      </c>
      <c r="F887" s="86" t="s">
        <v>120</v>
      </c>
      <c r="G887" s="74" t="s">
        <v>117</v>
      </c>
      <c r="H887" s="87">
        <v>43951</v>
      </c>
      <c r="I887" s="94">
        <v>2775.94</v>
      </c>
      <c r="J887" s="94">
        <v>2081.96</v>
      </c>
      <c r="K887" s="94">
        <v>693.98</v>
      </c>
    </row>
    <row r="888" spans="1:11">
      <c r="A888" s="74" t="s">
        <v>113</v>
      </c>
      <c r="B888" s="74" t="s">
        <v>134</v>
      </c>
      <c r="C888" s="74" t="s">
        <v>135</v>
      </c>
      <c r="D888" s="74" t="s">
        <v>79</v>
      </c>
      <c r="E888" s="74" t="s">
        <v>80</v>
      </c>
      <c r="F888" s="86" t="s">
        <v>123</v>
      </c>
      <c r="G888" s="74" t="s">
        <v>117</v>
      </c>
      <c r="H888" s="87">
        <v>43951</v>
      </c>
      <c r="I888" s="94">
        <v>2379.35</v>
      </c>
      <c r="J888" s="94">
        <v>1784.51</v>
      </c>
      <c r="K888" s="94">
        <v>594.84</v>
      </c>
    </row>
    <row r="889" spans="1:11">
      <c r="A889" s="74" t="s">
        <v>113</v>
      </c>
      <c r="B889" s="74" t="s">
        <v>136</v>
      </c>
      <c r="C889" s="74" t="s">
        <v>137</v>
      </c>
      <c r="D889" s="74" t="s">
        <v>79</v>
      </c>
      <c r="E889" s="74" t="s">
        <v>80</v>
      </c>
      <c r="F889" s="86" t="s">
        <v>116</v>
      </c>
      <c r="G889" s="74" t="s">
        <v>138</v>
      </c>
      <c r="H889" s="87">
        <v>43951</v>
      </c>
      <c r="I889" s="94">
        <v>3123.74</v>
      </c>
      <c r="J889" s="94">
        <v>2342.81</v>
      </c>
      <c r="K889" s="94">
        <v>780.93</v>
      </c>
    </row>
    <row r="890" spans="1:11">
      <c r="A890" s="74" t="s">
        <v>113</v>
      </c>
      <c r="B890" s="74" t="s">
        <v>139</v>
      </c>
      <c r="C890" s="74" t="s">
        <v>140</v>
      </c>
      <c r="D890" s="74" t="s">
        <v>79</v>
      </c>
      <c r="E890" s="74" t="s">
        <v>80</v>
      </c>
      <c r="F890" s="86" t="s">
        <v>120</v>
      </c>
      <c r="G890" s="74" t="s">
        <v>138</v>
      </c>
      <c r="H890" s="87">
        <v>43951</v>
      </c>
      <c r="I890" s="94">
        <v>2844.32</v>
      </c>
      <c r="J890" s="94">
        <v>2133.24</v>
      </c>
      <c r="K890" s="94">
        <v>711.08</v>
      </c>
    </row>
    <row r="891" spans="1:11">
      <c r="A891" s="74" t="s">
        <v>113</v>
      </c>
      <c r="B891" s="74" t="s">
        <v>141</v>
      </c>
      <c r="C891" s="74" t="s">
        <v>142</v>
      </c>
      <c r="D891" s="74" t="s">
        <v>79</v>
      </c>
      <c r="E891" s="74" t="s">
        <v>80</v>
      </c>
      <c r="F891" s="86" t="s">
        <v>123</v>
      </c>
      <c r="G891" s="74" t="s">
        <v>138</v>
      </c>
      <c r="H891" s="87">
        <v>43951</v>
      </c>
      <c r="I891" s="94">
        <v>2404.74</v>
      </c>
      <c r="J891" s="94">
        <v>1803.56</v>
      </c>
      <c r="K891" s="94">
        <v>601.18</v>
      </c>
    </row>
    <row r="892" spans="1:11">
      <c r="A892" s="74" t="s">
        <v>113</v>
      </c>
      <c r="B892" s="74" t="s">
        <v>143</v>
      </c>
      <c r="C892" s="74" t="s">
        <v>144</v>
      </c>
      <c r="D892" s="74" t="s">
        <v>79</v>
      </c>
      <c r="E892" s="74" t="s">
        <v>80</v>
      </c>
      <c r="F892" s="86" t="s">
        <v>145</v>
      </c>
      <c r="G892" s="74" t="s">
        <v>146</v>
      </c>
      <c r="H892" s="87">
        <v>43951</v>
      </c>
      <c r="I892" s="94">
        <v>7508.95</v>
      </c>
      <c r="J892" s="94">
        <v>5631.71</v>
      </c>
      <c r="K892" s="94">
        <v>1877.24</v>
      </c>
    </row>
    <row r="893" spans="1:11">
      <c r="A893" s="74" t="s">
        <v>113</v>
      </c>
      <c r="B893" s="74" t="s">
        <v>147</v>
      </c>
      <c r="C893" s="74" t="s">
        <v>148</v>
      </c>
      <c r="D893" s="74" t="s">
        <v>79</v>
      </c>
      <c r="E893" s="74" t="s">
        <v>80</v>
      </c>
      <c r="F893" s="86" t="s">
        <v>149</v>
      </c>
      <c r="G893" s="74" t="s">
        <v>150</v>
      </c>
      <c r="H893" s="87">
        <v>43951</v>
      </c>
      <c r="I893" s="94">
        <v>7142.85</v>
      </c>
      <c r="J893" s="94">
        <v>5357.14</v>
      </c>
      <c r="K893" s="94">
        <v>1785.71</v>
      </c>
    </row>
    <row r="894" spans="1:11">
      <c r="A894" s="74" t="s">
        <v>113</v>
      </c>
      <c r="B894" s="74" t="s">
        <v>151</v>
      </c>
      <c r="C894" s="74" t="s">
        <v>152</v>
      </c>
      <c r="D894" s="74" t="s">
        <v>79</v>
      </c>
      <c r="E894" s="74" t="s">
        <v>81</v>
      </c>
      <c r="F894" s="86" t="s">
        <v>123</v>
      </c>
      <c r="G894" s="74" t="s">
        <v>153</v>
      </c>
      <c r="H894" s="87">
        <v>43951</v>
      </c>
      <c r="I894" s="94">
        <v>2527.8</v>
      </c>
      <c r="J894" s="94">
        <v>1895.85</v>
      </c>
      <c r="K894" s="94">
        <v>631.95</v>
      </c>
    </row>
    <row r="895" spans="1:11">
      <c r="A895" s="74" t="s">
        <v>113</v>
      </c>
      <c r="B895" s="74" t="s">
        <v>154</v>
      </c>
      <c r="C895" s="74" t="s">
        <v>155</v>
      </c>
      <c r="D895" s="74" t="s">
        <v>79</v>
      </c>
      <c r="E895" s="74" t="s">
        <v>81</v>
      </c>
      <c r="F895" s="86" t="s">
        <v>156</v>
      </c>
      <c r="G895" s="74" t="s">
        <v>157</v>
      </c>
      <c r="H895" s="87">
        <v>43951</v>
      </c>
      <c r="I895" s="94">
        <v>2068.54</v>
      </c>
      <c r="J895" s="94">
        <v>1551.41</v>
      </c>
      <c r="K895" s="94">
        <v>517.13</v>
      </c>
    </row>
    <row r="896" spans="1:11">
      <c r="A896" s="74" t="s">
        <v>113</v>
      </c>
      <c r="B896" s="74" t="s">
        <v>158</v>
      </c>
      <c r="C896" s="74" t="s">
        <v>159</v>
      </c>
      <c r="D896" s="74" t="s">
        <v>79</v>
      </c>
      <c r="E896" s="74" t="s">
        <v>81</v>
      </c>
      <c r="F896" s="86" t="s">
        <v>160</v>
      </c>
      <c r="G896" s="74" t="s">
        <v>161</v>
      </c>
      <c r="H896" s="87">
        <v>43951</v>
      </c>
      <c r="I896" s="94">
        <v>1695.68</v>
      </c>
      <c r="J896" s="94">
        <v>1271.76</v>
      </c>
      <c r="K896" s="94">
        <v>423.92</v>
      </c>
    </row>
    <row r="897" spans="1:11">
      <c r="A897" s="74" t="s">
        <v>113</v>
      </c>
      <c r="B897" s="74" t="s">
        <v>162</v>
      </c>
      <c r="C897" s="74" t="s">
        <v>163</v>
      </c>
      <c r="D897" s="74" t="s">
        <v>79</v>
      </c>
      <c r="E897" s="74" t="s">
        <v>81</v>
      </c>
      <c r="F897" s="86" t="s">
        <v>123</v>
      </c>
      <c r="G897" s="74" t="s">
        <v>153</v>
      </c>
      <c r="H897" s="87">
        <v>43951</v>
      </c>
      <c r="I897" s="94">
        <v>2483.8</v>
      </c>
      <c r="J897" s="94">
        <v>1862.85</v>
      </c>
      <c r="K897" s="94">
        <v>620.95</v>
      </c>
    </row>
    <row r="898" spans="1:11">
      <c r="A898" s="74" t="s">
        <v>113</v>
      </c>
      <c r="B898" s="74" t="s">
        <v>164</v>
      </c>
      <c r="C898" s="74" t="s">
        <v>165</v>
      </c>
      <c r="D898" s="74" t="s">
        <v>79</v>
      </c>
      <c r="E898" s="74" t="s">
        <v>81</v>
      </c>
      <c r="F898" s="86" t="s">
        <v>156</v>
      </c>
      <c r="G898" s="74" t="s">
        <v>157</v>
      </c>
      <c r="H898" s="87">
        <v>43951</v>
      </c>
      <c r="I898" s="94">
        <v>2056.69</v>
      </c>
      <c r="J898" s="94">
        <v>1542.52</v>
      </c>
      <c r="K898" s="94">
        <v>514.17</v>
      </c>
    </row>
    <row r="899" spans="1:11">
      <c r="A899" s="74" t="s">
        <v>113</v>
      </c>
      <c r="B899" s="74" t="s">
        <v>166</v>
      </c>
      <c r="C899" s="74" t="s">
        <v>167</v>
      </c>
      <c r="D899" s="74" t="s">
        <v>79</v>
      </c>
      <c r="E899" s="74" t="s">
        <v>81</v>
      </c>
      <c r="F899" s="86" t="s">
        <v>160</v>
      </c>
      <c r="G899" s="74" t="s">
        <v>161</v>
      </c>
      <c r="H899" s="87">
        <v>43951</v>
      </c>
      <c r="I899" s="94">
        <v>1682.25</v>
      </c>
      <c r="J899" s="94">
        <v>1261.69</v>
      </c>
      <c r="K899" s="94">
        <v>420.56</v>
      </c>
    </row>
    <row r="900" spans="1:11">
      <c r="A900" s="74" t="s">
        <v>113</v>
      </c>
      <c r="B900" s="74" t="s">
        <v>168</v>
      </c>
      <c r="C900" s="74" t="s">
        <v>169</v>
      </c>
      <c r="D900" s="74" t="s">
        <v>79</v>
      </c>
      <c r="E900" s="74" t="s">
        <v>81</v>
      </c>
      <c r="F900" s="86" t="s">
        <v>123</v>
      </c>
      <c r="G900" s="74" t="s">
        <v>153</v>
      </c>
      <c r="H900" s="87">
        <v>43951</v>
      </c>
      <c r="I900" s="94">
        <v>2412.66</v>
      </c>
      <c r="J900" s="94">
        <v>1809.5</v>
      </c>
      <c r="K900" s="94">
        <v>603.16</v>
      </c>
    </row>
    <row r="901" spans="1:11">
      <c r="A901" s="74" t="s">
        <v>113</v>
      </c>
      <c r="B901" s="74" t="s">
        <v>170</v>
      </c>
      <c r="C901" s="74" t="s">
        <v>171</v>
      </c>
      <c r="D901" s="74" t="s">
        <v>79</v>
      </c>
      <c r="E901" s="74" t="s">
        <v>81</v>
      </c>
      <c r="F901" s="86" t="s">
        <v>156</v>
      </c>
      <c r="G901" s="74" t="s">
        <v>157</v>
      </c>
      <c r="H901" s="87">
        <v>43951</v>
      </c>
      <c r="I901" s="94">
        <v>2115.16</v>
      </c>
      <c r="J901" s="94">
        <v>1586.37</v>
      </c>
      <c r="K901" s="94">
        <v>528.79</v>
      </c>
    </row>
    <row r="902" spans="1:11">
      <c r="A902" s="74" t="s">
        <v>113</v>
      </c>
      <c r="B902" s="74" t="s">
        <v>172</v>
      </c>
      <c r="C902" s="74" t="s">
        <v>173</v>
      </c>
      <c r="D902" s="74" t="s">
        <v>79</v>
      </c>
      <c r="E902" s="74" t="s">
        <v>81</v>
      </c>
      <c r="F902" s="86" t="s">
        <v>160</v>
      </c>
      <c r="G902" s="74" t="s">
        <v>161</v>
      </c>
      <c r="H902" s="87">
        <v>43951</v>
      </c>
      <c r="I902" s="94">
        <v>1575.74</v>
      </c>
      <c r="J902" s="94">
        <v>1181.81</v>
      </c>
      <c r="K902" s="94">
        <v>393.93</v>
      </c>
    </row>
    <row r="903" spans="1:11">
      <c r="A903" s="74" t="s">
        <v>113</v>
      </c>
      <c r="B903" s="74" t="s">
        <v>174</v>
      </c>
      <c r="C903" s="74" t="s">
        <v>175</v>
      </c>
      <c r="D903" s="74" t="s">
        <v>79</v>
      </c>
      <c r="E903" s="74" t="s">
        <v>81</v>
      </c>
      <c r="F903" s="86" t="s">
        <v>176</v>
      </c>
      <c r="G903" s="74" t="s">
        <v>177</v>
      </c>
      <c r="H903" s="87">
        <v>43951</v>
      </c>
      <c r="I903" s="94">
        <v>1177.14</v>
      </c>
      <c r="J903" s="94">
        <v>882.86</v>
      </c>
      <c r="K903" s="94">
        <v>294.28</v>
      </c>
    </row>
    <row r="904" spans="1:11">
      <c r="A904" s="74" t="s">
        <v>113</v>
      </c>
      <c r="B904" s="74" t="s">
        <v>178</v>
      </c>
      <c r="C904" s="74" t="s">
        <v>179</v>
      </c>
      <c r="D904" s="74" t="s">
        <v>79</v>
      </c>
      <c r="E904" s="74" t="s">
        <v>81</v>
      </c>
      <c r="F904" s="86" t="s">
        <v>180</v>
      </c>
      <c r="G904" s="74" t="s">
        <v>177</v>
      </c>
      <c r="H904" s="87">
        <v>43951</v>
      </c>
      <c r="I904" s="94">
        <v>835.86</v>
      </c>
      <c r="J904" s="94">
        <v>626.9</v>
      </c>
      <c r="K904" s="94">
        <v>208.96</v>
      </c>
    </row>
    <row r="905" spans="1:11">
      <c r="A905" s="74" t="s">
        <v>113</v>
      </c>
      <c r="B905" s="74" t="s">
        <v>181</v>
      </c>
      <c r="C905" s="74" t="s">
        <v>182</v>
      </c>
      <c r="D905" s="74" t="s">
        <v>79</v>
      </c>
      <c r="E905" s="74" t="s">
        <v>81</v>
      </c>
      <c r="F905" s="86" t="s">
        <v>183</v>
      </c>
      <c r="G905" s="74" t="s">
        <v>177</v>
      </c>
      <c r="H905" s="87">
        <v>43951</v>
      </c>
      <c r="I905" s="94">
        <v>402.44</v>
      </c>
      <c r="J905" s="94">
        <v>301.83</v>
      </c>
      <c r="K905" s="94">
        <v>100.61</v>
      </c>
    </row>
    <row r="906" spans="1:11">
      <c r="A906" s="74" t="s">
        <v>113</v>
      </c>
      <c r="B906" s="74" t="s">
        <v>184</v>
      </c>
      <c r="C906" s="74" t="s">
        <v>185</v>
      </c>
      <c r="D906" s="74" t="s">
        <v>79</v>
      </c>
      <c r="E906" s="74" t="s">
        <v>81</v>
      </c>
      <c r="F906" s="86" t="s">
        <v>176</v>
      </c>
      <c r="G906" s="74" t="s">
        <v>177</v>
      </c>
      <c r="H906" s="87">
        <v>43951</v>
      </c>
      <c r="I906" s="94">
        <v>1247.18</v>
      </c>
      <c r="J906" s="94">
        <v>935.39</v>
      </c>
      <c r="K906" s="94">
        <v>311.79</v>
      </c>
    </row>
    <row r="907" spans="1:11">
      <c r="A907" s="74" t="s">
        <v>113</v>
      </c>
      <c r="B907" s="74" t="s">
        <v>186</v>
      </c>
      <c r="C907" s="74" t="s">
        <v>187</v>
      </c>
      <c r="D907" s="74" t="s">
        <v>79</v>
      </c>
      <c r="E907" s="74" t="s">
        <v>81</v>
      </c>
      <c r="F907" s="86" t="s">
        <v>180</v>
      </c>
      <c r="G907" s="74" t="s">
        <v>177</v>
      </c>
      <c r="H907" s="87">
        <v>43951</v>
      </c>
      <c r="I907" s="94">
        <v>820.95</v>
      </c>
      <c r="J907" s="94">
        <v>615.71</v>
      </c>
      <c r="K907" s="94">
        <v>205.24</v>
      </c>
    </row>
    <row r="908" spans="1:11">
      <c r="A908" s="74" t="s">
        <v>113</v>
      </c>
      <c r="B908" s="74" t="s">
        <v>188</v>
      </c>
      <c r="C908" s="74" t="s">
        <v>189</v>
      </c>
      <c r="D908" s="74" t="s">
        <v>79</v>
      </c>
      <c r="E908" s="74" t="s">
        <v>81</v>
      </c>
      <c r="F908" s="86" t="s">
        <v>183</v>
      </c>
      <c r="G908" s="74" t="s">
        <v>177</v>
      </c>
      <c r="H908" s="87">
        <v>43951</v>
      </c>
      <c r="I908" s="94">
        <v>413.91</v>
      </c>
      <c r="J908" s="94">
        <v>310.43</v>
      </c>
      <c r="K908" s="94">
        <v>103.48</v>
      </c>
    </row>
    <row r="909" spans="1:11">
      <c r="A909" s="74" t="s">
        <v>113</v>
      </c>
      <c r="B909" s="74" t="s">
        <v>190</v>
      </c>
      <c r="C909" s="74" t="s">
        <v>191</v>
      </c>
      <c r="D909" s="74" t="s">
        <v>79</v>
      </c>
      <c r="E909" s="74" t="s">
        <v>81</v>
      </c>
      <c r="F909" s="86" t="s">
        <v>176</v>
      </c>
      <c r="G909" s="74" t="s">
        <v>177</v>
      </c>
      <c r="H909" s="87">
        <v>43951</v>
      </c>
      <c r="I909" s="94">
        <v>1282.48</v>
      </c>
      <c r="J909" s="94">
        <v>961.86</v>
      </c>
      <c r="K909" s="94">
        <v>320.62</v>
      </c>
    </row>
    <row r="910" spans="1:11">
      <c r="A910" s="74" t="s">
        <v>113</v>
      </c>
      <c r="B910" s="74" t="s">
        <v>192</v>
      </c>
      <c r="C910" s="74" t="s">
        <v>193</v>
      </c>
      <c r="D910" s="74" t="s">
        <v>79</v>
      </c>
      <c r="E910" s="74" t="s">
        <v>81</v>
      </c>
      <c r="F910" s="86" t="s">
        <v>180</v>
      </c>
      <c r="G910" s="74" t="s">
        <v>177</v>
      </c>
      <c r="H910" s="87">
        <v>43951</v>
      </c>
      <c r="I910" s="94">
        <v>827.39</v>
      </c>
      <c r="J910" s="94">
        <v>620.54</v>
      </c>
      <c r="K910" s="94">
        <v>206.85</v>
      </c>
    </row>
    <row r="911" spans="1:11">
      <c r="A911" s="74" t="s">
        <v>113</v>
      </c>
      <c r="B911" s="74" t="s">
        <v>194</v>
      </c>
      <c r="C911" s="74" t="s">
        <v>195</v>
      </c>
      <c r="D911" s="74" t="s">
        <v>79</v>
      </c>
      <c r="E911" s="74" t="s">
        <v>81</v>
      </c>
      <c r="F911" s="86" t="s">
        <v>183</v>
      </c>
      <c r="G911" s="74" t="s">
        <v>177</v>
      </c>
      <c r="H911" s="87">
        <v>43951</v>
      </c>
      <c r="I911" s="94">
        <v>413.75</v>
      </c>
      <c r="J911" s="94">
        <v>310.31</v>
      </c>
      <c r="K911" s="94">
        <v>103.44</v>
      </c>
    </row>
    <row r="912" spans="1:11">
      <c r="A912" s="74" t="s">
        <v>113</v>
      </c>
      <c r="B912" s="74" t="s">
        <v>196</v>
      </c>
      <c r="C912" s="74" t="s">
        <v>197</v>
      </c>
      <c r="D912" s="74" t="s">
        <v>79</v>
      </c>
      <c r="E912" s="74" t="s">
        <v>81</v>
      </c>
      <c r="F912" s="86" t="s">
        <v>176</v>
      </c>
      <c r="G912" s="74" t="s">
        <v>177</v>
      </c>
      <c r="H912" s="87">
        <v>43951</v>
      </c>
      <c r="I912" s="94">
        <v>1210.29</v>
      </c>
      <c r="J912" s="94">
        <v>907.72</v>
      </c>
      <c r="K912" s="94">
        <v>302.57</v>
      </c>
    </row>
    <row r="913" spans="1:11">
      <c r="A913" s="74" t="s">
        <v>113</v>
      </c>
      <c r="B913" s="74" t="s">
        <v>198</v>
      </c>
      <c r="C913" s="74" t="s">
        <v>199</v>
      </c>
      <c r="D913" s="74" t="s">
        <v>79</v>
      </c>
      <c r="E913" s="74" t="s">
        <v>81</v>
      </c>
      <c r="F913" s="86" t="s">
        <v>180</v>
      </c>
      <c r="G913" s="74" t="s">
        <v>177</v>
      </c>
      <c r="H913" s="87">
        <v>43951</v>
      </c>
      <c r="I913" s="94">
        <v>802.19</v>
      </c>
      <c r="J913" s="94">
        <v>601.64</v>
      </c>
      <c r="K913" s="94">
        <v>200.55</v>
      </c>
    </row>
    <row r="914" spans="1:11">
      <c r="A914" s="74" t="s">
        <v>113</v>
      </c>
      <c r="B914" s="74" t="s">
        <v>200</v>
      </c>
      <c r="C914" s="74" t="s">
        <v>201</v>
      </c>
      <c r="D914" s="74" t="s">
        <v>79</v>
      </c>
      <c r="E914" s="74" t="s">
        <v>81</v>
      </c>
      <c r="F914" s="86" t="s">
        <v>183</v>
      </c>
      <c r="G914" s="74" t="s">
        <v>177</v>
      </c>
      <c r="H914" s="87">
        <v>43951</v>
      </c>
      <c r="I914" s="94">
        <v>393.4</v>
      </c>
      <c r="J914" s="94">
        <v>295.05</v>
      </c>
      <c r="K914" s="94">
        <v>98.35</v>
      </c>
    </row>
    <row r="915" spans="1:11">
      <c r="A915" s="74" t="s">
        <v>113</v>
      </c>
      <c r="B915" s="74" t="s">
        <v>202</v>
      </c>
      <c r="C915" s="74" t="s">
        <v>203</v>
      </c>
      <c r="D915" s="74" t="s">
        <v>79</v>
      </c>
      <c r="E915" s="74" t="s">
        <v>81</v>
      </c>
      <c r="F915" s="86" t="s">
        <v>204</v>
      </c>
      <c r="G915" s="74" t="s">
        <v>205</v>
      </c>
      <c r="H915" s="87">
        <v>43951</v>
      </c>
      <c r="I915" s="94">
        <v>7229.85</v>
      </c>
      <c r="J915" s="94">
        <v>5422.39</v>
      </c>
      <c r="K915" s="94">
        <v>1807.46</v>
      </c>
    </row>
    <row r="916" spans="1:11">
      <c r="A916" s="74" t="s">
        <v>113</v>
      </c>
      <c r="B916" s="74" t="s">
        <v>206</v>
      </c>
      <c r="C916" s="74" t="s">
        <v>207</v>
      </c>
      <c r="D916" s="88" t="s">
        <v>82</v>
      </c>
      <c r="E916" s="88" t="s">
        <v>84</v>
      </c>
      <c r="F916" s="86" t="s">
        <v>208</v>
      </c>
      <c r="G916" s="74" t="s">
        <v>209</v>
      </c>
      <c r="H916" s="87">
        <v>43951</v>
      </c>
      <c r="I916" s="94">
        <v>3662.88</v>
      </c>
      <c r="J916" s="94">
        <v>2747.16</v>
      </c>
      <c r="K916" s="94">
        <v>915.72</v>
      </c>
    </row>
    <row r="917" spans="1:11">
      <c r="A917" s="74" t="s">
        <v>113</v>
      </c>
      <c r="B917" s="74" t="s">
        <v>210</v>
      </c>
      <c r="C917" s="74" t="s">
        <v>211</v>
      </c>
      <c r="D917" s="88" t="s">
        <v>82</v>
      </c>
      <c r="E917" s="88" t="s">
        <v>84</v>
      </c>
      <c r="F917" s="86" t="s">
        <v>116</v>
      </c>
      <c r="G917" s="74" t="s">
        <v>209</v>
      </c>
      <c r="H917" s="87">
        <v>43951</v>
      </c>
      <c r="I917" s="94">
        <v>3331.39</v>
      </c>
      <c r="J917" s="94">
        <v>2498.54</v>
      </c>
      <c r="K917" s="94">
        <v>832.85</v>
      </c>
    </row>
    <row r="918" spans="1:11">
      <c r="A918" s="74" t="s">
        <v>113</v>
      </c>
      <c r="B918" s="74" t="s">
        <v>212</v>
      </c>
      <c r="C918" s="74" t="s">
        <v>213</v>
      </c>
      <c r="D918" s="88" t="s">
        <v>82</v>
      </c>
      <c r="E918" s="88" t="s">
        <v>84</v>
      </c>
      <c r="F918" s="86" t="s">
        <v>208</v>
      </c>
      <c r="G918" s="74" t="s">
        <v>209</v>
      </c>
      <c r="H918" s="87">
        <v>43951</v>
      </c>
      <c r="I918" s="94">
        <v>3589.84</v>
      </c>
      <c r="J918" s="94">
        <v>2692.38</v>
      </c>
      <c r="K918" s="94">
        <v>897.46</v>
      </c>
    </row>
    <row r="919" spans="1:11">
      <c r="A919" s="74" t="s">
        <v>113</v>
      </c>
      <c r="B919" s="74" t="s">
        <v>214</v>
      </c>
      <c r="C919" s="74" t="s">
        <v>215</v>
      </c>
      <c r="D919" s="88" t="s">
        <v>82</v>
      </c>
      <c r="E919" s="88" t="s">
        <v>84</v>
      </c>
      <c r="F919" s="86" t="s">
        <v>116</v>
      </c>
      <c r="G919" s="74" t="s">
        <v>209</v>
      </c>
      <c r="H919" s="87">
        <v>43951</v>
      </c>
      <c r="I919" s="94">
        <v>3129.24</v>
      </c>
      <c r="J919" s="94">
        <v>2346.93</v>
      </c>
      <c r="K919" s="94">
        <v>782.31</v>
      </c>
    </row>
    <row r="920" spans="1:11">
      <c r="A920" s="74" t="s">
        <v>113</v>
      </c>
      <c r="B920" s="74" t="s">
        <v>216</v>
      </c>
      <c r="C920" s="74" t="s">
        <v>217</v>
      </c>
      <c r="D920" s="88" t="s">
        <v>82</v>
      </c>
      <c r="E920" s="88" t="s">
        <v>84</v>
      </c>
      <c r="F920" s="86" t="s">
        <v>218</v>
      </c>
      <c r="G920" s="74" t="s">
        <v>219</v>
      </c>
      <c r="H920" s="87">
        <v>43951</v>
      </c>
      <c r="I920" s="94">
        <v>4489.25</v>
      </c>
      <c r="J920" s="94">
        <v>3366.94</v>
      </c>
      <c r="K920" s="94">
        <v>1122.31</v>
      </c>
    </row>
    <row r="921" spans="1:11">
      <c r="A921" s="74" t="s">
        <v>113</v>
      </c>
      <c r="B921" s="74" t="s">
        <v>220</v>
      </c>
      <c r="C921" s="74" t="s">
        <v>221</v>
      </c>
      <c r="D921" s="88" t="s">
        <v>82</v>
      </c>
      <c r="E921" s="74" t="s">
        <v>83</v>
      </c>
      <c r="F921" s="86" t="s">
        <v>218</v>
      </c>
      <c r="G921" s="74" t="s">
        <v>222</v>
      </c>
      <c r="H921" s="87">
        <v>43951</v>
      </c>
      <c r="I921" s="94">
        <v>4356.9</v>
      </c>
      <c r="J921" s="94">
        <v>3267.68</v>
      </c>
      <c r="K921" s="94">
        <v>1089.22</v>
      </c>
    </row>
    <row r="922" spans="1:11">
      <c r="A922" s="74" t="s">
        <v>113</v>
      </c>
      <c r="B922" s="74" t="s">
        <v>223</v>
      </c>
      <c r="C922" s="74" t="s">
        <v>224</v>
      </c>
      <c r="D922" s="88" t="s">
        <v>82</v>
      </c>
      <c r="E922" s="74" t="s">
        <v>83</v>
      </c>
      <c r="F922" s="86" t="s">
        <v>225</v>
      </c>
      <c r="G922" s="74" t="s">
        <v>209</v>
      </c>
      <c r="H922" s="87">
        <v>43951</v>
      </c>
      <c r="I922" s="94">
        <v>4170.63</v>
      </c>
      <c r="J922" s="94">
        <v>3127.97</v>
      </c>
      <c r="K922" s="94">
        <v>1042.66</v>
      </c>
    </row>
    <row r="923" spans="1:11">
      <c r="A923" s="74" t="s">
        <v>113</v>
      </c>
      <c r="B923" s="74" t="s">
        <v>226</v>
      </c>
      <c r="C923" s="74" t="s">
        <v>227</v>
      </c>
      <c r="D923" s="88" t="s">
        <v>82</v>
      </c>
      <c r="E923" s="74" t="s">
        <v>83</v>
      </c>
      <c r="F923" s="86" t="s">
        <v>208</v>
      </c>
      <c r="G923" s="74" t="s">
        <v>209</v>
      </c>
      <c r="H923" s="87">
        <v>43951</v>
      </c>
      <c r="I923" s="94">
        <v>3687.37</v>
      </c>
      <c r="J923" s="94">
        <v>2765.53</v>
      </c>
      <c r="K923" s="94">
        <v>921.84</v>
      </c>
    </row>
    <row r="924" spans="1:11">
      <c r="A924" s="74" t="s">
        <v>113</v>
      </c>
      <c r="B924" s="74" t="s">
        <v>228</v>
      </c>
      <c r="C924" s="74" t="s">
        <v>229</v>
      </c>
      <c r="D924" s="88" t="s">
        <v>82</v>
      </c>
      <c r="E924" s="74" t="s">
        <v>83</v>
      </c>
      <c r="F924" s="86" t="s">
        <v>116</v>
      </c>
      <c r="G924" s="74" t="s">
        <v>209</v>
      </c>
      <c r="H924" s="87">
        <v>43951</v>
      </c>
      <c r="I924" s="94">
        <v>3381.09</v>
      </c>
      <c r="J924" s="94">
        <v>2535.82</v>
      </c>
      <c r="K924" s="94">
        <v>845.27</v>
      </c>
    </row>
    <row r="925" spans="1:11">
      <c r="A925" s="74" t="s">
        <v>113</v>
      </c>
      <c r="B925" s="74" t="s">
        <v>230</v>
      </c>
      <c r="C925" s="74" t="s">
        <v>231</v>
      </c>
      <c r="D925" s="88" t="s">
        <v>82</v>
      </c>
      <c r="E925" s="74" t="s">
        <v>83</v>
      </c>
      <c r="F925" s="86" t="s">
        <v>120</v>
      </c>
      <c r="G925" s="74" t="s">
        <v>209</v>
      </c>
      <c r="H925" s="87">
        <v>43951</v>
      </c>
      <c r="I925" s="94">
        <v>2849.89</v>
      </c>
      <c r="J925" s="94">
        <v>2137.42</v>
      </c>
      <c r="K925" s="94">
        <v>712.47</v>
      </c>
    </row>
    <row r="926" spans="1:11">
      <c r="A926" s="74" t="s">
        <v>113</v>
      </c>
      <c r="B926" s="74" t="s">
        <v>232</v>
      </c>
      <c r="C926" s="74" t="s">
        <v>233</v>
      </c>
      <c r="D926" s="88" t="s">
        <v>82</v>
      </c>
      <c r="E926" s="74" t="s">
        <v>83</v>
      </c>
      <c r="F926" s="86" t="s">
        <v>123</v>
      </c>
      <c r="G926" s="74" t="s">
        <v>209</v>
      </c>
      <c r="H926" s="87">
        <v>43951</v>
      </c>
      <c r="I926" s="94">
        <v>2373.98</v>
      </c>
      <c r="J926" s="94">
        <v>1780.49</v>
      </c>
      <c r="K926" s="94">
        <v>593.49</v>
      </c>
    </row>
    <row r="927" spans="1:11">
      <c r="A927" s="74" t="s">
        <v>113</v>
      </c>
      <c r="B927" s="74" t="s">
        <v>234</v>
      </c>
      <c r="C927" s="74" t="s">
        <v>235</v>
      </c>
      <c r="D927" s="88" t="s">
        <v>82</v>
      </c>
      <c r="E927" s="74" t="s">
        <v>83</v>
      </c>
      <c r="F927" s="86" t="s">
        <v>116</v>
      </c>
      <c r="G927" s="74" t="s">
        <v>209</v>
      </c>
      <c r="H927" s="87">
        <v>43951</v>
      </c>
      <c r="I927" s="94">
        <v>3219.53</v>
      </c>
      <c r="J927" s="94">
        <v>2414.65</v>
      </c>
      <c r="K927" s="94">
        <v>804.88</v>
      </c>
    </row>
    <row r="928" spans="1:11">
      <c r="A928" s="74" t="s">
        <v>113</v>
      </c>
      <c r="B928" s="74" t="s">
        <v>236</v>
      </c>
      <c r="C928" s="74" t="s">
        <v>237</v>
      </c>
      <c r="D928" s="88" t="s">
        <v>82</v>
      </c>
      <c r="E928" s="74" t="s">
        <v>83</v>
      </c>
      <c r="F928" s="86" t="s">
        <v>120</v>
      </c>
      <c r="G928" s="74" t="s">
        <v>209</v>
      </c>
      <c r="H928" s="87">
        <v>43951</v>
      </c>
      <c r="I928" s="94">
        <v>2779.85</v>
      </c>
      <c r="J928" s="94">
        <v>2084.89</v>
      </c>
      <c r="K928" s="94">
        <v>694.96</v>
      </c>
    </row>
    <row r="929" spans="1:11">
      <c r="A929" s="74" t="s">
        <v>113</v>
      </c>
      <c r="B929" s="74" t="s">
        <v>238</v>
      </c>
      <c r="C929" s="74" t="s">
        <v>239</v>
      </c>
      <c r="D929" s="74" t="s">
        <v>86</v>
      </c>
      <c r="E929" s="74" t="s">
        <v>87</v>
      </c>
      <c r="F929" s="86" t="s">
        <v>204</v>
      </c>
      <c r="G929" s="74" t="s">
        <v>240</v>
      </c>
      <c r="H929" s="87">
        <v>43951</v>
      </c>
      <c r="I929" s="94">
        <v>6106.59</v>
      </c>
      <c r="J929" s="94">
        <v>4579.94</v>
      </c>
      <c r="K929" s="94">
        <v>1526.65</v>
      </c>
    </row>
    <row r="930" spans="1:11">
      <c r="A930" s="74" t="s">
        <v>113</v>
      </c>
      <c r="B930" s="74" t="s">
        <v>241</v>
      </c>
      <c r="C930" s="74" t="s">
        <v>242</v>
      </c>
      <c r="D930" s="74" t="s">
        <v>86</v>
      </c>
      <c r="E930" s="74" t="s">
        <v>87</v>
      </c>
      <c r="F930" s="86" t="s">
        <v>243</v>
      </c>
      <c r="G930" s="74" t="s">
        <v>244</v>
      </c>
      <c r="H930" s="87">
        <v>43951</v>
      </c>
      <c r="I930" s="94">
        <v>4197.67</v>
      </c>
      <c r="J930" s="94">
        <v>3148.25</v>
      </c>
      <c r="K930" s="94">
        <v>1049.42</v>
      </c>
    </row>
    <row r="931" spans="1:11">
      <c r="A931" s="74" t="s">
        <v>113</v>
      </c>
      <c r="B931" s="74" t="s">
        <v>245</v>
      </c>
      <c r="C931" s="74" t="s">
        <v>246</v>
      </c>
      <c r="D931" s="74" t="s">
        <v>86</v>
      </c>
      <c r="E931" s="74" t="s">
        <v>87</v>
      </c>
      <c r="F931" s="86" t="s">
        <v>247</v>
      </c>
      <c r="G931" s="74" t="s">
        <v>248</v>
      </c>
      <c r="H931" s="87">
        <v>43951</v>
      </c>
      <c r="I931" s="94">
        <v>3814.62</v>
      </c>
      <c r="J931" s="94">
        <v>2860.97</v>
      </c>
      <c r="K931" s="94">
        <v>953.65</v>
      </c>
    </row>
    <row r="932" spans="1:11">
      <c r="A932" s="74" t="s">
        <v>113</v>
      </c>
      <c r="B932" s="74" t="s">
        <v>249</v>
      </c>
      <c r="C932" s="74" t="s">
        <v>250</v>
      </c>
      <c r="D932" s="74" t="s">
        <v>86</v>
      </c>
      <c r="E932" s="74" t="s">
        <v>87</v>
      </c>
      <c r="F932" s="86" t="s">
        <v>251</v>
      </c>
      <c r="G932" s="74" t="s">
        <v>252</v>
      </c>
      <c r="H932" s="87">
        <v>43951</v>
      </c>
      <c r="I932" s="94">
        <v>3642.44</v>
      </c>
      <c r="J932" s="94">
        <v>2731.83</v>
      </c>
      <c r="K932" s="94">
        <v>910.61</v>
      </c>
    </row>
    <row r="933" spans="1:11">
      <c r="A933" s="74" t="s">
        <v>113</v>
      </c>
      <c r="B933" s="74" t="s">
        <v>253</v>
      </c>
      <c r="C933" s="74" t="s">
        <v>254</v>
      </c>
      <c r="D933" s="74" t="s">
        <v>86</v>
      </c>
      <c r="E933" s="74" t="s">
        <v>87</v>
      </c>
      <c r="F933" s="86" t="s">
        <v>255</v>
      </c>
      <c r="G933" s="74" t="s">
        <v>252</v>
      </c>
      <c r="H933" s="87">
        <v>43951</v>
      </c>
      <c r="I933" s="94">
        <v>3162.39</v>
      </c>
      <c r="J933" s="94">
        <v>2371.79</v>
      </c>
      <c r="K933" s="94">
        <v>790.6</v>
      </c>
    </row>
    <row r="934" spans="1:11">
      <c r="A934" s="74" t="s">
        <v>113</v>
      </c>
      <c r="B934" s="74" t="s">
        <v>256</v>
      </c>
      <c r="C934" s="74" t="s">
        <v>257</v>
      </c>
      <c r="D934" s="74" t="s">
        <v>86</v>
      </c>
      <c r="E934" s="74" t="s">
        <v>87</v>
      </c>
      <c r="F934" s="86" t="s">
        <v>258</v>
      </c>
      <c r="G934" s="74" t="s">
        <v>252</v>
      </c>
      <c r="H934" s="87">
        <v>43951</v>
      </c>
      <c r="I934" s="94">
        <v>2812.61</v>
      </c>
      <c r="J934" s="94">
        <v>2109.46</v>
      </c>
      <c r="K934" s="94">
        <v>703.15</v>
      </c>
    </row>
    <row r="935" spans="1:11">
      <c r="A935" s="74" t="s">
        <v>113</v>
      </c>
      <c r="B935" s="74" t="s">
        <v>259</v>
      </c>
      <c r="C935" s="74" t="s">
        <v>260</v>
      </c>
      <c r="D935" s="74" t="s">
        <v>86</v>
      </c>
      <c r="E935" s="74" t="s">
        <v>87</v>
      </c>
      <c r="F935" s="86" t="s">
        <v>261</v>
      </c>
      <c r="G935" s="74" t="s">
        <v>262</v>
      </c>
      <c r="H935" s="87">
        <v>43951</v>
      </c>
      <c r="I935" s="94">
        <v>2620.19</v>
      </c>
      <c r="J935" s="94">
        <v>1965.14</v>
      </c>
      <c r="K935" s="94">
        <v>655.05</v>
      </c>
    </row>
    <row r="936" spans="1:11">
      <c r="A936" s="74" t="s">
        <v>113</v>
      </c>
      <c r="B936" s="74" t="s">
        <v>263</v>
      </c>
      <c r="C936" s="74" t="s">
        <v>264</v>
      </c>
      <c r="D936" s="74" t="s">
        <v>86</v>
      </c>
      <c r="E936" s="74" t="s">
        <v>88</v>
      </c>
      <c r="F936" s="86" t="s">
        <v>149</v>
      </c>
      <c r="G936" s="74" t="s">
        <v>265</v>
      </c>
      <c r="H936" s="87">
        <v>43951</v>
      </c>
      <c r="I936" s="94">
        <v>5400.75</v>
      </c>
      <c r="J936" s="94">
        <v>4050.56</v>
      </c>
      <c r="K936" s="94">
        <v>1350.19</v>
      </c>
    </row>
    <row r="937" spans="1:11">
      <c r="A937" s="74" t="s">
        <v>113</v>
      </c>
      <c r="B937" s="74" t="s">
        <v>266</v>
      </c>
      <c r="C937" s="74" t="s">
        <v>267</v>
      </c>
      <c r="D937" s="74" t="s">
        <v>86</v>
      </c>
      <c r="E937" s="74" t="s">
        <v>88</v>
      </c>
      <c r="F937" s="86" t="s">
        <v>243</v>
      </c>
      <c r="G937" s="74" t="s">
        <v>268</v>
      </c>
      <c r="H937" s="87">
        <v>43951</v>
      </c>
      <c r="I937" s="94">
        <v>4372.72</v>
      </c>
      <c r="J937" s="94">
        <v>3279.54</v>
      </c>
      <c r="K937" s="94">
        <v>1093.18</v>
      </c>
    </row>
    <row r="938" spans="1:11">
      <c r="A938" s="74" t="s">
        <v>113</v>
      </c>
      <c r="B938" s="74" t="s">
        <v>269</v>
      </c>
      <c r="C938" s="74" t="s">
        <v>270</v>
      </c>
      <c r="D938" s="74" t="s">
        <v>86</v>
      </c>
      <c r="E938" s="74" t="s">
        <v>88</v>
      </c>
      <c r="F938" s="86" t="s">
        <v>247</v>
      </c>
      <c r="G938" s="74" t="s">
        <v>268</v>
      </c>
      <c r="H938" s="87">
        <v>43951</v>
      </c>
      <c r="I938" s="94">
        <v>4042.9</v>
      </c>
      <c r="J938" s="94">
        <v>3032.18</v>
      </c>
      <c r="K938" s="94">
        <v>1010.72</v>
      </c>
    </row>
    <row r="939" spans="1:11">
      <c r="A939" s="74" t="s">
        <v>113</v>
      </c>
      <c r="B939" s="74" t="s">
        <v>271</v>
      </c>
      <c r="C939" s="74" t="s">
        <v>272</v>
      </c>
      <c r="D939" s="74" t="s">
        <v>86</v>
      </c>
      <c r="E939" s="74" t="s">
        <v>88</v>
      </c>
      <c r="F939" s="86" t="s">
        <v>251</v>
      </c>
      <c r="G939" s="74" t="s">
        <v>268</v>
      </c>
      <c r="H939" s="87">
        <v>43951</v>
      </c>
      <c r="I939" s="94">
        <v>3769.43</v>
      </c>
      <c r="J939" s="94">
        <v>2827.07</v>
      </c>
      <c r="K939" s="94">
        <v>942.36</v>
      </c>
    </row>
    <row r="940" spans="1:11">
      <c r="A940" s="74" t="s">
        <v>113</v>
      </c>
      <c r="B940" s="74" t="s">
        <v>273</v>
      </c>
      <c r="C940" s="74" t="s">
        <v>274</v>
      </c>
      <c r="D940" s="74" t="s">
        <v>86</v>
      </c>
      <c r="E940" s="74" t="s">
        <v>88</v>
      </c>
      <c r="F940" s="86" t="s">
        <v>255</v>
      </c>
      <c r="G940" s="74" t="s">
        <v>268</v>
      </c>
      <c r="H940" s="87">
        <v>43951</v>
      </c>
      <c r="I940" s="94">
        <v>3319.61</v>
      </c>
      <c r="J940" s="94">
        <v>2489.71</v>
      </c>
      <c r="K940" s="94">
        <v>829.9</v>
      </c>
    </row>
    <row r="941" spans="1:11">
      <c r="A941" s="74" t="s">
        <v>113</v>
      </c>
      <c r="B941" s="74" t="s">
        <v>275</v>
      </c>
      <c r="C941" s="74" t="s">
        <v>276</v>
      </c>
      <c r="D941" s="74" t="s">
        <v>86</v>
      </c>
      <c r="E941" s="74" t="s">
        <v>88</v>
      </c>
      <c r="F941" s="86" t="s">
        <v>258</v>
      </c>
      <c r="G941" s="74" t="s">
        <v>268</v>
      </c>
      <c r="H941" s="87">
        <v>43951</v>
      </c>
      <c r="I941" s="94">
        <v>2863.83</v>
      </c>
      <c r="J941" s="94">
        <v>2147.87</v>
      </c>
      <c r="K941" s="94">
        <v>715.96</v>
      </c>
    </row>
    <row r="942" spans="1:11">
      <c r="A942" s="74" t="s">
        <v>113</v>
      </c>
      <c r="B942" s="74" t="s">
        <v>277</v>
      </c>
      <c r="C942" s="74" t="s">
        <v>278</v>
      </c>
      <c r="D942" s="74" t="s">
        <v>86</v>
      </c>
      <c r="E942" s="74" t="s">
        <v>89</v>
      </c>
      <c r="F942" s="86" t="s">
        <v>279</v>
      </c>
      <c r="G942" s="74" t="s">
        <v>280</v>
      </c>
      <c r="H942" s="87">
        <v>43951</v>
      </c>
      <c r="I942" s="94">
        <v>5003.84</v>
      </c>
      <c r="J942" s="94">
        <v>3752.88</v>
      </c>
      <c r="K942" s="94">
        <v>1250.96</v>
      </c>
    </row>
    <row r="943" spans="1:11">
      <c r="A943" s="74" t="s">
        <v>113</v>
      </c>
      <c r="B943" s="74" t="s">
        <v>281</v>
      </c>
      <c r="C943" s="74" t="s">
        <v>282</v>
      </c>
      <c r="D943" s="74" t="s">
        <v>86</v>
      </c>
      <c r="E943" s="74" t="s">
        <v>89</v>
      </c>
      <c r="F943" s="86" t="s">
        <v>225</v>
      </c>
      <c r="G943" s="74" t="s">
        <v>283</v>
      </c>
      <c r="H943" s="87">
        <v>43951</v>
      </c>
      <c r="I943" s="94">
        <v>3283.68</v>
      </c>
      <c r="J943" s="94">
        <v>2462.76</v>
      </c>
      <c r="K943" s="94">
        <v>820.92</v>
      </c>
    </row>
    <row r="944" spans="1:11">
      <c r="A944" s="74" t="s">
        <v>113</v>
      </c>
      <c r="B944" s="74" t="s">
        <v>284</v>
      </c>
      <c r="C944" s="74" t="s">
        <v>285</v>
      </c>
      <c r="D944" s="74" t="s">
        <v>86</v>
      </c>
      <c r="E944" s="74" t="s">
        <v>89</v>
      </c>
      <c r="F944" s="86" t="s">
        <v>208</v>
      </c>
      <c r="G944" s="74" t="s">
        <v>283</v>
      </c>
      <c r="H944" s="87">
        <v>43951</v>
      </c>
      <c r="I944" s="94">
        <v>2941.7</v>
      </c>
      <c r="J944" s="94">
        <v>2206.28</v>
      </c>
      <c r="K944" s="94">
        <v>735.42</v>
      </c>
    </row>
    <row r="945" spans="1:11">
      <c r="A945" s="74" t="s">
        <v>113</v>
      </c>
      <c r="B945" s="74" t="s">
        <v>286</v>
      </c>
      <c r="C945" s="74" t="s">
        <v>287</v>
      </c>
      <c r="D945" s="74" t="s">
        <v>82</v>
      </c>
      <c r="E945" s="88" t="s">
        <v>85</v>
      </c>
      <c r="F945" s="86" t="s">
        <v>288</v>
      </c>
      <c r="G945" s="74" t="s">
        <v>289</v>
      </c>
      <c r="H945" s="87">
        <v>43951</v>
      </c>
      <c r="I945" s="94">
        <v>4859.5</v>
      </c>
      <c r="J945" s="94">
        <v>3644.63</v>
      </c>
      <c r="K945" s="94">
        <v>1214.87</v>
      </c>
    </row>
    <row r="946" spans="1:11">
      <c r="A946" s="74" t="s">
        <v>113</v>
      </c>
      <c r="B946" s="74" t="s">
        <v>290</v>
      </c>
      <c r="C946" s="74" t="s">
        <v>291</v>
      </c>
      <c r="D946" s="74" t="s">
        <v>82</v>
      </c>
      <c r="E946" s="88" t="s">
        <v>85</v>
      </c>
      <c r="F946" s="86" t="s">
        <v>218</v>
      </c>
      <c r="G946" s="74" t="s">
        <v>289</v>
      </c>
      <c r="H946" s="87">
        <v>43951</v>
      </c>
      <c r="I946" s="94">
        <v>4317.98</v>
      </c>
      <c r="J946" s="94">
        <v>3238.49</v>
      </c>
      <c r="K946" s="94">
        <v>1079.49</v>
      </c>
    </row>
    <row r="947" spans="1:11">
      <c r="A947" s="74" t="s">
        <v>113</v>
      </c>
      <c r="B947" s="74" t="s">
        <v>292</v>
      </c>
      <c r="C947" s="74" t="s">
        <v>293</v>
      </c>
      <c r="D947" s="74" t="s">
        <v>82</v>
      </c>
      <c r="E947" s="88" t="s">
        <v>85</v>
      </c>
      <c r="F947" s="86" t="s">
        <v>225</v>
      </c>
      <c r="G947" s="74" t="s">
        <v>289</v>
      </c>
      <c r="H947" s="87">
        <v>43951</v>
      </c>
      <c r="I947" s="94">
        <v>4058.05</v>
      </c>
      <c r="J947" s="94">
        <v>3043.54</v>
      </c>
      <c r="K947" s="94">
        <v>1014.51</v>
      </c>
    </row>
    <row r="948" spans="1:11">
      <c r="A948" s="74" t="s">
        <v>113</v>
      </c>
      <c r="B948" s="74" t="s">
        <v>294</v>
      </c>
      <c r="C948" s="74" t="s">
        <v>295</v>
      </c>
      <c r="D948" s="74" t="s">
        <v>82</v>
      </c>
      <c r="E948" s="88" t="s">
        <v>85</v>
      </c>
      <c r="F948" s="86" t="s">
        <v>208</v>
      </c>
      <c r="G948" s="74" t="s">
        <v>289</v>
      </c>
      <c r="H948" s="87">
        <v>43951</v>
      </c>
      <c r="I948" s="94">
        <v>3693.9</v>
      </c>
      <c r="J948" s="94">
        <v>2770.43</v>
      </c>
      <c r="K948" s="94">
        <v>923.47</v>
      </c>
    </row>
    <row r="949" spans="1:11">
      <c r="A949" s="74" t="s">
        <v>113</v>
      </c>
      <c r="B949" s="74" t="s">
        <v>296</v>
      </c>
      <c r="C949" s="74" t="s">
        <v>297</v>
      </c>
      <c r="D949" s="74" t="s">
        <v>82</v>
      </c>
      <c r="E949" s="88" t="s">
        <v>85</v>
      </c>
      <c r="F949" s="86" t="s">
        <v>116</v>
      </c>
      <c r="G949" s="74" t="s">
        <v>289</v>
      </c>
      <c r="H949" s="87">
        <v>43951</v>
      </c>
      <c r="I949" s="94">
        <v>3421.72</v>
      </c>
      <c r="J949" s="94">
        <v>2566.29</v>
      </c>
      <c r="K949" s="94">
        <v>855.43</v>
      </c>
    </row>
    <row r="950" spans="1:11">
      <c r="A950" s="74" t="s">
        <v>113</v>
      </c>
      <c r="B950" s="74" t="s">
        <v>298</v>
      </c>
      <c r="C950" s="74" t="s">
        <v>299</v>
      </c>
      <c r="D950" s="74" t="s">
        <v>82</v>
      </c>
      <c r="E950" s="88" t="s">
        <v>85</v>
      </c>
      <c r="F950" s="86" t="s">
        <v>279</v>
      </c>
      <c r="G950" s="74" t="s">
        <v>300</v>
      </c>
      <c r="H950" s="87">
        <v>43951</v>
      </c>
      <c r="I950" s="94">
        <v>6343.19</v>
      </c>
      <c r="J950" s="94">
        <v>4757.39</v>
      </c>
      <c r="K950" s="94">
        <v>1585.8</v>
      </c>
    </row>
    <row r="951" spans="1:11">
      <c r="A951" s="74" t="s">
        <v>113</v>
      </c>
      <c r="B951" s="74" t="s">
        <v>301</v>
      </c>
      <c r="C951" s="74" t="s">
        <v>302</v>
      </c>
      <c r="D951" s="74" t="s">
        <v>82</v>
      </c>
      <c r="E951" s="88" t="s">
        <v>85</v>
      </c>
      <c r="F951" s="86" t="s">
        <v>279</v>
      </c>
      <c r="G951" s="74" t="s">
        <v>303</v>
      </c>
      <c r="H951" s="87">
        <v>43951</v>
      </c>
      <c r="I951" s="94">
        <v>6218.05</v>
      </c>
      <c r="J951" s="94">
        <v>4663.54</v>
      </c>
      <c r="K951" s="94">
        <v>1554.51</v>
      </c>
    </row>
    <row r="952" spans="1:11">
      <c r="A952" s="74" t="s">
        <v>113</v>
      </c>
      <c r="B952" s="74" t="s">
        <v>304</v>
      </c>
      <c r="C952" s="74" t="s">
        <v>305</v>
      </c>
      <c r="D952" s="74" t="s">
        <v>86</v>
      </c>
      <c r="E952" s="74" t="s">
        <v>90</v>
      </c>
      <c r="F952" s="86" t="s">
        <v>306</v>
      </c>
      <c r="G952" s="74" t="s">
        <v>307</v>
      </c>
      <c r="H952" s="87">
        <v>43951</v>
      </c>
      <c r="I952" s="94">
        <v>6807.3</v>
      </c>
      <c r="J952" s="94">
        <v>5105.48</v>
      </c>
      <c r="K952" s="94">
        <v>1701.82</v>
      </c>
    </row>
    <row r="953" spans="1:11">
      <c r="A953" s="74" t="s">
        <v>113</v>
      </c>
      <c r="B953" s="74" t="s">
        <v>114</v>
      </c>
      <c r="C953" s="74" t="s">
        <v>115</v>
      </c>
      <c r="D953" s="74" t="s">
        <v>79</v>
      </c>
      <c r="E953" s="74" t="s">
        <v>80</v>
      </c>
      <c r="F953" s="86" t="s">
        <v>116</v>
      </c>
      <c r="G953" s="74" t="s">
        <v>117</v>
      </c>
      <c r="H953" s="87">
        <v>43981</v>
      </c>
      <c r="I953" s="94">
        <v>3222.36</v>
      </c>
      <c r="J953" s="94">
        <v>2416.77</v>
      </c>
      <c r="K953" s="94">
        <v>805.59</v>
      </c>
    </row>
    <row r="954" spans="1:11">
      <c r="A954" s="74" t="s">
        <v>113</v>
      </c>
      <c r="B954" s="74" t="s">
        <v>118</v>
      </c>
      <c r="C954" s="74" t="s">
        <v>119</v>
      </c>
      <c r="D954" s="74" t="s">
        <v>79</v>
      </c>
      <c r="E954" s="74" t="s">
        <v>80</v>
      </c>
      <c r="F954" s="86" t="s">
        <v>120</v>
      </c>
      <c r="G954" s="74" t="s">
        <v>117</v>
      </c>
      <c r="H954" s="87">
        <v>43981</v>
      </c>
      <c r="I954" s="94">
        <v>2852.76</v>
      </c>
      <c r="J954" s="94">
        <v>2139.57</v>
      </c>
      <c r="K954" s="94">
        <v>713.19</v>
      </c>
    </row>
    <row r="955" spans="1:11">
      <c r="A955" s="74" t="s">
        <v>113</v>
      </c>
      <c r="B955" s="74" t="s">
        <v>121</v>
      </c>
      <c r="C955" s="74" t="s">
        <v>122</v>
      </c>
      <c r="D955" s="74" t="s">
        <v>79</v>
      </c>
      <c r="E955" s="74" t="s">
        <v>80</v>
      </c>
      <c r="F955" s="86" t="s">
        <v>123</v>
      </c>
      <c r="G955" s="74" t="s">
        <v>117</v>
      </c>
      <c r="H955" s="87">
        <v>43981</v>
      </c>
      <c r="I955" s="94">
        <v>2497.86</v>
      </c>
      <c r="J955" s="94">
        <v>1873.4</v>
      </c>
      <c r="K955" s="94">
        <v>624.46</v>
      </c>
    </row>
    <row r="956" spans="1:11">
      <c r="A956" s="74" t="s">
        <v>113</v>
      </c>
      <c r="B956" s="74" t="s">
        <v>124</v>
      </c>
      <c r="C956" s="74" t="s">
        <v>125</v>
      </c>
      <c r="D956" s="74" t="s">
        <v>79</v>
      </c>
      <c r="E956" s="74" t="s">
        <v>80</v>
      </c>
      <c r="F956" s="86" t="s">
        <v>116</v>
      </c>
      <c r="G956" s="74" t="s">
        <v>117</v>
      </c>
      <c r="H956" s="87">
        <v>43981</v>
      </c>
      <c r="I956" s="94">
        <v>3425.42</v>
      </c>
      <c r="J956" s="94">
        <v>2569.07</v>
      </c>
      <c r="K956" s="94">
        <v>856.35</v>
      </c>
    </row>
    <row r="957" spans="1:11">
      <c r="A957" s="74" t="s">
        <v>113</v>
      </c>
      <c r="B957" s="74" t="s">
        <v>126</v>
      </c>
      <c r="C957" s="74" t="s">
        <v>127</v>
      </c>
      <c r="D957" s="74" t="s">
        <v>79</v>
      </c>
      <c r="E957" s="74" t="s">
        <v>80</v>
      </c>
      <c r="F957" s="86" t="s">
        <v>120</v>
      </c>
      <c r="G957" s="74" t="s">
        <v>117</v>
      </c>
      <c r="H957" s="87">
        <v>43981</v>
      </c>
      <c r="I957" s="94">
        <v>2894.76</v>
      </c>
      <c r="J957" s="94">
        <v>2171.07</v>
      </c>
      <c r="K957" s="94">
        <v>723.69</v>
      </c>
    </row>
    <row r="958" spans="1:11">
      <c r="A958" s="74" t="s">
        <v>113</v>
      </c>
      <c r="B958" s="74" t="s">
        <v>128</v>
      </c>
      <c r="C958" s="74" t="s">
        <v>129</v>
      </c>
      <c r="D958" s="74" t="s">
        <v>79</v>
      </c>
      <c r="E958" s="74" t="s">
        <v>80</v>
      </c>
      <c r="F958" s="86" t="s">
        <v>123</v>
      </c>
      <c r="G958" s="74" t="s">
        <v>117</v>
      </c>
      <c r="H958" s="87">
        <v>43981</v>
      </c>
      <c r="I958" s="94">
        <v>2467.95</v>
      </c>
      <c r="J958" s="94">
        <v>1850.96</v>
      </c>
      <c r="K958" s="94">
        <v>616.99</v>
      </c>
    </row>
    <row r="959" spans="1:11">
      <c r="A959" s="74" t="s">
        <v>113</v>
      </c>
      <c r="B959" s="74" t="s">
        <v>130</v>
      </c>
      <c r="C959" s="74" t="s">
        <v>131</v>
      </c>
      <c r="D959" s="74" t="s">
        <v>79</v>
      </c>
      <c r="E959" s="74" t="s">
        <v>80</v>
      </c>
      <c r="F959" s="86" t="s">
        <v>116</v>
      </c>
      <c r="G959" s="74" t="s">
        <v>117</v>
      </c>
      <c r="H959" s="87">
        <v>43981</v>
      </c>
      <c r="I959" s="94">
        <v>3371.36</v>
      </c>
      <c r="J959" s="94">
        <v>2528.52</v>
      </c>
      <c r="K959" s="94">
        <v>842.84</v>
      </c>
    </row>
    <row r="960" spans="1:11">
      <c r="A960" s="74" t="s">
        <v>113</v>
      </c>
      <c r="B960" s="74" t="s">
        <v>132</v>
      </c>
      <c r="C960" s="74" t="s">
        <v>133</v>
      </c>
      <c r="D960" s="74" t="s">
        <v>79</v>
      </c>
      <c r="E960" s="74" t="s">
        <v>80</v>
      </c>
      <c r="F960" s="86" t="s">
        <v>120</v>
      </c>
      <c r="G960" s="74" t="s">
        <v>117</v>
      </c>
      <c r="H960" s="87">
        <v>43981</v>
      </c>
      <c r="I960" s="94">
        <v>2935.62</v>
      </c>
      <c r="J960" s="94">
        <v>2201.72</v>
      </c>
      <c r="K960" s="94">
        <v>733.9</v>
      </c>
    </row>
    <row r="961" spans="1:11">
      <c r="A961" s="74" t="s">
        <v>113</v>
      </c>
      <c r="B961" s="74" t="s">
        <v>134</v>
      </c>
      <c r="C961" s="74" t="s">
        <v>135</v>
      </c>
      <c r="D961" s="74" t="s">
        <v>79</v>
      </c>
      <c r="E961" s="74" t="s">
        <v>80</v>
      </c>
      <c r="F961" s="86" t="s">
        <v>123</v>
      </c>
      <c r="G961" s="74" t="s">
        <v>117</v>
      </c>
      <c r="H961" s="87">
        <v>43981</v>
      </c>
      <c r="I961" s="94">
        <v>2514.37</v>
      </c>
      <c r="J961" s="94">
        <v>1885.78</v>
      </c>
      <c r="K961" s="94">
        <v>628.59</v>
      </c>
    </row>
    <row r="962" spans="1:11">
      <c r="A962" s="74" t="s">
        <v>113</v>
      </c>
      <c r="B962" s="74" t="s">
        <v>136</v>
      </c>
      <c r="C962" s="74" t="s">
        <v>137</v>
      </c>
      <c r="D962" s="74" t="s">
        <v>79</v>
      </c>
      <c r="E962" s="74" t="s">
        <v>80</v>
      </c>
      <c r="F962" s="86" t="s">
        <v>116</v>
      </c>
      <c r="G962" s="74" t="s">
        <v>138</v>
      </c>
      <c r="H962" s="87">
        <v>43981</v>
      </c>
      <c r="I962" s="94">
        <v>3403.78</v>
      </c>
      <c r="J962" s="94">
        <v>2552.84</v>
      </c>
      <c r="K962" s="94">
        <v>850.94</v>
      </c>
    </row>
    <row r="963" spans="1:11">
      <c r="A963" s="74" t="s">
        <v>113</v>
      </c>
      <c r="B963" s="74" t="s">
        <v>139</v>
      </c>
      <c r="C963" s="74" t="s">
        <v>140</v>
      </c>
      <c r="D963" s="74" t="s">
        <v>79</v>
      </c>
      <c r="E963" s="74" t="s">
        <v>80</v>
      </c>
      <c r="F963" s="86" t="s">
        <v>120</v>
      </c>
      <c r="G963" s="74" t="s">
        <v>138</v>
      </c>
      <c r="H963" s="87">
        <v>43981</v>
      </c>
      <c r="I963" s="94">
        <v>2745.26</v>
      </c>
      <c r="J963" s="94">
        <v>2058.95</v>
      </c>
      <c r="K963" s="94">
        <v>686.31</v>
      </c>
    </row>
    <row r="964" spans="1:11">
      <c r="A964" s="74" t="s">
        <v>113</v>
      </c>
      <c r="B964" s="74" t="s">
        <v>141</v>
      </c>
      <c r="C964" s="74" t="s">
        <v>142</v>
      </c>
      <c r="D964" s="74" t="s">
        <v>79</v>
      </c>
      <c r="E964" s="74" t="s">
        <v>80</v>
      </c>
      <c r="F964" s="86" t="s">
        <v>123</v>
      </c>
      <c r="G964" s="74" t="s">
        <v>138</v>
      </c>
      <c r="H964" s="87">
        <v>43981</v>
      </c>
      <c r="I964" s="94">
        <v>2357.64</v>
      </c>
      <c r="J964" s="94">
        <v>1768.23</v>
      </c>
      <c r="K964" s="94">
        <v>589.41</v>
      </c>
    </row>
    <row r="965" spans="1:11">
      <c r="A965" s="74" t="s">
        <v>113</v>
      </c>
      <c r="B965" s="74" t="s">
        <v>143</v>
      </c>
      <c r="C965" s="74" t="s">
        <v>144</v>
      </c>
      <c r="D965" s="74" t="s">
        <v>79</v>
      </c>
      <c r="E965" s="74" t="s">
        <v>80</v>
      </c>
      <c r="F965" s="86" t="s">
        <v>145</v>
      </c>
      <c r="G965" s="74" t="s">
        <v>146</v>
      </c>
      <c r="H965" s="87">
        <v>43981</v>
      </c>
      <c r="I965" s="94">
        <v>7711.29</v>
      </c>
      <c r="J965" s="94">
        <v>5783.47</v>
      </c>
      <c r="K965" s="94">
        <v>1927.82</v>
      </c>
    </row>
    <row r="966" spans="1:11">
      <c r="A966" s="74" t="s">
        <v>113</v>
      </c>
      <c r="B966" s="74" t="s">
        <v>147</v>
      </c>
      <c r="C966" s="74" t="s">
        <v>148</v>
      </c>
      <c r="D966" s="74" t="s">
        <v>79</v>
      </c>
      <c r="E966" s="74" t="s">
        <v>80</v>
      </c>
      <c r="F966" s="86" t="s">
        <v>149</v>
      </c>
      <c r="G966" s="74" t="s">
        <v>150</v>
      </c>
      <c r="H966" s="87">
        <v>43981</v>
      </c>
      <c r="I966" s="94">
        <v>7284.66</v>
      </c>
      <c r="J966" s="94">
        <v>5463.5</v>
      </c>
      <c r="K966" s="94">
        <v>1821.16</v>
      </c>
    </row>
    <row r="967" spans="1:11">
      <c r="A967" s="74" t="s">
        <v>113</v>
      </c>
      <c r="B967" s="74" t="s">
        <v>151</v>
      </c>
      <c r="C967" s="74" t="s">
        <v>152</v>
      </c>
      <c r="D967" s="74" t="s">
        <v>79</v>
      </c>
      <c r="E967" s="74" t="s">
        <v>81</v>
      </c>
      <c r="F967" s="86" t="s">
        <v>123</v>
      </c>
      <c r="G967" s="74" t="s">
        <v>153</v>
      </c>
      <c r="H967" s="87">
        <v>43981</v>
      </c>
      <c r="I967" s="94">
        <v>2558.23</v>
      </c>
      <c r="J967" s="94">
        <v>1918.67</v>
      </c>
      <c r="K967" s="94">
        <v>639.56</v>
      </c>
    </row>
    <row r="968" spans="1:11">
      <c r="A968" s="74" t="s">
        <v>113</v>
      </c>
      <c r="B968" s="74" t="s">
        <v>154</v>
      </c>
      <c r="C968" s="74" t="s">
        <v>155</v>
      </c>
      <c r="D968" s="74" t="s">
        <v>79</v>
      </c>
      <c r="E968" s="74" t="s">
        <v>81</v>
      </c>
      <c r="F968" s="86" t="s">
        <v>156</v>
      </c>
      <c r="G968" s="74" t="s">
        <v>157</v>
      </c>
      <c r="H968" s="87">
        <v>43981</v>
      </c>
      <c r="I968" s="94">
        <v>2105.7</v>
      </c>
      <c r="J968" s="94">
        <v>1579.28</v>
      </c>
      <c r="K968" s="94">
        <v>526.42</v>
      </c>
    </row>
    <row r="969" spans="1:11">
      <c r="A969" s="74" t="s">
        <v>113</v>
      </c>
      <c r="B969" s="74" t="s">
        <v>158</v>
      </c>
      <c r="C969" s="74" t="s">
        <v>159</v>
      </c>
      <c r="D969" s="74" t="s">
        <v>79</v>
      </c>
      <c r="E969" s="74" t="s">
        <v>81</v>
      </c>
      <c r="F969" s="86" t="s">
        <v>160</v>
      </c>
      <c r="G969" s="74" t="s">
        <v>161</v>
      </c>
      <c r="H969" s="87">
        <v>43981</v>
      </c>
      <c r="I969" s="94">
        <v>1608.94</v>
      </c>
      <c r="J969" s="94">
        <v>1206.71</v>
      </c>
      <c r="K969" s="94">
        <v>402.23</v>
      </c>
    </row>
    <row r="970" spans="1:11">
      <c r="A970" s="74" t="s">
        <v>113</v>
      </c>
      <c r="B970" s="74" t="s">
        <v>162</v>
      </c>
      <c r="C970" s="74" t="s">
        <v>163</v>
      </c>
      <c r="D970" s="74" t="s">
        <v>79</v>
      </c>
      <c r="E970" s="74" t="s">
        <v>81</v>
      </c>
      <c r="F970" s="86" t="s">
        <v>123</v>
      </c>
      <c r="G970" s="74" t="s">
        <v>153</v>
      </c>
      <c r="H970" s="87">
        <v>43981</v>
      </c>
      <c r="I970" s="94">
        <v>2554.18</v>
      </c>
      <c r="J970" s="94">
        <v>1915.64</v>
      </c>
      <c r="K970" s="94">
        <v>638.54</v>
      </c>
    </row>
    <row r="971" spans="1:11">
      <c r="A971" s="74" t="s">
        <v>113</v>
      </c>
      <c r="B971" s="74" t="s">
        <v>164</v>
      </c>
      <c r="C971" s="74" t="s">
        <v>165</v>
      </c>
      <c r="D971" s="74" t="s">
        <v>79</v>
      </c>
      <c r="E971" s="74" t="s">
        <v>81</v>
      </c>
      <c r="F971" s="86" t="s">
        <v>156</v>
      </c>
      <c r="G971" s="74" t="s">
        <v>157</v>
      </c>
      <c r="H971" s="87">
        <v>43981</v>
      </c>
      <c r="I971" s="94">
        <v>2015.05</v>
      </c>
      <c r="J971" s="94">
        <v>1511.29</v>
      </c>
      <c r="K971" s="94">
        <v>503.76</v>
      </c>
    </row>
    <row r="972" spans="1:11">
      <c r="A972" s="74" t="s">
        <v>113</v>
      </c>
      <c r="B972" s="74" t="s">
        <v>166</v>
      </c>
      <c r="C972" s="74" t="s">
        <v>167</v>
      </c>
      <c r="D972" s="74" t="s">
        <v>79</v>
      </c>
      <c r="E972" s="74" t="s">
        <v>81</v>
      </c>
      <c r="F972" s="86" t="s">
        <v>160</v>
      </c>
      <c r="G972" s="74" t="s">
        <v>161</v>
      </c>
      <c r="H972" s="87">
        <v>43981</v>
      </c>
      <c r="I972" s="94">
        <v>1689.56</v>
      </c>
      <c r="J972" s="94">
        <v>1267.17</v>
      </c>
      <c r="K972" s="94">
        <v>422.39</v>
      </c>
    </row>
    <row r="973" spans="1:11">
      <c r="A973" s="74" t="s">
        <v>113</v>
      </c>
      <c r="B973" s="74" t="s">
        <v>168</v>
      </c>
      <c r="C973" s="74" t="s">
        <v>169</v>
      </c>
      <c r="D973" s="74" t="s">
        <v>79</v>
      </c>
      <c r="E973" s="74" t="s">
        <v>81</v>
      </c>
      <c r="F973" s="86" t="s">
        <v>123</v>
      </c>
      <c r="G973" s="74" t="s">
        <v>153</v>
      </c>
      <c r="H973" s="87">
        <v>43981</v>
      </c>
      <c r="I973" s="94">
        <v>2547.41</v>
      </c>
      <c r="J973" s="94">
        <v>1910.56</v>
      </c>
      <c r="K973" s="94">
        <v>636.85</v>
      </c>
    </row>
    <row r="974" spans="1:11">
      <c r="A974" s="74" t="s">
        <v>113</v>
      </c>
      <c r="B974" s="74" t="s">
        <v>170</v>
      </c>
      <c r="C974" s="74" t="s">
        <v>171</v>
      </c>
      <c r="D974" s="74" t="s">
        <v>79</v>
      </c>
      <c r="E974" s="74" t="s">
        <v>81</v>
      </c>
      <c r="F974" s="86" t="s">
        <v>156</v>
      </c>
      <c r="G974" s="74" t="s">
        <v>157</v>
      </c>
      <c r="H974" s="87">
        <v>43981</v>
      </c>
      <c r="I974" s="94">
        <v>1961.41</v>
      </c>
      <c r="J974" s="94">
        <v>1471.06</v>
      </c>
      <c r="K974" s="94">
        <v>490.35</v>
      </c>
    </row>
    <row r="975" spans="1:11">
      <c r="A975" s="74" t="s">
        <v>113</v>
      </c>
      <c r="B975" s="74" t="s">
        <v>172</v>
      </c>
      <c r="C975" s="74" t="s">
        <v>173</v>
      </c>
      <c r="D975" s="74" t="s">
        <v>79</v>
      </c>
      <c r="E975" s="74" t="s">
        <v>81</v>
      </c>
      <c r="F975" s="86" t="s">
        <v>160</v>
      </c>
      <c r="G975" s="74" t="s">
        <v>161</v>
      </c>
      <c r="H975" s="87">
        <v>43981</v>
      </c>
      <c r="I975" s="94">
        <v>1705.29</v>
      </c>
      <c r="J975" s="94">
        <v>1278.97</v>
      </c>
      <c r="K975" s="94">
        <v>426.32</v>
      </c>
    </row>
    <row r="976" spans="1:11">
      <c r="A976" s="74" t="s">
        <v>113</v>
      </c>
      <c r="B976" s="74" t="s">
        <v>174</v>
      </c>
      <c r="C976" s="74" t="s">
        <v>175</v>
      </c>
      <c r="D976" s="74" t="s">
        <v>79</v>
      </c>
      <c r="E976" s="74" t="s">
        <v>81</v>
      </c>
      <c r="F976" s="86" t="s">
        <v>176</v>
      </c>
      <c r="G976" s="74" t="s">
        <v>177</v>
      </c>
      <c r="H976" s="87">
        <v>43981</v>
      </c>
      <c r="I976" s="94">
        <v>1204.03</v>
      </c>
      <c r="J976" s="94">
        <v>903.02</v>
      </c>
      <c r="K976" s="94">
        <v>301.01</v>
      </c>
    </row>
    <row r="977" spans="1:11">
      <c r="A977" s="74" t="s">
        <v>113</v>
      </c>
      <c r="B977" s="74" t="s">
        <v>178</v>
      </c>
      <c r="C977" s="74" t="s">
        <v>179</v>
      </c>
      <c r="D977" s="74" t="s">
        <v>79</v>
      </c>
      <c r="E977" s="74" t="s">
        <v>81</v>
      </c>
      <c r="F977" s="86" t="s">
        <v>180</v>
      </c>
      <c r="G977" s="74" t="s">
        <v>177</v>
      </c>
      <c r="H977" s="87">
        <v>43981</v>
      </c>
      <c r="I977" s="94">
        <v>855.8</v>
      </c>
      <c r="J977" s="94">
        <v>641.85</v>
      </c>
      <c r="K977" s="94">
        <v>213.95</v>
      </c>
    </row>
    <row r="978" spans="1:11">
      <c r="A978" s="74" t="s">
        <v>113</v>
      </c>
      <c r="B978" s="74" t="s">
        <v>181</v>
      </c>
      <c r="C978" s="74" t="s">
        <v>182</v>
      </c>
      <c r="D978" s="74" t="s">
        <v>79</v>
      </c>
      <c r="E978" s="74" t="s">
        <v>81</v>
      </c>
      <c r="F978" s="86" t="s">
        <v>183</v>
      </c>
      <c r="G978" s="74" t="s">
        <v>177</v>
      </c>
      <c r="H978" s="87">
        <v>43981</v>
      </c>
      <c r="I978" s="94">
        <v>397.67</v>
      </c>
      <c r="J978" s="94">
        <v>298.25</v>
      </c>
      <c r="K978" s="94">
        <v>99.42</v>
      </c>
    </row>
    <row r="979" spans="1:11">
      <c r="A979" s="74" t="s">
        <v>113</v>
      </c>
      <c r="B979" s="74" t="s">
        <v>184</v>
      </c>
      <c r="C979" s="74" t="s">
        <v>185</v>
      </c>
      <c r="D979" s="74" t="s">
        <v>79</v>
      </c>
      <c r="E979" s="74" t="s">
        <v>81</v>
      </c>
      <c r="F979" s="86" t="s">
        <v>176</v>
      </c>
      <c r="G979" s="74" t="s">
        <v>177</v>
      </c>
      <c r="H979" s="87">
        <v>43981</v>
      </c>
      <c r="I979" s="94">
        <v>1282.44</v>
      </c>
      <c r="J979" s="94">
        <v>961.83</v>
      </c>
      <c r="K979" s="94">
        <v>320.61</v>
      </c>
    </row>
    <row r="980" spans="1:11">
      <c r="A980" s="74" t="s">
        <v>113</v>
      </c>
      <c r="B980" s="74" t="s">
        <v>186</v>
      </c>
      <c r="C980" s="74" t="s">
        <v>187</v>
      </c>
      <c r="D980" s="74" t="s">
        <v>79</v>
      </c>
      <c r="E980" s="74" t="s">
        <v>81</v>
      </c>
      <c r="F980" s="86" t="s">
        <v>180</v>
      </c>
      <c r="G980" s="74" t="s">
        <v>177</v>
      </c>
      <c r="H980" s="87">
        <v>43981</v>
      </c>
      <c r="I980" s="94">
        <v>825.01</v>
      </c>
      <c r="J980" s="94">
        <v>618.76</v>
      </c>
      <c r="K980" s="94">
        <v>206.25</v>
      </c>
    </row>
    <row r="981" spans="1:11">
      <c r="A981" s="74" t="s">
        <v>113</v>
      </c>
      <c r="B981" s="74" t="s">
        <v>188</v>
      </c>
      <c r="C981" s="74" t="s">
        <v>189</v>
      </c>
      <c r="D981" s="74" t="s">
        <v>79</v>
      </c>
      <c r="E981" s="74" t="s">
        <v>81</v>
      </c>
      <c r="F981" s="86" t="s">
        <v>183</v>
      </c>
      <c r="G981" s="74" t="s">
        <v>177</v>
      </c>
      <c r="H981" s="87">
        <v>43981</v>
      </c>
      <c r="I981" s="94">
        <v>406.73</v>
      </c>
      <c r="J981" s="94">
        <v>305.05</v>
      </c>
      <c r="K981" s="94">
        <v>101.68</v>
      </c>
    </row>
    <row r="982" spans="1:11">
      <c r="A982" s="74" t="s">
        <v>113</v>
      </c>
      <c r="B982" s="74" t="s">
        <v>190</v>
      </c>
      <c r="C982" s="74" t="s">
        <v>191</v>
      </c>
      <c r="D982" s="74" t="s">
        <v>79</v>
      </c>
      <c r="E982" s="74" t="s">
        <v>81</v>
      </c>
      <c r="F982" s="86" t="s">
        <v>176</v>
      </c>
      <c r="G982" s="74" t="s">
        <v>177</v>
      </c>
      <c r="H982" s="87">
        <v>43981</v>
      </c>
      <c r="I982" s="94">
        <v>1174.43</v>
      </c>
      <c r="J982" s="94">
        <v>880.82</v>
      </c>
      <c r="K982" s="94">
        <v>293.61</v>
      </c>
    </row>
    <row r="983" spans="1:11">
      <c r="A983" s="74" t="s">
        <v>113</v>
      </c>
      <c r="B983" s="74" t="s">
        <v>192</v>
      </c>
      <c r="C983" s="74" t="s">
        <v>193</v>
      </c>
      <c r="D983" s="74" t="s">
        <v>79</v>
      </c>
      <c r="E983" s="74" t="s">
        <v>81</v>
      </c>
      <c r="F983" s="86" t="s">
        <v>180</v>
      </c>
      <c r="G983" s="74" t="s">
        <v>177</v>
      </c>
      <c r="H983" s="87">
        <v>43981</v>
      </c>
      <c r="I983" s="94">
        <v>837.78</v>
      </c>
      <c r="J983" s="94">
        <v>628.34</v>
      </c>
      <c r="K983" s="94">
        <v>209.44</v>
      </c>
    </row>
    <row r="984" spans="1:11">
      <c r="A984" s="74" t="s">
        <v>113</v>
      </c>
      <c r="B984" s="74" t="s">
        <v>194</v>
      </c>
      <c r="C984" s="74" t="s">
        <v>195</v>
      </c>
      <c r="D984" s="74" t="s">
        <v>79</v>
      </c>
      <c r="E984" s="74" t="s">
        <v>81</v>
      </c>
      <c r="F984" s="86" t="s">
        <v>183</v>
      </c>
      <c r="G984" s="74" t="s">
        <v>177</v>
      </c>
      <c r="H984" s="87">
        <v>43981</v>
      </c>
      <c r="I984" s="94">
        <v>427.64</v>
      </c>
      <c r="J984" s="94">
        <v>320.73</v>
      </c>
      <c r="K984" s="94">
        <v>106.91</v>
      </c>
    </row>
    <row r="985" spans="1:11">
      <c r="A985" s="74" t="s">
        <v>113</v>
      </c>
      <c r="B985" s="74" t="s">
        <v>196</v>
      </c>
      <c r="C985" s="74" t="s">
        <v>197</v>
      </c>
      <c r="D985" s="74" t="s">
        <v>79</v>
      </c>
      <c r="E985" s="74" t="s">
        <v>81</v>
      </c>
      <c r="F985" s="86" t="s">
        <v>176</v>
      </c>
      <c r="G985" s="74" t="s">
        <v>177</v>
      </c>
      <c r="H985" s="87">
        <v>43981</v>
      </c>
      <c r="I985" s="94">
        <v>1213.26</v>
      </c>
      <c r="J985" s="94">
        <v>909.95</v>
      </c>
      <c r="K985" s="94">
        <v>303.31</v>
      </c>
    </row>
    <row r="986" spans="1:11">
      <c r="A986" s="74" t="s">
        <v>113</v>
      </c>
      <c r="B986" s="74" t="s">
        <v>198</v>
      </c>
      <c r="C986" s="74" t="s">
        <v>199</v>
      </c>
      <c r="D986" s="74" t="s">
        <v>79</v>
      </c>
      <c r="E986" s="74" t="s">
        <v>81</v>
      </c>
      <c r="F986" s="86" t="s">
        <v>180</v>
      </c>
      <c r="G986" s="74" t="s">
        <v>177</v>
      </c>
      <c r="H986" s="87">
        <v>43981</v>
      </c>
      <c r="I986" s="94">
        <v>795.18</v>
      </c>
      <c r="J986" s="94">
        <v>596.39</v>
      </c>
      <c r="K986" s="94">
        <v>198.79</v>
      </c>
    </row>
    <row r="987" spans="1:11">
      <c r="A987" s="74" t="s">
        <v>113</v>
      </c>
      <c r="B987" s="74" t="s">
        <v>200</v>
      </c>
      <c r="C987" s="74" t="s">
        <v>201</v>
      </c>
      <c r="D987" s="74" t="s">
        <v>79</v>
      </c>
      <c r="E987" s="74" t="s">
        <v>81</v>
      </c>
      <c r="F987" s="86" t="s">
        <v>183</v>
      </c>
      <c r="G987" s="74" t="s">
        <v>177</v>
      </c>
      <c r="H987" s="87">
        <v>43981</v>
      </c>
      <c r="I987" s="94">
        <v>408.27</v>
      </c>
      <c r="J987" s="94">
        <v>306.2</v>
      </c>
      <c r="K987" s="94">
        <v>102.07</v>
      </c>
    </row>
    <row r="988" spans="1:11">
      <c r="A988" s="74" t="s">
        <v>113</v>
      </c>
      <c r="B988" s="74" t="s">
        <v>202</v>
      </c>
      <c r="C988" s="74" t="s">
        <v>203</v>
      </c>
      <c r="D988" s="74" t="s">
        <v>79</v>
      </c>
      <c r="E988" s="74" t="s">
        <v>81</v>
      </c>
      <c r="F988" s="86" t="s">
        <v>204</v>
      </c>
      <c r="G988" s="74" t="s">
        <v>205</v>
      </c>
      <c r="H988" s="87">
        <v>43981</v>
      </c>
      <c r="I988" s="94">
        <v>7169.61</v>
      </c>
      <c r="J988" s="94">
        <v>5377.21</v>
      </c>
      <c r="K988" s="94">
        <v>1792.4</v>
      </c>
    </row>
    <row r="989" spans="1:11">
      <c r="A989" s="74" t="s">
        <v>113</v>
      </c>
      <c r="B989" s="74" t="s">
        <v>206</v>
      </c>
      <c r="C989" s="74" t="s">
        <v>207</v>
      </c>
      <c r="D989" s="88" t="s">
        <v>82</v>
      </c>
      <c r="E989" s="88" t="s">
        <v>84</v>
      </c>
      <c r="F989" s="86" t="s">
        <v>208</v>
      </c>
      <c r="G989" s="74" t="s">
        <v>209</v>
      </c>
      <c r="H989" s="87">
        <v>43981</v>
      </c>
      <c r="I989" s="94">
        <v>3700.27</v>
      </c>
      <c r="J989" s="94">
        <v>2775.2</v>
      </c>
      <c r="K989" s="94">
        <v>925.07</v>
      </c>
    </row>
    <row r="990" spans="1:11">
      <c r="A990" s="74" t="s">
        <v>113</v>
      </c>
      <c r="B990" s="74" t="s">
        <v>210</v>
      </c>
      <c r="C990" s="74" t="s">
        <v>211</v>
      </c>
      <c r="D990" s="88" t="s">
        <v>82</v>
      </c>
      <c r="E990" s="88" t="s">
        <v>84</v>
      </c>
      <c r="F990" s="86" t="s">
        <v>116</v>
      </c>
      <c r="G990" s="74" t="s">
        <v>209</v>
      </c>
      <c r="H990" s="87">
        <v>43981</v>
      </c>
      <c r="I990" s="94">
        <v>3405.53</v>
      </c>
      <c r="J990" s="94">
        <v>2554.15</v>
      </c>
      <c r="K990" s="94">
        <v>851.38</v>
      </c>
    </row>
    <row r="991" spans="1:11">
      <c r="A991" s="74" t="s">
        <v>113</v>
      </c>
      <c r="B991" s="74" t="s">
        <v>212</v>
      </c>
      <c r="C991" s="74" t="s">
        <v>213</v>
      </c>
      <c r="D991" s="88" t="s">
        <v>82</v>
      </c>
      <c r="E991" s="88" t="s">
        <v>84</v>
      </c>
      <c r="F991" s="86" t="s">
        <v>208</v>
      </c>
      <c r="G991" s="74" t="s">
        <v>209</v>
      </c>
      <c r="H991" s="87">
        <v>43981</v>
      </c>
      <c r="I991" s="94">
        <v>3835.03</v>
      </c>
      <c r="J991" s="94">
        <v>2876.27</v>
      </c>
      <c r="K991" s="94">
        <v>958.76</v>
      </c>
    </row>
    <row r="992" spans="1:11">
      <c r="A992" s="74" t="s">
        <v>113</v>
      </c>
      <c r="B992" s="74" t="s">
        <v>214</v>
      </c>
      <c r="C992" s="74" t="s">
        <v>215</v>
      </c>
      <c r="D992" s="88" t="s">
        <v>82</v>
      </c>
      <c r="E992" s="88" t="s">
        <v>84</v>
      </c>
      <c r="F992" s="86" t="s">
        <v>116</v>
      </c>
      <c r="G992" s="74" t="s">
        <v>209</v>
      </c>
      <c r="H992" s="87">
        <v>43981</v>
      </c>
      <c r="I992" s="94">
        <v>3253.36</v>
      </c>
      <c r="J992" s="94">
        <v>2440.02</v>
      </c>
      <c r="K992" s="94">
        <v>813.34</v>
      </c>
    </row>
    <row r="993" spans="1:11">
      <c r="A993" s="74" t="s">
        <v>113</v>
      </c>
      <c r="B993" s="74" t="s">
        <v>216</v>
      </c>
      <c r="C993" s="74" t="s">
        <v>217</v>
      </c>
      <c r="D993" s="88" t="s">
        <v>82</v>
      </c>
      <c r="E993" s="88" t="s">
        <v>84</v>
      </c>
      <c r="F993" s="86" t="s">
        <v>218</v>
      </c>
      <c r="G993" s="74" t="s">
        <v>219</v>
      </c>
      <c r="H993" s="87">
        <v>43981</v>
      </c>
      <c r="I993" s="94">
        <v>4415.21</v>
      </c>
      <c r="J993" s="94">
        <v>3311.41</v>
      </c>
      <c r="K993" s="94">
        <v>1103.8</v>
      </c>
    </row>
    <row r="994" spans="1:11">
      <c r="A994" s="74" t="s">
        <v>113</v>
      </c>
      <c r="B994" s="74" t="s">
        <v>220</v>
      </c>
      <c r="C994" s="74" t="s">
        <v>221</v>
      </c>
      <c r="D994" s="88" t="s">
        <v>82</v>
      </c>
      <c r="E994" s="74" t="s">
        <v>83</v>
      </c>
      <c r="F994" s="86" t="s">
        <v>218</v>
      </c>
      <c r="G994" s="74" t="s">
        <v>222</v>
      </c>
      <c r="H994" s="87">
        <v>43981</v>
      </c>
      <c r="I994" s="94">
        <v>4369.36</v>
      </c>
      <c r="J994" s="94">
        <v>3277.02</v>
      </c>
      <c r="K994" s="94">
        <v>1092.34</v>
      </c>
    </row>
    <row r="995" spans="1:11">
      <c r="A995" s="74" t="s">
        <v>113</v>
      </c>
      <c r="B995" s="74" t="s">
        <v>223</v>
      </c>
      <c r="C995" s="74" t="s">
        <v>224</v>
      </c>
      <c r="D995" s="88" t="s">
        <v>82</v>
      </c>
      <c r="E995" s="74" t="s">
        <v>83</v>
      </c>
      <c r="F995" s="86" t="s">
        <v>225</v>
      </c>
      <c r="G995" s="74" t="s">
        <v>209</v>
      </c>
      <c r="H995" s="87">
        <v>43981</v>
      </c>
      <c r="I995" s="94">
        <v>4011.27</v>
      </c>
      <c r="J995" s="94">
        <v>3008.45</v>
      </c>
      <c r="K995" s="94">
        <v>1002.82</v>
      </c>
    </row>
    <row r="996" spans="1:11">
      <c r="A996" s="74" t="s">
        <v>113</v>
      </c>
      <c r="B996" s="74" t="s">
        <v>226</v>
      </c>
      <c r="C996" s="74" t="s">
        <v>227</v>
      </c>
      <c r="D996" s="88" t="s">
        <v>82</v>
      </c>
      <c r="E996" s="74" t="s">
        <v>83</v>
      </c>
      <c r="F996" s="86" t="s">
        <v>208</v>
      </c>
      <c r="G996" s="74" t="s">
        <v>209</v>
      </c>
      <c r="H996" s="87">
        <v>43981</v>
      </c>
      <c r="I996" s="94">
        <v>3790.17</v>
      </c>
      <c r="J996" s="94">
        <v>2842.63</v>
      </c>
      <c r="K996" s="94">
        <v>947.54</v>
      </c>
    </row>
    <row r="997" spans="1:11">
      <c r="A997" s="74" t="s">
        <v>113</v>
      </c>
      <c r="B997" s="74" t="s">
        <v>228</v>
      </c>
      <c r="C997" s="74" t="s">
        <v>229</v>
      </c>
      <c r="D997" s="88" t="s">
        <v>82</v>
      </c>
      <c r="E997" s="74" t="s">
        <v>83</v>
      </c>
      <c r="F997" s="86" t="s">
        <v>116</v>
      </c>
      <c r="G997" s="74" t="s">
        <v>209</v>
      </c>
      <c r="H997" s="87">
        <v>43981</v>
      </c>
      <c r="I997" s="94">
        <v>3381.65</v>
      </c>
      <c r="J997" s="94">
        <v>2536.24</v>
      </c>
      <c r="K997" s="94">
        <v>845.41</v>
      </c>
    </row>
    <row r="998" spans="1:11">
      <c r="A998" s="74" t="s">
        <v>113</v>
      </c>
      <c r="B998" s="74" t="s">
        <v>230</v>
      </c>
      <c r="C998" s="74" t="s">
        <v>231</v>
      </c>
      <c r="D998" s="88" t="s">
        <v>82</v>
      </c>
      <c r="E998" s="74" t="s">
        <v>83</v>
      </c>
      <c r="F998" s="86" t="s">
        <v>120</v>
      </c>
      <c r="G998" s="74" t="s">
        <v>209</v>
      </c>
      <c r="H998" s="87">
        <v>43981</v>
      </c>
      <c r="I998" s="94">
        <v>2926.98</v>
      </c>
      <c r="J998" s="94">
        <v>2195.24</v>
      </c>
      <c r="K998" s="94">
        <v>731.74</v>
      </c>
    </row>
    <row r="999" spans="1:11">
      <c r="A999" s="74" t="s">
        <v>113</v>
      </c>
      <c r="B999" s="74" t="s">
        <v>232</v>
      </c>
      <c r="C999" s="74" t="s">
        <v>233</v>
      </c>
      <c r="D999" s="88" t="s">
        <v>82</v>
      </c>
      <c r="E999" s="74" t="s">
        <v>83</v>
      </c>
      <c r="F999" s="86" t="s">
        <v>123</v>
      </c>
      <c r="G999" s="74" t="s">
        <v>209</v>
      </c>
      <c r="H999" s="87">
        <v>43981</v>
      </c>
      <c r="I999" s="94">
        <v>2407.91</v>
      </c>
      <c r="J999" s="94">
        <v>1805.93</v>
      </c>
      <c r="K999" s="94">
        <v>601.98</v>
      </c>
    </row>
    <row r="1000" spans="1:11">
      <c r="A1000" s="74" t="s">
        <v>113</v>
      </c>
      <c r="B1000" s="74" t="s">
        <v>234</v>
      </c>
      <c r="C1000" s="74" t="s">
        <v>235</v>
      </c>
      <c r="D1000" s="88" t="s">
        <v>82</v>
      </c>
      <c r="E1000" s="74" t="s">
        <v>83</v>
      </c>
      <c r="F1000" s="86" t="s">
        <v>116</v>
      </c>
      <c r="G1000" s="74" t="s">
        <v>209</v>
      </c>
      <c r="H1000" s="87">
        <v>43981</v>
      </c>
      <c r="I1000" s="94">
        <v>3169.07</v>
      </c>
      <c r="J1000" s="94">
        <v>2376.8</v>
      </c>
      <c r="K1000" s="94">
        <v>792.27</v>
      </c>
    </row>
    <row r="1001" spans="1:11">
      <c r="A1001" s="74" t="s">
        <v>113</v>
      </c>
      <c r="B1001" s="74" t="s">
        <v>236</v>
      </c>
      <c r="C1001" s="74" t="s">
        <v>237</v>
      </c>
      <c r="D1001" s="88" t="s">
        <v>82</v>
      </c>
      <c r="E1001" s="74" t="s">
        <v>83</v>
      </c>
      <c r="F1001" s="86" t="s">
        <v>120</v>
      </c>
      <c r="G1001" s="74" t="s">
        <v>209</v>
      </c>
      <c r="H1001" s="87">
        <v>43981</v>
      </c>
      <c r="I1001" s="94">
        <v>2895.31</v>
      </c>
      <c r="J1001" s="94">
        <v>2171.48</v>
      </c>
      <c r="K1001" s="94">
        <v>723.83</v>
      </c>
    </row>
    <row r="1002" spans="1:11">
      <c r="A1002" s="74" t="s">
        <v>113</v>
      </c>
      <c r="B1002" s="74" t="s">
        <v>238</v>
      </c>
      <c r="C1002" s="74" t="s">
        <v>239</v>
      </c>
      <c r="D1002" s="74" t="s">
        <v>86</v>
      </c>
      <c r="E1002" s="74" t="s">
        <v>87</v>
      </c>
      <c r="F1002" s="86" t="s">
        <v>204</v>
      </c>
      <c r="G1002" s="74" t="s">
        <v>240</v>
      </c>
      <c r="H1002" s="87">
        <v>43981</v>
      </c>
      <c r="I1002" s="94">
        <v>5828.04</v>
      </c>
      <c r="J1002" s="94">
        <v>4371.03</v>
      </c>
      <c r="K1002" s="94">
        <v>1457.01</v>
      </c>
    </row>
    <row r="1003" spans="1:11">
      <c r="A1003" s="74" t="s">
        <v>113</v>
      </c>
      <c r="B1003" s="74" t="s">
        <v>241</v>
      </c>
      <c r="C1003" s="74" t="s">
        <v>242</v>
      </c>
      <c r="D1003" s="74" t="s">
        <v>86</v>
      </c>
      <c r="E1003" s="74" t="s">
        <v>87</v>
      </c>
      <c r="F1003" s="86" t="s">
        <v>243</v>
      </c>
      <c r="G1003" s="74" t="s">
        <v>244</v>
      </c>
      <c r="H1003" s="87">
        <v>43981</v>
      </c>
      <c r="I1003" s="94">
        <v>4333.89</v>
      </c>
      <c r="J1003" s="94">
        <v>3250.42</v>
      </c>
      <c r="K1003" s="94">
        <v>1083.47</v>
      </c>
    </row>
    <row r="1004" spans="1:11">
      <c r="A1004" s="74" t="s">
        <v>113</v>
      </c>
      <c r="B1004" s="74" t="s">
        <v>245</v>
      </c>
      <c r="C1004" s="74" t="s">
        <v>246</v>
      </c>
      <c r="D1004" s="74" t="s">
        <v>86</v>
      </c>
      <c r="E1004" s="74" t="s">
        <v>87</v>
      </c>
      <c r="F1004" s="86" t="s">
        <v>247</v>
      </c>
      <c r="G1004" s="74" t="s">
        <v>248</v>
      </c>
      <c r="H1004" s="87">
        <v>43981</v>
      </c>
      <c r="I1004" s="94">
        <v>3806.95</v>
      </c>
      <c r="J1004" s="94">
        <v>2855.21</v>
      </c>
      <c r="K1004" s="94">
        <v>951.74</v>
      </c>
    </row>
    <row r="1005" spans="1:11">
      <c r="A1005" s="74" t="s">
        <v>113</v>
      </c>
      <c r="B1005" s="74" t="s">
        <v>249</v>
      </c>
      <c r="C1005" s="74" t="s">
        <v>250</v>
      </c>
      <c r="D1005" s="74" t="s">
        <v>86</v>
      </c>
      <c r="E1005" s="74" t="s">
        <v>87</v>
      </c>
      <c r="F1005" s="86" t="s">
        <v>251</v>
      </c>
      <c r="G1005" s="74" t="s">
        <v>252</v>
      </c>
      <c r="H1005" s="87">
        <v>43981</v>
      </c>
      <c r="I1005" s="94">
        <v>3691.29</v>
      </c>
      <c r="J1005" s="94">
        <v>2768.47</v>
      </c>
      <c r="K1005" s="94">
        <v>922.82</v>
      </c>
    </row>
    <row r="1006" spans="1:11">
      <c r="A1006" s="74" t="s">
        <v>113</v>
      </c>
      <c r="B1006" s="74" t="s">
        <v>253</v>
      </c>
      <c r="C1006" s="74" t="s">
        <v>254</v>
      </c>
      <c r="D1006" s="74" t="s">
        <v>86</v>
      </c>
      <c r="E1006" s="74" t="s">
        <v>87</v>
      </c>
      <c r="F1006" s="86" t="s">
        <v>255</v>
      </c>
      <c r="G1006" s="74" t="s">
        <v>252</v>
      </c>
      <c r="H1006" s="87">
        <v>43981</v>
      </c>
      <c r="I1006" s="94">
        <v>3141.31</v>
      </c>
      <c r="J1006" s="94">
        <v>2355.98</v>
      </c>
      <c r="K1006" s="94">
        <v>785.33</v>
      </c>
    </row>
    <row r="1007" spans="1:11">
      <c r="A1007" s="74" t="s">
        <v>113</v>
      </c>
      <c r="B1007" s="74" t="s">
        <v>256</v>
      </c>
      <c r="C1007" s="74" t="s">
        <v>257</v>
      </c>
      <c r="D1007" s="74" t="s">
        <v>86</v>
      </c>
      <c r="E1007" s="74" t="s">
        <v>87</v>
      </c>
      <c r="F1007" s="86" t="s">
        <v>258</v>
      </c>
      <c r="G1007" s="74" t="s">
        <v>252</v>
      </c>
      <c r="H1007" s="87">
        <v>43981</v>
      </c>
      <c r="I1007" s="94">
        <v>3024.02</v>
      </c>
      <c r="J1007" s="94">
        <v>2268.02</v>
      </c>
      <c r="K1007" s="94">
        <v>756</v>
      </c>
    </row>
    <row r="1008" spans="1:11">
      <c r="A1008" s="74" t="s">
        <v>113</v>
      </c>
      <c r="B1008" s="74" t="s">
        <v>259</v>
      </c>
      <c r="C1008" s="74" t="s">
        <v>260</v>
      </c>
      <c r="D1008" s="74" t="s">
        <v>86</v>
      </c>
      <c r="E1008" s="74" t="s">
        <v>87</v>
      </c>
      <c r="F1008" s="86" t="s">
        <v>261</v>
      </c>
      <c r="G1008" s="74" t="s">
        <v>262</v>
      </c>
      <c r="H1008" s="87">
        <v>43981</v>
      </c>
      <c r="I1008" s="94">
        <v>2627.58</v>
      </c>
      <c r="J1008" s="94">
        <v>1970.69</v>
      </c>
      <c r="K1008" s="94">
        <v>656.89</v>
      </c>
    </row>
    <row r="1009" spans="1:11">
      <c r="A1009" s="74" t="s">
        <v>113</v>
      </c>
      <c r="B1009" s="74" t="s">
        <v>263</v>
      </c>
      <c r="C1009" s="74" t="s">
        <v>264</v>
      </c>
      <c r="D1009" s="74" t="s">
        <v>86</v>
      </c>
      <c r="E1009" s="74" t="s">
        <v>88</v>
      </c>
      <c r="F1009" s="86" t="s">
        <v>149</v>
      </c>
      <c r="G1009" s="74" t="s">
        <v>265</v>
      </c>
      <c r="H1009" s="87">
        <v>43981</v>
      </c>
      <c r="I1009" s="94">
        <v>5507.08</v>
      </c>
      <c r="J1009" s="94">
        <v>4130.31</v>
      </c>
      <c r="K1009" s="94">
        <v>1376.77</v>
      </c>
    </row>
    <row r="1010" spans="1:11">
      <c r="A1010" s="74" t="s">
        <v>113</v>
      </c>
      <c r="B1010" s="74" t="s">
        <v>266</v>
      </c>
      <c r="C1010" s="74" t="s">
        <v>267</v>
      </c>
      <c r="D1010" s="74" t="s">
        <v>86</v>
      </c>
      <c r="E1010" s="74" t="s">
        <v>88</v>
      </c>
      <c r="F1010" s="86" t="s">
        <v>243</v>
      </c>
      <c r="G1010" s="74" t="s">
        <v>268</v>
      </c>
      <c r="H1010" s="87">
        <v>43981</v>
      </c>
      <c r="I1010" s="94">
        <v>4079.34</v>
      </c>
      <c r="J1010" s="94">
        <v>3059.51</v>
      </c>
      <c r="K1010" s="94">
        <v>1019.83</v>
      </c>
    </row>
    <row r="1011" spans="1:11">
      <c r="A1011" s="74" t="s">
        <v>113</v>
      </c>
      <c r="B1011" s="74" t="s">
        <v>269</v>
      </c>
      <c r="C1011" s="74" t="s">
        <v>270</v>
      </c>
      <c r="D1011" s="74" t="s">
        <v>86</v>
      </c>
      <c r="E1011" s="74" t="s">
        <v>88</v>
      </c>
      <c r="F1011" s="86" t="s">
        <v>247</v>
      </c>
      <c r="G1011" s="74" t="s">
        <v>268</v>
      </c>
      <c r="H1011" s="87">
        <v>43981</v>
      </c>
      <c r="I1011" s="94">
        <v>3791.9</v>
      </c>
      <c r="J1011" s="94">
        <v>2843.93</v>
      </c>
      <c r="K1011" s="94">
        <v>947.97</v>
      </c>
    </row>
    <row r="1012" spans="1:11">
      <c r="A1012" s="74" t="s">
        <v>113</v>
      </c>
      <c r="B1012" s="74" t="s">
        <v>271</v>
      </c>
      <c r="C1012" s="74" t="s">
        <v>272</v>
      </c>
      <c r="D1012" s="74" t="s">
        <v>86</v>
      </c>
      <c r="E1012" s="74" t="s">
        <v>88</v>
      </c>
      <c r="F1012" s="86" t="s">
        <v>251</v>
      </c>
      <c r="G1012" s="74" t="s">
        <v>268</v>
      </c>
      <c r="H1012" s="87">
        <v>43981</v>
      </c>
      <c r="I1012" s="94">
        <v>3723.72</v>
      </c>
      <c r="J1012" s="94">
        <v>2792.79</v>
      </c>
      <c r="K1012" s="94">
        <v>930.93</v>
      </c>
    </row>
    <row r="1013" spans="1:11">
      <c r="A1013" s="74" t="s">
        <v>113</v>
      </c>
      <c r="B1013" s="74" t="s">
        <v>273</v>
      </c>
      <c r="C1013" s="74" t="s">
        <v>274</v>
      </c>
      <c r="D1013" s="74" t="s">
        <v>86</v>
      </c>
      <c r="E1013" s="74" t="s">
        <v>88</v>
      </c>
      <c r="F1013" s="86" t="s">
        <v>255</v>
      </c>
      <c r="G1013" s="74" t="s">
        <v>268</v>
      </c>
      <c r="H1013" s="87">
        <v>43981</v>
      </c>
      <c r="I1013" s="94">
        <v>3235.78</v>
      </c>
      <c r="J1013" s="94">
        <v>2426.84</v>
      </c>
      <c r="K1013" s="94">
        <v>808.94</v>
      </c>
    </row>
    <row r="1014" spans="1:11">
      <c r="A1014" s="74" t="s">
        <v>113</v>
      </c>
      <c r="B1014" s="74" t="s">
        <v>275</v>
      </c>
      <c r="C1014" s="74" t="s">
        <v>276</v>
      </c>
      <c r="D1014" s="74" t="s">
        <v>86</v>
      </c>
      <c r="E1014" s="74" t="s">
        <v>88</v>
      </c>
      <c r="F1014" s="86" t="s">
        <v>258</v>
      </c>
      <c r="G1014" s="74" t="s">
        <v>268</v>
      </c>
      <c r="H1014" s="87">
        <v>43981</v>
      </c>
      <c r="I1014" s="94">
        <v>2841.22</v>
      </c>
      <c r="J1014" s="94">
        <v>2130.92</v>
      </c>
      <c r="K1014" s="94">
        <v>710.3</v>
      </c>
    </row>
    <row r="1015" spans="1:11">
      <c r="A1015" s="74" t="s">
        <v>113</v>
      </c>
      <c r="B1015" s="74" t="s">
        <v>277</v>
      </c>
      <c r="C1015" s="74" t="s">
        <v>278</v>
      </c>
      <c r="D1015" s="74" t="s">
        <v>86</v>
      </c>
      <c r="E1015" s="74" t="s">
        <v>89</v>
      </c>
      <c r="F1015" s="86" t="s">
        <v>279</v>
      </c>
      <c r="G1015" s="74" t="s">
        <v>280</v>
      </c>
      <c r="H1015" s="87">
        <v>43981</v>
      </c>
      <c r="I1015" s="94">
        <v>4878.45</v>
      </c>
      <c r="J1015" s="94">
        <v>3658.84</v>
      </c>
      <c r="K1015" s="94">
        <v>1219.61</v>
      </c>
    </row>
    <row r="1016" spans="1:11">
      <c r="A1016" s="74" t="s">
        <v>113</v>
      </c>
      <c r="B1016" s="74" t="s">
        <v>281</v>
      </c>
      <c r="C1016" s="74" t="s">
        <v>282</v>
      </c>
      <c r="D1016" s="74" t="s">
        <v>86</v>
      </c>
      <c r="E1016" s="74" t="s">
        <v>89</v>
      </c>
      <c r="F1016" s="86" t="s">
        <v>225</v>
      </c>
      <c r="G1016" s="74" t="s">
        <v>283</v>
      </c>
      <c r="H1016" s="87">
        <v>43981</v>
      </c>
      <c r="I1016" s="94">
        <v>3262.27</v>
      </c>
      <c r="J1016" s="94">
        <v>2446.7</v>
      </c>
      <c r="K1016" s="94">
        <v>815.57</v>
      </c>
    </row>
    <row r="1017" spans="1:11">
      <c r="A1017" s="74" t="s">
        <v>113</v>
      </c>
      <c r="B1017" s="74" t="s">
        <v>284</v>
      </c>
      <c r="C1017" s="74" t="s">
        <v>285</v>
      </c>
      <c r="D1017" s="74" t="s">
        <v>86</v>
      </c>
      <c r="E1017" s="74" t="s">
        <v>89</v>
      </c>
      <c r="F1017" s="86" t="s">
        <v>208</v>
      </c>
      <c r="G1017" s="74" t="s">
        <v>283</v>
      </c>
      <c r="H1017" s="87">
        <v>43981</v>
      </c>
      <c r="I1017" s="94">
        <v>3071.01</v>
      </c>
      <c r="J1017" s="94">
        <v>2303.26</v>
      </c>
      <c r="K1017" s="94">
        <v>767.75</v>
      </c>
    </row>
    <row r="1018" spans="1:11">
      <c r="A1018" s="74" t="s">
        <v>113</v>
      </c>
      <c r="B1018" s="74" t="s">
        <v>286</v>
      </c>
      <c r="C1018" s="74" t="s">
        <v>287</v>
      </c>
      <c r="D1018" s="74" t="s">
        <v>82</v>
      </c>
      <c r="E1018" s="88" t="s">
        <v>85</v>
      </c>
      <c r="F1018" s="86" t="s">
        <v>288</v>
      </c>
      <c r="G1018" s="74" t="s">
        <v>289</v>
      </c>
      <c r="H1018" s="87">
        <v>43981</v>
      </c>
      <c r="I1018" s="94">
        <v>4867.24</v>
      </c>
      <c r="J1018" s="94">
        <v>3650.43</v>
      </c>
      <c r="K1018" s="94">
        <v>1216.81</v>
      </c>
    </row>
    <row r="1019" spans="1:11">
      <c r="A1019" s="74" t="s">
        <v>113</v>
      </c>
      <c r="B1019" s="74" t="s">
        <v>290</v>
      </c>
      <c r="C1019" s="74" t="s">
        <v>291</v>
      </c>
      <c r="D1019" s="74" t="s">
        <v>82</v>
      </c>
      <c r="E1019" s="88" t="s">
        <v>85</v>
      </c>
      <c r="F1019" s="86" t="s">
        <v>218</v>
      </c>
      <c r="G1019" s="74" t="s">
        <v>289</v>
      </c>
      <c r="H1019" s="87">
        <v>43981</v>
      </c>
      <c r="I1019" s="94">
        <v>4349.71</v>
      </c>
      <c r="J1019" s="94">
        <v>3262.28</v>
      </c>
      <c r="K1019" s="94">
        <v>1087.43</v>
      </c>
    </row>
    <row r="1020" spans="1:11">
      <c r="A1020" s="74" t="s">
        <v>113</v>
      </c>
      <c r="B1020" s="74" t="s">
        <v>292</v>
      </c>
      <c r="C1020" s="74" t="s">
        <v>293</v>
      </c>
      <c r="D1020" s="74" t="s">
        <v>82</v>
      </c>
      <c r="E1020" s="88" t="s">
        <v>85</v>
      </c>
      <c r="F1020" s="86" t="s">
        <v>225</v>
      </c>
      <c r="G1020" s="74" t="s">
        <v>289</v>
      </c>
      <c r="H1020" s="87">
        <v>43981</v>
      </c>
      <c r="I1020" s="94">
        <v>3939.9</v>
      </c>
      <c r="J1020" s="94">
        <v>2954.93</v>
      </c>
      <c r="K1020" s="94">
        <v>984.97</v>
      </c>
    </row>
    <row r="1021" spans="1:11">
      <c r="A1021" s="74" t="s">
        <v>113</v>
      </c>
      <c r="B1021" s="74" t="s">
        <v>294</v>
      </c>
      <c r="C1021" s="74" t="s">
        <v>295</v>
      </c>
      <c r="D1021" s="74" t="s">
        <v>82</v>
      </c>
      <c r="E1021" s="88" t="s">
        <v>85</v>
      </c>
      <c r="F1021" s="86" t="s">
        <v>208</v>
      </c>
      <c r="G1021" s="74" t="s">
        <v>289</v>
      </c>
      <c r="H1021" s="87">
        <v>43981</v>
      </c>
      <c r="I1021" s="94">
        <v>3699.87</v>
      </c>
      <c r="J1021" s="94">
        <v>2774.9</v>
      </c>
      <c r="K1021" s="94">
        <v>924.97</v>
      </c>
    </row>
    <row r="1022" spans="1:11">
      <c r="A1022" s="74" t="s">
        <v>113</v>
      </c>
      <c r="B1022" s="74" t="s">
        <v>296</v>
      </c>
      <c r="C1022" s="74" t="s">
        <v>297</v>
      </c>
      <c r="D1022" s="74" t="s">
        <v>82</v>
      </c>
      <c r="E1022" s="88" t="s">
        <v>85</v>
      </c>
      <c r="F1022" s="86" t="s">
        <v>116</v>
      </c>
      <c r="G1022" s="74" t="s">
        <v>289</v>
      </c>
      <c r="H1022" s="87">
        <v>43981</v>
      </c>
      <c r="I1022" s="94">
        <v>3297.72</v>
      </c>
      <c r="J1022" s="94">
        <v>2473.29</v>
      </c>
      <c r="K1022" s="94">
        <v>824.43</v>
      </c>
    </row>
    <row r="1023" spans="1:11">
      <c r="A1023" s="74" t="s">
        <v>113</v>
      </c>
      <c r="B1023" s="74" t="s">
        <v>298</v>
      </c>
      <c r="C1023" s="74" t="s">
        <v>299</v>
      </c>
      <c r="D1023" s="74" t="s">
        <v>82</v>
      </c>
      <c r="E1023" s="88" t="s">
        <v>85</v>
      </c>
      <c r="F1023" s="86" t="s">
        <v>279</v>
      </c>
      <c r="G1023" s="74" t="s">
        <v>300</v>
      </c>
      <c r="H1023" s="87">
        <v>43981</v>
      </c>
      <c r="I1023" s="94">
        <v>5988.11</v>
      </c>
      <c r="J1023" s="94">
        <v>4491.08</v>
      </c>
      <c r="K1023" s="94">
        <v>1497.03</v>
      </c>
    </row>
    <row r="1024" spans="1:11">
      <c r="A1024" s="74" t="s">
        <v>113</v>
      </c>
      <c r="B1024" s="74" t="s">
        <v>301</v>
      </c>
      <c r="C1024" s="74" t="s">
        <v>302</v>
      </c>
      <c r="D1024" s="74" t="s">
        <v>82</v>
      </c>
      <c r="E1024" s="88" t="s">
        <v>85</v>
      </c>
      <c r="F1024" s="86" t="s">
        <v>279</v>
      </c>
      <c r="G1024" s="74" t="s">
        <v>303</v>
      </c>
      <c r="H1024" s="87">
        <v>43981</v>
      </c>
      <c r="I1024" s="94">
        <v>6136.33</v>
      </c>
      <c r="J1024" s="94">
        <v>4602.25</v>
      </c>
      <c r="K1024" s="94">
        <v>1534.08</v>
      </c>
    </row>
    <row r="1025" spans="1:11">
      <c r="A1025" s="74" t="s">
        <v>113</v>
      </c>
      <c r="B1025" s="74" t="s">
        <v>304</v>
      </c>
      <c r="C1025" s="74" t="s">
        <v>305</v>
      </c>
      <c r="D1025" s="74" t="s">
        <v>86</v>
      </c>
      <c r="E1025" s="74" t="s">
        <v>90</v>
      </c>
      <c r="F1025" s="86" t="s">
        <v>306</v>
      </c>
      <c r="G1025" s="74" t="s">
        <v>307</v>
      </c>
      <c r="H1025" s="87">
        <v>43981</v>
      </c>
      <c r="I1025" s="94">
        <v>6550.64</v>
      </c>
      <c r="J1025" s="94">
        <v>4912.98</v>
      </c>
      <c r="K1025" s="94">
        <v>1637.66</v>
      </c>
    </row>
    <row r="1026" spans="1:11">
      <c r="A1026" s="74" t="s">
        <v>113</v>
      </c>
      <c r="B1026" s="74" t="s">
        <v>114</v>
      </c>
      <c r="C1026" s="74" t="s">
        <v>115</v>
      </c>
      <c r="D1026" s="74" t="s">
        <v>79</v>
      </c>
      <c r="E1026" s="74" t="s">
        <v>80</v>
      </c>
      <c r="F1026" s="86" t="s">
        <v>116</v>
      </c>
      <c r="G1026" s="74" t="s">
        <v>117</v>
      </c>
      <c r="H1026" s="87">
        <v>44012</v>
      </c>
      <c r="I1026" s="94">
        <v>3169.51</v>
      </c>
      <c r="J1026" s="94">
        <v>2377.13</v>
      </c>
      <c r="K1026" s="94">
        <v>792.38</v>
      </c>
    </row>
    <row r="1027" spans="1:11">
      <c r="A1027" s="74" t="s">
        <v>113</v>
      </c>
      <c r="B1027" s="74" t="s">
        <v>118</v>
      </c>
      <c r="C1027" s="74" t="s">
        <v>119</v>
      </c>
      <c r="D1027" s="74" t="s">
        <v>79</v>
      </c>
      <c r="E1027" s="74" t="s">
        <v>80</v>
      </c>
      <c r="F1027" s="86" t="s">
        <v>120</v>
      </c>
      <c r="G1027" s="74" t="s">
        <v>117</v>
      </c>
      <c r="H1027" s="87">
        <v>44012</v>
      </c>
      <c r="I1027" s="94">
        <v>2850.72</v>
      </c>
      <c r="J1027" s="94">
        <v>2138.04</v>
      </c>
      <c r="K1027" s="94">
        <v>712.68</v>
      </c>
    </row>
    <row r="1028" spans="1:11">
      <c r="A1028" s="74" t="s">
        <v>113</v>
      </c>
      <c r="B1028" s="74" t="s">
        <v>121</v>
      </c>
      <c r="C1028" s="74" t="s">
        <v>122</v>
      </c>
      <c r="D1028" s="74" t="s">
        <v>79</v>
      </c>
      <c r="E1028" s="74" t="s">
        <v>80</v>
      </c>
      <c r="F1028" s="86" t="s">
        <v>123</v>
      </c>
      <c r="G1028" s="74" t="s">
        <v>117</v>
      </c>
      <c r="H1028" s="87">
        <v>44012</v>
      </c>
      <c r="I1028" s="94">
        <v>2535.27</v>
      </c>
      <c r="J1028" s="94">
        <v>1901.45</v>
      </c>
      <c r="K1028" s="94">
        <v>633.82</v>
      </c>
    </row>
    <row r="1029" spans="1:11">
      <c r="A1029" s="74" t="s">
        <v>113</v>
      </c>
      <c r="B1029" s="74" t="s">
        <v>124</v>
      </c>
      <c r="C1029" s="74" t="s">
        <v>125</v>
      </c>
      <c r="D1029" s="74" t="s">
        <v>79</v>
      </c>
      <c r="E1029" s="74" t="s">
        <v>80</v>
      </c>
      <c r="F1029" s="86" t="s">
        <v>116</v>
      </c>
      <c r="G1029" s="74" t="s">
        <v>117</v>
      </c>
      <c r="H1029" s="87">
        <v>44012</v>
      </c>
      <c r="I1029" s="94">
        <v>3414.66</v>
      </c>
      <c r="J1029" s="94">
        <v>2561</v>
      </c>
      <c r="K1029" s="94">
        <v>853.66</v>
      </c>
    </row>
    <row r="1030" spans="1:11">
      <c r="A1030" s="74" t="s">
        <v>113</v>
      </c>
      <c r="B1030" s="74" t="s">
        <v>126</v>
      </c>
      <c r="C1030" s="74" t="s">
        <v>127</v>
      </c>
      <c r="D1030" s="74" t="s">
        <v>79</v>
      </c>
      <c r="E1030" s="74" t="s">
        <v>80</v>
      </c>
      <c r="F1030" s="86" t="s">
        <v>120</v>
      </c>
      <c r="G1030" s="74" t="s">
        <v>117</v>
      </c>
      <c r="H1030" s="87">
        <v>44012</v>
      </c>
      <c r="I1030" s="94">
        <v>2913.06</v>
      </c>
      <c r="J1030" s="94">
        <v>2184.8</v>
      </c>
      <c r="K1030" s="94">
        <v>728.26</v>
      </c>
    </row>
    <row r="1031" spans="1:11">
      <c r="A1031" s="74" t="s">
        <v>113</v>
      </c>
      <c r="B1031" s="74" t="s">
        <v>128</v>
      </c>
      <c r="C1031" s="74" t="s">
        <v>129</v>
      </c>
      <c r="D1031" s="74" t="s">
        <v>79</v>
      </c>
      <c r="E1031" s="74" t="s">
        <v>80</v>
      </c>
      <c r="F1031" s="86" t="s">
        <v>123</v>
      </c>
      <c r="G1031" s="74" t="s">
        <v>117</v>
      </c>
      <c r="H1031" s="87">
        <v>44012</v>
      </c>
      <c r="I1031" s="94">
        <v>2555</v>
      </c>
      <c r="J1031" s="94">
        <v>1916.25</v>
      </c>
      <c r="K1031" s="94">
        <v>638.75</v>
      </c>
    </row>
    <row r="1032" spans="1:11">
      <c r="A1032" s="74" t="s">
        <v>113</v>
      </c>
      <c r="B1032" s="74" t="s">
        <v>130</v>
      </c>
      <c r="C1032" s="74" t="s">
        <v>131</v>
      </c>
      <c r="D1032" s="74" t="s">
        <v>79</v>
      </c>
      <c r="E1032" s="74" t="s">
        <v>80</v>
      </c>
      <c r="F1032" s="86" t="s">
        <v>116</v>
      </c>
      <c r="G1032" s="74" t="s">
        <v>117</v>
      </c>
      <c r="H1032" s="87">
        <v>44012</v>
      </c>
      <c r="I1032" s="94">
        <v>3196.79</v>
      </c>
      <c r="J1032" s="94">
        <v>2397.59</v>
      </c>
      <c r="K1032" s="94">
        <v>799.2</v>
      </c>
    </row>
    <row r="1033" spans="1:11">
      <c r="A1033" s="74" t="s">
        <v>113</v>
      </c>
      <c r="B1033" s="74" t="s">
        <v>132</v>
      </c>
      <c r="C1033" s="74" t="s">
        <v>133</v>
      </c>
      <c r="D1033" s="74" t="s">
        <v>79</v>
      </c>
      <c r="E1033" s="74" t="s">
        <v>80</v>
      </c>
      <c r="F1033" s="86" t="s">
        <v>120</v>
      </c>
      <c r="G1033" s="74" t="s">
        <v>117</v>
      </c>
      <c r="H1033" s="87">
        <v>44012</v>
      </c>
      <c r="I1033" s="94">
        <v>2788.5</v>
      </c>
      <c r="J1033" s="94">
        <v>2091.38</v>
      </c>
      <c r="K1033" s="94">
        <v>697.12</v>
      </c>
    </row>
    <row r="1034" spans="1:11">
      <c r="A1034" s="74" t="s">
        <v>113</v>
      </c>
      <c r="B1034" s="74" t="s">
        <v>134</v>
      </c>
      <c r="C1034" s="74" t="s">
        <v>135</v>
      </c>
      <c r="D1034" s="74" t="s">
        <v>79</v>
      </c>
      <c r="E1034" s="74" t="s">
        <v>80</v>
      </c>
      <c r="F1034" s="86" t="s">
        <v>123</v>
      </c>
      <c r="G1034" s="74" t="s">
        <v>117</v>
      </c>
      <c r="H1034" s="87">
        <v>44012</v>
      </c>
      <c r="I1034" s="94">
        <v>2531.08</v>
      </c>
      <c r="J1034" s="94">
        <v>1898.31</v>
      </c>
      <c r="K1034" s="94">
        <v>632.77</v>
      </c>
    </row>
    <row r="1035" spans="1:11">
      <c r="A1035" s="74" t="s">
        <v>113</v>
      </c>
      <c r="B1035" s="74" t="s">
        <v>136</v>
      </c>
      <c r="C1035" s="74" t="s">
        <v>137</v>
      </c>
      <c r="D1035" s="74" t="s">
        <v>79</v>
      </c>
      <c r="E1035" s="74" t="s">
        <v>80</v>
      </c>
      <c r="F1035" s="86" t="s">
        <v>116</v>
      </c>
      <c r="G1035" s="74" t="s">
        <v>138</v>
      </c>
      <c r="H1035" s="87">
        <v>44012</v>
      </c>
      <c r="I1035" s="94">
        <v>3175.9</v>
      </c>
      <c r="J1035" s="94">
        <v>2381.93</v>
      </c>
      <c r="K1035" s="94">
        <v>793.97</v>
      </c>
    </row>
    <row r="1036" spans="1:11">
      <c r="A1036" s="74" t="s">
        <v>113</v>
      </c>
      <c r="B1036" s="74" t="s">
        <v>139</v>
      </c>
      <c r="C1036" s="74" t="s">
        <v>140</v>
      </c>
      <c r="D1036" s="74" t="s">
        <v>79</v>
      </c>
      <c r="E1036" s="74" t="s">
        <v>80</v>
      </c>
      <c r="F1036" s="86" t="s">
        <v>120</v>
      </c>
      <c r="G1036" s="74" t="s">
        <v>138</v>
      </c>
      <c r="H1036" s="87">
        <v>44012</v>
      </c>
      <c r="I1036" s="94">
        <v>2903.63</v>
      </c>
      <c r="J1036" s="94">
        <v>2177.72</v>
      </c>
      <c r="K1036" s="94">
        <v>725.91</v>
      </c>
    </row>
    <row r="1037" spans="1:11">
      <c r="A1037" s="74" t="s">
        <v>113</v>
      </c>
      <c r="B1037" s="74" t="s">
        <v>141</v>
      </c>
      <c r="C1037" s="74" t="s">
        <v>142</v>
      </c>
      <c r="D1037" s="74" t="s">
        <v>79</v>
      </c>
      <c r="E1037" s="74" t="s">
        <v>80</v>
      </c>
      <c r="F1037" s="86" t="s">
        <v>123</v>
      </c>
      <c r="G1037" s="74" t="s">
        <v>138</v>
      </c>
      <c r="H1037" s="87">
        <v>44012</v>
      </c>
      <c r="I1037" s="94">
        <v>2506.57</v>
      </c>
      <c r="J1037" s="94">
        <v>1879.93</v>
      </c>
      <c r="K1037" s="94">
        <v>626.64</v>
      </c>
    </row>
    <row r="1038" spans="1:11">
      <c r="A1038" s="74" t="s">
        <v>113</v>
      </c>
      <c r="B1038" s="74" t="s">
        <v>143</v>
      </c>
      <c r="C1038" s="74" t="s">
        <v>144</v>
      </c>
      <c r="D1038" s="74" t="s">
        <v>79</v>
      </c>
      <c r="E1038" s="74" t="s">
        <v>80</v>
      </c>
      <c r="F1038" s="86" t="s">
        <v>145</v>
      </c>
      <c r="G1038" s="74" t="s">
        <v>146</v>
      </c>
      <c r="H1038" s="87">
        <v>44012</v>
      </c>
      <c r="I1038" s="94">
        <v>7699.08</v>
      </c>
      <c r="J1038" s="94">
        <v>5774.31</v>
      </c>
      <c r="K1038" s="94">
        <v>1924.77</v>
      </c>
    </row>
    <row r="1039" spans="1:11">
      <c r="A1039" s="74" t="s">
        <v>113</v>
      </c>
      <c r="B1039" s="74" t="s">
        <v>147</v>
      </c>
      <c r="C1039" s="74" t="s">
        <v>148</v>
      </c>
      <c r="D1039" s="74" t="s">
        <v>79</v>
      </c>
      <c r="E1039" s="74" t="s">
        <v>80</v>
      </c>
      <c r="F1039" s="86" t="s">
        <v>149</v>
      </c>
      <c r="G1039" s="74" t="s">
        <v>150</v>
      </c>
      <c r="H1039" s="87">
        <v>44012</v>
      </c>
      <c r="I1039" s="94">
        <v>6948.58</v>
      </c>
      <c r="J1039" s="94">
        <v>5211.44</v>
      </c>
      <c r="K1039" s="94">
        <v>1737.14</v>
      </c>
    </row>
    <row r="1040" spans="1:11">
      <c r="A1040" s="74" t="s">
        <v>113</v>
      </c>
      <c r="B1040" s="74" t="s">
        <v>151</v>
      </c>
      <c r="C1040" s="74" t="s">
        <v>152</v>
      </c>
      <c r="D1040" s="74" t="s">
        <v>79</v>
      </c>
      <c r="E1040" s="74" t="s">
        <v>81</v>
      </c>
      <c r="F1040" s="86" t="s">
        <v>123</v>
      </c>
      <c r="G1040" s="74" t="s">
        <v>153</v>
      </c>
      <c r="H1040" s="87">
        <v>44012</v>
      </c>
      <c r="I1040" s="94">
        <v>2383.68</v>
      </c>
      <c r="J1040" s="94">
        <v>1787.76</v>
      </c>
      <c r="K1040" s="94">
        <v>595.92</v>
      </c>
    </row>
    <row r="1041" spans="1:11">
      <c r="A1041" s="74" t="s">
        <v>113</v>
      </c>
      <c r="B1041" s="74" t="s">
        <v>154</v>
      </c>
      <c r="C1041" s="74" t="s">
        <v>155</v>
      </c>
      <c r="D1041" s="74" t="s">
        <v>79</v>
      </c>
      <c r="E1041" s="74" t="s">
        <v>81</v>
      </c>
      <c r="F1041" s="86" t="s">
        <v>156</v>
      </c>
      <c r="G1041" s="74" t="s">
        <v>157</v>
      </c>
      <c r="H1041" s="87">
        <v>44012</v>
      </c>
      <c r="I1041" s="94">
        <v>2082.87</v>
      </c>
      <c r="J1041" s="94">
        <v>1562.15</v>
      </c>
      <c r="K1041" s="94">
        <v>520.72</v>
      </c>
    </row>
    <row r="1042" spans="1:11">
      <c r="A1042" s="74" t="s">
        <v>113</v>
      </c>
      <c r="B1042" s="74" t="s">
        <v>158</v>
      </c>
      <c r="C1042" s="74" t="s">
        <v>159</v>
      </c>
      <c r="D1042" s="74" t="s">
        <v>79</v>
      </c>
      <c r="E1042" s="74" t="s">
        <v>81</v>
      </c>
      <c r="F1042" s="86" t="s">
        <v>160</v>
      </c>
      <c r="G1042" s="74" t="s">
        <v>161</v>
      </c>
      <c r="H1042" s="87">
        <v>44012</v>
      </c>
      <c r="I1042" s="94">
        <v>1713.02</v>
      </c>
      <c r="J1042" s="94">
        <v>1284.77</v>
      </c>
      <c r="K1042" s="94">
        <v>428.25</v>
      </c>
    </row>
    <row r="1043" spans="1:11">
      <c r="A1043" s="74" t="s">
        <v>113</v>
      </c>
      <c r="B1043" s="74" t="s">
        <v>162</v>
      </c>
      <c r="C1043" s="74" t="s">
        <v>163</v>
      </c>
      <c r="D1043" s="74" t="s">
        <v>79</v>
      </c>
      <c r="E1043" s="74" t="s">
        <v>81</v>
      </c>
      <c r="F1043" s="86" t="s">
        <v>123</v>
      </c>
      <c r="G1043" s="74" t="s">
        <v>153</v>
      </c>
      <c r="H1043" s="87">
        <v>44012</v>
      </c>
      <c r="I1043" s="94">
        <v>2356</v>
      </c>
      <c r="J1043" s="94">
        <v>1767</v>
      </c>
      <c r="K1043" s="94">
        <v>589</v>
      </c>
    </row>
    <row r="1044" spans="1:11">
      <c r="A1044" s="74" t="s">
        <v>113</v>
      </c>
      <c r="B1044" s="74" t="s">
        <v>164</v>
      </c>
      <c r="C1044" s="74" t="s">
        <v>165</v>
      </c>
      <c r="D1044" s="74" t="s">
        <v>79</v>
      </c>
      <c r="E1044" s="74" t="s">
        <v>81</v>
      </c>
      <c r="F1044" s="86" t="s">
        <v>156</v>
      </c>
      <c r="G1044" s="74" t="s">
        <v>157</v>
      </c>
      <c r="H1044" s="87">
        <v>44012</v>
      </c>
      <c r="I1044" s="94">
        <v>2084</v>
      </c>
      <c r="J1044" s="94">
        <v>1563</v>
      </c>
      <c r="K1044" s="94">
        <v>521</v>
      </c>
    </row>
    <row r="1045" spans="1:11">
      <c r="A1045" s="74" t="s">
        <v>113</v>
      </c>
      <c r="B1045" s="74" t="s">
        <v>166</v>
      </c>
      <c r="C1045" s="74" t="s">
        <v>167</v>
      </c>
      <c r="D1045" s="74" t="s">
        <v>79</v>
      </c>
      <c r="E1045" s="74" t="s">
        <v>81</v>
      </c>
      <c r="F1045" s="86" t="s">
        <v>160</v>
      </c>
      <c r="G1045" s="74" t="s">
        <v>161</v>
      </c>
      <c r="H1045" s="87">
        <v>44012</v>
      </c>
      <c r="I1045" s="94">
        <v>1592.96</v>
      </c>
      <c r="J1045" s="94">
        <v>1194.72</v>
      </c>
      <c r="K1045" s="94">
        <v>398.24</v>
      </c>
    </row>
    <row r="1046" spans="1:11">
      <c r="A1046" s="74" t="s">
        <v>113</v>
      </c>
      <c r="B1046" s="74" t="s">
        <v>168</v>
      </c>
      <c r="C1046" s="74" t="s">
        <v>169</v>
      </c>
      <c r="D1046" s="74" t="s">
        <v>79</v>
      </c>
      <c r="E1046" s="74" t="s">
        <v>81</v>
      </c>
      <c r="F1046" s="86" t="s">
        <v>123</v>
      </c>
      <c r="G1046" s="74" t="s">
        <v>153</v>
      </c>
      <c r="H1046" s="87">
        <v>44012</v>
      </c>
      <c r="I1046" s="94">
        <v>2512.91</v>
      </c>
      <c r="J1046" s="94">
        <v>1884.68</v>
      </c>
      <c r="K1046" s="94">
        <v>628.23</v>
      </c>
    </row>
    <row r="1047" spans="1:11">
      <c r="A1047" s="74" t="s">
        <v>113</v>
      </c>
      <c r="B1047" s="74" t="s">
        <v>170</v>
      </c>
      <c r="C1047" s="74" t="s">
        <v>171</v>
      </c>
      <c r="D1047" s="74" t="s">
        <v>79</v>
      </c>
      <c r="E1047" s="74" t="s">
        <v>81</v>
      </c>
      <c r="F1047" s="86" t="s">
        <v>156</v>
      </c>
      <c r="G1047" s="74" t="s">
        <v>157</v>
      </c>
      <c r="H1047" s="87">
        <v>44012</v>
      </c>
      <c r="I1047" s="94">
        <v>2011.63</v>
      </c>
      <c r="J1047" s="94">
        <v>1508.72</v>
      </c>
      <c r="K1047" s="94">
        <v>502.91</v>
      </c>
    </row>
    <row r="1048" spans="1:11">
      <c r="A1048" s="74" t="s">
        <v>113</v>
      </c>
      <c r="B1048" s="74" t="s">
        <v>172</v>
      </c>
      <c r="C1048" s="74" t="s">
        <v>173</v>
      </c>
      <c r="D1048" s="74" t="s">
        <v>79</v>
      </c>
      <c r="E1048" s="74" t="s">
        <v>81</v>
      </c>
      <c r="F1048" s="86" t="s">
        <v>160</v>
      </c>
      <c r="G1048" s="74" t="s">
        <v>161</v>
      </c>
      <c r="H1048" s="87">
        <v>44012</v>
      </c>
      <c r="I1048" s="94">
        <v>1693.56</v>
      </c>
      <c r="J1048" s="94">
        <v>1270.17</v>
      </c>
      <c r="K1048" s="94">
        <v>423.39</v>
      </c>
    </row>
    <row r="1049" spans="1:11">
      <c r="A1049" s="74" t="s">
        <v>113</v>
      </c>
      <c r="B1049" s="74" t="s">
        <v>174</v>
      </c>
      <c r="C1049" s="74" t="s">
        <v>175</v>
      </c>
      <c r="D1049" s="74" t="s">
        <v>79</v>
      </c>
      <c r="E1049" s="74" t="s">
        <v>81</v>
      </c>
      <c r="F1049" s="86" t="s">
        <v>176</v>
      </c>
      <c r="G1049" s="74" t="s">
        <v>177</v>
      </c>
      <c r="H1049" s="87">
        <v>44012</v>
      </c>
      <c r="I1049" s="94">
        <v>1207.88</v>
      </c>
      <c r="J1049" s="94">
        <v>905.91</v>
      </c>
      <c r="K1049" s="94">
        <v>301.97</v>
      </c>
    </row>
    <row r="1050" spans="1:11">
      <c r="A1050" s="74" t="s">
        <v>113</v>
      </c>
      <c r="B1050" s="74" t="s">
        <v>178</v>
      </c>
      <c r="C1050" s="74" t="s">
        <v>179</v>
      </c>
      <c r="D1050" s="74" t="s">
        <v>79</v>
      </c>
      <c r="E1050" s="74" t="s">
        <v>81</v>
      </c>
      <c r="F1050" s="86" t="s">
        <v>180</v>
      </c>
      <c r="G1050" s="74" t="s">
        <v>177</v>
      </c>
      <c r="H1050" s="87">
        <v>44012</v>
      </c>
      <c r="I1050" s="94">
        <v>790.32</v>
      </c>
      <c r="J1050" s="94">
        <v>592.74</v>
      </c>
      <c r="K1050" s="94">
        <v>197.58</v>
      </c>
    </row>
    <row r="1051" spans="1:11">
      <c r="A1051" s="74" t="s">
        <v>113</v>
      </c>
      <c r="B1051" s="74" t="s">
        <v>181</v>
      </c>
      <c r="C1051" s="74" t="s">
        <v>182</v>
      </c>
      <c r="D1051" s="74" t="s">
        <v>79</v>
      </c>
      <c r="E1051" s="74" t="s">
        <v>81</v>
      </c>
      <c r="F1051" s="86" t="s">
        <v>183</v>
      </c>
      <c r="G1051" s="74" t="s">
        <v>177</v>
      </c>
      <c r="H1051" s="87">
        <v>44012</v>
      </c>
      <c r="I1051" s="94">
        <v>428.7</v>
      </c>
      <c r="J1051" s="94">
        <v>321.53</v>
      </c>
      <c r="K1051" s="94">
        <v>107.17</v>
      </c>
    </row>
    <row r="1052" spans="1:11">
      <c r="A1052" s="74" t="s">
        <v>113</v>
      </c>
      <c r="B1052" s="74" t="s">
        <v>184</v>
      </c>
      <c r="C1052" s="74" t="s">
        <v>185</v>
      </c>
      <c r="D1052" s="74" t="s">
        <v>79</v>
      </c>
      <c r="E1052" s="74" t="s">
        <v>81</v>
      </c>
      <c r="F1052" s="86" t="s">
        <v>176</v>
      </c>
      <c r="G1052" s="74" t="s">
        <v>177</v>
      </c>
      <c r="H1052" s="87">
        <v>44012</v>
      </c>
      <c r="I1052" s="94">
        <v>1197.87</v>
      </c>
      <c r="J1052" s="94">
        <v>898.4</v>
      </c>
      <c r="K1052" s="94">
        <v>299.47</v>
      </c>
    </row>
    <row r="1053" spans="1:11">
      <c r="A1053" s="74" t="s">
        <v>113</v>
      </c>
      <c r="B1053" s="74" t="s">
        <v>186</v>
      </c>
      <c r="C1053" s="74" t="s">
        <v>187</v>
      </c>
      <c r="D1053" s="74" t="s">
        <v>79</v>
      </c>
      <c r="E1053" s="74" t="s">
        <v>81</v>
      </c>
      <c r="F1053" s="86" t="s">
        <v>180</v>
      </c>
      <c r="G1053" s="74" t="s">
        <v>177</v>
      </c>
      <c r="H1053" s="87">
        <v>44012</v>
      </c>
      <c r="I1053" s="94">
        <v>856.39</v>
      </c>
      <c r="J1053" s="94">
        <v>642.29</v>
      </c>
      <c r="K1053" s="94">
        <v>214.1</v>
      </c>
    </row>
    <row r="1054" spans="1:11">
      <c r="A1054" s="74" t="s">
        <v>113</v>
      </c>
      <c r="B1054" s="74" t="s">
        <v>188</v>
      </c>
      <c r="C1054" s="74" t="s">
        <v>189</v>
      </c>
      <c r="D1054" s="74" t="s">
        <v>79</v>
      </c>
      <c r="E1054" s="74" t="s">
        <v>81</v>
      </c>
      <c r="F1054" s="86" t="s">
        <v>183</v>
      </c>
      <c r="G1054" s="74" t="s">
        <v>177</v>
      </c>
      <c r="H1054" s="87">
        <v>44012</v>
      </c>
      <c r="I1054" s="94">
        <v>416.01</v>
      </c>
      <c r="J1054" s="94">
        <v>312.01</v>
      </c>
      <c r="K1054" s="94">
        <v>104</v>
      </c>
    </row>
    <row r="1055" spans="1:11">
      <c r="A1055" s="74" t="s">
        <v>113</v>
      </c>
      <c r="B1055" s="74" t="s">
        <v>190</v>
      </c>
      <c r="C1055" s="74" t="s">
        <v>191</v>
      </c>
      <c r="D1055" s="74" t="s">
        <v>79</v>
      </c>
      <c r="E1055" s="74" t="s">
        <v>81</v>
      </c>
      <c r="F1055" s="86" t="s">
        <v>176</v>
      </c>
      <c r="G1055" s="74" t="s">
        <v>177</v>
      </c>
      <c r="H1055" s="87">
        <v>44012</v>
      </c>
      <c r="I1055" s="94">
        <v>1217.66</v>
      </c>
      <c r="J1055" s="94">
        <v>913.25</v>
      </c>
      <c r="K1055" s="94">
        <v>304.41</v>
      </c>
    </row>
    <row r="1056" spans="1:11">
      <c r="A1056" s="74" t="s">
        <v>113</v>
      </c>
      <c r="B1056" s="74" t="s">
        <v>192</v>
      </c>
      <c r="C1056" s="74" t="s">
        <v>193</v>
      </c>
      <c r="D1056" s="74" t="s">
        <v>79</v>
      </c>
      <c r="E1056" s="74" t="s">
        <v>81</v>
      </c>
      <c r="F1056" s="86" t="s">
        <v>180</v>
      </c>
      <c r="G1056" s="74" t="s">
        <v>177</v>
      </c>
      <c r="H1056" s="87">
        <v>44012</v>
      </c>
      <c r="I1056" s="94">
        <v>814.63</v>
      </c>
      <c r="J1056" s="94">
        <v>610.97</v>
      </c>
      <c r="K1056" s="94">
        <v>203.66</v>
      </c>
    </row>
    <row r="1057" spans="1:11">
      <c r="A1057" s="74" t="s">
        <v>113</v>
      </c>
      <c r="B1057" s="74" t="s">
        <v>194</v>
      </c>
      <c r="C1057" s="74" t="s">
        <v>195</v>
      </c>
      <c r="D1057" s="74" t="s">
        <v>79</v>
      </c>
      <c r="E1057" s="74" t="s">
        <v>81</v>
      </c>
      <c r="F1057" s="86" t="s">
        <v>183</v>
      </c>
      <c r="G1057" s="74" t="s">
        <v>177</v>
      </c>
      <c r="H1057" s="87">
        <v>44012</v>
      </c>
      <c r="I1057" s="94">
        <v>415.42</v>
      </c>
      <c r="J1057" s="94">
        <v>311.57</v>
      </c>
      <c r="K1057" s="94">
        <v>103.85</v>
      </c>
    </row>
    <row r="1058" spans="1:11">
      <c r="A1058" s="74" t="s">
        <v>113</v>
      </c>
      <c r="B1058" s="74" t="s">
        <v>196</v>
      </c>
      <c r="C1058" s="74" t="s">
        <v>197</v>
      </c>
      <c r="D1058" s="74" t="s">
        <v>79</v>
      </c>
      <c r="E1058" s="74" t="s">
        <v>81</v>
      </c>
      <c r="F1058" s="86" t="s">
        <v>176</v>
      </c>
      <c r="G1058" s="74" t="s">
        <v>177</v>
      </c>
      <c r="H1058" s="87">
        <v>44012</v>
      </c>
      <c r="I1058" s="94">
        <v>1281.04</v>
      </c>
      <c r="J1058" s="94">
        <v>960.78</v>
      </c>
      <c r="K1058" s="94">
        <v>320.26</v>
      </c>
    </row>
    <row r="1059" spans="1:11">
      <c r="A1059" s="74" t="s">
        <v>113</v>
      </c>
      <c r="B1059" s="74" t="s">
        <v>198</v>
      </c>
      <c r="C1059" s="74" t="s">
        <v>199</v>
      </c>
      <c r="D1059" s="74" t="s">
        <v>79</v>
      </c>
      <c r="E1059" s="74" t="s">
        <v>81</v>
      </c>
      <c r="F1059" s="86" t="s">
        <v>180</v>
      </c>
      <c r="G1059" s="74" t="s">
        <v>177</v>
      </c>
      <c r="H1059" s="87">
        <v>44012</v>
      </c>
      <c r="I1059" s="94">
        <v>846.59</v>
      </c>
      <c r="J1059" s="94">
        <v>634.94</v>
      </c>
      <c r="K1059" s="94">
        <v>211.65</v>
      </c>
    </row>
    <row r="1060" spans="1:11">
      <c r="A1060" s="74" t="s">
        <v>113</v>
      </c>
      <c r="B1060" s="74" t="s">
        <v>200</v>
      </c>
      <c r="C1060" s="74" t="s">
        <v>201</v>
      </c>
      <c r="D1060" s="74" t="s">
        <v>79</v>
      </c>
      <c r="E1060" s="74" t="s">
        <v>81</v>
      </c>
      <c r="F1060" s="86" t="s">
        <v>183</v>
      </c>
      <c r="G1060" s="74" t="s">
        <v>177</v>
      </c>
      <c r="H1060" s="87">
        <v>44012</v>
      </c>
      <c r="I1060" s="94">
        <v>423.22</v>
      </c>
      <c r="J1060" s="94">
        <v>317.42</v>
      </c>
      <c r="K1060" s="94">
        <v>105.8</v>
      </c>
    </row>
    <row r="1061" spans="1:11">
      <c r="A1061" s="74" t="s">
        <v>113</v>
      </c>
      <c r="B1061" s="74" t="s">
        <v>202</v>
      </c>
      <c r="C1061" s="74" t="s">
        <v>203</v>
      </c>
      <c r="D1061" s="74" t="s">
        <v>79</v>
      </c>
      <c r="E1061" s="74" t="s">
        <v>81</v>
      </c>
      <c r="F1061" s="86" t="s">
        <v>204</v>
      </c>
      <c r="G1061" s="74" t="s">
        <v>205</v>
      </c>
      <c r="H1061" s="87">
        <v>44012</v>
      </c>
      <c r="I1061" s="94">
        <v>7092.68</v>
      </c>
      <c r="J1061" s="94">
        <v>5319.51</v>
      </c>
      <c r="K1061" s="94">
        <v>1773.17</v>
      </c>
    </row>
    <row r="1062" spans="1:11">
      <c r="A1062" s="74" t="s">
        <v>113</v>
      </c>
      <c r="B1062" s="74" t="s">
        <v>206</v>
      </c>
      <c r="C1062" s="74" t="s">
        <v>207</v>
      </c>
      <c r="D1062" s="88" t="s">
        <v>82</v>
      </c>
      <c r="E1062" s="88" t="s">
        <v>84</v>
      </c>
      <c r="F1062" s="86" t="s">
        <v>208</v>
      </c>
      <c r="G1062" s="74" t="s">
        <v>209</v>
      </c>
      <c r="H1062" s="87">
        <v>44012</v>
      </c>
      <c r="I1062" s="94">
        <v>3608.63</v>
      </c>
      <c r="J1062" s="94">
        <v>2706.47</v>
      </c>
      <c r="K1062" s="94">
        <v>902.16</v>
      </c>
    </row>
    <row r="1063" spans="1:11">
      <c r="A1063" s="74" t="s">
        <v>113</v>
      </c>
      <c r="B1063" s="74" t="s">
        <v>210</v>
      </c>
      <c r="C1063" s="74" t="s">
        <v>211</v>
      </c>
      <c r="D1063" s="88" t="s">
        <v>82</v>
      </c>
      <c r="E1063" s="88" t="s">
        <v>84</v>
      </c>
      <c r="F1063" s="86" t="s">
        <v>116</v>
      </c>
      <c r="G1063" s="74" t="s">
        <v>209</v>
      </c>
      <c r="H1063" s="87">
        <v>44012</v>
      </c>
      <c r="I1063" s="94">
        <v>3192.65</v>
      </c>
      <c r="J1063" s="94">
        <v>2394.49</v>
      </c>
      <c r="K1063" s="94">
        <v>798.16</v>
      </c>
    </row>
    <row r="1064" spans="1:11">
      <c r="A1064" s="74" t="s">
        <v>113</v>
      </c>
      <c r="B1064" s="74" t="s">
        <v>212</v>
      </c>
      <c r="C1064" s="74" t="s">
        <v>213</v>
      </c>
      <c r="D1064" s="88" t="s">
        <v>82</v>
      </c>
      <c r="E1064" s="88" t="s">
        <v>84</v>
      </c>
      <c r="F1064" s="86" t="s">
        <v>208</v>
      </c>
      <c r="G1064" s="74" t="s">
        <v>209</v>
      </c>
      <c r="H1064" s="87">
        <v>44012</v>
      </c>
      <c r="I1064" s="94">
        <v>3605.44</v>
      </c>
      <c r="J1064" s="94">
        <v>2704.08</v>
      </c>
      <c r="K1064" s="94">
        <v>901.36</v>
      </c>
    </row>
    <row r="1065" spans="1:11">
      <c r="A1065" s="74" t="s">
        <v>113</v>
      </c>
      <c r="B1065" s="74" t="s">
        <v>214</v>
      </c>
      <c r="C1065" s="74" t="s">
        <v>215</v>
      </c>
      <c r="D1065" s="88" t="s">
        <v>82</v>
      </c>
      <c r="E1065" s="88" t="s">
        <v>84</v>
      </c>
      <c r="F1065" s="86" t="s">
        <v>116</v>
      </c>
      <c r="G1065" s="74" t="s">
        <v>209</v>
      </c>
      <c r="H1065" s="87">
        <v>44012</v>
      </c>
      <c r="I1065" s="94">
        <v>3306.65</v>
      </c>
      <c r="J1065" s="94">
        <v>2479.99</v>
      </c>
      <c r="K1065" s="94">
        <v>826.66</v>
      </c>
    </row>
    <row r="1066" spans="1:11">
      <c r="A1066" s="74" t="s">
        <v>113</v>
      </c>
      <c r="B1066" s="74" t="s">
        <v>216</v>
      </c>
      <c r="C1066" s="74" t="s">
        <v>217</v>
      </c>
      <c r="D1066" s="88" t="s">
        <v>82</v>
      </c>
      <c r="E1066" s="88" t="s">
        <v>84</v>
      </c>
      <c r="F1066" s="86" t="s">
        <v>218</v>
      </c>
      <c r="G1066" s="74" t="s">
        <v>219</v>
      </c>
      <c r="H1066" s="87">
        <v>44012</v>
      </c>
      <c r="I1066" s="94">
        <v>4486.13</v>
      </c>
      <c r="J1066" s="94">
        <v>3364.6</v>
      </c>
      <c r="K1066" s="94">
        <v>1121.53</v>
      </c>
    </row>
    <row r="1067" spans="1:11">
      <c r="A1067" s="74" t="s">
        <v>113</v>
      </c>
      <c r="B1067" s="74" t="s">
        <v>220</v>
      </c>
      <c r="C1067" s="74" t="s">
        <v>221</v>
      </c>
      <c r="D1067" s="88" t="s">
        <v>82</v>
      </c>
      <c r="E1067" s="74" t="s">
        <v>83</v>
      </c>
      <c r="F1067" s="86" t="s">
        <v>218</v>
      </c>
      <c r="G1067" s="74" t="s">
        <v>222</v>
      </c>
      <c r="H1067" s="87">
        <v>44012</v>
      </c>
      <c r="I1067" s="94">
        <v>4478.09</v>
      </c>
      <c r="J1067" s="94">
        <v>3358.57</v>
      </c>
      <c r="K1067" s="94">
        <v>1119.52</v>
      </c>
    </row>
    <row r="1068" spans="1:11">
      <c r="A1068" s="74" t="s">
        <v>113</v>
      </c>
      <c r="B1068" s="74" t="s">
        <v>223</v>
      </c>
      <c r="C1068" s="74" t="s">
        <v>224</v>
      </c>
      <c r="D1068" s="88" t="s">
        <v>82</v>
      </c>
      <c r="E1068" s="74" t="s">
        <v>83</v>
      </c>
      <c r="F1068" s="86" t="s">
        <v>225</v>
      </c>
      <c r="G1068" s="74" t="s">
        <v>209</v>
      </c>
      <c r="H1068" s="87">
        <v>44012</v>
      </c>
      <c r="I1068" s="94">
        <v>4091.05</v>
      </c>
      <c r="J1068" s="94">
        <v>3068.29</v>
      </c>
      <c r="K1068" s="94">
        <v>1022.76</v>
      </c>
    </row>
    <row r="1069" spans="1:11">
      <c r="A1069" s="74" t="s">
        <v>113</v>
      </c>
      <c r="B1069" s="74" t="s">
        <v>226</v>
      </c>
      <c r="C1069" s="74" t="s">
        <v>227</v>
      </c>
      <c r="D1069" s="88" t="s">
        <v>82</v>
      </c>
      <c r="E1069" s="74" t="s">
        <v>83</v>
      </c>
      <c r="F1069" s="86" t="s">
        <v>208</v>
      </c>
      <c r="G1069" s="74" t="s">
        <v>209</v>
      </c>
      <c r="H1069" s="87">
        <v>44012</v>
      </c>
      <c r="I1069" s="94">
        <v>3771.3</v>
      </c>
      <c r="J1069" s="94">
        <v>2828.48</v>
      </c>
      <c r="K1069" s="94">
        <v>942.82</v>
      </c>
    </row>
    <row r="1070" spans="1:11">
      <c r="A1070" s="74" t="s">
        <v>113</v>
      </c>
      <c r="B1070" s="74" t="s">
        <v>228</v>
      </c>
      <c r="C1070" s="74" t="s">
        <v>229</v>
      </c>
      <c r="D1070" s="88" t="s">
        <v>82</v>
      </c>
      <c r="E1070" s="74" t="s">
        <v>83</v>
      </c>
      <c r="F1070" s="86" t="s">
        <v>116</v>
      </c>
      <c r="G1070" s="74" t="s">
        <v>209</v>
      </c>
      <c r="H1070" s="87">
        <v>44012</v>
      </c>
      <c r="I1070" s="94">
        <v>3419.89</v>
      </c>
      <c r="J1070" s="94">
        <v>2564.92</v>
      </c>
      <c r="K1070" s="94">
        <v>854.97</v>
      </c>
    </row>
    <row r="1071" spans="1:11">
      <c r="A1071" s="74" t="s">
        <v>113</v>
      </c>
      <c r="B1071" s="74" t="s">
        <v>230</v>
      </c>
      <c r="C1071" s="74" t="s">
        <v>231</v>
      </c>
      <c r="D1071" s="88" t="s">
        <v>82</v>
      </c>
      <c r="E1071" s="74" t="s">
        <v>83</v>
      </c>
      <c r="F1071" s="86" t="s">
        <v>120</v>
      </c>
      <c r="G1071" s="74" t="s">
        <v>209</v>
      </c>
      <c r="H1071" s="87">
        <v>44012</v>
      </c>
      <c r="I1071" s="94">
        <v>2968.91</v>
      </c>
      <c r="J1071" s="94">
        <v>2226.68</v>
      </c>
      <c r="K1071" s="94">
        <v>742.23</v>
      </c>
    </row>
    <row r="1072" spans="1:11">
      <c r="A1072" s="74" t="s">
        <v>113</v>
      </c>
      <c r="B1072" s="74" t="s">
        <v>232</v>
      </c>
      <c r="C1072" s="74" t="s">
        <v>233</v>
      </c>
      <c r="D1072" s="88" t="s">
        <v>82</v>
      </c>
      <c r="E1072" s="74" t="s">
        <v>83</v>
      </c>
      <c r="F1072" s="86" t="s">
        <v>123</v>
      </c>
      <c r="G1072" s="74" t="s">
        <v>209</v>
      </c>
      <c r="H1072" s="87">
        <v>44012</v>
      </c>
      <c r="I1072" s="94">
        <v>2424.31</v>
      </c>
      <c r="J1072" s="94">
        <v>1818.23</v>
      </c>
      <c r="K1072" s="94">
        <v>606.08</v>
      </c>
    </row>
    <row r="1073" spans="1:11">
      <c r="A1073" s="74" t="s">
        <v>113</v>
      </c>
      <c r="B1073" s="74" t="s">
        <v>234</v>
      </c>
      <c r="C1073" s="74" t="s">
        <v>235</v>
      </c>
      <c r="D1073" s="88" t="s">
        <v>82</v>
      </c>
      <c r="E1073" s="74" t="s">
        <v>83</v>
      </c>
      <c r="F1073" s="86" t="s">
        <v>116</v>
      </c>
      <c r="G1073" s="74" t="s">
        <v>209</v>
      </c>
      <c r="H1073" s="87">
        <v>44012</v>
      </c>
      <c r="I1073" s="94">
        <v>3303.05</v>
      </c>
      <c r="J1073" s="94">
        <v>2477.29</v>
      </c>
      <c r="K1073" s="94">
        <v>825.76</v>
      </c>
    </row>
    <row r="1074" spans="1:11">
      <c r="A1074" s="74" t="s">
        <v>113</v>
      </c>
      <c r="B1074" s="74" t="s">
        <v>236</v>
      </c>
      <c r="C1074" s="74" t="s">
        <v>237</v>
      </c>
      <c r="D1074" s="88" t="s">
        <v>82</v>
      </c>
      <c r="E1074" s="74" t="s">
        <v>83</v>
      </c>
      <c r="F1074" s="86" t="s">
        <v>120</v>
      </c>
      <c r="G1074" s="74" t="s">
        <v>209</v>
      </c>
      <c r="H1074" s="87">
        <v>44012</v>
      </c>
      <c r="I1074" s="94">
        <v>2759.94</v>
      </c>
      <c r="J1074" s="94">
        <v>2069.96</v>
      </c>
      <c r="K1074" s="94">
        <v>689.98</v>
      </c>
    </row>
    <row r="1075" spans="1:11">
      <c r="A1075" s="74" t="s">
        <v>113</v>
      </c>
      <c r="B1075" s="74" t="s">
        <v>238</v>
      </c>
      <c r="C1075" s="74" t="s">
        <v>239</v>
      </c>
      <c r="D1075" s="74" t="s">
        <v>86</v>
      </c>
      <c r="E1075" s="74" t="s">
        <v>87</v>
      </c>
      <c r="F1075" s="86" t="s">
        <v>204</v>
      </c>
      <c r="G1075" s="74" t="s">
        <v>240</v>
      </c>
      <c r="H1075" s="87">
        <v>44012</v>
      </c>
      <c r="I1075" s="94">
        <v>6105.65</v>
      </c>
      <c r="J1075" s="94">
        <v>4579.24</v>
      </c>
      <c r="K1075" s="94">
        <v>1526.41</v>
      </c>
    </row>
    <row r="1076" spans="1:11">
      <c r="A1076" s="74" t="s">
        <v>113</v>
      </c>
      <c r="B1076" s="74" t="s">
        <v>241</v>
      </c>
      <c r="C1076" s="74" t="s">
        <v>242</v>
      </c>
      <c r="D1076" s="74" t="s">
        <v>86</v>
      </c>
      <c r="E1076" s="74" t="s">
        <v>87</v>
      </c>
      <c r="F1076" s="86" t="s">
        <v>243</v>
      </c>
      <c r="G1076" s="74" t="s">
        <v>244</v>
      </c>
      <c r="H1076" s="87">
        <v>44012</v>
      </c>
      <c r="I1076" s="94">
        <v>4290.04</v>
      </c>
      <c r="J1076" s="94">
        <v>3217.53</v>
      </c>
      <c r="K1076" s="94">
        <v>1072.51</v>
      </c>
    </row>
    <row r="1077" spans="1:11">
      <c r="A1077" s="74" t="s">
        <v>113</v>
      </c>
      <c r="B1077" s="74" t="s">
        <v>245</v>
      </c>
      <c r="C1077" s="74" t="s">
        <v>246</v>
      </c>
      <c r="D1077" s="74" t="s">
        <v>86</v>
      </c>
      <c r="E1077" s="74" t="s">
        <v>87</v>
      </c>
      <c r="F1077" s="86" t="s">
        <v>247</v>
      </c>
      <c r="G1077" s="74" t="s">
        <v>248</v>
      </c>
      <c r="H1077" s="87">
        <v>44012</v>
      </c>
      <c r="I1077" s="94">
        <v>3862.2</v>
      </c>
      <c r="J1077" s="94">
        <v>2896.65</v>
      </c>
      <c r="K1077" s="94">
        <v>965.55</v>
      </c>
    </row>
    <row r="1078" spans="1:11">
      <c r="A1078" s="74" t="s">
        <v>113</v>
      </c>
      <c r="B1078" s="74" t="s">
        <v>249</v>
      </c>
      <c r="C1078" s="74" t="s">
        <v>250</v>
      </c>
      <c r="D1078" s="74" t="s">
        <v>86</v>
      </c>
      <c r="E1078" s="74" t="s">
        <v>87</v>
      </c>
      <c r="F1078" s="86" t="s">
        <v>251</v>
      </c>
      <c r="G1078" s="74" t="s">
        <v>252</v>
      </c>
      <c r="H1078" s="87">
        <v>44012</v>
      </c>
      <c r="I1078" s="94">
        <v>3593.3</v>
      </c>
      <c r="J1078" s="94">
        <v>2694.98</v>
      </c>
      <c r="K1078" s="94">
        <v>898.32</v>
      </c>
    </row>
    <row r="1079" spans="1:11">
      <c r="A1079" s="74" t="s">
        <v>113</v>
      </c>
      <c r="B1079" s="74" t="s">
        <v>253</v>
      </c>
      <c r="C1079" s="74" t="s">
        <v>254</v>
      </c>
      <c r="D1079" s="74" t="s">
        <v>86</v>
      </c>
      <c r="E1079" s="74" t="s">
        <v>87</v>
      </c>
      <c r="F1079" s="86" t="s">
        <v>255</v>
      </c>
      <c r="G1079" s="74" t="s">
        <v>252</v>
      </c>
      <c r="H1079" s="87">
        <v>44012</v>
      </c>
      <c r="I1079" s="94">
        <v>3390.09</v>
      </c>
      <c r="J1079" s="94">
        <v>2542.57</v>
      </c>
      <c r="K1079" s="94">
        <v>847.52</v>
      </c>
    </row>
    <row r="1080" spans="1:11">
      <c r="A1080" s="74" t="s">
        <v>113</v>
      </c>
      <c r="B1080" s="74" t="s">
        <v>256</v>
      </c>
      <c r="C1080" s="74" t="s">
        <v>257</v>
      </c>
      <c r="D1080" s="74" t="s">
        <v>86</v>
      </c>
      <c r="E1080" s="74" t="s">
        <v>87</v>
      </c>
      <c r="F1080" s="86" t="s">
        <v>258</v>
      </c>
      <c r="G1080" s="74" t="s">
        <v>252</v>
      </c>
      <c r="H1080" s="87">
        <v>44012</v>
      </c>
      <c r="I1080" s="94">
        <v>3010.88</v>
      </c>
      <c r="J1080" s="94">
        <v>2258.16</v>
      </c>
      <c r="K1080" s="94">
        <v>752.72</v>
      </c>
    </row>
    <row r="1081" spans="1:11">
      <c r="A1081" s="74" t="s">
        <v>113</v>
      </c>
      <c r="B1081" s="74" t="s">
        <v>259</v>
      </c>
      <c r="C1081" s="74" t="s">
        <v>260</v>
      </c>
      <c r="D1081" s="74" t="s">
        <v>86</v>
      </c>
      <c r="E1081" s="74" t="s">
        <v>87</v>
      </c>
      <c r="F1081" s="86" t="s">
        <v>261</v>
      </c>
      <c r="G1081" s="74" t="s">
        <v>262</v>
      </c>
      <c r="H1081" s="87">
        <v>44012</v>
      </c>
      <c r="I1081" s="94">
        <v>2519.61</v>
      </c>
      <c r="J1081" s="94">
        <v>1889.71</v>
      </c>
      <c r="K1081" s="94">
        <v>629.9</v>
      </c>
    </row>
    <row r="1082" spans="1:11">
      <c r="A1082" s="74" t="s">
        <v>113</v>
      </c>
      <c r="B1082" s="74" t="s">
        <v>263</v>
      </c>
      <c r="C1082" s="74" t="s">
        <v>264</v>
      </c>
      <c r="D1082" s="74" t="s">
        <v>86</v>
      </c>
      <c r="E1082" s="74" t="s">
        <v>88</v>
      </c>
      <c r="F1082" s="86" t="s">
        <v>149</v>
      </c>
      <c r="G1082" s="74" t="s">
        <v>265</v>
      </c>
      <c r="H1082" s="87">
        <v>44012</v>
      </c>
      <c r="I1082" s="94">
        <v>5577.81</v>
      </c>
      <c r="J1082" s="94">
        <v>4183.36</v>
      </c>
      <c r="K1082" s="94">
        <v>1394.45</v>
      </c>
    </row>
    <row r="1083" spans="1:11">
      <c r="A1083" s="74" t="s">
        <v>113</v>
      </c>
      <c r="B1083" s="74" t="s">
        <v>266</v>
      </c>
      <c r="C1083" s="74" t="s">
        <v>267</v>
      </c>
      <c r="D1083" s="74" t="s">
        <v>86</v>
      </c>
      <c r="E1083" s="74" t="s">
        <v>88</v>
      </c>
      <c r="F1083" s="86" t="s">
        <v>243</v>
      </c>
      <c r="G1083" s="74" t="s">
        <v>268</v>
      </c>
      <c r="H1083" s="87">
        <v>44012</v>
      </c>
      <c r="I1083" s="94">
        <v>4258.62</v>
      </c>
      <c r="J1083" s="94">
        <v>3193.97</v>
      </c>
      <c r="K1083" s="94">
        <v>1064.65</v>
      </c>
    </row>
    <row r="1084" spans="1:11">
      <c r="A1084" s="74" t="s">
        <v>113</v>
      </c>
      <c r="B1084" s="74" t="s">
        <v>269</v>
      </c>
      <c r="C1084" s="74" t="s">
        <v>270</v>
      </c>
      <c r="D1084" s="74" t="s">
        <v>86</v>
      </c>
      <c r="E1084" s="74" t="s">
        <v>88</v>
      </c>
      <c r="F1084" s="86" t="s">
        <v>247</v>
      </c>
      <c r="G1084" s="74" t="s">
        <v>268</v>
      </c>
      <c r="H1084" s="87">
        <v>44012</v>
      </c>
      <c r="I1084" s="94">
        <v>3963.27</v>
      </c>
      <c r="J1084" s="94">
        <v>2972.45</v>
      </c>
      <c r="K1084" s="94">
        <v>990.82</v>
      </c>
    </row>
    <row r="1085" spans="1:11">
      <c r="A1085" s="74" t="s">
        <v>113</v>
      </c>
      <c r="B1085" s="74" t="s">
        <v>271</v>
      </c>
      <c r="C1085" s="74" t="s">
        <v>272</v>
      </c>
      <c r="D1085" s="74" t="s">
        <v>86</v>
      </c>
      <c r="E1085" s="74" t="s">
        <v>88</v>
      </c>
      <c r="F1085" s="86" t="s">
        <v>251</v>
      </c>
      <c r="G1085" s="74" t="s">
        <v>268</v>
      </c>
      <c r="H1085" s="87">
        <v>44012</v>
      </c>
      <c r="I1085" s="94">
        <v>3494.65</v>
      </c>
      <c r="J1085" s="94">
        <v>2620.99</v>
      </c>
      <c r="K1085" s="94">
        <v>873.66</v>
      </c>
    </row>
    <row r="1086" spans="1:11">
      <c r="A1086" s="74" t="s">
        <v>113</v>
      </c>
      <c r="B1086" s="74" t="s">
        <v>273</v>
      </c>
      <c r="C1086" s="74" t="s">
        <v>274</v>
      </c>
      <c r="D1086" s="74" t="s">
        <v>86</v>
      </c>
      <c r="E1086" s="74" t="s">
        <v>88</v>
      </c>
      <c r="F1086" s="86" t="s">
        <v>255</v>
      </c>
      <c r="G1086" s="74" t="s">
        <v>268</v>
      </c>
      <c r="H1086" s="87">
        <v>44012</v>
      </c>
      <c r="I1086" s="94">
        <v>3276.25</v>
      </c>
      <c r="J1086" s="94">
        <v>2457.19</v>
      </c>
      <c r="K1086" s="94">
        <v>819.06</v>
      </c>
    </row>
    <row r="1087" spans="1:11">
      <c r="A1087" s="74" t="s">
        <v>113</v>
      </c>
      <c r="B1087" s="74" t="s">
        <v>275</v>
      </c>
      <c r="C1087" s="74" t="s">
        <v>276</v>
      </c>
      <c r="D1087" s="74" t="s">
        <v>86</v>
      </c>
      <c r="E1087" s="74" t="s">
        <v>88</v>
      </c>
      <c r="F1087" s="86" t="s">
        <v>258</v>
      </c>
      <c r="G1087" s="74" t="s">
        <v>268</v>
      </c>
      <c r="H1087" s="87">
        <v>44012</v>
      </c>
      <c r="I1087" s="94">
        <v>2856.22</v>
      </c>
      <c r="J1087" s="94">
        <v>2142.17</v>
      </c>
      <c r="K1087" s="94">
        <v>714.05</v>
      </c>
    </row>
    <row r="1088" spans="1:11">
      <c r="A1088" s="74" t="s">
        <v>113</v>
      </c>
      <c r="B1088" s="74" t="s">
        <v>277</v>
      </c>
      <c r="C1088" s="74" t="s">
        <v>278</v>
      </c>
      <c r="D1088" s="74" t="s">
        <v>86</v>
      </c>
      <c r="E1088" s="74" t="s">
        <v>89</v>
      </c>
      <c r="F1088" s="86" t="s">
        <v>279</v>
      </c>
      <c r="G1088" s="74" t="s">
        <v>280</v>
      </c>
      <c r="H1088" s="87">
        <v>44012</v>
      </c>
      <c r="I1088" s="94">
        <v>4684.26</v>
      </c>
      <c r="J1088" s="94">
        <v>3513.2</v>
      </c>
      <c r="K1088" s="94">
        <v>1171.06</v>
      </c>
    </row>
    <row r="1089" spans="1:11">
      <c r="A1089" s="74" t="s">
        <v>113</v>
      </c>
      <c r="B1089" s="74" t="s">
        <v>281</v>
      </c>
      <c r="C1089" s="74" t="s">
        <v>282</v>
      </c>
      <c r="D1089" s="74" t="s">
        <v>86</v>
      </c>
      <c r="E1089" s="74" t="s">
        <v>89</v>
      </c>
      <c r="F1089" s="86" t="s">
        <v>225</v>
      </c>
      <c r="G1089" s="74" t="s">
        <v>283</v>
      </c>
      <c r="H1089" s="87">
        <v>44012</v>
      </c>
      <c r="I1089" s="94">
        <v>3295.7</v>
      </c>
      <c r="J1089" s="94">
        <v>2471.78</v>
      </c>
      <c r="K1089" s="94">
        <v>823.92</v>
      </c>
    </row>
    <row r="1090" spans="1:11">
      <c r="A1090" s="74" t="s">
        <v>113</v>
      </c>
      <c r="B1090" s="74" t="s">
        <v>284</v>
      </c>
      <c r="C1090" s="74" t="s">
        <v>285</v>
      </c>
      <c r="D1090" s="74" t="s">
        <v>86</v>
      </c>
      <c r="E1090" s="74" t="s">
        <v>89</v>
      </c>
      <c r="F1090" s="86" t="s">
        <v>208</v>
      </c>
      <c r="G1090" s="74" t="s">
        <v>283</v>
      </c>
      <c r="H1090" s="87">
        <v>44012</v>
      </c>
      <c r="I1090" s="94">
        <v>2986.83</v>
      </c>
      <c r="J1090" s="94">
        <v>2240.12</v>
      </c>
      <c r="K1090" s="94">
        <v>746.71</v>
      </c>
    </row>
    <row r="1091" spans="1:11">
      <c r="A1091" s="74" t="s">
        <v>113</v>
      </c>
      <c r="B1091" s="74" t="s">
        <v>286</v>
      </c>
      <c r="C1091" s="74" t="s">
        <v>287</v>
      </c>
      <c r="D1091" s="74" t="s">
        <v>82</v>
      </c>
      <c r="E1091" s="88" t="s">
        <v>85</v>
      </c>
      <c r="F1091" s="86" t="s">
        <v>288</v>
      </c>
      <c r="G1091" s="74" t="s">
        <v>289</v>
      </c>
      <c r="H1091" s="87">
        <v>44012</v>
      </c>
      <c r="I1091" s="94">
        <v>5053.27</v>
      </c>
      <c r="J1091" s="94">
        <v>3789.95</v>
      </c>
      <c r="K1091" s="94">
        <v>1263.32</v>
      </c>
    </row>
    <row r="1092" spans="1:11">
      <c r="A1092" s="74" t="s">
        <v>113</v>
      </c>
      <c r="B1092" s="74" t="s">
        <v>290</v>
      </c>
      <c r="C1092" s="74" t="s">
        <v>291</v>
      </c>
      <c r="D1092" s="74" t="s">
        <v>82</v>
      </c>
      <c r="E1092" s="88" t="s">
        <v>85</v>
      </c>
      <c r="F1092" s="86" t="s">
        <v>218</v>
      </c>
      <c r="G1092" s="74" t="s">
        <v>289</v>
      </c>
      <c r="H1092" s="87">
        <v>44012</v>
      </c>
      <c r="I1092" s="94">
        <v>4380.76</v>
      </c>
      <c r="J1092" s="94">
        <v>3285.57</v>
      </c>
      <c r="K1092" s="94">
        <v>1095.19</v>
      </c>
    </row>
    <row r="1093" spans="1:11">
      <c r="A1093" s="74" t="s">
        <v>113</v>
      </c>
      <c r="B1093" s="74" t="s">
        <v>292</v>
      </c>
      <c r="C1093" s="74" t="s">
        <v>293</v>
      </c>
      <c r="D1093" s="74" t="s">
        <v>82</v>
      </c>
      <c r="E1093" s="88" t="s">
        <v>85</v>
      </c>
      <c r="F1093" s="86" t="s">
        <v>225</v>
      </c>
      <c r="G1093" s="74" t="s">
        <v>289</v>
      </c>
      <c r="H1093" s="87">
        <v>44012</v>
      </c>
      <c r="I1093" s="94">
        <v>4229.21</v>
      </c>
      <c r="J1093" s="94">
        <v>3171.91</v>
      </c>
      <c r="K1093" s="94">
        <v>1057.3</v>
      </c>
    </row>
    <row r="1094" spans="1:11">
      <c r="A1094" s="74" t="s">
        <v>113</v>
      </c>
      <c r="B1094" s="74" t="s">
        <v>294</v>
      </c>
      <c r="C1094" s="74" t="s">
        <v>295</v>
      </c>
      <c r="D1094" s="74" t="s">
        <v>82</v>
      </c>
      <c r="E1094" s="88" t="s">
        <v>85</v>
      </c>
      <c r="F1094" s="86" t="s">
        <v>208</v>
      </c>
      <c r="G1094" s="74" t="s">
        <v>289</v>
      </c>
      <c r="H1094" s="87">
        <v>44012</v>
      </c>
      <c r="I1094" s="94">
        <v>3520.66</v>
      </c>
      <c r="J1094" s="94">
        <v>2640.5</v>
      </c>
      <c r="K1094" s="94">
        <v>880.16</v>
      </c>
    </row>
    <row r="1095" spans="1:11">
      <c r="A1095" s="74" t="s">
        <v>113</v>
      </c>
      <c r="B1095" s="74" t="s">
        <v>296</v>
      </c>
      <c r="C1095" s="74" t="s">
        <v>297</v>
      </c>
      <c r="D1095" s="74" t="s">
        <v>82</v>
      </c>
      <c r="E1095" s="88" t="s">
        <v>85</v>
      </c>
      <c r="F1095" s="86" t="s">
        <v>116</v>
      </c>
      <c r="G1095" s="74" t="s">
        <v>289</v>
      </c>
      <c r="H1095" s="87">
        <v>44012</v>
      </c>
      <c r="I1095" s="94">
        <v>3376.03</v>
      </c>
      <c r="J1095" s="94">
        <v>2532.02</v>
      </c>
      <c r="K1095" s="94">
        <v>844.01</v>
      </c>
    </row>
    <row r="1096" spans="1:11">
      <c r="A1096" s="74" t="s">
        <v>113</v>
      </c>
      <c r="B1096" s="74" t="s">
        <v>298</v>
      </c>
      <c r="C1096" s="74" t="s">
        <v>299</v>
      </c>
      <c r="D1096" s="74" t="s">
        <v>82</v>
      </c>
      <c r="E1096" s="88" t="s">
        <v>85</v>
      </c>
      <c r="F1096" s="86" t="s">
        <v>279</v>
      </c>
      <c r="G1096" s="74" t="s">
        <v>300</v>
      </c>
      <c r="H1096" s="87">
        <v>44012</v>
      </c>
      <c r="I1096" s="94">
        <v>6419</v>
      </c>
      <c r="J1096" s="94">
        <v>4814.25</v>
      </c>
      <c r="K1096" s="94">
        <v>1604.75</v>
      </c>
    </row>
    <row r="1097" spans="1:11">
      <c r="A1097" s="74" t="s">
        <v>113</v>
      </c>
      <c r="B1097" s="74" t="s">
        <v>301</v>
      </c>
      <c r="C1097" s="74" t="s">
        <v>302</v>
      </c>
      <c r="D1097" s="74" t="s">
        <v>82</v>
      </c>
      <c r="E1097" s="88" t="s">
        <v>85</v>
      </c>
      <c r="F1097" s="86" t="s">
        <v>279</v>
      </c>
      <c r="G1097" s="74" t="s">
        <v>303</v>
      </c>
      <c r="H1097" s="87">
        <v>44012</v>
      </c>
      <c r="I1097" s="94">
        <v>6278.47</v>
      </c>
      <c r="J1097" s="94">
        <v>4708.85</v>
      </c>
      <c r="K1097" s="94">
        <v>1569.62</v>
      </c>
    </row>
    <row r="1098" spans="1:11">
      <c r="A1098" s="74" t="s">
        <v>113</v>
      </c>
      <c r="B1098" s="74" t="s">
        <v>304</v>
      </c>
      <c r="C1098" s="74" t="s">
        <v>305</v>
      </c>
      <c r="D1098" s="74" t="s">
        <v>86</v>
      </c>
      <c r="E1098" s="74" t="s">
        <v>90</v>
      </c>
      <c r="F1098" s="86" t="s">
        <v>306</v>
      </c>
      <c r="G1098" s="74" t="s">
        <v>307</v>
      </c>
      <c r="H1098" s="87">
        <v>44012</v>
      </c>
      <c r="I1098" s="94">
        <v>6684.3</v>
      </c>
      <c r="J1098" s="94">
        <v>5013.23</v>
      </c>
      <c r="K1098" s="94">
        <v>1671.07</v>
      </c>
    </row>
    <row r="1099" spans="1:11">
      <c r="A1099" s="74" t="s">
        <v>113</v>
      </c>
      <c r="B1099" s="74" t="s">
        <v>114</v>
      </c>
      <c r="C1099" s="74" t="s">
        <v>115</v>
      </c>
      <c r="D1099" s="74" t="s">
        <v>79</v>
      </c>
      <c r="E1099" s="74" t="s">
        <v>80</v>
      </c>
      <c r="F1099" s="86" t="s">
        <v>116</v>
      </c>
      <c r="G1099" s="74" t="s">
        <v>117</v>
      </c>
      <c r="H1099" s="87">
        <v>44043</v>
      </c>
      <c r="I1099" s="94">
        <v>3412.74</v>
      </c>
      <c r="J1099" s="94">
        <v>2559.56</v>
      </c>
      <c r="K1099" s="94">
        <v>853.18</v>
      </c>
    </row>
    <row r="1100" spans="1:11">
      <c r="A1100" s="74" t="s">
        <v>113</v>
      </c>
      <c r="B1100" s="74" t="s">
        <v>118</v>
      </c>
      <c r="C1100" s="74" t="s">
        <v>119</v>
      </c>
      <c r="D1100" s="74" t="s">
        <v>79</v>
      </c>
      <c r="E1100" s="74" t="s">
        <v>80</v>
      </c>
      <c r="F1100" s="86" t="s">
        <v>120</v>
      </c>
      <c r="G1100" s="74" t="s">
        <v>117</v>
      </c>
      <c r="H1100" s="87">
        <v>44043</v>
      </c>
      <c r="I1100" s="94">
        <v>2889.32</v>
      </c>
      <c r="J1100" s="94">
        <v>2166.99</v>
      </c>
      <c r="K1100" s="94">
        <v>722.33</v>
      </c>
    </row>
    <row r="1101" spans="1:11">
      <c r="A1101" s="74" t="s">
        <v>113</v>
      </c>
      <c r="B1101" s="74" t="s">
        <v>121</v>
      </c>
      <c r="C1101" s="74" t="s">
        <v>122</v>
      </c>
      <c r="D1101" s="74" t="s">
        <v>79</v>
      </c>
      <c r="E1101" s="74" t="s">
        <v>80</v>
      </c>
      <c r="F1101" s="86" t="s">
        <v>123</v>
      </c>
      <c r="G1101" s="74" t="s">
        <v>117</v>
      </c>
      <c r="H1101" s="87">
        <v>44043</v>
      </c>
      <c r="I1101" s="94">
        <v>2462.15</v>
      </c>
      <c r="J1101" s="94">
        <v>1846.61</v>
      </c>
      <c r="K1101" s="94">
        <v>615.54</v>
      </c>
    </row>
    <row r="1102" spans="1:11">
      <c r="A1102" s="74" t="s">
        <v>113</v>
      </c>
      <c r="B1102" s="74" t="s">
        <v>124</v>
      </c>
      <c r="C1102" s="74" t="s">
        <v>125</v>
      </c>
      <c r="D1102" s="74" t="s">
        <v>79</v>
      </c>
      <c r="E1102" s="74" t="s">
        <v>80</v>
      </c>
      <c r="F1102" s="86" t="s">
        <v>116</v>
      </c>
      <c r="G1102" s="74" t="s">
        <v>117</v>
      </c>
      <c r="H1102" s="87">
        <v>44043</v>
      </c>
      <c r="I1102" s="94">
        <v>3406.53</v>
      </c>
      <c r="J1102" s="94">
        <v>2554.9</v>
      </c>
      <c r="K1102" s="94">
        <v>851.63</v>
      </c>
    </row>
    <row r="1103" spans="1:11">
      <c r="A1103" s="74" t="s">
        <v>113</v>
      </c>
      <c r="B1103" s="74" t="s">
        <v>126</v>
      </c>
      <c r="C1103" s="74" t="s">
        <v>127</v>
      </c>
      <c r="D1103" s="74" t="s">
        <v>79</v>
      </c>
      <c r="E1103" s="74" t="s">
        <v>80</v>
      </c>
      <c r="F1103" s="86" t="s">
        <v>120</v>
      </c>
      <c r="G1103" s="74" t="s">
        <v>117</v>
      </c>
      <c r="H1103" s="87">
        <v>44043</v>
      </c>
      <c r="I1103" s="94">
        <v>2900.27</v>
      </c>
      <c r="J1103" s="94">
        <v>2175.2</v>
      </c>
      <c r="K1103" s="94">
        <v>725.07</v>
      </c>
    </row>
    <row r="1104" spans="1:11">
      <c r="A1104" s="74" t="s">
        <v>113</v>
      </c>
      <c r="B1104" s="74" t="s">
        <v>128</v>
      </c>
      <c r="C1104" s="74" t="s">
        <v>129</v>
      </c>
      <c r="D1104" s="74" t="s">
        <v>79</v>
      </c>
      <c r="E1104" s="74" t="s">
        <v>80</v>
      </c>
      <c r="F1104" s="86" t="s">
        <v>123</v>
      </c>
      <c r="G1104" s="74" t="s">
        <v>117</v>
      </c>
      <c r="H1104" s="87">
        <v>44043</v>
      </c>
      <c r="I1104" s="94">
        <v>2565.14</v>
      </c>
      <c r="J1104" s="94">
        <v>1923.86</v>
      </c>
      <c r="K1104" s="94">
        <v>641.28</v>
      </c>
    </row>
    <row r="1105" spans="1:11">
      <c r="A1105" s="74" t="s">
        <v>113</v>
      </c>
      <c r="B1105" s="74" t="s">
        <v>130</v>
      </c>
      <c r="C1105" s="74" t="s">
        <v>131</v>
      </c>
      <c r="D1105" s="74" t="s">
        <v>79</v>
      </c>
      <c r="E1105" s="74" t="s">
        <v>80</v>
      </c>
      <c r="F1105" s="86" t="s">
        <v>116</v>
      </c>
      <c r="G1105" s="74" t="s">
        <v>117</v>
      </c>
      <c r="H1105" s="87">
        <v>44043</v>
      </c>
      <c r="I1105" s="94">
        <v>3154.41</v>
      </c>
      <c r="J1105" s="94">
        <v>2365.81</v>
      </c>
      <c r="K1105" s="94">
        <v>788.6</v>
      </c>
    </row>
    <row r="1106" spans="1:11">
      <c r="A1106" s="74" t="s">
        <v>113</v>
      </c>
      <c r="B1106" s="74" t="s">
        <v>132</v>
      </c>
      <c r="C1106" s="74" t="s">
        <v>133</v>
      </c>
      <c r="D1106" s="74" t="s">
        <v>79</v>
      </c>
      <c r="E1106" s="74" t="s">
        <v>80</v>
      </c>
      <c r="F1106" s="86" t="s">
        <v>120</v>
      </c>
      <c r="G1106" s="74" t="s">
        <v>117</v>
      </c>
      <c r="H1106" s="87">
        <v>44043</v>
      </c>
      <c r="I1106" s="94">
        <v>2747.7</v>
      </c>
      <c r="J1106" s="94">
        <v>2060.78</v>
      </c>
      <c r="K1106" s="94">
        <v>686.92</v>
      </c>
    </row>
    <row r="1107" spans="1:11">
      <c r="A1107" s="74" t="s">
        <v>113</v>
      </c>
      <c r="B1107" s="74" t="s">
        <v>134</v>
      </c>
      <c r="C1107" s="74" t="s">
        <v>135</v>
      </c>
      <c r="D1107" s="74" t="s">
        <v>79</v>
      </c>
      <c r="E1107" s="74" t="s">
        <v>80</v>
      </c>
      <c r="F1107" s="86" t="s">
        <v>123</v>
      </c>
      <c r="G1107" s="74" t="s">
        <v>117</v>
      </c>
      <c r="H1107" s="87">
        <v>44043</v>
      </c>
      <c r="I1107" s="94">
        <v>2396.28</v>
      </c>
      <c r="J1107" s="94">
        <v>1797.21</v>
      </c>
      <c r="K1107" s="94">
        <v>599.07</v>
      </c>
    </row>
    <row r="1108" spans="1:11">
      <c r="A1108" s="74" t="s">
        <v>113</v>
      </c>
      <c r="B1108" s="74" t="s">
        <v>136</v>
      </c>
      <c r="C1108" s="74" t="s">
        <v>137</v>
      </c>
      <c r="D1108" s="74" t="s">
        <v>79</v>
      </c>
      <c r="E1108" s="74" t="s">
        <v>80</v>
      </c>
      <c r="F1108" s="86" t="s">
        <v>116</v>
      </c>
      <c r="G1108" s="74" t="s">
        <v>138</v>
      </c>
      <c r="H1108" s="87">
        <v>44043</v>
      </c>
      <c r="I1108" s="94">
        <v>3260.96</v>
      </c>
      <c r="J1108" s="94">
        <v>2445.72</v>
      </c>
      <c r="K1108" s="94">
        <v>815.24</v>
      </c>
    </row>
    <row r="1109" spans="1:11">
      <c r="A1109" s="74" t="s">
        <v>113</v>
      </c>
      <c r="B1109" s="74" t="s">
        <v>139</v>
      </c>
      <c r="C1109" s="74" t="s">
        <v>140</v>
      </c>
      <c r="D1109" s="74" t="s">
        <v>79</v>
      </c>
      <c r="E1109" s="74" t="s">
        <v>80</v>
      </c>
      <c r="F1109" s="86" t="s">
        <v>120</v>
      </c>
      <c r="G1109" s="74" t="s">
        <v>138</v>
      </c>
      <c r="H1109" s="87">
        <v>44043</v>
      </c>
      <c r="I1109" s="94">
        <v>2940.11</v>
      </c>
      <c r="J1109" s="94">
        <v>2205.08</v>
      </c>
      <c r="K1109" s="94">
        <v>735.03</v>
      </c>
    </row>
    <row r="1110" spans="1:11">
      <c r="A1110" s="74" t="s">
        <v>113</v>
      </c>
      <c r="B1110" s="74" t="s">
        <v>141</v>
      </c>
      <c r="C1110" s="74" t="s">
        <v>142</v>
      </c>
      <c r="D1110" s="74" t="s">
        <v>79</v>
      </c>
      <c r="E1110" s="74" t="s">
        <v>80</v>
      </c>
      <c r="F1110" s="86" t="s">
        <v>123</v>
      </c>
      <c r="G1110" s="74" t="s">
        <v>138</v>
      </c>
      <c r="H1110" s="87">
        <v>44043</v>
      </c>
      <c r="I1110" s="94">
        <v>2559.87</v>
      </c>
      <c r="J1110" s="94">
        <v>1919.9</v>
      </c>
      <c r="K1110" s="94">
        <v>639.97</v>
      </c>
    </row>
    <row r="1111" spans="1:11">
      <c r="A1111" s="74" t="s">
        <v>113</v>
      </c>
      <c r="B1111" s="74" t="s">
        <v>143</v>
      </c>
      <c r="C1111" s="74" t="s">
        <v>144</v>
      </c>
      <c r="D1111" s="74" t="s">
        <v>79</v>
      </c>
      <c r="E1111" s="74" t="s">
        <v>80</v>
      </c>
      <c r="F1111" s="86" t="s">
        <v>145</v>
      </c>
      <c r="G1111" s="74" t="s">
        <v>146</v>
      </c>
      <c r="H1111" s="87">
        <v>44043</v>
      </c>
      <c r="I1111" s="94">
        <v>7434.68</v>
      </c>
      <c r="J1111" s="94">
        <v>5576.01</v>
      </c>
      <c r="K1111" s="94">
        <v>1858.67</v>
      </c>
    </row>
    <row r="1112" spans="1:11">
      <c r="A1112" s="74" t="s">
        <v>113</v>
      </c>
      <c r="B1112" s="74" t="s">
        <v>147</v>
      </c>
      <c r="C1112" s="74" t="s">
        <v>148</v>
      </c>
      <c r="D1112" s="74" t="s">
        <v>79</v>
      </c>
      <c r="E1112" s="74" t="s">
        <v>80</v>
      </c>
      <c r="F1112" s="86" t="s">
        <v>149</v>
      </c>
      <c r="G1112" s="74" t="s">
        <v>150</v>
      </c>
      <c r="H1112" s="87">
        <v>44043</v>
      </c>
      <c r="I1112" s="94">
        <v>7159.92</v>
      </c>
      <c r="J1112" s="94">
        <v>5369.94</v>
      </c>
      <c r="K1112" s="94">
        <v>1789.98</v>
      </c>
    </row>
    <row r="1113" spans="1:11">
      <c r="A1113" s="74" t="s">
        <v>113</v>
      </c>
      <c r="B1113" s="74" t="s">
        <v>151</v>
      </c>
      <c r="C1113" s="74" t="s">
        <v>152</v>
      </c>
      <c r="D1113" s="74" t="s">
        <v>79</v>
      </c>
      <c r="E1113" s="74" t="s">
        <v>81</v>
      </c>
      <c r="F1113" s="86" t="s">
        <v>123</v>
      </c>
      <c r="G1113" s="74" t="s">
        <v>153</v>
      </c>
      <c r="H1113" s="87">
        <v>44043</v>
      </c>
      <c r="I1113" s="94">
        <v>2509.22</v>
      </c>
      <c r="J1113" s="94">
        <v>1881.92</v>
      </c>
      <c r="K1113" s="94">
        <v>627.3</v>
      </c>
    </row>
    <row r="1114" spans="1:11">
      <c r="A1114" s="74" t="s">
        <v>113</v>
      </c>
      <c r="B1114" s="74" t="s">
        <v>154</v>
      </c>
      <c r="C1114" s="74" t="s">
        <v>155</v>
      </c>
      <c r="D1114" s="74" t="s">
        <v>79</v>
      </c>
      <c r="E1114" s="74" t="s">
        <v>81</v>
      </c>
      <c r="F1114" s="86" t="s">
        <v>156</v>
      </c>
      <c r="G1114" s="74" t="s">
        <v>157</v>
      </c>
      <c r="H1114" s="87">
        <v>44043</v>
      </c>
      <c r="I1114" s="94">
        <v>2117.65</v>
      </c>
      <c r="J1114" s="94">
        <v>1588.24</v>
      </c>
      <c r="K1114" s="94">
        <v>529.41</v>
      </c>
    </row>
    <row r="1115" spans="1:11">
      <c r="A1115" s="74" t="s">
        <v>113</v>
      </c>
      <c r="B1115" s="74" t="s">
        <v>158</v>
      </c>
      <c r="C1115" s="74" t="s">
        <v>159</v>
      </c>
      <c r="D1115" s="74" t="s">
        <v>79</v>
      </c>
      <c r="E1115" s="74" t="s">
        <v>81</v>
      </c>
      <c r="F1115" s="86" t="s">
        <v>160</v>
      </c>
      <c r="G1115" s="74" t="s">
        <v>161</v>
      </c>
      <c r="H1115" s="87">
        <v>44043</v>
      </c>
      <c r="I1115" s="94">
        <v>1661.72</v>
      </c>
      <c r="J1115" s="94">
        <v>1246.29</v>
      </c>
      <c r="K1115" s="94">
        <v>415.43</v>
      </c>
    </row>
    <row r="1116" spans="1:11">
      <c r="A1116" s="74" t="s">
        <v>113</v>
      </c>
      <c r="B1116" s="74" t="s">
        <v>162</v>
      </c>
      <c r="C1116" s="74" t="s">
        <v>163</v>
      </c>
      <c r="D1116" s="74" t="s">
        <v>79</v>
      </c>
      <c r="E1116" s="74" t="s">
        <v>81</v>
      </c>
      <c r="F1116" s="86" t="s">
        <v>123</v>
      </c>
      <c r="G1116" s="74" t="s">
        <v>153</v>
      </c>
      <c r="H1116" s="87">
        <v>44043</v>
      </c>
      <c r="I1116" s="94">
        <v>2539.7</v>
      </c>
      <c r="J1116" s="94">
        <v>1904.78</v>
      </c>
      <c r="K1116" s="94">
        <v>634.92</v>
      </c>
    </row>
    <row r="1117" spans="1:11">
      <c r="A1117" s="74" t="s">
        <v>113</v>
      </c>
      <c r="B1117" s="74" t="s">
        <v>164</v>
      </c>
      <c r="C1117" s="74" t="s">
        <v>165</v>
      </c>
      <c r="D1117" s="74" t="s">
        <v>79</v>
      </c>
      <c r="E1117" s="74" t="s">
        <v>81</v>
      </c>
      <c r="F1117" s="86" t="s">
        <v>156</v>
      </c>
      <c r="G1117" s="74" t="s">
        <v>157</v>
      </c>
      <c r="H1117" s="87">
        <v>44043</v>
      </c>
      <c r="I1117" s="94">
        <v>2023.23</v>
      </c>
      <c r="J1117" s="94">
        <v>1517.42</v>
      </c>
      <c r="K1117" s="94">
        <v>505.81</v>
      </c>
    </row>
    <row r="1118" spans="1:11">
      <c r="A1118" s="74" t="s">
        <v>113</v>
      </c>
      <c r="B1118" s="74" t="s">
        <v>166</v>
      </c>
      <c r="C1118" s="74" t="s">
        <v>167</v>
      </c>
      <c r="D1118" s="74" t="s">
        <v>79</v>
      </c>
      <c r="E1118" s="74" t="s">
        <v>81</v>
      </c>
      <c r="F1118" s="86" t="s">
        <v>160</v>
      </c>
      <c r="G1118" s="74" t="s">
        <v>161</v>
      </c>
      <c r="H1118" s="87">
        <v>44043</v>
      </c>
      <c r="I1118" s="94">
        <v>1669.78</v>
      </c>
      <c r="J1118" s="94">
        <v>1252.34</v>
      </c>
      <c r="K1118" s="94">
        <v>417.44</v>
      </c>
    </row>
    <row r="1119" spans="1:11">
      <c r="A1119" s="74" t="s">
        <v>113</v>
      </c>
      <c r="B1119" s="74" t="s">
        <v>168</v>
      </c>
      <c r="C1119" s="74" t="s">
        <v>169</v>
      </c>
      <c r="D1119" s="74" t="s">
        <v>79</v>
      </c>
      <c r="E1119" s="74" t="s">
        <v>81</v>
      </c>
      <c r="F1119" s="86" t="s">
        <v>123</v>
      </c>
      <c r="G1119" s="74" t="s">
        <v>153</v>
      </c>
      <c r="H1119" s="87">
        <v>44043</v>
      </c>
      <c r="I1119" s="94">
        <v>2564.46</v>
      </c>
      <c r="J1119" s="94">
        <v>1923.35</v>
      </c>
      <c r="K1119" s="94">
        <v>641.11</v>
      </c>
    </row>
    <row r="1120" spans="1:11">
      <c r="A1120" s="74" t="s">
        <v>113</v>
      </c>
      <c r="B1120" s="74" t="s">
        <v>170</v>
      </c>
      <c r="C1120" s="74" t="s">
        <v>171</v>
      </c>
      <c r="D1120" s="74" t="s">
        <v>79</v>
      </c>
      <c r="E1120" s="74" t="s">
        <v>81</v>
      </c>
      <c r="F1120" s="86" t="s">
        <v>156</v>
      </c>
      <c r="G1120" s="74" t="s">
        <v>157</v>
      </c>
      <c r="H1120" s="87">
        <v>44043</v>
      </c>
      <c r="I1120" s="94">
        <v>2080.27</v>
      </c>
      <c r="J1120" s="94">
        <v>1560.2</v>
      </c>
      <c r="K1120" s="94">
        <v>520.07</v>
      </c>
    </row>
    <row r="1121" spans="1:11">
      <c r="A1121" s="74" t="s">
        <v>113</v>
      </c>
      <c r="B1121" s="74" t="s">
        <v>172</v>
      </c>
      <c r="C1121" s="74" t="s">
        <v>173</v>
      </c>
      <c r="D1121" s="74" t="s">
        <v>79</v>
      </c>
      <c r="E1121" s="74" t="s">
        <v>81</v>
      </c>
      <c r="F1121" s="86" t="s">
        <v>160</v>
      </c>
      <c r="G1121" s="74" t="s">
        <v>161</v>
      </c>
      <c r="H1121" s="87">
        <v>44043</v>
      </c>
      <c r="I1121" s="94">
        <v>1606.67</v>
      </c>
      <c r="J1121" s="94">
        <v>1205</v>
      </c>
      <c r="K1121" s="94">
        <v>401.67</v>
      </c>
    </row>
    <row r="1122" spans="1:11">
      <c r="A1122" s="74" t="s">
        <v>113</v>
      </c>
      <c r="B1122" s="74" t="s">
        <v>174</v>
      </c>
      <c r="C1122" s="74" t="s">
        <v>175</v>
      </c>
      <c r="D1122" s="74" t="s">
        <v>79</v>
      </c>
      <c r="E1122" s="74" t="s">
        <v>81</v>
      </c>
      <c r="F1122" s="86" t="s">
        <v>176</v>
      </c>
      <c r="G1122" s="74" t="s">
        <v>177</v>
      </c>
      <c r="H1122" s="87">
        <v>44043</v>
      </c>
      <c r="I1122" s="94">
        <v>1221.44</v>
      </c>
      <c r="J1122" s="94">
        <v>916.08</v>
      </c>
      <c r="K1122" s="94">
        <v>305.36</v>
      </c>
    </row>
    <row r="1123" spans="1:11">
      <c r="A1123" s="74" t="s">
        <v>113</v>
      </c>
      <c r="B1123" s="74" t="s">
        <v>178</v>
      </c>
      <c r="C1123" s="74" t="s">
        <v>179</v>
      </c>
      <c r="D1123" s="74" t="s">
        <v>79</v>
      </c>
      <c r="E1123" s="74" t="s">
        <v>81</v>
      </c>
      <c r="F1123" s="86" t="s">
        <v>180</v>
      </c>
      <c r="G1123" s="74" t="s">
        <v>177</v>
      </c>
      <c r="H1123" s="87">
        <v>44043</v>
      </c>
      <c r="I1123" s="94">
        <v>835.42</v>
      </c>
      <c r="J1123" s="94">
        <v>626.57</v>
      </c>
      <c r="K1123" s="94">
        <v>208.85</v>
      </c>
    </row>
    <row r="1124" spans="1:11">
      <c r="A1124" s="74" t="s">
        <v>113</v>
      </c>
      <c r="B1124" s="74" t="s">
        <v>181</v>
      </c>
      <c r="C1124" s="74" t="s">
        <v>182</v>
      </c>
      <c r="D1124" s="74" t="s">
        <v>79</v>
      </c>
      <c r="E1124" s="74" t="s">
        <v>81</v>
      </c>
      <c r="F1124" s="86" t="s">
        <v>183</v>
      </c>
      <c r="G1124" s="74" t="s">
        <v>177</v>
      </c>
      <c r="H1124" s="87">
        <v>44043</v>
      </c>
      <c r="I1124" s="94">
        <v>425.48</v>
      </c>
      <c r="J1124" s="94">
        <v>319.11</v>
      </c>
      <c r="K1124" s="94">
        <v>106.37</v>
      </c>
    </row>
    <row r="1125" spans="1:11">
      <c r="A1125" s="74" t="s">
        <v>113</v>
      </c>
      <c r="B1125" s="74" t="s">
        <v>184</v>
      </c>
      <c r="C1125" s="74" t="s">
        <v>185</v>
      </c>
      <c r="D1125" s="74" t="s">
        <v>79</v>
      </c>
      <c r="E1125" s="74" t="s">
        <v>81</v>
      </c>
      <c r="F1125" s="86" t="s">
        <v>176</v>
      </c>
      <c r="G1125" s="74" t="s">
        <v>177</v>
      </c>
      <c r="H1125" s="87">
        <v>44043</v>
      </c>
      <c r="I1125" s="94">
        <v>1223</v>
      </c>
      <c r="J1125" s="94">
        <v>917.25</v>
      </c>
      <c r="K1125" s="94">
        <v>305.75</v>
      </c>
    </row>
    <row r="1126" spans="1:11">
      <c r="A1126" s="74" t="s">
        <v>113</v>
      </c>
      <c r="B1126" s="74" t="s">
        <v>186</v>
      </c>
      <c r="C1126" s="74" t="s">
        <v>187</v>
      </c>
      <c r="D1126" s="74" t="s">
        <v>79</v>
      </c>
      <c r="E1126" s="74" t="s">
        <v>81</v>
      </c>
      <c r="F1126" s="86" t="s">
        <v>180</v>
      </c>
      <c r="G1126" s="74" t="s">
        <v>177</v>
      </c>
      <c r="H1126" s="87">
        <v>44043</v>
      </c>
      <c r="I1126" s="94">
        <v>849.66</v>
      </c>
      <c r="J1126" s="94">
        <v>637.25</v>
      </c>
      <c r="K1126" s="94">
        <v>212.41</v>
      </c>
    </row>
    <row r="1127" spans="1:11">
      <c r="A1127" s="74" t="s">
        <v>113</v>
      </c>
      <c r="B1127" s="74" t="s">
        <v>188</v>
      </c>
      <c r="C1127" s="74" t="s">
        <v>189</v>
      </c>
      <c r="D1127" s="74" t="s">
        <v>79</v>
      </c>
      <c r="E1127" s="74" t="s">
        <v>81</v>
      </c>
      <c r="F1127" s="86" t="s">
        <v>183</v>
      </c>
      <c r="G1127" s="74" t="s">
        <v>177</v>
      </c>
      <c r="H1127" s="87">
        <v>44043</v>
      </c>
      <c r="I1127" s="94">
        <v>393.61</v>
      </c>
      <c r="J1127" s="94">
        <v>295.21</v>
      </c>
      <c r="K1127" s="94">
        <v>98.4</v>
      </c>
    </row>
    <row r="1128" spans="1:11">
      <c r="A1128" s="74" t="s">
        <v>113</v>
      </c>
      <c r="B1128" s="74" t="s">
        <v>190</v>
      </c>
      <c r="C1128" s="74" t="s">
        <v>191</v>
      </c>
      <c r="D1128" s="74" t="s">
        <v>79</v>
      </c>
      <c r="E1128" s="74" t="s">
        <v>81</v>
      </c>
      <c r="F1128" s="86" t="s">
        <v>176</v>
      </c>
      <c r="G1128" s="74" t="s">
        <v>177</v>
      </c>
      <c r="H1128" s="87">
        <v>44043</v>
      </c>
      <c r="I1128" s="94">
        <v>1223.12</v>
      </c>
      <c r="J1128" s="94">
        <v>917.34</v>
      </c>
      <c r="K1128" s="94">
        <v>305.78</v>
      </c>
    </row>
    <row r="1129" spans="1:11">
      <c r="A1129" s="74" t="s">
        <v>113</v>
      </c>
      <c r="B1129" s="74" t="s">
        <v>192</v>
      </c>
      <c r="C1129" s="74" t="s">
        <v>193</v>
      </c>
      <c r="D1129" s="74" t="s">
        <v>79</v>
      </c>
      <c r="E1129" s="74" t="s">
        <v>81</v>
      </c>
      <c r="F1129" s="86" t="s">
        <v>180</v>
      </c>
      <c r="G1129" s="74" t="s">
        <v>177</v>
      </c>
      <c r="H1129" s="87">
        <v>44043</v>
      </c>
      <c r="I1129" s="94">
        <v>805.97</v>
      </c>
      <c r="J1129" s="94">
        <v>604.48</v>
      </c>
      <c r="K1129" s="94">
        <v>201.49</v>
      </c>
    </row>
    <row r="1130" spans="1:11">
      <c r="A1130" s="74" t="s">
        <v>113</v>
      </c>
      <c r="B1130" s="74" t="s">
        <v>194</v>
      </c>
      <c r="C1130" s="74" t="s">
        <v>195</v>
      </c>
      <c r="D1130" s="74" t="s">
        <v>79</v>
      </c>
      <c r="E1130" s="74" t="s">
        <v>81</v>
      </c>
      <c r="F1130" s="86" t="s">
        <v>183</v>
      </c>
      <c r="G1130" s="74" t="s">
        <v>177</v>
      </c>
      <c r="H1130" s="87">
        <v>44043</v>
      </c>
      <c r="I1130" s="94">
        <v>407.16</v>
      </c>
      <c r="J1130" s="94">
        <v>305.37</v>
      </c>
      <c r="K1130" s="94">
        <v>101.79</v>
      </c>
    </row>
    <row r="1131" spans="1:11">
      <c r="A1131" s="74" t="s">
        <v>113</v>
      </c>
      <c r="B1131" s="74" t="s">
        <v>196</v>
      </c>
      <c r="C1131" s="74" t="s">
        <v>197</v>
      </c>
      <c r="D1131" s="74" t="s">
        <v>79</v>
      </c>
      <c r="E1131" s="74" t="s">
        <v>81</v>
      </c>
      <c r="F1131" s="86" t="s">
        <v>176</v>
      </c>
      <c r="G1131" s="74" t="s">
        <v>177</v>
      </c>
      <c r="H1131" s="87">
        <v>44043</v>
      </c>
      <c r="I1131" s="94">
        <v>1281.34</v>
      </c>
      <c r="J1131" s="94">
        <v>961.01</v>
      </c>
      <c r="K1131" s="94">
        <v>320.33</v>
      </c>
    </row>
    <row r="1132" spans="1:11">
      <c r="A1132" s="74" t="s">
        <v>113</v>
      </c>
      <c r="B1132" s="74" t="s">
        <v>198</v>
      </c>
      <c r="C1132" s="74" t="s">
        <v>199</v>
      </c>
      <c r="D1132" s="74" t="s">
        <v>79</v>
      </c>
      <c r="E1132" s="74" t="s">
        <v>81</v>
      </c>
      <c r="F1132" s="86" t="s">
        <v>180</v>
      </c>
      <c r="G1132" s="74" t="s">
        <v>177</v>
      </c>
      <c r="H1132" s="87">
        <v>44043</v>
      </c>
      <c r="I1132" s="94">
        <v>799.35</v>
      </c>
      <c r="J1132" s="94">
        <v>599.51</v>
      </c>
      <c r="K1132" s="94">
        <v>199.84</v>
      </c>
    </row>
    <row r="1133" spans="1:11">
      <c r="A1133" s="74" t="s">
        <v>113</v>
      </c>
      <c r="B1133" s="74" t="s">
        <v>200</v>
      </c>
      <c r="C1133" s="74" t="s">
        <v>201</v>
      </c>
      <c r="D1133" s="74" t="s">
        <v>79</v>
      </c>
      <c r="E1133" s="74" t="s">
        <v>81</v>
      </c>
      <c r="F1133" s="86" t="s">
        <v>183</v>
      </c>
      <c r="G1133" s="74" t="s">
        <v>177</v>
      </c>
      <c r="H1133" s="87">
        <v>44043</v>
      </c>
      <c r="I1133" s="94">
        <v>410.65</v>
      </c>
      <c r="J1133" s="94">
        <v>307.99</v>
      </c>
      <c r="K1133" s="94">
        <v>102.66</v>
      </c>
    </row>
    <row r="1134" spans="1:11">
      <c r="A1134" s="74" t="s">
        <v>113</v>
      </c>
      <c r="B1134" s="74" t="s">
        <v>202</v>
      </c>
      <c r="C1134" s="74" t="s">
        <v>203</v>
      </c>
      <c r="D1134" s="74" t="s">
        <v>79</v>
      </c>
      <c r="E1134" s="74" t="s">
        <v>81</v>
      </c>
      <c r="F1134" s="86" t="s">
        <v>204</v>
      </c>
      <c r="G1134" s="74" t="s">
        <v>205</v>
      </c>
      <c r="H1134" s="87">
        <v>44043</v>
      </c>
      <c r="I1134" s="94">
        <v>7651.97</v>
      </c>
      <c r="J1134" s="94">
        <v>5738.98</v>
      </c>
      <c r="K1134" s="94">
        <v>1912.99</v>
      </c>
    </row>
    <row r="1135" spans="1:11">
      <c r="A1135" s="74" t="s">
        <v>113</v>
      </c>
      <c r="B1135" s="74" t="s">
        <v>206</v>
      </c>
      <c r="C1135" s="74" t="s">
        <v>207</v>
      </c>
      <c r="D1135" s="88" t="s">
        <v>82</v>
      </c>
      <c r="E1135" s="88" t="s">
        <v>84</v>
      </c>
      <c r="F1135" s="86" t="s">
        <v>208</v>
      </c>
      <c r="G1135" s="74" t="s">
        <v>209</v>
      </c>
      <c r="H1135" s="87">
        <v>44043</v>
      </c>
      <c r="I1135" s="94">
        <v>3722.13</v>
      </c>
      <c r="J1135" s="94">
        <v>2791.6</v>
      </c>
      <c r="K1135" s="94">
        <v>930.53</v>
      </c>
    </row>
    <row r="1136" spans="1:11">
      <c r="A1136" s="74" t="s">
        <v>113</v>
      </c>
      <c r="B1136" s="74" t="s">
        <v>210</v>
      </c>
      <c r="C1136" s="74" t="s">
        <v>211</v>
      </c>
      <c r="D1136" s="88" t="s">
        <v>82</v>
      </c>
      <c r="E1136" s="88" t="s">
        <v>84</v>
      </c>
      <c r="F1136" s="86" t="s">
        <v>116</v>
      </c>
      <c r="G1136" s="74" t="s">
        <v>209</v>
      </c>
      <c r="H1136" s="87">
        <v>44043</v>
      </c>
      <c r="I1136" s="94">
        <v>3137.12</v>
      </c>
      <c r="J1136" s="94">
        <v>2352.84</v>
      </c>
      <c r="K1136" s="94">
        <v>784.28</v>
      </c>
    </row>
    <row r="1137" spans="1:11">
      <c r="A1137" s="74" t="s">
        <v>113</v>
      </c>
      <c r="B1137" s="74" t="s">
        <v>212</v>
      </c>
      <c r="C1137" s="74" t="s">
        <v>213</v>
      </c>
      <c r="D1137" s="88" t="s">
        <v>82</v>
      </c>
      <c r="E1137" s="88" t="s">
        <v>84</v>
      </c>
      <c r="F1137" s="86" t="s">
        <v>208</v>
      </c>
      <c r="G1137" s="74" t="s">
        <v>209</v>
      </c>
      <c r="H1137" s="87">
        <v>44043</v>
      </c>
      <c r="I1137" s="94">
        <v>3689.32</v>
      </c>
      <c r="J1137" s="94">
        <v>2766.99</v>
      </c>
      <c r="K1137" s="94">
        <v>922.33</v>
      </c>
    </row>
    <row r="1138" spans="1:11">
      <c r="A1138" s="74" t="s">
        <v>113</v>
      </c>
      <c r="B1138" s="74" t="s">
        <v>214</v>
      </c>
      <c r="C1138" s="74" t="s">
        <v>215</v>
      </c>
      <c r="D1138" s="88" t="s">
        <v>82</v>
      </c>
      <c r="E1138" s="88" t="s">
        <v>84</v>
      </c>
      <c r="F1138" s="86" t="s">
        <v>116</v>
      </c>
      <c r="G1138" s="74" t="s">
        <v>209</v>
      </c>
      <c r="H1138" s="87">
        <v>44043</v>
      </c>
      <c r="I1138" s="94">
        <v>3363.84</v>
      </c>
      <c r="J1138" s="94">
        <v>2522.88</v>
      </c>
      <c r="K1138" s="94">
        <v>840.96</v>
      </c>
    </row>
    <row r="1139" spans="1:11">
      <c r="A1139" s="74" t="s">
        <v>113</v>
      </c>
      <c r="B1139" s="74" t="s">
        <v>216</v>
      </c>
      <c r="C1139" s="74" t="s">
        <v>217</v>
      </c>
      <c r="D1139" s="88" t="s">
        <v>82</v>
      </c>
      <c r="E1139" s="88" t="s">
        <v>84</v>
      </c>
      <c r="F1139" s="86" t="s">
        <v>218</v>
      </c>
      <c r="G1139" s="74" t="s">
        <v>219</v>
      </c>
      <c r="H1139" s="87">
        <v>44043</v>
      </c>
      <c r="I1139" s="94">
        <v>4376.62</v>
      </c>
      <c r="J1139" s="94">
        <v>3282.47</v>
      </c>
      <c r="K1139" s="94">
        <v>1094.15</v>
      </c>
    </row>
    <row r="1140" spans="1:11">
      <c r="A1140" s="74" t="s">
        <v>113</v>
      </c>
      <c r="B1140" s="74" t="s">
        <v>220</v>
      </c>
      <c r="C1140" s="74" t="s">
        <v>221</v>
      </c>
      <c r="D1140" s="88" t="s">
        <v>82</v>
      </c>
      <c r="E1140" s="74" t="s">
        <v>83</v>
      </c>
      <c r="F1140" s="86" t="s">
        <v>218</v>
      </c>
      <c r="G1140" s="74" t="s">
        <v>222</v>
      </c>
      <c r="H1140" s="87">
        <v>44043</v>
      </c>
      <c r="I1140" s="94">
        <v>4658.45</v>
      </c>
      <c r="J1140" s="94">
        <v>3493.84</v>
      </c>
      <c r="K1140" s="94">
        <v>1164.61</v>
      </c>
    </row>
    <row r="1141" spans="1:11">
      <c r="A1141" s="74" t="s">
        <v>113</v>
      </c>
      <c r="B1141" s="74" t="s">
        <v>223</v>
      </c>
      <c r="C1141" s="74" t="s">
        <v>224</v>
      </c>
      <c r="D1141" s="88" t="s">
        <v>82</v>
      </c>
      <c r="E1141" s="74" t="s">
        <v>83</v>
      </c>
      <c r="F1141" s="86" t="s">
        <v>225</v>
      </c>
      <c r="G1141" s="74" t="s">
        <v>209</v>
      </c>
      <c r="H1141" s="87">
        <v>44043</v>
      </c>
      <c r="I1141" s="94">
        <v>3929.71</v>
      </c>
      <c r="J1141" s="94">
        <v>2947.28</v>
      </c>
      <c r="K1141" s="94">
        <v>982.43</v>
      </c>
    </row>
    <row r="1142" spans="1:11">
      <c r="A1142" s="74" t="s">
        <v>113</v>
      </c>
      <c r="B1142" s="74" t="s">
        <v>226</v>
      </c>
      <c r="C1142" s="74" t="s">
        <v>227</v>
      </c>
      <c r="D1142" s="88" t="s">
        <v>82</v>
      </c>
      <c r="E1142" s="74" t="s">
        <v>83</v>
      </c>
      <c r="F1142" s="86" t="s">
        <v>208</v>
      </c>
      <c r="G1142" s="74" t="s">
        <v>209</v>
      </c>
      <c r="H1142" s="87">
        <v>44043</v>
      </c>
      <c r="I1142" s="94">
        <v>3557.11</v>
      </c>
      <c r="J1142" s="94">
        <v>2667.83</v>
      </c>
      <c r="K1142" s="94">
        <v>889.28</v>
      </c>
    </row>
    <row r="1143" spans="1:11">
      <c r="A1143" s="74" t="s">
        <v>113</v>
      </c>
      <c r="B1143" s="74" t="s">
        <v>228</v>
      </c>
      <c r="C1143" s="74" t="s">
        <v>229</v>
      </c>
      <c r="D1143" s="88" t="s">
        <v>82</v>
      </c>
      <c r="E1143" s="74" t="s">
        <v>83</v>
      </c>
      <c r="F1143" s="86" t="s">
        <v>116</v>
      </c>
      <c r="G1143" s="74" t="s">
        <v>209</v>
      </c>
      <c r="H1143" s="87">
        <v>44043</v>
      </c>
      <c r="I1143" s="94">
        <v>3127.55</v>
      </c>
      <c r="J1143" s="94">
        <v>2345.66</v>
      </c>
      <c r="K1143" s="94">
        <v>781.89</v>
      </c>
    </row>
    <row r="1144" spans="1:11">
      <c r="A1144" s="74" t="s">
        <v>113</v>
      </c>
      <c r="B1144" s="74" t="s">
        <v>230</v>
      </c>
      <c r="C1144" s="74" t="s">
        <v>231</v>
      </c>
      <c r="D1144" s="88" t="s">
        <v>82</v>
      </c>
      <c r="E1144" s="74" t="s">
        <v>83</v>
      </c>
      <c r="F1144" s="86" t="s">
        <v>120</v>
      </c>
      <c r="G1144" s="74" t="s">
        <v>209</v>
      </c>
      <c r="H1144" s="87">
        <v>44043</v>
      </c>
      <c r="I1144" s="94">
        <v>2939.8</v>
      </c>
      <c r="J1144" s="94">
        <v>2204.85</v>
      </c>
      <c r="K1144" s="94">
        <v>734.95</v>
      </c>
    </row>
    <row r="1145" spans="1:11">
      <c r="A1145" s="74" t="s">
        <v>113</v>
      </c>
      <c r="B1145" s="74" t="s">
        <v>232</v>
      </c>
      <c r="C1145" s="74" t="s">
        <v>233</v>
      </c>
      <c r="D1145" s="88" t="s">
        <v>82</v>
      </c>
      <c r="E1145" s="74" t="s">
        <v>83</v>
      </c>
      <c r="F1145" s="86" t="s">
        <v>123</v>
      </c>
      <c r="G1145" s="74" t="s">
        <v>209</v>
      </c>
      <c r="H1145" s="87">
        <v>44043</v>
      </c>
      <c r="I1145" s="94">
        <v>2389.57</v>
      </c>
      <c r="J1145" s="94">
        <v>1792.18</v>
      </c>
      <c r="K1145" s="94">
        <v>597.39</v>
      </c>
    </row>
    <row r="1146" spans="1:11">
      <c r="A1146" s="74" t="s">
        <v>113</v>
      </c>
      <c r="B1146" s="74" t="s">
        <v>234</v>
      </c>
      <c r="C1146" s="74" t="s">
        <v>235</v>
      </c>
      <c r="D1146" s="88" t="s">
        <v>82</v>
      </c>
      <c r="E1146" s="74" t="s">
        <v>83</v>
      </c>
      <c r="F1146" s="86" t="s">
        <v>116</v>
      </c>
      <c r="G1146" s="74" t="s">
        <v>209</v>
      </c>
      <c r="H1146" s="87">
        <v>44043</v>
      </c>
      <c r="I1146" s="94">
        <v>3124.33</v>
      </c>
      <c r="J1146" s="94">
        <v>2343.25</v>
      </c>
      <c r="K1146" s="94">
        <v>781.08</v>
      </c>
    </row>
    <row r="1147" spans="1:11">
      <c r="A1147" s="74" t="s">
        <v>113</v>
      </c>
      <c r="B1147" s="74" t="s">
        <v>236</v>
      </c>
      <c r="C1147" s="74" t="s">
        <v>237</v>
      </c>
      <c r="D1147" s="88" t="s">
        <v>82</v>
      </c>
      <c r="E1147" s="74" t="s">
        <v>83</v>
      </c>
      <c r="F1147" s="86" t="s">
        <v>120</v>
      </c>
      <c r="G1147" s="74" t="s">
        <v>209</v>
      </c>
      <c r="H1147" s="87">
        <v>44043</v>
      </c>
      <c r="I1147" s="94">
        <v>2736.95</v>
      </c>
      <c r="J1147" s="94">
        <v>2052.71</v>
      </c>
      <c r="K1147" s="94">
        <v>684.24</v>
      </c>
    </row>
    <row r="1148" spans="1:11">
      <c r="A1148" s="74" t="s">
        <v>113</v>
      </c>
      <c r="B1148" s="74" t="s">
        <v>238</v>
      </c>
      <c r="C1148" s="74" t="s">
        <v>239</v>
      </c>
      <c r="D1148" s="74" t="s">
        <v>86</v>
      </c>
      <c r="E1148" s="74" t="s">
        <v>87</v>
      </c>
      <c r="F1148" s="86" t="s">
        <v>204</v>
      </c>
      <c r="G1148" s="74" t="s">
        <v>240</v>
      </c>
      <c r="H1148" s="87">
        <v>44043</v>
      </c>
      <c r="I1148" s="94">
        <v>5661.19</v>
      </c>
      <c r="J1148" s="94">
        <v>4245.89</v>
      </c>
      <c r="K1148" s="94">
        <v>1415.3</v>
      </c>
    </row>
    <row r="1149" spans="1:11">
      <c r="A1149" s="74" t="s">
        <v>113</v>
      </c>
      <c r="B1149" s="74" t="s">
        <v>241</v>
      </c>
      <c r="C1149" s="74" t="s">
        <v>242</v>
      </c>
      <c r="D1149" s="74" t="s">
        <v>86</v>
      </c>
      <c r="E1149" s="74" t="s">
        <v>87</v>
      </c>
      <c r="F1149" s="86" t="s">
        <v>243</v>
      </c>
      <c r="G1149" s="74" t="s">
        <v>244</v>
      </c>
      <c r="H1149" s="87">
        <v>44043</v>
      </c>
      <c r="I1149" s="94">
        <v>4178.18</v>
      </c>
      <c r="J1149" s="94">
        <v>3133.64</v>
      </c>
      <c r="K1149" s="94">
        <v>1044.54</v>
      </c>
    </row>
    <row r="1150" spans="1:11">
      <c r="A1150" s="74" t="s">
        <v>113</v>
      </c>
      <c r="B1150" s="74" t="s">
        <v>245</v>
      </c>
      <c r="C1150" s="74" t="s">
        <v>246</v>
      </c>
      <c r="D1150" s="74" t="s">
        <v>86</v>
      </c>
      <c r="E1150" s="74" t="s">
        <v>87</v>
      </c>
      <c r="F1150" s="86" t="s">
        <v>247</v>
      </c>
      <c r="G1150" s="74" t="s">
        <v>248</v>
      </c>
      <c r="H1150" s="87">
        <v>44043</v>
      </c>
      <c r="I1150" s="94">
        <v>3787.28</v>
      </c>
      <c r="J1150" s="94">
        <v>2840.46</v>
      </c>
      <c r="K1150" s="94">
        <v>946.82</v>
      </c>
    </row>
    <row r="1151" spans="1:11">
      <c r="A1151" s="74" t="s">
        <v>113</v>
      </c>
      <c r="B1151" s="74" t="s">
        <v>249</v>
      </c>
      <c r="C1151" s="74" t="s">
        <v>250</v>
      </c>
      <c r="D1151" s="74" t="s">
        <v>86</v>
      </c>
      <c r="E1151" s="74" t="s">
        <v>87</v>
      </c>
      <c r="F1151" s="86" t="s">
        <v>251</v>
      </c>
      <c r="G1151" s="74" t="s">
        <v>252</v>
      </c>
      <c r="H1151" s="87">
        <v>44043</v>
      </c>
      <c r="I1151" s="94">
        <v>3673.52</v>
      </c>
      <c r="J1151" s="94">
        <v>2755.14</v>
      </c>
      <c r="K1151" s="94">
        <v>918.38</v>
      </c>
    </row>
    <row r="1152" spans="1:11">
      <c r="A1152" s="74" t="s">
        <v>113</v>
      </c>
      <c r="B1152" s="74" t="s">
        <v>253</v>
      </c>
      <c r="C1152" s="74" t="s">
        <v>254</v>
      </c>
      <c r="D1152" s="74" t="s">
        <v>86</v>
      </c>
      <c r="E1152" s="74" t="s">
        <v>87</v>
      </c>
      <c r="F1152" s="86" t="s">
        <v>255</v>
      </c>
      <c r="G1152" s="74" t="s">
        <v>252</v>
      </c>
      <c r="H1152" s="87">
        <v>44043</v>
      </c>
      <c r="I1152" s="94">
        <v>3398.83</v>
      </c>
      <c r="J1152" s="94">
        <v>2549.12</v>
      </c>
      <c r="K1152" s="94">
        <v>849.71</v>
      </c>
    </row>
    <row r="1153" spans="1:11">
      <c r="A1153" s="74" t="s">
        <v>113</v>
      </c>
      <c r="B1153" s="74" t="s">
        <v>256</v>
      </c>
      <c r="C1153" s="74" t="s">
        <v>257</v>
      </c>
      <c r="D1153" s="74" t="s">
        <v>86</v>
      </c>
      <c r="E1153" s="74" t="s">
        <v>87</v>
      </c>
      <c r="F1153" s="86" t="s">
        <v>258</v>
      </c>
      <c r="G1153" s="74" t="s">
        <v>252</v>
      </c>
      <c r="H1153" s="87">
        <v>44043</v>
      </c>
      <c r="I1153" s="94">
        <v>2928.96</v>
      </c>
      <c r="J1153" s="94">
        <v>2196.72</v>
      </c>
      <c r="K1153" s="94">
        <v>732.24</v>
      </c>
    </row>
    <row r="1154" spans="1:11">
      <c r="A1154" s="74" t="s">
        <v>113</v>
      </c>
      <c r="B1154" s="74" t="s">
        <v>259</v>
      </c>
      <c r="C1154" s="74" t="s">
        <v>260</v>
      </c>
      <c r="D1154" s="74" t="s">
        <v>86</v>
      </c>
      <c r="E1154" s="74" t="s">
        <v>87</v>
      </c>
      <c r="F1154" s="86" t="s">
        <v>261</v>
      </c>
      <c r="G1154" s="74" t="s">
        <v>262</v>
      </c>
      <c r="H1154" s="87">
        <v>44043</v>
      </c>
      <c r="I1154" s="94">
        <v>2658.01</v>
      </c>
      <c r="J1154" s="94">
        <v>1993.51</v>
      </c>
      <c r="K1154" s="94">
        <v>664.5</v>
      </c>
    </row>
    <row r="1155" spans="1:11">
      <c r="A1155" s="74" t="s">
        <v>113</v>
      </c>
      <c r="B1155" s="74" t="s">
        <v>263</v>
      </c>
      <c r="C1155" s="74" t="s">
        <v>264</v>
      </c>
      <c r="D1155" s="74" t="s">
        <v>86</v>
      </c>
      <c r="E1155" s="74" t="s">
        <v>88</v>
      </c>
      <c r="F1155" s="86" t="s">
        <v>149</v>
      </c>
      <c r="G1155" s="74" t="s">
        <v>265</v>
      </c>
      <c r="H1155" s="87">
        <v>44043</v>
      </c>
      <c r="I1155" s="94">
        <v>5826.67</v>
      </c>
      <c r="J1155" s="94">
        <v>4370</v>
      </c>
      <c r="K1155" s="94">
        <v>1456.67</v>
      </c>
    </row>
    <row r="1156" spans="1:11">
      <c r="A1156" s="74" t="s">
        <v>113</v>
      </c>
      <c r="B1156" s="74" t="s">
        <v>266</v>
      </c>
      <c r="C1156" s="74" t="s">
        <v>267</v>
      </c>
      <c r="D1156" s="74" t="s">
        <v>86</v>
      </c>
      <c r="E1156" s="74" t="s">
        <v>88</v>
      </c>
      <c r="F1156" s="86" t="s">
        <v>243</v>
      </c>
      <c r="G1156" s="74" t="s">
        <v>268</v>
      </c>
      <c r="H1156" s="87">
        <v>44043</v>
      </c>
      <c r="I1156" s="94">
        <v>4411.22</v>
      </c>
      <c r="J1156" s="94">
        <v>3308.42</v>
      </c>
      <c r="K1156" s="94">
        <v>1102.8</v>
      </c>
    </row>
    <row r="1157" spans="1:11">
      <c r="A1157" s="74" t="s">
        <v>113</v>
      </c>
      <c r="B1157" s="74" t="s">
        <v>269</v>
      </c>
      <c r="C1157" s="74" t="s">
        <v>270</v>
      </c>
      <c r="D1157" s="74" t="s">
        <v>86</v>
      </c>
      <c r="E1157" s="74" t="s">
        <v>88</v>
      </c>
      <c r="F1157" s="86" t="s">
        <v>247</v>
      </c>
      <c r="G1157" s="74" t="s">
        <v>268</v>
      </c>
      <c r="H1157" s="87">
        <v>44043</v>
      </c>
      <c r="I1157" s="94">
        <v>4043.27</v>
      </c>
      <c r="J1157" s="94">
        <v>3032.45</v>
      </c>
      <c r="K1157" s="94">
        <v>1010.82</v>
      </c>
    </row>
    <row r="1158" spans="1:11">
      <c r="A1158" s="74" t="s">
        <v>113</v>
      </c>
      <c r="B1158" s="74" t="s">
        <v>271</v>
      </c>
      <c r="C1158" s="74" t="s">
        <v>272</v>
      </c>
      <c r="D1158" s="74" t="s">
        <v>86</v>
      </c>
      <c r="E1158" s="74" t="s">
        <v>88</v>
      </c>
      <c r="F1158" s="86" t="s">
        <v>251</v>
      </c>
      <c r="G1158" s="74" t="s">
        <v>268</v>
      </c>
      <c r="H1158" s="87">
        <v>44043</v>
      </c>
      <c r="I1158" s="94">
        <v>3722.43</v>
      </c>
      <c r="J1158" s="94">
        <v>2791.82</v>
      </c>
      <c r="K1158" s="94">
        <v>930.61</v>
      </c>
    </row>
    <row r="1159" spans="1:11">
      <c r="A1159" s="74" t="s">
        <v>113</v>
      </c>
      <c r="B1159" s="74" t="s">
        <v>273</v>
      </c>
      <c r="C1159" s="74" t="s">
        <v>274</v>
      </c>
      <c r="D1159" s="74" t="s">
        <v>86</v>
      </c>
      <c r="E1159" s="74" t="s">
        <v>88</v>
      </c>
      <c r="F1159" s="86" t="s">
        <v>255</v>
      </c>
      <c r="G1159" s="74" t="s">
        <v>268</v>
      </c>
      <c r="H1159" s="87">
        <v>44043</v>
      </c>
      <c r="I1159" s="94">
        <v>3121.97</v>
      </c>
      <c r="J1159" s="94">
        <v>2341.48</v>
      </c>
      <c r="K1159" s="94">
        <v>780.49</v>
      </c>
    </row>
    <row r="1160" spans="1:11">
      <c r="A1160" s="74" t="s">
        <v>113</v>
      </c>
      <c r="B1160" s="74" t="s">
        <v>275</v>
      </c>
      <c r="C1160" s="74" t="s">
        <v>276</v>
      </c>
      <c r="D1160" s="74" t="s">
        <v>86</v>
      </c>
      <c r="E1160" s="74" t="s">
        <v>88</v>
      </c>
      <c r="F1160" s="86" t="s">
        <v>258</v>
      </c>
      <c r="G1160" s="74" t="s">
        <v>268</v>
      </c>
      <c r="H1160" s="87">
        <v>44043</v>
      </c>
      <c r="I1160" s="94">
        <v>2913.58</v>
      </c>
      <c r="J1160" s="94">
        <v>2185.19</v>
      </c>
      <c r="K1160" s="94">
        <v>728.39</v>
      </c>
    </row>
    <row r="1161" spans="1:11">
      <c r="A1161" s="74" t="s">
        <v>113</v>
      </c>
      <c r="B1161" s="74" t="s">
        <v>277</v>
      </c>
      <c r="C1161" s="74" t="s">
        <v>278</v>
      </c>
      <c r="D1161" s="74" t="s">
        <v>86</v>
      </c>
      <c r="E1161" s="74" t="s">
        <v>89</v>
      </c>
      <c r="F1161" s="86" t="s">
        <v>279</v>
      </c>
      <c r="G1161" s="74" t="s">
        <v>280</v>
      </c>
      <c r="H1161" s="87">
        <v>44043</v>
      </c>
      <c r="I1161" s="94">
        <v>5111.51</v>
      </c>
      <c r="J1161" s="94">
        <v>3833.63</v>
      </c>
      <c r="K1161" s="94">
        <v>1277.88</v>
      </c>
    </row>
    <row r="1162" spans="1:11">
      <c r="A1162" s="74" t="s">
        <v>113</v>
      </c>
      <c r="B1162" s="74" t="s">
        <v>281</v>
      </c>
      <c r="C1162" s="74" t="s">
        <v>282</v>
      </c>
      <c r="D1162" s="74" t="s">
        <v>86</v>
      </c>
      <c r="E1162" s="74" t="s">
        <v>89</v>
      </c>
      <c r="F1162" s="86" t="s">
        <v>225</v>
      </c>
      <c r="G1162" s="74" t="s">
        <v>283</v>
      </c>
      <c r="H1162" s="87">
        <v>44043</v>
      </c>
      <c r="I1162" s="94">
        <v>3310.04</v>
      </c>
      <c r="J1162" s="94">
        <v>2482.53</v>
      </c>
      <c r="K1162" s="94">
        <v>827.51</v>
      </c>
    </row>
    <row r="1163" spans="1:11">
      <c r="A1163" s="74" t="s">
        <v>113</v>
      </c>
      <c r="B1163" s="74" t="s">
        <v>284</v>
      </c>
      <c r="C1163" s="74" t="s">
        <v>285</v>
      </c>
      <c r="D1163" s="74" t="s">
        <v>86</v>
      </c>
      <c r="E1163" s="74" t="s">
        <v>89</v>
      </c>
      <c r="F1163" s="86" t="s">
        <v>208</v>
      </c>
      <c r="G1163" s="74" t="s">
        <v>283</v>
      </c>
      <c r="H1163" s="87">
        <v>44043</v>
      </c>
      <c r="I1163" s="94">
        <v>2869.94</v>
      </c>
      <c r="J1163" s="94">
        <v>2152.46</v>
      </c>
      <c r="K1163" s="94">
        <v>717.48</v>
      </c>
    </row>
    <row r="1164" spans="1:11">
      <c r="A1164" s="74" t="s">
        <v>113</v>
      </c>
      <c r="B1164" s="74" t="s">
        <v>286</v>
      </c>
      <c r="C1164" s="74" t="s">
        <v>287</v>
      </c>
      <c r="D1164" s="74" t="s">
        <v>82</v>
      </c>
      <c r="E1164" s="88" t="s">
        <v>85</v>
      </c>
      <c r="F1164" s="86" t="s">
        <v>288</v>
      </c>
      <c r="G1164" s="74" t="s">
        <v>289</v>
      </c>
      <c r="H1164" s="87">
        <v>44043</v>
      </c>
      <c r="I1164" s="94">
        <v>5033.08</v>
      </c>
      <c r="J1164" s="94">
        <v>3774.81</v>
      </c>
      <c r="K1164" s="94">
        <v>1258.27</v>
      </c>
    </row>
    <row r="1165" spans="1:11">
      <c r="A1165" s="74" t="s">
        <v>113</v>
      </c>
      <c r="B1165" s="74" t="s">
        <v>290</v>
      </c>
      <c r="C1165" s="74" t="s">
        <v>291</v>
      </c>
      <c r="D1165" s="74" t="s">
        <v>82</v>
      </c>
      <c r="E1165" s="88" t="s">
        <v>85</v>
      </c>
      <c r="F1165" s="86" t="s">
        <v>218</v>
      </c>
      <c r="G1165" s="74" t="s">
        <v>289</v>
      </c>
      <c r="H1165" s="87">
        <v>44043</v>
      </c>
      <c r="I1165" s="94">
        <v>4426.34</v>
      </c>
      <c r="J1165" s="94">
        <v>3319.76</v>
      </c>
      <c r="K1165" s="94">
        <v>1106.58</v>
      </c>
    </row>
    <row r="1166" spans="1:11">
      <c r="A1166" s="74" t="s">
        <v>113</v>
      </c>
      <c r="B1166" s="74" t="s">
        <v>292</v>
      </c>
      <c r="C1166" s="74" t="s">
        <v>293</v>
      </c>
      <c r="D1166" s="74" t="s">
        <v>82</v>
      </c>
      <c r="E1166" s="88" t="s">
        <v>85</v>
      </c>
      <c r="F1166" s="86" t="s">
        <v>225</v>
      </c>
      <c r="G1166" s="74" t="s">
        <v>289</v>
      </c>
      <c r="H1166" s="87">
        <v>44043</v>
      </c>
      <c r="I1166" s="94">
        <v>4003.73</v>
      </c>
      <c r="J1166" s="94">
        <v>3002.8</v>
      </c>
      <c r="K1166" s="94">
        <v>1000.93</v>
      </c>
    </row>
    <row r="1167" spans="1:11">
      <c r="A1167" s="74" t="s">
        <v>113</v>
      </c>
      <c r="B1167" s="74" t="s">
        <v>294</v>
      </c>
      <c r="C1167" s="74" t="s">
        <v>295</v>
      </c>
      <c r="D1167" s="74" t="s">
        <v>82</v>
      </c>
      <c r="E1167" s="88" t="s">
        <v>85</v>
      </c>
      <c r="F1167" s="86" t="s">
        <v>208</v>
      </c>
      <c r="G1167" s="74" t="s">
        <v>289</v>
      </c>
      <c r="H1167" s="87">
        <v>44043</v>
      </c>
      <c r="I1167" s="94">
        <v>3741.43</v>
      </c>
      <c r="J1167" s="94">
        <v>2806.07</v>
      </c>
      <c r="K1167" s="94">
        <v>935.36</v>
      </c>
    </row>
    <row r="1168" spans="1:11">
      <c r="A1168" s="74" t="s">
        <v>113</v>
      </c>
      <c r="B1168" s="74" t="s">
        <v>296</v>
      </c>
      <c r="C1168" s="74" t="s">
        <v>297</v>
      </c>
      <c r="D1168" s="74" t="s">
        <v>82</v>
      </c>
      <c r="E1168" s="88" t="s">
        <v>85</v>
      </c>
      <c r="F1168" s="86" t="s">
        <v>116</v>
      </c>
      <c r="G1168" s="74" t="s">
        <v>289</v>
      </c>
      <c r="H1168" s="87">
        <v>44043</v>
      </c>
      <c r="I1168" s="94">
        <v>3326.27</v>
      </c>
      <c r="J1168" s="94">
        <v>2494.7</v>
      </c>
      <c r="K1168" s="94">
        <v>831.57</v>
      </c>
    </row>
    <row r="1169" spans="1:11">
      <c r="A1169" s="74" t="s">
        <v>113</v>
      </c>
      <c r="B1169" s="74" t="s">
        <v>298</v>
      </c>
      <c r="C1169" s="74" t="s">
        <v>299</v>
      </c>
      <c r="D1169" s="74" t="s">
        <v>82</v>
      </c>
      <c r="E1169" s="88" t="s">
        <v>85</v>
      </c>
      <c r="F1169" s="86" t="s">
        <v>279</v>
      </c>
      <c r="G1169" s="74" t="s">
        <v>300</v>
      </c>
      <c r="H1169" s="87">
        <v>44043</v>
      </c>
      <c r="I1169" s="94">
        <v>6050.02</v>
      </c>
      <c r="J1169" s="94">
        <v>4537.52</v>
      </c>
      <c r="K1169" s="94">
        <v>1512.5</v>
      </c>
    </row>
    <row r="1170" spans="1:11">
      <c r="A1170" s="74" t="s">
        <v>113</v>
      </c>
      <c r="B1170" s="74" t="s">
        <v>301</v>
      </c>
      <c r="C1170" s="74" t="s">
        <v>302</v>
      </c>
      <c r="D1170" s="74" t="s">
        <v>82</v>
      </c>
      <c r="E1170" s="88" t="s">
        <v>85</v>
      </c>
      <c r="F1170" s="86" t="s">
        <v>279</v>
      </c>
      <c r="G1170" s="74" t="s">
        <v>303</v>
      </c>
      <c r="H1170" s="87">
        <v>44043</v>
      </c>
      <c r="I1170" s="94">
        <v>6232.87</v>
      </c>
      <c r="J1170" s="94">
        <v>4674.65</v>
      </c>
      <c r="K1170" s="94">
        <v>1558.22</v>
      </c>
    </row>
    <row r="1171" spans="1:11">
      <c r="A1171" s="74" t="s">
        <v>113</v>
      </c>
      <c r="B1171" s="74" t="s">
        <v>304</v>
      </c>
      <c r="C1171" s="74" t="s">
        <v>305</v>
      </c>
      <c r="D1171" s="74" t="s">
        <v>86</v>
      </c>
      <c r="E1171" s="74" t="s">
        <v>90</v>
      </c>
      <c r="F1171" s="86" t="s">
        <v>306</v>
      </c>
      <c r="G1171" s="74" t="s">
        <v>307</v>
      </c>
      <c r="H1171" s="87">
        <v>44043</v>
      </c>
      <c r="I1171" s="94">
        <v>6763.16</v>
      </c>
      <c r="J1171" s="94">
        <v>5072.37</v>
      </c>
      <c r="K1171" s="94">
        <v>1690.79</v>
      </c>
    </row>
    <row r="1172" spans="1:11">
      <c r="A1172" s="74" t="s">
        <v>113</v>
      </c>
      <c r="B1172" s="74" t="s">
        <v>114</v>
      </c>
      <c r="C1172" s="74" t="s">
        <v>115</v>
      </c>
      <c r="D1172" s="74" t="s">
        <v>79</v>
      </c>
      <c r="E1172" s="74" t="s">
        <v>80</v>
      </c>
      <c r="F1172" s="86" t="s">
        <v>116</v>
      </c>
      <c r="G1172" s="74" t="s">
        <v>117</v>
      </c>
      <c r="H1172" s="87">
        <v>44074</v>
      </c>
      <c r="I1172" s="94">
        <v>3191.23</v>
      </c>
      <c r="J1172" s="94">
        <v>2393.42</v>
      </c>
      <c r="K1172" s="94">
        <v>797.81</v>
      </c>
    </row>
    <row r="1173" spans="1:11">
      <c r="A1173" s="74" t="s">
        <v>113</v>
      </c>
      <c r="B1173" s="74" t="s">
        <v>118</v>
      </c>
      <c r="C1173" s="74" t="s">
        <v>119</v>
      </c>
      <c r="D1173" s="74" t="s">
        <v>79</v>
      </c>
      <c r="E1173" s="74" t="s">
        <v>80</v>
      </c>
      <c r="F1173" s="86" t="s">
        <v>120</v>
      </c>
      <c r="G1173" s="74" t="s">
        <v>117</v>
      </c>
      <c r="H1173" s="87">
        <v>44074</v>
      </c>
      <c r="I1173" s="94">
        <v>2819.01</v>
      </c>
      <c r="J1173" s="94">
        <v>2114.26</v>
      </c>
      <c r="K1173" s="94">
        <v>704.75</v>
      </c>
    </row>
    <row r="1174" spans="1:11">
      <c r="A1174" s="74" t="s">
        <v>113</v>
      </c>
      <c r="B1174" s="74" t="s">
        <v>121</v>
      </c>
      <c r="C1174" s="74" t="s">
        <v>122</v>
      </c>
      <c r="D1174" s="74" t="s">
        <v>79</v>
      </c>
      <c r="E1174" s="74" t="s">
        <v>80</v>
      </c>
      <c r="F1174" s="86" t="s">
        <v>123</v>
      </c>
      <c r="G1174" s="74" t="s">
        <v>117</v>
      </c>
      <c r="H1174" s="87">
        <v>44074</v>
      </c>
      <c r="I1174" s="94">
        <v>2429.66</v>
      </c>
      <c r="J1174" s="94">
        <v>1822.25</v>
      </c>
      <c r="K1174" s="94">
        <v>607.41</v>
      </c>
    </row>
    <row r="1175" spans="1:11">
      <c r="A1175" s="74" t="s">
        <v>113</v>
      </c>
      <c r="B1175" s="74" t="s">
        <v>124</v>
      </c>
      <c r="C1175" s="74" t="s">
        <v>125</v>
      </c>
      <c r="D1175" s="74" t="s">
        <v>79</v>
      </c>
      <c r="E1175" s="74" t="s">
        <v>80</v>
      </c>
      <c r="F1175" s="86" t="s">
        <v>116</v>
      </c>
      <c r="G1175" s="74" t="s">
        <v>117</v>
      </c>
      <c r="H1175" s="87">
        <v>44074</v>
      </c>
      <c r="I1175" s="94">
        <v>3180.16</v>
      </c>
      <c r="J1175" s="94">
        <v>2385.12</v>
      </c>
      <c r="K1175" s="94">
        <v>795.04</v>
      </c>
    </row>
    <row r="1176" spans="1:11">
      <c r="A1176" s="74" t="s">
        <v>113</v>
      </c>
      <c r="B1176" s="74" t="s">
        <v>126</v>
      </c>
      <c r="C1176" s="74" t="s">
        <v>127</v>
      </c>
      <c r="D1176" s="74" t="s">
        <v>79</v>
      </c>
      <c r="E1176" s="74" t="s">
        <v>80</v>
      </c>
      <c r="F1176" s="86" t="s">
        <v>120</v>
      </c>
      <c r="G1176" s="74" t="s">
        <v>117</v>
      </c>
      <c r="H1176" s="87">
        <v>44074</v>
      </c>
      <c r="I1176" s="94">
        <v>2739.56</v>
      </c>
      <c r="J1176" s="94">
        <v>2054.67</v>
      </c>
      <c r="K1176" s="94">
        <v>684.89</v>
      </c>
    </row>
    <row r="1177" spans="1:11">
      <c r="A1177" s="74" t="s">
        <v>113</v>
      </c>
      <c r="B1177" s="74" t="s">
        <v>128</v>
      </c>
      <c r="C1177" s="74" t="s">
        <v>129</v>
      </c>
      <c r="D1177" s="74" t="s">
        <v>79</v>
      </c>
      <c r="E1177" s="74" t="s">
        <v>80</v>
      </c>
      <c r="F1177" s="86" t="s">
        <v>123</v>
      </c>
      <c r="G1177" s="74" t="s">
        <v>117</v>
      </c>
      <c r="H1177" s="87">
        <v>44074</v>
      </c>
      <c r="I1177" s="94">
        <v>2561.33</v>
      </c>
      <c r="J1177" s="94">
        <v>1921</v>
      </c>
      <c r="K1177" s="94">
        <v>640.33</v>
      </c>
    </row>
    <row r="1178" spans="1:11">
      <c r="A1178" s="74" t="s">
        <v>113</v>
      </c>
      <c r="B1178" s="74" t="s">
        <v>130</v>
      </c>
      <c r="C1178" s="74" t="s">
        <v>131</v>
      </c>
      <c r="D1178" s="74" t="s">
        <v>79</v>
      </c>
      <c r="E1178" s="74" t="s">
        <v>80</v>
      </c>
      <c r="F1178" s="86" t="s">
        <v>116</v>
      </c>
      <c r="G1178" s="74" t="s">
        <v>117</v>
      </c>
      <c r="H1178" s="87">
        <v>44074</v>
      </c>
      <c r="I1178" s="94">
        <v>3253.79</v>
      </c>
      <c r="J1178" s="94">
        <v>2440.34</v>
      </c>
      <c r="K1178" s="94">
        <v>813.45</v>
      </c>
    </row>
    <row r="1179" spans="1:11">
      <c r="A1179" s="74" t="s">
        <v>113</v>
      </c>
      <c r="B1179" s="74" t="s">
        <v>132</v>
      </c>
      <c r="C1179" s="74" t="s">
        <v>133</v>
      </c>
      <c r="D1179" s="74" t="s">
        <v>79</v>
      </c>
      <c r="E1179" s="74" t="s">
        <v>80</v>
      </c>
      <c r="F1179" s="86" t="s">
        <v>120</v>
      </c>
      <c r="G1179" s="74" t="s">
        <v>117</v>
      </c>
      <c r="H1179" s="87">
        <v>44074</v>
      </c>
      <c r="I1179" s="94">
        <v>2877.48</v>
      </c>
      <c r="J1179" s="94">
        <v>2158.11</v>
      </c>
      <c r="K1179" s="94">
        <v>719.37</v>
      </c>
    </row>
    <row r="1180" spans="1:11">
      <c r="A1180" s="74" t="s">
        <v>113</v>
      </c>
      <c r="B1180" s="74" t="s">
        <v>134</v>
      </c>
      <c r="C1180" s="74" t="s">
        <v>135</v>
      </c>
      <c r="D1180" s="74" t="s">
        <v>79</v>
      </c>
      <c r="E1180" s="74" t="s">
        <v>80</v>
      </c>
      <c r="F1180" s="86" t="s">
        <v>123</v>
      </c>
      <c r="G1180" s="74" t="s">
        <v>117</v>
      </c>
      <c r="H1180" s="87">
        <v>44074</v>
      </c>
      <c r="I1180" s="94">
        <v>2470.39</v>
      </c>
      <c r="J1180" s="94">
        <v>1852.79</v>
      </c>
      <c r="K1180" s="94">
        <v>617.6</v>
      </c>
    </row>
    <row r="1181" spans="1:11">
      <c r="A1181" s="74" t="s">
        <v>113</v>
      </c>
      <c r="B1181" s="74" t="s">
        <v>136</v>
      </c>
      <c r="C1181" s="74" t="s">
        <v>137</v>
      </c>
      <c r="D1181" s="74" t="s">
        <v>79</v>
      </c>
      <c r="E1181" s="74" t="s">
        <v>80</v>
      </c>
      <c r="F1181" s="86" t="s">
        <v>116</v>
      </c>
      <c r="G1181" s="74" t="s">
        <v>138</v>
      </c>
      <c r="H1181" s="87">
        <v>44074</v>
      </c>
      <c r="I1181" s="94">
        <v>3178.97</v>
      </c>
      <c r="J1181" s="94">
        <v>2384.23</v>
      </c>
      <c r="K1181" s="94">
        <v>794.74</v>
      </c>
    </row>
    <row r="1182" spans="1:11">
      <c r="A1182" s="74" t="s">
        <v>113</v>
      </c>
      <c r="B1182" s="74" t="s">
        <v>139</v>
      </c>
      <c r="C1182" s="74" t="s">
        <v>140</v>
      </c>
      <c r="D1182" s="74" t="s">
        <v>79</v>
      </c>
      <c r="E1182" s="74" t="s">
        <v>80</v>
      </c>
      <c r="F1182" s="86" t="s">
        <v>120</v>
      </c>
      <c r="G1182" s="74" t="s">
        <v>138</v>
      </c>
      <c r="H1182" s="87">
        <v>44074</v>
      </c>
      <c r="I1182" s="94">
        <v>2958.43</v>
      </c>
      <c r="J1182" s="94">
        <v>2218.82</v>
      </c>
      <c r="K1182" s="94">
        <v>739.61</v>
      </c>
    </row>
    <row r="1183" spans="1:11">
      <c r="A1183" s="74" t="s">
        <v>113</v>
      </c>
      <c r="B1183" s="74" t="s">
        <v>141</v>
      </c>
      <c r="C1183" s="74" t="s">
        <v>142</v>
      </c>
      <c r="D1183" s="74" t="s">
        <v>79</v>
      </c>
      <c r="E1183" s="74" t="s">
        <v>80</v>
      </c>
      <c r="F1183" s="86" t="s">
        <v>123</v>
      </c>
      <c r="G1183" s="74" t="s">
        <v>138</v>
      </c>
      <c r="H1183" s="87">
        <v>44074</v>
      </c>
      <c r="I1183" s="94">
        <v>2550.3</v>
      </c>
      <c r="J1183" s="94">
        <v>1912.73</v>
      </c>
      <c r="K1183" s="94">
        <v>637.57</v>
      </c>
    </row>
    <row r="1184" spans="1:11">
      <c r="A1184" s="74" t="s">
        <v>113</v>
      </c>
      <c r="B1184" s="74" t="s">
        <v>143</v>
      </c>
      <c r="C1184" s="74" t="s">
        <v>144</v>
      </c>
      <c r="D1184" s="74" t="s">
        <v>79</v>
      </c>
      <c r="E1184" s="74" t="s">
        <v>80</v>
      </c>
      <c r="F1184" s="86" t="s">
        <v>145</v>
      </c>
      <c r="G1184" s="74" t="s">
        <v>146</v>
      </c>
      <c r="H1184" s="87">
        <v>44074</v>
      </c>
      <c r="I1184" s="94">
        <v>8010.44</v>
      </c>
      <c r="J1184" s="94">
        <v>6007.83</v>
      </c>
      <c r="K1184" s="94">
        <v>2002.61</v>
      </c>
    </row>
    <row r="1185" spans="1:11">
      <c r="A1185" s="74" t="s">
        <v>113</v>
      </c>
      <c r="B1185" s="74" t="s">
        <v>147</v>
      </c>
      <c r="C1185" s="74" t="s">
        <v>148</v>
      </c>
      <c r="D1185" s="74" t="s">
        <v>79</v>
      </c>
      <c r="E1185" s="74" t="s">
        <v>80</v>
      </c>
      <c r="F1185" s="86" t="s">
        <v>149</v>
      </c>
      <c r="G1185" s="74" t="s">
        <v>150</v>
      </c>
      <c r="H1185" s="87">
        <v>44074</v>
      </c>
      <c r="I1185" s="94">
        <v>7214.97</v>
      </c>
      <c r="J1185" s="94">
        <v>5411.23</v>
      </c>
      <c r="K1185" s="94">
        <v>1803.74</v>
      </c>
    </row>
    <row r="1186" spans="1:11">
      <c r="A1186" s="74" t="s">
        <v>113</v>
      </c>
      <c r="B1186" s="74" t="s">
        <v>151</v>
      </c>
      <c r="C1186" s="74" t="s">
        <v>152</v>
      </c>
      <c r="D1186" s="74" t="s">
        <v>79</v>
      </c>
      <c r="E1186" s="74" t="s">
        <v>81</v>
      </c>
      <c r="F1186" s="86" t="s">
        <v>123</v>
      </c>
      <c r="G1186" s="74" t="s">
        <v>153</v>
      </c>
      <c r="H1186" s="87">
        <v>44074</v>
      </c>
      <c r="I1186" s="94">
        <v>2439.55</v>
      </c>
      <c r="J1186" s="94">
        <v>1829.66</v>
      </c>
      <c r="K1186" s="94">
        <v>609.89</v>
      </c>
    </row>
    <row r="1187" spans="1:11">
      <c r="A1187" s="74" t="s">
        <v>113</v>
      </c>
      <c r="B1187" s="74" t="s">
        <v>154</v>
      </c>
      <c r="C1187" s="74" t="s">
        <v>155</v>
      </c>
      <c r="D1187" s="74" t="s">
        <v>79</v>
      </c>
      <c r="E1187" s="74" t="s">
        <v>81</v>
      </c>
      <c r="F1187" s="86" t="s">
        <v>156</v>
      </c>
      <c r="G1187" s="74" t="s">
        <v>157</v>
      </c>
      <c r="H1187" s="87">
        <v>44074</v>
      </c>
      <c r="I1187" s="94">
        <v>2022.88</v>
      </c>
      <c r="J1187" s="94">
        <v>1517.16</v>
      </c>
      <c r="K1187" s="94">
        <v>505.72</v>
      </c>
    </row>
    <row r="1188" spans="1:11">
      <c r="A1188" s="74" t="s">
        <v>113</v>
      </c>
      <c r="B1188" s="74" t="s">
        <v>158</v>
      </c>
      <c r="C1188" s="74" t="s">
        <v>159</v>
      </c>
      <c r="D1188" s="74" t="s">
        <v>79</v>
      </c>
      <c r="E1188" s="74" t="s">
        <v>81</v>
      </c>
      <c r="F1188" s="86" t="s">
        <v>160</v>
      </c>
      <c r="G1188" s="74" t="s">
        <v>161</v>
      </c>
      <c r="H1188" s="87">
        <v>44074</v>
      </c>
      <c r="I1188" s="94">
        <v>1666.79</v>
      </c>
      <c r="J1188" s="94">
        <v>1250.09</v>
      </c>
      <c r="K1188" s="94">
        <v>416.7</v>
      </c>
    </row>
    <row r="1189" spans="1:11">
      <c r="A1189" s="74" t="s">
        <v>113</v>
      </c>
      <c r="B1189" s="74" t="s">
        <v>162</v>
      </c>
      <c r="C1189" s="74" t="s">
        <v>163</v>
      </c>
      <c r="D1189" s="74" t="s">
        <v>79</v>
      </c>
      <c r="E1189" s="74" t="s">
        <v>81</v>
      </c>
      <c r="F1189" s="86" t="s">
        <v>123</v>
      </c>
      <c r="G1189" s="74" t="s">
        <v>153</v>
      </c>
      <c r="H1189" s="87">
        <v>44074</v>
      </c>
      <c r="I1189" s="94">
        <v>2495.56</v>
      </c>
      <c r="J1189" s="94">
        <v>1871.67</v>
      </c>
      <c r="K1189" s="94">
        <v>623.89</v>
      </c>
    </row>
    <row r="1190" spans="1:11">
      <c r="A1190" s="74" t="s">
        <v>113</v>
      </c>
      <c r="B1190" s="74" t="s">
        <v>164</v>
      </c>
      <c r="C1190" s="74" t="s">
        <v>165</v>
      </c>
      <c r="D1190" s="74" t="s">
        <v>79</v>
      </c>
      <c r="E1190" s="74" t="s">
        <v>81</v>
      </c>
      <c r="F1190" s="86" t="s">
        <v>156</v>
      </c>
      <c r="G1190" s="74" t="s">
        <v>157</v>
      </c>
      <c r="H1190" s="87">
        <v>44074</v>
      </c>
      <c r="I1190" s="94">
        <v>2128.39</v>
      </c>
      <c r="J1190" s="94">
        <v>1596.29</v>
      </c>
      <c r="K1190" s="94">
        <v>532.1</v>
      </c>
    </row>
    <row r="1191" spans="1:11">
      <c r="A1191" s="74" t="s">
        <v>113</v>
      </c>
      <c r="B1191" s="74" t="s">
        <v>166</v>
      </c>
      <c r="C1191" s="74" t="s">
        <v>167</v>
      </c>
      <c r="D1191" s="74" t="s">
        <v>79</v>
      </c>
      <c r="E1191" s="74" t="s">
        <v>81</v>
      </c>
      <c r="F1191" s="86" t="s">
        <v>160</v>
      </c>
      <c r="G1191" s="74" t="s">
        <v>161</v>
      </c>
      <c r="H1191" s="87">
        <v>44074</v>
      </c>
      <c r="I1191" s="94">
        <v>1710.46</v>
      </c>
      <c r="J1191" s="94">
        <v>1282.85</v>
      </c>
      <c r="K1191" s="94">
        <v>427.61</v>
      </c>
    </row>
    <row r="1192" spans="1:11">
      <c r="A1192" s="74" t="s">
        <v>113</v>
      </c>
      <c r="B1192" s="74" t="s">
        <v>168</v>
      </c>
      <c r="C1192" s="74" t="s">
        <v>169</v>
      </c>
      <c r="D1192" s="74" t="s">
        <v>79</v>
      </c>
      <c r="E1192" s="74" t="s">
        <v>81</v>
      </c>
      <c r="F1192" s="86" t="s">
        <v>123</v>
      </c>
      <c r="G1192" s="74" t="s">
        <v>153</v>
      </c>
      <c r="H1192" s="87">
        <v>44074</v>
      </c>
      <c r="I1192" s="94">
        <v>2497.15</v>
      </c>
      <c r="J1192" s="94">
        <v>1872.86</v>
      </c>
      <c r="K1192" s="94">
        <v>624.29</v>
      </c>
    </row>
    <row r="1193" spans="1:11">
      <c r="A1193" s="74" t="s">
        <v>113</v>
      </c>
      <c r="B1193" s="74" t="s">
        <v>170</v>
      </c>
      <c r="C1193" s="74" t="s">
        <v>171</v>
      </c>
      <c r="D1193" s="74" t="s">
        <v>79</v>
      </c>
      <c r="E1193" s="74" t="s">
        <v>81</v>
      </c>
      <c r="F1193" s="86" t="s">
        <v>156</v>
      </c>
      <c r="G1193" s="74" t="s">
        <v>157</v>
      </c>
      <c r="H1193" s="87">
        <v>44074</v>
      </c>
      <c r="I1193" s="94">
        <v>2014.21</v>
      </c>
      <c r="J1193" s="94">
        <v>1510.66</v>
      </c>
      <c r="K1193" s="94">
        <v>503.55</v>
      </c>
    </row>
    <row r="1194" spans="1:11">
      <c r="A1194" s="74" t="s">
        <v>113</v>
      </c>
      <c r="B1194" s="74" t="s">
        <v>172</v>
      </c>
      <c r="C1194" s="74" t="s">
        <v>173</v>
      </c>
      <c r="D1194" s="74" t="s">
        <v>79</v>
      </c>
      <c r="E1194" s="74" t="s">
        <v>81</v>
      </c>
      <c r="F1194" s="86" t="s">
        <v>160</v>
      </c>
      <c r="G1194" s="74" t="s">
        <v>161</v>
      </c>
      <c r="H1194" s="87">
        <v>44074</v>
      </c>
      <c r="I1194" s="94">
        <v>1625.61</v>
      </c>
      <c r="J1194" s="94">
        <v>1219.21</v>
      </c>
      <c r="K1194" s="94">
        <v>406.4</v>
      </c>
    </row>
    <row r="1195" spans="1:11">
      <c r="A1195" s="74" t="s">
        <v>113</v>
      </c>
      <c r="B1195" s="74" t="s">
        <v>174</v>
      </c>
      <c r="C1195" s="74" t="s">
        <v>175</v>
      </c>
      <c r="D1195" s="74" t="s">
        <v>79</v>
      </c>
      <c r="E1195" s="74" t="s">
        <v>81</v>
      </c>
      <c r="F1195" s="86" t="s">
        <v>176</v>
      </c>
      <c r="G1195" s="74" t="s">
        <v>177</v>
      </c>
      <c r="H1195" s="87">
        <v>44074</v>
      </c>
      <c r="I1195" s="94">
        <v>1220.73</v>
      </c>
      <c r="J1195" s="94">
        <v>915.55</v>
      </c>
      <c r="K1195" s="94">
        <v>305.18</v>
      </c>
    </row>
    <row r="1196" spans="1:11">
      <c r="A1196" s="74" t="s">
        <v>113</v>
      </c>
      <c r="B1196" s="74" t="s">
        <v>178</v>
      </c>
      <c r="C1196" s="74" t="s">
        <v>179</v>
      </c>
      <c r="D1196" s="74" t="s">
        <v>79</v>
      </c>
      <c r="E1196" s="74" t="s">
        <v>81</v>
      </c>
      <c r="F1196" s="86" t="s">
        <v>180</v>
      </c>
      <c r="G1196" s="74" t="s">
        <v>177</v>
      </c>
      <c r="H1196" s="87">
        <v>44074</v>
      </c>
      <c r="I1196" s="94">
        <v>837.4</v>
      </c>
      <c r="J1196" s="94">
        <v>628.05</v>
      </c>
      <c r="K1196" s="94">
        <v>209.35</v>
      </c>
    </row>
    <row r="1197" spans="1:11">
      <c r="A1197" s="74" t="s">
        <v>113</v>
      </c>
      <c r="B1197" s="74" t="s">
        <v>181</v>
      </c>
      <c r="C1197" s="74" t="s">
        <v>182</v>
      </c>
      <c r="D1197" s="74" t="s">
        <v>79</v>
      </c>
      <c r="E1197" s="74" t="s">
        <v>81</v>
      </c>
      <c r="F1197" s="86" t="s">
        <v>183</v>
      </c>
      <c r="G1197" s="74" t="s">
        <v>177</v>
      </c>
      <c r="H1197" s="87">
        <v>44074</v>
      </c>
      <c r="I1197" s="94">
        <v>410.95</v>
      </c>
      <c r="J1197" s="94">
        <v>308.21</v>
      </c>
      <c r="K1197" s="94">
        <v>102.74</v>
      </c>
    </row>
    <row r="1198" spans="1:11">
      <c r="A1198" s="74" t="s">
        <v>113</v>
      </c>
      <c r="B1198" s="74" t="s">
        <v>184</v>
      </c>
      <c r="C1198" s="74" t="s">
        <v>185</v>
      </c>
      <c r="D1198" s="74" t="s">
        <v>79</v>
      </c>
      <c r="E1198" s="74" t="s">
        <v>81</v>
      </c>
      <c r="F1198" s="86" t="s">
        <v>176</v>
      </c>
      <c r="G1198" s="74" t="s">
        <v>177</v>
      </c>
      <c r="H1198" s="87">
        <v>44074</v>
      </c>
      <c r="I1198" s="94">
        <v>1219.07</v>
      </c>
      <c r="J1198" s="94">
        <v>914.3</v>
      </c>
      <c r="K1198" s="94">
        <v>304.77</v>
      </c>
    </row>
    <row r="1199" spans="1:11">
      <c r="A1199" s="74" t="s">
        <v>113</v>
      </c>
      <c r="B1199" s="74" t="s">
        <v>186</v>
      </c>
      <c r="C1199" s="74" t="s">
        <v>187</v>
      </c>
      <c r="D1199" s="74" t="s">
        <v>79</v>
      </c>
      <c r="E1199" s="74" t="s">
        <v>81</v>
      </c>
      <c r="F1199" s="86" t="s">
        <v>180</v>
      </c>
      <c r="G1199" s="74" t="s">
        <v>177</v>
      </c>
      <c r="H1199" s="87">
        <v>44074</v>
      </c>
      <c r="I1199" s="94">
        <v>804.08</v>
      </c>
      <c r="J1199" s="94">
        <v>603.06</v>
      </c>
      <c r="K1199" s="94">
        <v>201.02</v>
      </c>
    </row>
    <row r="1200" spans="1:11">
      <c r="A1200" s="74" t="s">
        <v>113</v>
      </c>
      <c r="B1200" s="74" t="s">
        <v>188</v>
      </c>
      <c r="C1200" s="74" t="s">
        <v>189</v>
      </c>
      <c r="D1200" s="74" t="s">
        <v>79</v>
      </c>
      <c r="E1200" s="74" t="s">
        <v>81</v>
      </c>
      <c r="F1200" s="86" t="s">
        <v>183</v>
      </c>
      <c r="G1200" s="74" t="s">
        <v>177</v>
      </c>
      <c r="H1200" s="87">
        <v>44074</v>
      </c>
      <c r="I1200" s="94">
        <v>404.41</v>
      </c>
      <c r="J1200" s="94">
        <v>303.31</v>
      </c>
      <c r="K1200" s="94">
        <v>101.1</v>
      </c>
    </row>
    <row r="1201" spans="1:11">
      <c r="A1201" s="74" t="s">
        <v>113</v>
      </c>
      <c r="B1201" s="74" t="s">
        <v>190</v>
      </c>
      <c r="C1201" s="74" t="s">
        <v>191</v>
      </c>
      <c r="D1201" s="74" t="s">
        <v>79</v>
      </c>
      <c r="E1201" s="74" t="s">
        <v>81</v>
      </c>
      <c r="F1201" s="86" t="s">
        <v>176</v>
      </c>
      <c r="G1201" s="74" t="s">
        <v>177</v>
      </c>
      <c r="H1201" s="87">
        <v>44074</v>
      </c>
      <c r="I1201" s="94">
        <v>1193.31</v>
      </c>
      <c r="J1201" s="94">
        <v>894.98</v>
      </c>
      <c r="K1201" s="94">
        <v>298.33</v>
      </c>
    </row>
    <row r="1202" spans="1:11">
      <c r="A1202" s="74" t="s">
        <v>113</v>
      </c>
      <c r="B1202" s="74" t="s">
        <v>192</v>
      </c>
      <c r="C1202" s="74" t="s">
        <v>193</v>
      </c>
      <c r="D1202" s="74" t="s">
        <v>79</v>
      </c>
      <c r="E1202" s="74" t="s">
        <v>81</v>
      </c>
      <c r="F1202" s="86" t="s">
        <v>180</v>
      </c>
      <c r="G1202" s="74" t="s">
        <v>177</v>
      </c>
      <c r="H1202" s="87">
        <v>44074</v>
      </c>
      <c r="I1202" s="94">
        <v>793.48</v>
      </c>
      <c r="J1202" s="94">
        <v>595.11</v>
      </c>
      <c r="K1202" s="94">
        <v>198.37</v>
      </c>
    </row>
    <row r="1203" spans="1:11">
      <c r="A1203" s="74" t="s">
        <v>113</v>
      </c>
      <c r="B1203" s="74" t="s">
        <v>194</v>
      </c>
      <c r="C1203" s="74" t="s">
        <v>195</v>
      </c>
      <c r="D1203" s="74" t="s">
        <v>79</v>
      </c>
      <c r="E1203" s="74" t="s">
        <v>81</v>
      </c>
      <c r="F1203" s="86" t="s">
        <v>183</v>
      </c>
      <c r="G1203" s="74" t="s">
        <v>177</v>
      </c>
      <c r="H1203" s="87">
        <v>44074</v>
      </c>
      <c r="I1203" s="94">
        <v>426.38</v>
      </c>
      <c r="J1203" s="94">
        <v>319.79</v>
      </c>
      <c r="K1203" s="94">
        <v>106.59</v>
      </c>
    </row>
    <row r="1204" spans="1:11">
      <c r="A1204" s="74" t="s">
        <v>113</v>
      </c>
      <c r="B1204" s="74" t="s">
        <v>196</v>
      </c>
      <c r="C1204" s="74" t="s">
        <v>197</v>
      </c>
      <c r="D1204" s="74" t="s">
        <v>79</v>
      </c>
      <c r="E1204" s="74" t="s">
        <v>81</v>
      </c>
      <c r="F1204" s="86" t="s">
        <v>176</v>
      </c>
      <c r="G1204" s="74" t="s">
        <v>177</v>
      </c>
      <c r="H1204" s="87">
        <v>44074</v>
      </c>
      <c r="I1204" s="94">
        <v>1244.39</v>
      </c>
      <c r="J1204" s="94">
        <v>933.29</v>
      </c>
      <c r="K1204" s="94">
        <v>311.1</v>
      </c>
    </row>
    <row r="1205" spans="1:11">
      <c r="A1205" s="74" t="s">
        <v>113</v>
      </c>
      <c r="B1205" s="74" t="s">
        <v>198</v>
      </c>
      <c r="C1205" s="74" t="s">
        <v>199</v>
      </c>
      <c r="D1205" s="74" t="s">
        <v>79</v>
      </c>
      <c r="E1205" s="74" t="s">
        <v>81</v>
      </c>
      <c r="F1205" s="86" t="s">
        <v>180</v>
      </c>
      <c r="G1205" s="74" t="s">
        <v>177</v>
      </c>
      <c r="H1205" s="87">
        <v>44074</v>
      </c>
      <c r="I1205" s="94">
        <v>830.47</v>
      </c>
      <c r="J1205" s="94">
        <v>622.85</v>
      </c>
      <c r="K1205" s="94">
        <v>207.62</v>
      </c>
    </row>
    <row r="1206" spans="1:11">
      <c r="A1206" s="74" t="s">
        <v>113</v>
      </c>
      <c r="B1206" s="74" t="s">
        <v>200</v>
      </c>
      <c r="C1206" s="74" t="s">
        <v>201</v>
      </c>
      <c r="D1206" s="74" t="s">
        <v>79</v>
      </c>
      <c r="E1206" s="74" t="s">
        <v>81</v>
      </c>
      <c r="F1206" s="86" t="s">
        <v>183</v>
      </c>
      <c r="G1206" s="74" t="s">
        <v>177</v>
      </c>
      <c r="H1206" s="87">
        <v>44074</v>
      </c>
      <c r="I1206" s="94">
        <v>401.26</v>
      </c>
      <c r="J1206" s="94">
        <v>300.95</v>
      </c>
      <c r="K1206" s="94">
        <v>100.31</v>
      </c>
    </row>
    <row r="1207" spans="1:11">
      <c r="A1207" s="74" t="s">
        <v>113</v>
      </c>
      <c r="B1207" s="74" t="s">
        <v>202</v>
      </c>
      <c r="C1207" s="74" t="s">
        <v>203</v>
      </c>
      <c r="D1207" s="74" t="s">
        <v>79</v>
      </c>
      <c r="E1207" s="74" t="s">
        <v>81</v>
      </c>
      <c r="F1207" s="86" t="s">
        <v>204</v>
      </c>
      <c r="G1207" s="74" t="s">
        <v>205</v>
      </c>
      <c r="H1207" s="87">
        <v>44074</v>
      </c>
      <c r="I1207" s="94">
        <v>7185.63</v>
      </c>
      <c r="J1207" s="94">
        <v>5389.22</v>
      </c>
      <c r="K1207" s="94">
        <v>1796.41</v>
      </c>
    </row>
    <row r="1208" spans="1:11">
      <c r="A1208" s="74" t="s">
        <v>113</v>
      </c>
      <c r="B1208" s="74" t="s">
        <v>206</v>
      </c>
      <c r="C1208" s="74" t="s">
        <v>207</v>
      </c>
      <c r="D1208" s="88" t="s">
        <v>82</v>
      </c>
      <c r="E1208" s="88" t="s">
        <v>84</v>
      </c>
      <c r="F1208" s="86" t="s">
        <v>208</v>
      </c>
      <c r="G1208" s="74" t="s">
        <v>209</v>
      </c>
      <c r="H1208" s="87">
        <v>44074</v>
      </c>
      <c r="I1208" s="94">
        <v>3548.69</v>
      </c>
      <c r="J1208" s="94">
        <v>2661.52</v>
      </c>
      <c r="K1208" s="94">
        <v>887.17</v>
      </c>
    </row>
    <row r="1209" spans="1:11">
      <c r="A1209" s="74" t="s">
        <v>113</v>
      </c>
      <c r="B1209" s="74" t="s">
        <v>210</v>
      </c>
      <c r="C1209" s="74" t="s">
        <v>211</v>
      </c>
      <c r="D1209" s="88" t="s">
        <v>82</v>
      </c>
      <c r="E1209" s="88" t="s">
        <v>84</v>
      </c>
      <c r="F1209" s="86" t="s">
        <v>116</v>
      </c>
      <c r="G1209" s="74" t="s">
        <v>209</v>
      </c>
      <c r="H1209" s="87">
        <v>44074</v>
      </c>
      <c r="I1209" s="94">
        <v>3372.76</v>
      </c>
      <c r="J1209" s="94">
        <v>2529.57</v>
      </c>
      <c r="K1209" s="94">
        <v>843.19</v>
      </c>
    </row>
    <row r="1210" spans="1:11">
      <c r="A1210" s="74" t="s">
        <v>113</v>
      </c>
      <c r="B1210" s="74" t="s">
        <v>212</v>
      </c>
      <c r="C1210" s="74" t="s">
        <v>213</v>
      </c>
      <c r="D1210" s="88" t="s">
        <v>82</v>
      </c>
      <c r="E1210" s="88" t="s">
        <v>84</v>
      </c>
      <c r="F1210" s="86" t="s">
        <v>208</v>
      </c>
      <c r="G1210" s="74" t="s">
        <v>209</v>
      </c>
      <c r="H1210" s="87">
        <v>44074</v>
      </c>
      <c r="I1210" s="94">
        <v>3543.38</v>
      </c>
      <c r="J1210" s="94">
        <v>2657.54</v>
      </c>
      <c r="K1210" s="94">
        <v>885.84</v>
      </c>
    </row>
    <row r="1211" spans="1:11">
      <c r="A1211" s="74" t="s">
        <v>113</v>
      </c>
      <c r="B1211" s="74" t="s">
        <v>214</v>
      </c>
      <c r="C1211" s="74" t="s">
        <v>215</v>
      </c>
      <c r="D1211" s="88" t="s">
        <v>82</v>
      </c>
      <c r="E1211" s="88" t="s">
        <v>84</v>
      </c>
      <c r="F1211" s="86" t="s">
        <v>116</v>
      </c>
      <c r="G1211" s="74" t="s">
        <v>209</v>
      </c>
      <c r="H1211" s="87">
        <v>44074</v>
      </c>
      <c r="I1211" s="94">
        <v>3259.27</v>
      </c>
      <c r="J1211" s="94">
        <v>2444.45</v>
      </c>
      <c r="K1211" s="94">
        <v>814.82</v>
      </c>
    </row>
    <row r="1212" spans="1:11">
      <c r="A1212" s="74" t="s">
        <v>113</v>
      </c>
      <c r="B1212" s="74" t="s">
        <v>216</v>
      </c>
      <c r="C1212" s="74" t="s">
        <v>217</v>
      </c>
      <c r="D1212" s="88" t="s">
        <v>82</v>
      </c>
      <c r="E1212" s="88" t="s">
        <v>84</v>
      </c>
      <c r="F1212" s="86" t="s">
        <v>218</v>
      </c>
      <c r="G1212" s="74" t="s">
        <v>219</v>
      </c>
      <c r="H1212" s="87">
        <v>44074</v>
      </c>
      <c r="I1212" s="94">
        <v>4346.29</v>
      </c>
      <c r="J1212" s="94">
        <v>3259.72</v>
      </c>
      <c r="K1212" s="94">
        <v>1086.57</v>
      </c>
    </row>
    <row r="1213" spans="1:11">
      <c r="A1213" s="74" t="s">
        <v>113</v>
      </c>
      <c r="B1213" s="74" t="s">
        <v>220</v>
      </c>
      <c r="C1213" s="74" t="s">
        <v>221</v>
      </c>
      <c r="D1213" s="88" t="s">
        <v>82</v>
      </c>
      <c r="E1213" s="74" t="s">
        <v>83</v>
      </c>
      <c r="F1213" s="86" t="s">
        <v>218</v>
      </c>
      <c r="G1213" s="74" t="s">
        <v>222</v>
      </c>
      <c r="H1213" s="87">
        <v>44074</v>
      </c>
      <c r="I1213" s="94">
        <v>4665.36</v>
      </c>
      <c r="J1213" s="94">
        <v>3499.02</v>
      </c>
      <c r="K1213" s="94">
        <v>1166.34</v>
      </c>
    </row>
    <row r="1214" spans="1:11">
      <c r="A1214" s="74" t="s">
        <v>113</v>
      </c>
      <c r="B1214" s="74" t="s">
        <v>223</v>
      </c>
      <c r="C1214" s="74" t="s">
        <v>224</v>
      </c>
      <c r="D1214" s="88" t="s">
        <v>82</v>
      </c>
      <c r="E1214" s="74" t="s">
        <v>83</v>
      </c>
      <c r="F1214" s="86" t="s">
        <v>225</v>
      </c>
      <c r="G1214" s="74" t="s">
        <v>209</v>
      </c>
      <c r="H1214" s="87">
        <v>44074</v>
      </c>
      <c r="I1214" s="94">
        <v>4091.32</v>
      </c>
      <c r="J1214" s="94">
        <v>3068.49</v>
      </c>
      <c r="K1214" s="94">
        <v>1022.83</v>
      </c>
    </row>
    <row r="1215" spans="1:11">
      <c r="A1215" s="74" t="s">
        <v>113</v>
      </c>
      <c r="B1215" s="74" t="s">
        <v>226</v>
      </c>
      <c r="C1215" s="74" t="s">
        <v>227</v>
      </c>
      <c r="D1215" s="88" t="s">
        <v>82</v>
      </c>
      <c r="E1215" s="74" t="s">
        <v>83</v>
      </c>
      <c r="F1215" s="86" t="s">
        <v>208</v>
      </c>
      <c r="G1215" s="74" t="s">
        <v>209</v>
      </c>
      <c r="H1215" s="87">
        <v>44074</v>
      </c>
      <c r="I1215" s="94">
        <v>3704.26</v>
      </c>
      <c r="J1215" s="94">
        <v>2778.2</v>
      </c>
      <c r="K1215" s="94">
        <v>926.06</v>
      </c>
    </row>
    <row r="1216" spans="1:11">
      <c r="A1216" s="74" t="s">
        <v>113</v>
      </c>
      <c r="B1216" s="74" t="s">
        <v>228</v>
      </c>
      <c r="C1216" s="74" t="s">
        <v>229</v>
      </c>
      <c r="D1216" s="88" t="s">
        <v>82</v>
      </c>
      <c r="E1216" s="74" t="s">
        <v>83</v>
      </c>
      <c r="F1216" s="86" t="s">
        <v>116</v>
      </c>
      <c r="G1216" s="74" t="s">
        <v>209</v>
      </c>
      <c r="H1216" s="87">
        <v>44074</v>
      </c>
      <c r="I1216" s="94">
        <v>3202.1</v>
      </c>
      <c r="J1216" s="94">
        <v>2401.58</v>
      </c>
      <c r="K1216" s="94">
        <v>800.52</v>
      </c>
    </row>
    <row r="1217" spans="1:11">
      <c r="A1217" s="74" t="s">
        <v>113</v>
      </c>
      <c r="B1217" s="74" t="s">
        <v>230</v>
      </c>
      <c r="C1217" s="74" t="s">
        <v>231</v>
      </c>
      <c r="D1217" s="88" t="s">
        <v>82</v>
      </c>
      <c r="E1217" s="74" t="s">
        <v>83</v>
      </c>
      <c r="F1217" s="86" t="s">
        <v>120</v>
      </c>
      <c r="G1217" s="74" t="s">
        <v>209</v>
      </c>
      <c r="H1217" s="87">
        <v>44074</v>
      </c>
      <c r="I1217" s="94">
        <v>2993.18</v>
      </c>
      <c r="J1217" s="94">
        <v>2244.89</v>
      </c>
      <c r="K1217" s="94">
        <v>748.29</v>
      </c>
    </row>
    <row r="1218" spans="1:11">
      <c r="A1218" s="74" t="s">
        <v>113</v>
      </c>
      <c r="B1218" s="74" t="s">
        <v>232</v>
      </c>
      <c r="C1218" s="74" t="s">
        <v>233</v>
      </c>
      <c r="D1218" s="88" t="s">
        <v>82</v>
      </c>
      <c r="E1218" s="74" t="s">
        <v>83</v>
      </c>
      <c r="F1218" s="86" t="s">
        <v>123</v>
      </c>
      <c r="G1218" s="74" t="s">
        <v>209</v>
      </c>
      <c r="H1218" s="87">
        <v>44074</v>
      </c>
      <c r="I1218" s="94">
        <v>2537.56</v>
      </c>
      <c r="J1218" s="94">
        <v>1903.17</v>
      </c>
      <c r="K1218" s="94">
        <v>634.39</v>
      </c>
    </row>
    <row r="1219" spans="1:11">
      <c r="A1219" s="74" t="s">
        <v>113</v>
      </c>
      <c r="B1219" s="74" t="s">
        <v>234</v>
      </c>
      <c r="C1219" s="74" t="s">
        <v>235</v>
      </c>
      <c r="D1219" s="88" t="s">
        <v>82</v>
      </c>
      <c r="E1219" s="74" t="s">
        <v>83</v>
      </c>
      <c r="F1219" s="86" t="s">
        <v>116</v>
      </c>
      <c r="G1219" s="74" t="s">
        <v>209</v>
      </c>
      <c r="H1219" s="87">
        <v>44074</v>
      </c>
      <c r="I1219" s="94">
        <v>3268.69</v>
      </c>
      <c r="J1219" s="94">
        <v>2451.52</v>
      </c>
      <c r="K1219" s="94">
        <v>817.17</v>
      </c>
    </row>
    <row r="1220" spans="1:11">
      <c r="A1220" s="74" t="s">
        <v>113</v>
      </c>
      <c r="B1220" s="74" t="s">
        <v>236</v>
      </c>
      <c r="C1220" s="74" t="s">
        <v>237</v>
      </c>
      <c r="D1220" s="88" t="s">
        <v>82</v>
      </c>
      <c r="E1220" s="74" t="s">
        <v>83</v>
      </c>
      <c r="F1220" s="86" t="s">
        <v>120</v>
      </c>
      <c r="G1220" s="74" t="s">
        <v>209</v>
      </c>
      <c r="H1220" s="87">
        <v>44074</v>
      </c>
      <c r="I1220" s="94">
        <v>2968.21</v>
      </c>
      <c r="J1220" s="94">
        <v>2226.16</v>
      </c>
      <c r="K1220" s="94">
        <v>742.05</v>
      </c>
    </row>
    <row r="1221" spans="1:11">
      <c r="A1221" s="74" t="s">
        <v>113</v>
      </c>
      <c r="B1221" s="74" t="s">
        <v>238</v>
      </c>
      <c r="C1221" s="74" t="s">
        <v>239</v>
      </c>
      <c r="D1221" s="74" t="s">
        <v>86</v>
      </c>
      <c r="E1221" s="74" t="s">
        <v>87</v>
      </c>
      <c r="F1221" s="86" t="s">
        <v>204</v>
      </c>
      <c r="G1221" s="74" t="s">
        <v>240</v>
      </c>
      <c r="H1221" s="87">
        <v>44074</v>
      </c>
      <c r="I1221" s="94">
        <v>5896.18</v>
      </c>
      <c r="J1221" s="94">
        <v>4422.14</v>
      </c>
      <c r="K1221" s="94">
        <v>1474.04</v>
      </c>
    </row>
    <row r="1222" spans="1:11">
      <c r="A1222" s="74" t="s">
        <v>113</v>
      </c>
      <c r="B1222" s="74" t="s">
        <v>241</v>
      </c>
      <c r="C1222" s="74" t="s">
        <v>242</v>
      </c>
      <c r="D1222" s="74" t="s">
        <v>86</v>
      </c>
      <c r="E1222" s="74" t="s">
        <v>87</v>
      </c>
      <c r="F1222" s="86" t="s">
        <v>243</v>
      </c>
      <c r="G1222" s="74" t="s">
        <v>244</v>
      </c>
      <c r="H1222" s="87">
        <v>44074</v>
      </c>
      <c r="I1222" s="94">
        <v>4076.1</v>
      </c>
      <c r="J1222" s="94">
        <v>3057.08</v>
      </c>
      <c r="K1222" s="94">
        <v>1019.02</v>
      </c>
    </row>
    <row r="1223" spans="1:11">
      <c r="A1223" s="74" t="s">
        <v>113</v>
      </c>
      <c r="B1223" s="74" t="s">
        <v>245</v>
      </c>
      <c r="C1223" s="74" t="s">
        <v>246</v>
      </c>
      <c r="D1223" s="74" t="s">
        <v>86</v>
      </c>
      <c r="E1223" s="74" t="s">
        <v>87</v>
      </c>
      <c r="F1223" s="86" t="s">
        <v>247</v>
      </c>
      <c r="G1223" s="74" t="s">
        <v>248</v>
      </c>
      <c r="H1223" s="87">
        <v>44074</v>
      </c>
      <c r="I1223" s="94">
        <v>3912.59</v>
      </c>
      <c r="J1223" s="94">
        <v>2934.44</v>
      </c>
      <c r="K1223" s="94">
        <v>978.15</v>
      </c>
    </row>
    <row r="1224" spans="1:11">
      <c r="A1224" s="74" t="s">
        <v>113</v>
      </c>
      <c r="B1224" s="74" t="s">
        <v>249</v>
      </c>
      <c r="C1224" s="74" t="s">
        <v>250</v>
      </c>
      <c r="D1224" s="74" t="s">
        <v>86</v>
      </c>
      <c r="E1224" s="74" t="s">
        <v>87</v>
      </c>
      <c r="F1224" s="86" t="s">
        <v>251</v>
      </c>
      <c r="G1224" s="74" t="s">
        <v>252</v>
      </c>
      <c r="H1224" s="87">
        <v>44074</v>
      </c>
      <c r="I1224" s="94">
        <v>3474.67</v>
      </c>
      <c r="J1224" s="94">
        <v>2606</v>
      </c>
      <c r="K1224" s="94">
        <v>868.67</v>
      </c>
    </row>
    <row r="1225" spans="1:11">
      <c r="A1225" s="74" t="s">
        <v>113</v>
      </c>
      <c r="B1225" s="74" t="s">
        <v>253</v>
      </c>
      <c r="C1225" s="74" t="s">
        <v>254</v>
      </c>
      <c r="D1225" s="74" t="s">
        <v>86</v>
      </c>
      <c r="E1225" s="74" t="s">
        <v>87</v>
      </c>
      <c r="F1225" s="86" t="s">
        <v>255</v>
      </c>
      <c r="G1225" s="74" t="s">
        <v>252</v>
      </c>
      <c r="H1225" s="87">
        <v>44074</v>
      </c>
      <c r="I1225" s="94">
        <v>3156.93</v>
      </c>
      <c r="J1225" s="94">
        <v>2367.7</v>
      </c>
      <c r="K1225" s="94">
        <v>789.23</v>
      </c>
    </row>
    <row r="1226" spans="1:11">
      <c r="A1226" s="74" t="s">
        <v>113</v>
      </c>
      <c r="B1226" s="74" t="s">
        <v>256</v>
      </c>
      <c r="C1226" s="74" t="s">
        <v>257</v>
      </c>
      <c r="D1226" s="74" t="s">
        <v>86</v>
      </c>
      <c r="E1226" s="74" t="s">
        <v>87</v>
      </c>
      <c r="F1226" s="86" t="s">
        <v>258</v>
      </c>
      <c r="G1226" s="74" t="s">
        <v>252</v>
      </c>
      <c r="H1226" s="87">
        <v>44074</v>
      </c>
      <c r="I1226" s="94">
        <v>2904.94</v>
      </c>
      <c r="J1226" s="94">
        <v>2178.71</v>
      </c>
      <c r="K1226" s="94">
        <v>726.23</v>
      </c>
    </row>
    <row r="1227" spans="1:11">
      <c r="A1227" s="74" t="s">
        <v>113</v>
      </c>
      <c r="B1227" s="74" t="s">
        <v>259</v>
      </c>
      <c r="C1227" s="74" t="s">
        <v>260</v>
      </c>
      <c r="D1227" s="74" t="s">
        <v>86</v>
      </c>
      <c r="E1227" s="74" t="s">
        <v>87</v>
      </c>
      <c r="F1227" s="86" t="s">
        <v>261</v>
      </c>
      <c r="G1227" s="74" t="s">
        <v>262</v>
      </c>
      <c r="H1227" s="87">
        <v>44074</v>
      </c>
      <c r="I1227" s="94">
        <v>2678.49</v>
      </c>
      <c r="J1227" s="94">
        <v>2008.87</v>
      </c>
      <c r="K1227" s="94">
        <v>669.62</v>
      </c>
    </row>
    <row r="1228" spans="1:11">
      <c r="A1228" s="74" t="s">
        <v>113</v>
      </c>
      <c r="B1228" s="74" t="s">
        <v>263</v>
      </c>
      <c r="C1228" s="74" t="s">
        <v>264</v>
      </c>
      <c r="D1228" s="74" t="s">
        <v>86</v>
      </c>
      <c r="E1228" s="74" t="s">
        <v>88</v>
      </c>
      <c r="F1228" s="86" t="s">
        <v>149</v>
      </c>
      <c r="G1228" s="74" t="s">
        <v>265</v>
      </c>
      <c r="H1228" s="87">
        <v>44074</v>
      </c>
      <c r="I1228" s="94">
        <v>5753.15</v>
      </c>
      <c r="J1228" s="94">
        <v>4314.86</v>
      </c>
      <c r="K1228" s="94">
        <v>1438.29</v>
      </c>
    </row>
    <row r="1229" spans="1:11">
      <c r="A1229" s="74" t="s">
        <v>113</v>
      </c>
      <c r="B1229" s="74" t="s">
        <v>266</v>
      </c>
      <c r="C1229" s="74" t="s">
        <v>267</v>
      </c>
      <c r="D1229" s="74" t="s">
        <v>86</v>
      </c>
      <c r="E1229" s="74" t="s">
        <v>88</v>
      </c>
      <c r="F1229" s="86" t="s">
        <v>243</v>
      </c>
      <c r="G1229" s="74" t="s">
        <v>268</v>
      </c>
      <c r="H1229" s="87">
        <v>44074</v>
      </c>
      <c r="I1229" s="94">
        <v>4302.84</v>
      </c>
      <c r="J1229" s="94">
        <v>3227.13</v>
      </c>
      <c r="K1229" s="94">
        <v>1075.71</v>
      </c>
    </row>
    <row r="1230" spans="1:11">
      <c r="A1230" s="74" t="s">
        <v>113</v>
      </c>
      <c r="B1230" s="74" t="s">
        <v>269</v>
      </c>
      <c r="C1230" s="74" t="s">
        <v>270</v>
      </c>
      <c r="D1230" s="74" t="s">
        <v>86</v>
      </c>
      <c r="E1230" s="74" t="s">
        <v>88</v>
      </c>
      <c r="F1230" s="86" t="s">
        <v>247</v>
      </c>
      <c r="G1230" s="74" t="s">
        <v>268</v>
      </c>
      <c r="H1230" s="87">
        <v>44074</v>
      </c>
      <c r="I1230" s="94">
        <v>3974.93</v>
      </c>
      <c r="J1230" s="94">
        <v>2981.2</v>
      </c>
      <c r="K1230" s="94">
        <v>993.73</v>
      </c>
    </row>
    <row r="1231" spans="1:11">
      <c r="A1231" s="74" t="s">
        <v>113</v>
      </c>
      <c r="B1231" s="74" t="s">
        <v>271</v>
      </c>
      <c r="C1231" s="74" t="s">
        <v>272</v>
      </c>
      <c r="D1231" s="74" t="s">
        <v>86</v>
      </c>
      <c r="E1231" s="74" t="s">
        <v>88</v>
      </c>
      <c r="F1231" s="86" t="s">
        <v>251</v>
      </c>
      <c r="G1231" s="74" t="s">
        <v>268</v>
      </c>
      <c r="H1231" s="87">
        <v>44074</v>
      </c>
      <c r="I1231" s="94">
        <v>3632.39</v>
      </c>
      <c r="J1231" s="94">
        <v>2724.29</v>
      </c>
      <c r="K1231" s="94">
        <v>908.1</v>
      </c>
    </row>
    <row r="1232" spans="1:11">
      <c r="A1232" s="74" t="s">
        <v>113</v>
      </c>
      <c r="B1232" s="74" t="s">
        <v>273</v>
      </c>
      <c r="C1232" s="74" t="s">
        <v>274</v>
      </c>
      <c r="D1232" s="74" t="s">
        <v>86</v>
      </c>
      <c r="E1232" s="74" t="s">
        <v>88</v>
      </c>
      <c r="F1232" s="86" t="s">
        <v>255</v>
      </c>
      <c r="G1232" s="74" t="s">
        <v>268</v>
      </c>
      <c r="H1232" s="87">
        <v>44074</v>
      </c>
      <c r="I1232" s="94">
        <v>3161.29</v>
      </c>
      <c r="J1232" s="94">
        <v>2370.97</v>
      </c>
      <c r="K1232" s="94">
        <v>790.32</v>
      </c>
    </row>
    <row r="1233" spans="1:11">
      <c r="A1233" s="74" t="s">
        <v>113</v>
      </c>
      <c r="B1233" s="74" t="s">
        <v>275</v>
      </c>
      <c r="C1233" s="74" t="s">
        <v>276</v>
      </c>
      <c r="D1233" s="74" t="s">
        <v>86</v>
      </c>
      <c r="E1233" s="74" t="s">
        <v>88</v>
      </c>
      <c r="F1233" s="86" t="s">
        <v>258</v>
      </c>
      <c r="G1233" s="74" t="s">
        <v>268</v>
      </c>
      <c r="H1233" s="87">
        <v>44074</v>
      </c>
      <c r="I1233" s="94">
        <v>3015.33</v>
      </c>
      <c r="J1233" s="94">
        <v>2261.5</v>
      </c>
      <c r="K1233" s="94">
        <v>753.83</v>
      </c>
    </row>
    <row r="1234" spans="1:11">
      <c r="A1234" s="74" t="s">
        <v>113</v>
      </c>
      <c r="B1234" s="74" t="s">
        <v>277</v>
      </c>
      <c r="C1234" s="74" t="s">
        <v>278</v>
      </c>
      <c r="D1234" s="74" t="s">
        <v>86</v>
      </c>
      <c r="E1234" s="74" t="s">
        <v>89</v>
      </c>
      <c r="F1234" s="86" t="s">
        <v>279</v>
      </c>
      <c r="G1234" s="74" t="s">
        <v>280</v>
      </c>
      <c r="H1234" s="87">
        <v>44074</v>
      </c>
      <c r="I1234" s="94">
        <v>4694.81</v>
      </c>
      <c r="J1234" s="94">
        <v>3521.11</v>
      </c>
      <c r="K1234" s="94">
        <v>1173.7</v>
      </c>
    </row>
    <row r="1235" spans="1:11">
      <c r="A1235" s="74" t="s">
        <v>113</v>
      </c>
      <c r="B1235" s="74" t="s">
        <v>281</v>
      </c>
      <c r="C1235" s="74" t="s">
        <v>282</v>
      </c>
      <c r="D1235" s="74" t="s">
        <v>86</v>
      </c>
      <c r="E1235" s="74" t="s">
        <v>89</v>
      </c>
      <c r="F1235" s="86" t="s">
        <v>225</v>
      </c>
      <c r="G1235" s="74" t="s">
        <v>283</v>
      </c>
      <c r="H1235" s="87">
        <v>44074</v>
      </c>
      <c r="I1235" s="94">
        <v>3347.44</v>
      </c>
      <c r="J1235" s="94">
        <v>2510.58</v>
      </c>
      <c r="K1235" s="94">
        <v>836.86</v>
      </c>
    </row>
    <row r="1236" spans="1:11">
      <c r="A1236" s="74" t="s">
        <v>113</v>
      </c>
      <c r="B1236" s="74" t="s">
        <v>284</v>
      </c>
      <c r="C1236" s="74" t="s">
        <v>285</v>
      </c>
      <c r="D1236" s="74" t="s">
        <v>86</v>
      </c>
      <c r="E1236" s="74" t="s">
        <v>89</v>
      </c>
      <c r="F1236" s="86" t="s">
        <v>208</v>
      </c>
      <c r="G1236" s="74" t="s">
        <v>283</v>
      </c>
      <c r="H1236" s="87">
        <v>44074</v>
      </c>
      <c r="I1236" s="94">
        <v>2846.58</v>
      </c>
      <c r="J1236" s="94">
        <v>2134.94</v>
      </c>
      <c r="K1236" s="94">
        <v>711.64</v>
      </c>
    </row>
    <row r="1237" spans="1:11">
      <c r="A1237" s="74" t="s">
        <v>113</v>
      </c>
      <c r="B1237" s="74" t="s">
        <v>286</v>
      </c>
      <c r="C1237" s="74" t="s">
        <v>287</v>
      </c>
      <c r="D1237" s="74" t="s">
        <v>82</v>
      </c>
      <c r="E1237" s="88" t="s">
        <v>85</v>
      </c>
      <c r="F1237" s="86" t="s">
        <v>288</v>
      </c>
      <c r="G1237" s="74" t="s">
        <v>289</v>
      </c>
      <c r="H1237" s="87">
        <v>44074</v>
      </c>
      <c r="I1237" s="94">
        <v>4979.48</v>
      </c>
      <c r="J1237" s="94">
        <v>3734.61</v>
      </c>
      <c r="K1237" s="94">
        <v>1244.87</v>
      </c>
    </row>
    <row r="1238" spans="1:11">
      <c r="A1238" s="74" t="s">
        <v>113</v>
      </c>
      <c r="B1238" s="74" t="s">
        <v>290</v>
      </c>
      <c r="C1238" s="74" t="s">
        <v>291</v>
      </c>
      <c r="D1238" s="74" t="s">
        <v>82</v>
      </c>
      <c r="E1238" s="88" t="s">
        <v>85</v>
      </c>
      <c r="F1238" s="86" t="s">
        <v>218</v>
      </c>
      <c r="G1238" s="74" t="s">
        <v>289</v>
      </c>
      <c r="H1238" s="87">
        <v>44074</v>
      </c>
      <c r="I1238" s="94">
        <v>4457.36</v>
      </c>
      <c r="J1238" s="94">
        <v>3343.02</v>
      </c>
      <c r="K1238" s="94">
        <v>1114.34</v>
      </c>
    </row>
    <row r="1239" spans="1:11">
      <c r="A1239" s="74" t="s">
        <v>113</v>
      </c>
      <c r="B1239" s="74" t="s">
        <v>292</v>
      </c>
      <c r="C1239" s="74" t="s">
        <v>293</v>
      </c>
      <c r="D1239" s="74" t="s">
        <v>82</v>
      </c>
      <c r="E1239" s="88" t="s">
        <v>85</v>
      </c>
      <c r="F1239" s="86" t="s">
        <v>225</v>
      </c>
      <c r="G1239" s="74" t="s">
        <v>289</v>
      </c>
      <c r="H1239" s="87">
        <v>44074</v>
      </c>
      <c r="I1239" s="94">
        <v>4155.88</v>
      </c>
      <c r="J1239" s="94">
        <v>3116.91</v>
      </c>
      <c r="K1239" s="94">
        <v>1038.97</v>
      </c>
    </row>
    <row r="1240" spans="1:11">
      <c r="A1240" s="74" t="s">
        <v>113</v>
      </c>
      <c r="B1240" s="74" t="s">
        <v>294</v>
      </c>
      <c r="C1240" s="74" t="s">
        <v>295</v>
      </c>
      <c r="D1240" s="74" t="s">
        <v>82</v>
      </c>
      <c r="E1240" s="88" t="s">
        <v>85</v>
      </c>
      <c r="F1240" s="86" t="s">
        <v>208</v>
      </c>
      <c r="G1240" s="74" t="s">
        <v>289</v>
      </c>
      <c r="H1240" s="87">
        <v>44074</v>
      </c>
      <c r="I1240" s="94">
        <v>3809.63</v>
      </c>
      <c r="J1240" s="94">
        <v>2857.22</v>
      </c>
      <c r="K1240" s="94">
        <v>952.41</v>
      </c>
    </row>
    <row r="1241" spans="1:11">
      <c r="A1241" s="74" t="s">
        <v>113</v>
      </c>
      <c r="B1241" s="74" t="s">
        <v>296</v>
      </c>
      <c r="C1241" s="74" t="s">
        <v>297</v>
      </c>
      <c r="D1241" s="74" t="s">
        <v>82</v>
      </c>
      <c r="E1241" s="88" t="s">
        <v>85</v>
      </c>
      <c r="F1241" s="86" t="s">
        <v>116</v>
      </c>
      <c r="G1241" s="74" t="s">
        <v>289</v>
      </c>
      <c r="H1241" s="87">
        <v>44074</v>
      </c>
      <c r="I1241" s="94">
        <v>3319.38</v>
      </c>
      <c r="J1241" s="94">
        <v>2489.54</v>
      </c>
      <c r="K1241" s="94">
        <v>829.84</v>
      </c>
    </row>
    <row r="1242" spans="1:11">
      <c r="A1242" s="74" t="s">
        <v>113</v>
      </c>
      <c r="B1242" s="74" t="s">
        <v>298</v>
      </c>
      <c r="C1242" s="74" t="s">
        <v>299</v>
      </c>
      <c r="D1242" s="74" t="s">
        <v>82</v>
      </c>
      <c r="E1242" s="88" t="s">
        <v>85</v>
      </c>
      <c r="F1242" s="86" t="s">
        <v>279</v>
      </c>
      <c r="G1242" s="74" t="s">
        <v>300</v>
      </c>
      <c r="H1242" s="87">
        <v>44074</v>
      </c>
      <c r="I1242" s="94">
        <v>5889.76</v>
      </c>
      <c r="J1242" s="94">
        <v>4417.32</v>
      </c>
      <c r="K1242" s="94">
        <v>1472.44</v>
      </c>
    </row>
    <row r="1243" spans="1:11">
      <c r="A1243" s="74" t="s">
        <v>113</v>
      </c>
      <c r="B1243" s="74" t="s">
        <v>301</v>
      </c>
      <c r="C1243" s="74" t="s">
        <v>302</v>
      </c>
      <c r="D1243" s="74" t="s">
        <v>82</v>
      </c>
      <c r="E1243" s="88" t="s">
        <v>85</v>
      </c>
      <c r="F1243" s="86" t="s">
        <v>279</v>
      </c>
      <c r="G1243" s="74" t="s">
        <v>303</v>
      </c>
      <c r="H1243" s="87">
        <v>44074</v>
      </c>
      <c r="I1243" s="94">
        <v>6362.64</v>
      </c>
      <c r="J1243" s="94">
        <v>4771.98</v>
      </c>
      <c r="K1243" s="94">
        <v>1590.66</v>
      </c>
    </row>
    <row r="1244" spans="1:11">
      <c r="A1244" s="74" t="s">
        <v>113</v>
      </c>
      <c r="B1244" s="74" t="s">
        <v>304</v>
      </c>
      <c r="C1244" s="74" t="s">
        <v>305</v>
      </c>
      <c r="D1244" s="74" t="s">
        <v>86</v>
      </c>
      <c r="E1244" s="74" t="s">
        <v>90</v>
      </c>
      <c r="F1244" s="86" t="s">
        <v>306</v>
      </c>
      <c r="G1244" s="74" t="s">
        <v>307</v>
      </c>
      <c r="H1244" s="87">
        <v>44074</v>
      </c>
      <c r="I1244" s="94">
        <v>6620.3</v>
      </c>
      <c r="J1244" s="94">
        <v>4965.23</v>
      </c>
      <c r="K1244" s="94">
        <v>1655.07</v>
      </c>
    </row>
    <row r="1245" spans="1:11">
      <c r="A1245" s="74" t="s">
        <v>113</v>
      </c>
      <c r="B1245" s="74" t="s">
        <v>114</v>
      </c>
      <c r="C1245" s="74" t="s">
        <v>115</v>
      </c>
      <c r="D1245" s="74" t="s">
        <v>79</v>
      </c>
      <c r="E1245" s="74" t="s">
        <v>80</v>
      </c>
      <c r="F1245" s="86" t="s">
        <v>116</v>
      </c>
      <c r="G1245" s="74" t="s">
        <v>117</v>
      </c>
      <c r="H1245" s="87">
        <v>44104</v>
      </c>
      <c r="I1245" s="94">
        <v>3191.35</v>
      </c>
      <c r="J1245" s="94">
        <v>2393.51</v>
      </c>
      <c r="K1245" s="94">
        <v>797.84</v>
      </c>
    </row>
    <row r="1246" spans="1:11">
      <c r="A1246" s="74" t="s">
        <v>113</v>
      </c>
      <c r="B1246" s="74" t="s">
        <v>118</v>
      </c>
      <c r="C1246" s="74" t="s">
        <v>119</v>
      </c>
      <c r="D1246" s="74" t="s">
        <v>79</v>
      </c>
      <c r="E1246" s="74" t="s">
        <v>80</v>
      </c>
      <c r="F1246" s="86" t="s">
        <v>120</v>
      </c>
      <c r="G1246" s="74" t="s">
        <v>117</v>
      </c>
      <c r="H1246" s="87">
        <v>44104</v>
      </c>
      <c r="I1246" s="94">
        <v>2939.45</v>
      </c>
      <c r="J1246" s="94">
        <v>2204.59</v>
      </c>
      <c r="K1246" s="94">
        <v>734.86</v>
      </c>
    </row>
    <row r="1247" spans="1:11">
      <c r="A1247" s="74" t="s">
        <v>113</v>
      </c>
      <c r="B1247" s="74" t="s">
        <v>121</v>
      </c>
      <c r="C1247" s="74" t="s">
        <v>122</v>
      </c>
      <c r="D1247" s="74" t="s">
        <v>79</v>
      </c>
      <c r="E1247" s="74" t="s">
        <v>80</v>
      </c>
      <c r="F1247" s="86" t="s">
        <v>123</v>
      </c>
      <c r="G1247" s="74" t="s">
        <v>117</v>
      </c>
      <c r="H1247" s="87">
        <v>44104</v>
      </c>
      <c r="I1247" s="94">
        <v>2387.17</v>
      </c>
      <c r="J1247" s="94">
        <v>1790.38</v>
      </c>
      <c r="K1247" s="94">
        <v>596.79</v>
      </c>
    </row>
    <row r="1248" spans="1:11">
      <c r="A1248" s="74" t="s">
        <v>113</v>
      </c>
      <c r="B1248" s="74" t="s">
        <v>124</v>
      </c>
      <c r="C1248" s="74" t="s">
        <v>125</v>
      </c>
      <c r="D1248" s="74" t="s">
        <v>79</v>
      </c>
      <c r="E1248" s="74" t="s">
        <v>80</v>
      </c>
      <c r="F1248" s="86" t="s">
        <v>116</v>
      </c>
      <c r="G1248" s="74" t="s">
        <v>117</v>
      </c>
      <c r="H1248" s="87">
        <v>44104</v>
      </c>
      <c r="I1248" s="94">
        <v>3243.02</v>
      </c>
      <c r="J1248" s="94">
        <v>2432.27</v>
      </c>
      <c r="K1248" s="94">
        <v>810.75</v>
      </c>
    </row>
    <row r="1249" spans="1:11">
      <c r="A1249" s="74" t="s">
        <v>113</v>
      </c>
      <c r="B1249" s="74" t="s">
        <v>126</v>
      </c>
      <c r="C1249" s="74" t="s">
        <v>127</v>
      </c>
      <c r="D1249" s="74" t="s">
        <v>79</v>
      </c>
      <c r="E1249" s="74" t="s">
        <v>80</v>
      </c>
      <c r="F1249" s="86" t="s">
        <v>120</v>
      </c>
      <c r="G1249" s="74" t="s">
        <v>117</v>
      </c>
      <c r="H1249" s="87">
        <v>44104</v>
      </c>
      <c r="I1249" s="94">
        <v>2827</v>
      </c>
      <c r="J1249" s="94">
        <v>2120.25</v>
      </c>
      <c r="K1249" s="94">
        <v>706.75</v>
      </c>
    </row>
    <row r="1250" spans="1:11">
      <c r="A1250" s="74" t="s">
        <v>113</v>
      </c>
      <c r="B1250" s="74" t="s">
        <v>128</v>
      </c>
      <c r="C1250" s="74" t="s">
        <v>129</v>
      </c>
      <c r="D1250" s="74" t="s">
        <v>79</v>
      </c>
      <c r="E1250" s="74" t="s">
        <v>80</v>
      </c>
      <c r="F1250" s="86" t="s">
        <v>123</v>
      </c>
      <c r="G1250" s="74" t="s">
        <v>117</v>
      </c>
      <c r="H1250" s="87">
        <v>44104</v>
      </c>
      <c r="I1250" s="94">
        <v>2538.43</v>
      </c>
      <c r="J1250" s="94">
        <v>1903.82</v>
      </c>
      <c r="K1250" s="94">
        <v>634.61</v>
      </c>
    </row>
    <row r="1251" spans="1:11">
      <c r="A1251" s="74" t="s">
        <v>113</v>
      </c>
      <c r="B1251" s="74" t="s">
        <v>130</v>
      </c>
      <c r="C1251" s="74" t="s">
        <v>131</v>
      </c>
      <c r="D1251" s="74" t="s">
        <v>79</v>
      </c>
      <c r="E1251" s="74" t="s">
        <v>80</v>
      </c>
      <c r="F1251" s="86" t="s">
        <v>116</v>
      </c>
      <c r="G1251" s="74" t="s">
        <v>117</v>
      </c>
      <c r="H1251" s="87">
        <v>44104</v>
      </c>
      <c r="I1251" s="94">
        <v>3393.87</v>
      </c>
      <c r="J1251" s="94">
        <v>2545.4</v>
      </c>
      <c r="K1251" s="94">
        <v>848.47</v>
      </c>
    </row>
    <row r="1252" spans="1:11">
      <c r="A1252" s="74" t="s">
        <v>113</v>
      </c>
      <c r="B1252" s="74" t="s">
        <v>132</v>
      </c>
      <c r="C1252" s="74" t="s">
        <v>133</v>
      </c>
      <c r="D1252" s="74" t="s">
        <v>79</v>
      </c>
      <c r="E1252" s="74" t="s">
        <v>80</v>
      </c>
      <c r="F1252" s="86" t="s">
        <v>120</v>
      </c>
      <c r="G1252" s="74" t="s">
        <v>117</v>
      </c>
      <c r="H1252" s="87">
        <v>44104</v>
      </c>
      <c r="I1252" s="94">
        <v>2732.17</v>
      </c>
      <c r="J1252" s="94">
        <v>2049.13</v>
      </c>
      <c r="K1252" s="94">
        <v>683.04</v>
      </c>
    </row>
    <row r="1253" spans="1:11">
      <c r="A1253" s="74" t="s">
        <v>113</v>
      </c>
      <c r="B1253" s="74" t="s">
        <v>134</v>
      </c>
      <c r="C1253" s="74" t="s">
        <v>135</v>
      </c>
      <c r="D1253" s="74" t="s">
        <v>79</v>
      </c>
      <c r="E1253" s="74" t="s">
        <v>80</v>
      </c>
      <c r="F1253" s="86" t="s">
        <v>123</v>
      </c>
      <c r="G1253" s="74" t="s">
        <v>117</v>
      </c>
      <c r="H1253" s="87">
        <v>44104</v>
      </c>
      <c r="I1253" s="94">
        <v>2502.42</v>
      </c>
      <c r="J1253" s="94">
        <v>1876.82</v>
      </c>
      <c r="K1253" s="94">
        <v>625.6</v>
      </c>
    </row>
    <row r="1254" spans="1:11">
      <c r="A1254" s="74" t="s">
        <v>113</v>
      </c>
      <c r="B1254" s="74" t="s">
        <v>136</v>
      </c>
      <c r="C1254" s="74" t="s">
        <v>137</v>
      </c>
      <c r="D1254" s="74" t="s">
        <v>79</v>
      </c>
      <c r="E1254" s="74" t="s">
        <v>80</v>
      </c>
      <c r="F1254" s="86" t="s">
        <v>116</v>
      </c>
      <c r="G1254" s="74" t="s">
        <v>138</v>
      </c>
      <c r="H1254" s="87">
        <v>44104</v>
      </c>
      <c r="I1254" s="94">
        <v>3404.81</v>
      </c>
      <c r="J1254" s="94">
        <v>2553.61</v>
      </c>
      <c r="K1254" s="94">
        <v>851.2</v>
      </c>
    </row>
    <row r="1255" spans="1:11">
      <c r="A1255" s="74" t="s">
        <v>113</v>
      </c>
      <c r="B1255" s="74" t="s">
        <v>139</v>
      </c>
      <c r="C1255" s="74" t="s">
        <v>140</v>
      </c>
      <c r="D1255" s="74" t="s">
        <v>79</v>
      </c>
      <c r="E1255" s="74" t="s">
        <v>80</v>
      </c>
      <c r="F1255" s="86" t="s">
        <v>120</v>
      </c>
      <c r="G1255" s="74" t="s">
        <v>138</v>
      </c>
      <c r="H1255" s="87">
        <v>44104</v>
      </c>
      <c r="I1255" s="94">
        <v>2815.8</v>
      </c>
      <c r="J1255" s="94">
        <v>2111.85</v>
      </c>
      <c r="K1255" s="94">
        <v>703.95</v>
      </c>
    </row>
    <row r="1256" spans="1:11">
      <c r="A1256" s="74" t="s">
        <v>113</v>
      </c>
      <c r="B1256" s="74" t="s">
        <v>141</v>
      </c>
      <c r="C1256" s="74" t="s">
        <v>142</v>
      </c>
      <c r="D1256" s="74" t="s">
        <v>79</v>
      </c>
      <c r="E1256" s="74" t="s">
        <v>80</v>
      </c>
      <c r="F1256" s="86" t="s">
        <v>123</v>
      </c>
      <c r="G1256" s="74" t="s">
        <v>138</v>
      </c>
      <c r="H1256" s="87">
        <v>44104</v>
      </c>
      <c r="I1256" s="94">
        <v>2563.51</v>
      </c>
      <c r="J1256" s="94">
        <v>1922.63</v>
      </c>
      <c r="K1256" s="94">
        <v>640.88</v>
      </c>
    </row>
    <row r="1257" spans="1:11">
      <c r="A1257" s="74" t="s">
        <v>113</v>
      </c>
      <c r="B1257" s="74" t="s">
        <v>143</v>
      </c>
      <c r="C1257" s="74" t="s">
        <v>144</v>
      </c>
      <c r="D1257" s="74" t="s">
        <v>79</v>
      </c>
      <c r="E1257" s="74" t="s">
        <v>80</v>
      </c>
      <c r="F1257" s="86" t="s">
        <v>145</v>
      </c>
      <c r="G1257" s="74" t="s">
        <v>146</v>
      </c>
      <c r="H1257" s="87">
        <v>44104</v>
      </c>
      <c r="I1257" s="94">
        <v>7986.11</v>
      </c>
      <c r="J1257" s="94">
        <v>5989.58</v>
      </c>
      <c r="K1257" s="94">
        <v>1996.53</v>
      </c>
    </row>
    <row r="1258" spans="1:11">
      <c r="A1258" s="74" t="s">
        <v>113</v>
      </c>
      <c r="B1258" s="74" t="s">
        <v>147</v>
      </c>
      <c r="C1258" s="74" t="s">
        <v>148</v>
      </c>
      <c r="D1258" s="74" t="s">
        <v>79</v>
      </c>
      <c r="E1258" s="74" t="s">
        <v>80</v>
      </c>
      <c r="F1258" s="86" t="s">
        <v>149</v>
      </c>
      <c r="G1258" s="74" t="s">
        <v>150</v>
      </c>
      <c r="H1258" s="87">
        <v>44104</v>
      </c>
      <c r="I1258" s="94">
        <v>7269.34</v>
      </c>
      <c r="J1258" s="94">
        <v>5452.01</v>
      </c>
      <c r="K1258" s="94">
        <v>1817.33</v>
      </c>
    </row>
    <row r="1259" spans="1:11">
      <c r="A1259" s="74" t="s">
        <v>113</v>
      </c>
      <c r="B1259" s="74" t="s">
        <v>151</v>
      </c>
      <c r="C1259" s="74" t="s">
        <v>152</v>
      </c>
      <c r="D1259" s="74" t="s">
        <v>79</v>
      </c>
      <c r="E1259" s="74" t="s">
        <v>81</v>
      </c>
      <c r="F1259" s="86" t="s">
        <v>123</v>
      </c>
      <c r="G1259" s="74" t="s">
        <v>153</v>
      </c>
      <c r="H1259" s="87">
        <v>44104</v>
      </c>
      <c r="I1259" s="94">
        <v>2430.54</v>
      </c>
      <c r="J1259" s="94">
        <v>1822.91</v>
      </c>
      <c r="K1259" s="94">
        <v>607.63</v>
      </c>
    </row>
    <row r="1260" spans="1:11">
      <c r="A1260" s="74" t="s">
        <v>113</v>
      </c>
      <c r="B1260" s="74" t="s">
        <v>154</v>
      </c>
      <c r="C1260" s="74" t="s">
        <v>155</v>
      </c>
      <c r="D1260" s="74" t="s">
        <v>79</v>
      </c>
      <c r="E1260" s="74" t="s">
        <v>81</v>
      </c>
      <c r="F1260" s="86" t="s">
        <v>156</v>
      </c>
      <c r="G1260" s="74" t="s">
        <v>157</v>
      </c>
      <c r="H1260" s="87">
        <v>44104</v>
      </c>
      <c r="I1260" s="94">
        <v>1969.65</v>
      </c>
      <c r="J1260" s="94">
        <v>1477.24</v>
      </c>
      <c r="K1260" s="94">
        <v>492.41</v>
      </c>
    </row>
    <row r="1261" spans="1:11">
      <c r="A1261" s="74" t="s">
        <v>113</v>
      </c>
      <c r="B1261" s="74" t="s">
        <v>158</v>
      </c>
      <c r="C1261" s="74" t="s">
        <v>159</v>
      </c>
      <c r="D1261" s="74" t="s">
        <v>79</v>
      </c>
      <c r="E1261" s="74" t="s">
        <v>81</v>
      </c>
      <c r="F1261" s="86" t="s">
        <v>160</v>
      </c>
      <c r="G1261" s="74" t="s">
        <v>161</v>
      </c>
      <c r="H1261" s="87">
        <v>44104</v>
      </c>
      <c r="I1261" s="94">
        <v>1563.53</v>
      </c>
      <c r="J1261" s="94">
        <v>1172.65</v>
      </c>
      <c r="K1261" s="94">
        <v>390.88</v>
      </c>
    </row>
    <row r="1262" spans="1:11">
      <c r="A1262" s="74" t="s">
        <v>113</v>
      </c>
      <c r="B1262" s="74" t="s">
        <v>162</v>
      </c>
      <c r="C1262" s="74" t="s">
        <v>163</v>
      </c>
      <c r="D1262" s="74" t="s">
        <v>79</v>
      </c>
      <c r="E1262" s="74" t="s">
        <v>81</v>
      </c>
      <c r="F1262" s="86" t="s">
        <v>123</v>
      </c>
      <c r="G1262" s="74" t="s">
        <v>153</v>
      </c>
      <c r="H1262" s="87">
        <v>44104</v>
      </c>
      <c r="I1262" s="94">
        <v>2549.52</v>
      </c>
      <c r="J1262" s="94">
        <v>1912.14</v>
      </c>
      <c r="K1262" s="94">
        <v>637.38</v>
      </c>
    </row>
    <row r="1263" spans="1:11">
      <c r="A1263" s="74" t="s">
        <v>113</v>
      </c>
      <c r="B1263" s="74" t="s">
        <v>164</v>
      </c>
      <c r="C1263" s="74" t="s">
        <v>165</v>
      </c>
      <c r="D1263" s="74" t="s">
        <v>79</v>
      </c>
      <c r="E1263" s="74" t="s">
        <v>81</v>
      </c>
      <c r="F1263" s="86" t="s">
        <v>156</v>
      </c>
      <c r="G1263" s="74" t="s">
        <v>157</v>
      </c>
      <c r="H1263" s="87">
        <v>44104</v>
      </c>
      <c r="I1263" s="94">
        <v>2106.51</v>
      </c>
      <c r="J1263" s="94">
        <v>1579.88</v>
      </c>
      <c r="K1263" s="94">
        <v>526.63</v>
      </c>
    </row>
    <row r="1264" spans="1:11">
      <c r="A1264" s="74" t="s">
        <v>113</v>
      </c>
      <c r="B1264" s="74" t="s">
        <v>166</v>
      </c>
      <c r="C1264" s="74" t="s">
        <v>167</v>
      </c>
      <c r="D1264" s="74" t="s">
        <v>79</v>
      </c>
      <c r="E1264" s="74" t="s">
        <v>81</v>
      </c>
      <c r="F1264" s="86" t="s">
        <v>160</v>
      </c>
      <c r="G1264" s="74" t="s">
        <v>161</v>
      </c>
      <c r="H1264" s="87">
        <v>44104</v>
      </c>
      <c r="I1264" s="94">
        <v>1668.42</v>
      </c>
      <c r="J1264" s="94">
        <v>1251.32</v>
      </c>
      <c r="K1264" s="94">
        <v>417.1</v>
      </c>
    </row>
    <row r="1265" spans="1:11">
      <c r="A1265" s="74" t="s">
        <v>113</v>
      </c>
      <c r="B1265" s="74" t="s">
        <v>168</v>
      </c>
      <c r="C1265" s="74" t="s">
        <v>169</v>
      </c>
      <c r="D1265" s="74" t="s">
        <v>79</v>
      </c>
      <c r="E1265" s="74" t="s">
        <v>81</v>
      </c>
      <c r="F1265" s="86" t="s">
        <v>123</v>
      </c>
      <c r="G1265" s="74" t="s">
        <v>153</v>
      </c>
      <c r="H1265" s="87">
        <v>44104</v>
      </c>
      <c r="I1265" s="94">
        <v>2471.93</v>
      </c>
      <c r="J1265" s="94">
        <v>1853.95</v>
      </c>
      <c r="K1265" s="94">
        <v>617.98</v>
      </c>
    </row>
    <row r="1266" spans="1:11">
      <c r="A1266" s="74" t="s">
        <v>113</v>
      </c>
      <c r="B1266" s="74" t="s">
        <v>170</v>
      </c>
      <c r="C1266" s="74" t="s">
        <v>171</v>
      </c>
      <c r="D1266" s="74" t="s">
        <v>79</v>
      </c>
      <c r="E1266" s="74" t="s">
        <v>81</v>
      </c>
      <c r="F1266" s="86" t="s">
        <v>156</v>
      </c>
      <c r="G1266" s="74" t="s">
        <v>157</v>
      </c>
      <c r="H1266" s="87">
        <v>44104</v>
      </c>
      <c r="I1266" s="94">
        <v>2081.44</v>
      </c>
      <c r="J1266" s="94">
        <v>1561.08</v>
      </c>
      <c r="K1266" s="94">
        <v>520.36</v>
      </c>
    </row>
    <row r="1267" spans="1:11">
      <c r="A1267" s="74" t="s">
        <v>113</v>
      </c>
      <c r="B1267" s="74" t="s">
        <v>172</v>
      </c>
      <c r="C1267" s="74" t="s">
        <v>173</v>
      </c>
      <c r="D1267" s="74" t="s">
        <v>79</v>
      </c>
      <c r="E1267" s="74" t="s">
        <v>81</v>
      </c>
      <c r="F1267" s="86" t="s">
        <v>160</v>
      </c>
      <c r="G1267" s="74" t="s">
        <v>161</v>
      </c>
      <c r="H1267" s="87">
        <v>44104</v>
      </c>
      <c r="I1267" s="94">
        <v>1630.85</v>
      </c>
      <c r="J1267" s="94">
        <v>1223.14</v>
      </c>
      <c r="K1267" s="94">
        <v>407.71</v>
      </c>
    </row>
    <row r="1268" spans="1:11">
      <c r="A1268" s="74" t="s">
        <v>113</v>
      </c>
      <c r="B1268" s="74" t="s">
        <v>174</v>
      </c>
      <c r="C1268" s="74" t="s">
        <v>175</v>
      </c>
      <c r="D1268" s="74" t="s">
        <v>79</v>
      </c>
      <c r="E1268" s="74" t="s">
        <v>81</v>
      </c>
      <c r="F1268" s="86" t="s">
        <v>176</v>
      </c>
      <c r="G1268" s="74" t="s">
        <v>177</v>
      </c>
      <c r="H1268" s="87">
        <v>44104</v>
      </c>
      <c r="I1268" s="94">
        <v>1180.7</v>
      </c>
      <c r="J1268" s="94">
        <v>885.53</v>
      </c>
      <c r="K1268" s="94">
        <v>295.17</v>
      </c>
    </row>
    <row r="1269" spans="1:11">
      <c r="A1269" s="74" t="s">
        <v>113</v>
      </c>
      <c r="B1269" s="74" t="s">
        <v>178</v>
      </c>
      <c r="C1269" s="74" t="s">
        <v>179</v>
      </c>
      <c r="D1269" s="74" t="s">
        <v>79</v>
      </c>
      <c r="E1269" s="74" t="s">
        <v>81</v>
      </c>
      <c r="F1269" s="86" t="s">
        <v>180</v>
      </c>
      <c r="G1269" s="74" t="s">
        <v>177</v>
      </c>
      <c r="H1269" s="87">
        <v>44104</v>
      </c>
      <c r="I1269" s="94">
        <v>849.92</v>
      </c>
      <c r="J1269" s="94">
        <v>637.44</v>
      </c>
      <c r="K1269" s="94">
        <v>212.48</v>
      </c>
    </row>
    <row r="1270" spans="1:11">
      <c r="A1270" s="74" t="s">
        <v>113</v>
      </c>
      <c r="B1270" s="74" t="s">
        <v>181</v>
      </c>
      <c r="C1270" s="74" t="s">
        <v>182</v>
      </c>
      <c r="D1270" s="74" t="s">
        <v>79</v>
      </c>
      <c r="E1270" s="74" t="s">
        <v>81</v>
      </c>
      <c r="F1270" s="86" t="s">
        <v>183</v>
      </c>
      <c r="G1270" s="74" t="s">
        <v>177</v>
      </c>
      <c r="H1270" s="87">
        <v>44104</v>
      </c>
      <c r="I1270" s="94">
        <v>408.42</v>
      </c>
      <c r="J1270" s="94">
        <v>306.32</v>
      </c>
      <c r="K1270" s="94">
        <v>102.1</v>
      </c>
    </row>
    <row r="1271" spans="1:11">
      <c r="A1271" s="74" t="s">
        <v>113</v>
      </c>
      <c r="B1271" s="74" t="s">
        <v>184</v>
      </c>
      <c r="C1271" s="74" t="s">
        <v>185</v>
      </c>
      <c r="D1271" s="74" t="s">
        <v>79</v>
      </c>
      <c r="E1271" s="74" t="s">
        <v>81</v>
      </c>
      <c r="F1271" s="86" t="s">
        <v>176</v>
      </c>
      <c r="G1271" s="74" t="s">
        <v>177</v>
      </c>
      <c r="H1271" s="87">
        <v>44104</v>
      </c>
      <c r="I1271" s="94">
        <v>1245.77</v>
      </c>
      <c r="J1271" s="94">
        <v>934.33</v>
      </c>
      <c r="K1271" s="94">
        <v>311.44</v>
      </c>
    </row>
    <row r="1272" spans="1:11">
      <c r="A1272" s="74" t="s">
        <v>113</v>
      </c>
      <c r="B1272" s="74" t="s">
        <v>186</v>
      </c>
      <c r="C1272" s="74" t="s">
        <v>187</v>
      </c>
      <c r="D1272" s="74" t="s">
        <v>79</v>
      </c>
      <c r="E1272" s="74" t="s">
        <v>81</v>
      </c>
      <c r="F1272" s="86" t="s">
        <v>180</v>
      </c>
      <c r="G1272" s="74" t="s">
        <v>177</v>
      </c>
      <c r="H1272" s="87">
        <v>44104</v>
      </c>
      <c r="I1272" s="94">
        <v>816.78</v>
      </c>
      <c r="J1272" s="94">
        <v>612.59</v>
      </c>
      <c r="K1272" s="94">
        <v>204.19</v>
      </c>
    </row>
    <row r="1273" spans="1:11">
      <c r="A1273" s="74" t="s">
        <v>113</v>
      </c>
      <c r="B1273" s="74" t="s">
        <v>188</v>
      </c>
      <c r="C1273" s="74" t="s">
        <v>189</v>
      </c>
      <c r="D1273" s="74" t="s">
        <v>79</v>
      </c>
      <c r="E1273" s="74" t="s">
        <v>81</v>
      </c>
      <c r="F1273" s="86" t="s">
        <v>183</v>
      </c>
      <c r="G1273" s="74" t="s">
        <v>177</v>
      </c>
      <c r="H1273" s="87">
        <v>44104</v>
      </c>
      <c r="I1273" s="94">
        <v>392.21</v>
      </c>
      <c r="J1273" s="94">
        <v>294.16</v>
      </c>
      <c r="K1273" s="94">
        <v>98.05</v>
      </c>
    </row>
    <row r="1274" spans="1:11">
      <c r="A1274" s="74" t="s">
        <v>113</v>
      </c>
      <c r="B1274" s="74" t="s">
        <v>190</v>
      </c>
      <c r="C1274" s="74" t="s">
        <v>191</v>
      </c>
      <c r="D1274" s="74" t="s">
        <v>79</v>
      </c>
      <c r="E1274" s="74" t="s">
        <v>81</v>
      </c>
      <c r="F1274" s="86" t="s">
        <v>176</v>
      </c>
      <c r="G1274" s="74" t="s">
        <v>177</v>
      </c>
      <c r="H1274" s="87">
        <v>44104</v>
      </c>
      <c r="I1274" s="94">
        <v>1286.61</v>
      </c>
      <c r="J1274" s="94">
        <v>964.96</v>
      </c>
      <c r="K1274" s="94">
        <v>321.65</v>
      </c>
    </row>
    <row r="1275" spans="1:11">
      <c r="A1275" s="74" t="s">
        <v>113</v>
      </c>
      <c r="B1275" s="74" t="s">
        <v>192</v>
      </c>
      <c r="C1275" s="74" t="s">
        <v>193</v>
      </c>
      <c r="D1275" s="74" t="s">
        <v>79</v>
      </c>
      <c r="E1275" s="74" t="s">
        <v>81</v>
      </c>
      <c r="F1275" s="86" t="s">
        <v>180</v>
      </c>
      <c r="G1275" s="74" t="s">
        <v>177</v>
      </c>
      <c r="H1275" s="87">
        <v>44104</v>
      </c>
      <c r="I1275" s="94">
        <v>837.26</v>
      </c>
      <c r="J1275" s="94">
        <v>627.95</v>
      </c>
      <c r="K1275" s="94">
        <v>209.31</v>
      </c>
    </row>
    <row r="1276" spans="1:11">
      <c r="A1276" s="74" t="s">
        <v>113</v>
      </c>
      <c r="B1276" s="74" t="s">
        <v>194</v>
      </c>
      <c r="C1276" s="74" t="s">
        <v>195</v>
      </c>
      <c r="D1276" s="74" t="s">
        <v>79</v>
      </c>
      <c r="E1276" s="74" t="s">
        <v>81</v>
      </c>
      <c r="F1276" s="86" t="s">
        <v>183</v>
      </c>
      <c r="G1276" s="74" t="s">
        <v>177</v>
      </c>
      <c r="H1276" s="87">
        <v>44104</v>
      </c>
      <c r="I1276" s="94">
        <v>401.86</v>
      </c>
      <c r="J1276" s="94">
        <v>301.4</v>
      </c>
      <c r="K1276" s="94">
        <v>100.46</v>
      </c>
    </row>
    <row r="1277" spans="1:11">
      <c r="A1277" s="74" t="s">
        <v>113</v>
      </c>
      <c r="B1277" s="74" t="s">
        <v>196</v>
      </c>
      <c r="C1277" s="74" t="s">
        <v>197</v>
      </c>
      <c r="D1277" s="74" t="s">
        <v>79</v>
      </c>
      <c r="E1277" s="74" t="s">
        <v>81</v>
      </c>
      <c r="F1277" s="86" t="s">
        <v>176</v>
      </c>
      <c r="G1277" s="74" t="s">
        <v>177</v>
      </c>
      <c r="H1277" s="87">
        <v>44104</v>
      </c>
      <c r="I1277" s="94">
        <v>1285.71</v>
      </c>
      <c r="J1277" s="94">
        <v>964.28</v>
      </c>
      <c r="K1277" s="94">
        <v>321.43</v>
      </c>
    </row>
    <row r="1278" spans="1:11">
      <c r="A1278" s="74" t="s">
        <v>113</v>
      </c>
      <c r="B1278" s="74" t="s">
        <v>198</v>
      </c>
      <c r="C1278" s="74" t="s">
        <v>199</v>
      </c>
      <c r="D1278" s="74" t="s">
        <v>79</v>
      </c>
      <c r="E1278" s="74" t="s">
        <v>81</v>
      </c>
      <c r="F1278" s="86" t="s">
        <v>180</v>
      </c>
      <c r="G1278" s="74" t="s">
        <v>177</v>
      </c>
      <c r="H1278" s="87">
        <v>44104</v>
      </c>
      <c r="I1278" s="94">
        <v>782.1</v>
      </c>
      <c r="J1278" s="94">
        <v>586.58</v>
      </c>
      <c r="K1278" s="94">
        <v>195.52</v>
      </c>
    </row>
    <row r="1279" spans="1:11">
      <c r="A1279" s="74" t="s">
        <v>113</v>
      </c>
      <c r="B1279" s="74" t="s">
        <v>200</v>
      </c>
      <c r="C1279" s="74" t="s">
        <v>201</v>
      </c>
      <c r="D1279" s="74" t="s">
        <v>79</v>
      </c>
      <c r="E1279" s="74" t="s">
        <v>81</v>
      </c>
      <c r="F1279" s="86" t="s">
        <v>183</v>
      </c>
      <c r="G1279" s="74" t="s">
        <v>177</v>
      </c>
      <c r="H1279" s="87">
        <v>44104</v>
      </c>
      <c r="I1279" s="94">
        <v>404.94</v>
      </c>
      <c r="J1279" s="94">
        <v>303.71</v>
      </c>
      <c r="K1279" s="94">
        <v>101.23</v>
      </c>
    </row>
    <row r="1280" spans="1:11">
      <c r="A1280" s="74" t="s">
        <v>113</v>
      </c>
      <c r="B1280" s="74" t="s">
        <v>202</v>
      </c>
      <c r="C1280" s="74" t="s">
        <v>203</v>
      </c>
      <c r="D1280" s="74" t="s">
        <v>79</v>
      </c>
      <c r="E1280" s="74" t="s">
        <v>81</v>
      </c>
      <c r="F1280" s="86" t="s">
        <v>204</v>
      </c>
      <c r="G1280" s="74" t="s">
        <v>205</v>
      </c>
      <c r="H1280" s="87">
        <v>44104</v>
      </c>
      <c r="I1280" s="94">
        <v>7280.21</v>
      </c>
      <c r="J1280" s="94">
        <v>5460.16</v>
      </c>
      <c r="K1280" s="94">
        <v>1820.05</v>
      </c>
    </row>
    <row r="1281" spans="1:11">
      <c r="A1281" s="74" t="s">
        <v>113</v>
      </c>
      <c r="B1281" s="74" t="s">
        <v>206</v>
      </c>
      <c r="C1281" s="74" t="s">
        <v>207</v>
      </c>
      <c r="D1281" s="88" t="s">
        <v>82</v>
      </c>
      <c r="E1281" s="88" t="s">
        <v>84</v>
      </c>
      <c r="F1281" s="86" t="s">
        <v>208</v>
      </c>
      <c r="G1281" s="74" t="s">
        <v>209</v>
      </c>
      <c r="H1281" s="87">
        <v>44104</v>
      </c>
      <c r="I1281" s="94">
        <v>3807.25</v>
      </c>
      <c r="J1281" s="94">
        <v>2855.44</v>
      </c>
      <c r="K1281" s="94">
        <v>951.81</v>
      </c>
    </row>
    <row r="1282" spans="1:11">
      <c r="A1282" s="74" t="s">
        <v>113</v>
      </c>
      <c r="B1282" s="74" t="s">
        <v>210</v>
      </c>
      <c r="C1282" s="74" t="s">
        <v>211</v>
      </c>
      <c r="D1282" s="88" t="s">
        <v>82</v>
      </c>
      <c r="E1282" s="88" t="s">
        <v>84</v>
      </c>
      <c r="F1282" s="86" t="s">
        <v>116</v>
      </c>
      <c r="G1282" s="74" t="s">
        <v>209</v>
      </c>
      <c r="H1282" s="87">
        <v>44104</v>
      </c>
      <c r="I1282" s="94">
        <v>3420.91</v>
      </c>
      <c r="J1282" s="94">
        <v>2565.68</v>
      </c>
      <c r="K1282" s="94">
        <v>855.23</v>
      </c>
    </row>
    <row r="1283" spans="1:11">
      <c r="A1283" s="74" t="s">
        <v>113</v>
      </c>
      <c r="B1283" s="74" t="s">
        <v>212</v>
      </c>
      <c r="C1283" s="74" t="s">
        <v>213</v>
      </c>
      <c r="D1283" s="88" t="s">
        <v>82</v>
      </c>
      <c r="E1283" s="88" t="s">
        <v>84</v>
      </c>
      <c r="F1283" s="86" t="s">
        <v>208</v>
      </c>
      <c r="G1283" s="74" t="s">
        <v>209</v>
      </c>
      <c r="H1283" s="87">
        <v>44104</v>
      </c>
      <c r="I1283" s="94">
        <v>3826.66</v>
      </c>
      <c r="J1283" s="94">
        <v>2870</v>
      </c>
      <c r="K1283" s="94">
        <v>956.66</v>
      </c>
    </row>
    <row r="1284" spans="1:11">
      <c r="A1284" s="74" t="s">
        <v>113</v>
      </c>
      <c r="B1284" s="74" t="s">
        <v>214</v>
      </c>
      <c r="C1284" s="74" t="s">
        <v>215</v>
      </c>
      <c r="D1284" s="88" t="s">
        <v>82</v>
      </c>
      <c r="E1284" s="88" t="s">
        <v>84</v>
      </c>
      <c r="F1284" s="86" t="s">
        <v>116</v>
      </c>
      <c r="G1284" s="74" t="s">
        <v>209</v>
      </c>
      <c r="H1284" s="87">
        <v>44104</v>
      </c>
      <c r="I1284" s="94">
        <v>3417.06</v>
      </c>
      <c r="J1284" s="94">
        <v>2562.8</v>
      </c>
      <c r="K1284" s="94">
        <v>854.26</v>
      </c>
    </row>
    <row r="1285" spans="1:11">
      <c r="A1285" s="74" t="s">
        <v>113</v>
      </c>
      <c r="B1285" s="74" t="s">
        <v>216</v>
      </c>
      <c r="C1285" s="74" t="s">
        <v>217</v>
      </c>
      <c r="D1285" s="88" t="s">
        <v>82</v>
      </c>
      <c r="E1285" s="88" t="s">
        <v>84</v>
      </c>
      <c r="F1285" s="86" t="s">
        <v>218</v>
      </c>
      <c r="G1285" s="74" t="s">
        <v>219</v>
      </c>
      <c r="H1285" s="87">
        <v>44104</v>
      </c>
      <c r="I1285" s="94">
        <v>4570.74</v>
      </c>
      <c r="J1285" s="94">
        <v>3428.06</v>
      </c>
      <c r="K1285" s="94">
        <v>1142.68</v>
      </c>
    </row>
    <row r="1286" spans="1:11">
      <c r="A1286" s="74" t="s">
        <v>113</v>
      </c>
      <c r="B1286" s="74" t="s">
        <v>220</v>
      </c>
      <c r="C1286" s="74" t="s">
        <v>221</v>
      </c>
      <c r="D1286" s="88" t="s">
        <v>82</v>
      </c>
      <c r="E1286" s="74" t="s">
        <v>83</v>
      </c>
      <c r="F1286" s="86" t="s">
        <v>218</v>
      </c>
      <c r="G1286" s="74" t="s">
        <v>222</v>
      </c>
      <c r="H1286" s="87">
        <v>44104</v>
      </c>
      <c r="I1286" s="94">
        <v>4642.83</v>
      </c>
      <c r="J1286" s="94">
        <v>3482.12</v>
      </c>
      <c r="K1286" s="94">
        <v>1160.71</v>
      </c>
    </row>
    <row r="1287" spans="1:11">
      <c r="A1287" s="74" t="s">
        <v>113</v>
      </c>
      <c r="B1287" s="74" t="s">
        <v>223</v>
      </c>
      <c r="C1287" s="74" t="s">
        <v>224</v>
      </c>
      <c r="D1287" s="88" t="s">
        <v>82</v>
      </c>
      <c r="E1287" s="74" t="s">
        <v>83</v>
      </c>
      <c r="F1287" s="86" t="s">
        <v>225</v>
      </c>
      <c r="G1287" s="74" t="s">
        <v>209</v>
      </c>
      <c r="H1287" s="87">
        <v>44104</v>
      </c>
      <c r="I1287" s="94">
        <v>4187.64</v>
      </c>
      <c r="J1287" s="94">
        <v>3140.73</v>
      </c>
      <c r="K1287" s="94">
        <v>1046.91</v>
      </c>
    </row>
    <row r="1288" spans="1:11">
      <c r="A1288" s="74" t="s">
        <v>113</v>
      </c>
      <c r="B1288" s="74" t="s">
        <v>226</v>
      </c>
      <c r="C1288" s="74" t="s">
        <v>227</v>
      </c>
      <c r="D1288" s="88" t="s">
        <v>82</v>
      </c>
      <c r="E1288" s="74" t="s">
        <v>83</v>
      </c>
      <c r="F1288" s="86" t="s">
        <v>208</v>
      </c>
      <c r="G1288" s="74" t="s">
        <v>209</v>
      </c>
      <c r="H1288" s="87">
        <v>44104</v>
      </c>
      <c r="I1288" s="94">
        <v>3673.1</v>
      </c>
      <c r="J1288" s="94">
        <v>2754.83</v>
      </c>
      <c r="K1288" s="94">
        <v>918.27</v>
      </c>
    </row>
    <row r="1289" spans="1:11">
      <c r="A1289" s="74" t="s">
        <v>113</v>
      </c>
      <c r="B1289" s="74" t="s">
        <v>228</v>
      </c>
      <c r="C1289" s="74" t="s">
        <v>229</v>
      </c>
      <c r="D1289" s="88" t="s">
        <v>82</v>
      </c>
      <c r="E1289" s="74" t="s">
        <v>83</v>
      </c>
      <c r="F1289" s="86" t="s">
        <v>116</v>
      </c>
      <c r="G1289" s="74" t="s">
        <v>209</v>
      </c>
      <c r="H1289" s="87">
        <v>44104</v>
      </c>
      <c r="I1289" s="94">
        <v>3316.65</v>
      </c>
      <c r="J1289" s="94">
        <v>2487.49</v>
      </c>
      <c r="K1289" s="94">
        <v>829.16</v>
      </c>
    </row>
    <row r="1290" spans="1:11">
      <c r="A1290" s="74" t="s">
        <v>113</v>
      </c>
      <c r="B1290" s="74" t="s">
        <v>230</v>
      </c>
      <c r="C1290" s="74" t="s">
        <v>231</v>
      </c>
      <c r="D1290" s="88" t="s">
        <v>82</v>
      </c>
      <c r="E1290" s="74" t="s">
        <v>83</v>
      </c>
      <c r="F1290" s="86" t="s">
        <v>120</v>
      </c>
      <c r="G1290" s="74" t="s">
        <v>209</v>
      </c>
      <c r="H1290" s="87">
        <v>44104</v>
      </c>
      <c r="I1290" s="94">
        <v>2850.39</v>
      </c>
      <c r="J1290" s="94">
        <v>2137.79</v>
      </c>
      <c r="K1290" s="94">
        <v>712.6</v>
      </c>
    </row>
    <row r="1291" spans="1:11">
      <c r="A1291" s="74" t="s">
        <v>113</v>
      </c>
      <c r="B1291" s="74" t="s">
        <v>232</v>
      </c>
      <c r="C1291" s="74" t="s">
        <v>233</v>
      </c>
      <c r="D1291" s="88" t="s">
        <v>82</v>
      </c>
      <c r="E1291" s="74" t="s">
        <v>83</v>
      </c>
      <c r="F1291" s="86" t="s">
        <v>123</v>
      </c>
      <c r="G1291" s="74" t="s">
        <v>209</v>
      </c>
      <c r="H1291" s="87">
        <v>44104</v>
      </c>
      <c r="I1291" s="94">
        <v>2514.95</v>
      </c>
      <c r="J1291" s="94">
        <v>1886.21</v>
      </c>
      <c r="K1291" s="94">
        <v>628.74</v>
      </c>
    </row>
    <row r="1292" spans="1:11">
      <c r="A1292" s="74" t="s">
        <v>113</v>
      </c>
      <c r="B1292" s="74" t="s">
        <v>234</v>
      </c>
      <c r="C1292" s="74" t="s">
        <v>235</v>
      </c>
      <c r="D1292" s="88" t="s">
        <v>82</v>
      </c>
      <c r="E1292" s="74" t="s">
        <v>83</v>
      </c>
      <c r="F1292" s="86" t="s">
        <v>116</v>
      </c>
      <c r="G1292" s="74" t="s">
        <v>209</v>
      </c>
      <c r="H1292" s="87">
        <v>44104</v>
      </c>
      <c r="I1292" s="94">
        <v>3180.45</v>
      </c>
      <c r="J1292" s="94">
        <v>2385.34</v>
      </c>
      <c r="K1292" s="94">
        <v>795.11</v>
      </c>
    </row>
    <row r="1293" spans="1:11">
      <c r="A1293" s="74" t="s">
        <v>113</v>
      </c>
      <c r="B1293" s="74" t="s">
        <v>236</v>
      </c>
      <c r="C1293" s="74" t="s">
        <v>237</v>
      </c>
      <c r="D1293" s="88" t="s">
        <v>82</v>
      </c>
      <c r="E1293" s="74" t="s">
        <v>83</v>
      </c>
      <c r="F1293" s="86" t="s">
        <v>120</v>
      </c>
      <c r="G1293" s="74" t="s">
        <v>209</v>
      </c>
      <c r="H1293" s="87">
        <v>44104</v>
      </c>
      <c r="I1293" s="94">
        <v>2791.09</v>
      </c>
      <c r="J1293" s="94">
        <v>2093.32</v>
      </c>
      <c r="K1293" s="94">
        <v>697.77</v>
      </c>
    </row>
    <row r="1294" spans="1:11">
      <c r="A1294" s="74" t="s">
        <v>113</v>
      </c>
      <c r="B1294" s="74" t="s">
        <v>238</v>
      </c>
      <c r="C1294" s="74" t="s">
        <v>239</v>
      </c>
      <c r="D1294" s="74" t="s">
        <v>86</v>
      </c>
      <c r="E1294" s="74" t="s">
        <v>87</v>
      </c>
      <c r="F1294" s="86" t="s">
        <v>204</v>
      </c>
      <c r="G1294" s="74" t="s">
        <v>240</v>
      </c>
      <c r="H1294" s="87">
        <v>44104</v>
      </c>
      <c r="I1294" s="94">
        <v>6070.71</v>
      </c>
      <c r="J1294" s="94">
        <v>4553.03</v>
      </c>
      <c r="K1294" s="94">
        <v>1517.68</v>
      </c>
    </row>
    <row r="1295" spans="1:11">
      <c r="A1295" s="74" t="s">
        <v>113</v>
      </c>
      <c r="B1295" s="74" t="s">
        <v>241</v>
      </c>
      <c r="C1295" s="74" t="s">
        <v>242</v>
      </c>
      <c r="D1295" s="74" t="s">
        <v>86</v>
      </c>
      <c r="E1295" s="74" t="s">
        <v>87</v>
      </c>
      <c r="F1295" s="86" t="s">
        <v>243</v>
      </c>
      <c r="G1295" s="74" t="s">
        <v>244</v>
      </c>
      <c r="H1295" s="87">
        <v>44104</v>
      </c>
      <c r="I1295" s="94">
        <v>4245.54</v>
      </c>
      <c r="J1295" s="94">
        <v>3184.16</v>
      </c>
      <c r="K1295" s="94">
        <v>1061.38</v>
      </c>
    </row>
    <row r="1296" spans="1:11">
      <c r="A1296" s="74" t="s">
        <v>113</v>
      </c>
      <c r="B1296" s="74" t="s">
        <v>245</v>
      </c>
      <c r="C1296" s="74" t="s">
        <v>246</v>
      </c>
      <c r="D1296" s="74" t="s">
        <v>86</v>
      </c>
      <c r="E1296" s="74" t="s">
        <v>87</v>
      </c>
      <c r="F1296" s="86" t="s">
        <v>247</v>
      </c>
      <c r="G1296" s="74" t="s">
        <v>248</v>
      </c>
      <c r="H1296" s="87">
        <v>44104</v>
      </c>
      <c r="I1296" s="94">
        <v>3945.23</v>
      </c>
      <c r="J1296" s="94">
        <v>2958.92</v>
      </c>
      <c r="K1296" s="94">
        <v>986.31</v>
      </c>
    </row>
    <row r="1297" spans="1:11">
      <c r="A1297" s="74" t="s">
        <v>113</v>
      </c>
      <c r="B1297" s="74" t="s">
        <v>249</v>
      </c>
      <c r="C1297" s="74" t="s">
        <v>250</v>
      </c>
      <c r="D1297" s="74" t="s">
        <v>86</v>
      </c>
      <c r="E1297" s="74" t="s">
        <v>87</v>
      </c>
      <c r="F1297" s="86" t="s">
        <v>251</v>
      </c>
      <c r="G1297" s="74" t="s">
        <v>252</v>
      </c>
      <c r="H1297" s="87">
        <v>44104</v>
      </c>
      <c r="I1297" s="94">
        <v>3491.69</v>
      </c>
      <c r="J1297" s="94">
        <v>2618.77</v>
      </c>
      <c r="K1297" s="94">
        <v>872.92</v>
      </c>
    </row>
    <row r="1298" spans="1:11">
      <c r="A1298" s="74" t="s">
        <v>113</v>
      </c>
      <c r="B1298" s="74" t="s">
        <v>253</v>
      </c>
      <c r="C1298" s="74" t="s">
        <v>254</v>
      </c>
      <c r="D1298" s="74" t="s">
        <v>86</v>
      </c>
      <c r="E1298" s="74" t="s">
        <v>87</v>
      </c>
      <c r="F1298" s="86" t="s">
        <v>255</v>
      </c>
      <c r="G1298" s="74" t="s">
        <v>252</v>
      </c>
      <c r="H1298" s="87">
        <v>44104</v>
      </c>
      <c r="I1298" s="94">
        <v>3308.78</v>
      </c>
      <c r="J1298" s="94">
        <v>2481.59</v>
      </c>
      <c r="K1298" s="94">
        <v>827.19</v>
      </c>
    </row>
    <row r="1299" spans="1:11">
      <c r="A1299" s="74" t="s">
        <v>113</v>
      </c>
      <c r="B1299" s="74" t="s">
        <v>256</v>
      </c>
      <c r="C1299" s="74" t="s">
        <v>257</v>
      </c>
      <c r="D1299" s="74" t="s">
        <v>86</v>
      </c>
      <c r="E1299" s="74" t="s">
        <v>87</v>
      </c>
      <c r="F1299" s="86" t="s">
        <v>258</v>
      </c>
      <c r="G1299" s="74" t="s">
        <v>252</v>
      </c>
      <c r="H1299" s="87">
        <v>44104</v>
      </c>
      <c r="I1299" s="94">
        <v>3072.86</v>
      </c>
      <c r="J1299" s="94">
        <v>2304.65</v>
      </c>
      <c r="K1299" s="94">
        <v>768.21</v>
      </c>
    </row>
    <row r="1300" spans="1:11">
      <c r="A1300" s="74" t="s">
        <v>113</v>
      </c>
      <c r="B1300" s="74" t="s">
        <v>259</v>
      </c>
      <c r="C1300" s="74" t="s">
        <v>260</v>
      </c>
      <c r="D1300" s="74" t="s">
        <v>86</v>
      </c>
      <c r="E1300" s="74" t="s">
        <v>87</v>
      </c>
      <c r="F1300" s="86" t="s">
        <v>261</v>
      </c>
      <c r="G1300" s="74" t="s">
        <v>262</v>
      </c>
      <c r="H1300" s="87">
        <v>44104</v>
      </c>
      <c r="I1300" s="94">
        <v>2646.55</v>
      </c>
      <c r="J1300" s="94">
        <v>1984.91</v>
      </c>
      <c r="K1300" s="94">
        <v>661.64</v>
      </c>
    </row>
    <row r="1301" spans="1:11">
      <c r="A1301" s="74" t="s">
        <v>113</v>
      </c>
      <c r="B1301" s="74" t="s">
        <v>263</v>
      </c>
      <c r="C1301" s="74" t="s">
        <v>264</v>
      </c>
      <c r="D1301" s="74" t="s">
        <v>86</v>
      </c>
      <c r="E1301" s="74" t="s">
        <v>88</v>
      </c>
      <c r="F1301" s="86" t="s">
        <v>149</v>
      </c>
      <c r="G1301" s="74" t="s">
        <v>265</v>
      </c>
      <c r="H1301" s="87">
        <v>44104</v>
      </c>
      <c r="I1301" s="94">
        <v>5312.86</v>
      </c>
      <c r="J1301" s="94">
        <v>3984.65</v>
      </c>
      <c r="K1301" s="94">
        <v>1328.21</v>
      </c>
    </row>
    <row r="1302" spans="1:11">
      <c r="A1302" s="74" t="s">
        <v>113</v>
      </c>
      <c r="B1302" s="74" t="s">
        <v>266</v>
      </c>
      <c r="C1302" s="74" t="s">
        <v>267</v>
      </c>
      <c r="D1302" s="74" t="s">
        <v>86</v>
      </c>
      <c r="E1302" s="74" t="s">
        <v>88</v>
      </c>
      <c r="F1302" s="86" t="s">
        <v>243</v>
      </c>
      <c r="G1302" s="74" t="s">
        <v>268</v>
      </c>
      <c r="H1302" s="87">
        <v>44104</v>
      </c>
      <c r="I1302" s="94">
        <v>4116.81</v>
      </c>
      <c r="J1302" s="94">
        <v>3087.61</v>
      </c>
      <c r="K1302" s="94">
        <v>1029.2</v>
      </c>
    </row>
    <row r="1303" spans="1:11">
      <c r="A1303" s="74" t="s">
        <v>113</v>
      </c>
      <c r="B1303" s="74" t="s">
        <v>269</v>
      </c>
      <c r="C1303" s="74" t="s">
        <v>270</v>
      </c>
      <c r="D1303" s="74" t="s">
        <v>86</v>
      </c>
      <c r="E1303" s="74" t="s">
        <v>88</v>
      </c>
      <c r="F1303" s="86" t="s">
        <v>247</v>
      </c>
      <c r="G1303" s="74" t="s">
        <v>268</v>
      </c>
      <c r="H1303" s="87">
        <v>44104</v>
      </c>
      <c r="I1303" s="94">
        <v>4107.6</v>
      </c>
      <c r="J1303" s="94">
        <v>3080.7</v>
      </c>
      <c r="K1303" s="94">
        <v>1026.9</v>
      </c>
    </row>
    <row r="1304" spans="1:11">
      <c r="A1304" s="74" t="s">
        <v>113</v>
      </c>
      <c r="B1304" s="74" t="s">
        <v>271</v>
      </c>
      <c r="C1304" s="74" t="s">
        <v>272</v>
      </c>
      <c r="D1304" s="74" t="s">
        <v>86</v>
      </c>
      <c r="E1304" s="74" t="s">
        <v>88</v>
      </c>
      <c r="F1304" s="86" t="s">
        <v>251</v>
      </c>
      <c r="G1304" s="74" t="s">
        <v>268</v>
      </c>
      <c r="H1304" s="87">
        <v>44104</v>
      </c>
      <c r="I1304" s="94">
        <v>3694.12</v>
      </c>
      <c r="J1304" s="94">
        <v>2770.59</v>
      </c>
      <c r="K1304" s="94">
        <v>923.53</v>
      </c>
    </row>
    <row r="1305" spans="1:11">
      <c r="A1305" s="74" t="s">
        <v>113</v>
      </c>
      <c r="B1305" s="74" t="s">
        <v>273</v>
      </c>
      <c r="C1305" s="74" t="s">
        <v>274</v>
      </c>
      <c r="D1305" s="74" t="s">
        <v>86</v>
      </c>
      <c r="E1305" s="74" t="s">
        <v>88</v>
      </c>
      <c r="F1305" s="86" t="s">
        <v>255</v>
      </c>
      <c r="G1305" s="74" t="s">
        <v>268</v>
      </c>
      <c r="H1305" s="87">
        <v>44104</v>
      </c>
      <c r="I1305" s="94">
        <v>3324.42</v>
      </c>
      <c r="J1305" s="94">
        <v>2493.32</v>
      </c>
      <c r="K1305" s="94">
        <v>831.1</v>
      </c>
    </row>
    <row r="1306" spans="1:11">
      <c r="A1306" s="74" t="s">
        <v>113</v>
      </c>
      <c r="B1306" s="74" t="s">
        <v>275</v>
      </c>
      <c r="C1306" s="74" t="s">
        <v>276</v>
      </c>
      <c r="D1306" s="74" t="s">
        <v>86</v>
      </c>
      <c r="E1306" s="74" t="s">
        <v>88</v>
      </c>
      <c r="F1306" s="86" t="s">
        <v>258</v>
      </c>
      <c r="G1306" s="74" t="s">
        <v>268</v>
      </c>
      <c r="H1306" s="87">
        <v>44104</v>
      </c>
      <c r="I1306" s="94">
        <v>2811.71</v>
      </c>
      <c r="J1306" s="94">
        <v>2108.78</v>
      </c>
      <c r="K1306" s="94">
        <v>702.93</v>
      </c>
    </row>
    <row r="1307" spans="1:11">
      <c r="A1307" s="74" t="s">
        <v>113</v>
      </c>
      <c r="B1307" s="74" t="s">
        <v>277</v>
      </c>
      <c r="C1307" s="74" t="s">
        <v>278</v>
      </c>
      <c r="D1307" s="74" t="s">
        <v>86</v>
      </c>
      <c r="E1307" s="74" t="s">
        <v>89</v>
      </c>
      <c r="F1307" s="86" t="s">
        <v>279</v>
      </c>
      <c r="G1307" s="74" t="s">
        <v>280</v>
      </c>
      <c r="H1307" s="87">
        <v>44104</v>
      </c>
      <c r="I1307" s="94">
        <v>4830.26</v>
      </c>
      <c r="J1307" s="94">
        <v>3622.7</v>
      </c>
      <c r="K1307" s="94">
        <v>1207.56</v>
      </c>
    </row>
    <row r="1308" spans="1:11">
      <c r="A1308" s="74" t="s">
        <v>113</v>
      </c>
      <c r="B1308" s="74" t="s">
        <v>281</v>
      </c>
      <c r="C1308" s="74" t="s">
        <v>282</v>
      </c>
      <c r="D1308" s="74" t="s">
        <v>86</v>
      </c>
      <c r="E1308" s="74" t="s">
        <v>89</v>
      </c>
      <c r="F1308" s="86" t="s">
        <v>225</v>
      </c>
      <c r="G1308" s="74" t="s">
        <v>283</v>
      </c>
      <c r="H1308" s="87">
        <v>44104</v>
      </c>
      <c r="I1308" s="94">
        <v>3256.55</v>
      </c>
      <c r="J1308" s="94">
        <v>2442.41</v>
      </c>
      <c r="K1308" s="94">
        <v>814.14</v>
      </c>
    </row>
    <row r="1309" spans="1:11">
      <c r="A1309" s="74" t="s">
        <v>113</v>
      </c>
      <c r="B1309" s="74" t="s">
        <v>284</v>
      </c>
      <c r="C1309" s="74" t="s">
        <v>285</v>
      </c>
      <c r="D1309" s="74" t="s">
        <v>86</v>
      </c>
      <c r="E1309" s="74" t="s">
        <v>89</v>
      </c>
      <c r="F1309" s="86" t="s">
        <v>208</v>
      </c>
      <c r="G1309" s="74" t="s">
        <v>283</v>
      </c>
      <c r="H1309" s="87">
        <v>44104</v>
      </c>
      <c r="I1309" s="94">
        <v>2831.38</v>
      </c>
      <c r="J1309" s="94">
        <v>2123.54</v>
      </c>
      <c r="K1309" s="94">
        <v>707.84</v>
      </c>
    </row>
    <row r="1310" spans="1:11">
      <c r="A1310" s="74" t="s">
        <v>113</v>
      </c>
      <c r="B1310" s="74" t="s">
        <v>286</v>
      </c>
      <c r="C1310" s="74" t="s">
        <v>287</v>
      </c>
      <c r="D1310" s="74" t="s">
        <v>82</v>
      </c>
      <c r="E1310" s="88" t="s">
        <v>85</v>
      </c>
      <c r="F1310" s="86" t="s">
        <v>288</v>
      </c>
      <c r="G1310" s="74" t="s">
        <v>289</v>
      </c>
      <c r="H1310" s="87">
        <v>44104</v>
      </c>
      <c r="I1310" s="94">
        <v>4684.17</v>
      </c>
      <c r="J1310" s="94">
        <v>3513.13</v>
      </c>
      <c r="K1310" s="94">
        <v>1171.04</v>
      </c>
    </row>
    <row r="1311" spans="1:11">
      <c r="A1311" s="74" t="s">
        <v>113</v>
      </c>
      <c r="B1311" s="74" t="s">
        <v>290</v>
      </c>
      <c r="C1311" s="74" t="s">
        <v>291</v>
      </c>
      <c r="D1311" s="74" t="s">
        <v>82</v>
      </c>
      <c r="E1311" s="88" t="s">
        <v>85</v>
      </c>
      <c r="F1311" s="86" t="s">
        <v>218</v>
      </c>
      <c r="G1311" s="74" t="s">
        <v>289</v>
      </c>
      <c r="H1311" s="87">
        <v>44104</v>
      </c>
      <c r="I1311" s="94">
        <v>4531.5</v>
      </c>
      <c r="J1311" s="94">
        <v>3398.63</v>
      </c>
      <c r="K1311" s="94">
        <v>1132.87</v>
      </c>
    </row>
    <row r="1312" spans="1:11">
      <c r="A1312" s="74" t="s">
        <v>113</v>
      </c>
      <c r="B1312" s="74" t="s">
        <v>292</v>
      </c>
      <c r="C1312" s="74" t="s">
        <v>293</v>
      </c>
      <c r="D1312" s="74" t="s">
        <v>82</v>
      </c>
      <c r="E1312" s="88" t="s">
        <v>85</v>
      </c>
      <c r="F1312" s="86" t="s">
        <v>225</v>
      </c>
      <c r="G1312" s="74" t="s">
        <v>289</v>
      </c>
      <c r="H1312" s="87">
        <v>44104</v>
      </c>
      <c r="I1312" s="94">
        <v>4289.69</v>
      </c>
      <c r="J1312" s="94">
        <v>3217.27</v>
      </c>
      <c r="K1312" s="94">
        <v>1072.42</v>
      </c>
    </row>
    <row r="1313" spans="1:11">
      <c r="A1313" s="74" t="s">
        <v>113</v>
      </c>
      <c r="B1313" s="74" t="s">
        <v>294</v>
      </c>
      <c r="C1313" s="74" t="s">
        <v>295</v>
      </c>
      <c r="D1313" s="74" t="s">
        <v>82</v>
      </c>
      <c r="E1313" s="88" t="s">
        <v>85</v>
      </c>
      <c r="F1313" s="86" t="s">
        <v>208</v>
      </c>
      <c r="G1313" s="74" t="s">
        <v>289</v>
      </c>
      <c r="H1313" s="87">
        <v>44104</v>
      </c>
      <c r="I1313" s="94">
        <v>3740.22</v>
      </c>
      <c r="J1313" s="94">
        <v>2805.17</v>
      </c>
      <c r="K1313" s="94">
        <v>935.05</v>
      </c>
    </row>
    <row r="1314" spans="1:11">
      <c r="A1314" s="74" t="s">
        <v>113</v>
      </c>
      <c r="B1314" s="74" t="s">
        <v>296</v>
      </c>
      <c r="C1314" s="74" t="s">
        <v>297</v>
      </c>
      <c r="D1314" s="74" t="s">
        <v>82</v>
      </c>
      <c r="E1314" s="88" t="s">
        <v>85</v>
      </c>
      <c r="F1314" s="86" t="s">
        <v>116</v>
      </c>
      <c r="G1314" s="74" t="s">
        <v>289</v>
      </c>
      <c r="H1314" s="87">
        <v>44104</v>
      </c>
      <c r="I1314" s="94">
        <v>3146.41</v>
      </c>
      <c r="J1314" s="94">
        <v>2359.81</v>
      </c>
      <c r="K1314" s="94">
        <v>786.6</v>
      </c>
    </row>
    <row r="1315" spans="1:11">
      <c r="A1315" s="74" t="s">
        <v>113</v>
      </c>
      <c r="B1315" s="74" t="s">
        <v>298</v>
      </c>
      <c r="C1315" s="74" t="s">
        <v>299</v>
      </c>
      <c r="D1315" s="74" t="s">
        <v>82</v>
      </c>
      <c r="E1315" s="88" t="s">
        <v>85</v>
      </c>
      <c r="F1315" s="86" t="s">
        <v>279</v>
      </c>
      <c r="G1315" s="74" t="s">
        <v>300</v>
      </c>
      <c r="H1315" s="87">
        <v>44104</v>
      </c>
      <c r="I1315" s="94">
        <v>6088.25</v>
      </c>
      <c r="J1315" s="94">
        <v>4566.19</v>
      </c>
      <c r="K1315" s="94">
        <v>1522.06</v>
      </c>
    </row>
    <row r="1316" spans="1:11">
      <c r="A1316" s="74" t="s">
        <v>113</v>
      </c>
      <c r="B1316" s="74" t="s">
        <v>301</v>
      </c>
      <c r="C1316" s="74" t="s">
        <v>302</v>
      </c>
      <c r="D1316" s="74" t="s">
        <v>82</v>
      </c>
      <c r="E1316" s="88" t="s">
        <v>85</v>
      </c>
      <c r="F1316" s="86" t="s">
        <v>279</v>
      </c>
      <c r="G1316" s="74" t="s">
        <v>303</v>
      </c>
      <c r="H1316" s="87">
        <v>44104</v>
      </c>
      <c r="I1316" s="94">
        <v>6195.11</v>
      </c>
      <c r="J1316" s="94">
        <v>4646.33</v>
      </c>
      <c r="K1316" s="94">
        <v>1548.78</v>
      </c>
    </row>
    <row r="1317" spans="1:11">
      <c r="A1317" s="74" t="s">
        <v>113</v>
      </c>
      <c r="B1317" s="74" t="s">
        <v>304</v>
      </c>
      <c r="C1317" s="74" t="s">
        <v>305</v>
      </c>
      <c r="D1317" s="74" t="s">
        <v>86</v>
      </c>
      <c r="E1317" s="74" t="s">
        <v>90</v>
      </c>
      <c r="F1317" s="86" t="s">
        <v>306</v>
      </c>
      <c r="G1317" s="74" t="s">
        <v>307</v>
      </c>
      <c r="H1317" s="87">
        <v>44104</v>
      </c>
      <c r="I1317" s="94">
        <v>6297.5</v>
      </c>
      <c r="J1317" s="94">
        <v>4723.13</v>
      </c>
      <c r="K1317" s="94">
        <v>1574.37</v>
      </c>
    </row>
    <row r="1318" spans="1:11">
      <c r="A1318" s="74" t="s">
        <v>113</v>
      </c>
      <c r="B1318" s="74" t="s">
        <v>114</v>
      </c>
      <c r="C1318" s="74" t="s">
        <v>115</v>
      </c>
      <c r="D1318" s="74" t="s">
        <v>79</v>
      </c>
      <c r="E1318" s="74" t="s">
        <v>80</v>
      </c>
      <c r="F1318" s="86" t="s">
        <v>116</v>
      </c>
      <c r="G1318" s="74" t="s">
        <v>117</v>
      </c>
      <c r="H1318" s="87">
        <v>44135</v>
      </c>
      <c r="I1318" s="94">
        <v>3423.19</v>
      </c>
      <c r="J1318" s="94">
        <v>2567.39</v>
      </c>
      <c r="K1318" s="94">
        <v>855.8</v>
      </c>
    </row>
    <row r="1319" spans="1:11">
      <c r="A1319" s="74" t="s">
        <v>113</v>
      </c>
      <c r="B1319" s="74" t="s">
        <v>118</v>
      </c>
      <c r="C1319" s="74" t="s">
        <v>119</v>
      </c>
      <c r="D1319" s="74" t="s">
        <v>79</v>
      </c>
      <c r="E1319" s="74" t="s">
        <v>80</v>
      </c>
      <c r="F1319" s="86" t="s">
        <v>120</v>
      </c>
      <c r="G1319" s="74" t="s">
        <v>117</v>
      </c>
      <c r="H1319" s="87">
        <v>44135</v>
      </c>
      <c r="I1319" s="94">
        <v>2841.03</v>
      </c>
      <c r="J1319" s="94">
        <v>2130.77</v>
      </c>
      <c r="K1319" s="94">
        <v>710.26</v>
      </c>
    </row>
    <row r="1320" spans="1:11">
      <c r="A1320" s="74" t="s">
        <v>113</v>
      </c>
      <c r="B1320" s="74" t="s">
        <v>121</v>
      </c>
      <c r="C1320" s="74" t="s">
        <v>122</v>
      </c>
      <c r="D1320" s="74" t="s">
        <v>79</v>
      </c>
      <c r="E1320" s="74" t="s">
        <v>80</v>
      </c>
      <c r="F1320" s="86" t="s">
        <v>123</v>
      </c>
      <c r="G1320" s="74" t="s">
        <v>117</v>
      </c>
      <c r="H1320" s="87">
        <v>44135</v>
      </c>
      <c r="I1320" s="94">
        <v>2558.51</v>
      </c>
      <c r="J1320" s="94">
        <v>1918.88</v>
      </c>
      <c r="K1320" s="94">
        <v>639.63</v>
      </c>
    </row>
    <row r="1321" spans="1:11">
      <c r="A1321" s="74" t="s">
        <v>113</v>
      </c>
      <c r="B1321" s="74" t="s">
        <v>124</v>
      </c>
      <c r="C1321" s="74" t="s">
        <v>125</v>
      </c>
      <c r="D1321" s="74" t="s">
        <v>79</v>
      </c>
      <c r="E1321" s="74" t="s">
        <v>80</v>
      </c>
      <c r="F1321" s="86" t="s">
        <v>116</v>
      </c>
      <c r="G1321" s="74" t="s">
        <v>117</v>
      </c>
      <c r="H1321" s="87">
        <v>44135</v>
      </c>
      <c r="I1321" s="94">
        <v>3262.42</v>
      </c>
      <c r="J1321" s="94">
        <v>2446.82</v>
      </c>
      <c r="K1321" s="94">
        <v>815.6</v>
      </c>
    </row>
    <row r="1322" spans="1:11">
      <c r="A1322" s="74" t="s">
        <v>113</v>
      </c>
      <c r="B1322" s="74" t="s">
        <v>126</v>
      </c>
      <c r="C1322" s="74" t="s">
        <v>127</v>
      </c>
      <c r="D1322" s="74" t="s">
        <v>79</v>
      </c>
      <c r="E1322" s="74" t="s">
        <v>80</v>
      </c>
      <c r="F1322" s="86" t="s">
        <v>120</v>
      </c>
      <c r="G1322" s="74" t="s">
        <v>117</v>
      </c>
      <c r="H1322" s="87">
        <v>44135</v>
      </c>
      <c r="I1322" s="94">
        <v>2935.21</v>
      </c>
      <c r="J1322" s="94">
        <v>2201.41</v>
      </c>
      <c r="K1322" s="94">
        <v>733.8</v>
      </c>
    </row>
    <row r="1323" spans="1:11">
      <c r="A1323" s="74" t="s">
        <v>113</v>
      </c>
      <c r="B1323" s="74" t="s">
        <v>128</v>
      </c>
      <c r="C1323" s="74" t="s">
        <v>129</v>
      </c>
      <c r="D1323" s="74" t="s">
        <v>79</v>
      </c>
      <c r="E1323" s="74" t="s">
        <v>80</v>
      </c>
      <c r="F1323" s="86" t="s">
        <v>123</v>
      </c>
      <c r="G1323" s="74" t="s">
        <v>117</v>
      </c>
      <c r="H1323" s="87">
        <v>44135</v>
      </c>
      <c r="I1323" s="94">
        <v>2491.92</v>
      </c>
      <c r="J1323" s="94">
        <v>1868.94</v>
      </c>
      <c r="K1323" s="94">
        <v>622.98</v>
      </c>
    </row>
    <row r="1324" spans="1:11">
      <c r="A1324" s="74" t="s">
        <v>113</v>
      </c>
      <c r="B1324" s="74" t="s">
        <v>130</v>
      </c>
      <c r="C1324" s="74" t="s">
        <v>131</v>
      </c>
      <c r="D1324" s="74" t="s">
        <v>79</v>
      </c>
      <c r="E1324" s="74" t="s">
        <v>80</v>
      </c>
      <c r="F1324" s="86" t="s">
        <v>116</v>
      </c>
      <c r="G1324" s="74" t="s">
        <v>117</v>
      </c>
      <c r="H1324" s="87">
        <v>44135</v>
      </c>
      <c r="I1324" s="94">
        <v>3371.8</v>
      </c>
      <c r="J1324" s="94">
        <v>2528.85</v>
      </c>
      <c r="K1324" s="94">
        <v>842.95</v>
      </c>
    </row>
    <row r="1325" spans="1:11">
      <c r="A1325" s="74" t="s">
        <v>113</v>
      </c>
      <c r="B1325" s="74" t="s">
        <v>132</v>
      </c>
      <c r="C1325" s="74" t="s">
        <v>133</v>
      </c>
      <c r="D1325" s="74" t="s">
        <v>79</v>
      </c>
      <c r="E1325" s="74" t="s">
        <v>80</v>
      </c>
      <c r="F1325" s="86" t="s">
        <v>120</v>
      </c>
      <c r="G1325" s="74" t="s">
        <v>117</v>
      </c>
      <c r="H1325" s="87">
        <v>44135</v>
      </c>
      <c r="I1325" s="94">
        <v>2750.23</v>
      </c>
      <c r="J1325" s="94">
        <v>2062.67</v>
      </c>
      <c r="K1325" s="94">
        <v>687.56</v>
      </c>
    </row>
    <row r="1326" spans="1:11">
      <c r="A1326" s="74" t="s">
        <v>113</v>
      </c>
      <c r="B1326" s="74" t="s">
        <v>134</v>
      </c>
      <c r="C1326" s="74" t="s">
        <v>135</v>
      </c>
      <c r="D1326" s="74" t="s">
        <v>79</v>
      </c>
      <c r="E1326" s="74" t="s">
        <v>80</v>
      </c>
      <c r="F1326" s="86" t="s">
        <v>123</v>
      </c>
      <c r="G1326" s="74" t="s">
        <v>117</v>
      </c>
      <c r="H1326" s="87">
        <v>44135</v>
      </c>
      <c r="I1326" s="94">
        <v>2393.91</v>
      </c>
      <c r="J1326" s="94">
        <v>1795.43</v>
      </c>
      <c r="K1326" s="94">
        <v>598.48</v>
      </c>
    </row>
    <row r="1327" spans="1:11">
      <c r="A1327" s="74" t="s">
        <v>113</v>
      </c>
      <c r="B1327" s="74" t="s">
        <v>136</v>
      </c>
      <c r="C1327" s="74" t="s">
        <v>137</v>
      </c>
      <c r="D1327" s="74" t="s">
        <v>79</v>
      </c>
      <c r="E1327" s="74" t="s">
        <v>80</v>
      </c>
      <c r="F1327" s="86" t="s">
        <v>116</v>
      </c>
      <c r="G1327" s="74" t="s">
        <v>138</v>
      </c>
      <c r="H1327" s="87">
        <v>44135</v>
      </c>
      <c r="I1327" s="94">
        <v>3301.37</v>
      </c>
      <c r="J1327" s="94">
        <v>2476.03</v>
      </c>
      <c r="K1327" s="94">
        <v>825.34</v>
      </c>
    </row>
    <row r="1328" spans="1:11">
      <c r="A1328" s="74" t="s">
        <v>113</v>
      </c>
      <c r="B1328" s="74" t="s">
        <v>139</v>
      </c>
      <c r="C1328" s="74" t="s">
        <v>140</v>
      </c>
      <c r="D1328" s="74" t="s">
        <v>79</v>
      </c>
      <c r="E1328" s="74" t="s">
        <v>80</v>
      </c>
      <c r="F1328" s="86" t="s">
        <v>120</v>
      </c>
      <c r="G1328" s="74" t="s">
        <v>138</v>
      </c>
      <c r="H1328" s="87">
        <v>44135</v>
      </c>
      <c r="I1328" s="94">
        <v>2864.53</v>
      </c>
      <c r="J1328" s="94">
        <v>2148.4</v>
      </c>
      <c r="K1328" s="94">
        <v>716.13</v>
      </c>
    </row>
    <row r="1329" spans="1:11">
      <c r="A1329" s="74" t="s">
        <v>113</v>
      </c>
      <c r="B1329" s="74" t="s">
        <v>141</v>
      </c>
      <c r="C1329" s="74" t="s">
        <v>142</v>
      </c>
      <c r="D1329" s="74" t="s">
        <v>79</v>
      </c>
      <c r="E1329" s="74" t="s">
        <v>80</v>
      </c>
      <c r="F1329" s="86" t="s">
        <v>123</v>
      </c>
      <c r="G1329" s="74" t="s">
        <v>138</v>
      </c>
      <c r="H1329" s="87">
        <v>44135</v>
      </c>
      <c r="I1329" s="94">
        <v>2404.28</v>
      </c>
      <c r="J1329" s="94">
        <v>1803.21</v>
      </c>
      <c r="K1329" s="94">
        <v>601.07</v>
      </c>
    </row>
    <row r="1330" spans="1:11">
      <c r="A1330" s="74" t="s">
        <v>113</v>
      </c>
      <c r="B1330" s="74" t="s">
        <v>143</v>
      </c>
      <c r="C1330" s="74" t="s">
        <v>144</v>
      </c>
      <c r="D1330" s="74" t="s">
        <v>79</v>
      </c>
      <c r="E1330" s="74" t="s">
        <v>80</v>
      </c>
      <c r="F1330" s="86" t="s">
        <v>145</v>
      </c>
      <c r="G1330" s="74" t="s">
        <v>146</v>
      </c>
      <c r="H1330" s="87">
        <v>44135</v>
      </c>
      <c r="I1330" s="94">
        <v>8015.42</v>
      </c>
      <c r="J1330" s="94">
        <v>6011.57</v>
      </c>
      <c r="K1330" s="94">
        <v>2003.85</v>
      </c>
    </row>
    <row r="1331" spans="1:11">
      <c r="A1331" s="74" t="s">
        <v>113</v>
      </c>
      <c r="B1331" s="74" t="s">
        <v>147</v>
      </c>
      <c r="C1331" s="74" t="s">
        <v>148</v>
      </c>
      <c r="D1331" s="74" t="s">
        <v>79</v>
      </c>
      <c r="E1331" s="74" t="s">
        <v>80</v>
      </c>
      <c r="F1331" s="86" t="s">
        <v>149</v>
      </c>
      <c r="G1331" s="74" t="s">
        <v>150</v>
      </c>
      <c r="H1331" s="87">
        <v>44135</v>
      </c>
      <c r="I1331" s="94">
        <v>6789.99</v>
      </c>
      <c r="J1331" s="94">
        <v>5092.49</v>
      </c>
      <c r="K1331" s="94">
        <v>1697.5</v>
      </c>
    </row>
    <row r="1332" spans="1:11">
      <c r="A1332" s="74" t="s">
        <v>113</v>
      </c>
      <c r="B1332" s="74" t="s">
        <v>151</v>
      </c>
      <c r="C1332" s="74" t="s">
        <v>152</v>
      </c>
      <c r="D1332" s="74" t="s">
        <v>79</v>
      </c>
      <c r="E1332" s="74" t="s">
        <v>81</v>
      </c>
      <c r="F1332" s="86" t="s">
        <v>123</v>
      </c>
      <c r="G1332" s="74" t="s">
        <v>153</v>
      </c>
      <c r="H1332" s="87">
        <v>44135</v>
      </c>
      <c r="I1332" s="94">
        <v>2456.86</v>
      </c>
      <c r="J1332" s="94">
        <v>1842.65</v>
      </c>
      <c r="K1332" s="94">
        <v>614.21</v>
      </c>
    </row>
    <row r="1333" spans="1:11">
      <c r="A1333" s="74" t="s">
        <v>113</v>
      </c>
      <c r="B1333" s="74" t="s">
        <v>154</v>
      </c>
      <c r="C1333" s="74" t="s">
        <v>155</v>
      </c>
      <c r="D1333" s="74" t="s">
        <v>79</v>
      </c>
      <c r="E1333" s="74" t="s">
        <v>81</v>
      </c>
      <c r="F1333" s="86" t="s">
        <v>156</v>
      </c>
      <c r="G1333" s="74" t="s">
        <v>157</v>
      </c>
      <c r="H1333" s="87">
        <v>44135</v>
      </c>
      <c r="I1333" s="94">
        <v>2097.42</v>
      </c>
      <c r="J1333" s="94">
        <v>1573.07</v>
      </c>
      <c r="K1333" s="94">
        <v>524.35</v>
      </c>
    </row>
    <row r="1334" spans="1:11">
      <c r="A1334" s="74" t="s">
        <v>113</v>
      </c>
      <c r="B1334" s="74" t="s">
        <v>158</v>
      </c>
      <c r="C1334" s="74" t="s">
        <v>159</v>
      </c>
      <c r="D1334" s="74" t="s">
        <v>79</v>
      </c>
      <c r="E1334" s="74" t="s">
        <v>81</v>
      </c>
      <c r="F1334" s="86" t="s">
        <v>160</v>
      </c>
      <c r="G1334" s="74" t="s">
        <v>161</v>
      </c>
      <c r="H1334" s="87">
        <v>44135</v>
      </c>
      <c r="I1334" s="94">
        <v>1700.39</v>
      </c>
      <c r="J1334" s="94">
        <v>1275.29</v>
      </c>
      <c r="K1334" s="94">
        <v>425.1</v>
      </c>
    </row>
    <row r="1335" spans="1:11">
      <c r="A1335" s="74" t="s">
        <v>113</v>
      </c>
      <c r="B1335" s="74" t="s">
        <v>162</v>
      </c>
      <c r="C1335" s="74" t="s">
        <v>163</v>
      </c>
      <c r="D1335" s="74" t="s">
        <v>79</v>
      </c>
      <c r="E1335" s="74" t="s">
        <v>81</v>
      </c>
      <c r="F1335" s="86" t="s">
        <v>123</v>
      </c>
      <c r="G1335" s="74" t="s">
        <v>153</v>
      </c>
      <c r="H1335" s="87">
        <v>44135</v>
      </c>
      <c r="I1335" s="94">
        <v>2363.7</v>
      </c>
      <c r="J1335" s="94">
        <v>1772.78</v>
      </c>
      <c r="K1335" s="94">
        <v>590.92</v>
      </c>
    </row>
    <row r="1336" spans="1:11">
      <c r="A1336" s="74" t="s">
        <v>113</v>
      </c>
      <c r="B1336" s="74" t="s">
        <v>164</v>
      </c>
      <c r="C1336" s="74" t="s">
        <v>165</v>
      </c>
      <c r="D1336" s="74" t="s">
        <v>79</v>
      </c>
      <c r="E1336" s="74" t="s">
        <v>81</v>
      </c>
      <c r="F1336" s="86" t="s">
        <v>156</v>
      </c>
      <c r="G1336" s="74" t="s">
        <v>157</v>
      </c>
      <c r="H1336" s="87">
        <v>44135</v>
      </c>
      <c r="I1336" s="94">
        <v>2016.67</v>
      </c>
      <c r="J1336" s="94">
        <v>1512.5</v>
      </c>
      <c r="K1336" s="94">
        <v>504.17</v>
      </c>
    </row>
    <row r="1337" spans="1:11">
      <c r="A1337" s="74" t="s">
        <v>113</v>
      </c>
      <c r="B1337" s="74" t="s">
        <v>166</v>
      </c>
      <c r="C1337" s="74" t="s">
        <v>167</v>
      </c>
      <c r="D1337" s="74" t="s">
        <v>79</v>
      </c>
      <c r="E1337" s="74" t="s">
        <v>81</v>
      </c>
      <c r="F1337" s="86" t="s">
        <v>160</v>
      </c>
      <c r="G1337" s="74" t="s">
        <v>161</v>
      </c>
      <c r="H1337" s="87">
        <v>44135</v>
      </c>
      <c r="I1337" s="94">
        <v>1659.51</v>
      </c>
      <c r="J1337" s="94">
        <v>1244.63</v>
      </c>
      <c r="K1337" s="94">
        <v>414.88</v>
      </c>
    </row>
    <row r="1338" spans="1:11">
      <c r="A1338" s="74" t="s">
        <v>113</v>
      </c>
      <c r="B1338" s="74" t="s">
        <v>168</v>
      </c>
      <c r="C1338" s="74" t="s">
        <v>169</v>
      </c>
      <c r="D1338" s="74" t="s">
        <v>79</v>
      </c>
      <c r="E1338" s="74" t="s">
        <v>81</v>
      </c>
      <c r="F1338" s="86" t="s">
        <v>123</v>
      </c>
      <c r="G1338" s="74" t="s">
        <v>153</v>
      </c>
      <c r="H1338" s="87">
        <v>44135</v>
      </c>
      <c r="I1338" s="94">
        <v>2506.91</v>
      </c>
      <c r="J1338" s="94">
        <v>1880.18</v>
      </c>
      <c r="K1338" s="94">
        <v>626.73</v>
      </c>
    </row>
    <row r="1339" spans="1:11">
      <c r="A1339" s="74" t="s">
        <v>113</v>
      </c>
      <c r="B1339" s="74" t="s">
        <v>170</v>
      </c>
      <c r="C1339" s="74" t="s">
        <v>171</v>
      </c>
      <c r="D1339" s="74" t="s">
        <v>79</v>
      </c>
      <c r="E1339" s="74" t="s">
        <v>81</v>
      </c>
      <c r="F1339" s="86" t="s">
        <v>156</v>
      </c>
      <c r="G1339" s="74" t="s">
        <v>157</v>
      </c>
      <c r="H1339" s="87">
        <v>44135</v>
      </c>
      <c r="I1339" s="94">
        <v>2138.03</v>
      </c>
      <c r="J1339" s="94">
        <v>1603.52</v>
      </c>
      <c r="K1339" s="94">
        <v>534.51</v>
      </c>
    </row>
    <row r="1340" spans="1:11">
      <c r="A1340" s="74" t="s">
        <v>113</v>
      </c>
      <c r="B1340" s="74" t="s">
        <v>172</v>
      </c>
      <c r="C1340" s="74" t="s">
        <v>173</v>
      </c>
      <c r="D1340" s="74" t="s">
        <v>79</v>
      </c>
      <c r="E1340" s="74" t="s">
        <v>81</v>
      </c>
      <c r="F1340" s="86" t="s">
        <v>160</v>
      </c>
      <c r="G1340" s="74" t="s">
        <v>161</v>
      </c>
      <c r="H1340" s="87">
        <v>44135</v>
      </c>
      <c r="I1340" s="94">
        <v>1661.65</v>
      </c>
      <c r="J1340" s="94">
        <v>1246.24</v>
      </c>
      <c r="K1340" s="94">
        <v>415.41</v>
      </c>
    </row>
    <row r="1341" spans="1:11">
      <c r="A1341" s="74" t="s">
        <v>113</v>
      </c>
      <c r="B1341" s="74" t="s">
        <v>174</v>
      </c>
      <c r="C1341" s="74" t="s">
        <v>175</v>
      </c>
      <c r="D1341" s="74" t="s">
        <v>79</v>
      </c>
      <c r="E1341" s="74" t="s">
        <v>81</v>
      </c>
      <c r="F1341" s="86" t="s">
        <v>176</v>
      </c>
      <c r="G1341" s="74" t="s">
        <v>177</v>
      </c>
      <c r="H1341" s="87">
        <v>44135</v>
      </c>
      <c r="I1341" s="94">
        <v>1213.02</v>
      </c>
      <c r="J1341" s="94">
        <v>909.77</v>
      </c>
      <c r="K1341" s="94">
        <v>303.25</v>
      </c>
    </row>
    <row r="1342" spans="1:11">
      <c r="A1342" s="74" t="s">
        <v>113</v>
      </c>
      <c r="B1342" s="74" t="s">
        <v>178</v>
      </c>
      <c r="C1342" s="74" t="s">
        <v>179</v>
      </c>
      <c r="D1342" s="74" t="s">
        <v>79</v>
      </c>
      <c r="E1342" s="74" t="s">
        <v>81</v>
      </c>
      <c r="F1342" s="86" t="s">
        <v>180</v>
      </c>
      <c r="G1342" s="74" t="s">
        <v>177</v>
      </c>
      <c r="H1342" s="87">
        <v>44135</v>
      </c>
      <c r="I1342" s="94">
        <v>781.76</v>
      </c>
      <c r="J1342" s="94">
        <v>586.32</v>
      </c>
      <c r="K1342" s="94">
        <v>195.44</v>
      </c>
    </row>
    <row r="1343" spans="1:11">
      <c r="A1343" s="74" t="s">
        <v>113</v>
      </c>
      <c r="B1343" s="74" t="s">
        <v>181</v>
      </c>
      <c r="C1343" s="74" t="s">
        <v>182</v>
      </c>
      <c r="D1343" s="74" t="s">
        <v>79</v>
      </c>
      <c r="E1343" s="74" t="s">
        <v>81</v>
      </c>
      <c r="F1343" s="86" t="s">
        <v>183</v>
      </c>
      <c r="G1343" s="74" t="s">
        <v>177</v>
      </c>
      <c r="H1343" s="87">
        <v>44135</v>
      </c>
      <c r="I1343" s="94">
        <v>397.22</v>
      </c>
      <c r="J1343" s="94">
        <v>297.92</v>
      </c>
      <c r="K1343" s="94">
        <v>99.3</v>
      </c>
    </row>
    <row r="1344" spans="1:11">
      <c r="A1344" s="74" t="s">
        <v>113</v>
      </c>
      <c r="B1344" s="74" t="s">
        <v>184</v>
      </c>
      <c r="C1344" s="74" t="s">
        <v>185</v>
      </c>
      <c r="D1344" s="74" t="s">
        <v>79</v>
      </c>
      <c r="E1344" s="74" t="s">
        <v>81</v>
      </c>
      <c r="F1344" s="86" t="s">
        <v>176</v>
      </c>
      <c r="G1344" s="74" t="s">
        <v>177</v>
      </c>
      <c r="H1344" s="87">
        <v>44135</v>
      </c>
      <c r="I1344" s="94">
        <v>1248.16</v>
      </c>
      <c r="J1344" s="94">
        <v>936.12</v>
      </c>
      <c r="K1344" s="94">
        <v>312.04</v>
      </c>
    </row>
    <row r="1345" spans="1:11">
      <c r="A1345" s="74" t="s">
        <v>113</v>
      </c>
      <c r="B1345" s="74" t="s">
        <v>186</v>
      </c>
      <c r="C1345" s="74" t="s">
        <v>187</v>
      </c>
      <c r="D1345" s="74" t="s">
        <v>79</v>
      </c>
      <c r="E1345" s="74" t="s">
        <v>81</v>
      </c>
      <c r="F1345" s="86" t="s">
        <v>180</v>
      </c>
      <c r="G1345" s="74" t="s">
        <v>177</v>
      </c>
      <c r="H1345" s="87">
        <v>44135</v>
      </c>
      <c r="I1345" s="94">
        <v>826.98</v>
      </c>
      <c r="J1345" s="94">
        <v>620.24</v>
      </c>
      <c r="K1345" s="94">
        <v>206.74</v>
      </c>
    </row>
    <row r="1346" spans="1:11">
      <c r="A1346" s="74" t="s">
        <v>113</v>
      </c>
      <c r="B1346" s="74" t="s">
        <v>188</v>
      </c>
      <c r="C1346" s="74" t="s">
        <v>189</v>
      </c>
      <c r="D1346" s="74" t="s">
        <v>79</v>
      </c>
      <c r="E1346" s="74" t="s">
        <v>81</v>
      </c>
      <c r="F1346" s="86" t="s">
        <v>183</v>
      </c>
      <c r="G1346" s="74" t="s">
        <v>177</v>
      </c>
      <c r="H1346" s="87">
        <v>44135</v>
      </c>
      <c r="I1346" s="94">
        <v>397.32</v>
      </c>
      <c r="J1346" s="94">
        <v>297.99</v>
      </c>
      <c r="K1346" s="94">
        <v>99.33</v>
      </c>
    </row>
    <row r="1347" spans="1:11">
      <c r="A1347" s="74" t="s">
        <v>113</v>
      </c>
      <c r="B1347" s="74" t="s">
        <v>190</v>
      </c>
      <c r="C1347" s="74" t="s">
        <v>191</v>
      </c>
      <c r="D1347" s="74" t="s">
        <v>79</v>
      </c>
      <c r="E1347" s="74" t="s">
        <v>81</v>
      </c>
      <c r="F1347" s="86" t="s">
        <v>176</v>
      </c>
      <c r="G1347" s="74" t="s">
        <v>177</v>
      </c>
      <c r="H1347" s="87">
        <v>44135</v>
      </c>
      <c r="I1347" s="94">
        <v>1178.69</v>
      </c>
      <c r="J1347" s="94">
        <v>884.02</v>
      </c>
      <c r="K1347" s="94">
        <v>294.67</v>
      </c>
    </row>
    <row r="1348" spans="1:11">
      <c r="A1348" s="74" t="s">
        <v>113</v>
      </c>
      <c r="B1348" s="74" t="s">
        <v>192</v>
      </c>
      <c r="C1348" s="74" t="s">
        <v>193</v>
      </c>
      <c r="D1348" s="74" t="s">
        <v>79</v>
      </c>
      <c r="E1348" s="74" t="s">
        <v>81</v>
      </c>
      <c r="F1348" s="86" t="s">
        <v>180</v>
      </c>
      <c r="G1348" s="74" t="s">
        <v>177</v>
      </c>
      <c r="H1348" s="87">
        <v>44135</v>
      </c>
      <c r="I1348" s="94">
        <v>785.16</v>
      </c>
      <c r="J1348" s="94">
        <v>588.87</v>
      </c>
      <c r="K1348" s="94">
        <v>196.29</v>
      </c>
    </row>
    <row r="1349" spans="1:11">
      <c r="A1349" s="74" t="s">
        <v>113</v>
      </c>
      <c r="B1349" s="74" t="s">
        <v>194</v>
      </c>
      <c r="C1349" s="74" t="s">
        <v>195</v>
      </c>
      <c r="D1349" s="74" t="s">
        <v>79</v>
      </c>
      <c r="E1349" s="74" t="s">
        <v>81</v>
      </c>
      <c r="F1349" s="86" t="s">
        <v>183</v>
      </c>
      <c r="G1349" s="74" t="s">
        <v>177</v>
      </c>
      <c r="H1349" s="87">
        <v>44135</v>
      </c>
      <c r="I1349" s="94">
        <v>424.73</v>
      </c>
      <c r="J1349" s="94">
        <v>318.55</v>
      </c>
      <c r="K1349" s="94">
        <v>106.18</v>
      </c>
    </row>
    <row r="1350" spans="1:11">
      <c r="A1350" s="74" t="s">
        <v>113</v>
      </c>
      <c r="B1350" s="74" t="s">
        <v>196</v>
      </c>
      <c r="C1350" s="74" t="s">
        <v>197</v>
      </c>
      <c r="D1350" s="74" t="s">
        <v>79</v>
      </c>
      <c r="E1350" s="74" t="s">
        <v>81</v>
      </c>
      <c r="F1350" s="86" t="s">
        <v>176</v>
      </c>
      <c r="G1350" s="74" t="s">
        <v>177</v>
      </c>
      <c r="H1350" s="87">
        <v>44135</v>
      </c>
      <c r="I1350" s="94">
        <v>1222.72</v>
      </c>
      <c r="J1350" s="94">
        <v>917.04</v>
      </c>
      <c r="K1350" s="94">
        <v>305.68</v>
      </c>
    </row>
    <row r="1351" spans="1:11">
      <c r="A1351" s="74" t="s">
        <v>113</v>
      </c>
      <c r="B1351" s="74" t="s">
        <v>198</v>
      </c>
      <c r="C1351" s="74" t="s">
        <v>199</v>
      </c>
      <c r="D1351" s="74" t="s">
        <v>79</v>
      </c>
      <c r="E1351" s="74" t="s">
        <v>81</v>
      </c>
      <c r="F1351" s="86" t="s">
        <v>180</v>
      </c>
      <c r="G1351" s="74" t="s">
        <v>177</v>
      </c>
      <c r="H1351" s="87">
        <v>44135</v>
      </c>
      <c r="I1351" s="94">
        <v>851.39</v>
      </c>
      <c r="J1351" s="94">
        <v>638.54</v>
      </c>
      <c r="K1351" s="94">
        <v>212.85</v>
      </c>
    </row>
    <row r="1352" spans="1:11">
      <c r="A1352" s="74" t="s">
        <v>113</v>
      </c>
      <c r="B1352" s="74" t="s">
        <v>200</v>
      </c>
      <c r="C1352" s="74" t="s">
        <v>201</v>
      </c>
      <c r="D1352" s="74" t="s">
        <v>79</v>
      </c>
      <c r="E1352" s="74" t="s">
        <v>81</v>
      </c>
      <c r="F1352" s="86" t="s">
        <v>183</v>
      </c>
      <c r="G1352" s="74" t="s">
        <v>177</v>
      </c>
      <c r="H1352" s="87">
        <v>44135</v>
      </c>
      <c r="I1352" s="94">
        <v>420.41</v>
      </c>
      <c r="J1352" s="94">
        <v>315.31</v>
      </c>
      <c r="K1352" s="94">
        <v>105.1</v>
      </c>
    </row>
    <row r="1353" spans="1:11">
      <c r="A1353" s="74" t="s">
        <v>113</v>
      </c>
      <c r="B1353" s="74" t="s">
        <v>202</v>
      </c>
      <c r="C1353" s="74" t="s">
        <v>203</v>
      </c>
      <c r="D1353" s="74" t="s">
        <v>79</v>
      </c>
      <c r="E1353" s="74" t="s">
        <v>81</v>
      </c>
      <c r="F1353" s="86" t="s">
        <v>204</v>
      </c>
      <c r="G1353" s="74" t="s">
        <v>205</v>
      </c>
      <c r="H1353" s="87">
        <v>44135</v>
      </c>
      <c r="I1353" s="94">
        <v>7090.95</v>
      </c>
      <c r="J1353" s="94">
        <v>5318.21</v>
      </c>
      <c r="K1353" s="94">
        <v>1772.74</v>
      </c>
    </row>
    <row r="1354" spans="1:11">
      <c r="A1354" s="74" t="s">
        <v>113</v>
      </c>
      <c r="B1354" s="74" t="s">
        <v>206</v>
      </c>
      <c r="C1354" s="74" t="s">
        <v>207</v>
      </c>
      <c r="D1354" s="88" t="s">
        <v>82</v>
      </c>
      <c r="E1354" s="88" t="s">
        <v>84</v>
      </c>
      <c r="F1354" s="86" t="s">
        <v>208</v>
      </c>
      <c r="G1354" s="74" t="s">
        <v>209</v>
      </c>
      <c r="H1354" s="87">
        <v>44135</v>
      </c>
      <c r="I1354" s="94">
        <v>3555.18</v>
      </c>
      <c r="J1354" s="94">
        <v>2666.39</v>
      </c>
      <c r="K1354" s="94">
        <v>888.79</v>
      </c>
    </row>
    <row r="1355" spans="1:11">
      <c r="A1355" s="74" t="s">
        <v>113</v>
      </c>
      <c r="B1355" s="74" t="s">
        <v>210</v>
      </c>
      <c r="C1355" s="74" t="s">
        <v>211</v>
      </c>
      <c r="D1355" s="88" t="s">
        <v>82</v>
      </c>
      <c r="E1355" s="88" t="s">
        <v>84</v>
      </c>
      <c r="F1355" s="86" t="s">
        <v>116</v>
      </c>
      <c r="G1355" s="74" t="s">
        <v>209</v>
      </c>
      <c r="H1355" s="87">
        <v>44135</v>
      </c>
      <c r="I1355" s="94">
        <v>3180.75</v>
      </c>
      <c r="J1355" s="94">
        <v>2385.56</v>
      </c>
      <c r="K1355" s="94">
        <v>795.19</v>
      </c>
    </row>
    <row r="1356" spans="1:11">
      <c r="A1356" s="74" t="s">
        <v>113</v>
      </c>
      <c r="B1356" s="74" t="s">
        <v>212</v>
      </c>
      <c r="C1356" s="74" t="s">
        <v>213</v>
      </c>
      <c r="D1356" s="88" t="s">
        <v>82</v>
      </c>
      <c r="E1356" s="88" t="s">
        <v>84</v>
      </c>
      <c r="F1356" s="86" t="s">
        <v>208</v>
      </c>
      <c r="G1356" s="74" t="s">
        <v>209</v>
      </c>
      <c r="H1356" s="87">
        <v>44135</v>
      </c>
      <c r="I1356" s="94">
        <v>3800.43</v>
      </c>
      <c r="J1356" s="94">
        <v>2850.32</v>
      </c>
      <c r="K1356" s="94">
        <v>950.11</v>
      </c>
    </row>
    <row r="1357" spans="1:11">
      <c r="A1357" s="74" t="s">
        <v>113</v>
      </c>
      <c r="B1357" s="74" t="s">
        <v>214</v>
      </c>
      <c r="C1357" s="74" t="s">
        <v>215</v>
      </c>
      <c r="D1357" s="88" t="s">
        <v>82</v>
      </c>
      <c r="E1357" s="88" t="s">
        <v>84</v>
      </c>
      <c r="F1357" s="86" t="s">
        <v>116</v>
      </c>
      <c r="G1357" s="74" t="s">
        <v>209</v>
      </c>
      <c r="H1357" s="87">
        <v>44135</v>
      </c>
      <c r="I1357" s="94">
        <v>3158.57</v>
      </c>
      <c r="J1357" s="94">
        <v>2368.93</v>
      </c>
      <c r="K1357" s="94">
        <v>789.64</v>
      </c>
    </row>
    <row r="1358" spans="1:11">
      <c r="A1358" s="74" t="s">
        <v>113</v>
      </c>
      <c r="B1358" s="74" t="s">
        <v>216</v>
      </c>
      <c r="C1358" s="74" t="s">
        <v>217</v>
      </c>
      <c r="D1358" s="88" t="s">
        <v>82</v>
      </c>
      <c r="E1358" s="88" t="s">
        <v>84</v>
      </c>
      <c r="F1358" s="86" t="s">
        <v>218</v>
      </c>
      <c r="G1358" s="74" t="s">
        <v>219</v>
      </c>
      <c r="H1358" s="87">
        <v>44135</v>
      </c>
      <c r="I1358" s="94">
        <v>4398.86</v>
      </c>
      <c r="J1358" s="94">
        <v>3299.15</v>
      </c>
      <c r="K1358" s="94">
        <v>1099.71</v>
      </c>
    </row>
    <row r="1359" spans="1:11">
      <c r="A1359" s="74" t="s">
        <v>113</v>
      </c>
      <c r="B1359" s="74" t="s">
        <v>220</v>
      </c>
      <c r="C1359" s="74" t="s">
        <v>221</v>
      </c>
      <c r="D1359" s="88" t="s">
        <v>82</v>
      </c>
      <c r="E1359" s="74" t="s">
        <v>83</v>
      </c>
      <c r="F1359" s="86" t="s">
        <v>218</v>
      </c>
      <c r="G1359" s="74" t="s">
        <v>222</v>
      </c>
      <c r="H1359" s="87">
        <v>44135</v>
      </c>
      <c r="I1359" s="94">
        <v>4304.13</v>
      </c>
      <c r="J1359" s="94">
        <v>3228.1</v>
      </c>
      <c r="K1359" s="94">
        <v>1076.03</v>
      </c>
    </row>
    <row r="1360" spans="1:11">
      <c r="A1360" s="74" t="s">
        <v>113</v>
      </c>
      <c r="B1360" s="74" t="s">
        <v>223</v>
      </c>
      <c r="C1360" s="74" t="s">
        <v>224</v>
      </c>
      <c r="D1360" s="88" t="s">
        <v>82</v>
      </c>
      <c r="E1360" s="74" t="s">
        <v>83</v>
      </c>
      <c r="F1360" s="86" t="s">
        <v>225</v>
      </c>
      <c r="G1360" s="74" t="s">
        <v>209</v>
      </c>
      <c r="H1360" s="87">
        <v>44135</v>
      </c>
      <c r="I1360" s="94">
        <v>3900.75</v>
      </c>
      <c r="J1360" s="94">
        <v>2925.56</v>
      </c>
      <c r="K1360" s="94">
        <v>975.19</v>
      </c>
    </row>
    <row r="1361" spans="1:11">
      <c r="A1361" s="74" t="s">
        <v>113</v>
      </c>
      <c r="B1361" s="74" t="s">
        <v>226</v>
      </c>
      <c r="C1361" s="74" t="s">
        <v>227</v>
      </c>
      <c r="D1361" s="88" t="s">
        <v>82</v>
      </c>
      <c r="E1361" s="74" t="s">
        <v>83</v>
      </c>
      <c r="F1361" s="86" t="s">
        <v>208</v>
      </c>
      <c r="G1361" s="74" t="s">
        <v>209</v>
      </c>
      <c r="H1361" s="87">
        <v>44135</v>
      </c>
      <c r="I1361" s="94">
        <v>3763.23</v>
      </c>
      <c r="J1361" s="94">
        <v>2822.42</v>
      </c>
      <c r="K1361" s="94">
        <v>940.81</v>
      </c>
    </row>
    <row r="1362" spans="1:11">
      <c r="A1362" s="74" t="s">
        <v>113</v>
      </c>
      <c r="B1362" s="74" t="s">
        <v>228</v>
      </c>
      <c r="C1362" s="74" t="s">
        <v>229</v>
      </c>
      <c r="D1362" s="88" t="s">
        <v>82</v>
      </c>
      <c r="E1362" s="74" t="s">
        <v>83</v>
      </c>
      <c r="F1362" s="86" t="s">
        <v>116</v>
      </c>
      <c r="G1362" s="74" t="s">
        <v>209</v>
      </c>
      <c r="H1362" s="87">
        <v>44135</v>
      </c>
      <c r="I1362" s="94">
        <v>3355.27</v>
      </c>
      <c r="J1362" s="94">
        <v>2516.45</v>
      </c>
      <c r="K1362" s="94">
        <v>838.82</v>
      </c>
    </row>
    <row r="1363" spans="1:11">
      <c r="A1363" s="74" t="s">
        <v>113</v>
      </c>
      <c r="B1363" s="74" t="s">
        <v>230</v>
      </c>
      <c r="C1363" s="74" t="s">
        <v>231</v>
      </c>
      <c r="D1363" s="88" t="s">
        <v>82</v>
      </c>
      <c r="E1363" s="74" t="s">
        <v>83</v>
      </c>
      <c r="F1363" s="86" t="s">
        <v>120</v>
      </c>
      <c r="G1363" s="74" t="s">
        <v>209</v>
      </c>
      <c r="H1363" s="87">
        <v>44135</v>
      </c>
      <c r="I1363" s="94">
        <v>2945.96</v>
      </c>
      <c r="J1363" s="94">
        <v>2209.47</v>
      </c>
      <c r="K1363" s="94">
        <v>736.49</v>
      </c>
    </row>
    <row r="1364" spans="1:11">
      <c r="A1364" s="74" t="s">
        <v>113</v>
      </c>
      <c r="B1364" s="74" t="s">
        <v>232</v>
      </c>
      <c r="C1364" s="74" t="s">
        <v>233</v>
      </c>
      <c r="D1364" s="88" t="s">
        <v>82</v>
      </c>
      <c r="E1364" s="74" t="s">
        <v>83</v>
      </c>
      <c r="F1364" s="86" t="s">
        <v>123</v>
      </c>
      <c r="G1364" s="74" t="s">
        <v>209</v>
      </c>
      <c r="H1364" s="87">
        <v>44135</v>
      </c>
      <c r="I1364" s="94">
        <v>2375.39</v>
      </c>
      <c r="J1364" s="94">
        <v>1781.54</v>
      </c>
      <c r="K1364" s="94">
        <v>593.85</v>
      </c>
    </row>
    <row r="1365" spans="1:11">
      <c r="A1365" s="74" t="s">
        <v>113</v>
      </c>
      <c r="B1365" s="74" t="s">
        <v>234</v>
      </c>
      <c r="C1365" s="74" t="s">
        <v>235</v>
      </c>
      <c r="D1365" s="88" t="s">
        <v>82</v>
      </c>
      <c r="E1365" s="74" t="s">
        <v>83</v>
      </c>
      <c r="F1365" s="86" t="s">
        <v>116</v>
      </c>
      <c r="G1365" s="74" t="s">
        <v>209</v>
      </c>
      <c r="H1365" s="87">
        <v>44135</v>
      </c>
      <c r="I1365" s="94">
        <v>3177.88</v>
      </c>
      <c r="J1365" s="94">
        <v>2383.41</v>
      </c>
      <c r="K1365" s="94">
        <v>794.47</v>
      </c>
    </row>
    <row r="1366" spans="1:11">
      <c r="A1366" s="74" t="s">
        <v>113</v>
      </c>
      <c r="B1366" s="74" t="s">
        <v>236</v>
      </c>
      <c r="C1366" s="74" t="s">
        <v>237</v>
      </c>
      <c r="D1366" s="88" t="s">
        <v>82</v>
      </c>
      <c r="E1366" s="74" t="s">
        <v>83</v>
      </c>
      <c r="F1366" s="86" t="s">
        <v>120</v>
      </c>
      <c r="G1366" s="74" t="s">
        <v>209</v>
      </c>
      <c r="H1366" s="87">
        <v>44135</v>
      </c>
      <c r="I1366" s="94">
        <v>2847.63</v>
      </c>
      <c r="J1366" s="94">
        <v>2135.72</v>
      </c>
      <c r="K1366" s="94">
        <v>711.91</v>
      </c>
    </row>
    <row r="1367" spans="1:11">
      <c r="A1367" s="74" t="s">
        <v>113</v>
      </c>
      <c r="B1367" s="74" t="s">
        <v>238</v>
      </c>
      <c r="C1367" s="74" t="s">
        <v>239</v>
      </c>
      <c r="D1367" s="74" t="s">
        <v>86</v>
      </c>
      <c r="E1367" s="74" t="s">
        <v>87</v>
      </c>
      <c r="F1367" s="86" t="s">
        <v>204</v>
      </c>
      <c r="G1367" s="74" t="s">
        <v>240</v>
      </c>
      <c r="H1367" s="87">
        <v>44135</v>
      </c>
      <c r="I1367" s="94">
        <v>6014.99</v>
      </c>
      <c r="J1367" s="94">
        <v>4511.24</v>
      </c>
      <c r="K1367" s="94">
        <v>1503.75</v>
      </c>
    </row>
    <row r="1368" spans="1:11">
      <c r="A1368" s="74" t="s">
        <v>113</v>
      </c>
      <c r="B1368" s="74" t="s">
        <v>241</v>
      </c>
      <c r="C1368" s="74" t="s">
        <v>242</v>
      </c>
      <c r="D1368" s="74" t="s">
        <v>86</v>
      </c>
      <c r="E1368" s="74" t="s">
        <v>87</v>
      </c>
      <c r="F1368" s="86" t="s">
        <v>243</v>
      </c>
      <c r="G1368" s="74" t="s">
        <v>244</v>
      </c>
      <c r="H1368" s="87">
        <v>44135</v>
      </c>
      <c r="I1368" s="94">
        <v>4082.62</v>
      </c>
      <c r="J1368" s="94">
        <v>3061.97</v>
      </c>
      <c r="K1368" s="94">
        <v>1020.65</v>
      </c>
    </row>
    <row r="1369" spans="1:11">
      <c r="A1369" s="74" t="s">
        <v>113</v>
      </c>
      <c r="B1369" s="74" t="s">
        <v>245</v>
      </c>
      <c r="C1369" s="74" t="s">
        <v>246</v>
      </c>
      <c r="D1369" s="74" t="s">
        <v>86</v>
      </c>
      <c r="E1369" s="74" t="s">
        <v>87</v>
      </c>
      <c r="F1369" s="86" t="s">
        <v>247</v>
      </c>
      <c r="G1369" s="74" t="s">
        <v>248</v>
      </c>
      <c r="H1369" s="87">
        <v>44135</v>
      </c>
      <c r="I1369" s="94">
        <v>3905.83</v>
      </c>
      <c r="J1369" s="94">
        <v>2929.37</v>
      </c>
      <c r="K1369" s="94">
        <v>976.46</v>
      </c>
    </row>
    <row r="1370" spans="1:11">
      <c r="A1370" s="74" t="s">
        <v>113</v>
      </c>
      <c r="B1370" s="74" t="s">
        <v>249</v>
      </c>
      <c r="C1370" s="74" t="s">
        <v>250</v>
      </c>
      <c r="D1370" s="74" t="s">
        <v>86</v>
      </c>
      <c r="E1370" s="74" t="s">
        <v>87</v>
      </c>
      <c r="F1370" s="86" t="s">
        <v>251</v>
      </c>
      <c r="G1370" s="74" t="s">
        <v>252</v>
      </c>
      <c r="H1370" s="87">
        <v>44135</v>
      </c>
      <c r="I1370" s="94">
        <v>3746.69</v>
      </c>
      <c r="J1370" s="94">
        <v>2810.02</v>
      </c>
      <c r="K1370" s="94">
        <v>936.67</v>
      </c>
    </row>
    <row r="1371" spans="1:11">
      <c r="A1371" s="74" t="s">
        <v>113</v>
      </c>
      <c r="B1371" s="74" t="s">
        <v>253</v>
      </c>
      <c r="C1371" s="74" t="s">
        <v>254</v>
      </c>
      <c r="D1371" s="74" t="s">
        <v>86</v>
      </c>
      <c r="E1371" s="74" t="s">
        <v>87</v>
      </c>
      <c r="F1371" s="86" t="s">
        <v>255</v>
      </c>
      <c r="G1371" s="74" t="s">
        <v>252</v>
      </c>
      <c r="H1371" s="87">
        <v>44135</v>
      </c>
      <c r="I1371" s="94">
        <v>3266.07</v>
      </c>
      <c r="J1371" s="94">
        <v>2449.55</v>
      </c>
      <c r="K1371" s="94">
        <v>816.52</v>
      </c>
    </row>
    <row r="1372" spans="1:11">
      <c r="A1372" s="74" t="s">
        <v>113</v>
      </c>
      <c r="B1372" s="74" t="s">
        <v>256</v>
      </c>
      <c r="C1372" s="74" t="s">
        <v>257</v>
      </c>
      <c r="D1372" s="74" t="s">
        <v>86</v>
      </c>
      <c r="E1372" s="74" t="s">
        <v>87</v>
      </c>
      <c r="F1372" s="86" t="s">
        <v>258</v>
      </c>
      <c r="G1372" s="74" t="s">
        <v>252</v>
      </c>
      <c r="H1372" s="87">
        <v>44135</v>
      </c>
      <c r="I1372" s="94">
        <v>3026.56</v>
      </c>
      <c r="J1372" s="94">
        <v>2269.92</v>
      </c>
      <c r="K1372" s="94">
        <v>756.64</v>
      </c>
    </row>
    <row r="1373" spans="1:11">
      <c r="A1373" s="74" t="s">
        <v>113</v>
      </c>
      <c r="B1373" s="74" t="s">
        <v>259</v>
      </c>
      <c r="C1373" s="74" t="s">
        <v>260</v>
      </c>
      <c r="D1373" s="74" t="s">
        <v>86</v>
      </c>
      <c r="E1373" s="74" t="s">
        <v>87</v>
      </c>
      <c r="F1373" s="86" t="s">
        <v>261</v>
      </c>
      <c r="G1373" s="74" t="s">
        <v>262</v>
      </c>
      <c r="H1373" s="87">
        <v>44135</v>
      </c>
      <c r="I1373" s="94">
        <v>2691.03</v>
      </c>
      <c r="J1373" s="94">
        <v>2018.27</v>
      </c>
      <c r="K1373" s="94">
        <v>672.76</v>
      </c>
    </row>
    <row r="1374" spans="1:11">
      <c r="A1374" s="74" t="s">
        <v>113</v>
      </c>
      <c r="B1374" s="74" t="s">
        <v>263</v>
      </c>
      <c r="C1374" s="74" t="s">
        <v>264</v>
      </c>
      <c r="D1374" s="74" t="s">
        <v>86</v>
      </c>
      <c r="E1374" s="74" t="s">
        <v>88</v>
      </c>
      <c r="F1374" s="86" t="s">
        <v>149</v>
      </c>
      <c r="G1374" s="74" t="s">
        <v>265</v>
      </c>
      <c r="H1374" s="87">
        <v>44135</v>
      </c>
      <c r="I1374" s="94">
        <v>5553.63</v>
      </c>
      <c r="J1374" s="94">
        <v>4165.22</v>
      </c>
      <c r="K1374" s="94">
        <v>1388.41</v>
      </c>
    </row>
    <row r="1375" spans="1:11">
      <c r="A1375" s="74" t="s">
        <v>113</v>
      </c>
      <c r="B1375" s="74" t="s">
        <v>266</v>
      </c>
      <c r="C1375" s="74" t="s">
        <v>267</v>
      </c>
      <c r="D1375" s="74" t="s">
        <v>86</v>
      </c>
      <c r="E1375" s="74" t="s">
        <v>88</v>
      </c>
      <c r="F1375" s="86" t="s">
        <v>243</v>
      </c>
      <c r="G1375" s="74" t="s">
        <v>268</v>
      </c>
      <c r="H1375" s="87">
        <v>44135</v>
      </c>
      <c r="I1375" s="94">
        <v>4099.66</v>
      </c>
      <c r="J1375" s="94">
        <v>3074.75</v>
      </c>
      <c r="K1375" s="94">
        <v>1024.91</v>
      </c>
    </row>
    <row r="1376" spans="1:11">
      <c r="A1376" s="74" t="s">
        <v>113</v>
      </c>
      <c r="B1376" s="74" t="s">
        <v>269</v>
      </c>
      <c r="C1376" s="74" t="s">
        <v>270</v>
      </c>
      <c r="D1376" s="74" t="s">
        <v>86</v>
      </c>
      <c r="E1376" s="74" t="s">
        <v>88</v>
      </c>
      <c r="F1376" s="86" t="s">
        <v>247</v>
      </c>
      <c r="G1376" s="74" t="s">
        <v>268</v>
      </c>
      <c r="H1376" s="87">
        <v>44135</v>
      </c>
      <c r="I1376" s="94">
        <v>4050.84</v>
      </c>
      <c r="J1376" s="94">
        <v>3038.13</v>
      </c>
      <c r="K1376" s="94">
        <v>1012.71</v>
      </c>
    </row>
    <row r="1377" spans="1:11">
      <c r="A1377" s="74" t="s">
        <v>113</v>
      </c>
      <c r="B1377" s="74" t="s">
        <v>271</v>
      </c>
      <c r="C1377" s="74" t="s">
        <v>272</v>
      </c>
      <c r="D1377" s="74" t="s">
        <v>86</v>
      </c>
      <c r="E1377" s="74" t="s">
        <v>88</v>
      </c>
      <c r="F1377" s="86" t="s">
        <v>251</v>
      </c>
      <c r="G1377" s="74" t="s">
        <v>268</v>
      </c>
      <c r="H1377" s="87">
        <v>44135</v>
      </c>
      <c r="I1377" s="94">
        <v>3680.19</v>
      </c>
      <c r="J1377" s="94">
        <v>2760.14</v>
      </c>
      <c r="K1377" s="94">
        <v>920.05</v>
      </c>
    </row>
    <row r="1378" spans="1:11">
      <c r="A1378" s="74" t="s">
        <v>113</v>
      </c>
      <c r="B1378" s="74" t="s">
        <v>273</v>
      </c>
      <c r="C1378" s="74" t="s">
        <v>274</v>
      </c>
      <c r="D1378" s="74" t="s">
        <v>86</v>
      </c>
      <c r="E1378" s="74" t="s">
        <v>88</v>
      </c>
      <c r="F1378" s="86" t="s">
        <v>255</v>
      </c>
      <c r="G1378" s="74" t="s">
        <v>268</v>
      </c>
      <c r="H1378" s="87">
        <v>44135</v>
      </c>
      <c r="I1378" s="94">
        <v>3132.38</v>
      </c>
      <c r="J1378" s="94">
        <v>2349.29</v>
      </c>
      <c r="K1378" s="94">
        <v>783.09</v>
      </c>
    </row>
    <row r="1379" spans="1:11">
      <c r="A1379" s="74" t="s">
        <v>113</v>
      </c>
      <c r="B1379" s="74" t="s">
        <v>275</v>
      </c>
      <c r="C1379" s="74" t="s">
        <v>276</v>
      </c>
      <c r="D1379" s="74" t="s">
        <v>86</v>
      </c>
      <c r="E1379" s="74" t="s">
        <v>88</v>
      </c>
      <c r="F1379" s="86" t="s">
        <v>258</v>
      </c>
      <c r="G1379" s="74" t="s">
        <v>268</v>
      </c>
      <c r="H1379" s="87">
        <v>44135</v>
      </c>
      <c r="I1379" s="94">
        <v>2919.23</v>
      </c>
      <c r="J1379" s="94">
        <v>2189.42</v>
      </c>
      <c r="K1379" s="94">
        <v>729.81</v>
      </c>
    </row>
    <row r="1380" spans="1:11">
      <c r="A1380" s="74" t="s">
        <v>113</v>
      </c>
      <c r="B1380" s="74" t="s">
        <v>277</v>
      </c>
      <c r="C1380" s="74" t="s">
        <v>278</v>
      </c>
      <c r="D1380" s="74" t="s">
        <v>86</v>
      </c>
      <c r="E1380" s="74" t="s">
        <v>89</v>
      </c>
      <c r="F1380" s="86" t="s">
        <v>279</v>
      </c>
      <c r="G1380" s="74" t="s">
        <v>280</v>
      </c>
      <c r="H1380" s="87">
        <v>44135</v>
      </c>
      <c r="I1380" s="94">
        <v>4767.05</v>
      </c>
      <c r="J1380" s="94">
        <v>3575.29</v>
      </c>
      <c r="K1380" s="94">
        <v>1191.76</v>
      </c>
    </row>
    <row r="1381" spans="1:11">
      <c r="A1381" s="74" t="s">
        <v>113</v>
      </c>
      <c r="B1381" s="74" t="s">
        <v>281</v>
      </c>
      <c r="C1381" s="74" t="s">
        <v>282</v>
      </c>
      <c r="D1381" s="74" t="s">
        <v>86</v>
      </c>
      <c r="E1381" s="74" t="s">
        <v>89</v>
      </c>
      <c r="F1381" s="86" t="s">
        <v>225</v>
      </c>
      <c r="G1381" s="74" t="s">
        <v>283</v>
      </c>
      <c r="H1381" s="87">
        <v>44135</v>
      </c>
      <c r="I1381" s="94">
        <v>3344.51</v>
      </c>
      <c r="J1381" s="94">
        <v>2508.38</v>
      </c>
      <c r="K1381" s="94">
        <v>836.13</v>
      </c>
    </row>
    <row r="1382" spans="1:11">
      <c r="A1382" s="74" t="s">
        <v>113</v>
      </c>
      <c r="B1382" s="74" t="s">
        <v>284</v>
      </c>
      <c r="C1382" s="74" t="s">
        <v>285</v>
      </c>
      <c r="D1382" s="74" t="s">
        <v>86</v>
      </c>
      <c r="E1382" s="74" t="s">
        <v>89</v>
      </c>
      <c r="F1382" s="86" t="s">
        <v>208</v>
      </c>
      <c r="G1382" s="74" t="s">
        <v>283</v>
      </c>
      <c r="H1382" s="87">
        <v>44135</v>
      </c>
      <c r="I1382" s="94">
        <v>2922.52</v>
      </c>
      <c r="J1382" s="94">
        <v>2191.89</v>
      </c>
      <c r="K1382" s="94">
        <v>730.63</v>
      </c>
    </row>
    <row r="1383" spans="1:11">
      <c r="A1383" s="74" t="s">
        <v>113</v>
      </c>
      <c r="B1383" s="74" t="s">
        <v>286</v>
      </c>
      <c r="C1383" s="74" t="s">
        <v>287</v>
      </c>
      <c r="D1383" s="74" t="s">
        <v>82</v>
      </c>
      <c r="E1383" s="88" t="s">
        <v>85</v>
      </c>
      <c r="F1383" s="86" t="s">
        <v>288</v>
      </c>
      <c r="G1383" s="74" t="s">
        <v>289</v>
      </c>
      <c r="H1383" s="87">
        <v>44135</v>
      </c>
      <c r="I1383" s="94">
        <v>4732.07</v>
      </c>
      <c r="J1383" s="94">
        <v>3549.05</v>
      </c>
      <c r="K1383" s="94">
        <v>1183.02</v>
      </c>
    </row>
    <row r="1384" spans="1:11">
      <c r="A1384" s="74" t="s">
        <v>113</v>
      </c>
      <c r="B1384" s="74" t="s">
        <v>290</v>
      </c>
      <c r="C1384" s="74" t="s">
        <v>291</v>
      </c>
      <c r="D1384" s="74" t="s">
        <v>82</v>
      </c>
      <c r="E1384" s="88" t="s">
        <v>85</v>
      </c>
      <c r="F1384" s="86" t="s">
        <v>218</v>
      </c>
      <c r="G1384" s="74" t="s">
        <v>289</v>
      </c>
      <c r="H1384" s="87">
        <v>44135</v>
      </c>
      <c r="I1384" s="94">
        <v>4456.9</v>
      </c>
      <c r="J1384" s="94">
        <v>3342.68</v>
      </c>
      <c r="K1384" s="94">
        <v>1114.22</v>
      </c>
    </row>
    <row r="1385" spans="1:11">
      <c r="A1385" s="74" t="s">
        <v>113</v>
      </c>
      <c r="B1385" s="74" t="s">
        <v>292</v>
      </c>
      <c r="C1385" s="74" t="s">
        <v>293</v>
      </c>
      <c r="D1385" s="74" t="s">
        <v>82</v>
      </c>
      <c r="E1385" s="88" t="s">
        <v>85</v>
      </c>
      <c r="F1385" s="86" t="s">
        <v>225</v>
      </c>
      <c r="G1385" s="74" t="s">
        <v>289</v>
      </c>
      <c r="H1385" s="87">
        <v>44135</v>
      </c>
      <c r="I1385" s="94">
        <v>3946.14</v>
      </c>
      <c r="J1385" s="94">
        <v>2959.61</v>
      </c>
      <c r="K1385" s="94">
        <v>986.53</v>
      </c>
    </row>
    <row r="1386" spans="1:11">
      <c r="A1386" s="74" t="s">
        <v>113</v>
      </c>
      <c r="B1386" s="74" t="s">
        <v>294</v>
      </c>
      <c r="C1386" s="74" t="s">
        <v>295</v>
      </c>
      <c r="D1386" s="74" t="s">
        <v>82</v>
      </c>
      <c r="E1386" s="88" t="s">
        <v>85</v>
      </c>
      <c r="F1386" s="86" t="s">
        <v>208</v>
      </c>
      <c r="G1386" s="74" t="s">
        <v>289</v>
      </c>
      <c r="H1386" s="87">
        <v>44135</v>
      </c>
      <c r="I1386" s="94">
        <v>3737.45</v>
      </c>
      <c r="J1386" s="94">
        <v>2803.09</v>
      </c>
      <c r="K1386" s="94">
        <v>934.36</v>
      </c>
    </row>
    <row r="1387" spans="1:11">
      <c r="A1387" s="74" t="s">
        <v>113</v>
      </c>
      <c r="B1387" s="74" t="s">
        <v>296</v>
      </c>
      <c r="C1387" s="74" t="s">
        <v>297</v>
      </c>
      <c r="D1387" s="74" t="s">
        <v>82</v>
      </c>
      <c r="E1387" s="88" t="s">
        <v>85</v>
      </c>
      <c r="F1387" s="86" t="s">
        <v>116</v>
      </c>
      <c r="G1387" s="74" t="s">
        <v>289</v>
      </c>
      <c r="H1387" s="87">
        <v>44135</v>
      </c>
      <c r="I1387" s="94">
        <v>3361.91</v>
      </c>
      <c r="J1387" s="94">
        <v>2521.43</v>
      </c>
      <c r="K1387" s="94">
        <v>840.48</v>
      </c>
    </row>
    <row r="1388" spans="1:11">
      <c r="A1388" s="74" t="s">
        <v>113</v>
      </c>
      <c r="B1388" s="74" t="s">
        <v>298</v>
      </c>
      <c r="C1388" s="74" t="s">
        <v>299</v>
      </c>
      <c r="D1388" s="74" t="s">
        <v>82</v>
      </c>
      <c r="E1388" s="88" t="s">
        <v>85</v>
      </c>
      <c r="F1388" s="86" t="s">
        <v>279</v>
      </c>
      <c r="G1388" s="74" t="s">
        <v>300</v>
      </c>
      <c r="H1388" s="87">
        <v>44135</v>
      </c>
      <c r="I1388" s="94">
        <v>5925.4</v>
      </c>
      <c r="J1388" s="94">
        <v>4444.05</v>
      </c>
      <c r="K1388" s="94">
        <v>1481.35</v>
      </c>
    </row>
    <row r="1389" spans="1:11">
      <c r="A1389" s="74" t="s">
        <v>113</v>
      </c>
      <c r="B1389" s="74" t="s">
        <v>301</v>
      </c>
      <c r="C1389" s="74" t="s">
        <v>302</v>
      </c>
      <c r="D1389" s="74" t="s">
        <v>82</v>
      </c>
      <c r="E1389" s="88" t="s">
        <v>85</v>
      </c>
      <c r="F1389" s="86" t="s">
        <v>279</v>
      </c>
      <c r="G1389" s="74" t="s">
        <v>303</v>
      </c>
      <c r="H1389" s="87">
        <v>44135</v>
      </c>
      <c r="I1389" s="94">
        <v>6161.93</v>
      </c>
      <c r="J1389" s="94">
        <v>4621.45</v>
      </c>
      <c r="K1389" s="94">
        <v>1540.48</v>
      </c>
    </row>
    <row r="1390" spans="1:11">
      <c r="A1390" s="74" t="s">
        <v>113</v>
      </c>
      <c r="B1390" s="74" t="s">
        <v>304</v>
      </c>
      <c r="C1390" s="74" t="s">
        <v>305</v>
      </c>
      <c r="D1390" s="74" t="s">
        <v>86</v>
      </c>
      <c r="E1390" s="74" t="s">
        <v>90</v>
      </c>
      <c r="F1390" s="86" t="s">
        <v>306</v>
      </c>
      <c r="G1390" s="74" t="s">
        <v>307</v>
      </c>
      <c r="H1390" s="87">
        <v>44135</v>
      </c>
      <c r="I1390" s="94">
        <v>6472.51</v>
      </c>
      <c r="J1390" s="94">
        <v>4854.38</v>
      </c>
      <c r="K1390" s="94">
        <v>1618.13</v>
      </c>
    </row>
    <row r="1391" spans="1:11">
      <c r="A1391" s="74" t="s">
        <v>113</v>
      </c>
      <c r="B1391" s="74" t="s">
        <v>114</v>
      </c>
      <c r="C1391" s="74" t="s">
        <v>115</v>
      </c>
      <c r="D1391" s="74" t="s">
        <v>79</v>
      </c>
      <c r="E1391" s="74" t="s">
        <v>80</v>
      </c>
      <c r="F1391" s="86" t="s">
        <v>116</v>
      </c>
      <c r="G1391" s="74" t="s">
        <v>117</v>
      </c>
      <c r="H1391" s="87">
        <v>44165</v>
      </c>
      <c r="I1391" s="94">
        <v>3222.43</v>
      </c>
      <c r="J1391" s="94">
        <v>2416.82</v>
      </c>
      <c r="K1391" s="94">
        <v>805.61</v>
      </c>
    </row>
    <row r="1392" spans="1:11">
      <c r="A1392" s="74" t="s">
        <v>113</v>
      </c>
      <c r="B1392" s="74" t="s">
        <v>118</v>
      </c>
      <c r="C1392" s="74" t="s">
        <v>119</v>
      </c>
      <c r="D1392" s="74" t="s">
        <v>79</v>
      </c>
      <c r="E1392" s="74" t="s">
        <v>80</v>
      </c>
      <c r="F1392" s="86" t="s">
        <v>120</v>
      </c>
      <c r="G1392" s="74" t="s">
        <v>117</v>
      </c>
      <c r="H1392" s="87">
        <v>44165</v>
      </c>
      <c r="I1392" s="94">
        <v>2853.2</v>
      </c>
      <c r="J1392" s="94">
        <v>2139.9</v>
      </c>
      <c r="K1392" s="94">
        <v>713.3</v>
      </c>
    </row>
    <row r="1393" spans="1:11">
      <c r="A1393" s="74" t="s">
        <v>113</v>
      </c>
      <c r="B1393" s="74" t="s">
        <v>121</v>
      </c>
      <c r="C1393" s="74" t="s">
        <v>122</v>
      </c>
      <c r="D1393" s="74" t="s">
        <v>79</v>
      </c>
      <c r="E1393" s="74" t="s">
        <v>80</v>
      </c>
      <c r="F1393" s="86" t="s">
        <v>123</v>
      </c>
      <c r="G1393" s="74" t="s">
        <v>117</v>
      </c>
      <c r="H1393" s="87">
        <v>44165</v>
      </c>
      <c r="I1393" s="94">
        <v>2504.42</v>
      </c>
      <c r="J1393" s="94">
        <v>1878.32</v>
      </c>
      <c r="K1393" s="94">
        <v>626.1</v>
      </c>
    </row>
    <row r="1394" spans="1:11">
      <c r="A1394" s="74" t="s">
        <v>113</v>
      </c>
      <c r="B1394" s="74" t="s">
        <v>124</v>
      </c>
      <c r="C1394" s="74" t="s">
        <v>125</v>
      </c>
      <c r="D1394" s="74" t="s">
        <v>79</v>
      </c>
      <c r="E1394" s="74" t="s">
        <v>80</v>
      </c>
      <c r="F1394" s="86" t="s">
        <v>116</v>
      </c>
      <c r="G1394" s="74" t="s">
        <v>117</v>
      </c>
      <c r="H1394" s="87">
        <v>44165</v>
      </c>
      <c r="I1394" s="94">
        <v>3347.26</v>
      </c>
      <c r="J1394" s="94">
        <v>2510.45</v>
      </c>
      <c r="K1394" s="94">
        <v>836.81</v>
      </c>
    </row>
    <row r="1395" spans="1:11">
      <c r="A1395" s="74" t="s">
        <v>113</v>
      </c>
      <c r="B1395" s="74" t="s">
        <v>126</v>
      </c>
      <c r="C1395" s="74" t="s">
        <v>127</v>
      </c>
      <c r="D1395" s="74" t="s">
        <v>79</v>
      </c>
      <c r="E1395" s="74" t="s">
        <v>80</v>
      </c>
      <c r="F1395" s="86" t="s">
        <v>120</v>
      </c>
      <c r="G1395" s="74" t="s">
        <v>117</v>
      </c>
      <c r="H1395" s="87">
        <v>44165</v>
      </c>
      <c r="I1395" s="94">
        <v>2805.42</v>
      </c>
      <c r="J1395" s="94">
        <v>2104.07</v>
      </c>
      <c r="K1395" s="94">
        <v>701.35</v>
      </c>
    </row>
    <row r="1396" spans="1:11">
      <c r="A1396" s="74" t="s">
        <v>113</v>
      </c>
      <c r="B1396" s="74" t="s">
        <v>128</v>
      </c>
      <c r="C1396" s="74" t="s">
        <v>129</v>
      </c>
      <c r="D1396" s="74" t="s">
        <v>79</v>
      </c>
      <c r="E1396" s="74" t="s">
        <v>80</v>
      </c>
      <c r="F1396" s="86" t="s">
        <v>123</v>
      </c>
      <c r="G1396" s="74" t="s">
        <v>117</v>
      </c>
      <c r="H1396" s="87">
        <v>44165</v>
      </c>
      <c r="I1396" s="94">
        <v>2525.89</v>
      </c>
      <c r="J1396" s="94">
        <v>1894.42</v>
      </c>
      <c r="K1396" s="94">
        <v>631.47</v>
      </c>
    </row>
    <row r="1397" spans="1:11">
      <c r="A1397" s="74" t="s">
        <v>113</v>
      </c>
      <c r="B1397" s="74" t="s">
        <v>130</v>
      </c>
      <c r="C1397" s="74" t="s">
        <v>131</v>
      </c>
      <c r="D1397" s="74" t="s">
        <v>79</v>
      </c>
      <c r="E1397" s="74" t="s">
        <v>80</v>
      </c>
      <c r="F1397" s="86" t="s">
        <v>116</v>
      </c>
      <c r="G1397" s="74" t="s">
        <v>117</v>
      </c>
      <c r="H1397" s="87">
        <v>44165</v>
      </c>
      <c r="I1397" s="94">
        <v>3423.6</v>
      </c>
      <c r="J1397" s="94">
        <v>2567.7</v>
      </c>
      <c r="K1397" s="94">
        <v>855.9</v>
      </c>
    </row>
    <row r="1398" spans="1:11">
      <c r="A1398" s="74" t="s">
        <v>113</v>
      </c>
      <c r="B1398" s="74" t="s">
        <v>132</v>
      </c>
      <c r="C1398" s="74" t="s">
        <v>133</v>
      </c>
      <c r="D1398" s="74" t="s">
        <v>79</v>
      </c>
      <c r="E1398" s="74" t="s">
        <v>80</v>
      </c>
      <c r="F1398" s="86" t="s">
        <v>120</v>
      </c>
      <c r="G1398" s="74" t="s">
        <v>117</v>
      </c>
      <c r="H1398" s="87">
        <v>44165</v>
      </c>
      <c r="I1398" s="94">
        <v>2955.34</v>
      </c>
      <c r="J1398" s="94">
        <v>2216.51</v>
      </c>
      <c r="K1398" s="94">
        <v>738.83</v>
      </c>
    </row>
    <row r="1399" spans="1:11">
      <c r="A1399" s="74" t="s">
        <v>113</v>
      </c>
      <c r="B1399" s="74" t="s">
        <v>134</v>
      </c>
      <c r="C1399" s="74" t="s">
        <v>135</v>
      </c>
      <c r="D1399" s="74" t="s">
        <v>79</v>
      </c>
      <c r="E1399" s="74" t="s">
        <v>80</v>
      </c>
      <c r="F1399" s="86" t="s">
        <v>123</v>
      </c>
      <c r="G1399" s="74" t="s">
        <v>117</v>
      </c>
      <c r="H1399" s="87">
        <v>44165</v>
      </c>
      <c r="I1399" s="94">
        <v>2551.17</v>
      </c>
      <c r="J1399" s="94">
        <v>1913.38</v>
      </c>
      <c r="K1399" s="94">
        <v>637.79</v>
      </c>
    </row>
    <row r="1400" spans="1:11">
      <c r="A1400" s="74" t="s">
        <v>113</v>
      </c>
      <c r="B1400" s="74" t="s">
        <v>136</v>
      </c>
      <c r="C1400" s="74" t="s">
        <v>137</v>
      </c>
      <c r="D1400" s="74" t="s">
        <v>79</v>
      </c>
      <c r="E1400" s="74" t="s">
        <v>80</v>
      </c>
      <c r="F1400" s="86" t="s">
        <v>116</v>
      </c>
      <c r="G1400" s="74" t="s">
        <v>138</v>
      </c>
      <c r="H1400" s="87">
        <v>44165</v>
      </c>
      <c r="I1400" s="94">
        <v>3377.59</v>
      </c>
      <c r="J1400" s="94">
        <v>2533.19</v>
      </c>
      <c r="K1400" s="94">
        <v>844.4</v>
      </c>
    </row>
    <row r="1401" spans="1:11">
      <c r="A1401" s="74" t="s">
        <v>113</v>
      </c>
      <c r="B1401" s="74" t="s">
        <v>139</v>
      </c>
      <c r="C1401" s="74" t="s">
        <v>140</v>
      </c>
      <c r="D1401" s="74" t="s">
        <v>79</v>
      </c>
      <c r="E1401" s="74" t="s">
        <v>80</v>
      </c>
      <c r="F1401" s="86" t="s">
        <v>120</v>
      </c>
      <c r="G1401" s="74" t="s">
        <v>138</v>
      </c>
      <c r="H1401" s="87">
        <v>44165</v>
      </c>
      <c r="I1401" s="94">
        <v>2799.7</v>
      </c>
      <c r="J1401" s="94">
        <v>2099.78</v>
      </c>
      <c r="K1401" s="94">
        <v>699.92</v>
      </c>
    </row>
    <row r="1402" spans="1:11">
      <c r="A1402" s="74" t="s">
        <v>113</v>
      </c>
      <c r="B1402" s="74" t="s">
        <v>141</v>
      </c>
      <c r="C1402" s="74" t="s">
        <v>142</v>
      </c>
      <c r="D1402" s="74" t="s">
        <v>79</v>
      </c>
      <c r="E1402" s="74" t="s">
        <v>80</v>
      </c>
      <c r="F1402" s="86" t="s">
        <v>123</v>
      </c>
      <c r="G1402" s="74" t="s">
        <v>138</v>
      </c>
      <c r="H1402" s="87">
        <v>44165</v>
      </c>
      <c r="I1402" s="94">
        <v>2550</v>
      </c>
      <c r="J1402" s="94">
        <v>1912.5</v>
      </c>
      <c r="K1402" s="94">
        <v>637.5</v>
      </c>
    </row>
    <row r="1403" spans="1:11">
      <c r="A1403" s="74" t="s">
        <v>113</v>
      </c>
      <c r="B1403" s="74" t="s">
        <v>143</v>
      </c>
      <c r="C1403" s="74" t="s">
        <v>144</v>
      </c>
      <c r="D1403" s="74" t="s">
        <v>79</v>
      </c>
      <c r="E1403" s="74" t="s">
        <v>80</v>
      </c>
      <c r="F1403" s="86" t="s">
        <v>145</v>
      </c>
      <c r="G1403" s="74" t="s">
        <v>146</v>
      </c>
      <c r="H1403" s="87">
        <v>44165</v>
      </c>
      <c r="I1403" s="94">
        <v>7723.52</v>
      </c>
      <c r="J1403" s="94">
        <v>5792.64</v>
      </c>
      <c r="K1403" s="94">
        <v>1930.88</v>
      </c>
    </row>
    <row r="1404" spans="1:11">
      <c r="A1404" s="74" t="s">
        <v>113</v>
      </c>
      <c r="B1404" s="74" t="s">
        <v>147</v>
      </c>
      <c r="C1404" s="74" t="s">
        <v>148</v>
      </c>
      <c r="D1404" s="74" t="s">
        <v>79</v>
      </c>
      <c r="E1404" s="74" t="s">
        <v>80</v>
      </c>
      <c r="F1404" s="86" t="s">
        <v>149</v>
      </c>
      <c r="G1404" s="74" t="s">
        <v>150</v>
      </c>
      <c r="H1404" s="87">
        <v>44165</v>
      </c>
      <c r="I1404" s="94">
        <v>6879.1</v>
      </c>
      <c r="J1404" s="94">
        <v>5159.33</v>
      </c>
      <c r="K1404" s="94">
        <v>1719.77</v>
      </c>
    </row>
    <row r="1405" spans="1:11">
      <c r="A1405" s="74" t="s">
        <v>113</v>
      </c>
      <c r="B1405" s="74" t="s">
        <v>151</v>
      </c>
      <c r="C1405" s="74" t="s">
        <v>152</v>
      </c>
      <c r="D1405" s="74" t="s">
        <v>79</v>
      </c>
      <c r="E1405" s="74" t="s">
        <v>81</v>
      </c>
      <c r="F1405" s="86" t="s">
        <v>123</v>
      </c>
      <c r="G1405" s="74" t="s">
        <v>153</v>
      </c>
      <c r="H1405" s="87">
        <v>44165</v>
      </c>
      <c r="I1405" s="94">
        <v>2397.68</v>
      </c>
      <c r="J1405" s="94">
        <v>1798.26</v>
      </c>
      <c r="K1405" s="94">
        <v>599.42</v>
      </c>
    </row>
    <row r="1406" spans="1:11">
      <c r="A1406" s="74" t="s">
        <v>113</v>
      </c>
      <c r="B1406" s="74" t="s">
        <v>154</v>
      </c>
      <c r="C1406" s="74" t="s">
        <v>155</v>
      </c>
      <c r="D1406" s="74" t="s">
        <v>79</v>
      </c>
      <c r="E1406" s="74" t="s">
        <v>81</v>
      </c>
      <c r="F1406" s="86" t="s">
        <v>156</v>
      </c>
      <c r="G1406" s="74" t="s">
        <v>157</v>
      </c>
      <c r="H1406" s="87">
        <v>44165</v>
      </c>
      <c r="I1406" s="94">
        <v>2080.41</v>
      </c>
      <c r="J1406" s="94">
        <v>1560.31</v>
      </c>
      <c r="K1406" s="94">
        <v>520.1</v>
      </c>
    </row>
    <row r="1407" spans="1:11">
      <c r="A1407" s="74" t="s">
        <v>113</v>
      </c>
      <c r="B1407" s="74" t="s">
        <v>158</v>
      </c>
      <c r="C1407" s="74" t="s">
        <v>159</v>
      </c>
      <c r="D1407" s="74" t="s">
        <v>79</v>
      </c>
      <c r="E1407" s="74" t="s">
        <v>81</v>
      </c>
      <c r="F1407" s="86" t="s">
        <v>160</v>
      </c>
      <c r="G1407" s="74" t="s">
        <v>161</v>
      </c>
      <c r="H1407" s="87">
        <v>44165</v>
      </c>
      <c r="I1407" s="94">
        <v>1706.64</v>
      </c>
      <c r="J1407" s="94">
        <v>1279.98</v>
      </c>
      <c r="K1407" s="94">
        <v>426.66</v>
      </c>
    </row>
    <row r="1408" spans="1:11">
      <c r="A1408" s="74" t="s">
        <v>113</v>
      </c>
      <c r="B1408" s="74" t="s">
        <v>162</v>
      </c>
      <c r="C1408" s="74" t="s">
        <v>163</v>
      </c>
      <c r="D1408" s="74" t="s">
        <v>79</v>
      </c>
      <c r="E1408" s="74" t="s">
        <v>81</v>
      </c>
      <c r="F1408" s="86" t="s">
        <v>123</v>
      </c>
      <c r="G1408" s="74" t="s">
        <v>153</v>
      </c>
      <c r="H1408" s="87">
        <v>44165</v>
      </c>
      <c r="I1408" s="94">
        <v>2361.46</v>
      </c>
      <c r="J1408" s="94">
        <v>1771.1</v>
      </c>
      <c r="K1408" s="94">
        <v>590.36</v>
      </c>
    </row>
    <row r="1409" spans="1:11">
      <c r="A1409" s="74" t="s">
        <v>113</v>
      </c>
      <c r="B1409" s="74" t="s">
        <v>164</v>
      </c>
      <c r="C1409" s="74" t="s">
        <v>165</v>
      </c>
      <c r="D1409" s="74" t="s">
        <v>79</v>
      </c>
      <c r="E1409" s="74" t="s">
        <v>81</v>
      </c>
      <c r="F1409" s="86" t="s">
        <v>156</v>
      </c>
      <c r="G1409" s="74" t="s">
        <v>157</v>
      </c>
      <c r="H1409" s="87">
        <v>44165</v>
      </c>
      <c r="I1409" s="94">
        <v>2092.69</v>
      </c>
      <c r="J1409" s="94">
        <v>1569.52</v>
      </c>
      <c r="K1409" s="94">
        <v>523.17</v>
      </c>
    </row>
    <row r="1410" spans="1:11">
      <c r="A1410" s="74" t="s">
        <v>113</v>
      </c>
      <c r="B1410" s="74" t="s">
        <v>166</v>
      </c>
      <c r="C1410" s="74" t="s">
        <v>167</v>
      </c>
      <c r="D1410" s="74" t="s">
        <v>79</v>
      </c>
      <c r="E1410" s="74" t="s">
        <v>81</v>
      </c>
      <c r="F1410" s="86" t="s">
        <v>160</v>
      </c>
      <c r="G1410" s="74" t="s">
        <v>161</v>
      </c>
      <c r="H1410" s="87">
        <v>44165</v>
      </c>
      <c r="I1410" s="94">
        <v>1566.65</v>
      </c>
      <c r="J1410" s="94">
        <v>1174.99</v>
      </c>
      <c r="K1410" s="94">
        <v>391.66</v>
      </c>
    </row>
    <row r="1411" spans="1:11">
      <c r="A1411" s="74" t="s">
        <v>113</v>
      </c>
      <c r="B1411" s="74" t="s">
        <v>168</v>
      </c>
      <c r="C1411" s="74" t="s">
        <v>169</v>
      </c>
      <c r="D1411" s="74" t="s">
        <v>79</v>
      </c>
      <c r="E1411" s="74" t="s">
        <v>81</v>
      </c>
      <c r="F1411" s="86" t="s">
        <v>123</v>
      </c>
      <c r="G1411" s="74" t="s">
        <v>153</v>
      </c>
      <c r="H1411" s="87">
        <v>44165</v>
      </c>
      <c r="I1411" s="94">
        <v>2470.33</v>
      </c>
      <c r="J1411" s="94">
        <v>1852.75</v>
      </c>
      <c r="K1411" s="94">
        <v>617.58</v>
      </c>
    </row>
    <row r="1412" spans="1:11">
      <c r="A1412" s="74" t="s">
        <v>113</v>
      </c>
      <c r="B1412" s="74" t="s">
        <v>170</v>
      </c>
      <c r="C1412" s="74" t="s">
        <v>171</v>
      </c>
      <c r="D1412" s="74" t="s">
        <v>79</v>
      </c>
      <c r="E1412" s="74" t="s">
        <v>81</v>
      </c>
      <c r="F1412" s="86" t="s">
        <v>156</v>
      </c>
      <c r="G1412" s="74" t="s">
        <v>157</v>
      </c>
      <c r="H1412" s="87">
        <v>44165</v>
      </c>
      <c r="I1412" s="94">
        <v>2061.49</v>
      </c>
      <c r="J1412" s="94">
        <v>1546.12</v>
      </c>
      <c r="K1412" s="94">
        <v>515.37</v>
      </c>
    </row>
    <row r="1413" spans="1:11">
      <c r="A1413" s="74" t="s">
        <v>113</v>
      </c>
      <c r="B1413" s="74" t="s">
        <v>172</v>
      </c>
      <c r="C1413" s="74" t="s">
        <v>173</v>
      </c>
      <c r="D1413" s="74" t="s">
        <v>79</v>
      </c>
      <c r="E1413" s="74" t="s">
        <v>81</v>
      </c>
      <c r="F1413" s="86" t="s">
        <v>160</v>
      </c>
      <c r="G1413" s="74" t="s">
        <v>161</v>
      </c>
      <c r="H1413" s="87">
        <v>44165</v>
      </c>
      <c r="I1413" s="94">
        <v>1658.6</v>
      </c>
      <c r="J1413" s="94">
        <v>1243.95</v>
      </c>
      <c r="K1413" s="94">
        <v>414.65</v>
      </c>
    </row>
    <row r="1414" spans="1:11">
      <c r="A1414" s="74" t="s">
        <v>113</v>
      </c>
      <c r="B1414" s="74" t="s">
        <v>174</v>
      </c>
      <c r="C1414" s="74" t="s">
        <v>175</v>
      </c>
      <c r="D1414" s="74" t="s">
        <v>79</v>
      </c>
      <c r="E1414" s="74" t="s">
        <v>81</v>
      </c>
      <c r="F1414" s="86" t="s">
        <v>176</v>
      </c>
      <c r="G1414" s="74" t="s">
        <v>177</v>
      </c>
      <c r="H1414" s="87">
        <v>44165</v>
      </c>
      <c r="I1414" s="94">
        <v>1196.47</v>
      </c>
      <c r="J1414" s="94">
        <v>897.35</v>
      </c>
      <c r="K1414" s="94">
        <v>299.12</v>
      </c>
    </row>
    <row r="1415" spans="1:11">
      <c r="A1415" s="74" t="s">
        <v>113</v>
      </c>
      <c r="B1415" s="74" t="s">
        <v>178</v>
      </c>
      <c r="C1415" s="74" t="s">
        <v>179</v>
      </c>
      <c r="D1415" s="74" t="s">
        <v>79</v>
      </c>
      <c r="E1415" s="74" t="s">
        <v>81</v>
      </c>
      <c r="F1415" s="86" t="s">
        <v>180</v>
      </c>
      <c r="G1415" s="74" t="s">
        <v>177</v>
      </c>
      <c r="H1415" s="87">
        <v>44165</v>
      </c>
      <c r="I1415" s="94">
        <v>782.12</v>
      </c>
      <c r="J1415" s="94">
        <v>586.59</v>
      </c>
      <c r="K1415" s="94">
        <v>195.53</v>
      </c>
    </row>
    <row r="1416" spans="1:11">
      <c r="A1416" s="74" t="s">
        <v>113</v>
      </c>
      <c r="B1416" s="74" t="s">
        <v>181</v>
      </c>
      <c r="C1416" s="74" t="s">
        <v>182</v>
      </c>
      <c r="D1416" s="74" t="s">
        <v>79</v>
      </c>
      <c r="E1416" s="74" t="s">
        <v>81</v>
      </c>
      <c r="F1416" s="86" t="s">
        <v>183</v>
      </c>
      <c r="G1416" s="74" t="s">
        <v>177</v>
      </c>
      <c r="H1416" s="87">
        <v>44165</v>
      </c>
      <c r="I1416" s="94">
        <v>396.88</v>
      </c>
      <c r="J1416" s="94">
        <v>297.66</v>
      </c>
      <c r="K1416" s="94">
        <v>99.22</v>
      </c>
    </row>
    <row r="1417" spans="1:11">
      <c r="A1417" s="74" t="s">
        <v>113</v>
      </c>
      <c r="B1417" s="74" t="s">
        <v>184</v>
      </c>
      <c r="C1417" s="74" t="s">
        <v>185</v>
      </c>
      <c r="D1417" s="74" t="s">
        <v>79</v>
      </c>
      <c r="E1417" s="74" t="s">
        <v>81</v>
      </c>
      <c r="F1417" s="86" t="s">
        <v>176</v>
      </c>
      <c r="G1417" s="74" t="s">
        <v>177</v>
      </c>
      <c r="H1417" s="87">
        <v>44165</v>
      </c>
      <c r="I1417" s="94">
        <v>1213.26</v>
      </c>
      <c r="J1417" s="94">
        <v>909.95</v>
      </c>
      <c r="K1417" s="94">
        <v>303.31</v>
      </c>
    </row>
    <row r="1418" spans="1:11">
      <c r="A1418" s="74" t="s">
        <v>113</v>
      </c>
      <c r="B1418" s="74" t="s">
        <v>186</v>
      </c>
      <c r="C1418" s="74" t="s">
        <v>187</v>
      </c>
      <c r="D1418" s="74" t="s">
        <v>79</v>
      </c>
      <c r="E1418" s="74" t="s">
        <v>81</v>
      </c>
      <c r="F1418" s="86" t="s">
        <v>180</v>
      </c>
      <c r="G1418" s="74" t="s">
        <v>177</v>
      </c>
      <c r="H1418" s="87">
        <v>44165</v>
      </c>
      <c r="I1418" s="94">
        <v>800.45</v>
      </c>
      <c r="J1418" s="94">
        <v>600.34</v>
      </c>
      <c r="K1418" s="94">
        <v>200.11</v>
      </c>
    </row>
    <row r="1419" spans="1:11">
      <c r="A1419" s="74" t="s">
        <v>113</v>
      </c>
      <c r="B1419" s="74" t="s">
        <v>188</v>
      </c>
      <c r="C1419" s="74" t="s">
        <v>189</v>
      </c>
      <c r="D1419" s="74" t="s">
        <v>79</v>
      </c>
      <c r="E1419" s="74" t="s">
        <v>81</v>
      </c>
      <c r="F1419" s="86" t="s">
        <v>183</v>
      </c>
      <c r="G1419" s="74" t="s">
        <v>177</v>
      </c>
      <c r="H1419" s="87">
        <v>44165</v>
      </c>
      <c r="I1419" s="94">
        <v>410.63</v>
      </c>
      <c r="J1419" s="94">
        <v>307.97</v>
      </c>
      <c r="K1419" s="94">
        <v>102.66</v>
      </c>
    </row>
    <row r="1420" spans="1:11">
      <c r="A1420" s="74" t="s">
        <v>113</v>
      </c>
      <c r="B1420" s="74" t="s">
        <v>190</v>
      </c>
      <c r="C1420" s="74" t="s">
        <v>191</v>
      </c>
      <c r="D1420" s="74" t="s">
        <v>79</v>
      </c>
      <c r="E1420" s="74" t="s">
        <v>81</v>
      </c>
      <c r="F1420" s="86" t="s">
        <v>176</v>
      </c>
      <c r="G1420" s="74" t="s">
        <v>177</v>
      </c>
      <c r="H1420" s="87">
        <v>44165</v>
      </c>
      <c r="I1420" s="94">
        <v>1211.58</v>
      </c>
      <c r="J1420" s="94">
        <v>908.69</v>
      </c>
      <c r="K1420" s="94">
        <v>302.89</v>
      </c>
    </row>
    <row r="1421" spans="1:11">
      <c r="A1421" s="74" t="s">
        <v>113</v>
      </c>
      <c r="B1421" s="74" t="s">
        <v>192</v>
      </c>
      <c r="C1421" s="74" t="s">
        <v>193</v>
      </c>
      <c r="D1421" s="74" t="s">
        <v>79</v>
      </c>
      <c r="E1421" s="74" t="s">
        <v>81</v>
      </c>
      <c r="F1421" s="86" t="s">
        <v>180</v>
      </c>
      <c r="G1421" s="74" t="s">
        <v>177</v>
      </c>
      <c r="H1421" s="87">
        <v>44165</v>
      </c>
      <c r="I1421" s="94">
        <v>855.92</v>
      </c>
      <c r="J1421" s="94">
        <v>641.94</v>
      </c>
      <c r="K1421" s="94">
        <v>213.98</v>
      </c>
    </row>
    <row r="1422" spans="1:11">
      <c r="A1422" s="74" t="s">
        <v>113</v>
      </c>
      <c r="B1422" s="74" t="s">
        <v>194</v>
      </c>
      <c r="C1422" s="74" t="s">
        <v>195</v>
      </c>
      <c r="D1422" s="74" t="s">
        <v>79</v>
      </c>
      <c r="E1422" s="74" t="s">
        <v>81</v>
      </c>
      <c r="F1422" s="86" t="s">
        <v>183</v>
      </c>
      <c r="G1422" s="74" t="s">
        <v>177</v>
      </c>
      <c r="H1422" s="87">
        <v>44165</v>
      </c>
      <c r="I1422" s="94">
        <v>400.48</v>
      </c>
      <c r="J1422" s="94">
        <v>300.36</v>
      </c>
      <c r="K1422" s="94">
        <v>100.12</v>
      </c>
    </row>
    <row r="1423" spans="1:11">
      <c r="A1423" s="74" t="s">
        <v>113</v>
      </c>
      <c r="B1423" s="74" t="s">
        <v>196</v>
      </c>
      <c r="C1423" s="74" t="s">
        <v>197</v>
      </c>
      <c r="D1423" s="74" t="s">
        <v>79</v>
      </c>
      <c r="E1423" s="74" t="s">
        <v>81</v>
      </c>
      <c r="F1423" s="86" t="s">
        <v>176</v>
      </c>
      <c r="G1423" s="74" t="s">
        <v>177</v>
      </c>
      <c r="H1423" s="87">
        <v>44165</v>
      </c>
      <c r="I1423" s="94">
        <v>1243.9</v>
      </c>
      <c r="J1423" s="94">
        <v>932.93</v>
      </c>
      <c r="K1423" s="94">
        <v>310.97</v>
      </c>
    </row>
    <row r="1424" spans="1:11">
      <c r="A1424" s="74" t="s">
        <v>113</v>
      </c>
      <c r="B1424" s="74" t="s">
        <v>198</v>
      </c>
      <c r="C1424" s="74" t="s">
        <v>199</v>
      </c>
      <c r="D1424" s="74" t="s">
        <v>79</v>
      </c>
      <c r="E1424" s="74" t="s">
        <v>81</v>
      </c>
      <c r="F1424" s="86" t="s">
        <v>180</v>
      </c>
      <c r="G1424" s="74" t="s">
        <v>177</v>
      </c>
      <c r="H1424" s="87">
        <v>44165</v>
      </c>
      <c r="I1424" s="94">
        <v>807.36</v>
      </c>
      <c r="J1424" s="94">
        <v>605.52</v>
      </c>
      <c r="K1424" s="94">
        <v>201.84</v>
      </c>
    </row>
    <row r="1425" spans="1:11">
      <c r="A1425" s="74" t="s">
        <v>113</v>
      </c>
      <c r="B1425" s="74" t="s">
        <v>200</v>
      </c>
      <c r="C1425" s="74" t="s">
        <v>201</v>
      </c>
      <c r="D1425" s="74" t="s">
        <v>79</v>
      </c>
      <c r="E1425" s="74" t="s">
        <v>81</v>
      </c>
      <c r="F1425" s="86" t="s">
        <v>183</v>
      </c>
      <c r="G1425" s="74" t="s">
        <v>177</v>
      </c>
      <c r="H1425" s="87">
        <v>44165</v>
      </c>
      <c r="I1425" s="94">
        <v>428.29</v>
      </c>
      <c r="J1425" s="94">
        <v>321.22</v>
      </c>
      <c r="K1425" s="94">
        <v>107.07</v>
      </c>
    </row>
    <row r="1426" spans="1:11">
      <c r="A1426" s="74" t="s">
        <v>113</v>
      </c>
      <c r="B1426" s="74" t="s">
        <v>202</v>
      </c>
      <c r="C1426" s="74" t="s">
        <v>203</v>
      </c>
      <c r="D1426" s="74" t="s">
        <v>79</v>
      </c>
      <c r="E1426" s="74" t="s">
        <v>81</v>
      </c>
      <c r="F1426" s="86" t="s">
        <v>204</v>
      </c>
      <c r="G1426" s="74" t="s">
        <v>205</v>
      </c>
      <c r="H1426" s="87">
        <v>44165</v>
      </c>
      <c r="I1426" s="94">
        <v>7340.89</v>
      </c>
      <c r="J1426" s="94">
        <v>5505.67</v>
      </c>
      <c r="K1426" s="94">
        <v>1835.22</v>
      </c>
    </row>
    <row r="1427" spans="1:11">
      <c r="A1427" s="74" t="s">
        <v>113</v>
      </c>
      <c r="B1427" s="74" t="s">
        <v>206</v>
      </c>
      <c r="C1427" s="74" t="s">
        <v>207</v>
      </c>
      <c r="D1427" s="88" t="s">
        <v>82</v>
      </c>
      <c r="E1427" s="88" t="s">
        <v>84</v>
      </c>
      <c r="F1427" s="86" t="s">
        <v>208</v>
      </c>
      <c r="G1427" s="74" t="s">
        <v>209</v>
      </c>
      <c r="H1427" s="87">
        <v>44165</v>
      </c>
      <c r="I1427" s="94">
        <v>3603.61</v>
      </c>
      <c r="J1427" s="94">
        <v>2702.71</v>
      </c>
      <c r="K1427" s="94">
        <v>900.9</v>
      </c>
    </row>
    <row r="1428" spans="1:11">
      <c r="A1428" s="74" t="s">
        <v>113</v>
      </c>
      <c r="B1428" s="74" t="s">
        <v>210</v>
      </c>
      <c r="C1428" s="74" t="s">
        <v>211</v>
      </c>
      <c r="D1428" s="88" t="s">
        <v>82</v>
      </c>
      <c r="E1428" s="88" t="s">
        <v>84</v>
      </c>
      <c r="F1428" s="86" t="s">
        <v>116</v>
      </c>
      <c r="G1428" s="74" t="s">
        <v>209</v>
      </c>
      <c r="H1428" s="87">
        <v>44165</v>
      </c>
      <c r="I1428" s="94">
        <v>3312.26</v>
      </c>
      <c r="J1428" s="94">
        <v>2484.2</v>
      </c>
      <c r="K1428" s="94">
        <v>828.06</v>
      </c>
    </row>
    <row r="1429" spans="1:11">
      <c r="A1429" s="74" t="s">
        <v>113</v>
      </c>
      <c r="B1429" s="74" t="s">
        <v>212</v>
      </c>
      <c r="C1429" s="74" t="s">
        <v>213</v>
      </c>
      <c r="D1429" s="88" t="s">
        <v>82</v>
      </c>
      <c r="E1429" s="88" t="s">
        <v>84</v>
      </c>
      <c r="F1429" s="86" t="s">
        <v>208</v>
      </c>
      <c r="G1429" s="74" t="s">
        <v>209</v>
      </c>
      <c r="H1429" s="87">
        <v>44165</v>
      </c>
      <c r="I1429" s="94">
        <v>3547.42</v>
      </c>
      <c r="J1429" s="94">
        <v>2660.57</v>
      </c>
      <c r="K1429" s="94">
        <v>886.85</v>
      </c>
    </row>
    <row r="1430" spans="1:11">
      <c r="A1430" s="74" t="s">
        <v>113</v>
      </c>
      <c r="B1430" s="74" t="s">
        <v>214</v>
      </c>
      <c r="C1430" s="74" t="s">
        <v>215</v>
      </c>
      <c r="D1430" s="88" t="s">
        <v>82</v>
      </c>
      <c r="E1430" s="88" t="s">
        <v>84</v>
      </c>
      <c r="F1430" s="86" t="s">
        <v>116</v>
      </c>
      <c r="G1430" s="74" t="s">
        <v>209</v>
      </c>
      <c r="H1430" s="87">
        <v>44165</v>
      </c>
      <c r="I1430" s="94">
        <v>3216.1</v>
      </c>
      <c r="J1430" s="94">
        <v>2412.08</v>
      </c>
      <c r="K1430" s="94">
        <v>804.02</v>
      </c>
    </row>
    <row r="1431" spans="1:11">
      <c r="A1431" s="74" t="s">
        <v>113</v>
      </c>
      <c r="B1431" s="74" t="s">
        <v>216</v>
      </c>
      <c r="C1431" s="74" t="s">
        <v>217</v>
      </c>
      <c r="D1431" s="88" t="s">
        <v>82</v>
      </c>
      <c r="E1431" s="88" t="s">
        <v>84</v>
      </c>
      <c r="F1431" s="86" t="s">
        <v>218</v>
      </c>
      <c r="G1431" s="74" t="s">
        <v>219</v>
      </c>
      <c r="H1431" s="87">
        <v>44165</v>
      </c>
      <c r="I1431" s="94">
        <v>4426.01</v>
      </c>
      <c r="J1431" s="94">
        <v>3319.51</v>
      </c>
      <c r="K1431" s="94">
        <v>1106.5</v>
      </c>
    </row>
    <row r="1432" spans="1:11">
      <c r="A1432" s="74" t="s">
        <v>113</v>
      </c>
      <c r="B1432" s="74" t="s">
        <v>220</v>
      </c>
      <c r="C1432" s="74" t="s">
        <v>221</v>
      </c>
      <c r="D1432" s="88" t="s">
        <v>82</v>
      </c>
      <c r="E1432" s="74" t="s">
        <v>83</v>
      </c>
      <c r="F1432" s="86" t="s">
        <v>218</v>
      </c>
      <c r="G1432" s="74" t="s">
        <v>222</v>
      </c>
      <c r="H1432" s="87">
        <v>44165</v>
      </c>
      <c r="I1432" s="94">
        <v>4673.89</v>
      </c>
      <c r="J1432" s="94">
        <v>3505.42</v>
      </c>
      <c r="K1432" s="94">
        <v>1168.47</v>
      </c>
    </row>
    <row r="1433" spans="1:11">
      <c r="A1433" s="74" t="s">
        <v>113</v>
      </c>
      <c r="B1433" s="74" t="s">
        <v>223</v>
      </c>
      <c r="C1433" s="74" t="s">
        <v>224</v>
      </c>
      <c r="D1433" s="88" t="s">
        <v>82</v>
      </c>
      <c r="E1433" s="74" t="s">
        <v>83</v>
      </c>
      <c r="F1433" s="86" t="s">
        <v>225</v>
      </c>
      <c r="G1433" s="74" t="s">
        <v>209</v>
      </c>
      <c r="H1433" s="87">
        <v>44165</v>
      </c>
      <c r="I1433" s="94">
        <v>4240.11</v>
      </c>
      <c r="J1433" s="94">
        <v>3180.08</v>
      </c>
      <c r="K1433" s="94">
        <v>1060.03</v>
      </c>
    </row>
    <row r="1434" spans="1:11">
      <c r="A1434" s="74" t="s">
        <v>113</v>
      </c>
      <c r="B1434" s="74" t="s">
        <v>226</v>
      </c>
      <c r="C1434" s="74" t="s">
        <v>227</v>
      </c>
      <c r="D1434" s="88" t="s">
        <v>82</v>
      </c>
      <c r="E1434" s="74" t="s">
        <v>83</v>
      </c>
      <c r="F1434" s="86" t="s">
        <v>208</v>
      </c>
      <c r="G1434" s="74" t="s">
        <v>209</v>
      </c>
      <c r="H1434" s="87">
        <v>44165</v>
      </c>
      <c r="I1434" s="94">
        <v>3711.29</v>
      </c>
      <c r="J1434" s="94">
        <v>2783.47</v>
      </c>
      <c r="K1434" s="94">
        <v>927.82</v>
      </c>
    </row>
    <row r="1435" spans="1:11">
      <c r="A1435" s="74" t="s">
        <v>113</v>
      </c>
      <c r="B1435" s="74" t="s">
        <v>228</v>
      </c>
      <c r="C1435" s="74" t="s">
        <v>229</v>
      </c>
      <c r="D1435" s="88" t="s">
        <v>82</v>
      </c>
      <c r="E1435" s="74" t="s">
        <v>83</v>
      </c>
      <c r="F1435" s="86" t="s">
        <v>116</v>
      </c>
      <c r="G1435" s="74" t="s">
        <v>209</v>
      </c>
      <c r="H1435" s="87">
        <v>44165</v>
      </c>
      <c r="I1435" s="94">
        <v>3266.86</v>
      </c>
      <c r="J1435" s="94">
        <v>2450.15</v>
      </c>
      <c r="K1435" s="94">
        <v>816.71</v>
      </c>
    </row>
    <row r="1436" spans="1:11">
      <c r="A1436" s="74" t="s">
        <v>113</v>
      </c>
      <c r="B1436" s="74" t="s">
        <v>230</v>
      </c>
      <c r="C1436" s="74" t="s">
        <v>231</v>
      </c>
      <c r="D1436" s="88" t="s">
        <v>82</v>
      </c>
      <c r="E1436" s="74" t="s">
        <v>83</v>
      </c>
      <c r="F1436" s="86" t="s">
        <v>120</v>
      </c>
      <c r="G1436" s="74" t="s">
        <v>209</v>
      </c>
      <c r="H1436" s="87">
        <v>44165</v>
      </c>
      <c r="I1436" s="94">
        <v>2905.33</v>
      </c>
      <c r="J1436" s="94">
        <v>2179</v>
      </c>
      <c r="K1436" s="94">
        <v>726.33</v>
      </c>
    </row>
    <row r="1437" spans="1:11">
      <c r="A1437" s="74" t="s">
        <v>113</v>
      </c>
      <c r="B1437" s="74" t="s">
        <v>232</v>
      </c>
      <c r="C1437" s="74" t="s">
        <v>233</v>
      </c>
      <c r="D1437" s="88" t="s">
        <v>82</v>
      </c>
      <c r="E1437" s="74" t="s">
        <v>83</v>
      </c>
      <c r="F1437" s="86" t="s">
        <v>123</v>
      </c>
      <c r="G1437" s="74" t="s">
        <v>209</v>
      </c>
      <c r="H1437" s="87">
        <v>44165</v>
      </c>
      <c r="I1437" s="94">
        <v>2500.17</v>
      </c>
      <c r="J1437" s="94">
        <v>1875.13</v>
      </c>
      <c r="K1437" s="94">
        <v>625.04</v>
      </c>
    </row>
    <row r="1438" spans="1:11">
      <c r="A1438" s="74" t="s">
        <v>113</v>
      </c>
      <c r="B1438" s="74" t="s">
        <v>234</v>
      </c>
      <c r="C1438" s="74" t="s">
        <v>235</v>
      </c>
      <c r="D1438" s="88" t="s">
        <v>82</v>
      </c>
      <c r="E1438" s="74" t="s">
        <v>83</v>
      </c>
      <c r="F1438" s="86" t="s">
        <v>116</v>
      </c>
      <c r="G1438" s="74" t="s">
        <v>209</v>
      </c>
      <c r="H1438" s="87">
        <v>44165</v>
      </c>
      <c r="I1438" s="94">
        <v>3331.82</v>
      </c>
      <c r="J1438" s="94">
        <v>2498.87</v>
      </c>
      <c r="K1438" s="94">
        <v>832.95</v>
      </c>
    </row>
    <row r="1439" spans="1:11">
      <c r="A1439" s="74" t="s">
        <v>113</v>
      </c>
      <c r="B1439" s="74" t="s">
        <v>236</v>
      </c>
      <c r="C1439" s="74" t="s">
        <v>237</v>
      </c>
      <c r="D1439" s="88" t="s">
        <v>82</v>
      </c>
      <c r="E1439" s="74" t="s">
        <v>83</v>
      </c>
      <c r="F1439" s="86" t="s">
        <v>120</v>
      </c>
      <c r="G1439" s="74" t="s">
        <v>209</v>
      </c>
      <c r="H1439" s="87">
        <v>44165</v>
      </c>
      <c r="I1439" s="94">
        <v>2925.01</v>
      </c>
      <c r="J1439" s="94">
        <v>2193.76</v>
      </c>
      <c r="K1439" s="94">
        <v>731.25</v>
      </c>
    </row>
    <row r="1440" spans="1:11">
      <c r="A1440" s="74" t="s">
        <v>113</v>
      </c>
      <c r="B1440" s="74" t="s">
        <v>238</v>
      </c>
      <c r="C1440" s="74" t="s">
        <v>239</v>
      </c>
      <c r="D1440" s="74" t="s">
        <v>86</v>
      </c>
      <c r="E1440" s="74" t="s">
        <v>87</v>
      </c>
      <c r="F1440" s="86" t="s">
        <v>204</v>
      </c>
      <c r="G1440" s="74" t="s">
        <v>240</v>
      </c>
      <c r="H1440" s="87">
        <v>44165</v>
      </c>
      <c r="I1440" s="94">
        <v>5629.88</v>
      </c>
      <c r="J1440" s="94">
        <v>4222.41</v>
      </c>
      <c r="K1440" s="94">
        <v>1407.47</v>
      </c>
    </row>
    <row r="1441" spans="1:11">
      <c r="A1441" s="74" t="s">
        <v>113</v>
      </c>
      <c r="B1441" s="74" t="s">
        <v>241</v>
      </c>
      <c r="C1441" s="74" t="s">
        <v>242</v>
      </c>
      <c r="D1441" s="74" t="s">
        <v>86</v>
      </c>
      <c r="E1441" s="74" t="s">
        <v>87</v>
      </c>
      <c r="F1441" s="86" t="s">
        <v>243</v>
      </c>
      <c r="G1441" s="74" t="s">
        <v>244</v>
      </c>
      <c r="H1441" s="87">
        <v>44165</v>
      </c>
      <c r="I1441" s="94">
        <v>4230.86</v>
      </c>
      <c r="J1441" s="94">
        <v>3173.15</v>
      </c>
      <c r="K1441" s="94">
        <v>1057.71</v>
      </c>
    </row>
    <row r="1442" spans="1:11">
      <c r="A1442" s="74" t="s">
        <v>113</v>
      </c>
      <c r="B1442" s="74" t="s">
        <v>245</v>
      </c>
      <c r="C1442" s="74" t="s">
        <v>246</v>
      </c>
      <c r="D1442" s="74" t="s">
        <v>86</v>
      </c>
      <c r="E1442" s="74" t="s">
        <v>87</v>
      </c>
      <c r="F1442" s="86" t="s">
        <v>247</v>
      </c>
      <c r="G1442" s="74" t="s">
        <v>248</v>
      </c>
      <c r="H1442" s="87">
        <v>44165</v>
      </c>
      <c r="I1442" s="94">
        <v>3954.19</v>
      </c>
      <c r="J1442" s="94">
        <v>2965.64</v>
      </c>
      <c r="K1442" s="94">
        <v>988.55</v>
      </c>
    </row>
    <row r="1443" spans="1:11">
      <c r="A1443" s="74" t="s">
        <v>113</v>
      </c>
      <c r="B1443" s="74" t="s">
        <v>249</v>
      </c>
      <c r="C1443" s="74" t="s">
        <v>250</v>
      </c>
      <c r="D1443" s="74" t="s">
        <v>86</v>
      </c>
      <c r="E1443" s="74" t="s">
        <v>87</v>
      </c>
      <c r="F1443" s="86" t="s">
        <v>251</v>
      </c>
      <c r="G1443" s="74" t="s">
        <v>252</v>
      </c>
      <c r="H1443" s="87">
        <v>44165</v>
      </c>
      <c r="I1443" s="94">
        <v>3612.85</v>
      </c>
      <c r="J1443" s="94">
        <v>2709.64</v>
      </c>
      <c r="K1443" s="94">
        <v>903.21</v>
      </c>
    </row>
    <row r="1444" spans="1:11">
      <c r="A1444" s="74" t="s">
        <v>113</v>
      </c>
      <c r="B1444" s="74" t="s">
        <v>253</v>
      </c>
      <c r="C1444" s="74" t="s">
        <v>254</v>
      </c>
      <c r="D1444" s="74" t="s">
        <v>86</v>
      </c>
      <c r="E1444" s="74" t="s">
        <v>87</v>
      </c>
      <c r="F1444" s="86" t="s">
        <v>255</v>
      </c>
      <c r="G1444" s="74" t="s">
        <v>252</v>
      </c>
      <c r="H1444" s="87">
        <v>44165</v>
      </c>
      <c r="I1444" s="94">
        <v>3214.9</v>
      </c>
      <c r="J1444" s="94">
        <v>2411.18</v>
      </c>
      <c r="K1444" s="94">
        <v>803.72</v>
      </c>
    </row>
    <row r="1445" spans="1:11">
      <c r="A1445" s="74" t="s">
        <v>113</v>
      </c>
      <c r="B1445" s="74" t="s">
        <v>256</v>
      </c>
      <c r="C1445" s="74" t="s">
        <v>257</v>
      </c>
      <c r="D1445" s="74" t="s">
        <v>86</v>
      </c>
      <c r="E1445" s="74" t="s">
        <v>87</v>
      </c>
      <c r="F1445" s="86" t="s">
        <v>258</v>
      </c>
      <c r="G1445" s="74" t="s">
        <v>252</v>
      </c>
      <c r="H1445" s="87">
        <v>44165</v>
      </c>
      <c r="I1445" s="94">
        <v>3087.2</v>
      </c>
      <c r="J1445" s="94">
        <v>2315.4</v>
      </c>
      <c r="K1445" s="94">
        <v>771.8</v>
      </c>
    </row>
    <row r="1446" spans="1:11">
      <c r="A1446" s="74" t="s">
        <v>113</v>
      </c>
      <c r="B1446" s="74" t="s">
        <v>259</v>
      </c>
      <c r="C1446" s="74" t="s">
        <v>260</v>
      </c>
      <c r="D1446" s="74" t="s">
        <v>86</v>
      </c>
      <c r="E1446" s="74" t="s">
        <v>87</v>
      </c>
      <c r="F1446" s="86" t="s">
        <v>261</v>
      </c>
      <c r="G1446" s="74" t="s">
        <v>262</v>
      </c>
      <c r="H1446" s="87">
        <v>44165</v>
      </c>
      <c r="I1446" s="94">
        <v>2685.33</v>
      </c>
      <c r="J1446" s="94">
        <v>2014</v>
      </c>
      <c r="K1446" s="94">
        <v>671.33</v>
      </c>
    </row>
    <row r="1447" spans="1:11">
      <c r="A1447" s="74" t="s">
        <v>113</v>
      </c>
      <c r="B1447" s="74" t="s">
        <v>263</v>
      </c>
      <c r="C1447" s="74" t="s">
        <v>264</v>
      </c>
      <c r="D1447" s="74" t="s">
        <v>86</v>
      </c>
      <c r="E1447" s="74" t="s">
        <v>88</v>
      </c>
      <c r="F1447" s="86" t="s">
        <v>149</v>
      </c>
      <c r="G1447" s="74" t="s">
        <v>265</v>
      </c>
      <c r="H1447" s="87">
        <v>44165</v>
      </c>
      <c r="I1447" s="94">
        <v>5833.31</v>
      </c>
      <c r="J1447" s="94">
        <v>4374.98</v>
      </c>
      <c r="K1447" s="94">
        <v>1458.33</v>
      </c>
    </row>
    <row r="1448" spans="1:11">
      <c r="A1448" s="74" t="s">
        <v>113</v>
      </c>
      <c r="B1448" s="74" t="s">
        <v>266</v>
      </c>
      <c r="C1448" s="74" t="s">
        <v>267</v>
      </c>
      <c r="D1448" s="74" t="s">
        <v>86</v>
      </c>
      <c r="E1448" s="74" t="s">
        <v>88</v>
      </c>
      <c r="F1448" s="86" t="s">
        <v>243</v>
      </c>
      <c r="G1448" s="74" t="s">
        <v>268</v>
      </c>
      <c r="H1448" s="87">
        <v>44165</v>
      </c>
      <c r="I1448" s="94">
        <v>4390.88</v>
      </c>
      <c r="J1448" s="94">
        <v>3293.16</v>
      </c>
      <c r="K1448" s="94">
        <v>1097.72</v>
      </c>
    </row>
    <row r="1449" spans="1:11">
      <c r="A1449" s="74" t="s">
        <v>113</v>
      </c>
      <c r="B1449" s="74" t="s">
        <v>269</v>
      </c>
      <c r="C1449" s="74" t="s">
        <v>270</v>
      </c>
      <c r="D1449" s="74" t="s">
        <v>86</v>
      </c>
      <c r="E1449" s="74" t="s">
        <v>88</v>
      </c>
      <c r="F1449" s="86" t="s">
        <v>247</v>
      </c>
      <c r="G1449" s="74" t="s">
        <v>268</v>
      </c>
      <c r="H1449" s="87">
        <v>44165</v>
      </c>
      <c r="I1449" s="94">
        <v>4016.23</v>
      </c>
      <c r="J1449" s="94">
        <v>3012.17</v>
      </c>
      <c r="K1449" s="94">
        <v>1004.06</v>
      </c>
    </row>
    <row r="1450" spans="1:11">
      <c r="A1450" s="74" t="s">
        <v>113</v>
      </c>
      <c r="B1450" s="74" t="s">
        <v>271</v>
      </c>
      <c r="C1450" s="74" t="s">
        <v>272</v>
      </c>
      <c r="D1450" s="74" t="s">
        <v>86</v>
      </c>
      <c r="E1450" s="74" t="s">
        <v>88</v>
      </c>
      <c r="F1450" s="86" t="s">
        <v>251</v>
      </c>
      <c r="G1450" s="74" t="s">
        <v>268</v>
      </c>
      <c r="H1450" s="87">
        <v>44165</v>
      </c>
      <c r="I1450" s="94">
        <v>3710.35</v>
      </c>
      <c r="J1450" s="94">
        <v>2782.76</v>
      </c>
      <c r="K1450" s="94">
        <v>927.59</v>
      </c>
    </row>
    <row r="1451" spans="1:11">
      <c r="A1451" s="74" t="s">
        <v>113</v>
      </c>
      <c r="B1451" s="74" t="s">
        <v>273</v>
      </c>
      <c r="C1451" s="74" t="s">
        <v>274</v>
      </c>
      <c r="D1451" s="74" t="s">
        <v>86</v>
      </c>
      <c r="E1451" s="74" t="s">
        <v>88</v>
      </c>
      <c r="F1451" s="86" t="s">
        <v>255</v>
      </c>
      <c r="G1451" s="74" t="s">
        <v>268</v>
      </c>
      <c r="H1451" s="87">
        <v>44165</v>
      </c>
      <c r="I1451" s="94">
        <v>3145.9</v>
      </c>
      <c r="J1451" s="94">
        <v>2359.43</v>
      </c>
      <c r="K1451" s="94">
        <v>786.47</v>
      </c>
    </row>
    <row r="1452" spans="1:11">
      <c r="A1452" s="74" t="s">
        <v>113</v>
      </c>
      <c r="B1452" s="74" t="s">
        <v>275</v>
      </c>
      <c r="C1452" s="74" t="s">
        <v>276</v>
      </c>
      <c r="D1452" s="74" t="s">
        <v>86</v>
      </c>
      <c r="E1452" s="74" t="s">
        <v>88</v>
      </c>
      <c r="F1452" s="86" t="s">
        <v>258</v>
      </c>
      <c r="G1452" s="74" t="s">
        <v>268</v>
      </c>
      <c r="H1452" s="87">
        <v>44165</v>
      </c>
      <c r="I1452" s="94">
        <v>2924.4</v>
      </c>
      <c r="J1452" s="94">
        <v>2193.3</v>
      </c>
      <c r="K1452" s="94">
        <v>731.1</v>
      </c>
    </row>
    <row r="1453" spans="1:11">
      <c r="A1453" s="74" t="s">
        <v>113</v>
      </c>
      <c r="B1453" s="74" t="s">
        <v>277</v>
      </c>
      <c r="C1453" s="74" t="s">
        <v>278</v>
      </c>
      <c r="D1453" s="74" t="s">
        <v>86</v>
      </c>
      <c r="E1453" s="74" t="s">
        <v>89</v>
      </c>
      <c r="F1453" s="86" t="s">
        <v>279</v>
      </c>
      <c r="G1453" s="74" t="s">
        <v>280</v>
      </c>
      <c r="H1453" s="87">
        <v>44165</v>
      </c>
      <c r="I1453" s="94">
        <v>4755.61</v>
      </c>
      <c r="J1453" s="94">
        <v>3566.71</v>
      </c>
      <c r="K1453" s="94">
        <v>1188.9</v>
      </c>
    </row>
    <row r="1454" spans="1:11">
      <c r="A1454" s="74" t="s">
        <v>113</v>
      </c>
      <c r="B1454" s="74" t="s">
        <v>281</v>
      </c>
      <c r="C1454" s="74" t="s">
        <v>282</v>
      </c>
      <c r="D1454" s="74" t="s">
        <v>86</v>
      </c>
      <c r="E1454" s="74" t="s">
        <v>89</v>
      </c>
      <c r="F1454" s="86" t="s">
        <v>225</v>
      </c>
      <c r="G1454" s="74" t="s">
        <v>283</v>
      </c>
      <c r="H1454" s="87">
        <v>44165</v>
      </c>
      <c r="I1454" s="94">
        <v>3417.22</v>
      </c>
      <c r="J1454" s="94">
        <v>2562.92</v>
      </c>
      <c r="K1454" s="94">
        <v>854.3</v>
      </c>
    </row>
    <row r="1455" spans="1:11">
      <c r="A1455" s="74" t="s">
        <v>113</v>
      </c>
      <c r="B1455" s="74" t="s">
        <v>284</v>
      </c>
      <c r="C1455" s="74" t="s">
        <v>285</v>
      </c>
      <c r="D1455" s="74" t="s">
        <v>86</v>
      </c>
      <c r="E1455" s="74" t="s">
        <v>89</v>
      </c>
      <c r="F1455" s="86" t="s">
        <v>208</v>
      </c>
      <c r="G1455" s="74" t="s">
        <v>283</v>
      </c>
      <c r="H1455" s="87">
        <v>44165</v>
      </c>
      <c r="I1455" s="94">
        <v>2979.17</v>
      </c>
      <c r="J1455" s="94">
        <v>2234.38</v>
      </c>
      <c r="K1455" s="94">
        <v>744.79</v>
      </c>
    </row>
    <row r="1456" spans="1:11">
      <c r="A1456" s="74" t="s">
        <v>113</v>
      </c>
      <c r="B1456" s="74" t="s">
        <v>286</v>
      </c>
      <c r="C1456" s="74" t="s">
        <v>287</v>
      </c>
      <c r="D1456" s="74" t="s">
        <v>82</v>
      </c>
      <c r="E1456" s="88" t="s">
        <v>85</v>
      </c>
      <c r="F1456" s="86" t="s">
        <v>288</v>
      </c>
      <c r="G1456" s="74" t="s">
        <v>289</v>
      </c>
      <c r="H1456" s="87">
        <v>44165</v>
      </c>
      <c r="I1456" s="94">
        <v>4819.39</v>
      </c>
      <c r="J1456" s="94">
        <v>3614.54</v>
      </c>
      <c r="K1456" s="94">
        <v>1204.85</v>
      </c>
    </row>
    <row r="1457" spans="1:11">
      <c r="A1457" s="74" t="s">
        <v>113</v>
      </c>
      <c r="B1457" s="74" t="s">
        <v>290</v>
      </c>
      <c r="C1457" s="74" t="s">
        <v>291</v>
      </c>
      <c r="D1457" s="74" t="s">
        <v>82</v>
      </c>
      <c r="E1457" s="88" t="s">
        <v>85</v>
      </c>
      <c r="F1457" s="86" t="s">
        <v>218</v>
      </c>
      <c r="G1457" s="74" t="s">
        <v>289</v>
      </c>
      <c r="H1457" s="87">
        <v>44165</v>
      </c>
      <c r="I1457" s="94">
        <v>4360.74</v>
      </c>
      <c r="J1457" s="94">
        <v>3270.56</v>
      </c>
      <c r="K1457" s="94">
        <v>1090.18</v>
      </c>
    </row>
    <row r="1458" spans="1:11">
      <c r="A1458" s="74" t="s">
        <v>113</v>
      </c>
      <c r="B1458" s="74" t="s">
        <v>292</v>
      </c>
      <c r="C1458" s="74" t="s">
        <v>293</v>
      </c>
      <c r="D1458" s="74" t="s">
        <v>82</v>
      </c>
      <c r="E1458" s="88" t="s">
        <v>85</v>
      </c>
      <c r="F1458" s="86" t="s">
        <v>225</v>
      </c>
      <c r="G1458" s="74" t="s">
        <v>289</v>
      </c>
      <c r="H1458" s="87">
        <v>44165</v>
      </c>
      <c r="I1458" s="94">
        <v>3968.57</v>
      </c>
      <c r="J1458" s="94">
        <v>2976.43</v>
      </c>
      <c r="K1458" s="94">
        <v>992.14</v>
      </c>
    </row>
    <row r="1459" spans="1:11">
      <c r="A1459" s="74" t="s">
        <v>113</v>
      </c>
      <c r="B1459" s="74" t="s">
        <v>294</v>
      </c>
      <c r="C1459" s="74" t="s">
        <v>295</v>
      </c>
      <c r="D1459" s="74" t="s">
        <v>82</v>
      </c>
      <c r="E1459" s="88" t="s">
        <v>85</v>
      </c>
      <c r="F1459" s="86" t="s">
        <v>208</v>
      </c>
      <c r="G1459" s="74" t="s">
        <v>289</v>
      </c>
      <c r="H1459" s="87">
        <v>44165</v>
      </c>
      <c r="I1459" s="94">
        <v>3526.34</v>
      </c>
      <c r="J1459" s="94">
        <v>2644.76</v>
      </c>
      <c r="K1459" s="94">
        <v>881.58</v>
      </c>
    </row>
    <row r="1460" spans="1:11">
      <c r="A1460" s="74" t="s">
        <v>113</v>
      </c>
      <c r="B1460" s="74" t="s">
        <v>296</v>
      </c>
      <c r="C1460" s="74" t="s">
        <v>297</v>
      </c>
      <c r="D1460" s="74" t="s">
        <v>82</v>
      </c>
      <c r="E1460" s="88" t="s">
        <v>85</v>
      </c>
      <c r="F1460" s="86" t="s">
        <v>116</v>
      </c>
      <c r="G1460" s="74" t="s">
        <v>289</v>
      </c>
      <c r="H1460" s="87">
        <v>44165</v>
      </c>
      <c r="I1460" s="94">
        <v>3175.83</v>
      </c>
      <c r="J1460" s="94">
        <v>2381.87</v>
      </c>
      <c r="K1460" s="94">
        <v>793.96</v>
      </c>
    </row>
    <row r="1461" spans="1:11">
      <c r="A1461" s="74" t="s">
        <v>113</v>
      </c>
      <c r="B1461" s="74" t="s">
        <v>298</v>
      </c>
      <c r="C1461" s="74" t="s">
        <v>299</v>
      </c>
      <c r="D1461" s="74" t="s">
        <v>82</v>
      </c>
      <c r="E1461" s="88" t="s">
        <v>85</v>
      </c>
      <c r="F1461" s="86" t="s">
        <v>279</v>
      </c>
      <c r="G1461" s="74" t="s">
        <v>300</v>
      </c>
      <c r="H1461" s="87">
        <v>44165</v>
      </c>
      <c r="I1461" s="94">
        <v>5929.4</v>
      </c>
      <c r="J1461" s="94">
        <v>4447.05</v>
      </c>
      <c r="K1461" s="94">
        <v>1482.35</v>
      </c>
    </row>
    <row r="1462" spans="1:11">
      <c r="A1462" s="74" t="s">
        <v>113</v>
      </c>
      <c r="B1462" s="74" t="s">
        <v>301</v>
      </c>
      <c r="C1462" s="74" t="s">
        <v>302</v>
      </c>
      <c r="D1462" s="74" t="s">
        <v>82</v>
      </c>
      <c r="E1462" s="88" t="s">
        <v>85</v>
      </c>
      <c r="F1462" s="86" t="s">
        <v>279</v>
      </c>
      <c r="G1462" s="74" t="s">
        <v>303</v>
      </c>
      <c r="H1462" s="87">
        <v>44165</v>
      </c>
      <c r="I1462" s="94">
        <v>5852.5</v>
      </c>
      <c r="J1462" s="94">
        <v>4389.38</v>
      </c>
      <c r="K1462" s="94">
        <v>1463.12</v>
      </c>
    </row>
    <row r="1463" spans="1:11">
      <c r="A1463" s="74" t="s">
        <v>113</v>
      </c>
      <c r="B1463" s="74" t="s">
        <v>304</v>
      </c>
      <c r="C1463" s="74" t="s">
        <v>305</v>
      </c>
      <c r="D1463" s="74" t="s">
        <v>86</v>
      </c>
      <c r="E1463" s="74" t="s">
        <v>90</v>
      </c>
      <c r="F1463" s="86" t="s">
        <v>306</v>
      </c>
      <c r="G1463" s="74" t="s">
        <v>307</v>
      </c>
      <c r="H1463" s="87">
        <v>44165</v>
      </c>
      <c r="I1463" s="94">
        <v>6814.14</v>
      </c>
      <c r="J1463" s="94">
        <v>5110.61</v>
      </c>
      <c r="K1463" s="94">
        <v>1703.53</v>
      </c>
    </row>
    <row r="1464" spans="1:11">
      <c r="A1464" s="74" t="s">
        <v>113</v>
      </c>
      <c r="B1464" s="74" t="s">
        <v>114</v>
      </c>
      <c r="C1464" s="74" t="s">
        <v>115</v>
      </c>
      <c r="D1464" s="74" t="s">
        <v>79</v>
      </c>
      <c r="E1464" s="74" t="s">
        <v>80</v>
      </c>
      <c r="F1464" s="86" t="s">
        <v>116</v>
      </c>
      <c r="G1464" s="74" t="s">
        <v>117</v>
      </c>
      <c r="H1464" s="87">
        <v>44196</v>
      </c>
      <c r="I1464" s="94">
        <v>3264.09</v>
      </c>
      <c r="J1464" s="94">
        <v>2448.07</v>
      </c>
      <c r="K1464" s="94">
        <v>816.02</v>
      </c>
    </row>
    <row r="1465" spans="1:11">
      <c r="A1465" s="74" t="s">
        <v>113</v>
      </c>
      <c r="B1465" s="74" t="s">
        <v>118</v>
      </c>
      <c r="C1465" s="74" t="s">
        <v>119</v>
      </c>
      <c r="D1465" s="74" t="s">
        <v>79</v>
      </c>
      <c r="E1465" s="74" t="s">
        <v>80</v>
      </c>
      <c r="F1465" s="86" t="s">
        <v>120</v>
      </c>
      <c r="G1465" s="74" t="s">
        <v>117</v>
      </c>
      <c r="H1465" s="87">
        <v>44196</v>
      </c>
      <c r="I1465" s="94">
        <v>2909.43</v>
      </c>
      <c r="J1465" s="94">
        <v>2182.07</v>
      </c>
      <c r="K1465" s="94">
        <v>727.36</v>
      </c>
    </row>
    <row r="1466" spans="1:11">
      <c r="A1466" s="74" t="s">
        <v>113</v>
      </c>
      <c r="B1466" s="74" t="s">
        <v>121</v>
      </c>
      <c r="C1466" s="74" t="s">
        <v>122</v>
      </c>
      <c r="D1466" s="74" t="s">
        <v>79</v>
      </c>
      <c r="E1466" s="74" t="s">
        <v>80</v>
      </c>
      <c r="F1466" s="86" t="s">
        <v>123</v>
      </c>
      <c r="G1466" s="74" t="s">
        <v>117</v>
      </c>
      <c r="H1466" s="87">
        <v>44196</v>
      </c>
      <c r="I1466" s="94">
        <v>2435.94</v>
      </c>
      <c r="J1466" s="94">
        <v>1826.96</v>
      </c>
      <c r="K1466" s="94">
        <v>608.98</v>
      </c>
    </row>
    <row r="1467" spans="1:11">
      <c r="A1467" s="74" t="s">
        <v>113</v>
      </c>
      <c r="B1467" s="74" t="s">
        <v>124</v>
      </c>
      <c r="C1467" s="74" t="s">
        <v>125</v>
      </c>
      <c r="D1467" s="74" t="s">
        <v>79</v>
      </c>
      <c r="E1467" s="74" t="s">
        <v>80</v>
      </c>
      <c r="F1467" s="86" t="s">
        <v>116</v>
      </c>
      <c r="G1467" s="74" t="s">
        <v>117</v>
      </c>
      <c r="H1467" s="87">
        <v>44196</v>
      </c>
      <c r="I1467" s="94">
        <v>3385.98</v>
      </c>
      <c r="J1467" s="94">
        <v>2539.49</v>
      </c>
      <c r="K1467" s="94">
        <v>846.49</v>
      </c>
    </row>
    <row r="1468" spans="1:11">
      <c r="A1468" s="74" t="s">
        <v>113</v>
      </c>
      <c r="B1468" s="74" t="s">
        <v>126</v>
      </c>
      <c r="C1468" s="74" t="s">
        <v>127</v>
      </c>
      <c r="D1468" s="74" t="s">
        <v>79</v>
      </c>
      <c r="E1468" s="74" t="s">
        <v>80</v>
      </c>
      <c r="F1468" s="86" t="s">
        <v>120</v>
      </c>
      <c r="G1468" s="74" t="s">
        <v>117</v>
      </c>
      <c r="H1468" s="87">
        <v>44196</v>
      </c>
      <c r="I1468" s="94">
        <v>2732.18</v>
      </c>
      <c r="J1468" s="94">
        <v>2049.14</v>
      </c>
      <c r="K1468" s="94">
        <v>683.04</v>
      </c>
    </row>
    <row r="1469" spans="1:11">
      <c r="A1469" s="74" t="s">
        <v>113</v>
      </c>
      <c r="B1469" s="74" t="s">
        <v>128</v>
      </c>
      <c r="C1469" s="74" t="s">
        <v>129</v>
      </c>
      <c r="D1469" s="74" t="s">
        <v>79</v>
      </c>
      <c r="E1469" s="74" t="s">
        <v>80</v>
      </c>
      <c r="F1469" s="86" t="s">
        <v>123</v>
      </c>
      <c r="G1469" s="74" t="s">
        <v>117</v>
      </c>
      <c r="H1469" s="87">
        <v>44196</v>
      </c>
      <c r="I1469" s="94">
        <v>2506.58</v>
      </c>
      <c r="J1469" s="94">
        <v>1879.94</v>
      </c>
      <c r="K1469" s="94">
        <v>626.64</v>
      </c>
    </row>
    <row r="1470" spans="1:11">
      <c r="A1470" s="74" t="s">
        <v>113</v>
      </c>
      <c r="B1470" s="74" t="s">
        <v>130</v>
      </c>
      <c r="C1470" s="74" t="s">
        <v>131</v>
      </c>
      <c r="D1470" s="74" t="s">
        <v>79</v>
      </c>
      <c r="E1470" s="74" t="s">
        <v>80</v>
      </c>
      <c r="F1470" s="86" t="s">
        <v>116</v>
      </c>
      <c r="G1470" s="74" t="s">
        <v>117</v>
      </c>
      <c r="H1470" s="87">
        <v>44196</v>
      </c>
      <c r="I1470" s="94">
        <v>3348.5</v>
      </c>
      <c r="J1470" s="94">
        <v>2511.38</v>
      </c>
      <c r="K1470" s="94">
        <v>837.12</v>
      </c>
    </row>
    <row r="1471" spans="1:11">
      <c r="A1471" s="74" t="s">
        <v>113</v>
      </c>
      <c r="B1471" s="74" t="s">
        <v>132</v>
      </c>
      <c r="C1471" s="74" t="s">
        <v>133</v>
      </c>
      <c r="D1471" s="74" t="s">
        <v>79</v>
      </c>
      <c r="E1471" s="74" t="s">
        <v>80</v>
      </c>
      <c r="F1471" s="86" t="s">
        <v>120</v>
      </c>
      <c r="G1471" s="74" t="s">
        <v>117</v>
      </c>
      <c r="H1471" s="87">
        <v>44196</v>
      </c>
      <c r="I1471" s="94">
        <v>2826.02</v>
      </c>
      <c r="J1471" s="94">
        <v>2119.52</v>
      </c>
      <c r="K1471" s="94">
        <v>706.5</v>
      </c>
    </row>
    <row r="1472" spans="1:11">
      <c r="A1472" s="74" t="s">
        <v>113</v>
      </c>
      <c r="B1472" s="74" t="s">
        <v>134</v>
      </c>
      <c r="C1472" s="74" t="s">
        <v>135</v>
      </c>
      <c r="D1472" s="74" t="s">
        <v>79</v>
      </c>
      <c r="E1472" s="74" t="s">
        <v>80</v>
      </c>
      <c r="F1472" s="86" t="s">
        <v>123</v>
      </c>
      <c r="G1472" s="74" t="s">
        <v>117</v>
      </c>
      <c r="H1472" s="87">
        <v>44196</v>
      </c>
      <c r="I1472" s="94">
        <v>2436.33</v>
      </c>
      <c r="J1472" s="94">
        <v>1827.25</v>
      </c>
      <c r="K1472" s="94">
        <v>609.08</v>
      </c>
    </row>
    <row r="1473" spans="1:11">
      <c r="A1473" s="74" t="s">
        <v>113</v>
      </c>
      <c r="B1473" s="74" t="s">
        <v>136</v>
      </c>
      <c r="C1473" s="74" t="s">
        <v>137</v>
      </c>
      <c r="D1473" s="74" t="s">
        <v>79</v>
      </c>
      <c r="E1473" s="74" t="s">
        <v>80</v>
      </c>
      <c r="F1473" s="86" t="s">
        <v>116</v>
      </c>
      <c r="G1473" s="74" t="s">
        <v>138</v>
      </c>
      <c r="H1473" s="87">
        <v>44196</v>
      </c>
      <c r="I1473" s="94">
        <v>3270.54</v>
      </c>
      <c r="J1473" s="94">
        <v>2452.91</v>
      </c>
      <c r="K1473" s="94">
        <v>817.63</v>
      </c>
    </row>
    <row r="1474" spans="1:11">
      <c r="A1474" s="74" t="s">
        <v>113</v>
      </c>
      <c r="B1474" s="74" t="s">
        <v>139</v>
      </c>
      <c r="C1474" s="74" t="s">
        <v>140</v>
      </c>
      <c r="D1474" s="74" t="s">
        <v>79</v>
      </c>
      <c r="E1474" s="74" t="s">
        <v>80</v>
      </c>
      <c r="F1474" s="86" t="s">
        <v>120</v>
      </c>
      <c r="G1474" s="74" t="s">
        <v>138</v>
      </c>
      <c r="H1474" s="87">
        <v>44196</v>
      </c>
      <c r="I1474" s="94">
        <v>2834.36</v>
      </c>
      <c r="J1474" s="94">
        <v>2125.77</v>
      </c>
      <c r="K1474" s="94">
        <v>708.59</v>
      </c>
    </row>
    <row r="1475" spans="1:11">
      <c r="A1475" s="74" t="s">
        <v>113</v>
      </c>
      <c r="B1475" s="74" t="s">
        <v>141</v>
      </c>
      <c r="C1475" s="74" t="s">
        <v>142</v>
      </c>
      <c r="D1475" s="74" t="s">
        <v>79</v>
      </c>
      <c r="E1475" s="74" t="s">
        <v>80</v>
      </c>
      <c r="F1475" s="86" t="s">
        <v>123</v>
      </c>
      <c r="G1475" s="74" t="s">
        <v>138</v>
      </c>
      <c r="H1475" s="87">
        <v>44196</v>
      </c>
      <c r="I1475" s="94">
        <v>2372.68</v>
      </c>
      <c r="J1475" s="94">
        <v>1779.51</v>
      </c>
      <c r="K1475" s="94">
        <v>593.17</v>
      </c>
    </row>
    <row r="1476" spans="1:11">
      <c r="A1476" s="74" t="s">
        <v>113</v>
      </c>
      <c r="B1476" s="74" t="s">
        <v>143</v>
      </c>
      <c r="C1476" s="74" t="s">
        <v>144</v>
      </c>
      <c r="D1476" s="74" t="s">
        <v>79</v>
      </c>
      <c r="E1476" s="74" t="s">
        <v>80</v>
      </c>
      <c r="F1476" s="86" t="s">
        <v>145</v>
      </c>
      <c r="G1476" s="74" t="s">
        <v>146</v>
      </c>
      <c r="H1476" s="87">
        <v>44196</v>
      </c>
      <c r="I1476" s="94">
        <v>7592.85</v>
      </c>
      <c r="J1476" s="94">
        <v>5694.64</v>
      </c>
      <c r="K1476" s="94">
        <v>1898.21</v>
      </c>
    </row>
    <row r="1477" spans="1:11">
      <c r="A1477" s="74" t="s">
        <v>113</v>
      </c>
      <c r="B1477" s="74" t="s">
        <v>147</v>
      </c>
      <c r="C1477" s="74" t="s">
        <v>148</v>
      </c>
      <c r="D1477" s="74" t="s">
        <v>79</v>
      </c>
      <c r="E1477" s="74" t="s">
        <v>80</v>
      </c>
      <c r="F1477" s="86" t="s">
        <v>149</v>
      </c>
      <c r="G1477" s="74" t="s">
        <v>150</v>
      </c>
      <c r="H1477" s="87">
        <v>44196</v>
      </c>
      <c r="I1477" s="94">
        <v>7242.33</v>
      </c>
      <c r="J1477" s="94">
        <v>5431.75</v>
      </c>
      <c r="K1477" s="94">
        <v>1810.58</v>
      </c>
    </row>
    <row r="1478" spans="1:11">
      <c r="A1478" s="74" t="s">
        <v>113</v>
      </c>
      <c r="B1478" s="74" t="s">
        <v>151</v>
      </c>
      <c r="C1478" s="74" t="s">
        <v>152</v>
      </c>
      <c r="D1478" s="74" t="s">
        <v>79</v>
      </c>
      <c r="E1478" s="74" t="s">
        <v>81</v>
      </c>
      <c r="F1478" s="86" t="s">
        <v>123</v>
      </c>
      <c r="G1478" s="74" t="s">
        <v>153</v>
      </c>
      <c r="H1478" s="87">
        <v>44196</v>
      </c>
      <c r="I1478" s="94">
        <v>2558.15</v>
      </c>
      <c r="J1478" s="94">
        <v>1918.61</v>
      </c>
      <c r="K1478" s="94">
        <v>639.54</v>
      </c>
    </row>
    <row r="1479" spans="1:11">
      <c r="A1479" s="74" t="s">
        <v>113</v>
      </c>
      <c r="B1479" s="74" t="s">
        <v>154</v>
      </c>
      <c r="C1479" s="74" t="s">
        <v>155</v>
      </c>
      <c r="D1479" s="74" t="s">
        <v>79</v>
      </c>
      <c r="E1479" s="74" t="s">
        <v>81</v>
      </c>
      <c r="F1479" s="86" t="s">
        <v>156</v>
      </c>
      <c r="G1479" s="74" t="s">
        <v>157</v>
      </c>
      <c r="H1479" s="87">
        <v>44196</v>
      </c>
      <c r="I1479" s="94">
        <v>2103.83</v>
      </c>
      <c r="J1479" s="94">
        <v>1577.87</v>
      </c>
      <c r="K1479" s="94">
        <v>525.96</v>
      </c>
    </row>
    <row r="1480" spans="1:11">
      <c r="A1480" s="74" t="s">
        <v>113</v>
      </c>
      <c r="B1480" s="74" t="s">
        <v>158</v>
      </c>
      <c r="C1480" s="74" t="s">
        <v>159</v>
      </c>
      <c r="D1480" s="74" t="s">
        <v>79</v>
      </c>
      <c r="E1480" s="74" t="s">
        <v>81</v>
      </c>
      <c r="F1480" s="86" t="s">
        <v>160</v>
      </c>
      <c r="G1480" s="74" t="s">
        <v>161</v>
      </c>
      <c r="H1480" s="87">
        <v>44196</v>
      </c>
      <c r="I1480" s="94">
        <v>1642.79</v>
      </c>
      <c r="J1480" s="94">
        <v>1232.09</v>
      </c>
      <c r="K1480" s="94">
        <v>410.7</v>
      </c>
    </row>
    <row r="1481" spans="1:11">
      <c r="A1481" s="74" t="s">
        <v>113</v>
      </c>
      <c r="B1481" s="74" t="s">
        <v>162</v>
      </c>
      <c r="C1481" s="74" t="s">
        <v>163</v>
      </c>
      <c r="D1481" s="74" t="s">
        <v>79</v>
      </c>
      <c r="E1481" s="74" t="s">
        <v>81</v>
      </c>
      <c r="F1481" s="86" t="s">
        <v>123</v>
      </c>
      <c r="G1481" s="74" t="s">
        <v>153</v>
      </c>
      <c r="H1481" s="87">
        <v>44196</v>
      </c>
      <c r="I1481" s="94">
        <v>2548.56</v>
      </c>
      <c r="J1481" s="94">
        <v>1911.42</v>
      </c>
      <c r="K1481" s="94">
        <v>637.14</v>
      </c>
    </row>
    <row r="1482" spans="1:11">
      <c r="A1482" s="74" t="s">
        <v>113</v>
      </c>
      <c r="B1482" s="74" t="s">
        <v>164</v>
      </c>
      <c r="C1482" s="74" t="s">
        <v>165</v>
      </c>
      <c r="D1482" s="74" t="s">
        <v>79</v>
      </c>
      <c r="E1482" s="74" t="s">
        <v>81</v>
      </c>
      <c r="F1482" s="86" t="s">
        <v>156</v>
      </c>
      <c r="G1482" s="74" t="s">
        <v>157</v>
      </c>
      <c r="H1482" s="87">
        <v>44196</v>
      </c>
      <c r="I1482" s="94">
        <v>2070.75</v>
      </c>
      <c r="J1482" s="94">
        <v>1553.06</v>
      </c>
      <c r="K1482" s="94">
        <v>517.69</v>
      </c>
    </row>
    <row r="1483" spans="1:11">
      <c r="A1483" s="74" t="s">
        <v>113</v>
      </c>
      <c r="B1483" s="74" t="s">
        <v>166</v>
      </c>
      <c r="C1483" s="74" t="s">
        <v>167</v>
      </c>
      <c r="D1483" s="74" t="s">
        <v>79</v>
      </c>
      <c r="E1483" s="74" t="s">
        <v>81</v>
      </c>
      <c r="F1483" s="86" t="s">
        <v>160</v>
      </c>
      <c r="G1483" s="74" t="s">
        <v>161</v>
      </c>
      <c r="H1483" s="87">
        <v>44196</v>
      </c>
      <c r="I1483" s="94">
        <v>1597.81</v>
      </c>
      <c r="J1483" s="94">
        <v>1198.36</v>
      </c>
      <c r="K1483" s="94">
        <v>399.45</v>
      </c>
    </row>
    <row r="1484" spans="1:11">
      <c r="A1484" s="74" t="s">
        <v>113</v>
      </c>
      <c r="B1484" s="74" t="s">
        <v>168</v>
      </c>
      <c r="C1484" s="74" t="s">
        <v>169</v>
      </c>
      <c r="D1484" s="74" t="s">
        <v>79</v>
      </c>
      <c r="E1484" s="74" t="s">
        <v>81</v>
      </c>
      <c r="F1484" s="86" t="s">
        <v>123</v>
      </c>
      <c r="G1484" s="74" t="s">
        <v>153</v>
      </c>
      <c r="H1484" s="87">
        <v>44196</v>
      </c>
      <c r="I1484" s="94">
        <v>2390.61</v>
      </c>
      <c r="J1484" s="94">
        <v>1792.96</v>
      </c>
      <c r="K1484" s="94">
        <v>597.65</v>
      </c>
    </row>
    <row r="1485" spans="1:11">
      <c r="A1485" s="74" t="s">
        <v>113</v>
      </c>
      <c r="B1485" s="74" t="s">
        <v>170</v>
      </c>
      <c r="C1485" s="74" t="s">
        <v>171</v>
      </c>
      <c r="D1485" s="74" t="s">
        <v>79</v>
      </c>
      <c r="E1485" s="74" t="s">
        <v>81</v>
      </c>
      <c r="F1485" s="86" t="s">
        <v>156</v>
      </c>
      <c r="G1485" s="74" t="s">
        <v>157</v>
      </c>
      <c r="H1485" s="87">
        <v>44196</v>
      </c>
      <c r="I1485" s="94">
        <v>1969.44</v>
      </c>
      <c r="J1485" s="94">
        <v>1477.08</v>
      </c>
      <c r="K1485" s="94">
        <v>492.36</v>
      </c>
    </row>
    <row r="1486" spans="1:11">
      <c r="A1486" s="74" t="s">
        <v>113</v>
      </c>
      <c r="B1486" s="74" t="s">
        <v>172</v>
      </c>
      <c r="C1486" s="74" t="s">
        <v>173</v>
      </c>
      <c r="D1486" s="74" t="s">
        <v>79</v>
      </c>
      <c r="E1486" s="74" t="s">
        <v>81</v>
      </c>
      <c r="F1486" s="86" t="s">
        <v>160</v>
      </c>
      <c r="G1486" s="74" t="s">
        <v>161</v>
      </c>
      <c r="H1486" s="87">
        <v>44196</v>
      </c>
      <c r="I1486" s="94">
        <v>1676.08</v>
      </c>
      <c r="J1486" s="94">
        <v>1257.06</v>
      </c>
      <c r="K1486" s="94">
        <v>419.02</v>
      </c>
    </row>
    <row r="1487" spans="1:11">
      <c r="A1487" s="74" t="s">
        <v>113</v>
      </c>
      <c r="B1487" s="74" t="s">
        <v>174</v>
      </c>
      <c r="C1487" s="74" t="s">
        <v>175</v>
      </c>
      <c r="D1487" s="74" t="s">
        <v>79</v>
      </c>
      <c r="E1487" s="74" t="s">
        <v>81</v>
      </c>
      <c r="F1487" s="86" t="s">
        <v>176</v>
      </c>
      <c r="G1487" s="74" t="s">
        <v>177</v>
      </c>
      <c r="H1487" s="87">
        <v>44196</v>
      </c>
      <c r="I1487" s="94">
        <v>1224.48</v>
      </c>
      <c r="J1487" s="94">
        <v>918.36</v>
      </c>
      <c r="K1487" s="94">
        <v>306.12</v>
      </c>
    </row>
    <row r="1488" spans="1:11">
      <c r="A1488" s="74" t="s">
        <v>113</v>
      </c>
      <c r="B1488" s="74" t="s">
        <v>178</v>
      </c>
      <c r="C1488" s="74" t="s">
        <v>179</v>
      </c>
      <c r="D1488" s="74" t="s">
        <v>79</v>
      </c>
      <c r="E1488" s="74" t="s">
        <v>81</v>
      </c>
      <c r="F1488" s="86" t="s">
        <v>180</v>
      </c>
      <c r="G1488" s="74" t="s">
        <v>177</v>
      </c>
      <c r="H1488" s="87">
        <v>44196</v>
      </c>
      <c r="I1488" s="94">
        <v>798.06</v>
      </c>
      <c r="J1488" s="94">
        <v>598.55</v>
      </c>
      <c r="K1488" s="94">
        <v>199.51</v>
      </c>
    </row>
    <row r="1489" spans="1:11">
      <c r="A1489" s="74" t="s">
        <v>113</v>
      </c>
      <c r="B1489" s="74" t="s">
        <v>181</v>
      </c>
      <c r="C1489" s="74" t="s">
        <v>182</v>
      </c>
      <c r="D1489" s="74" t="s">
        <v>79</v>
      </c>
      <c r="E1489" s="74" t="s">
        <v>81</v>
      </c>
      <c r="F1489" s="86" t="s">
        <v>183</v>
      </c>
      <c r="G1489" s="74" t="s">
        <v>177</v>
      </c>
      <c r="H1489" s="87">
        <v>44196</v>
      </c>
      <c r="I1489" s="94">
        <v>393.56</v>
      </c>
      <c r="J1489" s="94">
        <v>295.17</v>
      </c>
      <c r="K1489" s="94">
        <v>98.39</v>
      </c>
    </row>
    <row r="1490" spans="1:11">
      <c r="A1490" s="74" t="s">
        <v>113</v>
      </c>
      <c r="B1490" s="74" t="s">
        <v>184</v>
      </c>
      <c r="C1490" s="74" t="s">
        <v>185</v>
      </c>
      <c r="D1490" s="74" t="s">
        <v>79</v>
      </c>
      <c r="E1490" s="74" t="s">
        <v>81</v>
      </c>
      <c r="F1490" s="86" t="s">
        <v>176</v>
      </c>
      <c r="G1490" s="74" t="s">
        <v>177</v>
      </c>
      <c r="H1490" s="87">
        <v>44196</v>
      </c>
      <c r="I1490" s="94">
        <v>1228.22</v>
      </c>
      <c r="J1490" s="94">
        <v>921.17</v>
      </c>
      <c r="K1490" s="94">
        <v>307.05</v>
      </c>
    </row>
    <row r="1491" spans="1:11">
      <c r="A1491" s="74" t="s">
        <v>113</v>
      </c>
      <c r="B1491" s="74" t="s">
        <v>186</v>
      </c>
      <c r="C1491" s="74" t="s">
        <v>187</v>
      </c>
      <c r="D1491" s="74" t="s">
        <v>79</v>
      </c>
      <c r="E1491" s="74" t="s">
        <v>81</v>
      </c>
      <c r="F1491" s="86" t="s">
        <v>180</v>
      </c>
      <c r="G1491" s="74" t="s">
        <v>177</v>
      </c>
      <c r="H1491" s="87">
        <v>44196</v>
      </c>
      <c r="I1491" s="94">
        <v>798.29</v>
      </c>
      <c r="J1491" s="94">
        <v>598.72</v>
      </c>
      <c r="K1491" s="94">
        <v>199.57</v>
      </c>
    </row>
    <row r="1492" spans="1:11">
      <c r="A1492" s="74" t="s">
        <v>113</v>
      </c>
      <c r="B1492" s="74" t="s">
        <v>188</v>
      </c>
      <c r="C1492" s="74" t="s">
        <v>189</v>
      </c>
      <c r="D1492" s="74" t="s">
        <v>79</v>
      </c>
      <c r="E1492" s="74" t="s">
        <v>81</v>
      </c>
      <c r="F1492" s="86" t="s">
        <v>183</v>
      </c>
      <c r="G1492" s="74" t="s">
        <v>177</v>
      </c>
      <c r="H1492" s="87">
        <v>44196</v>
      </c>
      <c r="I1492" s="94">
        <v>416.96</v>
      </c>
      <c r="J1492" s="94">
        <v>312.72</v>
      </c>
      <c r="K1492" s="94">
        <v>104.24</v>
      </c>
    </row>
    <row r="1493" spans="1:11">
      <c r="A1493" s="74" t="s">
        <v>113</v>
      </c>
      <c r="B1493" s="74" t="s">
        <v>190</v>
      </c>
      <c r="C1493" s="74" t="s">
        <v>191</v>
      </c>
      <c r="D1493" s="74" t="s">
        <v>79</v>
      </c>
      <c r="E1493" s="74" t="s">
        <v>81</v>
      </c>
      <c r="F1493" s="86" t="s">
        <v>176</v>
      </c>
      <c r="G1493" s="74" t="s">
        <v>177</v>
      </c>
      <c r="H1493" s="87">
        <v>44196</v>
      </c>
      <c r="I1493" s="94">
        <v>1226.52</v>
      </c>
      <c r="J1493" s="94">
        <v>919.89</v>
      </c>
      <c r="K1493" s="94">
        <v>306.63</v>
      </c>
    </row>
    <row r="1494" spans="1:11">
      <c r="A1494" s="74" t="s">
        <v>113</v>
      </c>
      <c r="B1494" s="74" t="s">
        <v>192</v>
      </c>
      <c r="C1494" s="74" t="s">
        <v>193</v>
      </c>
      <c r="D1494" s="74" t="s">
        <v>79</v>
      </c>
      <c r="E1494" s="74" t="s">
        <v>81</v>
      </c>
      <c r="F1494" s="86" t="s">
        <v>180</v>
      </c>
      <c r="G1494" s="74" t="s">
        <v>177</v>
      </c>
      <c r="H1494" s="87">
        <v>44196</v>
      </c>
      <c r="I1494" s="94">
        <v>803.76</v>
      </c>
      <c r="J1494" s="94">
        <v>602.82</v>
      </c>
      <c r="K1494" s="94">
        <v>200.94</v>
      </c>
    </row>
    <row r="1495" spans="1:11">
      <c r="A1495" s="74" t="s">
        <v>113</v>
      </c>
      <c r="B1495" s="74" t="s">
        <v>194</v>
      </c>
      <c r="C1495" s="74" t="s">
        <v>195</v>
      </c>
      <c r="D1495" s="74" t="s">
        <v>79</v>
      </c>
      <c r="E1495" s="74" t="s">
        <v>81</v>
      </c>
      <c r="F1495" s="86" t="s">
        <v>183</v>
      </c>
      <c r="G1495" s="74" t="s">
        <v>177</v>
      </c>
      <c r="H1495" s="87">
        <v>44196</v>
      </c>
      <c r="I1495" s="94">
        <v>403.35</v>
      </c>
      <c r="J1495" s="94">
        <v>302.51</v>
      </c>
      <c r="K1495" s="94">
        <v>100.84</v>
      </c>
    </row>
    <row r="1496" spans="1:11">
      <c r="A1496" s="74" t="s">
        <v>113</v>
      </c>
      <c r="B1496" s="74" t="s">
        <v>196</v>
      </c>
      <c r="C1496" s="74" t="s">
        <v>197</v>
      </c>
      <c r="D1496" s="74" t="s">
        <v>79</v>
      </c>
      <c r="E1496" s="74" t="s">
        <v>81</v>
      </c>
      <c r="F1496" s="86" t="s">
        <v>176</v>
      </c>
      <c r="G1496" s="74" t="s">
        <v>177</v>
      </c>
      <c r="H1496" s="87">
        <v>44196</v>
      </c>
      <c r="I1496" s="94">
        <v>1200.14</v>
      </c>
      <c r="J1496" s="94">
        <v>900.11</v>
      </c>
      <c r="K1496" s="94">
        <v>300.03</v>
      </c>
    </row>
    <row r="1497" spans="1:11">
      <c r="A1497" s="74" t="s">
        <v>113</v>
      </c>
      <c r="B1497" s="74" t="s">
        <v>198</v>
      </c>
      <c r="C1497" s="74" t="s">
        <v>199</v>
      </c>
      <c r="D1497" s="74" t="s">
        <v>79</v>
      </c>
      <c r="E1497" s="74" t="s">
        <v>81</v>
      </c>
      <c r="F1497" s="86" t="s">
        <v>180</v>
      </c>
      <c r="G1497" s="74" t="s">
        <v>177</v>
      </c>
      <c r="H1497" s="87">
        <v>44196</v>
      </c>
      <c r="I1497" s="94">
        <v>802.37</v>
      </c>
      <c r="J1497" s="94">
        <v>601.78</v>
      </c>
      <c r="K1497" s="94">
        <v>200.59</v>
      </c>
    </row>
    <row r="1498" spans="1:11">
      <c r="A1498" s="74" t="s">
        <v>113</v>
      </c>
      <c r="B1498" s="74" t="s">
        <v>200</v>
      </c>
      <c r="C1498" s="74" t="s">
        <v>201</v>
      </c>
      <c r="D1498" s="74" t="s">
        <v>79</v>
      </c>
      <c r="E1498" s="74" t="s">
        <v>81</v>
      </c>
      <c r="F1498" s="86" t="s">
        <v>183</v>
      </c>
      <c r="G1498" s="74" t="s">
        <v>177</v>
      </c>
      <c r="H1498" s="87">
        <v>44196</v>
      </c>
      <c r="I1498" s="94">
        <v>404.33</v>
      </c>
      <c r="J1498" s="94">
        <v>303.25</v>
      </c>
      <c r="K1498" s="94">
        <v>101.08</v>
      </c>
    </row>
    <row r="1499" spans="1:11">
      <c r="A1499" s="74" t="s">
        <v>113</v>
      </c>
      <c r="B1499" s="74" t="s">
        <v>202</v>
      </c>
      <c r="C1499" s="74" t="s">
        <v>203</v>
      </c>
      <c r="D1499" s="74" t="s">
        <v>79</v>
      </c>
      <c r="E1499" s="74" t="s">
        <v>81</v>
      </c>
      <c r="F1499" s="86" t="s">
        <v>204</v>
      </c>
      <c r="G1499" s="74" t="s">
        <v>205</v>
      </c>
      <c r="H1499" s="87">
        <v>44196</v>
      </c>
      <c r="I1499" s="94">
        <v>7300.11</v>
      </c>
      <c r="J1499" s="94">
        <v>5475.08</v>
      </c>
      <c r="K1499" s="94">
        <v>1825.03</v>
      </c>
    </row>
    <row r="1500" spans="1:11">
      <c r="A1500" s="74" t="s">
        <v>113</v>
      </c>
      <c r="B1500" s="74" t="s">
        <v>206</v>
      </c>
      <c r="C1500" s="74" t="s">
        <v>207</v>
      </c>
      <c r="D1500" s="88" t="s">
        <v>82</v>
      </c>
      <c r="E1500" s="88" t="s">
        <v>84</v>
      </c>
      <c r="F1500" s="86" t="s">
        <v>208</v>
      </c>
      <c r="G1500" s="74" t="s">
        <v>209</v>
      </c>
      <c r="H1500" s="87">
        <v>44196</v>
      </c>
      <c r="I1500" s="94">
        <v>3829.66</v>
      </c>
      <c r="J1500" s="94">
        <v>2872.25</v>
      </c>
      <c r="K1500" s="94">
        <v>957.41</v>
      </c>
    </row>
    <row r="1501" spans="1:11">
      <c r="A1501" s="74" t="s">
        <v>113</v>
      </c>
      <c r="B1501" s="74" t="s">
        <v>210</v>
      </c>
      <c r="C1501" s="74" t="s">
        <v>211</v>
      </c>
      <c r="D1501" s="88" t="s">
        <v>82</v>
      </c>
      <c r="E1501" s="88" t="s">
        <v>84</v>
      </c>
      <c r="F1501" s="86" t="s">
        <v>116</v>
      </c>
      <c r="G1501" s="74" t="s">
        <v>209</v>
      </c>
      <c r="H1501" s="87">
        <v>44196</v>
      </c>
      <c r="I1501" s="94">
        <v>3322.45</v>
      </c>
      <c r="J1501" s="94">
        <v>2491.84</v>
      </c>
      <c r="K1501" s="94">
        <v>830.61</v>
      </c>
    </row>
    <row r="1502" spans="1:11">
      <c r="A1502" s="74" t="s">
        <v>113</v>
      </c>
      <c r="B1502" s="74" t="s">
        <v>212</v>
      </c>
      <c r="C1502" s="74" t="s">
        <v>213</v>
      </c>
      <c r="D1502" s="88" t="s">
        <v>82</v>
      </c>
      <c r="E1502" s="88" t="s">
        <v>84</v>
      </c>
      <c r="F1502" s="86" t="s">
        <v>208</v>
      </c>
      <c r="G1502" s="74" t="s">
        <v>209</v>
      </c>
      <c r="H1502" s="87">
        <v>44196</v>
      </c>
      <c r="I1502" s="94">
        <v>3634.65</v>
      </c>
      <c r="J1502" s="94">
        <v>2725.99</v>
      </c>
      <c r="K1502" s="94">
        <v>908.66</v>
      </c>
    </row>
    <row r="1503" spans="1:11">
      <c r="A1503" s="74" t="s">
        <v>113</v>
      </c>
      <c r="B1503" s="74" t="s">
        <v>214</v>
      </c>
      <c r="C1503" s="74" t="s">
        <v>215</v>
      </c>
      <c r="D1503" s="88" t="s">
        <v>82</v>
      </c>
      <c r="E1503" s="88" t="s">
        <v>84</v>
      </c>
      <c r="F1503" s="86" t="s">
        <v>116</v>
      </c>
      <c r="G1503" s="74" t="s">
        <v>209</v>
      </c>
      <c r="H1503" s="87">
        <v>44196</v>
      </c>
      <c r="I1503" s="94">
        <v>3333.51</v>
      </c>
      <c r="J1503" s="94">
        <v>2500.13</v>
      </c>
      <c r="K1503" s="94">
        <v>833.38</v>
      </c>
    </row>
    <row r="1504" spans="1:11">
      <c r="A1504" s="74" t="s">
        <v>113</v>
      </c>
      <c r="B1504" s="74" t="s">
        <v>216</v>
      </c>
      <c r="C1504" s="74" t="s">
        <v>217</v>
      </c>
      <c r="D1504" s="88" t="s">
        <v>82</v>
      </c>
      <c r="E1504" s="88" t="s">
        <v>84</v>
      </c>
      <c r="F1504" s="86" t="s">
        <v>218</v>
      </c>
      <c r="G1504" s="74" t="s">
        <v>219</v>
      </c>
      <c r="H1504" s="87">
        <v>44196</v>
      </c>
      <c r="I1504" s="94">
        <v>4339.28</v>
      </c>
      <c r="J1504" s="94">
        <v>3254.46</v>
      </c>
      <c r="K1504" s="94">
        <v>1084.82</v>
      </c>
    </row>
    <row r="1505" spans="1:11">
      <c r="A1505" s="74" t="s">
        <v>113</v>
      </c>
      <c r="B1505" s="74" t="s">
        <v>220</v>
      </c>
      <c r="C1505" s="74" t="s">
        <v>221</v>
      </c>
      <c r="D1505" s="88" t="s">
        <v>82</v>
      </c>
      <c r="E1505" s="74" t="s">
        <v>83</v>
      </c>
      <c r="F1505" s="86" t="s">
        <v>218</v>
      </c>
      <c r="G1505" s="74" t="s">
        <v>222</v>
      </c>
      <c r="H1505" s="87">
        <v>44196</v>
      </c>
      <c r="I1505" s="94">
        <v>4396.21</v>
      </c>
      <c r="J1505" s="94">
        <v>3297.16</v>
      </c>
      <c r="K1505" s="94">
        <v>1099.05</v>
      </c>
    </row>
    <row r="1506" spans="1:11">
      <c r="A1506" s="74" t="s">
        <v>113</v>
      </c>
      <c r="B1506" s="74" t="s">
        <v>223</v>
      </c>
      <c r="C1506" s="74" t="s">
        <v>224</v>
      </c>
      <c r="D1506" s="88" t="s">
        <v>82</v>
      </c>
      <c r="E1506" s="74" t="s">
        <v>83</v>
      </c>
      <c r="F1506" s="86" t="s">
        <v>225</v>
      </c>
      <c r="G1506" s="74" t="s">
        <v>209</v>
      </c>
      <c r="H1506" s="87">
        <v>44196</v>
      </c>
      <c r="I1506" s="94">
        <v>4156.3</v>
      </c>
      <c r="J1506" s="94">
        <v>3117.23</v>
      </c>
      <c r="K1506" s="94">
        <v>1039.07</v>
      </c>
    </row>
    <row r="1507" spans="1:11">
      <c r="A1507" s="74" t="s">
        <v>113</v>
      </c>
      <c r="B1507" s="74" t="s">
        <v>226</v>
      </c>
      <c r="C1507" s="74" t="s">
        <v>227</v>
      </c>
      <c r="D1507" s="88" t="s">
        <v>82</v>
      </c>
      <c r="E1507" s="74" t="s">
        <v>83</v>
      </c>
      <c r="F1507" s="86" t="s">
        <v>208</v>
      </c>
      <c r="G1507" s="74" t="s">
        <v>209</v>
      </c>
      <c r="H1507" s="87">
        <v>44196</v>
      </c>
      <c r="I1507" s="94">
        <v>3561.14</v>
      </c>
      <c r="J1507" s="94">
        <v>2670.86</v>
      </c>
      <c r="K1507" s="94">
        <v>890.28</v>
      </c>
    </row>
    <row r="1508" spans="1:11">
      <c r="A1508" s="74" t="s">
        <v>113</v>
      </c>
      <c r="B1508" s="74" t="s">
        <v>228</v>
      </c>
      <c r="C1508" s="74" t="s">
        <v>229</v>
      </c>
      <c r="D1508" s="88" t="s">
        <v>82</v>
      </c>
      <c r="E1508" s="74" t="s">
        <v>83</v>
      </c>
      <c r="F1508" s="86" t="s">
        <v>116</v>
      </c>
      <c r="G1508" s="74" t="s">
        <v>209</v>
      </c>
      <c r="H1508" s="87">
        <v>44196</v>
      </c>
      <c r="I1508" s="94">
        <v>3396.28</v>
      </c>
      <c r="J1508" s="94">
        <v>2547.21</v>
      </c>
      <c r="K1508" s="94">
        <v>849.07</v>
      </c>
    </row>
    <row r="1509" spans="1:11">
      <c r="A1509" s="74" t="s">
        <v>113</v>
      </c>
      <c r="B1509" s="74" t="s">
        <v>230</v>
      </c>
      <c r="C1509" s="74" t="s">
        <v>231</v>
      </c>
      <c r="D1509" s="88" t="s">
        <v>82</v>
      </c>
      <c r="E1509" s="74" t="s">
        <v>83</v>
      </c>
      <c r="F1509" s="86" t="s">
        <v>120</v>
      </c>
      <c r="G1509" s="74" t="s">
        <v>209</v>
      </c>
      <c r="H1509" s="87">
        <v>44196</v>
      </c>
      <c r="I1509" s="94">
        <v>2781.94</v>
      </c>
      <c r="J1509" s="94">
        <v>2086.46</v>
      </c>
      <c r="K1509" s="94">
        <v>695.48</v>
      </c>
    </row>
    <row r="1510" spans="1:11">
      <c r="A1510" s="74" t="s">
        <v>113</v>
      </c>
      <c r="B1510" s="74" t="s">
        <v>232</v>
      </c>
      <c r="C1510" s="74" t="s">
        <v>233</v>
      </c>
      <c r="D1510" s="88" t="s">
        <v>82</v>
      </c>
      <c r="E1510" s="74" t="s">
        <v>83</v>
      </c>
      <c r="F1510" s="86" t="s">
        <v>123</v>
      </c>
      <c r="G1510" s="74" t="s">
        <v>209</v>
      </c>
      <c r="H1510" s="87">
        <v>44196</v>
      </c>
      <c r="I1510" s="94">
        <v>2379.54</v>
      </c>
      <c r="J1510" s="94">
        <v>1784.66</v>
      </c>
      <c r="K1510" s="94">
        <v>594.88</v>
      </c>
    </row>
    <row r="1511" spans="1:11">
      <c r="A1511" s="74" t="s">
        <v>113</v>
      </c>
      <c r="B1511" s="74" t="s">
        <v>234</v>
      </c>
      <c r="C1511" s="74" t="s">
        <v>235</v>
      </c>
      <c r="D1511" s="88" t="s">
        <v>82</v>
      </c>
      <c r="E1511" s="74" t="s">
        <v>83</v>
      </c>
      <c r="F1511" s="86" t="s">
        <v>116</v>
      </c>
      <c r="G1511" s="74" t="s">
        <v>209</v>
      </c>
      <c r="H1511" s="87">
        <v>44196</v>
      </c>
      <c r="I1511" s="94">
        <v>3148.07</v>
      </c>
      <c r="J1511" s="94">
        <v>2361.05</v>
      </c>
      <c r="K1511" s="94">
        <v>787.02</v>
      </c>
    </row>
    <row r="1512" spans="1:11">
      <c r="A1512" s="74" t="s">
        <v>113</v>
      </c>
      <c r="B1512" s="74" t="s">
        <v>236</v>
      </c>
      <c r="C1512" s="74" t="s">
        <v>237</v>
      </c>
      <c r="D1512" s="88" t="s">
        <v>82</v>
      </c>
      <c r="E1512" s="74" t="s">
        <v>83</v>
      </c>
      <c r="F1512" s="86" t="s">
        <v>120</v>
      </c>
      <c r="G1512" s="74" t="s">
        <v>209</v>
      </c>
      <c r="H1512" s="87">
        <v>44196</v>
      </c>
      <c r="I1512" s="94">
        <v>2814.59</v>
      </c>
      <c r="J1512" s="94">
        <v>2110.94</v>
      </c>
      <c r="K1512" s="94">
        <v>703.65</v>
      </c>
    </row>
    <row r="1513" spans="1:11">
      <c r="A1513" s="74" t="s">
        <v>113</v>
      </c>
      <c r="B1513" s="74" t="s">
        <v>238</v>
      </c>
      <c r="C1513" s="74" t="s">
        <v>239</v>
      </c>
      <c r="D1513" s="74" t="s">
        <v>86</v>
      </c>
      <c r="E1513" s="74" t="s">
        <v>87</v>
      </c>
      <c r="F1513" s="86" t="s">
        <v>204</v>
      </c>
      <c r="G1513" s="74" t="s">
        <v>240</v>
      </c>
      <c r="H1513" s="87">
        <v>44196</v>
      </c>
      <c r="I1513" s="94">
        <v>5799.95</v>
      </c>
      <c r="J1513" s="94">
        <v>4349.96</v>
      </c>
      <c r="K1513" s="94">
        <v>1449.99</v>
      </c>
    </row>
    <row r="1514" spans="1:11">
      <c r="A1514" s="74" t="s">
        <v>113</v>
      </c>
      <c r="B1514" s="74" t="s">
        <v>241</v>
      </c>
      <c r="C1514" s="74" t="s">
        <v>242</v>
      </c>
      <c r="D1514" s="74" t="s">
        <v>86</v>
      </c>
      <c r="E1514" s="74" t="s">
        <v>87</v>
      </c>
      <c r="F1514" s="86" t="s">
        <v>243</v>
      </c>
      <c r="G1514" s="74" t="s">
        <v>244</v>
      </c>
      <c r="H1514" s="87">
        <v>44196</v>
      </c>
      <c r="I1514" s="94">
        <v>4241.03</v>
      </c>
      <c r="J1514" s="94">
        <v>3180.77</v>
      </c>
      <c r="K1514" s="94">
        <v>1060.26</v>
      </c>
    </row>
    <row r="1515" spans="1:11">
      <c r="A1515" s="74" t="s">
        <v>113</v>
      </c>
      <c r="B1515" s="74" t="s">
        <v>245</v>
      </c>
      <c r="C1515" s="74" t="s">
        <v>246</v>
      </c>
      <c r="D1515" s="74" t="s">
        <v>86</v>
      </c>
      <c r="E1515" s="74" t="s">
        <v>87</v>
      </c>
      <c r="F1515" s="86" t="s">
        <v>247</v>
      </c>
      <c r="G1515" s="74" t="s">
        <v>248</v>
      </c>
      <c r="H1515" s="87">
        <v>44196</v>
      </c>
      <c r="I1515" s="94">
        <v>3821.18</v>
      </c>
      <c r="J1515" s="94">
        <v>2865.89</v>
      </c>
      <c r="K1515" s="94">
        <v>955.29</v>
      </c>
    </row>
    <row r="1516" spans="1:11">
      <c r="A1516" s="74" t="s">
        <v>113</v>
      </c>
      <c r="B1516" s="74" t="s">
        <v>249</v>
      </c>
      <c r="C1516" s="74" t="s">
        <v>250</v>
      </c>
      <c r="D1516" s="74" t="s">
        <v>86</v>
      </c>
      <c r="E1516" s="74" t="s">
        <v>87</v>
      </c>
      <c r="F1516" s="86" t="s">
        <v>251</v>
      </c>
      <c r="G1516" s="74" t="s">
        <v>252</v>
      </c>
      <c r="H1516" s="87">
        <v>44196</v>
      </c>
      <c r="I1516" s="94">
        <v>3710.92</v>
      </c>
      <c r="J1516" s="94">
        <v>2783.19</v>
      </c>
      <c r="K1516" s="94">
        <v>927.73</v>
      </c>
    </row>
    <row r="1517" spans="1:11">
      <c r="A1517" s="74" t="s">
        <v>113</v>
      </c>
      <c r="B1517" s="74" t="s">
        <v>253</v>
      </c>
      <c r="C1517" s="74" t="s">
        <v>254</v>
      </c>
      <c r="D1517" s="74" t="s">
        <v>86</v>
      </c>
      <c r="E1517" s="74" t="s">
        <v>87</v>
      </c>
      <c r="F1517" s="86" t="s">
        <v>255</v>
      </c>
      <c r="G1517" s="74" t="s">
        <v>252</v>
      </c>
      <c r="H1517" s="87">
        <v>44196</v>
      </c>
      <c r="I1517" s="94">
        <v>3322.81</v>
      </c>
      <c r="J1517" s="94">
        <v>2492.11</v>
      </c>
      <c r="K1517" s="94">
        <v>830.7</v>
      </c>
    </row>
    <row r="1518" spans="1:11">
      <c r="A1518" s="74" t="s">
        <v>113</v>
      </c>
      <c r="B1518" s="74" t="s">
        <v>256</v>
      </c>
      <c r="C1518" s="74" t="s">
        <v>257</v>
      </c>
      <c r="D1518" s="74" t="s">
        <v>86</v>
      </c>
      <c r="E1518" s="74" t="s">
        <v>87</v>
      </c>
      <c r="F1518" s="86" t="s">
        <v>258</v>
      </c>
      <c r="G1518" s="74" t="s">
        <v>252</v>
      </c>
      <c r="H1518" s="87">
        <v>44196</v>
      </c>
      <c r="I1518" s="94">
        <v>2872.09</v>
      </c>
      <c r="J1518" s="94">
        <v>2154.07</v>
      </c>
      <c r="K1518" s="94">
        <v>718.02</v>
      </c>
    </row>
    <row r="1519" spans="1:11">
      <c r="A1519" s="74" t="s">
        <v>113</v>
      </c>
      <c r="B1519" s="74" t="s">
        <v>259</v>
      </c>
      <c r="C1519" s="74" t="s">
        <v>260</v>
      </c>
      <c r="D1519" s="74" t="s">
        <v>86</v>
      </c>
      <c r="E1519" s="74" t="s">
        <v>87</v>
      </c>
      <c r="F1519" s="86" t="s">
        <v>261</v>
      </c>
      <c r="G1519" s="74" t="s">
        <v>262</v>
      </c>
      <c r="H1519" s="87">
        <v>44196</v>
      </c>
      <c r="I1519" s="94">
        <v>2576.46</v>
      </c>
      <c r="J1519" s="94">
        <v>1932.35</v>
      </c>
      <c r="K1519" s="94">
        <v>644.11</v>
      </c>
    </row>
    <row r="1520" spans="1:11">
      <c r="A1520" s="74" t="s">
        <v>113</v>
      </c>
      <c r="B1520" s="74" t="s">
        <v>263</v>
      </c>
      <c r="C1520" s="74" t="s">
        <v>264</v>
      </c>
      <c r="D1520" s="74" t="s">
        <v>86</v>
      </c>
      <c r="E1520" s="74" t="s">
        <v>88</v>
      </c>
      <c r="F1520" s="86" t="s">
        <v>149</v>
      </c>
      <c r="G1520" s="74" t="s">
        <v>265</v>
      </c>
      <c r="H1520" s="87">
        <v>44196</v>
      </c>
      <c r="I1520" s="94">
        <v>5424.52</v>
      </c>
      <c r="J1520" s="94">
        <v>4068.39</v>
      </c>
      <c r="K1520" s="94">
        <v>1356.13</v>
      </c>
    </row>
    <row r="1521" spans="1:11">
      <c r="A1521" s="74" t="s">
        <v>113</v>
      </c>
      <c r="B1521" s="74" t="s">
        <v>266</v>
      </c>
      <c r="C1521" s="74" t="s">
        <v>267</v>
      </c>
      <c r="D1521" s="74" t="s">
        <v>86</v>
      </c>
      <c r="E1521" s="74" t="s">
        <v>88</v>
      </c>
      <c r="F1521" s="86" t="s">
        <v>243</v>
      </c>
      <c r="G1521" s="74" t="s">
        <v>268</v>
      </c>
      <c r="H1521" s="87">
        <v>44196</v>
      </c>
      <c r="I1521" s="94">
        <v>4243.3</v>
      </c>
      <c r="J1521" s="94">
        <v>3182.48</v>
      </c>
      <c r="K1521" s="94">
        <v>1060.82</v>
      </c>
    </row>
    <row r="1522" spans="1:11">
      <c r="A1522" s="74" t="s">
        <v>113</v>
      </c>
      <c r="B1522" s="74" t="s">
        <v>269</v>
      </c>
      <c r="C1522" s="74" t="s">
        <v>270</v>
      </c>
      <c r="D1522" s="74" t="s">
        <v>86</v>
      </c>
      <c r="E1522" s="74" t="s">
        <v>88</v>
      </c>
      <c r="F1522" s="86" t="s">
        <v>247</v>
      </c>
      <c r="G1522" s="74" t="s">
        <v>268</v>
      </c>
      <c r="H1522" s="87">
        <v>44196</v>
      </c>
      <c r="I1522" s="94">
        <v>4076.89</v>
      </c>
      <c r="J1522" s="94">
        <v>3057.67</v>
      </c>
      <c r="K1522" s="94">
        <v>1019.22</v>
      </c>
    </row>
    <row r="1523" spans="1:11">
      <c r="A1523" s="74" t="s">
        <v>113</v>
      </c>
      <c r="B1523" s="74" t="s">
        <v>271</v>
      </c>
      <c r="C1523" s="74" t="s">
        <v>272</v>
      </c>
      <c r="D1523" s="74" t="s">
        <v>86</v>
      </c>
      <c r="E1523" s="74" t="s">
        <v>88</v>
      </c>
      <c r="F1523" s="86" t="s">
        <v>251</v>
      </c>
      <c r="G1523" s="74" t="s">
        <v>268</v>
      </c>
      <c r="H1523" s="87">
        <v>44196</v>
      </c>
      <c r="I1523" s="94">
        <v>3701.08</v>
      </c>
      <c r="J1523" s="94">
        <v>2775.81</v>
      </c>
      <c r="K1523" s="94">
        <v>925.27</v>
      </c>
    </row>
    <row r="1524" spans="1:11">
      <c r="A1524" s="74" t="s">
        <v>113</v>
      </c>
      <c r="B1524" s="74" t="s">
        <v>273</v>
      </c>
      <c r="C1524" s="74" t="s">
        <v>274</v>
      </c>
      <c r="D1524" s="74" t="s">
        <v>86</v>
      </c>
      <c r="E1524" s="74" t="s">
        <v>88</v>
      </c>
      <c r="F1524" s="86" t="s">
        <v>255</v>
      </c>
      <c r="G1524" s="74" t="s">
        <v>268</v>
      </c>
      <c r="H1524" s="87">
        <v>44196</v>
      </c>
      <c r="I1524" s="94">
        <v>3320.73</v>
      </c>
      <c r="J1524" s="94">
        <v>2490.55</v>
      </c>
      <c r="K1524" s="94">
        <v>830.18</v>
      </c>
    </row>
    <row r="1525" spans="1:11">
      <c r="A1525" s="74" t="s">
        <v>113</v>
      </c>
      <c r="B1525" s="74" t="s">
        <v>275</v>
      </c>
      <c r="C1525" s="74" t="s">
        <v>276</v>
      </c>
      <c r="D1525" s="74" t="s">
        <v>86</v>
      </c>
      <c r="E1525" s="74" t="s">
        <v>88</v>
      </c>
      <c r="F1525" s="86" t="s">
        <v>258</v>
      </c>
      <c r="G1525" s="74" t="s">
        <v>268</v>
      </c>
      <c r="H1525" s="87">
        <v>44196</v>
      </c>
      <c r="I1525" s="94">
        <v>2980.48</v>
      </c>
      <c r="J1525" s="94">
        <v>2235.36</v>
      </c>
      <c r="K1525" s="94">
        <v>745.12</v>
      </c>
    </row>
    <row r="1526" spans="1:11">
      <c r="A1526" s="74" t="s">
        <v>113</v>
      </c>
      <c r="B1526" s="74" t="s">
        <v>277</v>
      </c>
      <c r="C1526" s="74" t="s">
        <v>278</v>
      </c>
      <c r="D1526" s="74" t="s">
        <v>86</v>
      </c>
      <c r="E1526" s="74" t="s">
        <v>89</v>
      </c>
      <c r="F1526" s="86" t="s">
        <v>279</v>
      </c>
      <c r="G1526" s="74" t="s">
        <v>280</v>
      </c>
      <c r="H1526" s="87">
        <v>44196</v>
      </c>
      <c r="I1526" s="94">
        <v>5078.17</v>
      </c>
      <c r="J1526" s="94">
        <v>3808.63</v>
      </c>
      <c r="K1526" s="94">
        <v>1269.54</v>
      </c>
    </row>
    <row r="1527" spans="1:11">
      <c r="A1527" s="74" t="s">
        <v>113</v>
      </c>
      <c r="B1527" s="74" t="s">
        <v>281</v>
      </c>
      <c r="C1527" s="74" t="s">
        <v>282</v>
      </c>
      <c r="D1527" s="74" t="s">
        <v>86</v>
      </c>
      <c r="E1527" s="74" t="s">
        <v>89</v>
      </c>
      <c r="F1527" s="86" t="s">
        <v>225</v>
      </c>
      <c r="G1527" s="74" t="s">
        <v>283</v>
      </c>
      <c r="H1527" s="87">
        <v>44196</v>
      </c>
      <c r="I1527" s="94">
        <v>3122.33</v>
      </c>
      <c r="J1527" s="94">
        <v>2341.75</v>
      </c>
      <c r="K1527" s="94">
        <v>780.58</v>
      </c>
    </row>
    <row r="1528" spans="1:11">
      <c r="A1528" s="74" t="s">
        <v>113</v>
      </c>
      <c r="B1528" s="74" t="s">
        <v>284</v>
      </c>
      <c r="C1528" s="74" t="s">
        <v>285</v>
      </c>
      <c r="D1528" s="74" t="s">
        <v>86</v>
      </c>
      <c r="E1528" s="74" t="s">
        <v>89</v>
      </c>
      <c r="F1528" s="86" t="s">
        <v>208</v>
      </c>
      <c r="G1528" s="74" t="s">
        <v>283</v>
      </c>
      <c r="H1528" s="87">
        <v>44196</v>
      </c>
      <c r="I1528" s="94">
        <v>2881.27</v>
      </c>
      <c r="J1528" s="94">
        <v>2160.95</v>
      </c>
      <c r="K1528" s="94">
        <v>720.32</v>
      </c>
    </row>
    <row r="1529" spans="1:11">
      <c r="A1529" s="74" t="s">
        <v>113</v>
      </c>
      <c r="B1529" s="74" t="s">
        <v>286</v>
      </c>
      <c r="C1529" s="74" t="s">
        <v>287</v>
      </c>
      <c r="D1529" s="74" t="s">
        <v>82</v>
      </c>
      <c r="E1529" s="88" t="s">
        <v>85</v>
      </c>
      <c r="F1529" s="86" t="s">
        <v>288</v>
      </c>
      <c r="G1529" s="74" t="s">
        <v>289</v>
      </c>
      <c r="H1529" s="87">
        <v>44196</v>
      </c>
      <c r="I1529" s="94">
        <v>4917.05</v>
      </c>
      <c r="J1529" s="94">
        <v>3687.79</v>
      </c>
      <c r="K1529" s="94">
        <v>1229.26</v>
      </c>
    </row>
    <row r="1530" spans="1:11">
      <c r="A1530" s="74" t="s">
        <v>113</v>
      </c>
      <c r="B1530" s="74" t="s">
        <v>290</v>
      </c>
      <c r="C1530" s="74" t="s">
        <v>291</v>
      </c>
      <c r="D1530" s="74" t="s">
        <v>82</v>
      </c>
      <c r="E1530" s="88" t="s">
        <v>85</v>
      </c>
      <c r="F1530" s="86" t="s">
        <v>218</v>
      </c>
      <c r="G1530" s="74" t="s">
        <v>289</v>
      </c>
      <c r="H1530" s="87">
        <v>44196</v>
      </c>
      <c r="I1530" s="94">
        <v>4458.91</v>
      </c>
      <c r="J1530" s="94">
        <v>3344.18</v>
      </c>
      <c r="K1530" s="94">
        <v>1114.73</v>
      </c>
    </row>
    <row r="1531" spans="1:11">
      <c r="A1531" s="74" t="s">
        <v>113</v>
      </c>
      <c r="B1531" s="74" t="s">
        <v>292</v>
      </c>
      <c r="C1531" s="74" t="s">
        <v>293</v>
      </c>
      <c r="D1531" s="74" t="s">
        <v>82</v>
      </c>
      <c r="E1531" s="88" t="s">
        <v>85</v>
      </c>
      <c r="F1531" s="86" t="s">
        <v>225</v>
      </c>
      <c r="G1531" s="74" t="s">
        <v>289</v>
      </c>
      <c r="H1531" s="87">
        <v>44196</v>
      </c>
      <c r="I1531" s="94">
        <v>4122.07</v>
      </c>
      <c r="J1531" s="94">
        <v>3091.55</v>
      </c>
      <c r="K1531" s="94">
        <v>1030.52</v>
      </c>
    </row>
    <row r="1532" spans="1:11">
      <c r="A1532" s="74" t="s">
        <v>113</v>
      </c>
      <c r="B1532" s="74" t="s">
        <v>294</v>
      </c>
      <c r="C1532" s="74" t="s">
        <v>295</v>
      </c>
      <c r="D1532" s="74" t="s">
        <v>82</v>
      </c>
      <c r="E1532" s="88" t="s">
        <v>85</v>
      </c>
      <c r="F1532" s="86" t="s">
        <v>208</v>
      </c>
      <c r="G1532" s="74" t="s">
        <v>289</v>
      </c>
      <c r="H1532" s="87">
        <v>44196</v>
      </c>
      <c r="I1532" s="94">
        <v>3606.24</v>
      </c>
      <c r="J1532" s="94">
        <v>2704.68</v>
      </c>
      <c r="K1532" s="94">
        <v>901.56</v>
      </c>
    </row>
    <row r="1533" spans="1:11">
      <c r="A1533" s="74" t="s">
        <v>113</v>
      </c>
      <c r="B1533" s="74" t="s">
        <v>296</v>
      </c>
      <c r="C1533" s="74" t="s">
        <v>297</v>
      </c>
      <c r="D1533" s="74" t="s">
        <v>82</v>
      </c>
      <c r="E1533" s="88" t="s">
        <v>85</v>
      </c>
      <c r="F1533" s="86" t="s">
        <v>116</v>
      </c>
      <c r="G1533" s="74" t="s">
        <v>289</v>
      </c>
      <c r="H1533" s="87">
        <v>44196</v>
      </c>
      <c r="I1533" s="94">
        <v>3407.61</v>
      </c>
      <c r="J1533" s="94">
        <v>2555.71</v>
      </c>
      <c r="K1533" s="94">
        <v>851.9</v>
      </c>
    </row>
    <row r="1534" spans="1:11">
      <c r="A1534" s="74" t="s">
        <v>113</v>
      </c>
      <c r="B1534" s="74" t="s">
        <v>298</v>
      </c>
      <c r="C1534" s="74" t="s">
        <v>299</v>
      </c>
      <c r="D1534" s="74" t="s">
        <v>82</v>
      </c>
      <c r="E1534" s="88" t="s">
        <v>85</v>
      </c>
      <c r="F1534" s="86" t="s">
        <v>279</v>
      </c>
      <c r="G1534" s="74" t="s">
        <v>300</v>
      </c>
      <c r="H1534" s="87">
        <v>44196</v>
      </c>
      <c r="I1534" s="94">
        <v>5972.57</v>
      </c>
      <c r="J1534" s="94">
        <v>4479.43</v>
      </c>
      <c r="K1534" s="94">
        <v>1493.14</v>
      </c>
    </row>
    <row r="1535" spans="1:11">
      <c r="A1535" s="74" t="s">
        <v>113</v>
      </c>
      <c r="B1535" s="74" t="s">
        <v>301</v>
      </c>
      <c r="C1535" s="74" t="s">
        <v>302</v>
      </c>
      <c r="D1535" s="74" t="s">
        <v>82</v>
      </c>
      <c r="E1535" s="88" t="s">
        <v>85</v>
      </c>
      <c r="F1535" s="86" t="s">
        <v>279</v>
      </c>
      <c r="G1535" s="74" t="s">
        <v>303</v>
      </c>
      <c r="H1535" s="87">
        <v>44196</v>
      </c>
      <c r="I1535" s="94">
        <v>6100.56</v>
      </c>
      <c r="J1535" s="94">
        <v>4575.42</v>
      </c>
      <c r="K1535" s="94">
        <v>1525.14</v>
      </c>
    </row>
    <row r="1536" spans="1:11">
      <c r="A1536" s="74" t="s">
        <v>113</v>
      </c>
      <c r="B1536" s="74" t="s">
        <v>304</v>
      </c>
      <c r="C1536" s="74" t="s">
        <v>305</v>
      </c>
      <c r="D1536" s="74" t="s">
        <v>86</v>
      </c>
      <c r="E1536" s="74" t="s">
        <v>90</v>
      </c>
      <c r="F1536" s="86" t="s">
        <v>306</v>
      </c>
      <c r="G1536" s="74" t="s">
        <v>307</v>
      </c>
      <c r="H1536" s="87">
        <v>44196</v>
      </c>
      <c r="I1536" s="94">
        <v>6743.77</v>
      </c>
      <c r="J1536" s="94">
        <v>5057.83</v>
      </c>
      <c r="K1536" s="94">
        <v>1685.94</v>
      </c>
    </row>
    <row r="1537" spans="1:11">
      <c r="A1537" s="74" t="s">
        <v>308</v>
      </c>
      <c r="B1537" s="74" t="s">
        <v>114</v>
      </c>
      <c r="C1537" s="74" t="s">
        <v>115</v>
      </c>
      <c r="D1537" s="74" t="s">
        <v>79</v>
      </c>
      <c r="E1537" s="74" t="s">
        <v>80</v>
      </c>
      <c r="F1537" s="86" t="s">
        <v>116</v>
      </c>
      <c r="G1537" s="74" t="s">
        <v>117</v>
      </c>
      <c r="H1537" s="87">
        <v>44500</v>
      </c>
      <c r="I1537" s="94">
        <v>3258.65</v>
      </c>
      <c r="J1537" s="94">
        <v>2443.99</v>
      </c>
      <c r="K1537" s="94">
        <v>814.66</v>
      </c>
    </row>
    <row r="1538" spans="1:11">
      <c r="A1538" s="74" t="s">
        <v>308</v>
      </c>
      <c r="B1538" s="74" t="s">
        <v>118</v>
      </c>
      <c r="C1538" s="74" t="s">
        <v>119</v>
      </c>
      <c r="D1538" s="74" t="s">
        <v>79</v>
      </c>
      <c r="E1538" s="74" t="s">
        <v>80</v>
      </c>
      <c r="F1538" s="86" t="s">
        <v>120</v>
      </c>
      <c r="G1538" s="74" t="s">
        <v>117</v>
      </c>
      <c r="H1538" s="87">
        <v>44500</v>
      </c>
      <c r="I1538" s="94">
        <v>2910.16</v>
      </c>
      <c r="J1538" s="94">
        <v>2182.62</v>
      </c>
      <c r="K1538" s="94">
        <v>727.54</v>
      </c>
    </row>
    <row r="1539" spans="1:11">
      <c r="A1539" s="74" t="s">
        <v>308</v>
      </c>
      <c r="B1539" s="74" t="s">
        <v>121</v>
      </c>
      <c r="C1539" s="74" t="s">
        <v>122</v>
      </c>
      <c r="D1539" s="74" t="s">
        <v>79</v>
      </c>
      <c r="E1539" s="74" t="s">
        <v>80</v>
      </c>
      <c r="F1539" s="86" t="s">
        <v>123</v>
      </c>
      <c r="G1539" s="74" t="s">
        <v>117</v>
      </c>
      <c r="H1539" s="87">
        <v>44500</v>
      </c>
      <c r="I1539" s="94">
        <v>2358.31</v>
      </c>
      <c r="J1539" s="94">
        <v>1768.73</v>
      </c>
      <c r="K1539" s="94">
        <v>589.58</v>
      </c>
    </row>
    <row r="1540" spans="1:11">
      <c r="A1540" s="74" t="s">
        <v>308</v>
      </c>
      <c r="B1540" s="74" t="s">
        <v>124</v>
      </c>
      <c r="C1540" s="74" t="s">
        <v>125</v>
      </c>
      <c r="D1540" s="74" t="s">
        <v>79</v>
      </c>
      <c r="E1540" s="74" t="s">
        <v>80</v>
      </c>
      <c r="F1540" s="86" t="s">
        <v>116</v>
      </c>
      <c r="G1540" s="74" t="s">
        <v>117</v>
      </c>
      <c r="H1540" s="87">
        <v>44500</v>
      </c>
      <c r="I1540" s="94">
        <v>3284.47</v>
      </c>
      <c r="J1540" s="94">
        <v>2463.35</v>
      </c>
      <c r="K1540" s="94">
        <v>821.12</v>
      </c>
    </row>
    <row r="1541" spans="1:11">
      <c r="A1541" s="74" t="s">
        <v>308</v>
      </c>
      <c r="B1541" s="74" t="s">
        <v>126</v>
      </c>
      <c r="C1541" s="74" t="s">
        <v>127</v>
      </c>
      <c r="D1541" s="74" t="s">
        <v>79</v>
      </c>
      <c r="E1541" s="74" t="s">
        <v>80</v>
      </c>
      <c r="F1541" s="86" t="s">
        <v>120</v>
      </c>
      <c r="G1541" s="74" t="s">
        <v>117</v>
      </c>
      <c r="H1541" s="87">
        <v>44500</v>
      </c>
      <c r="I1541" s="94">
        <v>2848.02</v>
      </c>
      <c r="J1541" s="94">
        <v>2136.02</v>
      </c>
      <c r="K1541" s="94">
        <v>712</v>
      </c>
    </row>
    <row r="1542" spans="1:11">
      <c r="A1542" s="74" t="s">
        <v>308</v>
      </c>
      <c r="B1542" s="74" t="s">
        <v>128</v>
      </c>
      <c r="C1542" s="74" t="s">
        <v>129</v>
      </c>
      <c r="D1542" s="74" t="s">
        <v>79</v>
      </c>
      <c r="E1542" s="74" t="s">
        <v>80</v>
      </c>
      <c r="F1542" s="86" t="s">
        <v>123</v>
      </c>
      <c r="G1542" s="74" t="s">
        <v>117</v>
      </c>
      <c r="H1542" s="87">
        <v>44500</v>
      </c>
      <c r="I1542" s="94">
        <v>2392.53</v>
      </c>
      <c r="J1542" s="94">
        <v>1794.4</v>
      </c>
      <c r="K1542" s="94">
        <v>598.13</v>
      </c>
    </row>
    <row r="1543" spans="1:11">
      <c r="A1543" s="74" t="s">
        <v>308</v>
      </c>
      <c r="B1543" s="74" t="s">
        <v>130</v>
      </c>
      <c r="C1543" s="74" t="s">
        <v>131</v>
      </c>
      <c r="D1543" s="74" t="s">
        <v>79</v>
      </c>
      <c r="E1543" s="74" t="s">
        <v>80</v>
      </c>
      <c r="F1543" s="86" t="s">
        <v>116</v>
      </c>
      <c r="G1543" s="74" t="s">
        <v>117</v>
      </c>
      <c r="H1543" s="87">
        <v>44500</v>
      </c>
      <c r="I1543" s="94">
        <v>3288.96</v>
      </c>
      <c r="J1543" s="94">
        <v>2466.72</v>
      </c>
      <c r="K1543" s="94">
        <v>822.24</v>
      </c>
    </row>
    <row r="1544" spans="1:11">
      <c r="A1544" s="74" t="s">
        <v>308</v>
      </c>
      <c r="B1544" s="74" t="s">
        <v>132</v>
      </c>
      <c r="C1544" s="74" t="s">
        <v>133</v>
      </c>
      <c r="D1544" s="74" t="s">
        <v>79</v>
      </c>
      <c r="E1544" s="74" t="s">
        <v>80</v>
      </c>
      <c r="F1544" s="86" t="s">
        <v>120</v>
      </c>
      <c r="G1544" s="74" t="s">
        <v>117</v>
      </c>
      <c r="H1544" s="87">
        <v>44500</v>
      </c>
      <c r="I1544" s="94">
        <v>2765.3</v>
      </c>
      <c r="J1544" s="94">
        <v>2073.98</v>
      </c>
      <c r="K1544" s="94">
        <v>691.32</v>
      </c>
    </row>
    <row r="1545" spans="1:11">
      <c r="A1545" s="74" t="s">
        <v>308</v>
      </c>
      <c r="B1545" s="74" t="s">
        <v>134</v>
      </c>
      <c r="C1545" s="74" t="s">
        <v>135</v>
      </c>
      <c r="D1545" s="74" t="s">
        <v>79</v>
      </c>
      <c r="E1545" s="74" t="s">
        <v>80</v>
      </c>
      <c r="F1545" s="86" t="s">
        <v>123</v>
      </c>
      <c r="G1545" s="74" t="s">
        <v>117</v>
      </c>
      <c r="H1545" s="87">
        <v>44500</v>
      </c>
      <c r="I1545" s="94">
        <v>2560.59</v>
      </c>
      <c r="J1545" s="94">
        <v>1920.44</v>
      </c>
      <c r="K1545" s="94">
        <v>640.15</v>
      </c>
    </row>
    <row r="1546" spans="1:11">
      <c r="A1546" s="74" t="s">
        <v>308</v>
      </c>
      <c r="B1546" s="74" t="s">
        <v>136</v>
      </c>
      <c r="C1546" s="74" t="s">
        <v>137</v>
      </c>
      <c r="D1546" s="74" t="s">
        <v>79</v>
      </c>
      <c r="E1546" s="74" t="s">
        <v>80</v>
      </c>
      <c r="F1546" s="86" t="s">
        <v>116</v>
      </c>
      <c r="G1546" s="74" t="s">
        <v>138</v>
      </c>
      <c r="H1546" s="87">
        <v>44500</v>
      </c>
      <c r="I1546" s="94">
        <v>3301.34</v>
      </c>
      <c r="J1546" s="94">
        <v>2476.01</v>
      </c>
      <c r="K1546" s="94">
        <v>825.33</v>
      </c>
    </row>
    <row r="1547" spans="1:11">
      <c r="A1547" s="74" t="s">
        <v>308</v>
      </c>
      <c r="B1547" s="74" t="s">
        <v>139</v>
      </c>
      <c r="C1547" s="74" t="s">
        <v>140</v>
      </c>
      <c r="D1547" s="74" t="s">
        <v>79</v>
      </c>
      <c r="E1547" s="74" t="s">
        <v>80</v>
      </c>
      <c r="F1547" s="86" t="s">
        <v>120</v>
      </c>
      <c r="G1547" s="74" t="s">
        <v>138</v>
      </c>
      <c r="H1547" s="87">
        <v>44500</v>
      </c>
      <c r="I1547" s="94">
        <v>2821.59</v>
      </c>
      <c r="J1547" s="94">
        <v>2116.19</v>
      </c>
      <c r="K1547" s="94">
        <v>705.4</v>
      </c>
    </row>
    <row r="1548" spans="1:11">
      <c r="A1548" s="74" t="s">
        <v>308</v>
      </c>
      <c r="B1548" s="74" t="s">
        <v>141</v>
      </c>
      <c r="C1548" s="74" t="s">
        <v>142</v>
      </c>
      <c r="D1548" s="74" t="s">
        <v>79</v>
      </c>
      <c r="E1548" s="74" t="s">
        <v>80</v>
      </c>
      <c r="F1548" s="86" t="s">
        <v>123</v>
      </c>
      <c r="G1548" s="74" t="s">
        <v>138</v>
      </c>
      <c r="H1548" s="87">
        <v>44500</v>
      </c>
      <c r="I1548" s="94">
        <v>2351.53</v>
      </c>
      <c r="J1548" s="94">
        <v>1763.65</v>
      </c>
      <c r="K1548" s="94">
        <v>587.88</v>
      </c>
    </row>
    <row r="1549" spans="1:11">
      <c r="A1549" s="74" t="s">
        <v>308</v>
      </c>
      <c r="B1549" s="74" t="s">
        <v>143</v>
      </c>
      <c r="C1549" s="74" t="s">
        <v>144</v>
      </c>
      <c r="D1549" s="74" t="s">
        <v>79</v>
      </c>
      <c r="E1549" s="74" t="s">
        <v>80</v>
      </c>
      <c r="F1549" s="86" t="s">
        <v>145</v>
      </c>
      <c r="G1549" s="74" t="s">
        <v>146</v>
      </c>
      <c r="H1549" s="87">
        <v>44500</v>
      </c>
      <c r="I1549" s="94">
        <v>8070.19</v>
      </c>
      <c r="J1549" s="94">
        <v>6052.64</v>
      </c>
      <c r="K1549" s="94">
        <v>2017.55</v>
      </c>
    </row>
    <row r="1550" spans="1:11">
      <c r="A1550" s="74" t="s">
        <v>308</v>
      </c>
      <c r="B1550" s="74" t="s">
        <v>147</v>
      </c>
      <c r="C1550" s="74" t="s">
        <v>148</v>
      </c>
      <c r="D1550" s="74" t="s">
        <v>79</v>
      </c>
      <c r="E1550" s="74" t="s">
        <v>80</v>
      </c>
      <c r="F1550" s="86" t="s">
        <v>149</v>
      </c>
      <c r="G1550" s="74" t="s">
        <v>150</v>
      </c>
      <c r="H1550" s="87">
        <v>44500</v>
      </c>
      <c r="I1550" s="94">
        <v>7257.7</v>
      </c>
      <c r="J1550" s="94">
        <v>5443.28</v>
      </c>
      <c r="K1550" s="94">
        <v>1814.42</v>
      </c>
    </row>
    <row r="1551" spans="1:11">
      <c r="A1551" s="74" t="s">
        <v>308</v>
      </c>
      <c r="B1551" s="74" t="s">
        <v>151</v>
      </c>
      <c r="C1551" s="74" t="s">
        <v>152</v>
      </c>
      <c r="D1551" s="74" t="s">
        <v>79</v>
      </c>
      <c r="E1551" s="74" t="s">
        <v>81</v>
      </c>
      <c r="F1551" s="86" t="s">
        <v>123</v>
      </c>
      <c r="G1551" s="74" t="s">
        <v>153</v>
      </c>
      <c r="H1551" s="87">
        <v>44500</v>
      </c>
      <c r="I1551" s="94">
        <v>2437.6</v>
      </c>
      <c r="J1551" s="94">
        <v>1828.2</v>
      </c>
      <c r="K1551" s="94">
        <v>609.4</v>
      </c>
    </row>
    <row r="1552" spans="1:11">
      <c r="A1552" s="74" t="s">
        <v>308</v>
      </c>
      <c r="B1552" s="74" t="s">
        <v>154</v>
      </c>
      <c r="C1552" s="74" t="s">
        <v>155</v>
      </c>
      <c r="D1552" s="74" t="s">
        <v>79</v>
      </c>
      <c r="E1552" s="74" t="s">
        <v>81</v>
      </c>
      <c r="F1552" s="86" t="s">
        <v>156</v>
      </c>
      <c r="G1552" s="74" t="s">
        <v>157</v>
      </c>
      <c r="H1552" s="87">
        <v>44500</v>
      </c>
      <c r="I1552" s="94">
        <v>2119.39</v>
      </c>
      <c r="J1552" s="94">
        <v>1589.54</v>
      </c>
      <c r="K1552" s="94">
        <v>529.85</v>
      </c>
    </row>
    <row r="1553" spans="1:11">
      <c r="A1553" s="74" t="s">
        <v>308</v>
      </c>
      <c r="B1553" s="74" t="s">
        <v>158</v>
      </c>
      <c r="C1553" s="74" t="s">
        <v>159</v>
      </c>
      <c r="D1553" s="74" t="s">
        <v>79</v>
      </c>
      <c r="E1553" s="74" t="s">
        <v>81</v>
      </c>
      <c r="F1553" s="86" t="s">
        <v>160</v>
      </c>
      <c r="G1553" s="74" t="s">
        <v>161</v>
      </c>
      <c r="H1553" s="87">
        <v>44500</v>
      </c>
      <c r="I1553" s="94">
        <v>1698.22</v>
      </c>
      <c r="J1553" s="94">
        <v>1273.67</v>
      </c>
      <c r="K1553" s="94">
        <v>424.55</v>
      </c>
    </row>
    <row r="1554" spans="1:11">
      <c r="A1554" s="74" t="s">
        <v>308</v>
      </c>
      <c r="B1554" s="74" t="s">
        <v>162</v>
      </c>
      <c r="C1554" s="74" t="s">
        <v>163</v>
      </c>
      <c r="D1554" s="74" t="s">
        <v>79</v>
      </c>
      <c r="E1554" s="74" t="s">
        <v>81</v>
      </c>
      <c r="F1554" s="86" t="s">
        <v>123</v>
      </c>
      <c r="G1554" s="74" t="s">
        <v>153</v>
      </c>
      <c r="H1554" s="87">
        <v>44500</v>
      </c>
      <c r="I1554" s="94">
        <v>2367.28</v>
      </c>
      <c r="J1554" s="94">
        <v>1775.46</v>
      </c>
      <c r="K1554" s="94">
        <v>591.82</v>
      </c>
    </row>
    <row r="1555" spans="1:11">
      <c r="A1555" s="74" t="s">
        <v>308</v>
      </c>
      <c r="B1555" s="74" t="s">
        <v>164</v>
      </c>
      <c r="C1555" s="74" t="s">
        <v>165</v>
      </c>
      <c r="D1555" s="74" t="s">
        <v>79</v>
      </c>
      <c r="E1555" s="74" t="s">
        <v>81</v>
      </c>
      <c r="F1555" s="86" t="s">
        <v>156</v>
      </c>
      <c r="G1555" s="74" t="s">
        <v>157</v>
      </c>
      <c r="H1555" s="87">
        <v>44500</v>
      </c>
      <c r="I1555" s="94">
        <v>2132.66</v>
      </c>
      <c r="J1555" s="94">
        <v>1599.5</v>
      </c>
      <c r="K1555" s="94">
        <v>533.16</v>
      </c>
    </row>
    <row r="1556" spans="1:11">
      <c r="A1556" s="74" t="s">
        <v>308</v>
      </c>
      <c r="B1556" s="74" t="s">
        <v>166</v>
      </c>
      <c r="C1556" s="74" t="s">
        <v>167</v>
      </c>
      <c r="D1556" s="74" t="s">
        <v>79</v>
      </c>
      <c r="E1556" s="74" t="s">
        <v>81</v>
      </c>
      <c r="F1556" s="86" t="s">
        <v>160</v>
      </c>
      <c r="G1556" s="74" t="s">
        <v>161</v>
      </c>
      <c r="H1556" s="87">
        <v>44500</v>
      </c>
      <c r="I1556" s="94">
        <v>1700.42</v>
      </c>
      <c r="J1556" s="94">
        <v>1275.32</v>
      </c>
      <c r="K1556" s="94">
        <v>425.1</v>
      </c>
    </row>
    <row r="1557" spans="1:11">
      <c r="A1557" s="74" t="s">
        <v>308</v>
      </c>
      <c r="B1557" s="74" t="s">
        <v>168</v>
      </c>
      <c r="C1557" s="74" t="s">
        <v>169</v>
      </c>
      <c r="D1557" s="74" t="s">
        <v>79</v>
      </c>
      <c r="E1557" s="74" t="s">
        <v>81</v>
      </c>
      <c r="F1557" s="86" t="s">
        <v>123</v>
      </c>
      <c r="G1557" s="74" t="s">
        <v>153</v>
      </c>
      <c r="H1557" s="87">
        <v>44500</v>
      </c>
      <c r="I1557" s="94">
        <v>2523.62</v>
      </c>
      <c r="J1557" s="94">
        <v>1892.72</v>
      </c>
      <c r="K1557" s="94">
        <v>630.9</v>
      </c>
    </row>
    <row r="1558" spans="1:11">
      <c r="A1558" s="74" t="s">
        <v>308</v>
      </c>
      <c r="B1558" s="74" t="s">
        <v>170</v>
      </c>
      <c r="C1558" s="74" t="s">
        <v>171</v>
      </c>
      <c r="D1558" s="74" t="s">
        <v>79</v>
      </c>
      <c r="E1558" s="74" t="s">
        <v>81</v>
      </c>
      <c r="F1558" s="86" t="s">
        <v>156</v>
      </c>
      <c r="G1558" s="74" t="s">
        <v>157</v>
      </c>
      <c r="H1558" s="87">
        <v>44500</v>
      </c>
      <c r="I1558" s="94">
        <v>1979.43</v>
      </c>
      <c r="J1558" s="94">
        <v>1484.57</v>
      </c>
      <c r="K1558" s="94">
        <v>494.86</v>
      </c>
    </row>
    <row r="1559" spans="1:11">
      <c r="A1559" s="74" t="s">
        <v>308</v>
      </c>
      <c r="B1559" s="74" t="s">
        <v>172</v>
      </c>
      <c r="C1559" s="74" t="s">
        <v>173</v>
      </c>
      <c r="D1559" s="74" t="s">
        <v>79</v>
      </c>
      <c r="E1559" s="74" t="s">
        <v>81</v>
      </c>
      <c r="F1559" s="86" t="s">
        <v>160</v>
      </c>
      <c r="G1559" s="74" t="s">
        <v>161</v>
      </c>
      <c r="H1559" s="87">
        <v>44500</v>
      </c>
      <c r="I1559" s="94">
        <v>1586.07</v>
      </c>
      <c r="J1559" s="94">
        <v>1189.55</v>
      </c>
      <c r="K1559" s="94">
        <v>396.52</v>
      </c>
    </row>
    <row r="1560" spans="1:11">
      <c r="A1560" s="74" t="s">
        <v>308</v>
      </c>
      <c r="B1560" s="74" t="s">
        <v>174</v>
      </c>
      <c r="C1560" s="74" t="s">
        <v>175</v>
      </c>
      <c r="D1560" s="74" t="s">
        <v>79</v>
      </c>
      <c r="E1560" s="74" t="s">
        <v>81</v>
      </c>
      <c r="F1560" s="86" t="s">
        <v>176</v>
      </c>
      <c r="G1560" s="74" t="s">
        <v>177</v>
      </c>
      <c r="H1560" s="87">
        <v>44500</v>
      </c>
      <c r="I1560" s="94">
        <v>1196.57</v>
      </c>
      <c r="J1560" s="94">
        <v>897.43</v>
      </c>
      <c r="K1560" s="94">
        <v>299.14</v>
      </c>
    </row>
    <row r="1561" spans="1:11">
      <c r="A1561" s="74" t="s">
        <v>308</v>
      </c>
      <c r="B1561" s="74" t="s">
        <v>178</v>
      </c>
      <c r="C1561" s="74" t="s">
        <v>179</v>
      </c>
      <c r="D1561" s="74" t="s">
        <v>79</v>
      </c>
      <c r="E1561" s="74" t="s">
        <v>81</v>
      </c>
      <c r="F1561" s="86" t="s">
        <v>180</v>
      </c>
      <c r="G1561" s="74" t="s">
        <v>177</v>
      </c>
      <c r="H1561" s="87">
        <v>44500</v>
      </c>
      <c r="I1561" s="94">
        <v>786.33</v>
      </c>
      <c r="J1561" s="94">
        <v>589.75</v>
      </c>
      <c r="K1561" s="94">
        <v>196.58</v>
      </c>
    </row>
    <row r="1562" spans="1:11">
      <c r="A1562" s="74" t="s">
        <v>308</v>
      </c>
      <c r="B1562" s="74" t="s">
        <v>181</v>
      </c>
      <c r="C1562" s="74" t="s">
        <v>182</v>
      </c>
      <c r="D1562" s="74" t="s">
        <v>79</v>
      </c>
      <c r="E1562" s="74" t="s">
        <v>81</v>
      </c>
      <c r="F1562" s="86" t="s">
        <v>183</v>
      </c>
      <c r="G1562" s="74" t="s">
        <v>177</v>
      </c>
      <c r="H1562" s="87">
        <v>44500</v>
      </c>
      <c r="I1562" s="94">
        <v>422.29</v>
      </c>
      <c r="J1562" s="94">
        <v>316.72</v>
      </c>
      <c r="K1562" s="94">
        <v>105.57</v>
      </c>
    </row>
    <row r="1563" spans="1:11">
      <c r="A1563" s="74" t="s">
        <v>308</v>
      </c>
      <c r="B1563" s="74" t="s">
        <v>184</v>
      </c>
      <c r="C1563" s="74" t="s">
        <v>185</v>
      </c>
      <c r="D1563" s="74" t="s">
        <v>79</v>
      </c>
      <c r="E1563" s="74" t="s">
        <v>81</v>
      </c>
      <c r="F1563" s="86" t="s">
        <v>176</v>
      </c>
      <c r="G1563" s="74" t="s">
        <v>177</v>
      </c>
      <c r="H1563" s="87">
        <v>44500</v>
      </c>
      <c r="I1563" s="94">
        <v>1174.24</v>
      </c>
      <c r="J1563" s="94">
        <v>880.68</v>
      </c>
      <c r="K1563" s="94">
        <v>293.56</v>
      </c>
    </row>
    <row r="1564" spans="1:11">
      <c r="A1564" s="74" t="s">
        <v>308</v>
      </c>
      <c r="B1564" s="74" t="s">
        <v>186</v>
      </c>
      <c r="C1564" s="74" t="s">
        <v>187</v>
      </c>
      <c r="D1564" s="74" t="s">
        <v>79</v>
      </c>
      <c r="E1564" s="74" t="s">
        <v>81</v>
      </c>
      <c r="F1564" s="86" t="s">
        <v>180</v>
      </c>
      <c r="G1564" s="74" t="s">
        <v>177</v>
      </c>
      <c r="H1564" s="87">
        <v>44500</v>
      </c>
      <c r="I1564" s="94">
        <v>815.36</v>
      </c>
      <c r="J1564" s="94">
        <v>611.52</v>
      </c>
      <c r="K1564" s="94">
        <v>203.84</v>
      </c>
    </row>
    <row r="1565" spans="1:11">
      <c r="A1565" s="74" t="s">
        <v>308</v>
      </c>
      <c r="B1565" s="74" t="s">
        <v>188</v>
      </c>
      <c r="C1565" s="74" t="s">
        <v>189</v>
      </c>
      <c r="D1565" s="74" t="s">
        <v>79</v>
      </c>
      <c r="E1565" s="74" t="s">
        <v>81</v>
      </c>
      <c r="F1565" s="86" t="s">
        <v>183</v>
      </c>
      <c r="G1565" s="74" t="s">
        <v>177</v>
      </c>
      <c r="H1565" s="87">
        <v>44500</v>
      </c>
      <c r="I1565" s="94">
        <v>401.7</v>
      </c>
      <c r="J1565" s="94">
        <v>301.28</v>
      </c>
      <c r="K1565" s="94">
        <v>100.42</v>
      </c>
    </row>
    <row r="1566" spans="1:11">
      <c r="A1566" s="74" t="s">
        <v>308</v>
      </c>
      <c r="B1566" s="74" t="s">
        <v>190</v>
      </c>
      <c r="C1566" s="74" t="s">
        <v>191</v>
      </c>
      <c r="D1566" s="74" t="s">
        <v>79</v>
      </c>
      <c r="E1566" s="74" t="s">
        <v>81</v>
      </c>
      <c r="F1566" s="86" t="s">
        <v>176</v>
      </c>
      <c r="G1566" s="74" t="s">
        <v>177</v>
      </c>
      <c r="H1566" s="87">
        <v>44500</v>
      </c>
      <c r="I1566" s="94">
        <v>1239.09</v>
      </c>
      <c r="J1566" s="94">
        <v>929.32</v>
      </c>
      <c r="K1566" s="94">
        <v>309.77</v>
      </c>
    </row>
    <row r="1567" spans="1:11">
      <c r="A1567" s="74" t="s">
        <v>308</v>
      </c>
      <c r="B1567" s="74" t="s">
        <v>192</v>
      </c>
      <c r="C1567" s="74" t="s">
        <v>193</v>
      </c>
      <c r="D1567" s="74" t="s">
        <v>79</v>
      </c>
      <c r="E1567" s="74" t="s">
        <v>81</v>
      </c>
      <c r="F1567" s="86" t="s">
        <v>180</v>
      </c>
      <c r="G1567" s="74" t="s">
        <v>177</v>
      </c>
      <c r="H1567" s="87">
        <v>44500</v>
      </c>
      <c r="I1567" s="94">
        <v>796.15</v>
      </c>
      <c r="J1567" s="94">
        <v>597.11</v>
      </c>
      <c r="K1567" s="94">
        <v>199.04</v>
      </c>
    </row>
    <row r="1568" spans="1:11">
      <c r="A1568" s="74" t="s">
        <v>308</v>
      </c>
      <c r="B1568" s="74" t="s">
        <v>194</v>
      </c>
      <c r="C1568" s="74" t="s">
        <v>195</v>
      </c>
      <c r="D1568" s="74" t="s">
        <v>79</v>
      </c>
      <c r="E1568" s="74" t="s">
        <v>81</v>
      </c>
      <c r="F1568" s="86" t="s">
        <v>183</v>
      </c>
      <c r="G1568" s="74" t="s">
        <v>177</v>
      </c>
      <c r="H1568" s="87">
        <v>44500</v>
      </c>
      <c r="I1568" s="94">
        <v>424.74</v>
      </c>
      <c r="J1568" s="94">
        <v>318.56</v>
      </c>
      <c r="K1568" s="94">
        <v>106.18</v>
      </c>
    </row>
    <row r="1569" spans="1:11">
      <c r="A1569" s="74" t="s">
        <v>308</v>
      </c>
      <c r="B1569" s="74" t="s">
        <v>196</v>
      </c>
      <c r="C1569" s="74" t="s">
        <v>197</v>
      </c>
      <c r="D1569" s="74" t="s">
        <v>79</v>
      </c>
      <c r="E1569" s="74" t="s">
        <v>81</v>
      </c>
      <c r="F1569" s="86" t="s">
        <v>176</v>
      </c>
      <c r="G1569" s="74" t="s">
        <v>177</v>
      </c>
      <c r="H1569" s="87">
        <v>44500</v>
      </c>
      <c r="I1569" s="94">
        <v>1235.86</v>
      </c>
      <c r="J1569" s="94">
        <v>926.9</v>
      </c>
      <c r="K1569" s="94">
        <v>308.96</v>
      </c>
    </row>
    <row r="1570" spans="1:11">
      <c r="A1570" s="74" t="s">
        <v>308</v>
      </c>
      <c r="B1570" s="74" t="s">
        <v>198</v>
      </c>
      <c r="C1570" s="74" t="s">
        <v>199</v>
      </c>
      <c r="D1570" s="74" t="s">
        <v>79</v>
      </c>
      <c r="E1570" s="74" t="s">
        <v>81</v>
      </c>
      <c r="F1570" s="86" t="s">
        <v>180</v>
      </c>
      <c r="G1570" s="74" t="s">
        <v>177</v>
      </c>
      <c r="H1570" s="87">
        <v>44500</v>
      </c>
      <c r="I1570" s="94">
        <v>838.84</v>
      </c>
      <c r="J1570" s="94">
        <v>629.13</v>
      </c>
      <c r="K1570" s="94">
        <v>209.71</v>
      </c>
    </row>
    <row r="1571" spans="1:11">
      <c r="A1571" s="74" t="s">
        <v>308</v>
      </c>
      <c r="B1571" s="74" t="s">
        <v>200</v>
      </c>
      <c r="C1571" s="74" t="s">
        <v>201</v>
      </c>
      <c r="D1571" s="74" t="s">
        <v>79</v>
      </c>
      <c r="E1571" s="74" t="s">
        <v>81</v>
      </c>
      <c r="F1571" s="86" t="s">
        <v>183</v>
      </c>
      <c r="G1571" s="74" t="s">
        <v>177</v>
      </c>
      <c r="H1571" s="87">
        <v>44500</v>
      </c>
      <c r="I1571" s="94">
        <v>409.08</v>
      </c>
      <c r="J1571" s="94">
        <v>306.81</v>
      </c>
      <c r="K1571" s="94">
        <v>102.27</v>
      </c>
    </row>
    <row r="1572" spans="1:11">
      <c r="A1572" s="74" t="s">
        <v>308</v>
      </c>
      <c r="B1572" s="74" t="s">
        <v>202</v>
      </c>
      <c r="C1572" s="74" t="s">
        <v>203</v>
      </c>
      <c r="D1572" s="74" t="s">
        <v>79</v>
      </c>
      <c r="E1572" s="74" t="s">
        <v>81</v>
      </c>
      <c r="F1572" s="86" t="s">
        <v>204</v>
      </c>
      <c r="G1572" s="74" t="s">
        <v>205</v>
      </c>
      <c r="H1572" s="87">
        <v>44500</v>
      </c>
      <c r="I1572" s="94">
        <v>7118.19</v>
      </c>
      <c r="J1572" s="94">
        <v>5338.64</v>
      </c>
      <c r="K1572" s="94">
        <v>1779.55</v>
      </c>
    </row>
    <row r="1573" spans="1:11">
      <c r="A1573" s="74" t="s">
        <v>308</v>
      </c>
      <c r="B1573" s="74" t="s">
        <v>206</v>
      </c>
      <c r="C1573" s="74" t="s">
        <v>207</v>
      </c>
      <c r="D1573" s="88" t="s">
        <v>82</v>
      </c>
      <c r="E1573" s="88" t="s">
        <v>84</v>
      </c>
      <c r="F1573" s="86" t="s">
        <v>208</v>
      </c>
      <c r="G1573" s="74" t="s">
        <v>209</v>
      </c>
      <c r="H1573" s="87">
        <v>44500</v>
      </c>
      <c r="I1573" s="94">
        <v>3564.85</v>
      </c>
      <c r="J1573" s="94">
        <v>2673.64</v>
      </c>
      <c r="K1573" s="94">
        <v>891.21</v>
      </c>
    </row>
    <row r="1574" spans="1:11">
      <c r="A1574" s="74" t="s">
        <v>308</v>
      </c>
      <c r="B1574" s="74" t="s">
        <v>210</v>
      </c>
      <c r="C1574" s="74" t="s">
        <v>211</v>
      </c>
      <c r="D1574" s="88" t="s">
        <v>82</v>
      </c>
      <c r="E1574" s="88" t="s">
        <v>84</v>
      </c>
      <c r="F1574" s="86" t="s">
        <v>116</v>
      </c>
      <c r="G1574" s="74" t="s">
        <v>209</v>
      </c>
      <c r="H1574" s="87">
        <v>44500</v>
      </c>
      <c r="I1574" s="94">
        <v>3173.28</v>
      </c>
      <c r="J1574" s="94">
        <v>2379.96</v>
      </c>
      <c r="K1574" s="94">
        <v>793.32</v>
      </c>
    </row>
    <row r="1575" spans="1:11">
      <c r="A1575" s="74" t="s">
        <v>308</v>
      </c>
      <c r="B1575" s="74" t="s">
        <v>212</v>
      </c>
      <c r="C1575" s="74" t="s">
        <v>213</v>
      </c>
      <c r="D1575" s="88" t="s">
        <v>82</v>
      </c>
      <c r="E1575" s="88" t="s">
        <v>84</v>
      </c>
      <c r="F1575" s="86" t="s">
        <v>208</v>
      </c>
      <c r="G1575" s="74" t="s">
        <v>209</v>
      </c>
      <c r="H1575" s="87">
        <v>44500</v>
      </c>
      <c r="I1575" s="94">
        <v>3568.57</v>
      </c>
      <c r="J1575" s="94">
        <v>2676.43</v>
      </c>
      <c r="K1575" s="94">
        <v>892.14</v>
      </c>
    </row>
    <row r="1576" spans="1:11">
      <c r="A1576" s="74" t="s">
        <v>308</v>
      </c>
      <c r="B1576" s="74" t="s">
        <v>214</v>
      </c>
      <c r="C1576" s="74" t="s">
        <v>215</v>
      </c>
      <c r="D1576" s="88" t="s">
        <v>82</v>
      </c>
      <c r="E1576" s="88" t="s">
        <v>84</v>
      </c>
      <c r="F1576" s="86" t="s">
        <v>116</v>
      </c>
      <c r="G1576" s="74" t="s">
        <v>209</v>
      </c>
      <c r="H1576" s="87">
        <v>44500</v>
      </c>
      <c r="I1576" s="94">
        <v>3407.54</v>
      </c>
      <c r="J1576" s="94">
        <v>2555.66</v>
      </c>
      <c r="K1576" s="94">
        <v>851.88</v>
      </c>
    </row>
    <row r="1577" spans="1:11">
      <c r="A1577" s="74" t="s">
        <v>308</v>
      </c>
      <c r="B1577" s="74" t="s">
        <v>216</v>
      </c>
      <c r="C1577" s="74" t="s">
        <v>217</v>
      </c>
      <c r="D1577" s="88" t="s">
        <v>82</v>
      </c>
      <c r="E1577" s="88" t="s">
        <v>84</v>
      </c>
      <c r="F1577" s="86" t="s">
        <v>218</v>
      </c>
      <c r="G1577" s="74" t="s">
        <v>219</v>
      </c>
      <c r="H1577" s="87">
        <v>44500</v>
      </c>
      <c r="I1577" s="94">
        <v>4315.74</v>
      </c>
      <c r="J1577" s="94">
        <v>3236.81</v>
      </c>
      <c r="K1577" s="94">
        <v>1078.93</v>
      </c>
    </row>
    <row r="1578" spans="1:11">
      <c r="A1578" s="74" t="s">
        <v>308</v>
      </c>
      <c r="B1578" s="74" t="s">
        <v>220</v>
      </c>
      <c r="C1578" s="74" t="s">
        <v>221</v>
      </c>
      <c r="D1578" s="88" t="s">
        <v>82</v>
      </c>
      <c r="E1578" s="74" t="s">
        <v>83</v>
      </c>
      <c r="F1578" s="86" t="s">
        <v>218</v>
      </c>
      <c r="G1578" s="74" t="s">
        <v>222</v>
      </c>
      <c r="H1578" s="87">
        <v>44500</v>
      </c>
      <c r="I1578" s="94">
        <v>4614.84</v>
      </c>
      <c r="J1578" s="94">
        <v>3461.13</v>
      </c>
      <c r="K1578" s="94">
        <v>1153.71</v>
      </c>
    </row>
    <row r="1579" spans="1:11">
      <c r="A1579" s="74" t="s">
        <v>308</v>
      </c>
      <c r="B1579" s="74" t="s">
        <v>223</v>
      </c>
      <c r="C1579" s="74" t="s">
        <v>224</v>
      </c>
      <c r="D1579" s="88" t="s">
        <v>82</v>
      </c>
      <c r="E1579" s="74" t="s">
        <v>83</v>
      </c>
      <c r="F1579" s="86" t="s">
        <v>225</v>
      </c>
      <c r="G1579" s="74" t="s">
        <v>209</v>
      </c>
      <c r="H1579" s="87">
        <v>44500</v>
      </c>
      <c r="I1579" s="94">
        <v>4047.03</v>
      </c>
      <c r="J1579" s="94">
        <v>3035.27</v>
      </c>
      <c r="K1579" s="94">
        <v>1011.76</v>
      </c>
    </row>
    <row r="1580" spans="1:11">
      <c r="A1580" s="74" t="s">
        <v>308</v>
      </c>
      <c r="B1580" s="74" t="s">
        <v>226</v>
      </c>
      <c r="C1580" s="74" t="s">
        <v>227</v>
      </c>
      <c r="D1580" s="88" t="s">
        <v>82</v>
      </c>
      <c r="E1580" s="74" t="s">
        <v>83</v>
      </c>
      <c r="F1580" s="86" t="s">
        <v>208</v>
      </c>
      <c r="G1580" s="74" t="s">
        <v>209</v>
      </c>
      <c r="H1580" s="87">
        <v>44500</v>
      </c>
      <c r="I1580" s="94">
        <v>3756.82</v>
      </c>
      <c r="J1580" s="94">
        <v>2817.62</v>
      </c>
      <c r="K1580" s="94">
        <v>939.2</v>
      </c>
    </row>
    <row r="1581" spans="1:11">
      <c r="A1581" s="74" t="s">
        <v>308</v>
      </c>
      <c r="B1581" s="74" t="s">
        <v>228</v>
      </c>
      <c r="C1581" s="74" t="s">
        <v>229</v>
      </c>
      <c r="D1581" s="88" t="s">
        <v>82</v>
      </c>
      <c r="E1581" s="74" t="s">
        <v>83</v>
      </c>
      <c r="F1581" s="86" t="s">
        <v>116</v>
      </c>
      <c r="G1581" s="74" t="s">
        <v>209</v>
      </c>
      <c r="H1581" s="87">
        <v>44500</v>
      </c>
      <c r="I1581" s="94">
        <v>3411.69</v>
      </c>
      <c r="J1581" s="94">
        <v>2558.77</v>
      </c>
      <c r="K1581" s="94">
        <v>852.92</v>
      </c>
    </row>
    <row r="1582" spans="1:11">
      <c r="A1582" s="74" t="s">
        <v>308</v>
      </c>
      <c r="B1582" s="74" t="s">
        <v>230</v>
      </c>
      <c r="C1582" s="74" t="s">
        <v>231</v>
      </c>
      <c r="D1582" s="88" t="s">
        <v>82</v>
      </c>
      <c r="E1582" s="74" t="s">
        <v>83</v>
      </c>
      <c r="F1582" s="86" t="s">
        <v>120</v>
      </c>
      <c r="G1582" s="74" t="s">
        <v>209</v>
      </c>
      <c r="H1582" s="87">
        <v>44500</v>
      </c>
      <c r="I1582" s="94">
        <v>2743.07</v>
      </c>
      <c r="J1582" s="94">
        <v>2057.3</v>
      </c>
      <c r="K1582" s="94">
        <v>685.77</v>
      </c>
    </row>
    <row r="1583" spans="1:11">
      <c r="A1583" s="74" t="s">
        <v>308</v>
      </c>
      <c r="B1583" s="74" t="s">
        <v>232</v>
      </c>
      <c r="C1583" s="74" t="s">
        <v>233</v>
      </c>
      <c r="D1583" s="88" t="s">
        <v>82</v>
      </c>
      <c r="E1583" s="74" t="s">
        <v>83</v>
      </c>
      <c r="F1583" s="86" t="s">
        <v>123</v>
      </c>
      <c r="G1583" s="74" t="s">
        <v>209</v>
      </c>
      <c r="H1583" s="87">
        <v>44500</v>
      </c>
      <c r="I1583" s="94">
        <v>2535.59</v>
      </c>
      <c r="J1583" s="94">
        <v>1901.69</v>
      </c>
      <c r="K1583" s="94">
        <v>633.9</v>
      </c>
    </row>
    <row r="1584" spans="1:11">
      <c r="A1584" s="74" t="s">
        <v>308</v>
      </c>
      <c r="B1584" s="74" t="s">
        <v>234</v>
      </c>
      <c r="C1584" s="74" t="s">
        <v>235</v>
      </c>
      <c r="D1584" s="88" t="s">
        <v>82</v>
      </c>
      <c r="E1584" s="74" t="s">
        <v>83</v>
      </c>
      <c r="F1584" s="86" t="s">
        <v>116</v>
      </c>
      <c r="G1584" s="74" t="s">
        <v>209</v>
      </c>
      <c r="H1584" s="87">
        <v>44500</v>
      </c>
      <c r="I1584" s="94">
        <v>3409.48</v>
      </c>
      <c r="J1584" s="94">
        <v>2557.11</v>
      </c>
      <c r="K1584" s="94">
        <v>852.37</v>
      </c>
    </row>
    <row r="1585" spans="1:11">
      <c r="A1585" s="74" t="s">
        <v>308</v>
      </c>
      <c r="B1585" s="74" t="s">
        <v>236</v>
      </c>
      <c r="C1585" s="74" t="s">
        <v>237</v>
      </c>
      <c r="D1585" s="88" t="s">
        <v>82</v>
      </c>
      <c r="E1585" s="74" t="s">
        <v>83</v>
      </c>
      <c r="F1585" s="86" t="s">
        <v>120</v>
      </c>
      <c r="G1585" s="74" t="s">
        <v>209</v>
      </c>
      <c r="H1585" s="87">
        <v>44500</v>
      </c>
      <c r="I1585" s="94">
        <v>2738.73</v>
      </c>
      <c r="J1585" s="94">
        <v>2054.05</v>
      </c>
      <c r="K1585" s="94">
        <v>684.68</v>
      </c>
    </row>
    <row r="1586" spans="1:11">
      <c r="A1586" s="74" t="s">
        <v>308</v>
      </c>
      <c r="B1586" s="74" t="s">
        <v>238</v>
      </c>
      <c r="C1586" s="74" t="s">
        <v>239</v>
      </c>
      <c r="D1586" s="74" t="s">
        <v>86</v>
      </c>
      <c r="E1586" s="74" t="s">
        <v>87</v>
      </c>
      <c r="F1586" s="86" t="s">
        <v>204</v>
      </c>
      <c r="G1586" s="74" t="s">
        <v>240</v>
      </c>
      <c r="H1586" s="87">
        <v>44500</v>
      </c>
      <c r="I1586" s="94">
        <v>5994.99</v>
      </c>
      <c r="J1586" s="94">
        <v>4496.24</v>
      </c>
      <c r="K1586" s="94">
        <v>1498.75</v>
      </c>
    </row>
    <row r="1587" spans="1:11">
      <c r="A1587" s="74" t="s">
        <v>308</v>
      </c>
      <c r="B1587" s="74" t="s">
        <v>241</v>
      </c>
      <c r="C1587" s="74" t="s">
        <v>242</v>
      </c>
      <c r="D1587" s="74" t="s">
        <v>86</v>
      </c>
      <c r="E1587" s="74" t="s">
        <v>87</v>
      </c>
      <c r="F1587" s="86" t="s">
        <v>243</v>
      </c>
      <c r="G1587" s="74" t="s">
        <v>244</v>
      </c>
      <c r="H1587" s="87">
        <v>44500</v>
      </c>
      <c r="I1587" s="94">
        <v>4416.53</v>
      </c>
      <c r="J1587" s="94">
        <v>3312.4</v>
      </c>
      <c r="K1587" s="94">
        <v>1104.13</v>
      </c>
    </row>
    <row r="1588" spans="1:11">
      <c r="A1588" s="74" t="s">
        <v>308</v>
      </c>
      <c r="B1588" s="74" t="s">
        <v>245</v>
      </c>
      <c r="C1588" s="74" t="s">
        <v>246</v>
      </c>
      <c r="D1588" s="74" t="s">
        <v>86</v>
      </c>
      <c r="E1588" s="74" t="s">
        <v>87</v>
      </c>
      <c r="F1588" s="86" t="s">
        <v>247</v>
      </c>
      <c r="G1588" s="74" t="s">
        <v>248</v>
      </c>
      <c r="H1588" s="87">
        <v>44500</v>
      </c>
      <c r="I1588" s="94">
        <v>4092.14</v>
      </c>
      <c r="J1588" s="94">
        <v>3069.11</v>
      </c>
      <c r="K1588" s="94">
        <v>1023.03</v>
      </c>
    </row>
    <row r="1589" spans="1:11">
      <c r="A1589" s="74" t="s">
        <v>308</v>
      </c>
      <c r="B1589" s="74" t="s">
        <v>249</v>
      </c>
      <c r="C1589" s="74" t="s">
        <v>250</v>
      </c>
      <c r="D1589" s="74" t="s">
        <v>86</v>
      </c>
      <c r="E1589" s="74" t="s">
        <v>87</v>
      </c>
      <c r="F1589" s="86" t="s">
        <v>251</v>
      </c>
      <c r="G1589" s="74" t="s">
        <v>252</v>
      </c>
      <c r="H1589" s="87">
        <v>44500</v>
      </c>
      <c r="I1589" s="94">
        <v>3486.62</v>
      </c>
      <c r="J1589" s="94">
        <v>2614.97</v>
      </c>
      <c r="K1589" s="94">
        <v>871.65</v>
      </c>
    </row>
    <row r="1590" spans="1:11">
      <c r="A1590" s="74" t="s">
        <v>308</v>
      </c>
      <c r="B1590" s="74" t="s">
        <v>253</v>
      </c>
      <c r="C1590" s="74" t="s">
        <v>254</v>
      </c>
      <c r="D1590" s="74" t="s">
        <v>86</v>
      </c>
      <c r="E1590" s="74" t="s">
        <v>87</v>
      </c>
      <c r="F1590" s="86" t="s">
        <v>255</v>
      </c>
      <c r="G1590" s="74" t="s">
        <v>252</v>
      </c>
      <c r="H1590" s="87">
        <v>44500</v>
      </c>
      <c r="I1590" s="94">
        <v>3410.22</v>
      </c>
      <c r="J1590" s="94">
        <v>2557.67</v>
      </c>
      <c r="K1590" s="94">
        <v>852.55</v>
      </c>
    </row>
    <row r="1591" spans="1:11">
      <c r="A1591" s="74" t="s">
        <v>308</v>
      </c>
      <c r="B1591" s="74" t="s">
        <v>256</v>
      </c>
      <c r="C1591" s="74" t="s">
        <v>257</v>
      </c>
      <c r="D1591" s="74" t="s">
        <v>86</v>
      </c>
      <c r="E1591" s="74" t="s">
        <v>87</v>
      </c>
      <c r="F1591" s="86" t="s">
        <v>258</v>
      </c>
      <c r="G1591" s="74" t="s">
        <v>252</v>
      </c>
      <c r="H1591" s="87">
        <v>44500</v>
      </c>
      <c r="I1591" s="94">
        <v>2950.56</v>
      </c>
      <c r="J1591" s="94">
        <v>2212.92</v>
      </c>
      <c r="K1591" s="94">
        <v>737.64</v>
      </c>
    </row>
    <row r="1592" spans="1:11">
      <c r="A1592" s="74" t="s">
        <v>308</v>
      </c>
      <c r="B1592" s="74" t="s">
        <v>259</v>
      </c>
      <c r="C1592" s="74" t="s">
        <v>260</v>
      </c>
      <c r="D1592" s="74" t="s">
        <v>86</v>
      </c>
      <c r="E1592" s="74" t="s">
        <v>87</v>
      </c>
      <c r="F1592" s="86" t="s">
        <v>261</v>
      </c>
      <c r="G1592" s="74" t="s">
        <v>262</v>
      </c>
      <c r="H1592" s="87">
        <v>44500</v>
      </c>
      <c r="I1592" s="94">
        <v>2554.33</v>
      </c>
      <c r="J1592" s="94">
        <v>1915.75</v>
      </c>
      <c r="K1592" s="94">
        <v>638.58</v>
      </c>
    </row>
    <row r="1593" spans="1:11">
      <c r="A1593" s="74" t="s">
        <v>308</v>
      </c>
      <c r="B1593" s="74" t="s">
        <v>263</v>
      </c>
      <c r="C1593" s="74" t="s">
        <v>264</v>
      </c>
      <c r="D1593" s="74" t="s">
        <v>86</v>
      </c>
      <c r="E1593" s="74" t="s">
        <v>88</v>
      </c>
      <c r="F1593" s="86" t="s">
        <v>149</v>
      </c>
      <c r="G1593" s="74" t="s">
        <v>265</v>
      </c>
      <c r="H1593" s="87">
        <v>44500</v>
      </c>
      <c r="I1593" s="94">
        <v>5833.73</v>
      </c>
      <c r="J1593" s="94">
        <v>4375.3</v>
      </c>
      <c r="K1593" s="94">
        <v>1458.43</v>
      </c>
    </row>
    <row r="1594" spans="1:11">
      <c r="A1594" s="74" t="s">
        <v>308</v>
      </c>
      <c r="B1594" s="74" t="s">
        <v>266</v>
      </c>
      <c r="C1594" s="74" t="s">
        <v>267</v>
      </c>
      <c r="D1594" s="74" t="s">
        <v>86</v>
      </c>
      <c r="E1594" s="74" t="s">
        <v>88</v>
      </c>
      <c r="F1594" s="86" t="s">
        <v>243</v>
      </c>
      <c r="G1594" s="74" t="s">
        <v>268</v>
      </c>
      <c r="H1594" s="87">
        <v>44500</v>
      </c>
      <c r="I1594" s="94">
        <v>4300.48</v>
      </c>
      <c r="J1594" s="94">
        <v>3225.36</v>
      </c>
      <c r="K1594" s="94">
        <v>1075.12</v>
      </c>
    </row>
    <row r="1595" spans="1:11">
      <c r="A1595" s="74" t="s">
        <v>308</v>
      </c>
      <c r="B1595" s="74" t="s">
        <v>269</v>
      </c>
      <c r="C1595" s="74" t="s">
        <v>270</v>
      </c>
      <c r="D1595" s="74" t="s">
        <v>86</v>
      </c>
      <c r="E1595" s="74" t="s">
        <v>88</v>
      </c>
      <c r="F1595" s="86" t="s">
        <v>247</v>
      </c>
      <c r="G1595" s="74" t="s">
        <v>268</v>
      </c>
      <c r="H1595" s="87">
        <v>44500</v>
      </c>
      <c r="I1595" s="94">
        <v>4111.14</v>
      </c>
      <c r="J1595" s="94">
        <v>3083.36</v>
      </c>
      <c r="K1595" s="94">
        <v>1027.78</v>
      </c>
    </row>
    <row r="1596" spans="1:11">
      <c r="A1596" s="74" t="s">
        <v>308</v>
      </c>
      <c r="B1596" s="74" t="s">
        <v>271</v>
      </c>
      <c r="C1596" s="74" t="s">
        <v>272</v>
      </c>
      <c r="D1596" s="74" t="s">
        <v>86</v>
      </c>
      <c r="E1596" s="74" t="s">
        <v>88</v>
      </c>
      <c r="F1596" s="86" t="s">
        <v>251</v>
      </c>
      <c r="G1596" s="74" t="s">
        <v>268</v>
      </c>
      <c r="H1596" s="87">
        <v>44500</v>
      </c>
      <c r="I1596" s="94">
        <v>3673.48</v>
      </c>
      <c r="J1596" s="94">
        <v>2755.11</v>
      </c>
      <c r="K1596" s="94">
        <v>918.37</v>
      </c>
    </row>
    <row r="1597" spans="1:11">
      <c r="A1597" s="74" t="s">
        <v>308</v>
      </c>
      <c r="B1597" s="74" t="s">
        <v>273</v>
      </c>
      <c r="C1597" s="74" t="s">
        <v>274</v>
      </c>
      <c r="D1597" s="74" t="s">
        <v>86</v>
      </c>
      <c r="E1597" s="74" t="s">
        <v>88</v>
      </c>
      <c r="F1597" s="86" t="s">
        <v>255</v>
      </c>
      <c r="G1597" s="74" t="s">
        <v>268</v>
      </c>
      <c r="H1597" s="87">
        <v>44500</v>
      </c>
      <c r="I1597" s="94">
        <v>3260.6</v>
      </c>
      <c r="J1597" s="94">
        <v>2445.45</v>
      </c>
      <c r="K1597" s="94">
        <v>815.15</v>
      </c>
    </row>
    <row r="1598" spans="1:11">
      <c r="A1598" s="74" t="s">
        <v>308</v>
      </c>
      <c r="B1598" s="74" t="s">
        <v>275</v>
      </c>
      <c r="C1598" s="74" t="s">
        <v>276</v>
      </c>
      <c r="D1598" s="74" t="s">
        <v>86</v>
      </c>
      <c r="E1598" s="74" t="s">
        <v>88</v>
      </c>
      <c r="F1598" s="86" t="s">
        <v>258</v>
      </c>
      <c r="G1598" s="74" t="s">
        <v>268</v>
      </c>
      <c r="H1598" s="87">
        <v>44500</v>
      </c>
      <c r="I1598" s="94">
        <v>2837.94</v>
      </c>
      <c r="J1598" s="94">
        <v>2128.46</v>
      </c>
      <c r="K1598" s="94">
        <v>709.48</v>
      </c>
    </row>
    <row r="1599" spans="1:11">
      <c r="A1599" s="74" t="s">
        <v>308</v>
      </c>
      <c r="B1599" s="74" t="s">
        <v>277</v>
      </c>
      <c r="C1599" s="74" t="s">
        <v>278</v>
      </c>
      <c r="D1599" s="74" t="s">
        <v>86</v>
      </c>
      <c r="E1599" s="74" t="s">
        <v>89</v>
      </c>
      <c r="F1599" s="86" t="s">
        <v>279</v>
      </c>
      <c r="G1599" s="74" t="s">
        <v>280</v>
      </c>
      <c r="H1599" s="87">
        <v>44500</v>
      </c>
      <c r="I1599" s="94">
        <v>4760.94</v>
      </c>
      <c r="J1599" s="94">
        <v>3570.71</v>
      </c>
      <c r="K1599" s="94">
        <v>1190.23</v>
      </c>
    </row>
    <row r="1600" spans="1:11">
      <c r="A1600" s="74" t="s">
        <v>308</v>
      </c>
      <c r="B1600" s="74" t="s">
        <v>281</v>
      </c>
      <c r="C1600" s="74" t="s">
        <v>282</v>
      </c>
      <c r="D1600" s="74" t="s">
        <v>86</v>
      </c>
      <c r="E1600" s="74" t="s">
        <v>89</v>
      </c>
      <c r="F1600" s="86" t="s">
        <v>225</v>
      </c>
      <c r="G1600" s="74" t="s">
        <v>283</v>
      </c>
      <c r="H1600" s="87">
        <v>44500</v>
      </c>
      <c r="I1600" s="94">
        <v>3204.34</v>
      </c>
      <c r="J1600" s="94">
        <v>2403.26</v>
      </c>
      <c r="K1600" s="94">
        <v>801.08</v>
      </c>
    </row>
    <row r="1601" spans="1:11">
      <c r="A1601" s="74" t="s">
        <v>308</v>
      </c>
      <c r="B1601" s="74" t="s">
        <v>284</v>
      </c>
      <c r="C1601" s="74" t="s">
        <v>285</v>
      </c>
      <c r="D1601" s="74" t="s">
        <v>86</v>
      </c>
      <c r="E1601" s="74" t="s">
        <v>89</v>
      </c>
      <c r="F1601" s="86" t="s">
        <v>208</v>
      </c>
      <c r="G1601" s="74" t="s">
        <v>283</v>
      </c>
      <c r="H1601" s="87">
        <v>44500</v>
      </c>
      <c r="I1601" s="94">
        <v>2996.26</v>
      </c>
      <c r="J1601" s="94">
        <v>2247.2</v>
      </c>
      <c r="K1601" s="94">
        <v>749.06</v>
      </c>
    </row>
    <row r="1602" spans="1:11">
      <c r="A1602" s="74" t="s">
        <v>308</v>
      </c>
      <c r="B1602" s="74" t="s">
        <v>286</v>
      </c>
      <c r="C1602" s="74" t="s">
        <v>287</v>
      </c>
      <c r="D1602" s="74" t="s">
        <v>82</v>
      </c>
      <c r="E1602" s="88" t="s">
        <v>85</v>
      </c>
      <c r="F1602" s="86" t="s">
        <v>288</v>
      </c>
      <c r="G1602" s="74" t="s">
        <v>289</v>
      </c>
      <c r="H1602" s="87">
        <v>44500</v>
      </c>
      <c r="I1602" s="94">
        <v>4828.65</v>
      </c>
      <c r="J1602" s="94">
        <v>3621.49</v>
      </c>
      <c r="K1602" s="94">
        <v>1207.16</v>
      </c>
    </row>
    <row r="1603" spans="1:11">
      <c r="A1603" s="74" t="s">
        <v>308</v>
      </c>
      <c r="B1603" s="74" t="s">
        <v>290</v>
      </c>
      <c r="C1603" s="74" t="s">
        <v>291</v>
      </c>
      <c r="D1603" s="74" t="s">
        <v>82</v>
      </c>
      <c r="E1603" s="88" t="s">
        <v>85</v>
      </c>
      <c r="F1603" s="86" t="s">
        <v>218</v>
      </c>
      <c r="G1603" s="74" t="s">
        <v>289</v>
      </c>
      <c r="H1603" s="87">
        <v>44500</v>
      </c>
      <c r="I1603" s="94">
        <v>4469.44</v>
      </c>
      <c r="J1603" s="94">
        <v>3352.08</v>
      </c>
      <c r="K1603" s="94">
        <v>1117.36</v>
      </c>
    </row>
    <row r="1604" spans="1:11">
      <c r="A1604" s="74" t="s">
        <v>308</v>
      </c>
      <c r="B1604" s="74" t="s">
        <v>292</v>
      </c>
      <c r="C1604" s="74" t="s">
        <v>293</v>
      </c>
      <c r="D1604" s="74" t="s">
        <v>82</v>
      </c>
      <c r="E1604" s="88" t="s">
        <v>85</v>
      </c>
      <c r="F1604" s="86" t="s">
        <v>225</v>
      </c>
      <c r="G1604" s="74" t="s">
        <v>289</v>
      </c>
      <c r="H1604" s="87">
        <v>44500</v>
      </c>
      <c r="I1604" s="94">
        <v>4250.29</v>
      </c>
      <c r="J1604" s="94">
        <v>3187.72</v>
      </c>
      <c r="K1604" s="94">
        <v>1062.57</v>
      </c>
    </row>
    <row r="1605" spans="1:11">
      <c r="A1605" s="74" t="s">
        <v>308</v>
      </c>
      <c r="B1605" s="74" t="s">
        <v>294</v>
      </c>
      <c r="C1605" s="74" t="s">
        <v>295</v>
      </c>
      <c r="D1605" s="74" t="s">
        <v>82</v>
      </c>
      <c r="E1605" s="88" t="s">
        <v>85</v>
      </c>
      <c r="F1605" s="86" t="s">
        <v>208</v>
      </c>
      <c r="G1605" s="74" t="s">
        <v>289</v>
      </c>
      <c r="H1605" s="87">
        <v>44500</v>
      </c>
      <c r="I1605" s="94">
        <v>3566.83</v>
      </c>
      <c r="J1605" s="94">
        <v>2675.12</v>
      </c>
      <c r="K1605" s="94">
        <v>891.71</v>
      </c>
    </row>
    <row r="1606" spans="1:11">
      <c r="A1606" s="74" t="s">
        <v>308</v>
      </c>
      <c r="B1606" s="74" t="s">
        <v>296</v>
      </c>
      <c r="C1606" s="74" t="s">
        <v>297</v>
      </c>
      <c r="D1606" s="74" t="s">
        <v>82</v>
      </c>
      <c r="E1606" s="88" t="s">
        <v>85</v>
      </c>
      <c r="F1606" s="86" t="s">
        <v>116</v>
      </c>
      <c r="G1606" s="74" t="s">
        <v>289</v>
      </c>
      <c r="H1606" s="87">
        <v>44500</v>
      </c>
      <c r="I1606" s="94">
        <v>3237.37</v>
      </c>
      <c r="J1606" s="94">
        <v>2428.03</v>
      </c>
      <c r="K1606" s="94">
        <v>809.34</v>
      </c>
    </row>
    <row r="1607" spans="1:11">
      <c r="A1607" s="74" t="s">
        <v>308</v>
      </c>
      <c r="B1607" s="74" t="s">
        <v>298</v>
      </c>
      <c r="C1607" s="74" t="s">
        <v>299</v>
      </c>
      <c r="D1607" s="74" t="s">
        <v>82</v>
      </c>
      <c r="E1607" s="88" t="s">
        <v>85</v>
      </c>
      <c r="F1607" s="86" t="s">
        <v>279</v>
      </c>
      <c r="G1607" s="74" t="s">
        <v>300</v>
      </c>
      <c r="H1607" s="87">
        <v>44500</v>
      </c>
      <c r="I1607" s="94">
        <v>6400.56</v>
      </c>
      <c r="J1607" s="94">
        <v>4800.42</v>
      </c>
      <c r="K1607" s="94">
        <v>1600.14</v>
      </c>
    </row>
    <row r="1608" spans="1:11">
      <c r="A1608" s="74" t="s">
        <v>308</v>
      </c>
      <c r="B1608" s="74" t="s">
        <v>301</v>
      </c>
      <c r="C1608" s="74" t="s">
        <v>302</v>
      </c>
      <c r="D1608" s="74" t="s">
        <v>82</v>
      </c>
      <c r="E1608" s="88" t="s">
        <v>85</v>
      </c>
      <c r="F1608" s="86" t="s">
        <v>279</v>
      </c>
      <c r="G1608" s="74" t="s">
        <v>303</v>
      </c>
      <c r="H1608" s="87">
        <v>44500</v>
      </c>
      <c r="I1608" s="94">
        <v>6310.8</v>
      </c>
      <c r="J1608" s="94">
        <v>4733.1</v>
      </c>
      <c r="K1608" s="94">
        <v>1577.7</v>
      </c>
    </row>
    <row r="1609" spans="1:11">
      <c r="A1609" s="74" t="s">
        <v>308</v>
      </c>
      <c r="B1609" s="74" t="s">
        <v>304</v>
      </c>
      <c r="C1609" s="74" t="s">
        <v>305</v>
      </c>
      <c r="D1609" s="74" t="s">
        <v>86</v>
      </c>
      <c r="E1609" s="74" t="s">
        <v>90</v>
      </c>
      <c r="F1609" s="86" t="s">
        <v>306</v>
      </c>
      <c r="G1609" s="74" t="s">
        <v>307</v>
      </c>
      <c r="H1609" s="87">
        <v>44500</v>
      </c>
      <c r="I1609" s="94">
        <v>6333.41</v>
      </c>
      <c r="J1609" s="94">
        <v>4750.06</v>
      </c>
      <c r="K1609" s="94">
        <v>1583.35</v>
      </c>
    </row>
    <row r="1610" spans="1:11">
      <c r="A1610" s="74" t="s">
        <v>308</v>
      </c>
      <c r="B1610" s="74" t="s">
        <v>114</v>
      </c>
      <c r="C1610" s="74" t="s">
        <v>115</v>
      </c>
      <c r="D1610" s="74" t="s">
        <v>79</v>
      </c>
      <c r="E1610" s="74" t="s">
        <v>80</v>
      </c>
      <c r="F1610" s="86" t="s">
        <v>116</v>
      </c>
      <c r="G1610" s="74" t="s">
        <v>117</v>
      </c>
      <c r="H1610" s="87">
        <v>44530</v>
      </c>
      <c r="I1610" s="94">
        <v>3389.11</v>
      </c>
      <c r="J1610" s="94">
        <v>2541.83</v>
      </c>
      <c r="K1610" s="94">
        <v>847.28</v>
      </c>
    </row>
    <row r="1611" spans="1:11">
      <c r="A1611" s="74" t="s">
        <v>308</v>
      </c>
      <c r="B1611" s="74" t="s">
        <v>118</v>
      </c>
      <c r="C1611" s="74" t="s">
        <v>119</v>
      </c>
      <c r="D1611" s="74" t="s">
        <v>79</v>
      </c>
      <c r="E1611" s="74" t="s">
        <v>80</v>
      </c>
      <c r="F1611" s="86" t="s">
        <v>120</v>
      </c>
      <c r="G1611" s="74" t="s">
        <v>117</v>
      </c>
      <c r="H1611" s="87">
        <v>44530</v>
      </c>
      <c r="I1611" s="94">
        <v>2810.49</v>
      </c>
      <c r="J1611" s="94">
        <v>2107.87</v>
      </c>
      <c r="K1611" s="94">
        <v>702.62</v>
      </c>
    </row>
    <row r="1612" spans="1:11">
      <c r="A1612" s="74" t="s">
        <v>308</v>
      </c>
      <c r="B1612" s="74" t="s">
        <v>121</v>
      </c>
      <c r="C1612" s="74" t="s">
        <v>122</v>
      </c>
      <c r="D1612" s="74" t="s">
        <v>79</v>
      </c>
      <c r="E1612" s="74" t="s">
        <v>80</v>
      </c>
      <c r="F1612" s="86" t="s">
        <v>123</v>
      </c>
      <c r="G1612" s="74" t="s">
        <v>117</v>
      </c>
      <c r="H1612" s="87">
        <v>44530</v>
      </c>
      <c r="I1612" s="94">
        <v>2422.19</v>
      </c>
      <c r="J1612" s="94">
        <v>1816.64</v>
      </c>
      <c r="K1612" s="94">
        <v>605.55</v>
      </c>
    </row>
    <row r="1613" spans="1:11">
      <c r="A1613" s="74" t="s">
        <v>308</v>
      </c>
      <c r="B1613" s="74" t="s">
        <v>124</v>
      </c>
      <c r="C1613" s="74" t="s">
        <v>125</v>
      </c>
      <c r="D1613" s="74" t="s">
        <v>79</v>
      </c>
      <c r="E1613" s="74" t="s">
        <v>80</v>
      </c>
      <c r="F1613" s="86" t="s">
        <v>116</v>
      </c>
      <c r="G1613" s="74" t="s">
        <v>117</v>
      </c>
      <c r="H1613" s="87">
        <v>44530</v>
      </c>
      <c r="I1613" s="94">
        <v>3415.28</v>
      </c>
      <c r="J1613" s="94">
        <v>2561.46</v>
      </c>
      <c r="K1613" s="94">
        <v>853.82</v>
      </c>
    </row>
    <row r="1614" spans="1:11">
      <c r="A1614" s="74" t="s">
        <v>308</v>
      </c>
      <c r="B1614" s="74" t="s">
        <v>126</v>
      </c>
      <c r="C1614" s="74" t="s">
        <v>127</v>
      </c>
      <c r="D1614" s="74" t="s">
        <v>79</v>
      </c>
      <c r="E1614" s="74" t="s">
        <v>80</v>
      </c>
      <c r="F1614" s="86" t="s">
        <v>120</v>
      </c>
      <c r="G1614" s="74" t="s">
        <v>117</v>
      </c>
      <c r="H1614" s="87">
        <v>44530</v>
      </c>
      <c r="I1614" s="94">
        <v>2958.08</v>
      </c>
      <c r="J1614" s="94">
        <v>2218.56</v>
      </c>
      <c r="K1614" s="94">
        <v>739.52</v>
      </c>
    </row>
    <row r="1615" spans="1:11">
      <c r="A1615" s="74" t="s">
        <v>308</v>
      </c>
      <c r="B1615" s="74" t="s">
        <v>128</v>
      </c>
      <c r="C1615" s="74" t="s">
        <v>129</v>
      </c>
      <c r="D1615" s="74" t="s">
        <v>79</v>
      </c>
      <c r="E1615" s="74" t="s">
        <v>80</v>
      </c>
      <c r="F1615" s="86" t="s">
        <v>123</v>
      </c>
      <c r="G1615" s="74" t="s">
        <v>117</v>
      </c>
      <c r="H1615" s="87">
        <v>44530</v>
      </c>
      <c r="I1615" s="94">
        <v>2555.04</v>
      </c>
      <c r="J1615" s="94">
        <v>1916.28</v>
      </c>
      <c r="K1615" s="94">
        <v>638.76</v>
      </c>
    </row>
    <row r="1616" spans="1:11">
      <c r="A1616" s="74" t="s">
        <v>308</v>
      </c>
      <c r="B1616" s="74" t="s">
        <v>130</v>
      </c>
      <c r="C1616" s="74" t="s">
        <v>131</v>
      </c>
      <c r="D1616" s="74" t="s">
        <v>79</v>
      </c>
      <c r="E1616" s="74" t="s">
        <v>80</v>
      </c>
      <c r="F1616" s="86" t="s">
        <v>116</v>
      </c>
      <c r="G1616" s="74" t="s">
        <v>117</v>
      </c>
      <c r="H1616" s="87">
        <v>44530</v>
      </c>
      <c r="I1616" s="94">
        <v>3344.51</v>
      </c>
      <c r="J1616" s="94">
        <v>2508.38</v>
      </c>
      <c r="K1616" s="94">
        <v>836.13</v>
      </c>
    </row>
    <row r="1617" spans="1:11">
      <c r="A1617" s="74" t="s">
        <v>308</v>
      </c>
      <c r="B1617" s="74" t="s">
        <v>132</v>
      </c>
      <c r="C1617" s="74" t="s">
        <v>133</v>
      </c>
      <c r="D1617" s="74" t="s">
        <v>79</v>
      </c>
      <c r="E1617" s="74" t="s">
        <v>80</v>
      </c>
      <c r="F1617" s="86" t="s">
        <v>120</v>
      </c>
      <c r="G1617" s="74" t="s">
        <v>117</v>
      </c>
      <c r="H1617" s="87">
        <v>44530</v>
      </c>
      <c r="I1617" s="94">
        <v>2983.17</v>
      </c>
      <c r="J1617" s="94">
        <v>2237.38</v>
      </c>
      <c r="K1617" s="94">
        <v>745.79</v>
      </c>
    </row>
    <row r="1618" spans="1:11">
      <c r="A1618" s="74" t="s">
        <v>308</v>
      </c>
      <c r="B1618" s="74" t="s">
        <v>134</v>
      </c>
      <c r="C1618" s="74" t="s">
        <v>135</v>
      </c>
      <c r="D1618" s="74" t="s">
        <v>79</v>
      </c>
      <c r="E1618" s="74" t="s">
        <v>80</v>
      </c>
      <c r="F1618" s="86" t="s">
        <v>123</v>
      </c>
      <c r="G1618" s="74" t="s">
        <v>117</v>
      </c>
      <c r="H1618" s="87">
        <v>44530</v>
      </c>
      <c r="I1618" s="94">
        <v>2452.6</v>
      </c>
      <c r="J1618" s="94">
        <v>1839.45</v>
      </c>
      <c r="K1618" s="94">
        <v>613.15</v>
      </c>
    </row>
    <row r="1619" spans="1:11">
      <c r="A1619" s="74" t="s">
        <v>308</v>
      </c>
      <c r="B1619" s="74" t="s">
        <v>136</v>
      </c>
      <c r="C1619" s="74" t="s">
        <v>137</v>
      </c>
      <c r="D1619" s="74" t="s">
        <v>79</v>
      </c>
      <c r="E1619" s="74" t="s">
        <v>80</v>
      </c>
      <c r="F1619" s="86" t="s">
        <v>116</v>
      </c>
      <c r="G1619" s="74" t="s">
        <v>138</v>
      </c>
      <c r="H1619" s="87">
        <v>44530</v>
      </c>
      <c r="I1619" s="94">
        <v>3172.18</v>
      </c>
      <c r="J1619" s="94">
        <v>2379.14</v>
      </c>
      <c r="K1619" s="94">
        <v>793.04</v>
      </c>
    </row>
    <row r="1620" spans="1:11">
      <c r="A1620" s="74" t="s">
        <v>308</v>
      </c>
      <c r="B1620" s="74" t="s">
        <v>139</v>
      </c>
      <c r="C1620" s="74" t="s">
        <v>140</v>
      </c>
      <c r="D1620" s="74" t="s">
        <v>79</v>
      </c>
      <c r="E1620" s="74" t="s">
        <v>80</v>
      </c>
      <c r="F1620" s="86" t="s">
        <v>120</v>
      </c>
      <c r="G1620" s="74" t="s">
        <v>138</v>
      </c>
      <c r="H1620" s="87">
        <v>44530</v>
      </c>
      <c r="I1620" s="94">
        <v>2764.95</v>
      </c>
      <c r="J1620" s="94">
        <v>2073.71</v>
      </c>
      <c r="K1620" s="94">
        <v>691.24</v>
      </c>
    </row>
    <row r="1621" spans="1:11">
      <c r="A1621" s="74" t="s">
        <v>308</v>
      </c>
      <c r="B1621" s="74" t="s">
        <v>141</v>
      </c>
      <c r="C1621" s="74" t="s">
        <v>142</v>
      </c>
      <c r="D1621" s="74" t="s">
        <v>79</v>
      </c>
      <c r="E1621" s="74" t="s">
        <v>80</v>
      </c>
      <c r="F1621" s="86" t="s">
        <v>123</v>
      </c>
      <c r="G1621" s="74" t="s">
        <v>138</v>
      </c>
      <c r="H1621" s="87">
        <v>44530</v>
      </c>
      <c r="I1621" s="94">
        <v>2506.36</v>
      </c>
      <c r="J1621" s="94">
        <v>1879.77</v>
      </c>
      <c r="K1621" s="94">
        <v>626.59</v>
      </c>
    </row>
    <row r="1622" spans="1:11">
      <c r="A1622" s="74" t="s">
        <v>308</v>
      </c>
      <c r="B1622" s="74" t="s">
        <v>143</v>
      </c>
      <c r="C1622" s="74" t="s">
        <v>144</v>
      </c>
      <c r="D1622" s="74" t="s">
        <v>79</v>
      </c>
      <c r="E1622" s="74" t="s">
        <v>80</v>
      </c>
      <c r="F1622" s="86" t="s">
        <v>145</v>
      </c>
      <c r="G1622" s="74" t="s">
        <v>146</v>
      </c>
      <c r="H1622" s="87">
        <v>44530</v>
      </c>
      <c r="I1622" s="94">
        <v>7691.39</v>
      </c>
      <c r="J1622" s="94">
        <v>5768.54</v>
      </c>
      <c r="K1622" s="94">
        <v>1922.85</v>
      </c>
    </row>
    <row r="1623" spans="1:11">
      <c r="A1623" s="74" t="s">
        <v>308</v>
      </c>
      <c r="B1623" s="74" t="s">
        <v>147</v>
      </c>
      <c r="C1623" s="74" t="s">
        <v>148</v>
      </c>
      <c r="D1623" s="74" t="s">
        <v>79</v>
      </c>
      <c r="E1623" s="74" t="s">
        <v>80</v>
      </c>
      <c r="F1623" s="86" t="s">
        <v>149</v>
      </c>
      <c r="G1623" s="74" t="s">
        <v>150</v>
      </c>
      <c r="H1623" s="87">
        <v>44530</v>
      </c>
      <c r="I1623" s="94">
        <v>7267.28</v>
      </c>
      <c r="J1623" s="94">
        <v>5450.46</v>
      </c>
      <c r="K1623" s="94">
        <v>1816.82</v>
      </c>
    </row>
    <row r="1624" spans="1:11">
      <c r="A1624" s="74" t="s">
        <v>308</v>
      </c>
      <c r="B1624" s="74" t="s">
        <v>151</v>
      </c>
      <c r="C1624" s="74" t="s">
        <v>152</v>
      </c>
      <c r="D1624" s="74" t="s">
        <v>79</v>
      </c>
      <c r="E1624" s="74" t="s">
        <v>81</v>
      </c>
      <c r="F1624" s="86" t="s">
        <v>123</v>
      </c>
      <c r="G1624" s="74" t="s">
        <v>153</v>
      </c>
      <c r="H1624" s="87">
        <v>44530</v>
      </c>
      <c r="I1624" s="94">
        <v>2523.85</v>
      </c>
      <c r="J1624" s="94">
        <v>1892.89</v>
      </c>
      <c r="K1624" s="94">
        <v>630.96</v>
      </c>
    </row>
    <row r="1625" spans="1:11">
      <c r="A1625" s="74" t="s">
        <v>308</v>
      </c>
      <c r="B1625" s="74" t="s">
        <v>154</v>
      </c>
      <c r="C1625" s="74" t="s">
        <v>155</v>
      </c>
      <c r="D1625" s="74" t="s">
        <v>79</v>
      </c>
      <c r="E1625" s="74" t="s">
        <v>81</v>
      </c>
      <c r="F1625" s="86" t="s">
        <v>156</v>
      </c>
      <c r="G1625" s="74" t="s">
        <v>157</v>
      </c>
      <c r="H1625" s="87">
        <v>44530</v>
      </c>
      <c r="I1625" s="94">
        <v>2084.94</v>
      </c>
      <c r="J1625" s="94">
        <v>1563.71</v>
      </c>
      <c r="K1625" s="94">
        <v>521.23</v>
      </c>
    </row>
    <row r="1626" spans="1:11">
      <c r="A1626" s="74" t="s">
        <v>308</v>
      </c>
      <c r="B1626" s="74" t="s">
        <v>158</v>
      </c>
      <c r="C1626" s="74" t="s">
        <v>159</v>
      </c>
      <c r="D1626" s="74" t="s">
        <v>79</v>
      </c>
      <c r="E1626" s="74" t="s">
        <v>81</v>
      </c>
      <c r="F1626" s="86" t="s">
        <v>160</v>
      </c>
      <c r="G1626" s="74" t="s">
        <v>161</v>
      </c>
      <c r="H1626" s="87">
        <v>44530</v>
      </c>
      <c r="I1626" s="94">
        <v>1651.77</v>
      </c>
      <c r="J1626" s="94">
        <v>1238.83</v>
      </c>
      <c r="K1626" s="94">
        <v>412.94</v>
      </c>
    </row>
    <row r="1627" spans="1:11">
      <c r="A1627" s="74" t="s">
        <v>308</v>
      </c>
      <c r="B1627" s="74" t="s">
        <v>162</v>
      </c>
      <c r="C1627" s="74" t="s">
        <v>163</v>
      </c>
      <c r="D1627" s="74" t="s">
        <v>79</v>
      </c>
      <c r="E1627" s="74" t="s">
        <v>81</v>
      </c>
      <c r="F1627" s="86" t="s">
        <v>123</v>
      </c>
      <c r="G1627" s="74" t="s">
        <v>153</v>
      </c>
      <c r="H1627" s="87">
        <v>44530</v>
      </c>
      <c r="I1627" s="94">
        <v>2537.79</v>
      </c>
      <c r="J1627" s="94">
        <v>1903.34</v>
      </c>
      <c r="K1627" s="94">
        <v>634.45</v>
      </c>
    </row>
    <row r="1628" spans="1:11">
      <c r="A1628" s="74" t="s">
        <v>308</v>
      </c>
      <c r="B1628" s="74" t="s">
        <v>164</v>
      </c>
      <c r="C1628" s="74" t="s">
        <v>165</v>
      </c>
      <c r="D1628" s="74" t="s">
        <v>79</v>
      </c>
      <c r="E1628" s="74" t="s">
        <v>81</v>
      </c>
      <c r="F1628" s="86" t="s">
        <v>156</v>
      </c>
      <c r="G1628" s="74" t="s">
        <v>157</v>
      </c>
      <c r="H1628" s="87">
        <v>44530</v>
      </c>
      <c r="I1628" s="94">
        <v>2016.55</v>
      </c>
      <c r="J1628" s="94">
        <v>1512.41</v>
      </c>
      <c r="K1628" s="94">
        <v>504.14</v>
      </c>
    </row>
    <row r="1629" spans="1:11">
      <c r="A1629" s="74" t="s">
        <v>308</v>
      </c>
      <c r="B1629" s="74" t="s">
        <v>166</v>
      </c>
      <c r="C1629" s="74" t="s">
        <v>167</v>
      </c>
      <c r="D1629" s="74" t="s">
        <v>79</v>
      </c>
      <c r="E1629" s="74" t="s">
        <v>81</v>
      </c>
      <c r="F1629" s="86" t="s">
        <v>160</v>
      </c>
      <c r="G1629" s="74" t="s">
        <v>161</v>
      </c>
      <c r="H1629" s="87">
        <v>44530</v>
      </c>
      <c r="I1629" s="94">
        <v>1562.67</v>
      </c>
      <c r="J1629" s="94">
        <v>1172</v>
      </c>
      <c r="K1629" s="94">
        <v>390.67</v>
      </c>
    </row>
    <row r="1630" spans="1:11">
      <c r="A1630" s="74" t="s">
        <v>308</v>
      </c>
      <c r="B1630" s="74" t="s">
        <v>168</v>
      </c>
      <c r="C1630" s="74" t="s">
        <v>169</v>
      </c>
      <c r="D1630" s="74" t="s">
        <v>79</v>
      </c>
      <c r="E1630" s="74" t="s">
        <v>81</v>
      </c>
      <c r="F1630" s="86" t="s">
        <v>123</v>
      </c>
      <c r="G1630" s="74" t="s">
        <v>153</v>
      </c>
      <c r="H1630" s="87">
        <v>44530</v>
      </c>
      <c r="I1630" s="94">
        <v>2368.19</v>
      </c>
      <c r="J1630" s="94">
        <v>1776.14</v>
      </c>
      <c r="K1630" s="94">
        <v>592.05</v>
      </c>
    </row>
    <row r="1631" spans="1:11">
      <c r="A1631" s="74" t="s">
        <v>308</v>
      </c>
      <c r="B1631" s="74" t="s">
        <v>170</v>
      </c>
      <c r="C1631" s="74" t="s">
        <v>171</v>
      </c>
      <c r="D1631" s="74" t="s">
        <v>79</v>
      </c>
      <c r="E1631" s="74" t="s">
        <v>81</v>
      </c>
      <c r="F1631" s="86" t="s">
        <v>156</v>
      </c>
      <c r="G1631" s="74" t="s">
        <v>157</v>
      </c>
      <c r="H1631" s="87">
        <v>44530</v>
      </c>
      <c r="I1631" s="94">
        <v>1973.5</v>
      </c>
      <c r="J1631" s="94">
        <v>1480.13</v>
      </c>
      <c r="K1631" s="94">
        <v>493.37</v>
      </c>
    </row>
    <row r="1632" spans="1:11">
      <c r="A1632" s="74" t="s">
        <v>308</v>
      </c>
      <c r="B1632" s="74" t="s">
        <v>172</v>
      </c>
      <c r="C1632" s="74" t="s">
        <v>173</v>
      </c>
      <c r="D1632" s="74" t="s">
        <v>79</v>
      </c>
      <c r="E1632" s="74" t="s">
        <v>81</v>
      </c>
      <c r="F1632" s="86" t="s">
        <v>160</v>
      </c>
      <c r="G1632" s="74" t="s">
        <v>161</v>
      </c>
      <c r="H1632" s="87">
        <v>44530</v>
      </c>
      <c r="I1632" s="94">
        <v>1655.32</v>
      </c>
      <c r="J1632" s="94">
        <v>1241.49</v>
      </c>
      <c r="K1632" s="94">
        <v>413.83</v>
      </c>
    </row>
    <row r="1633" spans="1:11">
      <c r="A1633" s="74" t="s">
        <v>308</v>
      </c>
      <c r="B1633" s="74" t="s">
        <v>174</v>
      </c>
      <c r="C1633" s="74" t="s">
        <v>175</v>
      </c>
      <c r="D1633" s="74" t="s">
        <v>79</v>
      </c>
      <c r="E1633" s="74" t="s">
        <v>81</v>
      </c>
      <c r="F1633" s="86" t="s">
        <v>176</v>
      </c>
      <c r="G1633" s="74" t="s">
        <v>177</v>
      </c>
      <c r="H1633" s="87">
        <v>44530</v>
      </c>
      <c r="I1633" s="94">
        <v>1285.8</v>
      </c>
      <c r="J1633" s="94">
        <v>964.35</v>
      </c>
      <c r="K1633" s="94">
        <v>321.45</v>
      </c>
    </row>
    <row r="1634" spans="1:11">
      <c r="A1634" s="74" t="s">
        <v>308</v>
      </c>
      <c r="B1634" s="74" t="s">
        <v>178</v>
      </c>
      <c r="C1634" s="74" t="s">
        <v>179</v>
      </c>
      <c r="D1634" s="74" t="s">
        <v>79</v>
      </c>
      <c r="E1634" s="74" t="s">
        <v>81</v>
      </c>
      <c r="F1634" s="86" t="s">
        <v>180</v>
      </c>
      <c r="G1634" s="74" t="s">
        <v>177</v>
      </c>
      <c r="H1634" s="87">
        <v>44530</v>
      </c>
      <c r="I1634" s="94">
        <v>791.61</v>
      </c>
      <c r="J1634" s="94">
        <v>593.71</v>
      </c>
      <c r="K1634" s="94">
        <v>197.9</v>
      </c>
    </row>
    <row r="1635" spans="1:11">
      <c r="A1635" s="74" t="s">
        <v>308</v>
      </c>
      <c r="B1635" s="74" t="s">
        <v>181</v>
      </c>
      <c r="C1635" s="74" t="s">
        <v>182</v>
      </c>
      <c r="D1635" s="74" t="s">
        <v>79</v>
      </c>
      <c r="E1635" s="74" t="s">
        <v>81</v>
      </c>
      <c r="F1635" s="86" t="s">
        <v>183</v>
      </c>
      <c r="G1635" s="74" t="s">
        <v>177</v>
      </c>
      <c r="H1635" s="87">
        <v>44530</v>
      </c>
      <c r="I1635" s="94">
        <v>396.72</v>
      </c>
      <c r="J1635" s="94">
        <v>297.54</v>
      </c>
      <c r="K1635" s="94">
        <v>99.18</v>
      </c>
    </row>
    <row r="1636" spans="1:11">
      <c r="A1636" s="74" t="s">
        <v>308</v>
      </c>
      <c r="B1636" s="74" t="s">
        <v>184</v>
      </c>
      <c r="C1636" s="74" t="s">
        <v>185</v>
      </c>
      <c r="D1636" s="74" t="s">
        <v>79</v>
      </c>
      <c r="E1636" s="74" t="s">
        <v>81</v>
      </c>
      <c r="F1636" s="86" t="s">
        <v>176</v>
      </c>
      <c r="G1636" s="74" t="s">
        <v>177</v>
      </c>
      <c r="H1636" s="87">
        <v>44530</v>
      </c>
      <c r="I1636" s="94">
        <v>1214.97</v>
      </c>
      <c r="J1636" s="94">
        <v>911.23</v>
      </c>
      <c r="K1636" s="94">
        <v>303.74</v>
      </c>
    </row>
    <row r="1637" spans="1:11">
      <c r="A1637" s="74" t="s">
        <v>308</v>
      </c>
      <c r="B1637" s="74" t="s">
        <v>186</v>
      </c>
      <c r="C1637" s="74" t="s">
        <v>187</v>
      </c>
      <c r="D1637" s="74" t="s">
        <v>79</v>
      </c>
      <c r="E1637" s="74" t="s">
        <v>81</v>
      </c>
      <c r="F1637" s="86" t="s">
        <v>180</v>
      </c>
      <c r="G1637" s="74" t="s">
        <v>177</v>
      </c>
      <c r="H1637" s="87">
        <v>44530</v>
      </c>
      <c r="I1637" s="94">
        <v>811.2</v>
      </c>
      <c r="J1637" s="94">
        <v>608.4</v>
      </c>
      <c r="K1637" s="94">
        <v>202.8</v>
      </c>
    </row>
    <row r="1638" spans="1:11">
      <c r="A1638" s="74" t="s">
        <v>308</v>
      </c>
      <c r="B1638" s="74" t="s">
        <v>188</v>
      </c>
      <c r="C1638" s="74" t="s">
        <v>189</v>
      </c>
      <c r="D1638" s="74" t="s">
        <v>79</v>
      </c>
      <c r="E1638" s="74" t="s">
        <v>81</v>
      </c>
      <c r="F1638" s="86" t="s">
        <v>183</v>
      </c>
      <c r="G1638" s="74" t="s">
        <v>177</v>
      </c>
      <c r="H1638" s="87">
        <v>44530</v>
      </c>
      <c r="I1638" s="94">
        <v>419.01</v>
      </c>
      <c r="J1638" s="94">
        <v>314.26</v>
      </c>
      <c r="K1638" s="94">
        <v>104.75</v>
      </c>
    </row>
    <row r="1639" spans="1:11">
      <c r="A1639" s="74" t="s">
        <v>308</v>
      </c>
      <c r="B1639" s="74" t="s">
        <v>190</v>
      </c>
      <c r="C1639" s="74" t="s">
        <v>191</v>
      </c>
      <c r="D1639" s="74" t="s">
        <v>79</v>
      </c>
      <c r="E1639" s="74" t="s">
        <v>81</v>
      </c>
      <c r="F1639" s="86" t="s">
        <v>176</v>
      </c>
      <c r="G1639" s="74" t="s">
        <v>177</v>
      </c>
      <c r="H1639" s="87">
        <v>44530</v>
      </c>
      <c r="I1639" s="94">
        <v>1267.31</v>
      </c>
      <c r="J1639" s="94">
        <v>950.48</v>
      </c>
      <c r="K1639" s="94">
        <v>316.83</v>
      </c>
    </row>
    <row r="1640" spans="1:11">
      <c r="A1640" s="74" t="s">
        <v>308</v>
      </c>
      <c r="B1640" s="74" t="s">
        <v>192</v>
      </c>
      <c r="C1640" s="74" t="s">
        <v>193</v>
      </c>
      <c r="D1640" s="74" t="s">
        <v>79</v>
      </c>
      <c r="E1640" s="74" t="s">
        <v>81</v>
      </c>
      <c r="F1640" s="86" t="s">
        <v>180</v>
      </c>
      <c r="G1640" s="74" t="s">
        <v>177</v>
      </c>
      <c r="H1640" s="87">
        <v>44530</v>
      </c>
      <c r="I1640" s="94">
        <v>844.67</v>
      </c>
      <c r="J1640" s="94">
        <v>633.5</v>
      </c>
      <c r="K1640" s="94">
        <v>211.17</v>
      </c>
    </row>
    <row r="1641" spans="1:11">
      <c r="A1641" s="74" t="s">
        <v>308</v>
      </c>
      <c r="B1641" s="74" t="s">
        <v>194</v>
      </c>
      <c r="C1641" s="74" t="s">
        <v>195</v>
      </c>
      <c r="D1641" s="74" t="s">
        <v>79</v>
      </c>
      <c r="E1641" s="74" t="s">
        <v>81</v>
      </c>
      <c r="F1641" s="86" t="s">
        <v>183</v>
      </c>
      <c r="G1641" s="74" t="s">
        <v>177</v>
      </c>
      <c r="H1641" s="87">
        <v>44530</v>
      </c>
      <c r="I1641" s="94">
        <v>394.61</v>
      </c>
      <c r="J1641" s="94">
        <v>295.96</v>
      </c>
      <c r="K1641" s="94">
        <v>98.65</v>
      </c>
    </row>
    <row r="1642" spans="1:11">
      <c r="A1642" s="74" t="s">
        <v>308</v>
      </c>
      <c r="B1642" s="74" t="s">
        <v>196</v>
      </c>
      <c r="C1642" s="74" t="s">
        <v>197</v>
      </c>
      <c r="D1642" s="74" t="s">
        <v>79</v>
      </c>
      <c r="E1642" s="74" t="s">
        <v>81</v>
      </c>
      <c r="F1642" s="86" t="s">
        <v>176</v>
      </c>
      <c r="G1642" s="74" t="s">
        <v>177</v>
      </c>
      <c r="H1642" s="87">
        <v>44530</v>
      </c>
      <c r="I1642" s="94">
        <v>1239.86</v>
      </c>
      <c r="J1642" s="94">
        <v>929.9</v>
      </c>
      <c r="K1642" s="94">
        <v>309.96</v>
      </c>
    </row>
    <row r="1643" spans="1:11">
      <c r="A1643" s="74" t="s">
        <v>308</v>
      </c>
      <c r="B1643" s="74" t="s">
        <v>198</v>
      </c>
      <c r="C1643" s="74" t="s">
        <v>199</v>
      </c>
      <c r="D1643" s="74" t="s">
        <v>79</v>
      </c>
      <c r="E1643" s="74" t="s">
        <v>81</v>
      </c>
      <c r="F1643" s="86" t="s">
        <v>180</v>
      </c>
      <c r="G1643" s="74" t="s">
        <v>177</v>
      </c>
      <c r="H1643" s="87">
        <v>44530</v>
      </c>
      <c r="I1643" s="94">
        <v>846.33</v>
      </c>
      <c r="J1643" s="94">
        <v>634.75</v>
      </c>
      <c r="K1643" s="94">
        <v>211.58</v>
      </c>
    </row>
    <row r="1644" spans="1:11">
      <c r="A1644" s="74" t="s">
        <v>308</v>
      </c>
      <c r="B1644" s="74" t="s">
        <v>200</v>
      </c>
      <c r="C1644" s="74" t="s">
        <v>201</v>
      </c>
      <c r="D1644" s="74" t="s">
        <v>79</v>
      </c>
      <c r="E1644" s="74" t="s">
        <v>81</v>
      </c>
      <c r="F1644" s="86" t="s">
        <v>183</v>
      </c>
      <c r="G1644" s="74" t="s">
        <v>177</v>
      </c>
      <c r="H1644" s="87">
        <v>44530</v>
      </c>
      <c r="I1644" s="94">
        <v>406.26</v>
      </c>
      <c r="J1644" s="94">
        <v>304.7</v>
      </c>
      <c r="K1644" s="94">
        <v>101.56</v>
      </c>
    </row>
    <row r="1645" spans="1:11">
      <c r="A1645" s="74" t="s">
        <v>308</v>
      </c>
      <c r="B1645" s="74" t="s">
        <v>202</v>
      </c>
      <c r="C1645" s="74" t="s">
        <v>203</v>
      </c>
      <c r="D1645" s="74" t="s">
        <v>79</v>
      </c>
      <c r="E1645" s="74" t="s">
        <v>81</v>
      </c>
      <c r="F1645" s="86" t="s">
        <v>204</v>
      </c>
      <c r="G1645" s="74" t="s">
        <v>205</v>
      </c>
      <c r="H1645" s="87">
        <v>44530</v>
      </c>
      <c r="I1645" s="94">
        <v>7044.68</v>
      </c>
      <c r="J1645" s="94">
        <v>5283.51</v>
      </c>
      <c r="K1645" s="94">
        <v>1761.17</v>
      </c>
    </row>
    <row r="1646" spans="1:11">
      <c r="A1646" s="74" t="s">
        <v>308</v>
      </c>
      <c r="B1646" s="74" t="s">
        <v>206</v>
      </c>
      <c r="C1646" s="74" t="s">
        <v>207</v>
      </c>
      <c r="D1646" s="88" t="s">
        <v>82</v>
      </c>
      <c r="E1646" s="88" t="s">
        <v>84</v>
      </c>
      <c r="F1646" s="86" t="s">
        <v>208</v>
      </c>
      <c r="G1646" s="74" t="s">
        <v>209</v>
      </c>
      <c r="H1646" s="87">
        <v>44530</v>
      </c>
      <c r="I1646" s="94">
        <v>3785.34</v>
      </c>
      <c r="J1646" s="94">
        <v>2839.01</v>
      </c>
      <c r="K1646" s="94">
        <v>946.33</v>
      </c>
    </row>
    <row r="1647" spans="1:11">
      <c r="A1647" s="74" t="s">
        <v>308</v>
      </c>
      <c r="B1647" s="74" t="s">
        <v>210</v>
      </c>
      <c r="C1647" s="74" t="s">
        <v>211</v>
      </c>
      <c r="D1647" s="88" t="s">
        <v>82</v>
      </c>
      <c r="E1647" s="88" t="s">
        <v>84</v>
      </c>
      <c r="F1647" s="86" t="s">
        <v>116</v>
      </c>
      <c r="G1647" s="74" t="s">
        <v>209</v>
      </c>
      <c r="H1647" s="87">
        <v>44530</v>
      </c>
      <c r="I1647" s="94">
        <v>3421.74</v>
      </c>
      <c r="J1647" s="94">
        <v>2566.31</v>
      </c>
      <c r="K1647" s="94">
        <v>855.43</v>
      </c>
    </row>
    <row r="1648" spans="1:11">
      <c r="A1648" s="74" t="s">
        <v>308</v>
      </c>
      <c r="B1648" s="74" t="s">
        <v>212</v>
      </c>
      <c r="C1648" s="74" t="s">
        <v>213</v>
      </c>
      <c r="D1648" s="88" t="s">
        <v>82</v>
      </c>
      <c r="E1648" s="88" t="s">
        <v>84</v>
      </c>
      <c r="F1648" s="86" t="s">
        <v>208</v>
      </c>
      <c r="G1648" s="74" t="s">
        <v>209</v>
      </c>
      <c r="H1648" s="87">
        <v>44530</v>
      </c>
      <c r="I1648" s="94">
        <v>3568.77</v>
      </c>
      <c r="J1648" s="94">
        <v>2676.58</v>
      </c>
      <c r="K1648" s="94">
        <v>892.19</v>
      </c>
    </row>
    <row r="1649" spans="1:11">
      <c r="A1649" s="74" t="s">
        <v>308</v>
      </c>
      <c r="B1649" s="74" t="s">
        <v>214</v>
      </c>
      <c r="C1649" s="74" t="s">
        <v>215</v>
      </c>
      <c r="D1649" s="88" t="s">
        <v>82</v>
      </c>
      <c r="E1649" s="88" t="s">
        <v>84</v>
      </c>
      <c r="F1649" s="86" t="s">
        <v>116</v>
      </c>
      <c r="G1649" s="74" t="s">
        <v>209</v>
      </c>
      <c r="H1649" s="87">
        <v>44530</v>
      </c>
      <c r="I1649" s="94">
        <v>3396</v>
      </c>
      <c r="J1649" s="94">
        <v>2547</v>
      </c>
      <c r="K1649" s="94">
        <v>849</v>
      </c>
    </row>
    <row r="1650" spans="1:11">
      <c r="A1650" s="74" t="s">
        <v>308</v>
      </c>
      <c r="B1650" s="74" t="s">
        <v>216</v>
      </c>
      <c r="C1650" s="74" t="s">
        <v>217</v>
      </c>
      <c r="D1650" s="88" t="s">
        <v>82</v>
      </c>
      <c r="E1650" s="88" t="s">
        <v>84</v>
      </c>
      <c r="F1650" s="86" t="s">
        <v>218</v>
      </c>
      <c r="G1650" s="74" t="s">
        <v>219</v>
      </c>
      <c r="H1650" s="87">
        <v>44530</v>
      </c>
      <c r="I1650" s="94">
        <v>4447.75</v>
      </c>
      <c r="J1650" s="94">
        <v>3335.81</v>
      </c>
      <c r="K1650" s="94">
        <v>1111.94</v>
      </c>
    </row>
    <row r="1651" spans="1:11">
      <c r="A1651" s="74" t="s">
        <v>308</v>
      </c>
      <c r="B1651" s="74" t="s">
        <v>220</v>
      </c>
      <c r="C1651" s="74" t="s">
        <v>221</v>
      </c>
      <c r="D1651" s="88" t="s">
        <v>82</v>
      </c>
      <c r="E1651" s="74" t="s">
        <v>83</v>
      </c>
      <c r="F1651" s="86" t="s">
        <v>218</v>
      </c>
      <c r="G1651" s="74" t="s">
        <v>222</v>
      </c>
      <c r="H1651" s="87">
        <v>44530</v>
      </c>
      <c r="I1651" s="94">
        <v>4381.12</v>
      </c>
      <c r="J1651" s="94">
        <v>3285.84</v>
      </c>
      <c r="K1651" s="94">
        <v>1095.28</v>
      </c>
    </row>
    <row r="1652" spans="1:11">
      <c r="A1652" s="74" t="s">
        <v>308</v>
      </c>
      <c r="B1652" s="74" t="s">
        <v>223</v>
      </c>
      <c r="C1652" s="74" t="s">
        <v>224</v>
      </c>
      <c r="D1652" s="88" t="s">
        <v>82</v>
      </c>
      <c r="E1652" s="74" t="s">
        <v>83</v>
      </c>
      <c r="F1652" s="86" t="s">
        <v>225</v>
      </c>
      <c r="G1652" s="74" t="s">
        <v>209</v>
      </c>
      <c r="H1652" s="87">
        <v>44530</v>
      </c>
      <c r="I1652" s="94">
        <v>4203.24</v>
      </c>
      <c r="J1652" s="94">
        <v>3152.43</v>
      </c>
      <c r="K1652" s="94">
        <v>1050.81</v>
      </c>
    </row>
    <row r="1653" spans="1:11">
      <c r="A1653" s="74" t="s">
        <v>308</v>
      </c>
      <c r="B1653" s="74" t="s">
        <v>226</v>
      </c>
      <c r="C1653" s="74" t="s">
        <v>227</v>
      </c>
      <c r="D1653" s="88" t="s">
        <v>82</v>
      </c>
      <c r="E1653" s="74" t="s">
        <v>83</v>
      </c>
      <c r="F1653" s="86" t="s">
        <v>208</v>
      </c>
      <c r="G1653" s="74" t="s">
        <v>209</v>
      </c>
      <c r="H1653" s="87">
        <v>44530</v>
      </c>
      <c r="I1653" s="94">
        <v>3857.1</v>
      </c>
      <c r="J1653" s="94">
        <v>2892.83</v>
      </c>
      <c r="K1653" s="94">
        <v>964.27</v>
      </c>
    </row>
    <row r="1654" spans="1:11">
      <c r="A1654" s="74" t="s">
        <v>308</v>
      </c>
      <c r="B1654" s="74" t="s">
        <v>228</v>
      </c>
      <c r="C1654" s="74" t="s">
        <v>229</v>
      </c>
      <c r="D1654" s="88" t="s">
        <v>82</v>
      </c>
      <c r="E1654" s="74" t="s">
        <v>83</v>
      </c>
      <c r="F1654" s="86" t="s">
        <v>116</v>
      </c>
      <c r="G1654" s="74" t="s">
        <v>209</v>
      </c>
      <c r="H1654" s="87">
        <v>44530</v>
      </c>
      <c r="I1654" s="94">
        <v>3350.64</v>
      </c>
      <c r="J1654" s="94">
        <v>2512.98</v>
      </c>
      <c r="K1654" s="94">
        <v>837.66</v>
      </c>
    </row>
    <row r="1655" spans="1:11">
      <c r="A1655" s="74" t="s">
        <v>308</v>
      </c>
      <c r="B1655" s="74" t="s">
        <v>230</v>
      </c>
      <c r="C1655" s="74" t="s">
        <v>231</v>
      </c>
      <c r="D1655" s="88" t="s">
        <v>82</v>
      </c>
      <c r="E1655" s="74" t="s">
        <v>83</v>
      </c>
      <c r="F1655" s="86" t="s">
        <v>120</v>
      </c>
      <c r="G1655" s="74" t="s">
        <v>209</v>
      </c>
      <c r="H1655" s="87">
        <v>44530</v>
      </c>
      <c r="I1655" s="94">
        <v>2810.09</v>
      </c>
      <c r="J1655" s="94">
        <v>2107.57</v>
      </c>
      <c r="K1655" s="94">
        <v>702.52</v>
      </c>
    </row>
    <row r="1656" spans="1:11">
      <c r="A1656" s="74" t="s">
        <v>308</v>
      </c>
      <c r="B1656" s="74" t="s">
        <v>232</v>
      </c>
      <c r="C1656" s="74" t="s">
        <v>233</v>
      </c>
      <c r="D1656" s="88" t="s">
        <v>82</v>
      </c>
      <c r="E1656" s="74" t="s">
        <v>83</v>
      </c>
      <c r="F1656" s="86" t="s">
        <v>123</v>
      </c>
      <c r="G1656" s="74" t="s">
        <v>209</v>
      </c>
      <c r="H1656" s="87">
        <v>44530</v>
      </c>
      <c r="I1656" s="94">
        <v>2446.71</v>
      </c>
      <c r="J1656" s="94">
        <v>1835.03</v>
      </c>
      <c r="K1656" s="94">
        <v>611.68</v>
      </c>
    </row>
    <row r="1657" spans="1:11">
      <c r="A1657" s="74" t="s">
        <v>308</v>
      </c>
      <c r="B1657" s="74" t="s">
        <v>234</v>
      </c>
      <c r="C1657" s="74" t="s">
        <v>235</v>
      </c>
      <c r="D1657" s="88" t="s">
        <v>82</v>
      </c>
      <c r="E1657" s="74" t="s">
        <v>83</v>
      </c>
      <c r="F1657" s="86" t="s">
        <v>116</v>
      </c>
      <c r="G1657" s="74" t="s">
        <v>209</v>
      </c>
      <c r="H1657" s="87">
        <v>44530</v>
      </c>
      <c r="I1657" s="94">
        <v>3270.2</v>
      </c>
      <c r="J1657" s="94">
        <v>2452.65</v>
      </c>
      <c r="K1657" s="94">
        <v>817.55</v>
      </c>
    </row>
    <row r="1658" spans="1:11">
      <c r="A1658" s="74" t="s">
        <v>308</v>
      </c>
      <c r="B1658" s="74" t="s">
        <v>236</v>
      </c>
      <c r="C1658" s="74" t="s">
        <v>237</v>
      </c>
      <c r="D1658" s="88" t="s">
        <v>82</v>
      </c>
      <c r="E1658" s="74" t="s">
        <v>83</v>
      </c>
      <c r="F1658" s="86" t="s">
        <v>120</v>
      </c>
      <c r="G1658" s="74" t="s">
        <v>209</v>
      </c>
      <c r="H1658" s="87">
        <v>44530</v>
      </c>
      <c r="I1658" s="94">
        <v>2980.01</v>
      </c>
      <c r="J1658" s="94">
        <v>2235.01</v>
      </c>
      <c r="K1658" s="94">
        <v>745</v>
      </c>
    </row>
    <row r="1659" spans="1:11">
      <c r="A1659" s="74" t="s">
        <v>308</v>
      </c>
      <c r="B1659" s="74" t="s">
        <v>238</v>
      </c>
      <c r="C1659" s="74" t="s">
        <v>239</v>
      </c>
      <c r="D1659" s="74" t="s">
        <v>86</v>
      </c>
      <c r="E1659" s="74" t="s">
        <v>87</v>
      </c>
      <c r="F1659" s="86" t="s">
        <v>204</v>
      </c>
      <c r="G1659" s="74" t="s">
        <v>240</v>
      </c>
      <c r="H1659" s="87">
        <v>44530</v>
      </c>
      <c r="I1659" s="94">
        <v>5983.53</v>
      </c>
      <c r="J1659" s="94">
        <v>4487.65</v>
      </c>
      <c r="K1659" s="94">
        <v>1495.88</v>
      </c>
    </row>
    <row r="1660" spans="1:11">
      <c r="A1660" s="74" t="s">
        <v>308</v>
      </c>
      <c r="B1660" s="74" t="s">
        <v>241</v>
      </c>
      <c r="C1660" s="74" t="s">
        <v>242</v>
      </c>
      <c r="D1660" s="74" t="s">
        <v>86</v>
      </c>
      <c r="E1660" s="74" t="s">
        <v>87</v>
      </c>
      <c r="F1660" s="86" t="s">
        <v>243</v>
      </c>
      <c r="G1660" s="74" t="s">
        <v>244</v>
      </c>
      <c r="H1660" s="87">
        <v>44530</v>
      </c>
      <c r="I1660" s="94">
        <v>4223.54</v>
      </c>
      <c r="J1660" s="94">
        <v>3167.66</v>
      </c>
      <c r="K1660" s="94">
        <v>1055.88</v>
      </c>
    </row>
    <row r="1661" spans="1:11">
      <c r="A1661" s="74" t="s">
        <v>308</v>
      </c>
      <c r="B1661" s="74" t="s">
        <v>245</v>
      </c>
      <c r="C1661" s="74" t="s">
        <v>246</v>
      </c>
      <c r="D1661" s="74" t="s">
        <v>86</v>
      </c>
      <c r="E1661" s="74" t="s">
        <v>87</v>
      </c>
      <c r="F1661" s="86" t="s">
        <v>247</v>
      </c>
      <c r="G1661" s="74" t="s">
        <v>248</v>
      </c>
      <c r="H1661" s="87">
        <v>44530</v>
      </c>
      <c r="I1661" s="94">
        <v>3754.25</v>
      </c>
      <c r="J1661" s="94">
        <v>2815.69</v>
      </c>
      <c r="K1661" s="94">
        <v>938.56</v>
      </c>
    </row>
    <row r="1662" spans="1:11">
      <c r="A1662" s="74" t="s">
        <v>308</v>
      </c>
      <c r="B1662" s="74" t="s">
        <v>249</v>
      </c>
      <c r="C1662" s="74" t="s">
        <v>250</v>
      </c>
      <c r="D1662" s="74" t="s">
        <v>86</v>
      </c>
      <c r="E1662" s="74" t="s">
        <v>87</v>
      </c>
      <c r="F1662" s="86" t="s">
        <v>251</v>
      </c>
      <c r="G1662" s="74" t="s">
        <v>252</v>
      </c>
      <c r="H1662" s="87">
        <v>44530</v>
      </c>
      <c r="I1662" s="94">
        <v>3679.97</v>
      </c>
      <c r="J1662" s="94">
        <v>2759.98</v>
      </c>
      <c r="K1662" s="94">
        <v>919.99</v>
      </c>
    </row>
    <row r="1663" spans="1:11">
      <c r="A1663" s="74" t="s">
        <v>308</v>
      </c>
      <c r="B1663" s="74" t="s">
        <v>253</v>
      </c>
      <c r="C1663" s="74" t="s">
        <v>254</v>
      </c>
      <c r="D1663" s="74" t="s">
        <v>86</v>
      </c>
      <c r="E1663" s="74" t="s">
        <v>87</v>
      </c>
      <c r="F1663" s="86" t="s">
        <v>255</v>
      </c>
      <c r="G1663" s="74" t="s">
        <v>252</v>
      </c>
      <c r="H1663" s="87">
        <v>44530</v>
      </c>
      <c r="I1663" s="94">
        <v>3366.75</v>
      </c>
      <c r="J1663" s="94">
        <v>2525.06</v>
      </c>
      <c r="K1663" s="94">
        <v>841.69</v>
      </c>
    </row>
    <row r="1664" spans="1:11">
      <c r="A1664" s="74" t="s">
        <v>308</v>
      </c>
      <c r="B1664" s="74" t="s">
        <v>256</v>
      </c>
      <c r="C1664" s="74" t="s">
        <v>257</v>
      </c>
      <c r="D1664" s="74" t="s">
        <v>86</v>
      </c>
      <c r="E1664" s="74" t="s">
        <v>87</v>
      </c>
      <c r="F1664" s="86" t="s">
        <v>258</v>
      </c>
      <c r="G1664" s="74" t="s">
        <v>252</v>
      </c>
      <c r="H1664" s="87">
        <v>44530</v>
      </c>
      <c r="I1664" s="94">
        <v>2850.3</v>
      </c>
      <c r="J1664" s="94">
        <v>2137.73</v>
      </c>
      <c r="K1664" s="94">
        <v>712.57</v>
      </c>
    </row>
    <row r="1665" spans="1:11">
      <c r="A1665" s="74" t="s">
        <v>308</v>
      </c>
      <c r="B1665" s="74" t="s">
        <v>259</v>
      </c>
      <c r="C1665" s="74" t="s">
        <v>260</v>
      </c>
      <c r="D1665" s="74" t="s">
        <v>86</v>
      </c>
      <c r="E1665" s="74" t="s">
        <v>87</v>
      </c>
      <c r="F1665" s="86" t="s">
        <v>261</v>
      </c>
      <c r="G1665" s="74" t="s">
        <v>262</v>
      </c>
      <c r="H1665" s="87">
        <v>44530</v>
      </c>
      <c r="I1665" s="94">
        <v>2672.4</v>
      </c>
      <c r="J1665" s="94">
        <v>2004.3</v>
      </c>
      <c r="K1665" s="94">
        <v>668.1</v>
      </c>
    </row>
    <row r="1666" spans="1:11">
      <c r="A1666" s="74" t="s">
        <v>308</v>
      </c>
      <c r="B1666" s="74" t="s">
        <v>263</v>
      </c>
      <c r="C1666" s="74" t="s">
        <v>264</v>
      </c>
      <c r="D1666" s="74" t="s">
        <v>86</v>
      </c>
      <c r="E1666" s="74" t="s">
        <v>88</v>
      </c>
      <c r="F1666" s="86" t="s">
        <v>149</v>
      </c>
      <c r="G1666" s="74" t="s">
        <v>265</v>
      </c>
      <c r="H1666" s="87">
        <v>44530</v>
      </c>
      <c r="I1666" s="94">
        <v>5820.61</v>
      </c>
      <c r="J1666" s="94">
        <v>4365.46</v>
      </c>
      <c r="K1666" s="94">
        <v>1455.15</v>
      </c>
    </row>
    <row r="1667" spans="1:11">
      <c r="A1667" s="74" t="s">
        <v>308</v>
      </c>
      <c r="B1667" s="74" t="s">
        <v>266</v>
      </c>
      <c r="C1667" s="74" t="s">
        <v>267</v>
      </c>
      <c r="D1667" s="74" t="s">
        <v>86</v>
      </c>
      <c r="E1667" s="74" t="s">
        <v>88</v>
      </c>
      <c r="F1667" s="86" t="s">
        <v>243</v>
      </c>
      <c r="G1667" s="74" t="s">
        <v>268</v>
      </c>
      <c r="H1667" s="87">
        <v>44530</v>
      </c>
      <c r="I1667" s="94">
        <v>4166.6</v>
      </c>
      <c r="J1667" s="94">
        <v>3124.95</v>
      </c>
      <c r="K1667" s="94">
        <v>1041.65</v>
      </c>
    </row>
    <row r="1668" spans="1:11">
      <c r="A1668" s="74" t="s">
        <v>308</v>
      </c>
      <c r="B1668" s="74" t="s">
        <v>269</v>
      </c>
      <c r="C1668" s="74" t="s">
        <v>270</v>
      </c>
      <c r="D1668" s="74" t="s">
        <v>86</v>
      </c>
      <c r="E1668" s="74" t="s">
        <v>88</v>
      </c>
      <c r="F1668" s="86" t="s">
        <v>247</v>
      </c>
      <c r="G1668" s="74" t="s">
        <v>268</v>
      </c>
      <c r="H1668" s="87">
        <v>44530</v>
      </c>
      <c r="I1668" s="94">
        <v>3874</v>
      </c>
      <c r="J1668" s="94">
        <v>2905.5</v>
      </c>
      <c r="K1668" s="94">
        <v>968.5</v>
      </c>
    </row>
    <row r="1669" spans="1:11">
      <c r="A1669" s="74" t="s">
        <v>308</v>
      </c>
      <c r="B1669" s="74" t="s">
        <v>271</v>
      </c>
      <c r="C1669" s="74" t="s">
        <v>272</v>
      </c>
      <c r="D1669" s="74" t="s">
        <v>86</v>
      </c>
      <c r="E1669" s="74" t="s">
        <v>88</v>
      </c>
      <c r="F1669" s="86" t="s">
        <v>251</v>
      </c>
      <c r="G1669" s="74" t="s">
        <v>268</v>
      </c>
      <c r="H1669" s="87">
        <v>44530</v>
      </c>
      <c r="I1669" s="94">
        <v>3718.7</v>
      </c>
      <c r="J1669" s="94">
        <v>2789.03</v>
      </c>
      <c r="K1669" s="94">
        <v>929.67</v>
      </c>
    </row>
    <row r="1670" spans="1:11">
      <c r="A1670" s="74" t="s">
        <v>308</v>
      </c>
      <c r="B1670" s="74" t="s">
        <v>273</v>
      </c>
      <c r="C1670" s="74" t="s">
        <v>274</v>
      </c>
      <c r="D1670" s="74" t="s">
        <v>86</v>
      </c>
      <c r="E1670" s="74" t="s">
        <v>88</v>
      </c>
      <c r="F1670" s="86" t="s">
        <v>255</v>
      </c>
      <c r="G1670" s="74" t="s">
        <v>268</v>
      </c>
      <c r="H1670" s="87">
        <v>44530</v>
      </c>
      <c r="I1670" s="94">
        <v>3364.42</v>
      </c>
      <c r="J1670" s="94">
        <v>2523.32</v>
      </c>
      <c r="K1670" s="94">
        <v>841.1</v>
      </c>
    </row>
    <row r="1671" spans="1:11">
      <c r="A1671" s="74" t="s">
        <v>308</v>
      </c>
      <c r="B1671" s="74" t="s">
        <v>275</v>
      </c>
      <c r="C1671" s="74" t="s">
        <v>276</v>
      </c>
      <c r="D1671" s="74" t="s">
        <v>86</v>
      </c>
      <c r="E1671" s="74" t="s">
        <v>88</v>
      </c>
      <c r="F1671" s="86" t="s">
        <v>258</v>
      </c>
      <c r="G1671" s="74" t="s">
        <v>268</v>
      </c>
      <c r="H1671" s="87">
        <v>44530</v>
      </c>
      <c r="I1671" s="94">
        <v>2857.91</v>
      </c>
      <c r="J1671" s="94">
        <v>2143.43</v>
      </c>
      <c r="K1671" s="94">
        <v>714.48</v>
      </c>
    </row>
    <row r="1672" spans="1:11">
      <c r="A1672" s="74" t="s">
        <v>308</v>
      </c>
      <c r="B1672" s="74" t="s">
        <v>277</v>
      </c>
      <c r="C1672" s="74" t="s">
        <v>278</v>
      </c>
      <c r="D1672" s="74" t="s">
        <v>86</v>
      </c>
      <c r="E1672" s="74" t="s">
        <v>89</v>
      </c>
      <c r="F1672" s="86" t="s">
        <v>279</v>
      </c>
      <c r="G1672" s="74" t="s">
        <v>280</v>
      </c>
      <c r="H1672" s="87">
        <v>44530</v>
      </c>
      <c r="I1672" s="94">
        <v>5064.08</v>
      </c>
      <c r="J1672" s="94">
        <v>3798.06</v>
      </c>
      <c r="K1672" s="94">
        <v>1266.02</v>
      </c>
    </row>
    <row r="1673" spans="1:11">
      <c r="A1673" s="74" t="s">
        <v>308</v>
      </c>
      <c r="B1673" s="74" t="s">
        <v>281</v>
      </c>
      <c r="C1673" s="74" t="s">
        <v>282</v>
      </c>
      <c r="D1673" s="74" t="s">
        <v>86</v>
      </c>
      <c r="E1673" s="74" t="s">
        <v>89</v>
      </c>
      <c r="F1673" s="86" t="s">
        <v>225</v>
      </c>
      <c r="G1673" s="74" t="s">
        <v>283</v>
      </c>
      <c r="H1673" s="87">
        <v>44530</v>
      </c>
      <c r="I1673" s="94">
        <v>3255.08</v>
      </c>
      <c r="J1673" s="94">
        <v>2441.31</v>
      </c>
      <c r="K1673" s="94">
        <v>813.77</v>
      </c>
    </row>
    <row r="1674" spans="1:11">
      <c r="A1674" s="74" t="s">
        <v>308</v>
      </c>
      <c r="B1674" s="74" t="s">
        <v>284</v>
      </c>
      <c r="C1674" s="74" t="s">
        <v>285</v>
      </c>
      <c r="D1674" s="74" t="s">
        <v>86</v>
      </c>
      <c r="E1674" s="74" t="s">
        <v>89</v>
      </c>
      <c r="F1674" s="86" t="s">
        <v>208</v>
      </c>
      <c r="G1674" s="74" t="s">
        <v>283</v>
      </c>
      <c r="H1674" s="87">
        <v>44530</v>
      </c>
      <c r="I1674" s="94">
        <v>2968.78</v>
      </c>
      <c r="J1674" s="94">
        <v>2226.59</v>
      </c>
      <c r="K1674" s="94">
        <v>742.19</v>
      </c>
    </row>
    <row r="1675" spans="1:11">
      <c r="A1675" s="74" t="s">
        <v>308</v>
      </c>
      <c r="B1675" s="74" t="s">
        <v>286</v>
      </c>
      <c r="C1675" s="74" t="s">
        <v>287</v>
      </c>
      <c r="D1675" s="74" t="s">
        <v>82</v>
      </c>
      <c r="E1675" s="88" t="s">
        <v>85</v>
      </c>
      <c r="F1675" s="86" t="s">
        <v>288</v>
      </c>
      <c r="G1675" s="74" t="s">
        <v>289</v>
      </c>
      <c r="H1675" s="87">
        <v>44530</v>
      </c>
      <c r="I1675" s="94">
        <v>4972.28</v>
      </c>
      <c r="J1675" s="94">
        <v>3729.21</v>
      </c>
      <c r="K1675" s="94">
        <v>1243.07</v>
      </c>
    </row>
    <row r="1676" spans="1:11">
      <c r="A1676" s="74" t="s">
        <v>308</v>
      </c>
      <c r="B1676" s="74" t="s">
        <v>290</v>
      </c>
      <c r="C1676" s="74" t="s">
        <v>291</v>
      </c>
      <c r="D1676" s="74" t="s">
        <v>82</v>
      </c>
      <c r="E1676" s="88" t="s">
        <v>85</v>
      </c>
      <c r="F1676" s="86" t="s">
        <v>218</v>
      </c>
      <c r="G1676" s="74" t="s">
        <v>289</v>
      </c>
      <c r="H1676" s="87">
        <v>44530</v>
      </c>
      <c r="I1676" s="94">
        <v>4473.73</v>
      </c>
      <c r="J1676" s="94">
        <v>3355.3</v>
      </c>
      <c r="K1676" s="94">
        <v>1118.43</v>
      </c>
    </row>
    <row r="1677" spans="1:11">
      <c r="A1677" s="74" t="s">
        <v>308</v>
      </c>
      <c r="B1677" s="74" t="s">
        <v>292</v>
      </c>
      <c r="C1677" s="74" t="s">
        <v>293</v>
      </c>
      <c r="D1677" s="74" t="s">
        <v>82</v>
      </c>
      <c r="E1677" s="88" t="s">
        <v>85</v>
      </c>
      <c r="F1677" s="86" t="s">
        <v>225</v>
      </c>
      <c r="G1677" s="74" t="s">
        <v>289</v>
      </c>
      <c r="H1677" s="87">
        <v>44530</v>
      </c>
      <c r="I1677" s="94">
        <v>4185.98</v>
      </c>
      <c r="J1677" s="94">
        <v>3139.49</v>
      </c>
      <c r="K1677" s="94">
        <v>1046.49</v>
      </c>
    </row>
    <row r="1678" spans="1:11">
      <c r="A1678" s="74" t="s">
        <v>308</v>
      </c>
      <c r="B1678" s="74" t="s">
        <v>294</v>
      </c>
      <c r="C1678" s="74" t="s">
        <v>295</v>
      </c>
      <c r="D1678" s="74" t="s">
        <v>82</v>
      </c>
      <c r="E1678" s="88" t="s">
        <v>85</v>
      </c>
      <c r="F1678" s="86" t="s">
        <v>208</v>
      </c>
      <c r="G1678" s="74" t="s">
        <v>289</v>
      </c>
      <c r="H1678" s="87">
        <v>44530</v>
      </c>
      <c r="I1678" s="94">
        <v>3823.52</v>
      </c>
      <c r="J1678" s="94">
        <v>2867.64</v>
      </c>
      <c r="K1678" s="94">
        <v>955.88</v>
      </c>
    </row>
    <row r="1679" spans="1:11">
      <c r="A1679" s="74" t="s">
        <v>308</v>
      </c>
      <c r="B1679" s="74" t="s">
        <v>296</v>
      </c>
      <c r="C1679" s="74" t="s">
        <v>297</v>
      </c>
      <c r="D1679" s="74" t="s">
        <v>82</v>
      </c>
      <c r="E1679" s="88" t="s">
        <v>85</v>
      </c>
      <c r="F1679" s="86" t="s">
        <v>116</v>
      </c>
      <c r="G1679" s="74" t="s">
        <v>289</v>
      </c>
      <c r="H1679" s="87">
        <v>44530</v>
      </c>
      <c r="I1679" s="94">
        <v>3311.31</v>
      </c>
      <c r="J1679" s="94">
        <v>2483.48</v>
      </c>
      <c r="K1679" s="94">
        <v>827.83</v>
      </c>
    </row>
    <row r="1680" spans="1:11">
      <c r="A1680" s="74" t="s">
        <v>308</v>
      </c>
      <c r="B1680" s="74" t="s">
        <v>298</v>
      </c>
      <c r="C1680" s="74" t="s">
        <v>299</v>
      </c>
      <c r="D1680" s="74" t="s">
        <v>82</v>
      </c>
      <c r="E1680" s="88" t="s">
        <v>85</v>
      </c>
      <c r="F1680" s="86" t="s">
        <v>279</v>
      </c>
      <c r="G1680" s="74" t="s">
        <v>300</v>
      </c>
      <c r="H1680" s="87">
        <v>44530</v>
      </c>
      <c r="I1680" s="94">
        <v>5885.3</v>
      </c>
      <c r="J1680" s="94">
        <v>4413.98</v>
      </c>
      <c r="K1680" s="94">
        <v>1471.32</v>
      </c>
    </row>
    <row r="1681" spans="1:11">
      <c r="A1681" s="74" t="s">
        <v>308</v>
      </c>
      <c r="B1681" s="74" t="s">
        <v>301</v>
      </c>
      <c r="C1681" s="74" t="s">
        <v>302</v>
      </c>
      <c r="D1681" s="74" t="s">
        <v>82</v>
      </c>
      <c r="E1681" s="88" t="s">
        <v>85</v>
      </c>
      <c r="F1681" s="86" t="s">
        <v>279</v>
      </c>
      <c r="G1681" s="74" t="s">
        <v>303</v>
      </c>
      <c r="H1681" s="87">
        <v>44530</v>
      </c>
      <c r="I1681" s="94">
        <v>6083.41</v>
      </c>
      <c r="J1681" s="94">
        <v>4562.56</v>
      </c>
      <c r="K1681" s="94">
        <v>1520.85</v>
      </c>
    </row>
    <row r="1682" spans="1:11">
      <c r="A1682" s="74" t="s">
        <v>308</v>
      </c>
      <c r="B1682" s="74" t="s">
        <v>304</v>
      </c>
      <c r="C1682" s="74" t="s">
        <v>305</v>
      </c>
      <c r="D1682" s="74" t="s">
        <v>86</v>
      </c>
      <c r="E1682" s="74" t="s">
        <v>90</v>
      </c>
      <c r="F1682" s="86" t="s">
        <v>306</v>
      </c>
      <c r="G1682" s="74" t="s">
        <v>307</v>
      </c>
      <c r="H1682" s="87">
        <v>44530</v>
      </c>
      <c r="I1682" s="94">
        <v>6683.85</v>
      </c>
      <c r="J1682" s="94">
        <v>5012.89</v>
      </c>
      <c r="K1682" s="94">
        <v>1670.96</v>
      </c>
    </row>
    <row r="1683" spans="1:11">
      <c r="A1683" s="74" t="s">
        <v>308</v>
      </c>
      <c r="B1683" s="74" t="s">
        <v>114</v>
      </c>
      <c r="C1683" s="74" t="s">
        <v>115</v>
      </c>
      <c r="D1683" s="74" t="s">
        <v>79</v>
      </c>
      <c r="E1683" s="74" t="s">
        <v>80</v>
      </c>
      <c r="F1683" s="86" t="s">
        <v>116</v>
      </c>
      <c r="G1683" s="74" t="s">
        <v>117</v>
      </c>
      <c r="H1683" s="87">
        <v>44561</v>
      </c>
      <c r="I1683" s="94">
        <v>3337.99</v>
      </c>
      <c r="J1683" s="94">
        <v>2503.49</v>
      </c>
      <c r="K1683" s="94">
        <v>834.5</v>
      </c>
    </row>
    <row r="1684" spans="1:11">
      <c r="A1684" s="74" t="s">
        <v>308</v>
      </c>
      <c r="B1684" s="74" t="s">
        <v>118</v>
      </c>
      <c r="C1684" s="74" t="s">
        <v>119</v>
      </c>
      <c r="D1684" s="74" t="s">
        <v>79</v>
      </c>
      <c r="E1684" s="74" t="s">
        <v>80</v>
      </c>
      <c r="F1684" s="86" t="s">
        <v>120</v>
      </c>
      <c r="G1684" s="74" t="s">
        <v>117</v>
      </c>
      <c r="H1684" s="87">
        <v>44561</v>
      </c>
      <c r="I1684" s="94">
        <v>2855.59</v>
      </c>
      <c r="J1684" s="94">
        <v>2141.69</v>
      </c>
      <c r="K1684" s="94">
        <v>713.9</v>
      </c>
    </row>
    <row r="1685" spans="1:11">
      <c r="A1685" s="74" t="s">
        <v>308</v>
      </c>
      <c r="B1685" s="74" t="s">
        <v>121</v>
      </c>
      <c r="C1685" s="74" t="s">
        <v>122</v>
      </c>
      <c r="D1685" s="74" t="s">
        <v>79</v>
      </c>
      <c r="E1685" s="74" t="s">
        <v>80</v>
      </c>
      <c r="F1685" s="86" t="s">
        <v>123</v>
      </c>
      <c r="G1685" s="74" t="s">
        <v>117</v>
      </c>
      <c r="H1685" s="87">
        <v>44561</v>
      </c>
      <c r="I1685" s="94">
        <v>2543.09</v>
      </c>
      <c r="J1685" s="94">
        <v>1907.32</v>
      </c>
      <c r="K1685" s="94">
        <v>635.77</v>
      </c>
    </row>
    <row r="1686" spans="1:11">
      <c r="A1686" s="74" t="s">
        <v>308</v>
      </c>
      <c r="B1686" s="74" t="s">
        <v>124</v>
      </c>
      <c r="C1686" s="74" t="s">
        <v>125</v>
      </c>
      <c r="D1686" s="74" t="s">
        <v>79</v>
      </c>
      <c r="E1686" s="74" t="s">
        <v>80</v>
      </c>
      <c r="F1686" s="86" t="s">
        <v>116</v>
      </c>
      <c r="G1686" s="74" t="s">
        <v>117</v>
      </c>
      <c r="H1686" s="87">
        <v>44561</v>
      </c>
      <c r="I1686" s="94">
        <v>3254.73</v>
      </c>
      <c r="J1686" s="94">
        <v>2441.05</v>
      </c>
      <c r="K1686" s="94">
        <v>813.68</v>
      </c>
    </row>
    <row r="1687" spans="1:11">
      <c r="A1687" s="74" t="s">
        <v>308</v>
      </c>
      <c r="B1687" s="74" t="s">
        <v>126</v>
      </c>
      <c r="C1687" s="74" t="s">
        <v>127</v>
      </c>
      <c r="D1687" s="74" t="s">
        <v>79</v>
      </c>
      <c r="E1687" s="74" t="s">
        <v>80</v>
      </c>
      <c r="F1687" s="86" t="s">
        <v>120</v>
      </c>
      <c r="G1687" s="74" t="s">
        <v>117</v>
      </c>
      <c r="H1687" s="87">
        <v>44561</v>
      </c>
      <c r="I1687" s="94">
        <v>2908.96</v>
      </c>
      <c r="J1687" s="94">
        <v>2181.72</v>
      </c>
      <c r="K1687" s="94">
        <v>727.24</v>
      </c>
    </row>
    <row r="1688" spans="1:11">
      <c r="A1688" s="74" t="s">
        <v>308</v>
      </c>
      <c r="B1688" s="74" t="s">
        <v>128</v>
      </c>
      <c r="C1688" s="74" t="s">
        <v>129</v>
      </c>
      <c r="D1688" s="74" t="s">
        <v>79</v>
      </c>
      <c r="E1688" s="74" t="s">
        <v>80</v>
      </c>
      <c r="F1688" s="86" t="s">
        <v>123</v>
      </c>
      <c r="G1688" s="74" t="s">
        <v>117</v>
      </c>
      <c r="H1688" s="87">
        <v>44561</v>
      </c>
      <c r="I1688" s="94">
        <v>2362.94</v>
      </c>
      <c r="J1688" s="94">
        <v>1772.21</v>
      </c>
      <c r="K1688" s="94">
        <v>590.73</v>
      </c>
    </row>
    <row r="1689" spans="1:11">
      <c r="A1689" s="74" t="s">
        <v>308</v>
      </c>
      <c r="B1689" s="74" t="s">
        <v>130</v>
      </c>
      <c r="C1689" s="74" t="s">
        <v>131</v>
      </c>
      <c r="D1689" s="74" t="s">
        <v>79</v>
      </c>
      <c r="E1689" s="74" t="s">
        <v>80</v>
      </c>
      <c r="F1689" s="86" t="s">
        <v>116</v>
      </c>
      <c r="G1689" s="74" t="s">
        <v>117</v>
      </c>
      <c r="H1689" s="87">
        <v>44561</v>
      </c>
      <c r="I1689" s="94">
        <v>3234.71</v>
      </c>
      <c r="J1689" s="94">
        <v>2426.03</v>
      </c>
      <c r="K1689" s="94">
        <v>808.68</v>
      </c>
    </row>
    <row r="1690" spans="1:11">
      <c r="A1690" s="74" t="s">
        <v>308</v>
      </c>
      <c r="B1690" s="74" t="s">
        <v>132</v>
      </c>
      <c r="C1690" s="74" t="s">
        <v>133</v>
      </c>
      <c r="D1690" s="74" t="s">
        <v>79</v>
      </c>
      <c r="E1690" s="74" t="s">
        <v>80</v>
      </c>
      <c r="F1690" s="86" t="s">
        <v>120</v>
      </c>
      <c r="G1690" s="74" t="s">
        <v>117</v>
      </c>
      <c r="H1690" s="87">
        <v>44561</v>
      </c>
      <c r="I1690" s="94">
        <v>2793.61</v>
      </c>
      <c r="J1690" s="94">
        <v>2095.21</v>
      </c>
      <c r="K1690" s="94">
        <v>698.4</v>
      </c>
    </row>
    <row r="1691" spans="1:11">
      <c r="A1691" s="74" t="s">
        <v>308</v>
      </c>
      <c r="B1691" s="74" t="s">
        <v>134</v>
      </c>
      <c r="C1691" s="74" t="s">
        <v>135</v>
      </c>
      <c r="D1691" s="74" t="s">
        <v>79</v>
      </c>
      <c r="E1691" s="74" t="s">
        <v>80</v>
      </c>
      <c r="F1691" s="86" t="s">
        <v>123</v>
      </c>
      <c r="G1691" s="74" t="s">
        <v>117</v>
      </c>
      <c r="H1691" s="87">
        <v>44561</v>
      </c>
      <c r="I1691" s="94">
        <v>2428.06</v>
      </c>
      <c r="J1691" s="94">
        <v>1821.05</v>
      </c>
      <c r="K1691" s="94">
        <v>607.01</v>
      </c>
    </row>
    <row r="1692" spans="1:11">
      <c r="A1692" s="74" t="s">
        <v>308</v>
      </c>
      <c r="B1692" s="74" t="s">
        <v>136</v>
      </c>
      <c r="C1692" s="74" t="s">
        <v>137</v>
      </c>
      <c r="D1692" s="74" t="s">
        <v>79</v>
      </c>
      <c r="E1692" s="74" t="s">
        <v>80</v>
      </c>
      <c r="F1692" s="86" t="s">
        <v>116</v>
      </c>
      <c r="G1692" s="74" t="s">
        <v>138</v>
      </c>
      <c r="H1692" s="87">
        <v>44561</v>
      </c>
      <c r="I1692" s="94">
        <v>3132.82</v>
      </c>
      <c r="J1692" s="94">
        <v>2349.62</v>
      </c>
      <c r="K1692" s="94">
        <v>783.2</v>
      </c>
    </row>
    <row r="1693" spans="1:11">
      <c r="A1693" s="74" t="s">
        <v>308</v>
      </c>
      <c r="B1693" s="74" t="s">
        <v>139</v>
      </c>
      <c r="C1693" s="74" t="s">
        <v>140</v>
      </c>
      <c r="D1693" s="74" t="s">
        <v>79</v>
      </c>
      <c r="E1693" s="74" t="s">
        <v>80</v>
      </c>
      <c r="F1693" s="86" t="s">
        <v>120</v>
      </c>
      <c r="G1693" s="74" t="s">
        <v>138</v>
      </c>
      <c r="H1693" s="87">
        <v>44561</v>
      </c>
      <c r="I1693" s="94">
        <v>2778.9</v>
      </c>
      <c r="J1693" s="94">
        <v>2084.18</v>
      </c>
      <c r="K1693" s="94">
        <v>694.72</v>
      </c>
    </row>
    <row r="1694" spans="1:11">
      <c r="A1694" s="74" t="s">
        <v>308</v>
      </c>
      <c r="B1694" s="74" t="s">
        <v>141</v>
      </c>
      <c r="C1694" s="74" t="s">
        <v>142</v>
      </c>
      <c r="D1694" s="74" t="s">
        <v>79</v>
      </c>
      <c r="E1694" s="74" t="s">
        <v>80</v>
      </c>
      <c r="F1694" s="86" t="s">
        <v>123</v>
      </c>
      <c r="G1694" s="74" t="s">
        <v>138</v>
      </c>
      <c r="H1694" s="87">
        <v>44561</v>
      </c>
      <c r="I1694" s="94">
        <v>2497.57</v>
      </c>
      <c r="J1694" s="94">
        <v>1873.18</v>
      </c>
      <c r="K1694" s="94">
        <v>624.39</v>
      </c>
    </row>
    <row r="1695" spans="1:11">
      <c r="A1695" s="74" t="s">
        <v>308</v>
      </c>
      <c r="B1695" s="74" t="s">
        <v>143</v>
      </c>
      <c r="C1695" s="74" t="s">
        <v>144</v>
      </c>
      <c r="D1695" s="74" t="s">
        <v>79</v>
      </c>
      <c r="E1695" s="74" t="s">
        <v>80</v>
      </c>
      <c r="F1695" s="86" t="s">
        <v>145</v>
      </c>
      <c r="G1695" s="74" t="s">
        <v>146</v>
      </c>
      <c r="H1695" s="87">
        <v>44561</v>
      </c>
      <c r="I1695" s="94">
        <v>7941.45</v>
      </c>
      <c r="J1695" s="94">
        <v>5956.09</v>
      </c>
      <c r="K1695" s="94">
        <v>1985.36</v>
      </c>
    </row>
    <row r="1696" spans="1:11">
      <c r="A1696" s="74" t="s">
        <v>308</v>
      </c>
      <c r="B1696" s="74" t="s">
        <v>147</v>
      </c>
      <c r="C1696" s="74" t="s">
        <v>148</v>
      </c>
      <c r="D1696" s="74" t="s">
        <v>79</v>
      </c>
      <c r="E1696" s="74" t="s">
        <v>80</v>
      </c>
      <c r="F1696" s="86" t="s">
        <v>149</v>
      </c>
      <c r="G1696" s="74" t="s">
        <v>150</v>
      </c>
      <c r="H1696" s="87">
        <v>44561</v>
      </c>
      <c r="I1696" s="94">
        <v>6897.81</v>
      </c>
      <c r="J1696" s="94">
        <v>5173.36</v>
      </c>
      <c r="K1696" s="94">
        <v>1724.45</v>
      </c>
    </row>
    <row r="1697" spans="1:11">
      <c r="A1697" s="74" t="s">
        <v>308</v>
      </c>
      <c r="B1697" s="74" t="s">
        <v>151</v>
      </c>
      <c r="C1697" s="74" t="s">
        <v>152</v>
      </c>
      <c r="D1697" s="74" t="s">
        <v>79</v>
      </c>
      <c r="E1697" s="74" t="s">
        <v>81</v>
      </c>
      <c r="F1697" s="86" t="s">
        <v>123</v>
      </c>
      <c r="G1697" s="74" t="s">
        <v>153</v>
      </c>
      <c r="H1697" s="87">
        <v>44561</v>
      </c>
      <c r="I1697" s="94">
        <v>2342.67</v>
      </c>
      <c r="J1697" s="94">
        <v>1757</v>
      </c>
      <c r="K1697" s="94">
        <v>585.67</v>
      </c>
    </row>
    <row r="1698" spans="1:11">
      <c r="A1698" s="74" t="s">
        <v>308</v>
      </c>
      <c r="B1698" s="74" t="s">
        <v>154</v>
      </c>
      <c r="C1698" s="74" t="s">
        <v>155</v>
      </c>
      <c r="D1698" s="74" t="s">
        <v>79</v>
      </c>
      <c r="E1698" s="74" t="s">
        <v>81</v>
      </c>
      <c r="F1698" s="86" t="s">
        <v>156</v>
      </c>
      <c r="G1698" s="74" t="s">
        <v>157</v>
      </c>
      <c r="H1698" s="87">
        <v>44561</v>
      </c>
      <c r="I1698" s="94">
        <v>1959.53</v>
      </c>
      <c r="J1698" s="94">
        <v>1469.65</v>
      </c>
      <c r="K1698" s="94">
        <v>489.88</v>
      </c>
    </row>
    <row r="1699" spans="1:11">
      <c r="A1699" s="74" t="s">
        <v>308</v>
      </c>
      <c r="B1699" s="74" t="s">
        <v>158</v>
      </c>
      <c r="C1699" s="74" t="s">
        <v>159</v>
      </c>
      <c r="D1699" s="74" t="s">
        <v>79</v>
      </c>
      <c r="E1699" s="74" t="s">
        <v>81</v>
      </c>
      <c r="F1699" s="86" t="s">
        <v>160</v>
      </c>
      <c r="G1699" s="74" t="s">
        <v>161</v>
      </c>
      <c r="H1699" s="87">
        <v>44561</v>
      </c>
      <c r="I1699" s="94">
        <v>1587.48</v>
      </c>
      <c r="J1699" s="94">
        <v>1190.61</v>
      </c>
      <c r="K1699" s="94">
        <v>396.87</v>
      </c>
    </row>
    <row r="1700" spans="1:11">
      <c r="A1700" s="74" t="s">
        <v>308</v>
      </c>
      <c r="B1700" s="74" t="s">
        <v>162</v>
      </c>
      <c r="C1700" s="74" t="s">
        <v>163</v>
      </c>
      <c r="D1700" s="74" t="s">
        <v>79</v>
      </c>
      <c r="E1700" s="74" t="s">
        <v>81</v>
      </c>
      <c r="F1700" s="86" t="s">
        <v>123</v>
      </c>
      <c r="G1700" s="74" t="s">
        <v>153</v>
      </c>
      <c r="H1700" s="87">
        <v>44561</v>
      </c>
      <c r="I1700" s="94">
        <v>2501.29</v>
      </c>
      <c r="J1700" s="94">
        <v>1875.97</v>
      </c>
      <c r="K1700" s="94">
        <v>625.32</v>
      </c>
    </row>
    <row r="1701" spans="1:11">
      <c r="A1701" s="74" t="s">
        <v>308</v>
      </c>
      <c r="B1701" s="74" t="s">
        <v>164</v>
      </c>
      <c r="C1701" s="74" t="s">
        <v>165</v>
      </c>
      <c r="D1701" s="74" t="s">
        <v>79</v>
      </c>
      <c r="E1701" s="74" t="s">
        <v>81</v>
      </c>
      <c r="F1701" s="86" t="s">
        <v>156</v>
      </c>
      <c r="G1701" s="74" t="s">
        <v>157</v>
      </c>
      <c r="H1701" s="87">
        <v>44561</v>
      </c>
      <c r="I1701" s="94">
        <v>2037.67</v>
      </c>
      <c r="J1701" s="94">
        <v>1528.25</v>
      </c>
      <c r="K1701" s="94">
        <v>509.42</v>
      </c>
    </row>
    <row r="1702" spans="1:11">
      <c r="A1702" s="74" t="s">
        <v>308</v>
      </c>
      <c r="B1702" s="74" t="s">
        <v>166</v>
      </c>
      <c r="C1702" s="74" t="s">
        <v>167</v>
      </c>
      <c r="D1702" s="74" t="s">
        <v>79</v>
      </c>
      <c r="E1702" s="74" t="s">
        <v>81</v>
      </c>
      <c r="F1702" s="86" t="s">
        <v>160</v>
      </c>
      <c r="G1702" s="74" t="s">
        <v>161</v>
      </c>
      <c r="H1702" s="87">
        <v>44561</v>
      </c>
      <c r="I1702" s="94">
        <v>1593.52</v>
      </c>
      <c r="J1702" s="94">
        <v>1195.14</v>
      </c>
      <c r="K1702" s="94">
        <v>398.38</v>
      </c>
    </row>
    <row r="1703" spans="1:11">
      <c r="A1703" s="74" t="s">
        <v>308</v>
      </c>
      <c r="B1703" s="74" t="s">
        <v>168</v>
      </c>
      <c r="C1703" s="74" t="s">
        <v>169</v>
      </c>
      <c r="D1703" s="74" t="s">
        <v>79</v>
      </c>
      <c r="E1703" s="74" t="s">
        <v>81</v>
      </c>
      <c r="F1703" s="86" t="s">
        <v>123</v>
      </c>
      <c r="G1703" s="74" t="s">
        <v>153</v>
      </c>
      <c r="H1703" s="87">
        <v>44561</v>
      </c>
      <c r="I1703" s="94">
        <v>2408.34</v>
      </c>
      <c r="J1703" s="94">
        <v>1806.26</v>
      </c>
      <c r="K1703" s="94">
        <v>602.08</v>
      </c>
    </row>
    <row r="1704" spans="1:11">
      <c r="A1704" s="74" t="s">
        <v>308</v>
      </c>
      <c r="B1704" s="74" t="s">
        <v>170</v>
      </c>
      <c r="C1704" s="74" t="s">
        <v>171</v>
      </c>
      <c r="D1704" s="74" t="s">
        <v>79</v>
      </c>
      <c r="E1704" s="74" t="s">
        <v>81</v>
      </c>
      <c r="F1704" s="86" t="s">
        <v>156</v>
      </c>
      <c r="G1704" s="74" t="s">
        <v>157</v>
      </c>
      <c r="H1704" s="87">
        <v>44561</v>
      </c>
      <c r="I1704" s="94">
        <v>2137.62</v>
      </c>
      <c r="J1704" s="94">
        <v>1603.22</v>
      </c>
      <c r="K1704" s="94">
        <v>534.4</v>
      </c>
    </row>
    <row r="1705" spans="1:11">
      <c r="A1705" s="74" t="s">
        <v>308</v>
      </c>
      <c r="B1705" s="74" t="s">
        <v>172</v>
      </c>
      <c r="C1705" s="74" t="s">
        <v>173</v>
      </c>
      <c r="D1705" s="74" t="s">
        <v>79</v>
      </c>
      <c r="E1705" s="74" t="s">
        <v>81</v>
      </c>
      <c r="F1705" s="86" t="s">
        <v>160</v>
      </c>
      <c r="G1705" s="74" t="s">
        <v>161</v>
      </c>
      <c r="H1705" s="87">
        <v>44561</v>
      </c>
      <c r="I1705" s="94">
        <v>1673.08</v>
      </c>
      <c r="J1705" s="94">
        <v>1254.81</v>
      </c>
      <c r="K1705" s="94">
        <v>418.27</v>
      </c>
    </row>
    <row r="1706" spans="1:11">
      <c r="A1706" s="74" t="s">
        <v>308</v>
      </c>
      <c r="B1706" s="74" t="s">
        <v>174</v>
      </c>
      <c r="C1706" s="74" t="s">
        <v>175</v>
      </c>
      <c r="D1706" s="74" t="s">
        <v>79</v>
      </c>
      <c r="E1706" s="74" t="s">
        <v>81</v>
      </c>
      <c r="F1706" s="86" t="s">
        <v>176</v>
      </c>
      <c r="G1706" s="74" t="s">
        <v>177</v>
      </c>
      <c r="H1706" s="87">
        <v>44561</v>
      </c>
      <c r="I1706" s="94">
        <v>1236.8</v>
      </c>
      <c r="J1706" s="94">
        <v>927.6</v>
      </c>
      <c r="K1706" s="94">
        <v>309.2</v>
      </c>
    </row>
    <row r="1707" spans="1:11">
      <c r="A1707" s="74" t="s">
        <v>308</v>
      </c>
      <c r="B1707" s="74" t="s">
        <v>178</v>
      </c>
      <c r="C1707" s="74" t="s">
        <v>179</v>
      </c>
      <c r="D1707" s="74" t="s">
        <v>79</v>
      </c>
      <c r="E1707" s="74" t="s">
        <v>81</v>
      </c>
      <c r="F1707" s="86" t="s">
        <v>180</v>
      </c>
      <c r="G1707" s="74" t="s">
        <v>177</v>
      </c>
      <c r="H1707" s="87">
        <v>44561</v>
      </c>
      <c r="I1707" s="94">
        <v>788.37</v>
      </c>
      <c r="J1707" s="94">
        <v>591.28</v>
      </c>
      <c r="K1707" s="94">
        <v>197.09</v>
      </c>
    </row>
    <row r="1708" spans="1:11">
      <c r="A1708" s="74" t="s">
        <v>308</v>
      </c>
      <c r="B1708" s="74" t="s">
        <v>181</v>
      </c>
      <c r="C1708" s="74" t="s">
        <v>182</v>
      </c>
      <c r="D1708" s="74" t="s">
        <v>79</v>
      </c>
      <c r="E1708" s="74" t="s">
        <v>81</v>
      </c>
      <c r="F1708" s="86" t="s">
        <v>183</v>
      </c>
      <c r="G1708" s="74" t="s">
        <v>177</v>
      </c>
      <c r="H1708" s="87">
        <v>44561</v>
      </c>
      <c r="I1708" s="94">
        <v>395.39</v>
      </c>
      <c r="J1708" s="94">
        <v>296.54</v>
      </c>
      <c r="K1708" s="94">
        <v>98.85</v>
      </c>
    </row>
    <row r="1709" spans="1:11">
      <c r="A1709" s="74" t="s">
        <v>308</v>
      </c>
      <c r="B1709" s="74" t="s">
        <v>184</v>
      </c>
      <c r="C1709" s="74" t="s">
        <v>185</v>
      </c>
      <c r="D1709" s="74" t="s">
        <v>79</v>
      </c>
      <c r="E1709" s="74" t="s">
        <v>81</v>
      </c>
      <c r="F1709" s="86" t="s">
        <v>176</v>
      </c>
      <c r="G1709" s="74" t="s">
        <v>177</v>
      </c>
      <c r="H1709" s="87">
        <v>44561</v>
      </c>
      <c r="I1709" s="94">
        <v>1205.63</v>
      </c>
      <c r="J1709" s="94">
        <v>904.22</v>
      </c>
      <c r="K1709" s="94">
        <v>301.41</v>
      </c>
    </row>
    <row r="1710" spans="1:11">
      <c r="A1710" s="74" t="s">
        <v>308</v>
      </c>
      <c r="B1710" s="74" t="s">
        <v>186</v>
      </c>
      <c r="C1710" s="74" t="s">
        <v>187</v>
      </c>
      <c r="D1710" s="74" t="s">
        <v>79</v>
      </c>
      <c r="E1710" s="74" t="s">
        <v>81</v>
      </c>
      <c r="F1710" s="86" t="s">
        <v>180</v>
      </c>
      <c r="G1710" s="74" t="s">
        <v>177</v>
      </c>
      <c r="H1710" s="87">
        <v>44561</v>
      </c>
      <c r="I1710" s="94">
        <v>822.2</v>
      </c>
      <c r="J1710" s="94">
        <v>616.65</v>
      </c>
      <c r="K1710" s="94">
        <v>205.55</v>
      </c>
    </row>
    <row r="1711" spans="1:11">
      <c r="A1711" s="74" t="s">
        <v>308</v>
      </c>
      <c r="B1711" s="74" t="s">
        <v>188</v>
      </c>
      <c r="C1711" s="74" t="s">
        <v>189</v>
      </c>
      <c r="D1711" s="74" t="s">
        <v>79</v>
      </c>
      <c r="E1711" s="74" t="s">
        <v>81</v>
      </c>
      <c r="F1711" s="86" t="s">
        <v>183</v>
      </c>
      <c r="G1711" s="74" t="s">
        <v>177</v>
      </c>
      <c r="H1711" s="87">
        <v>44561</v>
      </c>
      <c r="I1711" s="94">
        <v>391.38</v>
      </c>
      <c r="J1711" s="94">
        <v>293.54</v>
      </c>
      <c r="K1711" s="94">
        <v>97.84</v>
      </c>
    </row>
    <row r="1712" spans="1:11">
      <c r="A1712" s="74" t="s">
        <v>308</v>
      </c>
      <c r="B1712" s="74" t="s">
        <v>190</v>
      </c>
      <c r="C1712" s="74" t="s">
        <v>191</v>
      </c>
      <c r="D1712" s="74" t="s">
        <v>79</v>
      </c>
      <c r="E1712" s="74" t="s">
        <v>81</v>
      </c>
      <c r="F1712" s="86" t="s">
        <v>176</v>
      </c>
      <c r="G1712" s="74" t="s">
        <v>177</v>
      </c>
      <c r="H1712" s="87">
        <v>44561</v>
      </c>
      <c r="I1712" s="94">
        <v>1279.77</v>
      </c>
      <c r="J1712" s="94">
        <v>959.83</v>
      </c>
      <c r="K1712" s="94">
        <v>319.94</v>
      </c>
    </row>
    <row r="1713" spans="1:11">
      <c r="A1713" s="74" t="s">
        <v>308</v>
      </c>
      <c r="B1713" s="74" t="s">
        <v>192</v>
      </c>
      <c r="C1713" s="74" t="s">
        <v>193</v>
      </c>
      <c r="D1713" s="74" t="s">
        <v>79</v>
      </c>
      <c r="E1713" s="74" t="s">
        <v>81</v>
      </c>
      <c r="F1713" s="86" t="s">
        <v>180</v>
      </c>
      <c r="G1713" s="74" t="s">
        <v>177</v>
      </c>
      <c r="H1713" s="87">
        <v>44561</v>
      </c>
      <c r="I1713" s="94">
        <v>831.07</v>
      </c>
      <c r="J1713" s="94">
        <v>623.3</v>
      </c>
      <c r="K1713" s="94">
        <v>207.77</v>
      </c>
    </row>
    <row r="1714" spans="1:11">
      <c r="A1714" s="74" t="s">
        <v>308</v>
      </c>
      <c r="B1714" s="74" t="s">
        <v>194</v>
      </c>
      <c r="C1714" s="74" t="s">
        <v>195</v>
      </c>
      <c r="D1714" s="74" t="s">
        <v>79</v>
      </c>
      <c r="E1714" s="74" t="s">
        <v>81</v>
      </c>
      <c r="F1714" s="86" t="s">
        <v>183</v>
      </c>
      <c r="G1714" s="74" t="s">
        <v>177</v>
      </c>
      <c r="H1714" s="87">
        <v>44561</v>
      </c>
      <c r="I1714" s="94">
        <v>390.87</v>
      </c>
      <c r="J1714" s="94">
        <v>293.15</v>
      </c>
      <c r="K1714" s="94">
        <v>97.72</v>
      </c>
    </row>
    <row r="1715" spans="1:11">
      <c r="A1715" s="74" t="s">
        <v>308</v>
      </c>
      <c r="B1715" s="74" t="s">
        <v>196</v>
      </c>
      <c r="C1715" s="74" t="s">
        <v>197</v>
      </c>
      <c r="D1715" s="74" t="s">
        <v>79</v>
      </c>
      <c r="E1715" s="74" t="s">
        <v>81</v>
      </c>
      <c r="F1715" s="86" t="s">
        <v>176</v>
      </c>
      <c r="G1715" s="74" t="s">
        <v>177</v>
      </c>
      <c r="H1715" s="87">
        <v>44561</v>
      </c>
      <c r="I1715" s="94">
        <v>1218.71</v>
      </c>
      <c r="J1715" s="94">
        <v>914.03</v>
      </c>
      <c r="K1715" s="94">
        <v>304.68</v>
      </c>
    </row>
    <row r="1716" spans="1:11">
      <c r="A1716" s="74" t="s">
        <v>308</v>
      </c>
      <c r="B1716" s="74" t="s">
        <v>198</v>
      </c>
      <c r="C1716" s="74" t="s">
        <v>199</v>
      </c>
      <c r="D1716" s="74" t="s">
        <v>79</v>
      </c>
      <c r="E1716" s="74" t="s">
        <v>81</v>
      </c>
      <c r="F1716" s="86" t="s">
        <v>180</v>
      </c>
      <c r="G1716" s="74" t="s">
        <v>177</v>
      </c>
      <c r="H1716" s="87">
        <v>44561</v>
      </c>
      <c r="I1716" s="94">
        <v>853.75</v>
      </c>
      <c r="J1716" s="94">
        <v>640.31</v>
      </c>
      <c r="K1716" s="94">
        <v>213.44</v>
      </c>
    </row>
    <row r="1717" spans="1:11">
      <c r="A1717" s="74" t="s">
        <v>308</v>
      </c>
      <c r="B1717" s="74" t="s">
        <v>200</v>
      </c>
      <c r="C1717" s="74" t="s">
        <v>201</v>
      </c>
      <c r="D1717" s="74" t="s">
        <v>79</v>
      </c>
      <c r="E1717" s="74" t="s">
        <v>81</v>
      </c>
      <c r="F1717" s="86" t="s">
        <v>183</v>
      </c>
      <c r="G1717" s="74" t="s">
        <v>177</v>
      </c>
      <c r="H1717" s="87">
        <v>44561</v>
      </c>
      <c r="I1717" s="94">
        <v>393.15</v>
      </c>
      <c r="J1717" s="94">
        <v>294.86</v>
      </c>
      <c r="K1717" s="94">
        <v>98.29</v>
      </c>
    </row>
    <row r="1718" spans="1:11">
      <c r="A1718" s="74" t="s">
        <v>308</v>
      </c>
      <c r="B1718" s="74" t="s">
        <v>202</v>
      </c>
      <c r="C1718" s="74" t="s">
        <v>203</v>
      </c>
      <c r="D1718" s="74" t="s">
        <v>79</v>
      </c>
      <c r="E1718" s="74" t="s">
        <v>81</v>
      </c>
      <c r="F1718" s="86" t="s">
        <v>204</v>
      </c>
      <c r="G1718" s="74" t="s">
        <v>205</v>
      </c>
      <c r="H1718" s="87">
        <v>44561</v>
      </c>
      <c r="I1718" s="94">
        <v>7039.82</v>
      </c>
      <c r="J1718" s="94">
        <v>5279.87</v>
      </c>
      <c r="K1718" s="94">
        <v>1759.95</v>
      </c>
    </row>
    <row r="1719" spans="1:11">
      <c r="A1719" s="74" t="s">
        <v>308</v>
      </c>
      <c r="B1719" s="74" t="s">
        <v>206</v>
      </c>
      <c r="C1719" s="74" t="s">
        <v>207</v>
      </c>
      <c r="D1719" s="88" t="s">
        <v>82</v>
      </c>
      <c r="E1719" s="88" t="s">
        <v>84</v>
      </c>
      <c r="F1719" s="86" t="s">
        <v>208</v>
      </c>
      <c r="G1719" s="74" t="s">
        <v>209</v>
      </c>
      <c r="H1719" s="87">
        <v>44561</v>
      </c>
      <c r="I1719" s="94">
        <v>3613.48</v>
      </c>
      <c r="J1719" s="94">
        <v>2710.11</v>
      </c>
      <c r="K1719" s="94">
        <v>903.37</v>
      </c>
    </row>
    <row r="1720" spans="1:11">
      <c r="A1720" s="74" t="s">
        <v>308</v>
      </c>
      <c r="B1720" s="74" t="s">
        <v>210</v>
      </c>
      <c r="C1720" s="74" t="s">
        <v>211</v>
      </c>
      <c r="D1720" s="88" t="s">
        <v>82</v>
      </c>
      <c r="E1720" s="88" t="s">
        <v>84</v>
      </c>
      <c r="F1720" s="86" t="s">
        <v>116</v>
      </c>
      <c r="G1720" s="74" t="s">
        <v>209</v>
      </c>
      <c r="H1720" s="87">
        <v>44561</v>
      </c>
      <c r="I1720" s="94">
        <v>3209.96</v>
      </c>
      <c r="J1720" s="94">
        <v>2407.47</v>
      </c>
      <c r="K1720" s="94">
        <v>802.49</v>
      </c>
    </row>
    <row r="1721" spans="1:11">
      <c r="A1721" s="74" t="s">
        <v>308</v>
      </c>
      <c r="B1721" s="74" t="s">
        <v>212</v>
      </c>
      <c r="C1721" s="74" t="s">
        <v>213</v>
      </c>
      <c r="D1721" s="88" t="s">
        <v>82</v>
      </c>
      <c r="E1721" s="88" t="s">
        <v>84</v>
      </c>
      <c r="F1721" s="86" t="s">
        <v>208</v>
      </c>
      <c r="G1721" s="74" t="s">
        <v>209</v>
      </c>
      <c r="H1721" s="87">
        <v>44561</v>
      </c>
      <c r="I1721" s="94">
        <v>3682.72</v>
      </c>
      <c r="J1721" s="94">
        <v>2762.04</v>
      </c>
      <c r="K1721" s="94">
        <v>920.68</v>
      </c>
    </row>
    <row r="1722" spans="1:11">
      <c r="A1722" s="74" t="s">
        <v>308</v>
      </c>
      <c r="B1722" s="74" t="s">
        <v>214</v>
      </c>
      <c r="C1722" s="74" t="s">
        <v>215</v>
      </c>
      <c r="D1722" s="88" t="s">
        <v>82</v>
      </c>
      <c r="E1722" s="88" t="s">
        <v>84</v>
      </c>
      <c r="F1722" s="86" t="s">
        <v>116</v>
      </c>
      <c r="G1722" s="74" t="s">
        <v>209</v>
      </c>
      <c r="H1722" s="87">
        <v>44561</v>
      </c>
      <c r="I1722" s="94">
        <v>3215.51</v>
      </c>
      <c r="J1722" s="94">
        <v>2411.63</v>
      </c>
      <c r="K1722" s="94">
        <v>803.88</v>
      </c>
    </row>
    <row r="1723" spans="1:11">
      <c r="A1723" s="74" t="s">
        <v>308</v>
      </c>
      <c r="B1723" s="74" t="s">
        <v>216</v>
      </c>
      <c r="C1723" s="74" t="s">
        <v>217</v>
      </c>
      <c r="D1723" s="88" t="s">
        <v>82</v>
      </c>
      <c r="E1723" s="88" t="s">
        <v>84</v>
      </c>
      <c r="F1723" s="86" t="s">
        <v>218</v>
      </c>
      <c r="G1723" s="74" t="s">
        <v>219</v>
      </c>
      <c r="H1723" s="87">
        <v>44561</v>
      </c>
      <c r="I1723" s="94">
        <v>4324.44</v>
      </c>
      <c r="J1723" s="94">
        <v>3243.33</v>
      </c>
      <c r="K1723" s="94">
        <v>1081.11</v>
      </c>
    </row>
    <row r="1724" spans="1:11">
      <c r="A1724" s="74" t="s">
        <v>308</v>
      </c>
      <c r="B1724" s="74" t="s">
        <v>220</v>
      </c>
      <c r="C1724" s="74" t="s">
        <v>221</v>
      </c>
      <c r="D1724" s="88" t="s">
        <v>82</v>
      </c>
      <c r="E1724" s="74" t="s">
        <v>83</v>
      </c>
      <c r="F1724" s="86" t="s">
        <v>218</v>
      </c>
      <c r="G1724" s="74" t="s">
        <v>222</v>
      </c>
      <c r="H1724" s="87">
        <v>44561</v>
      </c>
      <c r="I1724" s="94">
        <v>4506.85</v>
      </c>
      <c r="J1724" s="94">
        <v>3380.14</v>
      </c>
      <c r="K1724" s="94">
        <v>1126.71</v>
      </c>
    </row>
    <row r="1725" spans="1:11">
      <c r="A1725" s="74" t="s">
        <v>308</v>
      </c>
      <c r="B1725" s="74" t="s">
        <v>223</v>
      </c>
      <c r="C1725" s="74" t="s">
        <v>224</v>
      </c>
      <c r="D1725" s="88" t="s">
        <v>82</v>
      </c>
      <c r="E1725" s="74" t="s">
        <v>83</v>
      </c>
      <c r="F1725" s="86" t="s">
        <v>225</v>
      </c>
      <c r="G1725" s="74" t="s">
        <v>209</v>
      </c>
      <c r="H1725" s="87">
        <v>44561</v>
      </c>
      <c r="I1725" s="94">
        <v>4002.06</v>
      </c>
      <c r="J1725" s="94">
        <v>3001.55</v>
      </c>
      <c r="K1725" s="94">
        <v>1000.51</v>
      </c>
    </row>
    <row r="1726" spans="1:11">
      <c r="A1726" s="74" t="s">
        <v>308</v>
      </c>
      <c r="B1726" s="74" t="s">
        <v>226</v>
      </c>
      <c r="C1726" s="74" t="s">
        <v>227</v>
      </c>
      <c r="D1726" s="88" t="s">
        <v>82</v>
      </c>
      <c r="E1726" s="74" t="s">
        <v>83</v>
      </c>
      <c r="F1726" s="86" t="s">
        <v>208</v>
      </c>
      <c r="G1726" s="74" t="s">
        <v>209</v>
      </c>
      <c r="H1726" s="87">
        <v>44561</v>
      </c>
      <c r="I1726" s="94">
        <v>3815.77</v>
      </c>
      <c r="J1726" s="94">
        <v>2861.83</v>
      </c>
      <c r="K1726" s="94">
        <v>953.94</v>
      </c>
    </row>
    <row r="1727" spans="1:11">
      <c r="A1727" s="74" t="s">
        <v>308</v>
      </c>
      <c r="B1727" s="74" t="s">
        <v>228</v>
      </c>
      <c r="C1727" s="74" t="s">
        <v>229</v>
      </c>
      <c r="D1727" s="88" t="s">
        <v>82</v>
      </c>
      <c r="E1727" s="74" t="s">
        <v>83</v>
      </c>
      <c r="F1727" s="86" t="s">
        <v>116</v>
      </c>
      <c r="G1727" s="74" t="s">
        <v>209</v>
      </c>
      <c r="H1727" s="87">
        <v>44561</v>
      </c>
      <c r="I1727" s="94">
        <v>3293.31</v>
      </c>
      <c r="J1727" s="94">
        <v>2469.98</v>
      </c>
      <c r="K1727" s="94">
        <v>823.33</v>
      </c>
    </row>
    <row r="1728" spans="1:11">
      <c r="A1728" s="74" t="s">
        <v>308</v>
      </c>
      <c r="B1728" s="74" t="s">
        <v>230</v>
      </c>
      <c r="C1728" s="74" t="s">
        <v>231</v>
      </c>
      <c r="D1728" s="88" t="s">
        <v>82</v>
      </c>
      <c r="E1728" s="74" t="s">
        <v>83</v>
      </c>
      <c r="F1728" s="86" t="s">
        <v>120</v>
      </c>
      <c r="G1728" s="74" t="s">
        <v>209</v>
      </c>
      <c r="H1728" s="87">
        <v>44561</v>
      </c>
      <c r="I1728" s="94">
        <v>2983.53</v>
      </c>
      <c r="J1728" s="94">
        <v>2237.65</v>
      </c>
      <c r="K1728" s="94">
        <v>745.88</v>
      </c>
    </row>
    <row r="1729" spans="1:11">
      <c r="A1729" s="74" t="s">
        <v>308</v>
      </c>
      <c r="B1729" s="74" t="s">
        <v>232</v>
      </c>
      <c r="C1729" s="74" t="s">
        <v>233</v>
      </c>
      <c r="D1729" s="88" t="s">
        <v>82</v>
      </c>
      <c r="E1729" s="74" t="s">
        <v>83</v>
      </c>
      <c r="F1729" s="86" t="s">
        <v>123</v>
      </c>
      <c r="G1729" s="74" t="s">
        <v>209</v>
      </c>
      <c r="H1729" s="87">
        <v>44561</v>
      </c>
      <c r="I1729" s="94">
        <v>2346.15</v>
      </c>
      <c r="J1729" s="94">
        <v>1759.61</v>
      </c>
      <c r="K1729" s="94">
        <v>586.54</v>
      </c>
    </row>
    <row r="1730" spans="1:11">
      <c r="A1730" s="74" t="s">
        <v>308</v>
      </c>
      <c r="B1730" s="74" t="s">
        <v>234</v>
      </c>
      <c r="C1730" s="74" t="s">
        <v>235</v>
      </c>
      <c r="D1730" s="88" t="s">
        <v>82</v>
      </c>
      <c r="E1730" s="74" t="s">
        <v>83</v>
      </c>
      <c r="F1730" s="86" t="s">
        <v>116</v>
      </c>
      <c r="G1730" s="74" t="s">
        <v>209</v>
      </c>
      <c r="H1730" s="87">
        <v>44561</v>
      </c>
      <c r="I1730" s="94">
        <v>3355.8</v>
      </c>
      <c r="J1730" s="94">
        <v>2516.85</v>
      </c>
      <c r="K1730" s="94">
        <v>838.95</v>
      </c>
    </row>
    <row r="1731" spans="1:11">
      <c r="A1731" s="74" t="s">
        <v>308</v>
      </c>
      <c r="B1731" s="74" t="s">
        <v>236</v>
      </c>
      <c r="C1731" s="74" t="s">
        <v>237</v>
      </c>
      <c r="D1731" s="88" t="s">
        <v>82</v>
      </c>
      <c r="E1731" s="74" t="s">
        <v>83</v>
      </c>
      <c r="F1731" s="86" t="s">
        <v>120</v>
      </c>
      <c r="G1731" s="74" t="s">
        <v>209</v>
      </c>
      <c r="H1731" s="87">
        <v>44561</v>
      </c>
      <c r="I1731" s="94">
        <v>2915.18</v>
      </c>
      <c r="J1731" s="94">
        <v>2186.39</v>
      </c>
      <c r="K1731" s="94">
        <v>728.79</v>
      </c>
    </row>
    <row r="1732" spans="1:11">
      <c r="A1732" s="74" t="s">
        <v>308</v>
      </c>
      <c r="B1732" s="74" t="s">
        <v>238</v>
      </c>
      <c r="C1732" s="74" t="s">
        <v>239</v>
      </c>
      <c r="D1732" s="74" t="s">
        <v>86</v>
      </c>
      <c r="E1732" s="74" t="s">
        <v>87</v>
      </c>
      <c r="F1732" s="86" t="s">
        <v>204</v>
      </c>
      <c r="G1732" s="74" t="s">
        <v>240</v>
      </c>
      <c r="H1732" s="87">
        <v>44561</v>
      </c>
      <c r="I1732" s="94">
        <v>5935.39</v>
      </c>
      <c r="J1732" s="94">
        <v>4451.54</v>
      </c>
      <c r="K1732" s="94">
        <v>1483.85</v>
      </c>
    </row>
    <row r="1733" spans="1:11">
      <c r="A1733" s="74" t="s">
        <v>308</v>
      </c>
      <c r="B1733" s="74" t="s">
        <v>241</v>
      </c>
      <c r="C1733" s="74" t="s">
        <v>242</v>
      </c>
      <c r="D1733" s="74" t="s">
        <v>86</v>
      </c>
      <c r="E1733" s="74" t="s">
        <v>87</v>
      </c>
      <c r="F1733" s="86" t="s">
        <v>243</v>
      </c>
      <c r="G1733" s="74" t="s">
        <v>244</v>
      </c>
      <c r="H1733" s="87">
        <v>44561</v>
      </c>
      <c r="I1733" s="94">
        <v>4373.38</v>
      </c>
      <c r="J1733" s="94">
        <v>3280.04</v>
      </c>
      <c r="K1733" s="94">
        <v>1093.34</v>
      </c>
    </row>
    <row r="1734" spans="1:11">
      <c r="A1734" s="74" t="s">
        <v>308</v>
      </c>
      <c r="B1734" s="74" t="s">
        <v>245</v>
      </c>
      <c r="C1734" s="74" t="s">
        <v>246</v>
      </c>
      <c r="D1734" s="74" t="s">
        <v>86</v>
      </c>
      <c r="E1734" s="74" t="s">
        <v>87</v>
      </c>
      <c r="F1734" s="86" t="s">
        <v>247</v>
      </c>
      <c r="G1734" s="74" t="s">
        <v>248</v>
      </c>
      <c r="H1734" s="87">
        <v>44561</v>
      </c>
      <c r="I1734" s="94">
        <v>3976.82</v>
      </c>
      <c r="J1734" s="94">
        <v>2982.62</v>
      </c>
      <c r="K1734" s="94">
        <v>994.2</v>
      </c>
    </row>
    <row r="1735" spans="1:11">
      <c r="A1735" s="74" t="s">
        <v>308</v>
      </c>
      <c r="B1735" s="74" t="s">
        <v>249</v>
      </c>
      <c r="C1735" s="74" t="s">
        <v>250</v>
      </c>
      <c r="D1735" s="74" t="s">
        <v>86</v>
      </c>
      <c r="E1735" s="74" t="s">
        <v>87</v>
      </c>
      <c r="F1735" s="86" t="s">
        <v>251</v>
      </c>
      <c r="G1735" s="74" t="s">
        <v>252</v>
      </c>
      <c r="H1735" s="87">
        <v>44561</v>
      </c>
      <c r="I1735" s="94">
        <v>3640.18</v>
      </c>
      <c r="J1735" s="94">
        <v>2730.14</v>
      </c>
      <c r="K1735" s="94">
        <v>910.04</v>
      </c>
    </row>
    <row r="1736" spans="1:11">
      <c r="A1736" s="74" t="s">
        <v>308</v>
      </c>
      <c r="B1736" s="74" t="s">
        <v>253</v>
      </c>
      <c r="C1736" s="74" t="s">
        <v>254</v>
      </c>
      <c r="D1736" s="74" t="s">
        <v>86</v>
      </c>
      <c r="E1736" s="74" t="s">
        <v>87</v>
      </c>
      <c r="F1736" s="86" t="s">
        <v>255</v>
      </c>
      <c r="G1736" s="74" t="s">
        <v>252</v>
      </c>
      <c r="H1736" s="87">
        <v>44561</v>
      </c>
      <c r="I1736" s="94">
        <v>3249.23</v>
      </c>
      <c r="J1736" s="94">
        <v>2436.92</v>
      </c>
      <c r="K1736" s="94">
        <v>812.31</v>
      </c>
    </row>
    <row r="1737" spans="1:11">
      <c r="A1737" s="74" t="s">
        <v>308</v>
      </c>
      <c r="B1737" s="74" t="s">
        <v>256</v>
      </c>
      <c r="C1737" s="74" t="s">
        <v>257</v>
      </c>
      <c r="D1737" s="74" t="s">
        <v>86</v>
      </c>
      <c r="E1737" s="74" t="s">
        <v>87</v>
      </c>
      <c r="F1737" s="86" t="s">
        <v>258</v>
      </c>
      <c r="G1737" s="74" t="s">
        <v>252</v>
      </c>
      <c r="H1737" s="87">
        <v>44561</v>
      </c>
      <c r="I1737" s="94">
        <v>2837.76</v>
      </c>
      <c r="J1737" s="94">
        <v>2128.32</v>
      </c>
      <c r="K1737" s="94">
        <v>709.44</v>
      </c>
    </row>
    <row r="1738" spans="1:11">
      <c r="A1738" s="74" t="s">
        <v>308</v>
      </c>
      <c r="B1738" s="74" t="s">
        <v>259</v>
      </c>
      <c r="C1738" s="74" t="s">
        <v>260</v>
      </c>
      <c r="D1738" s="74" t="s">
        <v>86</v>
      </c>
      <c r="E1738" s="74" t="s">
        <v>87</v>
      </c>
      <c r="F1738" s="86" t="s">
        <v>261</v>
      </c>
      <c r="G1738" s="74" t="s">
        <v>262</v>
      </c>
      <c r="H1738" s="87">
        <v>44561</v>
      </c>
      <c r="I1738" s="94">
        <v>2501.14</v>
      </c>
      <c r="J1738" s="94">
        <v>1875.86</v>
      </c>
      <c r="K1738" s="94">
        <v>625.28</v>
      </c>
    </row>
    <row r="1739" spans="1:11">
      <c r="A1739" s="74" t="s">
        <v>308</v>
      </c>
      <c r="B1739" s="74" t="s">
        <v>263</v>
      </c>
      <c r="C1739" s="74" t="s">
        <v>264</v>
      </c>
      <c r="D1739" s="74" t="s">
        <v>86</v>
      </c>
      <c r="E1739" s="74" t="s">
        <v>88</v>
      </c>
      <c r="F1739" s="86" t="s">
        <v>149</v>
      </c>
      <c r="G1739" s="74" t="s">
        <v>265</v>
      </c>
      <c r="H1739" s="87">
        <v>44561</v>
      </c>
      <c r="I1739" s="94">
        <v>5744.36</v>
      </c>
      <c r="J1739" s="94">
        <v>4308.27</v>
      </c>
      <c r="K1739" s="94">
        <v>1436.09</v>
      </c>
    </row>
    <row r="1740" spans="1:11">
      <c r="A1740" s="74" t="s">
        <v>308</v>
      </c>
      <c r="B1740" s="74" t="s">
        <v>266</v>
      </c>
      <c r="C1740" s="74" t="s">
        <v>267</v>
      </c>
      <c r="D1740" s="74" t="s">
        <v>86</v>
      </c>
      <c r="E1740" s="74" t="s">
        <v>88</v>
      </c>
      <c r="F1740" s="86" t="s">
        <v>243</v>
      </c>
      <c r="G1740" s="74" t="s">
        <v>268</v>
      </c>
      <c r="H1740" s="87">
        <v>44561</v>
      </c>
      <c r="I1740" s="94">
        <v>4130.33</v>
      </c>
      <c r="J1740" s="94">
        <v>3097.75</v>
      </c>
      <c r="K1740" s="94">
        <v>1032.58</v>
      </c>
    </row>
    <row r="1741" spans="1:11">
      <c r="A1741" s="74" t="s">
        <v>308</v>
      </c>
      <c r="B1741" s="74" t="s">
        <v>269</v>
      </c>
      <c r="C1741" s="74" t="s">
        <v>270</v>
      </c>
      <c r="D1741" s="74" t="s">
        <v>86</v>
      </c>
      <c r="E1741" s="74" t="s">
        <v>88</v>
      </c>
      <c r="F1741" s="86" t="s">
        <v>247</v>
      </c>
      <c r="G1741" s="74" t="s">
        <v>268</v>
      </c>
      <c r="H1741" s="87">
        <v>44561</v>
      </c>
      <c r="I1741" s="94">
        <v>4071.32</v>
      </c>
      <c r="J1741" s="94">
        <v>3053.49</v>
      </c>
      <c r="K1741" s="94">
        <v>1017.83</v>
      </c>
    </row>
    <row r="1742" spans="1:11">
      <c r="A1742" s="74" t="s">
        <v>308</v>
      </c>
      <c r="B1742" s="74" t="s">
        <v>271</v>
      </c>
      <c r="C1742" s="74" t="s">
        <v>272</v>
      </c>
      <c r="D1742" s="74" t="s">
        <v>86</v>
      </c>
      <c r="E1742" s="74" t="s">
        <v>88</v>
      </c>
      <c r="F1742" s="86" t="s">
        <v>251</v>
      </c>
      <c r="G1742" s="74" t="s">
        <v>268</v>
      </c>
      <c r="H1742" s="87">
        <v>44561</v>
      </c>
      <c r="I1742" s="94">
        <v>3617.11</v>
      </c>
      <c r="J1742" s="94">
        <v>2712.83</v>
      </c>
      <c r="K1742" s="94">
        <v>904.28</v>
      </c>
    </row>
    <row r="1743" spans="1:11">
      <c r="A1743" s="74" t="s">
        <v>308</v>
      </c>
      <c r="B1743" s="74" t="s">
        <v>273</v>
      </c>
      <c r="C1743" s="74" t="s">
        <v>274</v>
      </c>
      <c r="D1743" s="74" t="s">
        <v>86</v>
      </c>
      <c r="E1743" s="74" t="s">
        <v>88</v>
      </c>
      <c r="F1743" s="86" t="s">
        <v>255</v>
      </c>
      <c r="G1743" s="74" t="s">
        <v>268</v>
      </c>
      <c r="H1743" s="87">
        <v>44561</v>
      </c>
      <c r="I1743" s="94">
        <v>3227.53</v>
      </c>
      <c r="J1743" s="94">
        <v>2420.65</v>
      </c>
      <c r="K1743" s="94">
        <v>806.88</v>
      </c>
    </row>
    <row r="1744" spans="1:11">
      <c r="A1744" s="74" t="s">
        <v>308</v>
      </c>
      <c r="B1744" s="74" t="s">
        <v>275</v>
      </c>
      <c r="C1744" s="74" t="s">
        <v>276</v>
      </c>
      <c r="D1744" s="74" t="s">
        <v>86</v>
      </c>
      <c r="E1744" s="74" t="s">
        <v>88</v>
      </c>
      <c r="F1744" s="86" t="s">
        <v>258</v>
      </c>
      <c r="G1744" s="74" t="s">
        <v>268</v>
      </c>
      <c r="H1744" s="87">
        <v>44561</v>
      </c>
      <c r="I1744" s="94">
        <v>2825.06</v>
      </c>
      <c r="J1744" s="94">
        <v>2118.8</v>
      </c>
      <c r="K1744" s="94">
        <v>706.26</v>
      </c>
    </row>
    <row r="1745" spans="1:11">
      <c r="A1745" s="74" t="s">
        <v>308</v>
      </c>
      <c r="B1745" s="74" t="s">
        <v>277</v>
      </c>
      <c r="C1745" s="74" t="s">
        <v>278</v>
      </c>
      <c r="D1745" s="74" t="s">
        <v>86</v>
      </c>
      <c r="E1745" s="74" t="s">
        <v>89</v>
      </c>
      <c r="F1745" s="86" t="s">
        <v>279</v>
      </c>
      <c r="G1745" s="74" t="s">
        <v>280</v>
      </c>
      <c r="H1745" s="87">
        <v>44561</v>
      </c>
      <c r="I1745" s="94">
        <v>4751.97</v>
      </c>
      <c r="J1745" s="94">
        <v>3563.98</v>
      </c>
      <c r="K1745" s="94">
        <v>1187.99</v>
      </c>
    </row>
    <row r="1746" spans="1:11">
      <c r="A1746" s="74" t="s">
        <v>308</v>
      </c>
      <c r="B1746" s="74" t="s">
        <v>281</v>
      </c>
      <c r="C1746" s="74" t="s">
        <v>282</v>
      </c>
      <c r="D1746" s="74" t="s">
        <v>86</v>
      </c>
      <c r="E1746" s="74" t="s">
        <v>89</v>
      </c>
      <c r="F1746" s="86" t="s">
        <v>225</v>
      </c>
      <c r="G1746" s="74" t="s">
        <v>283</v>
      </c>
      <c r="H1746" s="87">
        <v>44561</v>
      </c>
      <c r="I1746" s="94">
        <v>3357.86</v>
      </c>
      <c r="J1746" s="94">
        <v>2518.4</v>
      </c>
      <c r="K1746" s="94">
        <v>839.46</v>
      </c>
    </row>
    <row r="1747" spans="1:11">
      <c r="A1747" s="74" t="s">
        <v>308</v>
      </c>
      <c r="B1747" s="74" t="s">
        <v>284</v>
      </c>
      <c r="C1747" s="74" t="s">
        <v>285</v>
      </c>
      <c r="D1747" s="74" t="s">
        <v>86</v>
      </c>
      <c r="E1747" s="74" t="s">
        <v>89</v>
      </c>
      <c r="F1747" s="86" t="s">
        <v>208</v>
      </c>
      <c r="G1747" s="74" t="s">
        <v>283</v>
      </c>
      <c r="H1747" s="87">
        <v>44561</v>
      </c>
      <c r="I1747" s="94">
        <v>3014.52</v>
      </c>
      <c r="J1747" s="94">
        <v>2260.89</v>
      </c>
      <c r="K1747" s="94">
        <v>753.63</v>
      </c>
    </row>
    <row r="1748" spans="1:11">
      <c r="A1748" s="74" t="s">
        <v>308</v>
      </c>
      <c r="B1748" s="74" t="s">
        <v>286</v>
      </c>
      <c r="C1748" s="74" t="s">
        <v>287</v>
      </c>
      <c r="D1748" s="74" t="s">
        <v>82</v>
      </c>
      <c r="E1748" s="88" t="s">
        <v>85</v>
      </c>
      <c r="F1748" s="86" t="s">
        <v>288</v>
      </c>
      <c r="G1748" s="74" t="s">
        <v>289</v>
      </c>
      <c r="H1748" s="87">
        <v>44561</v>
      </c>
      <c r="I1748" s="94">
        <v>5115.32</v>
      </c>
      <c r="J1748" s="94">
        <v>3836.49</v>
      </c>
      <c r="K1748" s="94">
        <v>1278.83</v>
      </c>
    </row>
    <row r="1749" spans="1:11">
      <c r="A1749" s="74" t="s">
        <v>308</v>
      </c>
      <c r="B1749" s="74" t="s">
        <v>290</v>
      </c>
      <c r="C1749" s="74" t="s">
        <v>291</v>
      </c>
      <c r="D1749" s="74" t="s">
        <v>82</v>
      </c>
      <c r="E1749" s="88" t="s">
        <v>85</v>
      </c>
      <c r="F1749" s="86" t="s">
        <v>218</v>
      </c>
      <c r="G1749" s="74" t="s">
        <v>289</v>
      </c>
      <c r="H1749" s="87">
        <v>44561</v>
      </c>
      <c r="I1749" s="94">
        <v>4484.33</v>
      </c>
      <c r="J1749" s="94">
        <v>3363.25</v>
      </c>
      <c r="K1749" s="94">
        <v>1121.08</v>
      </c>
    </row>
    <row r="1750" spans="1:11">
      <c r="A1750" s="74" t="s">
        <v>308</v>
      </c>
      <c r="B1750" s="74" t="s">
        <v>292</v>
      </c>
      <c r="C1750" s="74" t="s">
        <v>293</v>
      </c>
      <c r="D1750" s="74" t="s">
        <v>82</v>
      </c>
      <c r="E1750" s="88" t="s">
        <v>85</v>
      </c>
      <c r="F1750" s="86" t="s">
        <v>225</v>
      </c>
      <c r="G1750" s="74" t="s">
        <v>289</v>
      </c>
      <c r="H1750" s="87">
        <v>44561</v>
      </c>
      <c r="I1750" s="94">
        <v>4046.5</v>
      </c>
      <c r="J1750" s="94">
        <v>3034.88</v>
      </c>
      <c r="K1750" s="94">
        <v>1011.62</v>
      </c>
    </row>
    <row r="1751" spans="1:11">
      <c r="A1751" s="74" t="s">
        <v>308</v>
      </c>
      <c r="B1751" s="74" t="s">
        <v>294</v>
      </c>
      <c r="C1751" s="74" t="s">
        <v>295</v>
      </c>
      <c r="D1751" s="74" t="s">
        <v>82</v>
      </c>
      <c r="E1751" s="88" t="s">
        <v>85</v>
      </c>
      <c r="F1751" s="86" t="s">
        <v>208</v>
      </c>
      <c r="G1751" s="74" t="s">
        <v>289</v>
      </c>
      <c r="H1751" s="87">
        <v>44561</v>
      </c>
      <c r="I1751" s="94">
        <v>3673.12</v>
      </c>
      <c r="J1751" s="94">
        <v>2754.84</v>
      </c>
      <c r="K1751" s="94">
        <v>918.28</v>
      </c>
    </row>
    <row r="1752" spans="1:11">
      <c r="A1752" s="74" t="s">
        <v>308</v>
      </c>
      <c r="B1752" s="74" t="s">
        <v>296</v>
      </c>
      <c r="C1752" s="74" t="s">
        <v>297</v>
      </c>
      <c r="D1752" s="74" t="s">
        <v>82</v>
      </c>
      <c r="E1752" s="88" t="s">
        <v>85</v>
      </c>
      <c r="F1752" s="86" t="s">
        <v>116</v>
      </c>
      <c r="G1752" s="74" t="s">
        <v>289</v>
      </c>
      <c r="H1752" s="87">
        <v>44561</v>
      </c>
      <c r="I1752" s="94">
        <v>3149.03</v>
      </c>
      <c r="J1752" s="94">
        <v>2361.77</v>
      </c>
      <c r="K1752" s="94">
        <v>787.26</v>
      </c>
    </row>
    <row r="1753" spans="1:11">
      <c r="A1753" s="74" t="s">
        <v>308</v>
      </c>
      <c r="B1753" s="74" t="s">
        <v>298</v>
      </c>
      <c r="C1753" s="74" t="s">
        <v>299</v>
      </c>
      <c r="D1753" s="74" t="s">
        <v>82</v>
      </c>
      <c r="E1753" s="88" t="s">
        <v>85</v>
      </c>
      <c r="F1753" s="86" t="s">
        <v>279</v>
      </c>
      <c r="G1753" s="74" t="s">
        <v>300</v>
      </c>
      <c r="H1753" s="87">
        <v>44561</v>
      </c>
      <c r="I1753" s="94">
        <v>5910.29</v>
      </c>
      <c r="J1753" s="94">
        <v>4432.72</v>
      </c>
      <c r="K1753" s="94">
        <v>1477.57</v>
      </c>
    </row>
    <row r="1754" spans="1:11">
      <c r="A1754" s="74" t="s">
        <v>308</v>
      </c>
      <c r="B1754" s="74" t="s">
        <v>301</v>
      </c>
      <c r="C1754" s="74" t="s">
        <v>302</v>
      </c>
      <c r="D1754" s="74" t="s">
        <v>82</v>
      </c>
      <c r="E1754" s="88" t="s">
        <v>85</v>
      </c>
      <c r="F1754" s="86" t="s">
        <v>279</v>
      </c>
      <c r="G1754" s="74" t="s">
        <v>303</v>
      </c>
      <c r="H1754" s="87">
        <v>44561</v>
      </c>
      <c r="I1754" s="94">
        <v>5872.58</v>
      </c>
      <c r="J1754" s="94">
        <v>4404.44</v>
      </c>
      <c r="K1754" s="94">
        <v>1468.14</v>
      </c>
    </row>
    <row r="1755" spans="1:11">
      <c r="A1755" s="74" t="s">
        <v>308</v>
      </c>
      <c r="B1755" s="74" t="s">
        <v>304</v>
      </c>
      <c r="C1755" s="74" t="s">
        <v>305</v>
      </c>
      <c r="D1755" s="74" t="s">
        <v>86</v>
      </c>
      <c r="E1755" s="74" t="s">
        <v>90</v>
      </c>
      <c r="F1755" s="86" t="s">
        <v>306</v>
      </c>
      <c r="G1755" s="74" t="s">
        <v>307</v>
      </c>
      <c r="H1755" s="87">
        <v>44561</v>
      </c>
      <c r="I1755" s="94">
        <v>6675.27</v>
      </c>
      <c r="J1755" s="94">
        <v>5006.45</v>
      </c>
      <c r="K1755" s="94">
        <v>1668.82</v>
      </c>
    </row>
    <row r="1756" spans="1:11">
      <c r="A1756" s="74" t="s">
        <v>309</v>
      </c>
      <c r="B1756" s="74" t="s">
        <v>114</v>
      </c>
      <c r="C1756" s="74" t="s">
        <v>115</v>
      </c>
      <c r="D1756" s="74" t="s">
        <v>79</v>
      </c>
      <c r="E1756" s="74" t="s">
        <v>80</v>
      </c>
      <c r="F1756" s="86" t="s">
        <v>116</v>
      </c>
      <c r="G1756" s="74" t="s">
        <v>117</v>
      </c>
      <c r="H1756" s="87">
        <v>44592</v>
      </c>
      <c r="I1756" s="94">
        <v>3317.98</v>
      </c>
      <c r="J1756" s="94">
        <v>2488.49</v>
      </c>
      <c r="K1756" s="94">
        <v>829.49</v>
      </c>
    </row>
    <row r="1757" spans="1:11">
      <c r="A1757" s="74" t="s">
        <v>309</v>
      </c>
      <c r="B1757" s="74" t="s">
        <v>118</v>
      </c>
      <c r="C1757" s="74" t="s">
        <v>119</v>
      </c>
      <c r="D1757" s="74" t="s">
        <v>79</v>
      </c>
      <c r="E1757" s="74" t="s">
        <v>80</v>
      </c>
      <c r="F1757" s="86" t="s">
        <v>120</v>
      </c>
      <c r="G1757" s="74" t="s">
        <v>117</v>
      </c>
      <c r="H1757" s="87">
        <v>44592</v>
      </c>
      <c r="I1757" s="94">
        <v>2926.43</v>
      </c>
      <c r="J1757" s="94">
        <v>2194.82</v>
      </c>
      <c r="K1757" s="94">
        <v>731.61</v>
      </c>
    </row>
    <row r="1758" spans="1:11">
      <c r="A1758" s="74" t="s">
        <v>309</v>
      </c>
      <c r="B1758" s="74" t="s">
        <v>121</v>
      </c>
      <c r="C1758" s="74" t="s">
        <v>122</v>
      </c>
      <c r="D1758" s="74" t="s">
        <v>79</v>
      </c>
      <c r="E1758" s="74" t="s">
        <v>80</v>
      </c>
      <c r="F1758" s="86" t="s">
        <v>123</v>
      </c>
      <c r="G1758" s="74" t="s">
        <v>117</v>
      </c>
      <c r="H1758" s="87">
        <v>44592</v>
      </c>
      <c r="I1758" s="94">
        <v>2471.01</v>
      </c>
      <c r="J1758" s="94">
        <v>1853.26</v>
      </c>
      <c r="K1758" s="94">
        <v>617.75</v>
      </c>
    </row>
    <row r="1759" spans="1:11">
      <c r="A1759" s="74" t="s">
        <v>309</v>
      </c>
      <c r="B1759" s="74" t="s">
        <v>124</v>
      </c>
      <c r="C1759" s="74" t="s">
        <v>125</v>
      </c>
      <c r="D1759" s="74" t="s">
        <v>79</v>
      </c>
      <c r="E1759" s="74" t="s">
        <v>80</v>
      </c>
      <c r="F1759" s="86" t="s">
        <v>116</v>
      </c>
      <c r="G1759" s="74" t="s">
        <v>117</v>
      </c>
      <c r="H1759" s="87">
        <v>44592</v>
      </c>
      <c r="I1759" s="94">
        <v>3300.28</v>
      </c>
      <c r="J1759" s="94">
        <v>2475.21</v>
      </c>
      <c r="K1759" s="94">
        <v>825.07</v>
      </c>
    </row>
    <row r="1760" spans="1:11">
      <c r="A1760" s="74" t="s">
        <v>309</v>
      </c>
      <c r="B1760" s="74" t="s">
        <v>126</v>
      </c>
      <c r="C1760" s="74" t="s">
        <v>127</v>
      </c>
      <c r="D1760" s="74" t="s">
        <v>79</v>
      </c>
      <c r="E1760" s="74" t="s">
        <v>80</v>
      </c>
      <c r="F1760" s="86" t="s">
        <v>120</v>
      </c>
      <c r="G1760" s="74" t="s">
        <v>117</v>
      </c>
      <c r="H1760" s="87">
        <v>44592</v>
      </c>
      <c r="I1760" s="94">
        <v>2831.4</v>
      </c>
      <c r="J1760" s="94">
        <v>2123.55</v>
      </c>
      <c r="K1760" s="94">
        <v>707.85</v>
      </c>
    </row>
    <row r="1761" spans="1:11">
      <c r="A1761" s="74" t="s">
        <v>309</v>
      </c>
      <c r="B1761" s="74" t="s">
        <v>128</v>
      </c>
      <c r="C1761" s="74" t="s">
        <v>129</v>
      </c>
      <c r="D1761" s="74" t="s">
        <v>79</v>
      </c>
      <c r="E1761" s="74" t="s">
        <v>80</v>
      </c>
      <c r="F1761" s="86" t="s">
        <v>123</v>
      </c>
      <c r="G1761" s="74" t="s">
        <v>117</v>
      </c>
      <c r="H1761" s="87">
        <v>44592</v>
      </c>
      <c r="I1761" s="94">
        <v>2553.81</v>
      </c>
      <c r="J1761" s="94">
        <v>1915.36</v>
      </c>
      <c r="K1761" s="94">
        <v>638.45</v>
      </c>
    </row>
    <row r="1762" spans="1:11">
      <c r="A1762" s="74" t="s">
        <v>309</v>
      </c>
      <c r="B1762" s="74" t="s">
        <v>130</v>
      </c>
      <c r="C1762" s="74" t="s">
        <v>131</v>
      </c>
      <c r="D1762" s="74" t="s">
        <v>79</v>
      </c>
      <c r="E1762" s="74" t="s">
        <v>80</v>
      </c>
      <c r="F1762" s="86" t="s">
        <v>116</v>
      </c>
      <c r="G1762" s="74" t="s">
        <v>117</v>
      </c>
      <c r="H1762" s="87">
        <v>44592</v>
      </c>
      <c r="I1762" s="94">
        <v>3181.47</v>
      </c>
      <c r="J1762" s="94">
        <v>2386.1</v>
      </c>
      <c r="K1762" s="94">
        <v>795.37</v>
      </c>
    </row>
    <row r="1763" spans="1:11">
      <c r="A1763" s="74" t="s">
        <v>309</v>
      </c>
      <c r="B1763" s="74" t="s">
        <v>132</v>
      </c>
      <c r="C1763" s="74" t="s">
        <v>133</v>
      </c>
      <c r="D1763" s="74" t="s">
        <v>79</v>
      </c>
      <c r="E1763" s="74" t="s">
        <v>80</v>
      </c>
      <c r="F1763" s="86" t="s">
        <v>120</v>
      </c>
      <c r="G1763" s="74" t="s">
        <v>117</v>
      </c>
      <c r="H1763" s="87">
        <v>44592</v>
      </c>
      <c r="I1763" s="94">
        <v>2877.77</v>
      </c>
      <c r="J1763" s="94">
        <v>2158.33</v>
      </c>
      <c r="K1763" s="94">
        <v>719.44</v>
      </c>
    </row>
    <row r="1764" spans="1:11">
      <c r="A1764" s="74" t="s">
        <v>309</v>
      </c>
      <c r="B1764" s="74" t="s">
        <v>134</v>
      </c>
      <c r="C1764" s="74" t="s">
        <v>135</v>
      </c>
      <c r="D1764" s="74" t="s">
        <v>79</v>
      </c>
      <c r="E1764" s="74" t="s">
        <v>80</v>
      </c>
      <c r="F1764" s="86" t="s">
        <v>123</v>
      </c>
      <c r="G1764" s="74" t="s">
        <v>117</v>
      </c>
      <c r="H1764" s="87">
        <v>44592</v>
      </c>
      <c r="I1764" s="94">
        <v>2371.84</v>
      </c>
      <c r="J1764" s="94">
        <v>1778.88</v>
      </c>
      <c r="K1764" s="94">
        <v>592.96</v>
      </c>
    </row>
    <row r="1765" spans="1:11">
      <c r="A1765" s="74" t="s">
        <v>309</v>
      </c>
      <c r="B1765" s="74" t="s">
        <v>136</v>
      </c>
      <c r="C1765" s="74" t="s">
        <v>137</v>
      </c>
      <c r="D1765" s="74" t="s">
        <v>79</v>
      </c>
      <c r="E1765" s="74" t="s">
        <v>80</v>
      </c>
      <c r="F1765" s="86" t="s">
        <v>116</v>
      </c>
      <c r="G1765" s="74" t="s">
        <v>138</v>
      </c>
      <c r="H1765" s="87">
        <v>44592</v>
      </c>
      <c r="I1765" s="94">
        <v>3204.95</v>
      </c>
      <c r="J1765" s="94">
        <v>2403.71</v>
      </c>
      <c r="K1765" s="94">
        <v>801.24</v>
      </c>
    </row>
    <row r="1766" spans="1:11">
      <c r="A1766" s="74" t="s">
        <v>309</v>
      </c>
      <c r="B1766" s="74" t="s">
        <v>139</v>
      </c>
      <c r="C1766" s="74" t="s">
        <v>140</v>
      </c>
      <c r="D1766" s="74" t="s">
        <v>79</v>
      </c>
      <c r="E1766" s="74" t="s">
        <v>80</v>
      </c>
      <c r="F1766" s="86" t="s">
        <v>120</v>
      </c>
      <c r="G1766" s="74" t="s">
        <v>138</v>
      </c>
      <c r="H1766" s="87">
        <v>44592</v>
      </c>
      <c r="I1766" s="94">
        <v>2805.07</v>
      </c>
      <c r="J1766" s="94">
        <v>2103.8</v>
      </c>
      <c r="K1766" s="94">
        <v>701.27</v>
      </c>
    </row>
    <row r="1767" spans="1:11">
      <c r="A1767" s="74" t="s">
        <v>309</v>
      </c>
      <c r="B1767" s="74" t="s">
        <v>141</v>
      </c>
      <c r="C1767" s="74" t="s">
        <v>142</v>
      </c>
      <c r="D1767" s="74" t="s">
        <v>79</v>
      </c>
      <c r="E1767" s="74" t="s">
        <v>80</v>
      </c>
      <c r="F1767" s="86" t="s">
        <v>123</v>
      </c>
      <c r="G1767" s="74" t="s">
        <v>138</v>
      </c>
      <c r="H1767" s="87">
        <v>44592</v>
      </c>
      <c r="I1767" s="94">
        <v>2380.29</v>
      </c>
      <c r="J1767" s="94">
        <v>1785.22</v>
      </c>
      <c r="K1767" s="94">
        <v>595.07</v>
      </c>
    </row>
    <row r="1768" spans="1:11">
      <c r="A1768" s="74" t="s">
        <v>309</v>
      </c>
      <c r="B1768" s="74" t="s">
        <v>143</v>
      </c>
      <c r="C1768" s="74" t="s">
        <v>144</v>
      </c>
      <c r="D1768" s="74" t="s">
        <v>79</v>
      </c>
      <c r="E1768" s="74" t="s">
        <v>80</v>
      </c>
      <c r="F1768" s="86" t="s">
        <v>145</v>
      </c>
      <c r="G1768" s="74" t="s">
        <v>146</v>
      </c>
      <c r="H1768" s="87">
        <v>44592</v>
      </c>
      <c r="I1768" s="94">
        <v>7987.08</v>
      </c>
      <c r="J1768" s="94">
        <v>5990.31</v>
      </c>
      <c r="K1768" s="94">
        <v>1996.77</v>
      </c>
    </row>
    <row r="1769" spans="1:11">
      <c r="A1769" s="74" t="s">
        <v>309</v>
      </c>
      <c r="B1769" s="74" t="s">
        <v>147</v>
      </c>
      <c r="C1769" s="74" t="s">
        <v>148</v>
      </c>
      <c r="D1769" s="74" t="s">
        <v>79</v>
      </c>
      <c r="E1769" s="74" t="s">
        <v>80</v>
      </c>
      <c r="F1769" s="86" t="s">
        <v>149</v>
      </c>
      <c r="G1769" s="74" t="s">
        <v>150</v>
      </c>
      <c r="H1769" s="87">
        <v>44592</v>
      </c>
      <c r="I1769" s="94">
        <v>6654.2</v>
      </c>
      <c r="J1769" s="94">
        <v>4990.65</v>
      </c>
      <c r="K1769" s="94">
        <v>1663.55</v>
      </c>
    </row>
    <row r="1770" spans="1:11">
      <c r="A1770" s="74" t="s">
        <v>309</v>
      </c>
      <c r="B1770" s="74" t="s">
        <v>151</v>
      </c>
      <c r="C1770" s="74" t="s">
        <v>152</v>
      </c>
      <c r="D1770" s="74" t="s">
        <v>79</v>
      </c>
      <c r="E1770" s="74" t="s">
        <v>81</v>
      </c>
      <c r="F1770" s="86" t="s">
        <v>123</v>
      </c>
      <c r="G1770" s="74" t="s">
        <v>153</v>
      </c>
      <c r="H1770" s="87">
        <v>44592</v>
      </c>
      <c r="I1770" s="94">
        <v>2495.75</v>
      </c>
      <c r="J1770" s="94">
        <v>1871.81</v>
      </c>
      <c r="K1770" s="94">
        <v>623.94</v>
      </c>
    </row>
    <row r="1771" spans="1:11">
      <c r="A1771" s="74" t="s">
        <v>309</v>
      </c>
      <c r="B1771" s="74" t="s">
        <v>154</v>
      </c>
      <c r="C1771" s="74" t="s">
        <v>155</v>
      </c>
      <c r="D1771" s="74" t="s">
        <v>79</v>
      </c>
      <c r="E1771" s="74" t="s">
        <v>81</v>
      </c>
      <c r="F1771" s="86" t="s">
        <v>156</v>
      </c>
      <c r="G1771" s="74" t="s">
        <v>157</v>
      </c>
      <c r="H1771" s="87">
        <v>44592</v>
      </c>
      <c r="I1771" s="94">
        <v>2058.03</v>
      </c>
      <c r="J1771" s="94">
        <v>1543.52</v>
      </c>
      <c r="K1771" s="94">
        <v>514.51</v>
      </c>
    </row>
    <row r="1772" spans="1:11">
      <c r="A1772" s="74" t="s">
        <v>309</v>
      </c>
      <c r="B1772" s="74" t="s">
        <v>158</v>
      </c>
      <c r="C1772" s="74" t="s">
        <v>159</v>
      </c>
      <c r="D1772" s="74" t="s">
        <v>79</v>
      </c>
      <c r="E1772" s="74" t="s">
        <v>81</v>
      </c>
      <c r="F1772" s="86" t="s">
        <v>160</v>
      </c>
      <c r="G1772" s="74" t="s">
        <v>161</v>
      </c>
      <c r="H1772" s="87">
        <v>44592</v>
      </c>
      <c r="I1772" s="94">
        <v>1650.64</v>
      </c>
      <c r="J1772" s="94">
        <v>1237.98</v>
      </c>
      <c r="K1772" s="94">
        <v>412.66</v>
      </c>
    </row>
    <row r="1773" spans="1:11">
      <c r="A1773" s="74" t="s">
        <v>309</v>
      </c>
      <c r="B1773" s="74" t="s">
        <v>162</v>
      </c>
      <c r="C1773" s="74" t="s">
        <v>163</v>
      </c>
      <c r="D1773" s="74" t="s">
        <v>79</v>
      </c>
      <c r="E1773" s="74" t="s">
        <v>81</v>
      </c>
      <c r="F1773" s="86" t="s">
        <v>123</v>
      </c>
      <c r="G1773" s="74" t="s">
        <v>153</v>
      </c>
      <c r="H1773" s="87">
        <v>44592</v>
      </c>
      <c r="I1773" s="94">
        <v>2553.24</v>
      </c>
      <c r="J1773" s="94">
        <v>1914.93</v>
      </c>
      <c r="K1773" s="94">
        <v>638.31</v>
      </c>
    </row>
    <row r="1774" spans="1:11">
      <c r="A1774" s="74" t="s">
        <v>309</v>
      </c>
      <c r="B1774" s="74" t="s">
        <v>164</v>
      </c>
      <c r="C1774" s="74" t="s">
        <v>165</v>
      </c>
      <c r="D1774" s="74" t="s">
        <v>79</v>
      </c>
      <c r="E1774" s="74" t="s">
        <v>81</v>
      </c>
      <c r="F1774" s="86" t="s">
        <v>156</v>
      </c>
      <c r="G1774" s="74" t="s">
        <v>157</v>
      </c>
      <c r="H1774" s="87">
        <v>44592</v>
      </c>
      <c r="I1774" s="94">
        <v>2046.08</v>
      </c>
      <c r="J1774" s="94">
        <v>1534.56</v>
      </c>
      <c r="K1774" s="94">
        <v>511.52</v>
      </c>
    </row>
    <row r="1775" spans="1:11">
      <c r="A1775" s="74" t="s">
        <v>309</v>
      </c>
      <c r="B1775" s="74" t="s">
        <v>166</v>
      </c>
      <c r="C1775" s="74" t="s">
        <v>167</v>
      </c>
      <c r="D1775" s="74" t="s">
        <v>79</v>
      </c>
      <c r="E1775" s="74" t="s">
        <v>81</v>
      </c>
      <c r="F1775" s="86" t="s">
        <v>160</v>
      </c>
      <c r="G1775" s="74" t="s">
        <v>161</v>
      </c>
      <c r="H1775" s="87">
        <v>44592</v>
      </c>
      <c r="I1775" s="94">
        <v>1653.37</v>
      </c>
      <c r="J1775" s="94">
        <v>1240.03</v>
      </c>
      <c r="K1775" s="94">
        <v>413.34</v>
      </c>
    </row>
    <row r="1776" spans="1:11">
      <c r="A1776" s="74" t="s">
        <v>309</v>
      </c>
      <c r="B1776" s="74" t="s">
        <v>168</v>
      </c>
      <c r="C1776" s="74" t="s">
        <v>169</v>
      </c>
      <c r="D1776" s="74" t="s">
        <v>79</v>
      </c>
      <c r="E1776" s="74" t="s">
        <v>81</v>
      </c>
      <c r="F1776" s="86" t="s">
        <v>123</v>
      </c>
      <c r="G1776" s="74" t="s">
        <v>153</v>
      </c>
      <c r="H1776" s="87">
        <v>44592</v>
      </c>
      <c r="I1776" s="94">
        <v>2508.92</v>
      </c>
      <c r="J1776" s="94">
        <v>1881.69</v>
      </c>
      <c r="K1776" s="94">
        <v>627.23</v>
      </c>
    </row>
    <row r="1777" spans="1:11">
      <c r="A1777" s="74" t="s">
        <v>309</v>
      </c>
      <c r="B1777" s="74" t="s">
        <v>170</v>
      </c>
      <c r="C1777" s="74" t="s">
        <v>171</v>
      </c>
      <c r="D1777" s="74" t="s">
        <v>79</v>
      </c>
      <c r="E1777" s="74" t="s">
        <v>81</v>
      </c>
      <c r="F1777" s="86" t="s">
        <v>156</v>
      </c>
      <c r="G1777" s="74" t="s">
        <v>157</v>
      </c>
      <c r="H1777" s="87">
        <v>44592</v>
      </c>
      <c r="I1777" s="94">
        <v>1961.78</v>
      </c>
      <c r="J1777" s="94">
        <v>1471.34</v>
      </c>
      <c r="K1777" s="94">
        <v>490.44</v>
      </c>
    </row>
    <row r="1778" spans="1:11">
      <c r="A1778" s="74" t="s">
        <v>309</v>
      </c>
      <c r="B1778" s="74" t="s">
        <v>172</v>
      </c>
      <c r="C1778" s="74" t="s">
        <v>173</v>
      </c>
      <c r="D1778" s="74" t="s">
        <v>79</v>
      </c>
      <c r="E1778" s="74" t="s">
        <v>81</v>
      </c>
      <c r="F1778" s="86" t="s">
        <v>160</v>
      </c>
      <c r="G1778" s="74" t="s">
        <v>161</v>
      </c>
      <c r="H1778" s="87">
        <v>44592</v>
      </c>
      <c r="I1778" s="94">
        <v>1700.3</v>
      </c>
      <c r="J1778" s="94">
        <v>1275.23</v>
      </c>
      <c r="K1778" s="94">
        <v>425.07</v>
      </c>
    </row>
    <row r="1779" spans="1:11">
      <c r="A1779" s="74" t="s">
        <v>309</v>
      </c>
      <c r="B1779" s="74" t="s">
        <v>174</v>
      </c>
      <c r="C1779" s="74" t="s">
        <v>175</v>
      </c>
      <c r="D1779" s="74" t="s">
        <v>79</v>
      </c>
      <c r="E1779" s="74" t="s">
        <v>81</v>
      </c>
      <c r="F1779" s="86" t="s">
        <v>176</v>
      </c>
      <c r="G1779" s="74" t="s">
        <v>177</v>
      </c>
      <c r="H1779" s="87">
        <v>44592</v>
      </c>
      <c r="I1779" s="94">
        <v>1282.68</v>
      </c>
      <c r="J1779" s="94">
        <v>962.01</v>
      </c>
      <c r="K1779" s="94">
        <v>320.67</v>
      </c>
    </row>
    <row r="1780" spans="1:11">
      <c r="A1780" s="74" t="s">
        <v>309</v>
      </c>
      <c r="B1780" s="74" t="s">
        <v>178</v>
      </c>
      <c r="C1780" s="74" t="s">
        <v>179</v>
      </c>
      <c r="D1780" s="74" t="s">
        <v>79</v>
      </c>
      <c r="E1780" s="74" t="s">
        <v>81</v>
      </c>
      <c r="F1780" s="86" t="s">
        <v>180</v>
      </c>
      <c r="G1780" s="74" t="s">
        <v>177</v>
      </c>
      <c r="H1780" s="87">
        <v>44592</v>
      </c>
      <c r="I1780" s="94">
        <v>792.22</v>
      </c>
      <c r="J1780" s="94">
        <v>594.17</v>
      </c>
      <c r="K1780" s="94">
        <v>198.05</v>
      </c>
    </row>
    <row r="1781" spans="1:11">
      <c r="A1781" s="74" t="s">
        <v>309</v>
      </c>
      <c r="B1781" s="74" t="s">
        <v>181</v>
      </c>
      <c r="C1781" s="74" t="s">
        <v>182</v>
      </c>
      <c r="D1781" s="74" t="s">
        <v>79</v>
      </c>
      <c r="E1781" s="74" t="s">
        <v>81</v>
      </c>
      <c r="F1781" s="86" t="s">
        <v>183</v>
      </c>
      <c r="G1781" s="74" t="s">
        <v>177</v>
      </c>
      <c r="H1781" s="87">
        <v>44592</v>
      </c>
      <c r="I1781" s="94">
        <v>399.08</v>
      </c>
      <c r="J1781" s="94">
        <v>299.31</v>
      </c>
      <c r="K1781" s="94">
        <v>99.77</v>
      </c>
    </row>
    <row r="1782" spans="1:11">
      <c r="A1782" s="74" t="s">
        <v>309</v>
      </c>
      <c r="B1782" s="74" t="s">
        <v>184</v>
      </c>
      <c r="C1782" s="74" t="s">
        <v>185</v>
      </c>
      <c r="D1782" s="74" t="s">
        <v>79</v>
      </c>
      <c r="E1782" s="74" t="s">
        <v>81</v>
      </c>
      <c r="F1782" s="86" t="s">
        <v>176</v>
      </c>
      <c r="G1782" s="74" t="s">
        <v>177</v>
      </c>
      <c r="H1782" s="87">
        <v>44592</v>
      </c>
      <c r="I1782" s="94">
        <v>1190.87</v>
      </c>
      <c r="J1782" s="94">
        <v>893.15</v>
      </c>
      <c r="K1782" s="94">
        <v>297.72</v>
      </c>
    </row>
    <row r="1783" spans="1:11">
      <c r="A1783" s="74" t="s">
        <v>309</v>
      </c>
      <c r="B1783" s="74" t="s">
        <v>186</v>
      </c>
      <c r="C1783" s="74" t="s">
        <v>187</v>
      </c>
      <c r="D1783" s="74" t="s">
        <v>79</v>
      </c>
      <c r="E1783" s="74" t="s">
        <v>81</v>
      </c>
      <c r="F1783" s="86" t="s">
        <v>180</v>
      </c>
      <c r="G1783" s="74" t="s">
        <v>177</v>
      </c>
      <c r="H1783" s="87">
        <v>44592</v>
      </c>
      <c r="I1783" s="94">
        <v>817</v>
      </c>
      <c r="J1783" s="94">
        <v>612.75</v>
      </c>
      <c r="K1783" s="94">
        <v>204.25</v>
      </c>
    </row>
    <row r="1784" spans="1:11">
      <c r="A1784" s="74" t="s">
        <v>309</v>
      </c>
      <c r="B1784" s="74" t="s">
        <v>188</v>
      </c>
      <c r="C1784" s="74" t="s">
        <v>189</v>
      </c>
      <c r="D1784" s="74" t="s">
        <v>79</v>
      </c>
      <c r="E1784" s="74" t="s">
        <v>81</v>
      </c>
      <c r="F1784" s="86" t="s">
        <v>183</v>
      </c>
      <c r="G1784" s="74" t="s">
        <v>177</v>
      </c>
      <c r="H1784" s="87">
        <v>44592</v>
      </c>
      <c r="I1784" s="94">
        <v>420.86</v>
      </c>
      <c r="J1784" s="94">
        <v>315.65</v>
      </c>
      <c r="K1784" s="94">
        <v>105.21</v>
      </c>
    </row>
    <row r="1785" spans="1:11">
      <c r="A1785" s="74" t="s">
        <v>309</v>
      </c>
      <c r="B1785" s="74" t="s">
        <v>190</v>
      </c>
      <c r="C1785" s="74" t="s">
        <v>191</v>
      </c>
      <c r="D1785" s="74" t="s">
        <v>79</v>
      </c>
      <c r="E1785" s="74" t="s">
        <v>81</v>
      </c>
      <c r="F1785" s="86" t="s">
        <v>176</v>
      </c>
      <c r="G1785" s="74" t="s">
        <v>177</v>
      </c>
      <c r="H1785" s="87">
        <v>44592</v>
      </c>
      <c r="I1785" s="94">
        <v>1240.92</v>
      </c>
      <c r="J1785" s="94">
        <v>930.69</v>
      </c>
      <c r="K1785" s="94">
        <v>310.23</v>
      </c>
    </row>
    <row r="1786" spans="1:11">
      <c r="A1786" s="74" t="s">
        <v>309</v>
      </c>
      <c r="B1786" s="74" t="s">
        <v>192</v>
      </c>
      <c r="C1786" s="74" t="s">
        <v>193</v>
      </c>
      <c r="D1786" s="74" t="s">
        <v>79</v>
      </c>
      <c r="E1786" s="74" t="s">
        <v>81</v>
      </c>
      <c r="F1786" s="86" t="s">
        <v>180</v>
      </c>
      <c r="G1786" s="74" t="s">
        <v>177</v>
      </c>
      <c r="H1786" s="87">
        <v>44592</v>
      </c>
      <c r="I1786" s="94">
        <v>846.26</v>
      </c>
      <c r="J1786" s="94">
        <v>634.7</v>
      </c>
      <c r="K1786" s="94">
        <v>211.56</v>
      </c>
    </row>
    <row r="1787" spans="1:11">
      <c r="A1787" s="74" t="s">
        <v>309</v>
      </c>
      <c r="B1787" s="74" t="s">
        <v>194</v>
      </c>
      <c r="C1787" s="74" t="s">
        <v>195</v>
      </c>
      <c r="D1787" s="74" t="s">
        <v>79</v>
      </c>
      <c r="E1787" s="74" t="s">
        <v>81</v>
      </c>
      <c r="F1787" s="86" t="s">
        <v>183</v>
      </c>
      <c r="G1787" s="74" t="s">
        <v>177</v>
      </c>
      <c r="H1787" s="87">
        <v>44592</v>
      </c>
      <c r="I1787" s="94">
        <v>396.97</v>
      </c>
      <c r="J1787" s="94">
        <v>297.73</v>
      </c>
      <c r="K1787" s="94">
        <v>99.24</v>
      </c>
    </row>
    <row r="1788" spans="1:11">
      <c r="A1788" s="74" t="s">
        <v>309</v>
      </c>
      <c r="B1788" s="74" t="s">
        <v>196</v>
      </c>
      <c r="C1788" s="74" t="s">
        <v>197</v>
      </c>
      <c r="D1788" s="74" t="s">
        <v>79</v>
      </c>
      <c r="E1788" s="74" t="s">
        <v>81</v>
      </c>
      <c r="F1788" s="86" t="s">
        <v>176</v>
      </c>
      <c r="G1788" s="74" t="s">
        <v>177</v>
      </c>
      <c r="H1788" s="87">
        <v>44592</v>
      </c>
      <c r="I1788" s="94">
        <v>1248.04</v>
      </c>
      <c r="J1788" s="94">
        <v>936.03</v>
      </c>
      <c r="K1788" s="94">
        <v>312.01</v>
      </c>
    </row>
    <row r="1789" spans="1:11">
      <c r="A1789" s="74" t="s">
        <v>309</v>
      </c>
      <c r="B1789" s="74" t="s">
        <v>198</v>
      </c>
      <c r="C1789" s="74" t="s">
        <v>199</v>
      </c>
      <c r="D1789" s="74" t="s">
        <v>79</v>
      </c>
      <c r="E1789" s="74" t="s">
        <v>81</v>
      </c>
      <c r="F1789" s="86" t="s">
        <v>180</v>
      </c>
      <c r="G1789" s="74" t="s">
        <v>177</v>
      </c>
      <c r="H1789" s="87">
        <v>44592</v>
      </c>
      <c r="I1789" s="94">
        <v>787.5</v>
      </c>
      <c r="J1789" s="94">
        <v>590.63</v>
      </c>
      <c r="K1789" s="94">
        <v>196.87</v>
      </c>
    </row>
    <row r="1790" spans="1:11">
      <c r="A1790" s="74" t="s">
        <v>309</v>
      </c>
      <c r="B1790" s="74" t="s">
        <v>200</v>
      </c>
      <c r="C1790" s="74" t="s">
        <v>201</v>
      </c>
      <c r="D1790" s="74" t="s">
        <v>79</v>
      </c>
      <c r="E1790" s="74" t="s">
        <v>81</v>
      </c>
      <c r="F1790" s="86" t="s">
        <v>183</v>
      </c>
      <c r="G1790" s="74" t="s">
        <v>177</v>
      </c>
      <c r="H1790" s="87">
        <v>44592</v>
      </c>
      <c r="I1790" s="94">
        <v>406.52</v>
      </c>
      <c r="J1790" s="94">
        <v>304.89</v>
      </c>
      <c r="K1790" s="94">
        <v>101.63</v>
      </c>
    </row>
    <row r="1791" spans="1:11">
      <c r="A1791" s="74" t="s">
        <v>309</v>
      </c>
      <c r="B1791" s="74" t="s">
        <v>202</v>
      </c>
      <c r="C1791" s="74" t="s">
        <v>203</v>
      </c>
      <c r="D1791" s="74" t="s">
        <v>79</v>
      </c>
      <c r="E1791" s="74" t="s">
        <v>81</v>
      </c>
      <c r="F1791" s="86" t="s">
        <v>204</v>
      </c>
      <c r="G1791" s="74" t="s">
        <v>205</v>
      </c>
      <c r="H1791" s="87">
        <v>44592</v>
      </c>
      <c r="I1791" s="94">
        <v>7129.01</v>
      </c>
      <c r="J1791" s="94">
        <v>5346.76</v>
      </c>
      <c r="K1791" s="94">
        <v>1782.25</v>
      </c>
    </row>
    <row r="1792" spans="1:11">
      <c r="A1792" s="74" t="s">
        <v>309</v>
      </c>
      <c r="B1792" s="74" t="s">
        <v>206</v>
      </c>
      <c r="C1792" s="74" t="s">
        <v>207</v>
      </c>
      <c r="D1792" s="88" t="s">
        <v>82</v>
      </c>
      <c r="E1792" s="88" t="s">
        <v>84</v>
      </c>
      <c r="F1792" s="86" t="s">
        <v>208</v>
      </c>
      <c r="G1792" s="74" t="s">
        <v>209</v>
      </c>
      <c r="H1792" s="87">
        <v>44592</v>
      </c>
      <c r="I1792" s="94">
        <v>3565.76</v>
      </c>
      <c r="J1792" s="94">
        <v>2674.32</v>
      </c>
      <c r="K1792" s="94">
        <v>891.44</v>
      </c>
    </row>
    <row r="1793" spans="1:11">
      <c r="A1793" s="74" t="s">
        <v>309</v>
      </c>
      <c r="B1793" s="74" t="s">
        <v>210</v>
      </c>
      <c r="C1793" s="74" t="s">
        <v>211</v>
      </c>
      <c r="D1793" s="88" t="s">
        <v>82</v>
      </c>
      <c r="E1793" s="88" t="s">
        <v>84</v>
      </c>
      <c r="F1793" s="86" t="s">
        <v>116</v>
      </c>
      <c r="G1793" s="74" t="s">
        <v>209</v>
      </c>
      <c r="H1793" s="87">
        <v>44592</v>
      </c>
      <c r="I1793" s="94">
        <v>3354.7</v>
      </c>
      <c r="J1793" s="94">
        <v>2516.03</v>
      </c>
      <c r="K1793" s="94">
        <v>838.67</v>
      </c>
    </row>
    <row r="1794" spans="1:11">
      <c r="A1794" s="74" t="s">
        <v>309</v>
      </c>
      <c r="B1794" s="74" t="s">
        <v>212</v>
      </c>
      <c r="C1794" s="74" t="s">
        <v>213</v>
      </c>
      <c r="D1794" s="88" t="s">
        <v>82</v>
      </c>
      <c r="E1794" s="88" t="s">
        <v>84</v>
      </c>
      <c r="F1794" s="86" t="s">
        <v>208</v>
      </c>
      <c r="G1794" s="74" t="s">
        <v>209</v>
      </c>
      <c r="H1794" s="87">
        <v>44592</v>
      </c>
      <c r="I1794" s="94">
        <v>3748.36</v>
      </c>
      <c r="J1794" s="94">
        <v>2811.27</v>
      </c>
      <c r="K1794" s="94">
        <v>937.09</v>
      </c>
    </row>
    <row r="1795" spans="1:11">
      <c r="A1795" s="74" t="s">
        <v>309</v>
      </c>
      <c r="B1795" s="74" t="s">
        <v>214</v>
      </c>
      <c r="C1795" s="74" t="s">
        <v>215</v>
      </c>
      <c r="D1795" s="88" t="s">
        <v>82</v>
      </c>
      <c r="E1795" s="88" t="s">
        <v>84</v>
      </c>
      <c r="F1795" s="86" t="s">
        <v>116</v>
      </c>
      <c r="G1795" s="74" t="s">
        <v>209</v>
      </c>
      <c r="H1795" s="87">
        <v>44592</v>
      </c>
      <c r="I1795" s="94">
        <v>3303.75</v>
      </c>
      <c r="J1795" s="94">
        <v>2477.81</v>
      </c>
      <c r="K1795" s="94">
        <v>825.94</v>
      </c>
    </row>
    <row r="1796" spans="1:11">
      <c r="A1796" s="74" t="s">
        <v>309</v>
      </c>
      <c r="B1796" s="74" t="s">
        <v>216</v>
      </c>
      <c r="C1796" s="74" t="s">
        <v>217</v>
      </c>
      <c r="D1796" s="88" t="s">
        <v>82</v>
      </c>
      <c r="E1796" s="88" t="s">
        <v>84</v>
      </c>
      <c r="F1796" s="86" t="s">
        <v>218</v>
      </c>
      <c r="G1796" s="74" t="s">
        <v>219</v>
      </c>
      <c r="H1796" s="87">
        <v>44592</v>
      </c>
      <c r="I1796" s="94">
        <v>4663.64</v>
      </c>
      <c r="J1796" s="94">
        <v>3497.73</v>
      </c>
      <c r="K1796" s="94">
        <v>1165.91</v>
      </c>
    </row>
    <row r="1797" spans="1:11">
      <c r="A1797" s="74" t="s">
        <v>309</v>
      </c>
      <c r="B1797" s="74" t="s">
        <v>220</v>
      </c>
      <c r="C1797" s="74" t="s">
        <v>221</v>
      </c>
      <c r="D1797" s="88" t="s">
        <v>82</v>
      </c>
      <c r="E1797" s="74" t="s">
        <v>83</v>
      </c>
      <c r="F1797" s="86" t="s">
        <v>218</v>
      </c>
      <c r="G1797" s="74" t="s">
        <v>222</v>
      </c>
      <c r="H1797" s="87">
        <v>44592</v>
      </c>
      <c r="I1797" s="94">
        <v>4451.93</v>
      </c>
      <c r="J1797" s="94">
        <v>3338.95</v>
      </c>
      <c r="K1797" s="94">
        <v>1112.98</v>
      </c>
    </row>
    <row r="1798" spans="1:11">
      <c r="A1798" s="74" t="s">
        <v>309</v>
      </c>
      <c r="B1798" s="74" t="s">
        <v>223</v>
      </c>
      <c r="C1798" s="74" t="s">
        <v>224</v>
      </c>
      <c r="D1798" s="88" t="s">
        <v>82</v>
      </c>
      <c r="E1798" s="74" t="s">
        <v>83</v>
      </c>
      <c r="F1798" s="86" t="s">
        <v>225</v>
      </c>
      <c r="G1798" s="74" t="s">
        <v>209</v>
      </c>
      <c r="H1798" s="87">
        <v>44592</v>
      </c>
      <c r="I1798" s="94">
        <v>4039.85</v>
      </c>
      <c r="J1798" s="94">
        <v>3029.89</v>
      </c>
      <c r="K1798" s="94">
        <v>1009.96</v>
      </c>
    </row>
    <row r="1799" spans="1:11">
      <c r="A1799" s="74" t="s">
        <v>309</v>
      </c>
      <c r="B1799" s="74" t="s">
        <v>226</v>
      </c>
      <c r="C1799" s="74" t="s">
        <v>227</v>
      </c>
      <c r="D1799" s="88" t="s">
        <v>82</v>
      </c>
      <c r="E1799" s="74" t="s">
        <v>83</v>
      </c>
      <c r="F1799" s="86" t="s">
        <v>208</v>
      </c>
      <c r="G1799" s="74" t="s">
        <v>209</v>
      </c>
      <c r="H1799" s="87">
        <v>44592</v>
      </c>
      <c r="I1799" s="94">
        <v>3811.57</v>
      </c>
      <c r="J1799" s="94">
        <v>2858.68</v>
      </c>
      <c r="K1799" s="94">
        <v>952.89</v>
      </c>
    </row>
    <row r="1800" spans="1:11">
      <c r="A1800" s="74" t="s">
        <v>309</v>
      </c>
      <c r="B1800" s="74" t="s">
        <v>228</v>
      </c>
      <c r="C1800" s="74" t="s">
        <v>229</v>
      </c>
      <c r="D1800" s="88" t="s">
        <v>82</v>
      </c>
      <c r="E1800" s="74" t="s">
        <v>83</v>
      </c>
      <c r="F1800" s="86" t="s">
        <v>116</v>
      </c>
      <c r="G1800" s="74" t="s">
        <v>209</v>
      </c>
      <c r="H1800" s="87">
        <v>44592</v>
      </c>
      <c r="I1800" s="94">
        <v>3405.56</v>
      </c>
      <c r="J1800" s="94">
        <v>2554.17</v>
      </c>
      <c r="K1800" s="94">
        <v>851.39</v>
      </c>
    </row>
    <row r="1801" spans="1:11">
      <c r="A1801" s="74" t="s">
        <v>309</v>
      </c>
      <c r="B1801" s="74" t="s">
        <v>230</v>
      </c>
      <c r="C1801" s="74" t="s">
        <v>231</v>
      </c>
      <c r="D1801" s="88" t="s">
        <v>82</v>
      </c>
      <c r="E1801" s="74" t="s">
        <v>83</v>
      </c>
      <c r="F1801" s="86" t="s">
        <v>120</v>
      </c>
      <c r="G1801" s="74" t="s">
        <v>209</v>
      </c>
      <c r="H1801" s="87">
        <v>44592</v>
      </c>
      <c r="I1801" s="94">
        <v>2771.19</v>
      </c>
      <c r="J1801" s="94">
        <v>2078.39</v>
      </c>
      <c r="K1801" s="94">
        <v>692.8</v>
      </c>
    </row>
    <row r="1802" spans="1:11">
      <c r="A1802" s="74" t="s">
        <v>309</v>
      </c>
      <c r="B1802" s="74" t="s">
        <v>232</v>
      </c>
      <c r="C1802" s="74" t="s">
        <v>233</v>
      </c>
      <c r="D1802" s="88" t="s">
        <v>82</v>
      </c>
      <c r="E1802" s="74" t="s">
        <v>83</v>
      </c>
      <c r="F1802" s="86" t="s">
        <v>123</v>
      </c>
      <c r="G1802" s="74" t="s">
        <v>209</v>
      </c>
      <c r="H1802" s="87">
        <v>44592</v>
      </c>
      <c r="I1802" s="94">
        <v>2453.73</v>
      </c>
      <c r="J1802" s="94">
        <v>1840.3</v>
      </c>
      <c r="K1802" s="94">
        <v>613.43</v>
      </c>
    </row>
    <row r="1803" spans="1:11">
      <c r="A1803" s="74" t="s">
        <v>309</v>
      </c>
      <c r="B1803" s="74" t="s">
        <v>234</v>
      </c>
      <c r="C1803" s="74" t="s">
        <v>235</v>
      </c>
      <c r="D1803" s="88" t="s">
        <v>82</v>
      </c>
      <c r="E1803" s="74" t="s">
        <v>83</v>
      </c>
      <c r="F1803" s="86" t="s">
        <v>116</v>
      </c>
      <c r="G1803" s="74" t="s">
        <v>209</v>
      </c>
      <c r="H1803" s="87">
        <v>44592</v>
      </c>
      <c r="I1803" s="94">
        <v>3277.76</v>
      </c>
      <c r="J1803" s="94">
        <v>2458.32</v>
      </c>
      <c r="K1803" s="94">
        <v>819.44</v>
      </c>
    </row>
    <row r="1804" spans="1:11">
      <c r="A1804" s="74" t="s">
        <v>309</v>
      </c>
      <c r="B1804" s="74" t="s">
        <v>236</v>
      </c>
      <c r="C1804" s="74" t="s">
        <v>237</v>
      </c>
      <c r="D1804" s="88" t="s">
        <v>82</v>
      </c>
      <c r="E1804" s="74" t="s">
        <v>83</v>
      </c>
      <c r="F1804" s="86" t="s">
        <v>120</v>
      </c>
      <c r="G1804" s="74" t="s">
        <v>209</v>
      </c>
      <c r="H1804" s="87">
        <v>44592</v>
      </c>
      <c r="I1804" s="94">
        <v>2899.89</v>
      </c>
      <c r="J1804" s="94">
        <v>2174.92</v>
      </c>
      <c r="K1804" s="94">
        <v>724.97</v>
      </c>
    </row>
    <row r="1805" spans="1:11">
      <c r="A1805" s="74" t="s">
        <v>309</v>
      </c>
      <c r="B1805" s="74" t="s">
        <v>238</v>
      </c>
      <c r="C1805" s="74" t="s">
        <v>239</v>
      </c>
      <c r="D1805" s="74" t="s">
        <v>86</v>
      </c>
      <c r="E1805" s="74" t="s">
        <v>87</v>
      </c>
      <c r="F1805" s="86" t="s">
        <v>204</v>
      </c>
      <c r="G1805" s="74" t="s">
        <v>240</v>
      </c>
      <c r="H1805" s="87">
        <v>44592</v>
      </c>
      <c r="I1805" s="94">
        <v>6054.47</v>
      </c>
      <c r="J1805" s="94">
        <v>4540.85</v>
      </c>
      <c r="K1805" s="94">
        <v>1513.62</v>
      </c>
    </row>
    <row r="1806" spans="1:11">
      <c r="A1806" s="74" t="s">
        <v>309</v>
      </c>
      <c r="B1806" s="74" t="s">
        <v>241</v>
      </c>
      <c r="C1806" s="74" t="s">
        <v>242</v>
      </c>
      <c r="D1806" s="74" t="s">
        <v>86</v>
      </c>
      <c r="E1806" s="74" t="s">
        <v>87</v>
      </c>
      <c r="F1806" s="86" t="s">
        <v>243</v>
      </c>
      <c r="G1806" s="74" t="s">
        <v>244</v>
      </c>
      <c r="H1806" s="87">
        <v>44592</v>
      </c>
      <c r="I1806" s="94">
        <v>4061.93</v>
      </c>
      <c r="J1806" s="94">
        <v>3046.45</v>
      </c>
      <c r="K1806" s="94">
        <v>1015.48</v>
      </c>
    </row>
    <row r="1807" spans="1:11">
      <c r="A1807" s="74" t="s">
        <v>309</v>
      </c>
      <c r="B1807" s="74" t="s">
        <v>245</v>
      </c>
      <c r="C1807" s="74" t="s">
        <v>246</v>
      </c>
      <c r="D1807" s="74" t="s">
        <v>86</v>
      </c>
      <c r="E1807" s="74" t="s">
        <v>87</v>
      </c>
      <c r="F1807" s="86" t="s">
        <v>247</v>
      </c>
      <c r="G1807" s="74" t="s">
        <v>248</v>
      </c>
      <c r="H1807" s="87">
        <v>44592</v>
      </c>
      <c r="I1807" s="94">
        <v>3865.17</v>
      </c>
      <c r="J1807" s="94">
        <v>2898.88</v>
      </c>
      <c r="K1807" s="94">
        <v>966.29</v>
      </c>
    </row>
    <row r="1808" spans="1:11">
      <c r="A1808" s="74" t="s">
        <v>309</v>
      </c>
      <c r="B1808" s="74" t="s">
        <v>249</v>
      </c>
      <c r="C1808" s="74" t="s">
        <v>250</v>
      </c>
      <c r="D1808" s="74" t="s">
        <v>86</v>
      </c>
      <c r="E1808" s="74" t="s">
        <v>87</v>
      </c>
      <c r="F1808" s="86" t="s">
        <v>251</v>
      </c>
      <c r="G1808" s="74" t="s">
        <v>252</v>
      </c>
      <c r="H1808" s="87">
        <v>44592</v>
      </c>
      <c r="I1808" s="94">
        <v>3568.75</v>
      </c>
      <c r="J1808" s="94">
        <v>2676.56</v>
      </c>
      <c r="K1808" s="94">
        <v>892.19</v>
      </c>
    </row>
    <row r="1809" spans="1:11">
      <c r="A1809" s="74" t="s">
        <v>309</v>
      </c>
      <c r="B1809" s="74" t="s">
        <v>253</v>
      </c>
      <c r="C1809" s="74" t="s">
        <v>254</v>
      </c>
      <c r="D1809" s="74" t="s">
        <v>86</v>
      </c>
      <c r="E1809" s="74" t="s">
        <v>87</v>
      </c>
      <c r="F1809" s="86" t="s">
        <v>255</v>
      </c>
      <c r="G1809" s="74" t="s">
        <v>252</v>
      </c>
      <c r="H1809" s="87">
        <v>44592</v>
      </c>
      <c r="I1809" s="94">
        <v>3166</v>
      </c>
      <c r="J1809" s="94">
        <v>2374.5</v>
      </c>
      <c r="K1809" s="94">
        <v>791.5</v>
      </c>
    </row>
    <row r="1810" spans="1:11">
      <c r="A1810" s="74" t="s">
        <v>309</v>
      </c>
      <c r="B1810" s="74" t="s">
        <v>256</v>
      </c>
      <c r="C1810" s="74" t="s">
        <v>257</v>
      </c>
      <c r="D1810" s="74" t="s">
        <v>86</v>
      </c>
      <c r="E1810" s="74" t="s">
        <v>87</v>
      </c>
      <c r="F1810" s="86" t="s">
        <v>258</v>
      </c>
      <c r="G1810" s="74" t="s">
        <v>252</v>
      </c>
      <c r="H1810" s="87">
        <v>44592</v>
      </c>
      <c r="I1810" s="94">
        <v>2930.23</v>
      </c>
      <c r="J1810" s="94">
        <v>2197.67</v>
      </c>
      <c r="K1810" s="94">
        <v>732.56</v>
      </c>
    </row>
    <row r="1811" spans="1:11">
      <c r="A1811" s="74" t="s">
        <v>309</v>
      </c>
      <c r="B1811" s="74" t="s">
        <v>259</v>
      </c>
      <c r="C1811" s="74" t="s">
        <v>260</v>
      </c>
      <c r="D1811" s="74" t="s">
        <v>86</v>
      </c>
      <c r="E1811" s="74" t="s">
        <v>87</v>
      </c>
      <c r="F1811" s="86" t="s">
        <v>261</v>
      </c>
      <c r="G1811" s="74" t="s">
        <v>262</v>
      </c>
      <c r="H1811" s="87">
        <v>44592</v>
      </c>
      <c r="I1811" s="94">
        <v>2510.27</v>
      </c>
      <c r="J1811" s="94">
        <v>1882.7</v>
      </c>
      <c r="K1811" s="94">
        <v>627.57</v>
      </c>
    </row>
    <row r="1812" spans="1:11">
      <c r="A1812" s="74" t="s">
        <v>309</v>
      </c>
      <c r="B1812" s="74" t="s">
        <v>263</v>
      </c>
      <c r="C1812" s="74" t="s">
        <v>264</v>
      </c>
      <c r="D1812" s="74" t="s">
        <v>86</v>
      </c>
      <c r="E1812" s="74" t="s">
        <v>88</v>
      </c>
      <c r="F1812" s="86" t="s">
        <v>149</v>
      </c>
      <c r="G1812" s="74" t="s">
        <v>265</v>
      </c>
      <c r="H1812" s="87">
        <v>44592</v>
      </c>
      <c r="I1812" s="94">
        <v>5417.47</v>
      </c>
      <c r="J1812" s="94">
        <v>4063.1</v>
      </c>
      <c r="K1812" s="94">
        <v>1354.37</v>
      </c>
    </row>
    <row r="1813" spans="1:11">
      <c r="A1813" s="74" t="s">
        <v>309</v>
      </c>
      <c r="B1813" s="74" t="s">
        <v>266</v>
      </c>
      <c r="C1813" s="74" t="s">
        <v>267</v>
      </c>
      <c r="D1813" s="74" t="s">
        <v>86</v>
      </c>
      <c r="E1813" s="74" t="s">
        <v>88</v>
      </c>
      <c r="F1813" s="86" t="s">
        <v>243</v>
      </c>
      <c r="G1813" s="74" t="s">
        <v>268</v>
      </c>
      <c r="H1813" s="87">
        <v>44592</v>
      </c>
      <c r="I1813" s="94">
        <v>4072.06</v>
      </c>
      <c r="J1813" s="94">
        <v>3054.05</v>
      </c>
      <c r="K1813" s="94">
        <v>1018.01</v>
      </c>
    </row>
    <row r="1814" spans="1:11">
      <c r="A1814" s="74" t="s">
        <v>309</v>
      </c>
      <c r="B1814" s="74" t="s">
        <v>269</v>
      </c>
      <c r="C1814" s="74" t="s">
        <v>270</v>
      </c>
      <c r="D1814" s="74" t="s">
        <v>86</v>
      </c>
      <c r="E1814" s="74" t="s">
        <v>88</v>
      </c>
      <c r="F1814" s="86" t="s">
        <v>247</v>
      </c>
      <c r="G1814" s="74" t="s">
        <v>268</v>
      </c>
      <c r="H1814" s="87">
        <v>44592</v>
      </c>
      <c r="I1814" s="94">
        <v>3796.74</v>
      </c>
      <c r="J1814" s="94">
        <v>2847.56</v>
      </c>
      <c r="K1814" s="94">
        <v>949.18</v>
      </c>
    </row>
    <row r="1815" spans="1:11">
      <c r="A1815" s="74" t="s">
        <v>309</v>
      </c>
      <c r="B1815" s="74" t="s">
        <v>271</v>
      </c>
      <c r="C1815" s="74" t="s">
        <v>272</v>
      </c>
      <c r="D1815" s="74" t="s">
        <v>86</v>
      </c>
      <c r="E1815" s="74" t="s">
        <v>88</v>
      </c>
      <c r="F1815" s="86" t="s">
        <v>251</v>
      </c>
      <c r="G1815" s="74" t="s">
        <v>268</v>
      </c>
      <c r="H1815" s="87">
        <v>44592</v>
      </c>
      <c r="I1815" s="94">
        <v>3730.12</v>
      </c>
      <c r="J1815" s="94">
        <v>2797.59</v>
      </c>
      <c r="K1815" s="94">
        <v>932.53</v>
      </c>
    </row>
    <row r="1816" spans="1:11">
      <c r="A1816" s="74" t="s">
        <v>309</v>
      </c>
      <c r="B1816" s="74" t="s">
        <v>273</v>
      </c>
      <c r="C1816" s="74" t="s">
        <v>274</v>
      </c>
      <c r="D1816" s="74" t="s">
        <v>86</v>
      </c>
      <c r="E1816" s="74" t="s">
        <v>88</v>
      </c>
      <c r="F1816" s="86" t="s">
        <v>255</v>
      </c>
      <c r="G1816" s="74" t="s">
        <v>268</v>
      </c>
      <c r="H1816" s="87">
        <v>44592</v>
      </c>
      <c r="I1816" s="94">
        <v>3216.69</v>
      </c>
      <c r="J1816" s="94">
        <v>2412.52</v>
      </c>
      <c r="K1816" s="94">
        <v>804.17</v>
      </c>
    </row>
    <row r="1817" spans="1:11">
      <c r="A1817" s="74" t="s">
        <v>309</v>
      </c>
      <c r="B1817" s="74" t="s">
        <v>275</v>
      </c>
      <c r="C1817" s="74" t="s">
        <v>276</v>
      </c>
      <c r="D1817" s="74" t="s">
        <v>86</v>
      </c>
      <c r="E1817" s="74" t="s">
        <v>88</v>
      </c>
      <c r="F1817" s="86" t="s">
        <v>258</v>
      </c>
      <c r="G1817" s="74" t="s">
        <v>268</v>
      </c>
      <c r="H1817" s="87">
        <v>44592</v>
      </c>
      <c r="I1817" s="94">
        <v>2884.59</v>
      </c>
      <c r="J1817" s="94">
        <v>2163.44</v>
      </c>
      <c r="K1817" s="94">
        <v>721.15</v>
      </c>
    </row>
    <row r="1818" spans="1:11">
      <c r="A1818" s="74" t="s">
        <v>309</v>
      </c>
      <c r="B1818" s="74" t="s">
        <v>277</v>
      </c>
      <c r="C1818" s="74" t="s">
        <v>278</v>
      </c>
      <c r="D1818" s="74" t="s">
        <v>86</v>
      </c>
      <c r="E1818" s="74" t="s">
        <v>89</v>
      </c>
      <c r="F1818" s="86" t="s">
        <v>279</v>
      </c>
      <c r="G1818" s="74" t="s">
        <v>280</v>
      </c>
      <c r="H1818" s="87">
        <v>44592</v>
      </c>
      <c r="I1818" s="94">
        <v>4842.56</v>
      </c>
      <c r="J1818" s="94">
        <v>3631.92</v>
      </c>
      <c r="K1818" s="94">
        <v>1210.64</v>
      </c>
    </row>
    <row r="1819" spans="1:11">
      <c r="A1819" s="74" t="s">
        <v>309</v>
      </c>
      <c r="B1819" s="74" t="s">
        <v>281</v>
      </c>
      <c r="C1819" s="74" t="s">
        <v>282</v>
      </c>
      <c r="D1819" s="74" t="s">
        <v>86</v>
      </c>
      <c r="E1819" s="74" t="s">
        <v>89</v>
      </c>
      <c r="F1819" s="86" t="s">
        <v>225</v>
      </c>
      <c r="G1819" s="74" t="s">
        <v>283</v>
      </c>
      <c r="H1819" s="87">
        <v>44592</v>
      </c>
      <c r="I1819" s="94">
        <v>3320.58</v>
      </c>
      <c r="J1819" s="94">
        <v>2490.44</v>
      </c>
      <c r="K1819" s="94">
        <v>830.14</v>
      </c>
    </row>
    <row r="1820" spans="1:11">
      <c r="A1820" s="74" t="s">
        <v>309</v>
      </c>
      <c r="B1820" s="74" t="s">
        <v>284</v>
      </c>
      <c r="C1820" s="74" t="s">
        <v>285</v>
      </c>
      <c r="D1820" s="74" t="s">
        <v>86</v>
      </c>
      <c r="E1820" s="74" t="s">
        <v>89</v>
      </c>
      <c r="F1820" s="86" t="s">
        <v>208</v>
      </c>
      <c r="G1820" s="74" t="s">
        <v>283</v>
      </c>
      <c r="H1820" s="87">
        <v>44592</v>
      </c>
      <c r="I1820" s="94">
        <v>2985.01</v>
      </c>
      <c r="J1820" s="94">
        <v>2238.76</v>
      </c>
      <c r="K1820" s="94">
        <v>746.25</v>
      </c>
    </row>
    <row r="1821" spans="1:11">
      <c r="A1821" s="74" t="s">
        <v>309</v>
      </c>
      <c r="B1821" s="74" t="s">
        <v>286</v>
      </c>
      <c r="C1821" s="74" t="s">
        <v>287</v>
      </c>
      <c r="D1821" s="74" t="s">
        <v>82</v>
      </c>
      <c r="E1821" s="88" t="s">
        <v>85</v>
      </c>
      <c r="F1821" s="86" t="s">
        <v>288</v>
      </c>
      <c r="G1821" s="74" t="s">
        <v>289</v>
      </c>
      <c r="H1821" s="87">
        <v>44592</v>
      </c>
      <c r="I1821" s="94">
        <v>5079.27</v>
      </c>
      <c r="J1821" s="94">
        <v>3809.45</v>
      </c>
      <c r="K1821" s="94">
        <v>1269.82</v>
      </c>
    </row>
    <row r="1822" spans="1:11">
      <c r="A1822" s="74" t="s">
        <v>309</v>
      </c>
      <c r="B1822" s="74" t="s">
        <v>290</v>
      </c>
      <c r="C1822" s="74" t="s">
        <v>291</v>
      </c>
      <c r="D1822" s="74" t="s">
        <v>82</v>
      </c>
      <c r="E1822" s="88" t="s">
        <v>85</v>
      </c>
      <c r="F1822" s="86" t="s">
        <v>218</v>
      </c>
      <c r="G1822" s="74" t="s">
        <v>289</v>
      </c>
      <c r="H1822" s="87">
        <v>44592</v>
      </c>
      <c r="I1822" s="94">
        <v>4331.07</v>
      </c>
      <c r="J1822" s="94">
        <v>3248.3</v>
      </c>
      <c r="K1822" s="94">
        <v>1082.77</v>
      </c>
    </row>
    <row r="1823" spans="1:11">
      <c r="A1823" s="74" t="s">
        <v>309</v>
      </c>
      <c r="B1823" s="74" t="s">
        <v>292</v>
      </c>
      <c r="C1823" s="74" t="s">
        <v>293</v>
      </c>
      <c r="D1823" s="74" t="s">
        <v>82</v>
      </c>
      <c r="E1823" s="88" t="s">
        <v>85</v>
      </c>
      <c r="F1823" s="86" t="s">
        <v>225</v>
      </c>
      <c r="G1823" s="74" t="s">
        <v>289</v>
      </c>
      <c r="H1823" s="87">
        <v>44592</v>
      </c>
      <c r="I1823" s="94">
        <v>4100.25</v>
      </c>
      <c r="J1823" s="94">
        <v>3075.19</v>
      </c>
      <c r="K1823" s="94">
        <v>1025.06</v>
      </c>
    </row>
    <row r="1824" spans="1:11">
      <c r="A1824" s="74" t="s">
        <v>309</v>
      </c>
      <c r="B1824" s="74" t="s">
        <v>294</v>
      </c>
      <c r="C1824" s="74" t="s">
        <v>295</v>
      </c>
      <c r="D1824" s="74" t="s">
        <v>82</v>
      </c>
      <c r="E1824" s="88" t="s">
        <v>85</v>
      </c>
      <c r="F1824" s="86" t="s">
        <v>208</v>
      </c>
      <c r="G1824" s="74" t="s">
        <v>289</v>
      </c>
      <c r="H1824" s="87">
        <v>44592</v>
      </c>
      <c r="I1824" s="94">
        <v>3536.8</v>
      </c>
      <c r="J1824" s="94">
        <v>2652.6</v>
      </c>
      <c r="K1824" s="94">
        <v>884.2</v>
      </c>
    </row>
    <row r="1825" spans="1:11">
      <c r="A1825" s="74" t="s">
        <v>309</v>
      </c>
      <c r="B1825" s="74" t="s">
        <v>296</v>
      </c>
      <c r="C1825" s="74" t="s">
        <v>297</v>
      </c>
      <c r="D1825" s="74" t="s">
        <v>82</v>
      </c>
      <c r="E1825" s="88" t="s">
        <v>85</v>
      </c>
      <c r="F1825" s="86" t="s">
        <v>116</v>
      </c>
      <c r="G1825" s="74" t="s">
        <v>289</v>
      </c>
      <c r="H1825" s="87">
        <v>44592</v>
      </c>
      <c r="I1825" s="94">
        <v>3333.18</v>
      </c>
      <c r="J1825" s="94">
        <v>2499.89</v>
      </c>
      <c r="K1825" s="94">
        <v>833.29</v>
      </c>
    </row>
    <row r="1826" spans="1:11">
      <c r="A1826" s="74" t="s">
        <v>309</v>
      </c>
      <c r="B1826" s="74" t="s">
        <v>298</v>
      </c>
      <c r="C1826" s="74" t="s">
        <v>299</v>
      </c>
      <c r="D1826" s="74" t="s">
        <v>82</v>
      </c>
      <c r="E1826" s="88" t="s">
        <v>85</v>
      </c>
      <c r="F1826" s="86" t="s">
        <v>279</v>
      </c>
      <c r="G1826" s="74" t="s">
        <v>300</v>
      </c>
      <c r="H1826" s="87">
        <v>44592</v>
      </c>
      <c r="I1826" s="94">
        <v>6304.42</v>
      </c>
      <c r="J1826" s="94">
        <v>4728.32</v>
      </c>
      <c r="K1826" s="94">
        <v>1576.1</v>
      </c>
    </row>
    <row r="1827" spans="1:11">
      <c r="A1827" s="74" t="s">
        <v>309</v>
      </c>
      <c r="B1827" s="74" t="s">
        <v>301</v>
      </c>
      <c r="C1827" s="74" t="s">
        <v>302</v>
      </c>
      <c r="D1827" s="74" t="s">
        <v>82</v>
      </c>
      <c r="E1827" s="88" t="s">
        <v>85</v>
      </c>
      <c r="F1827" s="86" t="s">
        <v>279</v>
      </c>
      <c r="G1827" s="74" t="s">
        <v>303</v>
      </c>
      <c r="H1827" s="87">
        <v>44592</v>
      </c>
      <c r="I1827" s="94">
        <v>6144.91</v>
      </c>
      <c r="J1827" s="94">
        <v>4608.68</v>
      </c>
      <c r="K1827" s="94">
        <v>1536.23</v>
      </c>
    </row>
    <row r="1828" spans="1:11">
      <c r="A1828" s="74" t="s">
        <v>309</v>
      </c>
      <c r="B1828" s="74" t="s">
        <v>304</v>
      </c>
      <c r="C1828" s="74" t="s">
        <v>305</v>
      </c>
      <c r="D1828" s="74" t="s">
        <v>86</v>
      </c>
      <c r="E1828" s="74" t="s">
        <v>90</v>
      </c>
      <c r="F1828" s="86" t="s">
        <v>306</v>
      </c>
      <c r="G1828" s="74" t="s">
        <v>307</v>
      </c>
      <c r="H1828" s="87">
        <v>44592</v>
      </c>
      <c r="I1828" s="94">
        <v>6830.49</v>
      </c>
      <c r="J1828" s="94">
        <v>5122.87</v>
      </c>
      <c r="K1828" s="94">
        <v>1707.62</v>
      </c>
    </row>
    <row r="1829" spans="1:11">
      <c r="A1829" s="74" t="s">
        <v>309</v>
      </c>
      <c r="B1829" s="74" t="s">
        <v>114</v>
      </c>
      <c r="C1829" s="74" t="s">
        <v>115</v>
      </c>
      <c r="D1829" s="74" t="s">
        <v>79</v>
      </c>
      <c r="E1829" s="74" t="s">
        <v>80</v>
      </c>
      <c r="F1829" s="86" t="s">
        <v>116</v>
      </c>
      <c r="G1829" s="74" t="s">
        <v>117</v>
      </c>
      <c r="H1829" s="87">
        <v>44620</v>
      </c>
      <c r="I1829" s="94">
        <v>3390.56</v>
      </c>
      <c r="J1829" s="94">
        <v>2542.92</v>
      </c>
      <c r="K1829" s="94">
        <v>847.64</v>
      </c>
    </row>
    <row r="1830" spans="1:11">
      <c r="A1830" s="74" t="s">
        <v>309</v>
      </c>
      <c r="B1830" s="74" t="s">
        <v>118</v>
      </c>
      <c r="C1830" s="74" t="s">
        <v>119</v>
      </c>
      <c r="D1830" s="74" t="s">
        <v>79</v>
      </c>
      <c r="E1830" s="74" t="s">
        <v>80</v>
      </c>
      <c r="F1830" s="86" t="s">
        <v>120</v>
      </c>
      <c r="G1830" s="74" t="s">
        <v>117</v>
      </c>
      <c r="H1830" s="87">
        <v>44620</v>
      </c>
      <c r="I1830" s="94">
        <v>2792.23</v>
      </c>
      <c r="J1830" s="94">
        <v>2094.17</v>
      </c>
      <c r="K1830" s="94">
        <v>698.06</v>
      </c>
    </row>
    <row r="1831" spans="1:11">
      <c r="A1831" s="74" t="s">
        <v>309</v>
      </c>
      <c r="B1831" s="74" t="s">
        <v>121</v>
      </c>
      <c r="C1831" s="74" t="s">
        <v>122</v>
      </c>
      <c r="D1831" s="74" t="s">
        <v>79</v>
      </c>
      <c r="E1831" s="74" t="s">
        <v>80</v>
      </c>
      <c r="F1831" s="86" t="s">
        <v>123</v>
      </c>
      <c r="G1831" s="74" t="s">
        <v>117</v>
      </c>
      <c r="H1831" s="87">
        <v>44620</v>
      </c>
      <c r="I1831" s="94">
        <v>2348.29</v>
      </c>
      <c r="J1831" s="94">
        <v>1761.22</v>
      </c>
      <c r="K1831" s="94">
        <v>587.07</v>
      </c>
    </row>
    <row r="1832" spans="1:11">
      <c r="A1832" s="74" t="s">
        <v>309</v>
      </c>
      <c r="B1832" s="74" t="s">
        <v>124</v>
      </c>
      <c r="C1832" s="74" t="s">
        <v>125</v>
      </c>
      <c r="D1832" s="74" t="s">
        <v>79</v>
      </c>
      <c r="E1832" s="74" t="s">
        <v>80</v>
      </c>
      <c r="F1832" s="86" t="s">
        <v>116</v>
      </c>
      <c r="G1832" s="74" t="s">
        <v>117</v>
      </c>
      <c r="H1832" s="87">
        <v>44620</v>
      </c>
      <c r="I1832" s="94">
        <v>3131.71</v>
      </c>
      <c r="J1832" s="94">
        <v>2348.78</v>
      </c>
      <c r="K1832" s="94">
        <v>782.93</v>
      </c>
    </row>
    <row r="1833" spans="1:11">
      <c r="A1833" s="74" t="s">
        <v>309</v>
      </c>
      <c r="B1833" s="74" t="s">
        <v>126</v>
      </c>
      <c r="C1833" s="74" t="s">
        <v>127</v>
      </c>
      <c r="D1833" s="74" t="s">
        <v>79</v>
      </c>
      <c r="E1833" s="74" t="s">
        <v>80</v>
      </c>
      <c r="F1833" s="86" t="s">
        <v>120</v>
      </c>
      <c r="G1833" s="74" t="s">
        <v>117</v>
      </c>
      <c r="H1833" s="87">
        <v>44620</v>
      </c>
      <c r="I1833" s="94">
        <v>2904.1</v>
      </c>
      <c r="J1833" s="94">
        <v>2178.08</v>
      </c>
      <c r="K1833" s="94">
        <v>726.02</v>
      </c>
    </row>
    <row r="1834" spans="1:11">
      <c r="A1834" s="74" t="s">
        <v>309</v>
      </c>
      <c r="B1834" s="74" t="s">
        <v>128</v>
      </c>
      <c r="C1834" s="74" t="s">
        <v>129</v>
      </c>
      <c r="D1834" s="74" t="s">
        <v>79</v>
      </c>
      <c r="E1834" s="74" t="s">
        <v>80</v>
      </c>
      <c r="F1834" s="86" t="s">
        <v>123</v>
      </c>
      <c r="G1834" s="74" t="s">
        <v>117</v>
      </c>
      <c r="H1834" s="87">
        <v>44620</v>
      </c>
      <c r="I1834" s="94">
        <v>2551.96</v>
      </c>
      <c r="J1834" s="94">
        <v>1913.97</v>
      </c>
      <c r="K1834" s="94">
        <v>637.99</v>
      </c>
    </row>
    <row r="1835" spans="1:11">
      <c r="A1835" s="74" t="s">
        <v>309</v>
      </c>
      <c r="B1835" s="74" t="s">
        <v>130</v>
      </c>
      <c r="C1835" s="74" t="s">
        <v>131</v>
      </c>
      <c r="D1835" s="74" t="s">
        <v>79</v>
      </c>
      <c r="E1835" s="74" t="s">
        <v>80</v>
      </c>
      <c r="F1835" s="86" t="s">
        <v>116</v>
      </c>
      <c r="G1835" s="74" t="s">
        <v>117</v>
      </c>
      <c r="H1835" s="87">
        <v>44620</v>
      </c>
      <c r="I1835" s="94">
        <v>3353.88</v>
      </c>
      <c r="J1835" s="94">
        <v>2515.41</v>
      </c>
      <c r="K1835" s="94">
        <v>838.47</v>
      </c>
    </row>
    <row r="1836" spans="1:11">
      <c r="A1836" s="74" t="s">
        <v>309</v>
      </c>
      <c r="B1836" s="74" t="s">
        <v>132</v>
      </c>
      <c r="C1836" s="74" t="s">
        <v>133</v>
      </c>
      <c r="D1836" s="74" t="s">
        <v>79</v>
      </c>
      <c r="E1836" s="74" t="s">
        <v>80</v>
      </c>
      <c r="F1836" s="86" t="s">
        <v>120</v>
      </c>
      <c r="G1836" s="74" t="s">
        <v>117</v>
      </c>
      <c r="H1836" s="87">
        <v>44620</v>
      </c>
      <c r="I1836" s="94">
        <v>2926</v>
      </c>
      <c r="J1836" s="94">
        <v>2194.5</v>
      </c>
      <c r="K1836" s="94">
        <v>731.5</v>
      </c>
    </row>
    <row r="1837" spans="1:11">
      <c r="A1837" s="74" t="s">
        <v>309</v>
      </c>
      <c r="B1837" s="74" t="s">
        <v>134</v>
      </c>
      <c r="C1837" s="74" t="s">
        <v>135</v>
      </c>
      <c r="D1837" s="74" t="s">
        <v>79</v>
      </c>
      <c r="E1837" s="74" t="s">
        <v>80</v>
      </c>
      <c r="F1837" s="86" t="s">
        <v>123</v>
      </c>
      <c r="G1837" s="74" t="s">
        <v>117</v>
      </c>
      <c r="H1837" s="87">
        <v>44620</v>
      </c>
      <c r="I1837" s="94">
        <v>2527.82</v>
      </c>
      <c r="J1837" s="94">
        <v>1895.87</v>
      </c>
      <c r="K1837" s="94">
        <v>631.95</v>
      </c>
    </row>
    <row r="1838" spans="1:11">
      <c r="A1838" s="74" t="s">
        <v>309</v>
      </c>
      <c r="B1838" s="74" t="s">
        <v>136</v>
      </c>
      <c r="C1838" s="74" t="s">
        <v>137</v>
      </c>
      <c r="D1838" s="74" t="s">
        <v>79</v>
      </c>
      <c r="E1838" s="74" t="s">
        <v>80</v>
      </c>
      <c r="F1838" s="86" t="s">
        <v>116</v>
      </c>
      <c r="G1838" s="74" t="s">
        <v>138</v>
      </c>
      <c r="H1838" s="87">
        <v>44620</v>
      </c>
      <c r="I1838" s="94">
        <v>3276.27</v>
      </c>
      <c r="J1838" s="94">
        <v>2457.2</v>
      </c>
      <c r="K1838" s="94">
        <v>819.07</v>
      </c>
    </row>
    <row r="1839" spans="1:11">
      <c r="A1839" s="74" t="s">
        <v>309</v>
      </c>
      <c r="B1839" s="74" t="s">
        <v>139</v>
      </c>
      <c r="C1839" s="74" t="s">
        <v>140</v>
      </c>
      <c r="D1839" s="74" t="s">
        <v>79</v>
      </c>
      <c r="E1839" s="74" t="s">
        <v>80</v>
      </c>
      <c r="F1839" s="86" t="s">
        <v>120</v>
      </c>
      <c r="G1839" s="74" t="s">
        <v>138</v>
      </c>
      <c r="H1839" s="87">
        <v>44620</v>
      </c>
      <c r="I1839" s="94">
        <v>2786.24</v>
      </c>
      <c r="J1839" s="94">
        <v>2089.68</v>
      </c>
      <c r="K1839" s="94">
        <v>696.56</v>
      </c>
    </row>
    <row r="1840" spans="1:11">
      <c r="A1840" s="74" t="s">
        <v>309</v>
      </c>
      <c r="B1840" s="74" t="s">
        <v>141</v>
      </c>
      <c r="C1840" s="74" t="s">
        <v>142</v>
      </c>
      <c r="D1840" s="74" t="s">
        <v>79</v>
      </c>
      <c r="E1840" s="74" t="s">
        <v>80</v>
      </c>
      <c r="F1840" s="86" t="s">
        <v>123</v>
      </c>
      <c r="G1840" s="74" t="s">
        <v>138</v>
      </c>
      <c r="H1840" s="87">
        <v>44620</v>
      </c>
      <c r="I1840" s="94">
        <v>2533.15</v>
      </c>
      <c r="J1840" s="94">
        <v>1899.86</v>
      </c>
      <c r="K1840" s="94">
        <v>633.29</v>
      </c>
    </row>
    <row r="1841" spans="1:11">
      <c r="A1841" s="74" t="s">
        <v>309</v>
      </c>
      <c r="B1841" s="74" t="s">
        <v>143</v>
      </c>
      <c r="C1841" s="74" t="s">
        <v>144</v>
      </c>
      <c r="D1841" s="74" t="s">
        <v>79</v>
      </c>
      <c r="E1841" s="74" t="s">
        <v>80</v>
      </c>
      <c r="F1841" s="86" t="s">
        <v>145</v>
      </c>
      <c r="G1841" s="74" t="s">
        <v>146</v>
      </c>
      <c r="H1841" s="87">
        <v>44620</v>
      </c>
      <c r="I1841" s="94">
        <v>8065.75</v>
      </c>
      <c r="J1841" s="94">
        <v>6049.31</v>
      </c>
      <c r="K1841" s="94">
        <v>2016.44</v>
      </c>
    </row>
    <row r="1842" spans="1:11">
      <c r="A1842" s="74" t="s">
        <v>309</v>
      </c>
      <c r="B1842" s="74" t="s">
        <v>147</v>
      </c>
      <c r="C1842" s="74" t="s">
        <v>148</v>
      </c>
      <c r="D1842" s="74" t="s">
        <v>79</v>
      </c>
      <c r="E1842" s="74" t="s">
        <v>80</v>
      </c>
      <c r="F1842" s="86" t="s">
        <v>149</v>
      </c>
      <c r="G1842" s="74" t="s">
        <v>150</v>
      </c>
      <c r="H1842" s="87">
        <v>44620</v>
      </c>
      <c r="I1842" s="94">
        <v>6902.29</v>
      </c>
      <c r="J1842" s="94">
        <v>5176.72</v>
      </c>
      <c r="K1842" s="94">
        <v>1725.57</v>
      </c>
    </row>
    <row r="1843" spans="1:11">
      <c r="A1843" s="74" t="s">
        <v>309</v>
      </c>
      <c r="B1843" s="74" t="s">
        <v>151</v>
      </c>
      <c r="C1843" s="74" t="s">
        <v>152</v>
      </c>
      <c r="D1843" s="74" t="s">
        <v>79</v>
      </c>
      <c r="E1843" s="74" t="s">
        <v>81</v>
      </c>
      <c r="F1843" s="86" t="s">
        <v>123</v>
      </c>
      <c r="G1843" s="74" t="s">
        <v>153</v>
      </c>
      <c r="H1843" s="87">
        <v>44620</v>
      </c>
      <c r="I1843" s="94">
        <v>2531.26</v>
      </c>
      <c r="J1843" s="94">
        <v>1898.45</v>
      </c>
      <c r="K1843" s="94">
        <v>632.81</v>
      </c>
    </row>
    <row r="1844" spans="1:11">
      <c r="A1844" s="74" t="s">
        <v>309</v>
      </c>
      <c r="B1844" s="74" t="s">
        <v>154</v>
      </c>
      <c r="C1844" s="74" t="s">
        <v>155</v>
      </c>
      <c r="D1844" s="74" t="s">
        <v>79</v>
      </c>
      <c r="E1844" s="74" t="s">
        <v>81</v>
      </c>
      <c r="F1844" s="86" t="s">
        <v>156</v>
      </c>
      <c r="G1844" s="74" t="s">
        <v>157</v>
      </c>
      <c r="H1844" s="87">
        <v>44620</v>
      </c>
      <c r="I1844" s="94">
        <v>1954.87</v>
      </c>
      <c r="J1844" s="94">
        <v>1466.15</v>
      </c>
      <c r="K1844" s="94">
        <v>488.72</v>
      </c>
    </row>
    <row r="1845" spans="1:11">
      <c r="A1845" s="74" t="s">
        <v>309</v>
      </c>
      <c r="B1845" s="74" t="s">
        <v>158</v>
      </c>
      <c r="C1845" s="74" t="s">
        <v>159</v>
      </c>
      <c r="D1845" s="74" t="s">
        <v>79</v>
      </c>
      <c r="E1845" s="74" t="s">
        <v>81</v>
      </c>
      <c r="F1845" s="86" t="s">
        <v>160</v>
      </c>
      <c r="G1845" s="74" t="s">
        <v>161</v>
      </c>
      <c r="H1845" s="87">
        <v>44620</v>
      </c>
      <c r="I1845" s="94">
        <v>1606.01</v>
      </c>
      <c r="J1845" s="94">
        <v>1204.51</v>
      </c>
      <c r="K1845" s="94">
        <v>401.5</v>
      </c>
    </row>
    <row r="1846" spans="1:11">
      <c r="A1846" s="74" t="s">
        <v>309</v>
      </c>
      <c r="B1846" s="74" t="s">
        <v>162</v>
      </c>
      <c r="C1846" s="74" t="s">
        <v>163</v>
      </c>
      <c r="D1846" s="74" t="s">
        <v>79</v>
      </c>
      <c r="E1846" s="74" t="s">
        <v>81</v>
      </c>
      <c r="F1846" s="86" t="s">
        <v>123</v>
      </c>
      <c r="G1846" s="74" t="s">
        <v>153</v>
      </c>
      <c r="H1846" s="87">
        <v>44620</v>
      </c>
      <c r="I1846" s="94">
        <v>2399.35</v>
      </c>
      <c r="J1846" s="94">
        <v>1799.51</v>
      </c>
      <c r="K1846" s="94">
        <v>599.84</v>
      </c>
    </row>
    <row r="1847" spans="1:11">
      <c r="A1847" s="74" t="s">
        <v>309</v>
      </c>
      <c r="B1847" s="74" t="s">
        <v>164</v>
      </c>
      <c r="C1847" s="74" t="s">
        <v>165</v>
      </c>
      <c r="D1847" s="74" t="s">
        <v>79</v>
      </c>
      <c r="E1847" s="74" t="s">
        <v>81</v>
      </c>
      <c r="F1847" s="86" t="s">
        <v>156</v>
      </c>
      <c r="G1847" s="74" t="s">
        <v>157</v>
      </c>
      <c r="H1847" s="87">
        <v>44620</v>
      </c>
      <c r="I1847" s="94">
        <v>1979.82</v>
      </c>
      <c r="J1847" s="94">
        <v>1484.87</v>
      </c>
      <c r="K1847" s="94">
        <v>494.95</v>
      </c>
    </row>
    <row r="1848" spans="1:11">
      <c r="A1848" s="74" t="s">
        <v>309</v>
      </c>
      <c r="B1848" s="74" t="s">
        <v>166</v>
      </c>
      <c r="C1848" s="74" t="s">
        <v>167</v>
      </c>
      <c r="D1848" s="74" t="s">
        <v>79</v>
      </c>
      <c r="E1848" s="74" t="s">
        <v>81</v>
      </c>
      <c r="F1848" s="86" t="s">
        <v>160</v>
      </c>
      <c r="G1848" s="74" t="s">
        <v>161</v>
      </c>
      <c r="H1848" s="87">
        <v>44620</v>
      </c>
      <c r="I1848" s="94">
        <v>1611.63</v>
      </c>
      <c r="J1848" s="94">
        <v>1208.72</v>
      </c>
      <c r="K1848" s="94">
        <v>402.91</v>
      </c>
    </row>
    <row r="1849" spans="1:11">
      <c r="A1849" s="74" t="s">
        <v>309</v>
      </c>
      <c r="B1849" s="74" t="s">
        <v>168</v>
      </c>
      <c r="C1849" s="74" t="s">
        <v>169</v>
      </c>
      <c r="D1849" s="74" t="s">
        <v>79</v>
      </c>
      <c r="E1849" s="74" t="s">
        <v>81</v>
      </c>
      <c r="F1849" s="86" t="s">
        <v>123</v>
      </c>
      <c r="G1849" s="74" t="s">
        <v>153</v>
      </c>
      <c r="H1849" s="87">
        <v>44620</v>
      </c>
      <c r="I1849" s="94">
        <v>2496.02</v>
      </c>
      <c r="J1849" s="94">
        <v>1872.02</v>
      </c>
      <c r="K1849" s="94">
        <v>624</v>
      </c>
    </row>
    <row r="1850" spans="1:11">
      <c r="A1850" s="74" t="s">
        <v>309</v>
      </c>
      <c r="B1850" s="74" t="s">
        <v>170</v>
      </c>
      <c r="C1850" s="74" t="s">
        <v>171</v>
      </c>
      <c r="D1850" s="74" t="s">
        <v>79</v>
      </c>
      <c r="E1850" s="74" t="s">
        <v>81</v>
      </c>
      <c r="F1850" s="86" t="s">
        <v>156</v>
      </c>
      <c r="G1850" s="74" t="s">
        <v>157</v>
      </c>
      <c r="H1850" s="87">
        <v>44620</v>
      </c>
      <c r="I1850" s="94">
        <v>2019.49</v>
      </c>
      <c r="J1850" s="94">
        <v>1514.62</v>
      </c>
      <c r="K1850" s="94">
        <v>504.87</v>
      </c>
    </row>
    <row r="1851" spans="1:11">
      <c r="A1851" s="74" t="s">
        <v>309</v>
      </c>
      <c r="B1851" s="74" t="s">
        <v>172</v>
      </c>
      <c r="C1851" s="74" t="s">
        <v>173</v>
      </c>
      <c r="D1851" s="74" t="s">
        <v>79</v>
      </c>
      <c r="E1851" s="74" t="s">
        <v>81</v>
      </c>
      <c r="F1851" s="86" t="s">
        <v>160</v>
      </c>
      <c r="G1851" s="74" t="s">
        <v>161</v>
      </c>
      <c r="H1851" s="87">
        <v>44620</v>
      </c>
      <c r="I1851" s="94">
        <v>1705.45</v>
      </c>
      <c r="J1851" s="94">
        <v>1279.09</v>
      </c>
      <c r="K1851" s="94">
        <v>426.36</v>
      </c>
    </row>
    <row r="1852" spans="1:11">
      <c r="A1852" s="74" t="s">
        <v>309</v>
      </c>
      <c r="B1852" s="74" t="s">
        <v>174</v>
      </c>
      <c r="C1852" s="74" t="s">
        <v>175</v>
      </c>
      <c r="D1852" s="74" t="s">
        <v>79</v>
      </c>
      <c r="E1852" s="74" t="s">
        <v>81</v>
      </c>
      <c r="F1852" s="86" t="s">
        <v>176</v>
      </c>
      <c r="G1852" s="74" t="s">
        <v>177</v>
      </c>
      <c r="H1852" s="87">
        <v>44620</v>
      </c>
      <c r="I1852" s="94">
        <v>1274.99</v>
      </c>
      <c r="J1852" s="94">
        <v>956.24</v>
      </c>
      <c r="K1852" s="94">
        <v>318.75</v>
      </c>
    </row>
    <row r="1853" spans="1:11">
      <c r="A1853" s="74" t="s">
        <v>309</v>
      </c>
      <c r="B1853" s="74" t="s">
        <v>178</v>
      </c>
      <c r="C1853" s="74" t="s">
        <v>179</v>
      </c>
      <c r="D1853" s="74" t="s">
        <v>79</v>
      </c>
      <c r="E1853" s="74" t="s">
        <v>81</v>
      </c>
      <c r="F1853" s="86" t="s">
        <v>180</v>
      </c>
      <c r="G1853" s="74" t="s">
        <v>177</v>
      </c>
      <c r="H1853" s="87">
        <v>44620</v>
      </c>
      <c r="I1853" s="94">
        <v>798.33</v>
      </c>
      <c r="J1853" s="94">
        <v>598.75</v>
      </c>
      <c r="K1853" s="94">
        <v>199.58</v>
      </c>
    </row>
    <row r="1854" spans="1:11">
      <c r="A1854" s="74" t="s">
        <v>309</v>
      </c>
      <c r="B1854" s="74" t="s">
        <v>181</v>
      </c>
      <c r="C1854" s="74" t="s">
        <v>182</v>
      </c>
      <c r="D1854" s="74" t="s">
        <v>79</v>
      </c>
      <c r="E1854" s="74" t="s">
        <v>81</v>
      </c>
      <c r="F1854" s="86" t="s">
        <v>183</v>
      </c>
      <c r="G1854" s="74" t="s">
        <v>177</v>
      </c>
      <c r="H1854" s="87">
        <v>44620</v>
      </c>
      <c r="I1854" s="94">
        <v>392.22</v>
      </c>
      <c r="J1854" s="94">
        <v>294.17</v>
      </c>
      <c r="K1854" s="94">
        <v>98.05</v>
      </c>
    </row>
    <row r="1855" spans="1:11">
      <c r="A1855" s="74" t="s">
        <v>309</v>
      </c>
      <c r="B1855" s="74" t="s">
        <v>184</v>
      </c>
      <c r="C1855" s="74" t="s">
        <v>185</v>
      </c>
      <c r="D1855" s="74" t="s">
        <v>79</v>
      </c>
      <c r="E1855" s="74" t="s">
        <v>81</v>
      </c>
      <c r="F1855" s="86" t="s">
        <v>176</v>
      </c>
      <c r="G1855" s="74" t="s">
        <v>177</v>
      </c>
      <c r="H1855" s="87">
        <v>44620</v>
      </c>
      <c r="I1855" s="94">
        <v>1208.29</v>
      </c>
      <c r="J1855" s="94">
        <v>906.22</v>
      </c>
      <c r="K1855" s="94">
        <v>302.07</v>
      </c>
    </row>
    <row r="1856" spans="1:11">
      <c r="A1856" s="74" t="s">
        <v>309</v>
      </c>
      <c r="B1856" s="74" t="s">
        <v>186</v>
      </c>
      <c r="C1856" s="74" t="s">
        <v>187</v>
      </c>
      <c r="D1856" s="74" t="s">
        <v>79</v>
      </c>
      <c r="E1856" s="74" t="s">
        <v>81</v>
      </c>
      <c r="F1856" s="86" t="s">
        <v>180</v>
      </c>
      <c r="G1856" s="74" t="s">
        <v>177</v>
      </c>
      <c r="H1856" s="87">
        <v>44620</v>
      </c>
      <c r="I1856" s="94">
        <v>781.41</v>
      </c>
      <c r="J1856" s="94">
        <v>586.06</v>
      </c>
      <c r="K1856" s="94">
        <v>195.35</v>
      </c>
    </row>
    <row r="1857" spans="1:11">
      <c r="A1857" s="74" t="s">
        <v>309</v>
      </c>
      <c r="B1857" s="74" t="s">
        <v>188</v>
      </c>
      <c r="C1857" s="74" t="s">
        <v>189</v>
      </c>
      <c r="D1857" s="74" t="s">
        <v>79</v>
      </c>
      <c r="E1857" s="74" t="s">
        <v>81</v>
      </c>
      <c r="F1857" s="86" t="s">
        <v>183</v>
      </c>
      <c r="G1857" s="74" t="s">
        <v>177</v>
      </c>
      <c r="H1857" s="87">
        <v>44620</v>
      </c>
      <c r="I1857" s="94">
        <v>423.26</v>
      </c>
      <c r="J1857" s="94">
        <v>317.45</v>
      </c>
      <c r="K1857" s="94">
        <v>105.81</v>
      </c>
    </row>
    <row r="1858" spans="1:11">
      <c r="A1858" s="74" t="s">
        <v>309</v>
      </c>
      <c r="B1858" s="74" t="s">
        <v>190</v>
      </c>
      <c r="C1858" s="74" t="s">
        <v>191</v>
      </c>
      <c r="D1858" s="74" t="s">
        <v>79</v>
      </c>
      <c r="E1858" s="74" t="s">
        <v>81</v>
      </c>
      <c r="F1858" s="86" t="s">
        <v>176</v>
      </c>
      <c r="G1858" s="74" t="s">
        <v>177</v>
      </c>
      <c r="H1858" s="87">
        <v>44620</v>
      </c>
      <c r="I1858" s="94">
        <v>1183.92</v>
      </c>
      <c r="J1858" s="94">
        <v>887.94</v>
      </c>
      <c r="K1858" s="94">
        <v>295.98</v>
      </c>
    </row>
    <row r="1859" spans="1:11">
      <c r="A1859" s="74" t="s">
        <v>309</v>
      </c>
      <c r="B1859" s="74" t="s">
        <v>192</v>
      </c>
      <c r="C1859" s="74" t="s">
        <v>193</v>
      </c>
      <c r="D1859" s="74" t="s">
        <v>79</v>
      </c>
      <c r="E1859" s="74" t="s">
        <v>81</v>
      </c>
      <c r="F1859" s="86" t="s">
        <v>180</v>
      </c>
      <c r="G1859" s="74" t="s">
        <v>177</v>
      </c>
      <c r="H1859" s="87">
        <v>44620</v>
      </c>
      <c r="I1859" s="94">
        <v>823.17</v>
      </c>
      <c r="J1859" s="94">
        <v>617.38</v>
      </c>
      <c r="K1859" s="94">
        <v>205.79</v>
      </c>
    </row>
    <row r="1860" spans="1:11">
      <c r="A1860" s="74" t="s">
        <v>309</v>
      </c>
      <c r="B1860" s="74" t="s">
        <v>194</v>
      </c>
      <c r="C1860" s="74" t="s">
        <v>195</v>
      </c>
      <c r="D1860" s="74" t="s">
        <v>79</v>
      </c>
      <c r="E1860" s="74" t="s">
        <v>81</v>
      </c>
      <c r="F1860" s="86" t="s">
        <v>183</v>
      </c>
      <c r="G1860" s="74" t="s">
        <v>177</v>
      </c>
      <c r="H1860" s="87">
        <v>44620</v>
      </c>
      <c r="I1860" s="94">
        <v>395.07</v>
      </c>
      <c r="J1860" s="94">
        <v>296.3</v>
      </c>
      <c r="K1860" s="94">
        <v>98.77</v>
      </c>
    </row>
    <row r="1861" spans="1:11">
      <c r="A1861" s="74" t="s">
        <v>309</v>
      </c>
      <c r="B1861" s="74" t="s">
        <v>196</v>
      </c>
      <c r="C1861" s="74" t="s">
        <v>197</v>
      </c>
      <c r="D1861" s="74" t="s">
        <v>79</v>
      </c>
      <c r="E1861" s="74" t="s">
        <v>81</v>
      </c>
      <c r="F1861" s="86" t="s">
        <v>176</v>
      </c>
      <c r="G1861" s="74" t="s">
        <v>177</v>
      </c>
      <c r="H1861" s="87">
        <v>44620</v>
      </c>
      <c r="I1861" s="94">
        <v>1258.77</v>
      </c>
      <c r="J1861" s="94">
        <v>944.08</v>
      </c>
      <c r="K1861" s="94">
        <v>314.69</v>
      </c>
    </row>
    <row r="1862" spans="1:11">
      <c r="A1862" s="74" t="s">
        <v>309</v>
      </c>
      <c r="B1862" s="74" t="s">
        <v>198</v>
      </c>
      <c r="C1862" s="74" t="s">
        <v>199</v>
      </c>
      <c r="D1862" s="74" t="s">
        <v>79</v>
      </c>
      <c r="E1862" s="74" t="s">
        <v>81</v>
      </c>
      <c r="F1862" s="86" t="s">
        <v>180</v>
      </c>
      <c r="G1862" s="74" t="s">
        <v>177</v>
      </c>
      <c r="H1862" s="87">
        <v>44620</v>
      </c>
      <c r="I1862" s="94">
        <v>853.67</v>
      </c>
      <c r="J1862" s="94">
        <v>640.25</v>
      </c>
      <c r="K1862" s="94">
        <v>213.42</v>
      </c>
    </row>
    <row r="1863" spans="1:11">
      <c r="A1863" s="74" t="s">
        <v>309</v>
      </c>
      <c r="B1863" s="74" t="s">
        <v>200</v>
      </c>
      <c r="C1863" s="74" t="s">
        <v>201</v>
      </c>
      <c r="D1863" s="74" t="s">
        <v>79</v>
      </c>
      <c r="E1863" s="74" t="s">
        <v>81</v>
      </c>
      <c r="F1863" s="86" t="s">
        <v>183</v>
      </c>
      <c r="G1863" s="74" t="s">
        <v>177</v>
      </c>
      <c r="H1863" s="87">
        <v>44620</v>
      </c>
      <c r="I1863" s="94">
        <v>398.05</v>
      </c>
      <c r="J1863" s="94">
        <v>298.54</v>
      </c>
      <c r="K1863" s="94">
        <v>99.51</v>
      </c>
    </row>
    <row r="1864" spans="1:11">
      <c r="A1864" s="74" t="s">
        <v>309</v>
      </c>
      <c r="B1864" s="74" t="s">
        <v>202</v>
      </c>
      <c r="C1864" s="74" t="s">
        <v>203</v>
      </c>
      <c r="D1864" s="74" t="s">
        <v>79</v>
      </c>
      <c r="E1864" s="74" t="s">
        <v>81</v>
      </c>
      <c r="F1864" s="86" t="s">
        <v>204</v>
      </c>
      <c r="G1864" s="74" t="s">
        <v>205</v>
      </c>
      <c r="H1864" s="87">
        <v>44620</v>
      </c>
      <c r="I1864" s="94">
        <v>7592.47</v>
      </c>
      <c r="J1864" s="94">
        <v>5694.35</v>
      </c>
      <c r="K1864" s="94">
        <v>1898.12</v>
      </c>
    </row>
    <row r="1865" spans="1:11">
      <c r="A1865" s="74" t="s">
        <v>309</v>
      </c>
      <c r="B1865" s="74" t="s">
        <v>206</v>
      </c>
      <c r="C1865" s="74" t="s">
        <v>207</v>
      </c>
      <c r="D1865" s="88" t="s">
        <v>82</v>
      </c>
      <c r="E1865" s="88" t="s">
        <v>84</v>
      </c>
      <c r="F1865" s="86" t="s">
        <v>208</v>
      </c>
      <c r="G1865" s="74" t="s">
        <v>209</v>
      </c>
      <c r="H1865" s="87">
        <v>44620</v>
      </c>
      <c r="I1865" s="94">
        <v>3695.69</v>
      </c>
      <c r="J1865" s="94">
        <v>2771.77</v>
      </c>
      <c r="K1865" s="94">
        <v>923.92</v>
      </c>
    </row>
    <row r="1866" spans="1:11">
      <c r="A1866" s="74" t="s">
        <v>309</v>
      </c>
      <c r="B1866" s="74" t="s">
        <v>210</v>
      </c>
      <c r="C1866" s="74" t="s">
        <v>211</v>
      </c>
      <c r="D1866" s="88" t="s">
        <v>82</v>
      </c>
      <c r="E1866" s="88" t="s">
        <v>84</v>
      </c>
      <c r="F1866" s="86" t="s">
        <v>116</v>
      </c>
      <c r="G1866" s="74" t="s">
        <v>209</v>
      </c>
      <c r="H1866" s="87">
        <v>44620</v>
      </c>
      <c r="I1866" s="94">
        <v>3182.02</v>
      </c>
      <c r="J1866" s="94">
        <v>2386.52</v>
      </c>
      <c r="K1866" s="94">
        <v>795.5</v>
      </c>
    </row>
    <row r="1867" spans="1:11">
      <c r="A1867" s="74" t="s">
        <v>309</v>
      </c>
      <c r="B1867" s="74" t="s">
        <v>212</v>
      </c>
      <c r="C1867" s="74" t="s">
        <v>213</v>
      </c>
      <c r="D1867" s="88" t="s">
        <v>82</v>
      </c>
      <c r="E1867" s="88" t="s">
        <v>84</v>
      </c>
      <c r="F1867" s="86" t="s">
        <v>208</v>
      </c>
      <c r="G1867" s="74" t="s">
        <v>209</v>
      </c>
      <c r="H1867" s="87">
        <v>44620</v>
      </c>
      <c r="I1867" s="94">
        <v>3647.02</v>
      </c>
      <c r="J1867" s="94">
        <v>2735.27</v>
      </c>
      <c r="K1867" s="94">
        <v>911.75</v>
      </c>
    </row>
    <row r="1868" spans="1:11">
      <c r="A1868" s="74" t="s">
        <v>309</v>
      </c>
      <c r="B1868" s="74" t="s">
        <v>214</v>
      </c>
      <c r="C1868" s="74" t="s">
        <v>215</v>
      </c>
      <c r="D1868" s="88" t="s">
        <v>82</v>
      </c>
      <c r="E1868" s="88" t="s">
        <v>84</v>
      </c>
      <c r="F1868" s="86" t="s">
        <v>116</v>
      </c>
      <c r="G1868" s="74" t="s">
        <v>209</v>
      </c>
      <c r="H1868" s="87">
        <v>44620</v>
      </c>
      <c r="I1868" s="94">
        <v>3292.48</v>
      </c>
      <c r="J1868" s="94">
        <v>2469.36</v>
      </c>
      <c r="K1868" s="94">
        <v>823.12</v>
      </c>
    </row>
    <row r="1869" spans="1:11">
      <c r="A1869" s="74" t="s">
        <v>309</v>
      </c>
      <c r="B1869" s="74" t="s">
        <v>216</v>
      </c>
      <c r="C1869" s="74" t="s">
        <v>217</v>
      </c>
      <c r="D1869" s="88" t="s">
        <v>82</v>
      </c>
      <c r="E1869" s="88" t="s">
        <v>84</v>
      </c>
      <c r="F1869" s="86" t="s">
        <v>218</v>
      </c>
      <c r="G1869" s="74" t="s">
        <v>219</v>
      </c>
      <c r="H1869" s="87">
        <v>44620</v>
      </c>
      <c r="I1869" s="94">
        <v>4503.98</v>
      </c>
      <c r="J1869" s="94">
        <v>3377.99</v>
      </c>
      <c r="K1869" s="94">
        <v>1125.99</v>
      </c>
    </row>
    <row r="1870" spans="1:11">
      <c r="A1870" s="74" t="s">
        <v>309</v>
      </c>
      <c r="B1870" s="74" t="s">
        <v>220</v>
      </c>
      <c r="C1870" s="74" t="s">
        <v>221</v>
      </c>
      <c r="D1870" s="88" t="s">
        <v>82</v>
      </c>
      <c r="E1870" s="74" t="s">
        <v>83</v>
      </c>
      <c r="F1870" s="86" t="s">
        <v>218</v>
      </c>
      <c r="G1870" s="74" t="s">
        <v>222</v>
      </c>
      <c r="H1870" s="87">
        <v>44620</v>
      </c>
      <c r="I1870" s="94">
        <v>4528.11</v>
      </c>
      <c r="J1870" s="94">
        <v>3396.08</v>
      </c>
      <c r="K1870" s="94">
        <v>1132.03</v>
      </c>
    </row>
    <row r="1871" spans="1:11">
      <c r="A1871" s="74" t="s">
        <v>309</v>
      </c>
      <c r="B1871" s="74" t="s">
        <v>223</v>
      </c>
      <c r="C1871" s="74" t="s">
        <v>224</v>
      </c>
      <c r="D1871" s="88" t="s">
        <v>82</v>
      </c>
      <c r="E1871" s="74" t="s">
        <v>83</v>
      </c>
      <c r="F1871" s="86" t="s">
        <v>225</v>
      </c>
      <c r="G1871" s="74" t="s">
        <v>209</v>
      </c>
      <c r="H1871" s="87">
        <v>44620</v>
      </c>
      <c r="I1871" s="94">
        <v>3931.13</v>
      </c>
      <c r="J1871" s="94">
        <v>2948.35</v>
      </c>
      <c r="K1871" s="94">
        <v>982.78</v>
      </c>
    </row>
    <row r="1872" spans="1:11">
      <c r="A1872" s="74" t="s">
        <v>309</v>
      </c>
      <c r="B1872" s="74" t="s">
        <v>226</v>
      </c>
      <c r="C1872" s="74" t="s">
        <v>227</v>
      </c>
      <c r="D1872" s="88" t="s">
        <v>82</v>
      </c>
      <c r="E1872" s="74" t="s">
        <v>83</v>
      </c>
      <c r="F1872" s="86" t="s">
        <v>208</v>
      </c>
      <c r="G1872" s="74" t="s">
        <v>209</v>
      </c>
      <c r="H1872" s="87">
        <v>44620</v>
      </c>
      <c r="I1872" s="94">
        <v>3661.57</v>
      </c>
      <c r="J1872" s="94">
        <v>2746.18</v>
      </c>
      <c r="K1872" s="94">
        <v>915.39</v>
      </c>
    </row>
    <row r="1873" spans="1:11">
      <c r="A1873" s="74" t="s">
        <v>309</v>
      </c>
      <c r="B1873" s="74" t="s">
        <v>228</v>
      </c>
      <c r="C1873" s="74" t="s">
        <v>229</v>
      </c>
      <c r="D1873" s="88" t="s">
        <v>82</v>
      </c>
      <c r="E1873" s="74" t="s">
        <v>83</v>
      </c>
      <c r="F1873" s="86" t="s">
        <v>116</v>
      </c>
      <c r="G1873" s="74" t="s">
        <v>209</v>
      </c>
      <c r="H1873" s="87">
        <v>44620</v>
      </c>
      <c r="I1873" s="94">
        <v>3172.31</v>
      </c>
      <c r="J1873" s="94">
        <v>2379.23</v>
      </c>
      <c r="K1873" s="94">
        <v>793.08</v>
      </c>
    </row>
    <row r="1874" spans="1:11">
      <c r="A1874" s="74" t="s">
        <v>309</v>
      </c>
      <c r="B1874" s="74" t="s">
        <v>230</v>
      </c>
      <c r="C1874" s="74" t="s">
        <v>231</v>
      </c>
      <c r="D1874" s="88" t="s">
        <v>82</v>
      </c>
      <c r="E1874" s="74" t="s">
        <v>83</v>
      </c>
      <c r="F1874" s="86" t="s">
        <v>120</v>
      </c>
      <c r="G1874" s="74" t="s">
        <v>209</v>
      </c>
      <c r="H1874" s="87">
        <v>44620</v>
      </c>
      <c r="I1874" s="94">
        <v>2930.2</v>
      </c>
      <c r="J1874" s="94">
        <v>2197.65</v>
      </c>
      <c r="K1874" s="94">
        <v>732.55</v>
      </c>
    </row>
    <row r="1875" spans="1:11">
      <c r="A1875" s="74" t="s">
        <v>309</v>
      </c>
      <c r="B1875" s="74" t="s">
        <v>232</v>
      </c>
      <c r="C1875" s="74" t="s">
        <v>233</v>
      </c>
      <c r="D1875" s="88" t="s">
        <v>82</v>
      </c>
      <c r="E1875" s="74" t="s">
        <v>83</v>
      </c>
      <c r="F1875" s="86" t="s">
        <v>123</v>
      </c>
      <c r="G1875" s="74" t="s">
        <v>209</v>
      </c>
      <c r="H1875" s="87">
        <v>44620</v>
      </c>
      <c r="I1875" s="94">
        <v>2349.68</v>
      </c>
      <c r="J1875" s="94">
        <v>1762.26</v>
      </c>
      <c r="K1875" s="94">
        <v>587.42</v>
      </c>
    </row>
    <row r="1876" spans="1:11">
      <c r="A1876" s="74" t="s">
        <v>309</v>
      </c>
      <c r="B1876" s="74" t="s">
        <v>234</v>
      </c>
      <c r="C1876" s="74" t="s">
        <v>235</v>
      </c>
      <c r="D1876" s="88" t="s">
        <v>82</v>
      </c>
      <c r="E1876" s="74" t="s">
        <v>83</v>
      </c>
      <c r="F1876" s="86" t="s">
        <v>116</v>
      </c>
      <c r="G1876" s="74" t="s">
        <v>209</v>
      </c>
      <c r="H1876" s="87">
        <v>44620</v>
      </c>
      <c r="I1876" s="94">
        <v>3270.5</v>
      </c>
      <c r="J1876" s="94">
        <v>2452.88</v>
      </c>
      <c r="K1876" s="94">
        <v>817.62</v>
      </c>
    </row>
    <row r="1877" spans="1:11">
      <c r="A1877" s="74" t="s">
        <v>309</v>
      </c>
      <c r="B1877" s="74" t="s">
        <v>236</v>
      </c>
      <c r="C1877" s="74" t="s">
        <v>237</v>
      </c>
      <c r="D1877" s="88" t="s">
        <v>82</v>
      </c>
      <c r="E1877" s="74" t="s">
        <v>83</v>
      </c>
      <c r="F1877" s="86" t="s">
        <v>120</v>
      </c>
      <c r="G1877" s="74" t="s">
        <v>209</v>
      </c>
      <c r="H1877" s="87">
        <v>44620</v>
      </c>
      <c r="I1877" s="94">
        <v>2820.61</v>
      </c>
      <c r="J1877" s="94">
        <v>2115.46</v>
      </c>
      <c r="K1877" s="94">
        <v>705.15</v>
      </c>
    </row>
    <row r="1878" spans="1:11">
      <c r="A1878" s="74" t="s">
        <v>309</v>
      </c>
      <c r="B1878" s="74" t="s">
        <v>238</v>
      </c>
      <c r="C1878" s="74" t="s">
        <v>239</v>
      </c>
      <c r="D1878" s="74" t="s">
        <v>86</v>
      </c>
      <c r="E1878" s="74" t="s">
        <v>87</v>
      </c>
      <c r="F1878" s="86" t="s">
        <v>204</v>
      </c>
      <c r="G1878" s="74" t="s">
        <v>240</v>
      </c>
      <c r="H1878" s="87">
        <v>44620</v>
      </c>
      <c r="I1878" s="94">
        <v>6168.24</v>
      </c>
      <c r="J1878" s="94">
        <v>4626.18</v>
      </c>
      <c r="K1878" s="94">
        <v>1542.06</v>
      </c>
    </row>
    <row r="1879" spans="1:11">
      <c r="A1879" s="74" t="s">
        <v>309</v>
      </c>
      <c r="B1879" s="74" t="s">
        <v>241</v>
      </c>
      <c r="C1879" s="74" t="s">
        <v>242</v>
      </c>
      <c r="D1879" s="74" t="s">
        <v>86</v>
      </c>
      <c r="E1879" s="74" t="s">
        <v>87</v>
      </c>
      <c r="F1879" s="86" t="s">
        <v>243</v>
      </c>
      <c r="G1879" s="74" t="s">
        <v>244</v>
      </c>
      <c r="H1879" s="87">
        <v>44620</v>
      </c>
      <c r="I1879" s="94">
        <v>4414.58</v>
      </c>
      <c r="J1879" s="94">
        <v>3310.94</v>
      </c>
      <c r="K1879" s="94">
        <v>1103.64</v>
      </c>
    </row>
    <row r="1880" spans="1:11">
      <c r="A1880" s="74" t="s">
        <v>309</v>
      </c>
      <c r="B1880" s="74" t="s">
        <v>245</v>
      </c>
      <c r="C1880" s="74" t="s">
        <v>246</v>
      </c>
      <c r="D1880" s="74" t="s">
        <v>86</v>
      </c>
      <c r="E1880" s="74" t="s">
        <v>87</v>
      </c>
      <c r="F1880" s="86" t="s">
        <v>247</v>
      </c>
      <c r="G1880" s="74" t="s">
        <v>248</v>
      </c>
      <c r="H1880" s="87">
        <v>44620</v>
      </c>
      <c r="I1880" s="94">
        <v>4062.83</v>
      </c>
      <c r="J1880" s="94">
        <v>3047.12</v>
      </c>
      <c r="K1880" s="94">
        <v>1015.71</v>
      </c>
    </row>
    <row r="1881" spans="1:11">
      <c r="A1881" s="74" t="s">
        <v>309</v>
      </c>
      <c r="B1881" s="74" t="s">
        <v>249</v>
      </c>
      <c r="C1881" s="74" t="s">
        <v>250</v>
      </c>
      <c r="D1881" s="74" t="s">
        <v>86</v>
      </c>
      <c r="E1881" s="74" t="s">
        <v>87</v>
      </c>
      <c r="F1881" s="86" t="s">
        <v>251</v>
      </c>
      <c r="G1881" s="74" t="s">
        <v>252</v>
      </c>
      <c r="H1881" s="87">
        <v>44620</v>
      </c>
      <c r="I1881" s="94">
        <v>3649.79</v>
      </c>
      <c r="J1881" s="94">
        <v>2737.34</v>
      </c>
      <c r="K1881" s="94">
        <v>912.45</v>
      </c>
    </row>
    <row r="1882" spans="1:11">
      <c r="A1882" s="74" t="s">
        <v>309</v>
      </c>
      <c r="B1882" s="74" t="s">
        <v>253</v>
      </c>
      <c r="C1882" s="74" t="s">
        <v>254</v>
      </c>
      <c r="D1882" s="74" t="s">
        <v>86</v>
      </c>
      <c r="E1882" s="74" t="s">
        <v>87</v>
      </c>
      <c r="F1882" s="86" t="s">
        <v>255</v>
      </c>
      <c r="G1882" s="74" t="s">
        <v>252</v>
      </c>
      <c r="H1882" s="87">
        <v>44620</v>
      </c>
      <c r="I1882" s="94">
        <v>3272.33</v>
      </c>
      <c r="J1882" s="94">
        <v>2454.25</v>
      </c>
      <c r="K1882" s="94">
        <v>818.08</v>
      </c>
    </row>
    <row r="1883" spans="1:11">
      <c r="A1883" s="74" t="s">
        <v>309</v>
      </c>
      <c r="B1883" s="74" t="s">
        <v>256</v>
      </c>
      <c r="C1883" s="74" t="s">
        <v>257</v>
      </c>
      <c r="D1883" s="74" t="s">
        <v>86</v>
      </c>
      <c r="E1883" s="74" t="s">
        <v>87</v>
      </c>
      <c r="F1883" s="86" t="s">
        <v>258</v>
      </c>
      <c r="G1883" s="74" t="s">
        <v>252</v>
      </c>
      <c r="H1883" s="87">
        <v>44620</v>
      </c>
      <c r="I1883" s="94">
        <v>3011.4</v>
      </c>
      <c r="J1883" s="94">
        <v>2258.55</v>
      </c>
      <c r="K1883" s="94">
        <v>752.85</v>
      </c>
    </row>
    <row r="1884" spans="1:11">
      <c r="A1884" s="74" t="s">
        <v>309</v>
      </c>
      <c r="B1884" s="74" t="s">
        <v>259</v>
      </c>
      <c r="C1884" s="74" t="s">
        <v>260</v>
      </c>
      <c r="D1884" s="74" t="s">
        <v>86</v>
      </c>
      <c r="E1884" s="74" t="s">
        <v>87</v>
      </c>
      <c r="F1884" s="86" t="s">
        <v>261</v>
      </c>
      <c r="G1884" s="74" t="s">
        <v>262</v>
      </c>
      <c r="H1884" s="87">
        <v>44620</v>
      </c>
      <c r="I1884" s="94">
        <v>2545.62</v>
      </c>
      <c r="J1884" s="94">
        <v>1909.22</v>
      </c>
      <c r="K1884" s="94">
        <v>636.4</v>
      </c>
    </row>
    <row r="1885" spans="1:11">
      <c r="A1885" s="74" t="s">
        <v>309</v>
      </c>
      <c r="B1885" s="74" t="s">
        <v>263</v>
      </c>
      <c r="C1885" s="74" t="s">
        <v>264</v>
      </c>
      <c r="D1885" s="74" t="s">
        <v>86</v>
      </c>
      <c r="E1885" s="74" t="s">
        <v>88</v>
      </c>
      <c r="F1885" s="86" t="s">
        <v>149</v>
      </c>
      <c r="G1885" s="74" t="s">
        <v>265</v>
      </c>
      <c r="H1885" s="87">
        <v>44620</v>
      </c>
      <c r="I1885" s="94">
        <v>5704.55</v>
      </c>
      <c r="J1885" s="94">
        <v>4278.41</v>
      </c>
      <c r="K1885" s="94">
        <v>1426.14</v>
      </c>
    </row>
    <row r="1886" spans="1:11">
      <c r="A1886" s="74" t="s">
        <v>309</v>
      </c>
      <c r="B1886" s="74" t="s">
        <v>266</v>
      </c>
      <c r="C1886" s="74" t="s">
        <v>267</v>
      </c>
      <c r="D1886" s="74" t="s">
        <v>86</v>
      </c>
      <c r="E1886" s="74" t="s">
        <v>88</v>
      </c>
      <c r="F1886" s="86" t="s">
        <v>243</v>
      </c>
      <c r="G1886" s="74" t="s">
        <v>268</v>
      </c>
      <c r="H1886" s="87">
        <v>44620</v>
      </c>
      <c r="I1886" s="94">
        <v>4271.56</v>
      </c>
      <c r="J1886" s="94">
        <v>3203.67</v>
      </c>
      <c r="K1886" s="94">
        <v>1067.89</v>
      </c>
    </row>
    <row r="1887" spans="1:11">
      <c r="A1887" s="74" t="s">
        <v>309</v>
      </c>
      <c r="B1887" s="74" t="s">
        <v>269</v>
      </c>
      <c r="C1887" s="74" t="s">
        <v>270</v>
      </c>
      <c r="D1887" s="74" t="s">
        <v>86</v>
      </c>
      <c r="E1887" s="74" t="s">
        <v>88</v>
      </c>
      <c r="F1887" s="86" t="s">
        <v>247</v>
      </c>
      <c r="G1887" s="74" t="s">
        <v>268</v>
      </c>
      <c r="H1887" s="87">
        <v>44620</v>
      </c>
      <c r="I1887" s="94">
        <v>3913.69</v>
      </c>
      <c r="J1887" s="94">
        <v>2935.27</v>
      </c>
      <c r="K1887" s="94">
        <v>978.42</v>
      </c>
    </row>
    <row r="1888" spans="1:11">
      <c r="A1888" s="74" t="s">
        <v>309</v>
      </c>
      <c r="B1888" s="74" t="s">
        <v>271</v>
      </c>
      <c r="C1888" s="74" t="s">
        <v>272</v>
      </c>
      <c r="D1888" s="74" t="s">
        <v>86</v>
      </c>
      <c r="E1888" s="74" t="s">
        <v>88</v>
      </c>
      <c r="F1888" s="86" t="s">
        <v>251</v>
      </c>
      <c r="G1888" s="74" t="s">
        <v>268</v>
      </c>
      <c r="H1888" s="87">
        <v>44620</v>
      </c>
      <c r="I1888" s="94">
        <v>3627.23</v>
      </c>
      <c r="J1888" s="94">
        <v>2720.42</v>
      </c>
      <c r="K1888" s="94">
        <v>906.81</v>
      </c>
    </row>
    <row r="1889" spans="1:11">
      <c r="A1889" s="74" t="s">
        <v>309</v>
      </c>
      <c r="B1889" s="74" t="s">
        <v>273</v>
      </c>
      <c r="C1889" s="74" t="s">
        <v>274</v>
      </c>
      <c r="D1889" s="74" t="s">
        <v>86</v>
      </c>
      <c r="E1889" s="74" t="s">
        <v>88</v>
      </c>
      <c r="F1889" s="86" t="s">
        <v>255</v>
      </c>
      <c r="G1889" s="74" t="s">
        <v>268</v>
      </c>
      <c r="H1889" s="87">
        <v>44620</v>
      </c>
      <c r="I1889" s="94">
        <v>3325.3</v>
      </c>
      <c r="J1889" s="94">
        <v>2493.98</v>
      </c>
      <c r="K1889" s="94">
        <v>831.32</v>
      </c>
    </row>
    <row r="1890" spans="1:11">
      <c r="A1890" s="74" t="s">
        <v>309</v>
      </c>
      <c r="B1890" s="74" t="s">
        <v>275</v>
      </c>
      <c r="C1890" s="74" t="s">
        <v>276</v>
      </c>
      <c r="D1890" s="74" t="s">
        <v>86</v>
      </c>
      <c r="E1890" s="74" t="s">
        <v>88</v>
      </c>
      <c r="F1890" s="86" t="s">
        <v>258</v>
      </c>
      <c r="G1890" s="74" t="s">
        <v>268</v>
      </c>
      <c r="H1890" s="87">
        <v>44620</v>
      </c>
      <c r="I1890" s="94">
        <v>3014.66</v>
      </c>
      <c r="J1890" s="94">
        <v>2261</v>
      </c>
      <c r="K1890" s="94">
        <v>753.66</v>
      </c>
    </row>
    <row r="1891" spans="1:11">
      <c r="A1891" s="74" t="s">
        <v>309</v>
      </c>
      <c r="B1891" s="74" t="s">
        <v>277</v>
      </c>
      <c r="C1891" s="74" t="s">
        <v>278</v>
      </c>
      <c r="D1891" s="74" t="s">
        <v>86</v>
      </c>
      <c r="E1891" s="74" t="s">
        <v>89</v>
      </c>
      <c r="F1891" s="86" t="s">
        <v>279</v>
      </c>
      <c r="G1891" s="74" t="s">
        <v>280</v>
      </c>
      <c r="H1891" s="87">
        <v>44620</v>
      </c>
      <c r="I1891" s="94">
        <v>5134.81</v>
      </c>
      <c r="J1891" s="94">
        <v>3851.11</v>
      </c>
      <c r="K1891" s="94">
        <v>1283.7</v>
      </c>
    </row>
    <row r="1892" spans="1:11">
      <c r="A1892" s="74" t="s">
        <v>309</v>
      </c>
      <c r="B1892" s="74" t="s">
        <v>281</v>
      </c>
      <c r="C1892" s="74" t="s">
        <v>282</v>
      </c>
      <c r="D1892" s="74" t="s">
        <v>86</v>
      </c>
      <c r="E1892" s="74" t="s">
        <v>89</v>
      </c>
      <c r="F1892" s="86" t="s">
        <v>225</v>
      </c>
      <c r="G1892" s="74" t="s">
        <v>283</v>
      </c>
      <c r="H1892" s="87">
        <v>44620</v>
      </c>
      <c r="I1892" s="94">
        <v>3386.56</v>
      </c>
      <c r="J1892" s="94">
        <v>2539.92</v>
      </c>
      <c r="K1892" s="94">
        <v>846.64</v>
      </c>
    </row>
    <row r="1893" spans="1:11">
      <c r="A1893" s="74" t="s">
        <v>309</v>
      </c>
      <c r="B1893" s="74" t="s">
        <v>284</v>
      </c>
      <c r="C1893" s="74" t="s">
        <v>285</v>
      </c>
      <c r="D1893" s="74" t="s">
        <v>86</v>
      </c>
      <c r="E1893" s="74" t="s">
        <v>89</v>
      </c>
      <c r="F1893" s="86" t="s">
        <v>208</v>
      </c>
      <c r="G1893" s="74" t="s">
        <v>283</v>
      </c>
      <c r="H1893" s="87">
        <v>44620</v>
      </c>
      <c r="I1893" s="94">
        <v>3020.5</v>
      </c>
      <c r="J1893" s="94">
        <v>2265.38</v>
      </c>
      <c r="K1893" s="94">
        <v>755.12</v>
      </c>
    </row>
    <row r="1894" spans="1:11">
      <c r="A1894" s="74" t="s">
        <v>309</v>
      </c>
      <c r="B1894" s="74" t="s">
        <v>286</v>
      </c>
      <c r="C1894" s="74" t="s">
        <v>287</v>
      </c>
      <c r="D1894" s="74" t="s">
        <v>82</v>
      </c>
      <c r="E1894" s="88" t="s">
        <v>85</v>
      </c>
      <c r="F1894" s="86" t="s">
        <v>288</v>
      </c>
      <c r="G1894" s="74" t="s">
        <v>289</v>
      </c>
      <c r="H1894" s="87">
        <v>44620</v>
      </c>
      <c r="I1894" s="94">
        <v>4795.11</v>
      </c>
      <c r="J1894" s="94">
        <v>3596.33</v>
      </c>
      <c r="K1894" s="94">
        <v>1198.78</v>
      </c>
    </row>
    <row r="1895" spans="1:11">
      <c r="A1895" s="74" t="s">
        <v>309</v>
      </c>
      <c r="B1895" s="74" t="s">
        <v>290</v>
      </c>
      <c r="C1895" s="74" t="s">
        <v>291</v>
      </c>
      <c r="D1895" s="74" t="s">
        <v>82</v>
      </c>
      <c r="E1895" s="88" t="s">
        <v>85</v>
      </c>
      <c r="F1895" s="86" t="s">
        <v>218</v>
      </c>
      <c r="G1895" s="74" t="s">
        <v>289</v>
      </c>
      <c r="H1895" s="87">
        <v>44620</v>
      </c>
      <c r="I1895" s="94">
        <v>4470.55</v>
      </c>
      <c r="J1895" s="94">
        <v>3352.91</v>
      </c>
      <c r="K1895" s="94">
        <v>1117.64</v>
      </c>
    </row>
    <row r="1896" spans="1:11">
      <c r="A1896" s="74" t="s">
        <v>309</v>
      </c>
      <c r="B1896" s="74" t="s">
        <v>292</v>
      </c>
      <c r="C1896" s="74" t="s">
        <v>293</v>
      </c>
      <c r="D1896" s="74" t="s">
        <v>82</v>
      </c>
      <c r="E1896" s="88" t="s">
        <v>85</v>
      </c>
      <c r="F1896" s="86" t="s">
        <v>225</v>
      </c>
      <c r="G1896" s="74" t="s">
        <v>289</v>
      </c>
      <c r="H1896" s="87">
        <v>44620</v>
      </c>
      <c r="I1896" s="94">
        <v>3969.8</v>
      </c>
      <c r="J1896" s="94">
        <v>2977.35</v>
      </c>
      <c r="K1896" s="94">
        <v>992.45</v>
      </c>
    </row>
    <row r="1897" spans="1:11">
      <c r="A1897" s="74" t="s">
        <v>309</v>
      </c>
      <c r="B1897" s="74" t="s">
        <v>294</v>
      </c>
      <c r="C1897" s="74" t="s">
        <v>295</v>
      </c>
      <c r="D1897" s="74" t="s">
        <v>82</v>
      </c>
      <c r="E1897" s="88" t="s">
        <v>85</v>
      </c>
      <c r="F1897" s="86" t="s">
        <v>208</v>
      </c>
      <c r="G1897" s="74" t="s">
        <v>289</v>
      </c>
      <c r="H1897" s="87">
        <v>44620</v>
      </c>
      <c r="I1897" s="94">
        <v>3768.6</v>
      </c>
      <c r="J1897" s="94">
        <v>2826.45</v>
      </c>
      <c r="K1897" s="94">
        <v>942.15</v>
      </c>
    </row>
    <row r="1898" spans="1:11">
      <c r="A1898" s="74" t="s">
        <v>309</v>
      </c>
      <c r="B1898" s="74" t="s">
        <v>296</v>
      </c>
      <c r="C1898" s="74" t="s">
        <v>297</v>
      </c>
      <c r="D1898" s="74" t="s">
        <v>82</v>
      </c>
      <c r="E1898" s="88" t="s">
        <v>85</v>
      </c>
      <c r="F1898" s="86" t="s">
        <v>116</v>
      </c>
      <c r="G1898" s="74" t="s">
        <v>289</v>
      </c>
      <c r="H1898" s="87">
        <v>44620</v>
      </c>
      <c r="I1898" s="94">
        <v>3334.66</v>
      </c>
      <c r="J1898" s="94">
        <v>2501</v>
      </c>
      <c r="K1898" s="94">
        <v>833.66</v>
      </c>
    </row>
    <row r="1899" spans="1:11">
      <c r="A1899" s="74" t="s">
        <v>309</v>
      </c>
      <c r="B1899" s="74" t="s">
        <v>298</v>
      </c>
      <c r="C1899" s="74" t="s">
        <v>299</v>
      </c>
      <c r="D1899" s="74" t="s">
        <v>82</v>
      </c>
      <c r="E1899" s="88" t="s">
        <v>85</v>
      </c>
      <c r="F1899" s="86" t="s">
        <v>279</v>
      </c>
      <c r="G1899" s="74" t="s">
        <v>300</v>
      </c>
      <c r="H1899" s="87">
        <v>44620</v>
      </c>
      <c r="I1899" s="94">
        <v>6410.73</v>
      </c>
      <c r="J1899" s="94">
        <v>4808.05</v>
      </c>
      <c r="K1899" s="94">
        <v>1602.68</v>
      </c>
    </row>
    <row r="1900" spans="1:11">
      <c r="A1900" s="74" t="s">
        <v>309</v>
      </c>
      <c r="B1900" s="74" t="s">
        <v>301</v>
      </c>
      <c r="C1900" s="74" t="s">
        <v>302</v>
      </c>
      <c r="D1900" s="74" t="s">
        <v>82</v>
      </c>
      <c r="E1900" s="88" t="s">
        <v>85</v>
      </c>
      <c r="F1900" s="86" t="s">
        <v>279</v>
      </c>
      <c r="G1900" s="74" t="s">
        <v>303</v>
      </c>
      <c r="H1900" s="87">
        <v>44620</v>
      </c>
      <c r="I1900" s="94">
        <v>5992.52</v>
      </c>
      <c r="J1900" s="94">
        <v>4494.39</v>
      </c>
      <c r="K1900" s="94">
        <v>1498.13</v>
      </c>
    </row>
    <row r="1901" spans="1:11">
      <c r="A1901" s="74" t="s">
        <v>309</v>
      </c>
      <c r="B1901" s="74" t="s">
        <v>304</v>
      </c>
      <c r="C1901" s="74" t="s">
        <v>305</v>
      </c>
      <c r="D1901" s="74" t="s">
        <v>86</v>
      </c>
      <c r="E1901" s="74" t="s">
        <v>90</v>
      </c>
      <c r="F1901" s="86" t="s">
        <v>306</v>
      </c>
      <c r="G1901" s="74" t="s">
        <v>307</v>
      </c>
      <c r="H1901" s="87">
        <v>44620</v>
      </c>
      <c r="I1901" s="94">
        <v>6649.84</v>
      </c>
      <c r="J1901" s="94">
        <v>4987.38</v>
      </c>
      <c r="K1901" s="94">
        <v>1662.46</v>
      </c>
    </row>
    <row r="1902" spans="1:11">
      <c r="A1902" s="74" t="s">
        <v>309</v>
      </c>
      <c r="B1902" s="74" t="s">
        <v>114</v>
      </c>
      <c r="C1902" s="74" t="s">
        <v>115</v>
      </c>
      <c r="D1902" s="74" t="s">
        <v>79</v>
      </c>
      <c r="E1902" s="74" t="s">
        <v>80</v>
      </c>
      <c r="F1902" s="86" t="s">
        <v>116</v>
      </c>
      <c r="G1902" s="74" t="s">
        <v>117</v>
      </c>
      <c r="H1902" s="87">
        <v>44651</v>
      </c>
      <c r="I1902" s="94">
        <v>3333</v>
      </c>
      <c r="J1902" s="94">
        <v>2499.75</v>
      </c>
      <c r="K1902" s="94">
        <v>833.25</v>
      </c>
    </row>
    <row r="1903" spans="1:11">
      <c r="A1903" s="74" t="s">
        <v>309</v>
      </c>
      <c r="B1903" s="74" t="s">
        <v>118</v>
      </c>
      <c r="C1903" s="74" t="s">
        <v>119</v>
      </c>
      <c r="D1903" s="74" t="s">
        <v>79</v>
      </c>
      <c r="E1903" s="74" t="s">
        <v>80</v>
      </c>
      <c r="F1903" s="86" t="s">
        <v>120</v>
      </c>
      <c r="G1903" s="74" t="s">
        <v>117</v>
      </c>
      <c r="H1903" s="87">
        <v>44651</v>
      </c>
      <c r="I1903" s="94">
        <v>2954.94</v>
      </c>
      <c r="J1903" s="94">
        <v>2216.21</v>
      </c>
      <c r="K1903" s="94">
        <v>738.73</v>
      </c>
    </row>
    <row r="1904" spans="1:11">
      <c r="A1904" s="74" t="s">
        <v>309</v>
      </c>
      <c r="B1904" s="74" t="s">
        <v>121</v>
      </c>
      <c r="C1904" s="74" t="s">
        <v>122</v>
      </c>
      <c r="D1904" s="74" t="s">
        <v>79</v>
      </c>
      <c r="E1904" s="74" t="s">
        <v>80</v>
      </c>
      <c r="F1904" s="86" t="s">
        <v>123</v>
      </c>
      <c r="G1904" s="74" t="s">
        <v>117</v>
      </c>
      <c r="H1904" s="87">
        <v>44651</v>
      </c>
      <c r="I1904" s="94">
        <v>2386.8</v>
      </c>
      <c r="J1904" s="94">
        <v>1790.1</v>
      </c>
      <c r="K1904" s="94">
        <v>596.7</v>
      </c>
    </row>
    <row r="1905" spans="1:11">
      <c r="A1905" s="74" t="s">
        <v>309</v>
      </c>
      <c r="B1905" s="74" t="s">
        <v>124</v>
      </c>
      <c r="C1905" s="74" t="s">
        <v>125</v>
      </c>
      <c r="D1905" s="74" t="s">
        <v>79</v>
      </c>
      <c r="E1905" s="74" t="s">
        <v>80</v>
      </c>
      <c r="F1905" s="86" t="s">
        <v>116</v>
      </c>
      <c r="G1905" s="74" t="s">
        <v>117</v>
      </c>
      <c r="H1905" s="87">
        <v>44651</v>
      </c>
      <c r="I1905" s="94">
        <v>3135.05</v>
      </c>
      <c r="J1905" s="94">
        <v>2351.29</v>
      </c>
      <c r="K1905" s="94">
        <v>783.76</v>
      </c>
    </row>
    <row r="1906" spans="1:11">
      <c r="A1906" s="74" t="s">
        <v>309</v>
      </c>
      <c r="B1906" s="74" t="s">
        <v>126</v>
      </c>
      <c r="C1906" s="74" t="s">
        <v>127</v>
      </c>
      <c r="D1906" s="74" t="s">
        <v>79</v>
      </c>
      <c r="E1906" s="74" t="s">
        <v>80</v>
      </c>
      <c r="F1906" s="86" t="s">
        <v>120</v>
      </c>
      <c r="G1906" s="74" t="s">
        <v>117</v>
      </c>
      <c r="H1906" s="87">
        <v>44651</v>
      </c>
      <c r="I1906" s="94">
        <v>2874.08</v>
      </c>
      <c r="J1906" s="94">
        <v>2155.56</v>
      </c>
      <c r="K1906" s="94">
        <v>718.52</v>
      </c>
    </row>
    <row r="1907" spans="1:11">
      <c r="A1907" s="74" t="s">
        <v>309</v>
      </c>
      <c r="B1907" s="74" t="s">
        <v>128</v>
      </c>
      <c r="C1907" s="74" t="s">
        <v>129</v>
      </c>
      <c r="D1907" s="74" t="s">
        <v>79</v>
      </c>
      <c r="E1907" s="74" t="s">
        <v>80</v>
      </c>
      <c r="F1907" s="86" t="s">
        <v>123</v>
      </c>
      <c r="G1907" s="74" t="s">
        <v>117</v>
      </c>
      <c r="H1907" s="87">
        <v>44651</v>
      </c>
      <c r="I1907" s="94">
        <v>2573.86</v>
      </c>
      <c r="J1907" s="94">
        <v>1930.4</v>
      </c>
      <c r="K1907" s="94">
        <v>643.46</v>
      </c>
    </row>
    <row r="1908" spans="1:11">
      <c r="A1908" s="74" t="s">
        <v>309</v>
      </c>
      <c r="B1908" s="74" t="s">
        <v>130</v>
      </c>
      <c r="C1908" s="74" t="s">
        <v>131</v>
      </c>
      <c r="D1908" s="74" t="s">
        <v>79</v>
      </c>
      <c r="E1908" s="74" t="s">
        <v>80</v>
      </c>
      <c r="F1908" s="86" t="s">
        <v>116</v>
      </c>
      <c r="G1908" s="74" t="s">
        <v>117</v>
      </c>
      <c r="H1908" s="87">
        <v>44651</v>
      </c>
      <c r="I1908" s="94">
        <v>3326.7</v>
      </c>
      <c r="J1908" s="94">
        <v>2495.03</v>
      </c>
      <c r="K1908" s="94">
        <v>831.67</v>
      </c>
    </row>
    <row r="1909" spans="1:11">
      <c r="A1909" s="74" t="s">
        <v>309</v>
      </c>
      <c r="B1909" s="74" t="s">
        <v>132</v>
      </c>
      <c r="C1909" s="74" t="s">
        <v>133</v>
      </c>
      <c r="D1909" s="74" t="s">
        <v>79</v>
      </c>
      <c r="E1909" s="74" t="s">
        <v>80</v>
      </c>
      <c r="F1909" s="86" t="s">
        <v>120</v>
      </c>
      <c r="G1909" s="74" t="s">
        <v>117</v>
      </c>
      <c r="H1909" s="87">
        <v>44651</v>
      </c>
      <c r="I1909" s="94">
        <v>2949.39</v>
      </c>
      <c r="J1909" s="94">
        <v>2212.04</v>
      </c>
      <c r="K1909" s="94">
        <v>737.35</v>
      </c>
    </row>
    <row r="1910" spans="1:11">
      <c r="A1910" s="74" t="s">
        <v>309</v>
      </c>
      <c r="B1910" s="74" t="s">
        <v>134</v>
      </c>
      <c r="C1910" s="74" t="s">
        <v>135</v>
      </c>
      <c r="D1910" s="74" t="s">
        <v>79</v>
      </c>
      <c r="E1910" s="74" t="s">
        <v>80</v>
      </c>
      <c r="F1910" s="86" t="s">
        <v>123</v>
      </c>
      <c r="G1910" s="74" t="s">
        <v>117</v>
      </c>
      <c r="H1910" s="87">
        <v>44651</v>
      </c>
      <c r="I1910" s="94">
        <v>2392.06</v>
      </c>
      <c r="J1910" s="94">
        <v>1794.05</v>
      </c>
      <c r="K1910" s="94">
        <v>598.01</v>
      </c>
    </row>
    <row r="1911" spans="1:11">
      <c r="A1911" s="74" t="s">
        <v>309</v>
      </c>
      <c r="B1911" s="74" t="s">
        <v>136</v>
      </c>
      <c r="C1911" s="74" t="s">
        <v>137</v>
      </c>
      <c r="D1911" s="74" t="s">
        <v>79</v>
      </c>
      <c r="E1911" s="74" t="s">
        <v>80</v>
      </c>
      <c r="F1911" s="86" t="s">
        <v>116</v>
      </c>
      <c r="G1911" s="74" t="s">
        <v>138</v>
      </c>
      <c r="H1911" s="87">
        <v>44651</v>
      </c>
      <c r="I1911" s="94">
        <v>3389.65</v>
      </c>
      <c r="J1911" s="94">
        <v>2542.24</v>
      </c>
      <c r="K1911" s="94">
        <v>847.41</v>
      </c>
    </row>
    <row r="1912" spans="1:11">
      <c r="A1912" s="74" t="s">
        <v>309</v>
      </c>
      <c r="B1912" s="74" t="s">
        <v>139</v>
      </c>
      <c r="C1912" s="74" t="s">
        <v>140</v>
      </c>
      <c r="D1912" s="74" t="s">
        <v>79</v>
      </c>
      <c r="E1912" s="74" t="s">
        <v>80</v>
      </c>
      <c r="F1912" s="86" t="s">
        <v>120</v>
      </c>
      <c r="G1912" s="74" t="s">
        <v>138</v>
      </c>
      <c r="H1912" s="87">
        <v>44651</v>
      </c>
      <c r="I1912" s="94">
        <v>2852.92</v>
      </c>
      <c r="J1912" s="94">
        <v>2139.69</v>
      </c>
      <c r="K1912" s="94">
        <v>713.23</v>
      </c>
    </row>
    <row r="1913" spans="1:11">
      <c r="A1913" s="74" t="s">
        <v>309</v>
      </c>
      <c r="B1913" s="74" t="s">
        <v>141</v>
      </c>
      <c r="C1913" s="74" t="s">
        <v>142</v>
      </c>
      <c r="D1913" s="74" t="s">
        <v>79</v>
      </c>
      <c r="E1913" s="74" t="s">
        <v>80</v>
      </c>
      <c r="F1913" s="86" t="s">
        <v>123</v>
      </c>
      <c r="G1913" s="74" t="s">
        <v>138</v>
      </c>
      <c r="H1913" s="87">
        <v>44651</v>
      </c>
      <c r="I1913" s="94">
        <v>2535.25</v>
      </c>
      <c r="J1913" s="94">
        <v>1901.44</v>
      </c>
      <c r="K1913" s="94">
        <v>633.81</v>
      </c>
    </row>
    <row r="1914" spans="1:11">
      <c r="A1914" s="74" t="s">
        <v>309</v>
      </c>
      <c r="B1914" s="74" t="s">
        <v>143</v>
      </c>
      <c r="C1914" s="74" t="s">
        <v>144</v>
      </c>
      <c r="D1914" s="74" t="s">
        <v>79</v>
      </c>
      <c r="E1914" s="74" t="s">
        <v>80</v>
      </c>
      <c r="F1914" s="86" t="s">
        <v>145</v>
      </c>
      <c r="G1914" s="74" t="s">
        <v>146</v>
      </c>
      <c r="H1914" s="87">
        <v>44651</v>
      </c>
      <c r="I1914" s="94">
        <v>8087.69</v>
      </c>
      <c r="J1914" s="94">
        <v>6065.77</v>
      </c>
      <c r="K1914" s="94">
        <v>2021.92</v>
      </c>
    </row>
    <row r="1915" spans="1:11">
      <c r="A1915" s="74" t="s">
        <v>309</v>
      </c>
      <c r="B1915" s="74" t="s">
        <v>147</v>
      </c>
      <c r="C1915" s="74" t="s">
        <v>148</v>
      </c>
      <c r="D1915" s="74" t="s">
        <v>79</v>
      </c>
      <c r="E1915" s="74" t="s">
        <v>80</v>
      </c>
      <c r="F1915" s="86" t="s">
        <v>149</v>
      </c>
      <c r="G1915" s="74" t="s">
        <v>150</v>
      </c>
      <c r="H1915" s="87">
        <v>44651</v>
      </c>
      <c r="I1915" s="94">
        <v>6863.75</v>
      </c>
      <c r="J1915" s="94">
        <v>5147.81</v>
      </c>
      <c r="K1915" s="94">
        <v>1715.94</v>
      </c>
    </row>
    <row r="1916" spans="1:11">
      <c r="A1916" s="74" t="s">
        <v>309</v>
      </c>
      <c r="B1916" s="74" t="s">
        <v>151</v>
      </c>
      <c r="C1916" s="74" t="s">
        <v>152</v>
      </c>
      <c r="D1916" s="74" t="s">
        <v>79</v>
      </c>
      <c r="E1916" s="74" t="s">
        <v>81</v>
      </c>
      <c r="F1916" s="86" t="s">
        <v>123</v>
      </c>
      <c r="G1916" s="74" t="s">
        <v>153</v>
      </c>
      <c r="H1916" s="87">
        <v>44651</v>
      </c>
      <c r="I1916" s="94">
        <v>2571.79</v>
      </c>
      <c r="J1916" s="94">
        <v>1928.84</v>
      </c>
      <c r="K1916" s="94">
        <v>642.95</v>
      </c>
    </row>
    <row r="1917" spans="1:11">
      <c r="A1917" s="74" t="s">
        <v>309</v>
      </c>
      <c r="B1917" s="74" t="s">
        <v>154</v>
      </c>
      <c r="C1917" s="74" t="s">
        <v>155</v>
      </c>
      <c r="D1917" s="74" t="s">
        <v>79</v>
      </c>
      <c r="E1917" s="74" t="s">
        <v>81</v>
      </c>
      <c r="F1917" s="86" t="s">
        <v>156</v>
      </c>
      <c r="G1917" s="74" t="s">
        <v>157</v>
      </c>
      <c r="H1917" s="87">
        <v>44651</v>
      </c>
      <c r="I1917" s="94">
        <v>2136.45</v>
      </c>
      <c r="J1917" s="94">
        <v>1602.34</v>
      </c>
      <c r="K1917" s="94">
        <v>534.11</v>
      </c>
    </row>
    <row r="1918" spans="1:11">
      <c r="A1918" s="74" t="s">
        <v>309</v>
      </c>
      <c r="B1918" s="74" t="s">
        <v>158</v>
      </c>
      <c r="C1918" s="74" t="s">
        <v>159</v>
      </c>
      <c r="D1918" s="74" t="s">
        <v>79</v>
      </c>
      <c r="E1918" s="74" t="s">
        <v>81</v>
      </c>
      <c r="F1918" s="86" t="s">
        <v>160</v>
      </c>
      <c r="G1918" s="74" t="s">
        <v>161</v>
      </c>
      <c r="H1918" s="87">
        <v>44651</v>
      </c>
      <c r="I1918" s="94">
        <v>1667.69</v>
      </c>
      <c r="J1918" s="94">
        <v>1250.77</v>
      </c>
      <c r="K1918" s="94">
        <v>416.92</v>
      </c>
    </row>
    <row r="1919" spans="1:11">
      <c r="A1919" s="74" t="s">
        <v>309</v>
      </c>
      <c r="B1919" s="74" t="s">
        <v>162</v>
      </c>
      <c r="C1919" s="74" t="s">
        <v>163</v>
      </c>
      <c r="D1919" s="74" t="s">
        <v>79</v>
      </c>
      <c r="E1919" s="74" t="s">
        <v>81</v>
      </c>
      <c r="F1919" s="86" t="s">
        <v>123</v>
      </c>
      <c r="G1919" s="74" t="s">
        <v>153</v>
      </c>
      <c r="H1919" s="87">
        <v>44651</v>
      </c>
      <c r="I1919" s="94">
        <v>2562.85</v>
      </c>
      <c r="J1919" s="94">
        <v>1922.14</v>
      </c>
      <c r="K1919" s="94">
        <v>640.71</v>
      </c>
    </row>
    <row r="1920" spans="1:11">
      <c r="A1920" s="74" t="s">
        <v>309</v>
      </c>
      <c r="B1920" s="74" t="s">
        <v>164</v>
      </c>
      <c r="C1920" s="74" t="s">
        <v>165</v>
      </c>
      <c r="D1920" s="74" t="s">
        <v>79</v>
      </c>
      <c r="E1920" s="74" t="s">
        <v>81</v>
      </c>
      <c r="F1920" s="86" t="s">
        <v>156</v>
      </c>
      <c r="G1920" s="74" t="s">
        <v>157</v>
      </c>
      <c r="H1920" s="87">
        <v>44651</v>
      </c>
      <c r="I1920" s="94">
        <v>1966.06</v>
      </c>
      <c r="J1920" s="94">
        <v>1474.55</v>
      </c>
      <c r="K1920" s="94">
        <v>491.51</v>
      </c>
    </row>
    <row r="1921" spans="1:11">
      <c r="A1921" s="74" t="s">
        <v>309</v>
      </c>
      <c r="B1921" s="74" t="s">
        <v>166</v>
      </c>
      <c r="C1921" s="74" t="s">
        <v>167</v>
      </c>
      <c r="D1921" s="74" t="s">
        <v>79</v>
      </c>
      <c r="E1921" s="74" t="s">
        <v>81</v>
      </c>
      <c r="F1921" s="86" t="s">
        <v>160</v>
      </c>
      <c r="G1921" s="74" t="s">
        <v>161</v>
      </c>
      <c r="H1921" s="87">
        <v>44651</v>
      </c>
      <c r="I1921" s="94">
        <v>1703.03</v>
      </c>
      <c r="J1921" s="94">
        <v>1277.27</v>
      </c>
      <c r="K1921" s="94">
        <v>425.76</v>
      </c>
    </row>
    <row r="1922" spans="1:11">
      <c r="A1922" s="74" t="s">
        <v>309</v>
      </c>
      <c r="B1922" s="74" t="s">
        <v>168</v>
      </c>
      <c r="C1922" s="74" t="s">
        <v>169</v>
      </c>
      <c r="D1922" s="74" t="s">
        <v>79</v>
      </c>
      <c r="E1922" s="74" t="s">
        <v>81</v>
      </c>
      <c r="F1922" s="86" t="s">
        <v>123</v>
      </c>
      <c r="G1922" s="74" t="s">
        <v>153</v>
      </c>
      <c r="H1922" s="87">
        <v>44651</v>
      </c>
      <c r="I1922" s="94">
        <v>2463.7</v>
      </c>
      <c r="J1922" s="94">
        <v>1847.78</v>
      </c>
      <c r="K1922" s="94">
        <v>615.92</v>
      </c>
    </row>
    <row r="1923" spans="1:11">
      <c r="A1923" s="74" t="s">
        <v>309</v>
      </c>
      <c r="B1923" s="74" t="s">
        <v>170</v>
      </c>
      <c r="C1923" s="74" t="s">
        <v>171</v>
      </c>
      <c r="D1923" s="74" t="s">
        <v>79</v>
      </c>
      <c r="E1923" s="74" t="s">
        <v>81</v>
      </c>
      <c r="F1923" s="86" t="s">
        <v>156</v>
      </c>
      <c r="G1923" s="74" t="s">
        <v>157</v>
      </c>
      <c r="H1923" s="87">
        <v>44651</v>
      </c>
      <c r="I1923" s="94">
        <v>2111.05</v>
      </c>
      <c r="J1923" s="94">
        <v>1583.29</v>
      </c>
      <c r="K1923" s="94">
        <v>527.76</v>
      </c>
    </row>
    <row r="1924" spans="1:11">
      <c r="A1924" s="74" t="s">
        <v>309</v>
      </c>
      <c r="B1924" s="74" t="s">
        <v>172</v>
      </c>
      <c r="C1924" s="74" t="s">
        <v>173</v>
      </c>
      <c r="D1924" s="74" t="s">
        <v>79</v>
      </c>
      <c r="E1924" s="74" t="s">
        <v>81</v>
      </c>
      <c r="F1924" s="86" t="s">
        <v>160</v>
      </c>
      <c r="G1924" s="74" t="s">
        <v>161</v>
      </c>
      <c r="H1924" s="87">
        <v>44651</v>
      </c>
      <c r="I1924" s="94">
        <v>1618.45</v>
      </c>
      <c r="J1924" s="94">
        <v>1213.84</v>
      </c>
      <c r="K1924" s="94">
        <v>404.61</v>
      </c>
    </row>
    <row r="1925" spans="1:11">
      <c r="A1925" s="74" t="s">
        <v>309</v>
      </c>
      <c r="B1925" s="74" t="s">
        <v>174</v>
      </c>
      <c r="C1925" s="74" t="s">
        <v>175</v>
      </c>
      <c r="D1925" s="74" t="s">
        <v>79</v>
      </c>
      <c r="E1925" s="74" t="s">
        <v>81</v>
      </c>
      <c r="F1925" s="86" t="s">
        <v>176</v>
      </c>
      <c r="G1925" s="74" t="s">
        <v>177</v>
      </c>
      <c r="H1925" s="87">
        <v>44651</v>
      </c>
      <c r="I1925" s="94">
        <v>1250.49</v>
      </c>
      <c r="J1925" s="94">
        <v>937.87</v>
      </c>
      <c r="K1925" s="94">
        <v>312.62</v>
      </c>
    </row>
    <row r="1926" spans="1:11">
      <c r="A1926" s="74" t="s">
        <v>309</v>
      </c>
      <c r="B1926" s="74" t="s">
        <v>178</v>
      </c>
      <c r="C1926" s="74" t="s">
        <v>179</v>
      </c>
      <c r="D1926" s="74" t="s">
        <v>79</v>
      </c>
      <c r="E1926" s="74" t="s">
        <v>81</v>
      </c>
      <c r="F1926" s="86" t="s">
        <v>180</v>
      </c>
      <c r="G1926" s="74" t="s">
        <v>177</v>
      </c>
      <c r="H1926" s="87">
        <v>44651</v>
      </c>
      <c r="I1926" s="94">
        <v>835.66</v>
      </c>
      <c r="J1926" s="94">
        <v>626.75</v>
      </c>
      <c r="K1926" s="94">
        <v>208.91</v>
      </c>
    </row>
    <row r="1927" spans="1:11">
      <c r="A1927" s="74" t="s">
        <v>309</v>
      </c>
      <c r="B1927" s="74" t="s">
        <v>181</v>
      </c>
      <c r="C1927" s="74" t="s">
        <v>182</v>
      </c>
      <c r="D1927" s="74" t="s">
        <v>79</v>
      </c>
      <c r="E1927" s="74" t="s">
        <v>81</v>
      </c>
      <c r="F1927" s="86" t="s">
        <v>183</v>
      </c>
      <c r="G1927" s="74" t="s">
        <v>177</v>
      </c>
      <c r="H1927" s="87">
        <v>44651</v>
      </c>
      <c r="I1927" s="94">
        <v>416.31</v>
      </c>
      <c r="J1927" s="94">
        <v>312.23</v>
      </c>
      <c r="K1927" s="94">
        <v>104.08</v>
      </c>
    </row>
    <row r="1928" spans="1:11">
      <c r="A1928" s="74" t="s">
        <v>309</v>
      </c>
      <c r="B1928" s="74" t="s">
        <v>184</v>
      </c>
      <c r="C1928" s="74" t="s">
        <v>185</v>
      </c>
      <c r="D1928" s="74" t="s">
        <v>79</v>
      </c>
      <c r="E1928" s="74" t="s">
        <v>81</v>
      </c>
      <c r="F1928" s="86" t="s">
        <v>176</v>
      </c>
      <c r="G1928" s="74" t="s">
        <v>177</v>
      </c>
      <c r="H1928" s="87">
        <v>44651</v>
      </c>
      <c r="I1928" s="94">
        <v>1190.4</v>
      </c>
      <c r="J1928" s="94">
        <v>892.8</v>
      </c>
      <c r="K1928" s="94">
        <v>297.6</v>
      </c>
    </row>
    <row r="1929" spans="1:11">
      <c r="A1929" s="74" t="s">
        <v>309</v>
      </c>
      <c r="B1929" s="74" t="s">
        <v>186</v>
      </c>
      <c r="C1929" s="74" t="s">
        <v>187</v>
      </c>
      <c r="D1929" s="74" t="s">
        <v>79</v>
      </c>
      <c r="E1929" s="74" t="s">
        <v>81</v>
      </c>
      <c r="F1929" s="86" t="s">
        <v>180</v>
      </c>
      <c r="G1929" s="74" t="s">
        <v>177</v>
      </c>
      <c r="H1929" s="87">
        <v>44651</v>
      </c>
      <c r="I1929" s="94">
        <v>808.13</v>
      </c>
      <c r="J1929" s="94">
        <v>606.1</v>
      </c>
      <c r="K1929" s="94">
        <v>202.03</v>
      </c>
    </row>
    <row r="1930" spans="1:11">
      <c r="A1930" s="74" t="s">
        <v>309</v>
      </c>
      <c r="B1930" s="74" t="s">
        <v>188</v>
      </c>
      <c r="C1930" s="74" t="s">
        <v>189</v>
      </c>
      <c r="D1930" s="74" t="s">
        <v>79</v>
      </c>
      <c r="E1930" s="74" t="s">
        <v>81</v>
      </c>
      <c r="F1930" s="86" t="s">
        <v>183</v>
      </c>
      <c r="G1930" s="74" t="s">
        <v>177</v>
      </c>
      <c r="H1930" s="87">
        <v>44651</v>
      </c>
      <c r="I1930" s="94">
        <v>390.96</v>
      </c>
      <c r="J1930" s="94">
        <v>293.22</v>
      </c>
      <c r="K1930" s="94">
        <v>97.74</v>
      </c>
    </row>
    <row r="1931" spans="1:11">
      <c r="A1931" s="74" t="s">
        <v>309</v>
      </c>
      <c r="B1931" s="74" t="s">
        <v>190</v>
      </c>
      <c r="C1931" s="74" t="s">
        <v>191</v>
      </c>
      <c r="D1931" s="74" t="s">
        <v>79</v>
      </c>
      <c r="E1931" s="74" t="s">
        <v>81</v>
      </c>
      <c r="F1931" s="86" t="s">
        <v>176</v>
      </c>
      <c r="G1931" s="74" t="s">
        <v>177</v>
      </c>
      <c r="H1931" s="87">
        <v>44651</v>
      </c>
      <c r="I1931" s="94">
        <v>1213.19</v>
      </c>
      <c r="J1931" s="94">
        <v>909.89</v>
      </c>
      <c r="K1931" s="94">
        <v>303.3</v>
      </c>
    </row>
    <row r="1932" spans="1:11">
      <c r="A1932" s="74" t="s">
        <v>309</v>
      </c>
      <c r="B1932" s="74" t="s">
        <v>192</v>
      </c>
      <c r="C1932" s="74" t="s">
        <v>193</v>
      </c>
      <c r="D1932" s="74" t="s">
        <v>79</v>
      </c>
      <c r="E1932" s="74" t="s">
        <v>81</v>
      </c>
      <c r="F1932" s="86" t="s">
        <v>180</v>
      </c>
      <c r="G1932" s="74" t="s">
        <v>177</v>
      </c>
      <c r="H1932" s="87">
        <v>44651</v>
      </c>
      <c r="I1932" s="94">
        <v>800.21</v>
      </c>
      <c r="J1932" s="94">
        <v>600.16</v>
      </c>
      <c r="K1932" s="94">
        <v>200.05</v>
      </c>
    </row>
    <row r="1933" spans="1:11">
      <c r="A1933" s="74" t="s">
        <v>309</v>
      </c>
      <c r="B1933" s="74" t="s">
        <v>194</v>
      </c>
      <c r="C1933" s="74" t="s">
        <v>195</v>
      </c>
      <c r="D1933" s="74" t="s">
        <v>79</v>
      </c>
      <c r="E1933" s="74" t="s">
        <v>81</v>
      </c>
      <c r="F1933" s="86" t="s">
        <v>183</v>
      </c>
      <c r="G1933" s="74" t="s">
        <v>177</v>
      </c>
      <c r="H1933" s="87">
        <v>44651</v>
      </c>
      <c r="I1933" s="94">
        <v>427.05</v>
      </c>
      <c r="J1933" s="94">
        <v>320.29</v>
      </c>
      <c r="K1933" s="94">
        <v>106.76</v>
      </c>
    </row>
    <row r="1934" spans="1:11">
      <c r="A1934" s="74" t="s">
        <v>309</v>
      </c>
      <c r="B1934" s="74" t="s">
        <v>196</v>
      </c>
      <c r="C1934" s="74" t="s">
        <v>197</v>
      </c>
      <c r="D1934" s="74" t="s">
        <v>79</v>
      </c>
      <c r="E1934" s="74" t="s">
        <v>81</v>
      </c>
      <c r="F1934" s="86" t="s">
        <v>176</v>
      </c>
      <c r="G1934" s="74" t="s">
        <v>177</v>
      </c>
      <c r="H1934" s="87">
        <v>44651</v>
      </c>
      <c r="I1934" s="94">
        <v>1246.5</v>
      </c>
      <c r="J1934" s="94">
        <v>934.88</v>
      </c>
      <c r="K1934" s="94">
        <v>311.62</v>
      </c>
    </row>
    <row r="1935" spans="1:11">
      <c r="A1935" s="74" t="s">
        <v>309</v>
      </c>
      <c r="B1935" s="74" t="s">
        <v>198</v>
      </c>
      <c r="C1935" s="74" t="s">
        <v>199</v>
      </c>
      <c r="D1935" s="74" t="s">
        <v>79</v>
      </c>
      <c r="E1935" s="74" t="s">
        <v>81</v>
      </c>
      <c r="F1935" s="86" t="s">
        <v>180</v>
      </c>
      <c r="G1935" s="74" t="s">
        <v>177</v>
      </c>
      <c r="H1935" s="87">
        <v>44651</v>
      </c>
      <c r="I1935" s="94">
        <v>843.27</v>
      </c>
      <c r="J1935" s="94">
        <v>632.45</v>
      </c>
      <c r="K1935" s="94">
        <v>210.82</v>
      </c>
    </row>
    <row r="1936" spans="1:11">
      <c r="A1936" s="74" t="s">
        <v>309</v>
      </c>
      <c r="B1936" s="74" t="s">
        <v>200</v>
      </c>
      <c r="C1936" s="74" t="s">
        <v>201</v>
      </c>
      <c r="D1936" s="74" t="s">
        <v>79</v>
      </c>
      <c r="E1936" s="74" t="s">
        <v>81</v>
      </c>
      <c r="F1936" s="86" t="s">
        <v>183</v>
      </c>
      <c r="G1936" s="74" t="s">
        <v>177</v>
      </c>
      <c r="H1936" s="87">
        <v>44651</v>
      </c>
      <c r="I1936" s="94">
        <v>404.54</v>
      </c>
      <c r="J1936" s="94">
        <v>303.41</v>
      </c>
      <c r="K1936" s="94">
        <v>101.13</v>
      </c>
    </row>
    <row r="1937" spans="1:11">
      <c r="A1937" s="74" t="s">
        <v>309</v>
      </c>
      <c r="B1937" s="74" t="s">
        <v>202</v>
      </c>
      <c r="C1937" s="74" t="s">
        <v>203</v>
      </c>
      <c r="D1937" s="74" t="s">
        <v>79</v>
      </c>
      <c r="E1937" s="74" t="s">
        <v>81</v>
      </c>
      <c r="F1937" s="86" t="s">
        <v>204</v>
      </c>
      <c r="G1937" s="74" t="s">
        <v>205</v>
      </c>
      <c r="H1937" s="87">
        <v>44651</v>
      </c>
      <c r="I1937" s="94">
        <v>7627.14</v>
      </c>
      <c r="J1937" s="94">
        <v>5720.36</v>
      </c>
      <c r="K1937" s="94">
        <v>1906.78</v>
      </c>
    </row>
    <row r="1938" spans="1:11">
      <c r="A1938" s="74" t="s">
        <v>309</v>
      </c>
      <c r="B1938" s="74" t="s">
        <v>206</v>
      </c>
      <c r="C1938" s="74" t="s">
        <v>207</v>
      </c>
      <c r="D1938" s="88" t="s">
        <v>82</v>
      </c>
      <c r="E1938" s="88" t="s">
        <v>84</v>
      </c>
      <c r="F1938" s="86" t="s">
        <v>208</v>
      </c>
      <c r="G1938" s="74" t="s">
        <v>209</v>
      </c>
      <c r="H1938" s="87">
        <v>44651</v>
      </c>
      <c r="I1938" s="94">
        <v>3519.31</v>
      </c>
      <c r="J1938" s="94">
        <v>2639.48</v>
      </c>
      <c r="K1938" s="94">
        <v>879.83</v>
      </c>
    </row>
    <row r="1939" spans="1:11">
      <c r="A1939" s="74" t="s">
        <v>309</v>
      </c>
      <c r="B1939" s="74" t="s">
        <v>210</v>
      </c>
      <c r="C1939" s="74" t="s">
        <v>211</v>
      </c>
      <c r="D1939" s="88" t="s">
        <v>82</v>
      </c>
      <c r="E1939" s="88" t="s">
        <v>84</v>
      </c>
      <c r="F1939" s="86" t="s">
        <v>116</v>
      </c>
      <c r="G1939" s="74" t="s">
        <v>209</v>
      </c>
      <c r="H1939" s="87">
        <v>44651</v>
      </c>
      <c r="I1939" s="94">
        <v>3250.63</v>
      </c>
      <c r="J1939" s="94">
        <v>2437.97</v>
      </c>
      <c r="K1939" s="94">
        <v>812.66</v>
      </c>
    </row>
    <row r="1940" spans="1:11">
      <c r="A1940" s="74" t="s">
        <v>309</v>
      </c>
      <c r="B1940" s="74" t="s">
        <v>212</v>
      </c>
      <c r="C1940" s="74" t="s">
        <v>213</v>
      </c>
      <c r="D1940" s="88" t="s">
        <v>82</v>
      </c>
      <c r="E1940" s="88" t="s">
        <v>84</v>
      </c>
      <c r="F1940" s="86" t="s">
        <v>208</v>
      </c>
      <c r="G1940" s="74" t="s">
        <v>209</v>
      </c>
      <c r="H1940" s="87">
        <v>44651</v>
      </c>
      <c r="I1940" s="94">
        <v>3740.42</v>
      </c>
      <c r="J1940" s="94">
        <v>2805.32</v>
      </c>
      <c r="K1940" s="94">
        <v>935.1</v>
      </c>
    </row>
    <row r="1941" spans="1:11">
      <c r="A1941" s="74" t="s">
        <v>309</v>
      </c>
      <c r="B1941" s="74" t="s">
        <v>214</v>
      </c>
      <c r="C1941" s="74" t="s">
        <v>215</v>
      </c>
      <c r="D1941" s="88" t="s">
        <v>82</v>
      </c>
      <c r="E1941" s="88" t="s">
        <v>84</v>
      </c>
      <c r="F1941" s="86" t="s">
        <v>116</v>
      </c>
      <c r="G1941" s="74" t="s">
        <v>209</v>
      </c>
      <c r="H1941" s="87">
        <v>44651</v>
      </c>
      <c r="I1941" s="94">
        <v>3251.58</v>
      </c>
      <c r="J1941" s="94">
        <v>2438.69</v>
      </c>
      <c r="K1941" s="94">
        <v>812.89</v>
      </c>
    </row>
    <row r="1942" spans="1:11">
      <c r="A1942" s="74" t="s">
        <v>309</v>
      </c>
      <c r="B1942" s="74" t="s">
        <v>216</v>
      </c>
      <c r="C1942" s="74" t="s">
        <v>217</v>
      </c>
      <c r="D1942" s="88" t="s">
        <v>82</v>
      </c>
      <c r="E1942" s="88" t="s">
        <v>84</v>
      </c>
      <c r="F1942" s="86" t="s">
        <v>218</v>
      </c>
      <c r="G1942" s="74" t="s">
        <v>219</v>
      </c>
      <c r="H1942" s="87">
        <v>44651</v>
      </c>
      <c r="I1942" s="94">
        <v>4504.09</v>
      </c>
      <c r="J1942" s="94">
        <v>3378.07</v>
      </c>
      <c r="K1942" s="94">
        <v>1126.02</v>
      </c>
    </row>
    <row r="1943" spans="1:11">
      <c r="A1943" s="74" t="s">
        <v>309</v>
      </c>
      <c r="B1943" s="74" t="s">
        <v>220</v>
      </c>
      <c r="C1943" s="74" t="s">
        <v>221</v>
      </c>
      <c r="D1943" s="88" t="s">
        <v>82</v>
      </c>
      <c r="E1943" s="74" t="s">
        <v>83</v>
      </c>
      <c r="F1943" s="86" t="s">
        <v>218</v>
      </c>
      <c r="G1943" s="74" t="s">
        <v>222</v>
      </c>
      <c r="H1943" s="87">
        <v>44651</v>
      </c>
      <c r="I1943" s="94">
        <v>4295.69</v>
      </c>
      <c r="J1943" s="94">
        <v>3221.77</v>
      </c>
      <c r="K1943" s="94">
        <v>1073.92</v>
      </c>
    </row>
    <row r="1944" spans="1:11">
      <c r="A1944" s="74" t="s">
        <v>309</v>
      </c>
      <c r="B1944" s="74" t="s">
        <v>223</v>
      </c>
      <c r="C1944" s="74" t="s">
        <v>224</v>
      </c>
      <c r="D1944" s="88" t="s">
        <v>82</v>
      </c>
      <c r="E1944" s="74" t="s">
        <v>83</v>
      </c>
      <c r="F1944" s="86" t="s">
        <v>225</v>
      </c>
      <c r="G1944" s="74" t="s">
        <v>209</v>
      </c>
      <c r="H1944" s="87">
        <v>44651</v>
      </c>
      <c r="I1944" s="94">
        <v>4060.37</v>
      </c>
      <c r="J1944" s="94">
        <v>3045.28</v>
      </c>
      <c r="K1944" s="94">
        <v>1015.09</v>
      </c>
    </row>
    <row r="1945" spans="1:11">
      <c r="A1945" s="74" t="s">
        <v>309</v>
      </c>
      <c r="B1945" s="74" t="s">
        <v>226</v>
      </c>
      <c r="C1945" s="74" t="s">
        <v>227</v>
      </c>
      <c r="D1945" s="88" t="s">
        <v>82</v>
      </c>
      <c r="E1945" s="74" t="s">
        <v>83</v>
      </c>
      <c r="F1945" s="86" t="s">
        <v>208</v>
      </c>
      <c r="G1945" s="74" t="s">
        <v>209</v>
      </c>
      <c r="H1945" s="87">
        <v>44651</v>
      </c>
      <c r="I1945" s="94">
        <v>3512.89</v>
      </c>
      <c r="J1945" s="94">
        <v>2634.67</v>
      </c>
      <c r="K1945" s="94">
        <v>878.22</v>
      </c>
    </row>
    <row r="1946" spans="1:11">
      <c r="A1946" s="74" t="s">
        <v>309</v>
      </c>
      <c r="B1946" s="74" t="s">
        <v>228</v>
      </c>
      <c r="C1946" s="74" t="s">
        <v>229</v>
      </c>
      <c r="D1946" s="88" t="s">
        <v>82</v>
      </c>
      <c r="E1946" s="74" t="s">
        <v>83</v>
      </c>
      <c r="F1946" s="86" t="s">
        <v>116</v>
      </c>
      <c r="G1946" s="74" t="s">
        <v>209</v>
      </c>
      <c r="H1946" s="87">
        <v>44651</v>
      </c>
      <c r="I1946" s="94">
        <v>3275.77</v>
      </c>
      <c r="J1946" s="94">
        <v>2456.83</v>
      </c>
      <c r="K1946" s="94">
        <v>818.94</v>
      </c>
    </row>
    <row r="1947" spans="1:11">
      <c r="A1947" s="74" t="s">
        <v>309</v>
      </c>
      <c r="B1947" s="74" t="s">
        <v>230</v>
      </c>
      <c r="C1947" s="74" t="s">
        <v>231</v>
      </c>
      <c r="D1947" s="88" t="s">
        <v>82</v>
      </c>
      <c r="E1947" s="74" t="s">
        <v>83</v>
      </c>
      <c r="F1947" s="86" t="s">
        <v>120</v>
      </c>
      <c r="G1947" s="74" t="s">
        <v>209</v>
      </c>
      <c r="H1947" s="87">
        <v>44651</v>
      </c>
      <c r="I1947" s="94">
        <v>2996.12</v>
      </c>
      <c r="J1947" s="94">
        <v>2247.09</v>
      </c>
      <c r="K1947" s="94">
        <v>749.03</v>
      </c>
    </row>
    <row r="1948" spans="1:11">
      <c r="A1948" s="74" t="s">
        <v>309</v>
      </c>
      <c r="B1948" s="74" t="s">
        <v>232</v>
      </c>
      <c r="C1948" s="74" t="s">
        <v>233</v>
      </c>
      <c r="D1948" s="88" t="s">
        <v>82</v>
      </c>
      <c r="E1948" s="74" t="s">
        <v>83</v>
      </c>
      <c r="F1948" s="86" t="s">
        <v>123</v>
      </c>
      <c r="G1948" s="74" t="s">
        <v>209</v>
      </c>
      <c r="H1948" s="87">
        <v>44651</v>
      </c>
      <c r="I1948" s="94">
        <v>2455.42</v>
      </c>
      <c r="J1948" s="94">
        <v>1841.57</v>
      </c>
      <c r="K1948" s="94">
        <v>613.85</v>
      </c>
    </row>
    <row r="1949" spans="1:11">
      <c r="A1949" s="74" t="s">
        <v>309</v>
      </c>
      <c r="B1949" s="74" t="s">
        <v>234</v>
      </c>
      <c r="C1949" s="74" t="s">
        <v>235</v>
      </c>
      <c r="D1949" s="88" t="s">
        <v>82</v>
      </c>
      <c r="E1949" s="74" t="s">
        <v>83</v>
      </c>
      <c r="F1949" s="86" t="s">
        <v>116</v>
      </c>
      <c r="G1949" s="74" t="s">
        <v>209</v>
      </c>
      <c r="H1949" s="87">
        <v>44651</v>
      </c>
      <c r="I1949" s="94">
        <v>3257.52</v>
      </c>
      <c r="J1949" s="94">
        <v>2443.14</v>
      </c>
      <c r="K1949" s="94">
        <v>814.38</v>
      </c>
    </row>
    <row r="1950" spans="1:11">
      <c r="A1950" s="74" t="s">
        <v>309</v>
      </c>
      <c r="B1950" s="74" t="s">
        <v>236</v>
      </c>
      <c r="C1950" s="74" t="s">
        <v>237</v>
      </c>
      <c r="D1950" s="88" t="s">
        <v>82</v>
      </c>
      <c r="E1950" s="74" t="s">
        <v>83</v>
      </c>
      <c r="F1950" s="86" t="s">
        <v>120</v>
      </c>
      <c r="G1950" s="74" t="s">
        <v>209</v>
      </c>
      <c r="H1950" s="87">
        <v>44651</v>
      </c>
      <c r="I1950" s="94">
        <v>2962.54</v>
      </c>
      <c r="J1950" s="94">
        <v>2221.91</v>
      </c>
      <c r="K1950" s="94">
        <v>740.63</v>
      </c>
    </row>
    <row r="1951" spans="1:11">
      <c r="A1951" s="74" t="s">
        <v>309</v>
      </c>
      <c r="B1951" s="74" t="s">
        <v>238</v>
      </c>
      <c r="C1951" s="74" t="s">
        <v>239</v>
      </c>
      <c r="D1951" s="74" t="s">
        <v>86</v>
      </c>
      <c r="E1951" s="74" t="s">
        <v>87</v>
      </c>
      <c r="F1951" s="86" t="s">
        <v>204</v>
      </c>
      <c r="G1951" s="74" t="s">
        <v>240</v>
      </c>
      <c r="H1951" s="87">
        <v>44651</v>
      </c>
      <c r="I1951" s="94">
        <v>5919.07</v>
      </c>
      <c r="J1951" s="94">
        <v>4439.3</v>
      </c>
      <c r="K1951" s="94">
        <v>1479.77</v>
      </c>
    </row>
    <row r="1952" spans="1:11">
      <c r="A1952" s="74" t="s">
        <v>309</v>
      </c>
      <c r="B1952" s="74" t="s">
        <v>241</v>
      </c>
      <c r="C1952" s="74" t="s">
        <v>242</v>
      </c>
      <c r="D1952" s="74" t="s">
        <v>86</v>
      </c>
      <c r="E1952" s="74" t="s">
        <v>87</v>
      </c>
      <c r="F1952" s="86" t="s">
        <v>243</v>
      </c>
      <c r="G1952" s="74" t="s">
        <v>244</v>
      </c>
      <c r="H1952" s="87">
        <v>44651</v>
      </c>
      <c r="I1952" s="94">
        <v>4112.72</v>
      </c>
      <c r="J1952" s="94">
        <v>3084.54</v>
      </c>
      <c r="K1952" s="94">
        <v>1028.18</v>
      </c>
    </row>
    <row r="1953" spans="1:11">
      <c r="A1953" s="74" t="s">
        <v>309</v>
      </c>
      <c r="B1953" s="74" t="s">
        <v>245</v>
      </c>
      <c r="C1953" s="74" t="s">
        <v>246</v>
      </c>
      <c r="D1953" s="74" t="s">
        <v>86</v>
      </c>
      <c r="E1953" s="74" t="s">
        <v>87</v>
      </c>
      <c r="F1953" s="86" t="s">
        <v>247</v>
      </c>
      <c r="G1953" s="74" t="s">
        <v>248</v>
      </c>
      <c r="H1953" s="87">
        <v>44651</v>
      </c>
      <c r="I1953" s="94">
        <v>3954.1</v>
      </c>
      <c r="J1953" s="94">
        <v>2965.58</v>
      </c>
      <c r="K1953" s="94">
        <v>988.52</v>
      </c>
    </row>
    <row r="1954" spans="1:11">
      <c r="A1954" s="74" t="s">
        <v>309</v>
      </c>
      <c r="B1954" s="74" t="s">
        <v>249</v>
      </c>
      <c r="C1954" s="74" t="s">
        <v>250</v>
      </c>
      <c r="D1954" s="74" t="s">
        <v>86</v>
      </c>
      <c r="E1954" s="74" t="s">
        <v>87</v>
      </c>
      <c r="F1954" s="86" t="s">
        <v>251</v>
      </c>
      <c r="G1954" s="74" t="s">
        <v>252</v>
      </c>
      <c r="H1954" s="87">
        <v>44651</v>
      </c>
      <c r="I1954" s="94">
        <v>3577.08</v>
      </c>
      <c r="J1954" s="94">
        <v>2682.81</v>
      </c>
      <c r="K1954" s="94">
        <v>894.27</v>
      </c>
    </row>
    <row r="1955" spans="1:11">
      <c r="A1955" s="74" t="s">
        <v>309</v>
      </c>
      <c r="B1955" s="74" t="s">
        <v>253</v>
      </c>
      <c r="C1955" s="74" t="s">
        <v>254</v>
      </c>
      <c r="D1955" s="74" t="s">
        <v>86</v>
      </c>
      <c r="E1955" s="74" t="s">
        <v>87</v>
      </c>
      <c r="F1955" s="86" t="s">
        <v>255</v>
      </c>
      <c r="G1955" s="74" t="s">
        <v>252</v>
      </c>
      <c r="H1955" s="87">
        <v>44651</v>
      </c>
      <c r="I1955" s="94">
        <v>3170.59</v>
      </c>
      <c r="J1955" s="94">
        <v>2377.94</v>
      </c>
      <c r="K1955" s="94">
        <v>792.65</v>
      </c>
    </row>
    <row r="1956" spans="1:11">
      <c r="A1956" s="74" t="s">
        <v>309</v>
      </c>
      <c r="B1956" s="74" t="s">
        <v>256</v>
      </c>
      <c r="C1956" s="74" t="s">
        <v>257</v>
      </c>
      <c r="D1956" s="74" t="s">
        <v>86</v>
      </c>
      <c r="E1956" s="74" t="s">
        <v>87</v>
      </c>
      <c r="F1956" s="86" t="s">
        <v>258</v>
      </c>
      <c r="G1956" s="74" t="s">
        <v>252</v>
      </c>
      <c r="H1956" s="87">
        <v>44651</v>
      </c>
      <c r="I1956" s="94">
        <v>2911.11</v>
      </c>
      <c r="J1956" s="94">
        <v>2183.33</v>
      </c>
      <c r="K1956" s="94">
        <v>727.78</v>
      </c>
    </row>
    <row r="1957" spans="1:11">
      <c r="A1957" s="74" t="s">
        <v>309</v>
      </c>
      <c r="B1957" s="74" t="s">
        <v>259</v>
      </c>
      <c r="C1957" s="74" t="s">
        <v>260</v>
      </c>
      <c r="D1957" s="74" t="s">
        <v>86</v>
      </c>
      <c r="E1957" s="74" t="s">
        <v>87</v>
      </c>
      <c r="F1957" s="86" t="s">
        <v>261</v>
      </c>
      <c r="G1957" s="74" t="s">
        <v>262</v>
      </c>
      <c r="H1957" s="87">
        <v>44651</v>
      </c>
      <c r="I1957" s="94">
        <v>2605.96</v>
      </c>
      <c r="J1957" s="94">
        <v>1954.47</v>
      </c>
      <c r="K1957" s="94">
        <v>651.49</v>
      </c>
    </row>
    <row r="1958" spans="1:11">
      <c r="A1958" s="74" t="s">
        <v>309</v>
      </c>
      <c r="B1958" s="74" t="s">
        <v>263</v>
      </c>
      <c r="C1958" s="74" t="s">
        <v>264</v>
      </c>
      <c r="D1958" s="74" t="s">
        <v>86</v>
      </c>
      <c r="E1958" s="74" t="s">
        <v>88</v>
      </c>
      <c r="F1958" s="86" t="s">
        <v>149</v>
      </c>
      <c r="G1958" s="74" t="s">
        <v>265</v>
      </c>
      <c r="H1958" s="87">
        <v>44651</v>
      </c>
      <c r="I1958" s="94">
        <v>5827.17</v>
      </c>
      <c r="J1958" s="94">
        <v>4370.38</v>
      </c>
      <c r="K1958" s="94">
        <v>1456.79</v>
      </c>
    </row>
    <row r="1959" spans="1:11">
      <c r="A1959" s="74" t="s">
        <v>309</v>
      </c>
      <c r="B1959" s="74" t="s">
        <v>266</v>
      </c>
      <c r="C1959" s="74" t="s">
        <v>267</v>
      </c>
      <c r="D1959" s="74" t="s">
        <v>86</v>
      </c>
      <c r="E1959" s="74" t="s">
        <v>88</v>
      </c>
      <c r="F1959" s="86" t="s">
        <v>243</v>
      </c>
      <c r="G1959" s="74" t="s">
        <v>268</v>
      </c>
      <c r="H1959" s="87">
        <v>44651</v>
      </c>
      <c r="I1959" s="94">
        <v>4362.59</v>
      </c>
      <c r="J1959" s="94">
        <v>3271.94</v>
      </c>
      <c r="K1959" s="94">
        <v>1090.65</v>
      </c>
    </row>
    <row r="1960" spans="1:11">
      <c r="A1960" s="74" t="s">
        <v>309</v>
      </c>
      <c r="B1960" s="74" t="s">
        <v>269</v>
      </c>
      <c r="C1960" s="74" t="s">
        <v>270</v>
      </c>
      <c r="D1960" s="74" t="s">
        <v>86</v>
      </c>
      <c r="E1960" s="74" t="s">
        <v>88</v>
      </c>
      <c r="F1960" s="86" t="s">
        <v>247</v>
      </c>
      <c r="G1960" s="74" t="s">
        <v>268</v>
      </c>
      <c r="H1960" s="87">
        <v>44651</v>
      </c>
      <c r="I1960" s="94">
        <v>3748.37</v>
      </c>
      <c r="J1960" s="94">
        <v>2811.28</v>
      </c>
      <c r="K1960" s="94">
        <v>937.09</v>
      </c>
    </row>
    <row r="1961" spans="1:11">
      <c r="A1961" s="74" t="s">
        <v>309</v>
      </c>
      <c r="B1961" s="74" t="s">
        <v>271</v>
      </c>
      <c r="C1961" s="74" t="s">
        <v>272</v>
      </c>
      <c r="D1961" s="74" t="s">
        <v>86</v>
      </c>
      <c r="E1961" s="74" t="s">
        <v>88</v>
      </c>
      <c r="F1961" s="86" t="s">
        <v>251</v>
      </c>
      <c r="G1961" s="74" t="s">
        <v>268</v>
      </c>
      <c r="H1961" s="87">
        <v>44651</v>
      </c>
      <c r="I1961" s="94">
        <v>3451.84</v>
      </c>
      <c r="J1961" s="94">
        <v>2588.88</v>
      </c>
      <c r="K1961" s="94">
        <v>862.96</v>
      </c>
    </row>
    <row r="1962" spans="1:11">
      <c r="A1962" s="74" t="s">
        <v>309</v>
      </c>
      <c r="B1962" s="74" t="s">
        <v>273</v>
      </c>
      <c r="C1962" s="74" t="s">
        <v>274</v>
      </c>
      <c r="D1962" s="74" t="s">
        <v>86</v>
      </c>
      <c r="E1962" s="74" t="s">
        <v>88</v>
      </c>
      <c r="F1962" s="86" t="s">
        <v>255</v>
      </c>
      <c r="G1962" s="74" t="s">
        <v>268</v>
      </c>
      <c r="H1962" s="87">
        <v>44651</v>
      </c>
      <c r="I1962" s="94">
        <v>3238.19</v>
      </c>
      <c r="J1962" s="94">
        <v>2428.64</v>
      </c>
      <c r="K1962" s="94">
        <v>809.55</v>
      </c>
    </row>
    <row r="1963" spans="1:11">
      <c r="A1963" s="74" t="s">
        <v>309</v>
      </c>
      <c r="B1963" s="74" t="s">
        <v>275</v>
      </c>
      <c r="C1963" s="74" t="s">
        <v>276</v>
      </c>
      <c r="D1963" s="74" t="s">
        <v>86</v>
      </c>
      <c r="E1963" s="74" t="s">
        <v>88</v>
      </c>
      <c r="F1963" s="86" t="s">
        <v>258</v>
      </c>
      <c r="G1963" s="74" t="s">
        <v>268</v>
      </c>
      <c r="H1963" s="87">
        <v>44651</v>
      </c>
      <c r="I1963" s="94">
        <v>2859.04</v>
      </c>
      <c r="J1963" s="94">
        <v>2144.28</v>
      </c>
      <c r="K1963" s="94">
        <v>714.76</v>
      </c>
    </row>
    <row r="1964" spans="1:11">
      <c r="A1964" s="74" t="s">
        <v>309</v>
      </c>
      <c r="B1964" s="74" t="s">
        <v>277</v>
      </c>
      <c r="C1964" s="74" t="s">
        <v>278</v>
      </c>
      <c r="D1964" s="74" t="s">
        <v>86</v>
      </c>
      <c r="E1964" s="74" t="s">
        <v>89</v>
      </c>
      <c r="F1964" s="86" t="s">
        <v>279</v>
      </c>
      <c r="G1964" s="74" t="s">
        <v>280</v>
      </c>
      <c r="H1964" s="87">
        <v>44651</v>
      </c>
      <c r="I1964" s="94">
        <v>4698.19</v>
      </c>
      <c r="J1964" s="94">
        <v>3523.64</v>
      </c>
      <c r="K1964" s="94">
        <v>1174.55</v>
      </c>
    </row>
    <row r="1965" spans="1:11">
      <c r="A1965" s="74" t="s">
        <v>309</v>
      </c>
      <c r="B1965" s="74" t="s">
        <v>281</v>
      </c>
      <c r="C1965" s="74" t="s">
        <v>282</v>
      </c>
      <c r="D1965" s="74" t="s">
        <v>86</v>
      </c>
      <c r="E1965" s="74" t="s">
        <v>89</v>
      </c>
      <c r="F1965" s="86" t="s">
        <v>225</v>
      </c>
      <c r="G1965" s="74" t="s">
        <v>283</v>
      </c>
      <c r="H1965" s="87">
        <v>44651</v>
      </c>
      <c r="I1965" s="94">
        <v>3187.03</v>
      </c>
      <c r="J1965" s="94">
        <v>2390.27</v>
      </c>
      <c r="K1965" s="94">
        <v>796.76</v>
      </c>
    </row>
    <row r="1966" spans="1:11">
      <c r="A1966" s="74" t="s">
        <v>309</v>
      </c>
      <c r="B1966" s="74" t="s">
        <v>284</v>
      </c>
      <c r="C1966" s="74" t="s">
        <v>285</v>
      </c>
      <c r="D1966" s="74" t="s">
        <v>86</v>
      </c>
      <c r="E1966" s="74" t="s">
        <v>89</v>
      </c>
      <c r="F1966" s="86" t="s">
        <v>208</v>
      </c>
      <c r="G1966" s="74" t="s">
        <v>283</v>
      </c>
      <c r="H1966" s="87">
        <v>44651</v>
      </c>
      <c r="I1966" s="94">
        <v>3045.54</v>
      </c>
      <c r="J1966" s="94">
        <v>2284.16</v>
      </c>
      <c r="K1966" s="94">
        <v>761.38</v>
      </c>
    </row>
    <row r="1967" spans="1:11">
      <c r="A1967" s="74" t="s">
        <v>309</v>
      </c>
      <c r="B1967" s="74" t="s">
        <v>286</v>
      </c>
      <c r="C1967" s="74" t="s">
        <v>287</v>
      </c>
      <c r="D1967" s="74" t="s">
        <v>82</v>
      </c>
      <c r="E1967" s="88" t="s">
        <v>85</v>
      </c>
      <c r="F1967" s="86" t="s">
        <v>288</v>
      </c>
      <c r="G1967" s="74" t="s">
        <v>289</v>
      </c>
      <c r="H1967" s="87">
        <v>44651</v>
      </c>
      <c r="I1967" s="94">
        <v>4941.39</v>
      </c>
      <c r="J1967" s="94">
        <v>3706.04</v>
      </c>
      <c r="K1967" s="94">
        <v>1235.35</v>
      </c>
    </row>
    <row r="1968" spans="1:11">
      <c r="A1968" s="74" t="s">
        <v>309</v>
      </c>
      <c r="B1968" s="74" t="s">
        <v>290</v>
      </c>
      <c r="C1968" s="74" t="s">
        <v>291</v>
      </c>
      <c r="D1968" s="74" t="s">
        <v>82</v>
      </c>
      <c r="E1968" s="88" t="s">
        <v>85</v>
      </c>
      <c r="F1968" s="86" t="s">
        <v>218</v>
      </c>
      <c r="G1968" s="74" t="s">
        <v>289</v>
      </c>
      <c r="H1968" s="87">
        <v>44651</v>
      </c>
      <c r="I1968" s="94">
        <v>4471.36</v>
      </c>
      <c r="J1968" s="94">
        <v>3353.52</v>
      </c>
      <c r="K1968" s="94">
        <v>1117.84</v>
      </c>
    </row>
    <row r="1969" spans="1:11">
      <c r="A1969" s="74" t="s">
        <v>309</v>
      </c>
      <c r="B1969" s="74" t="s">
        <v>292</v>
      </c>
      <c r="C1969" s="74" t="s">
        <v>293</v>
      </c>
      <c r="D1969" s="74" t="s">
        <v>82</v>
      </c>
      <c r="E1969" s="88" t="s">
        <v>85</v>
      </c>
      <c r="F1969" s="86" t="s">
        <v>225</v>
      </c>
      <c r="G1969" s="74" t="s">
        <v>289</v>
      </c>
      <c r="H1969" s="87">
        <v>44651</v>
      </c>
      <c r="I1969" s="94">
        <v>4157.13</v>
      </c>
      <c r="J1969" s="94">
        <v>3117.85</v>
      </c>
      <c r="K1969" s="94">
        <v>1039.28</v>
      </c>
    </row>
    <row r="1970" spans="1:11">
      <c r="A1970" s="74" t="s">
        <v>309</v>
      </c>
      <c r="B1970" s="74" t="s">
        <v>294</v>
      </c>
      <c r="C1970" s="74" t="s">
        <v>295</v>
      </c>
      <c r="D1970" s="74" t="s">
        <v>82</v>
      </c>
      <c r="E1970" s="88" t="s">
        <v>85</v>
      </c>
      <c r="F1970" s="86" t="s">
        <v>208</v>
      </c>
      <c r="G1970" s="74" t="s">
        <v>289</v>
      </c>
      <c r="H1970" s="87">
        <v>44651</v>
      </c>
      <c r="I1970" s="94">
        <v>3766.17</v>
      </c>
      <c r="J1970" s="94">
        <v>2824.63</v>
      </c>
      <c r="K1970" s="94">
        <v>941.54</v>
      </c>
    </row>
    <row r="1971" spans="1:11">
      <c r="A1971" s="74" t="s">
        <v>309</v>
      </c>
      <c r="B1971" s="74" t="s">
        <v>296</v>
      </c>
      <c r="C1971" s="74" t="s">
        <v>297</v>
      </c>
      <c r="D1971" s="74" t="s">
        <v>82</v>
      </c>
      <c r="E1971" s="88" t="s">
        <v>85</v>
      </c>
      <c r="F1971" s="86" t="s">
        <v>116</v>
      </c>
      <c r="G1971" s="74" t="s">
        <v>289</v>
      </c>
      <c r="H1971" s="87">
        <v>44651</v>
      </c>
      <c r="I1971" s="94">
        <v>3341.32</v>
      </c>
      <c r="J1971" s="94">
        <v>2505.99</v>
      </c>
      <c r="K1971" s="94">
        <v>835.33</v>
      </c>
    </row>
    <row r="1972" spans="1:11">
      <c r="A1972" s="74" t="s">
        <v>309</v>
      </c>
      <c r="B1972" s="74" t="s">
        <v>298</v>
      </c>
      <c r="C1972" s="74" t="s">
        <v>299</v>
      </c>
      <c r="D1972" s="74" t="s">
        <v>82</v>
      </c>
      <c r="E1972" s="88" t="s">
        <v>85</v>
      </c>
      <c r="F1972" s="86" t="s">
        <v>279</v>
      </c>
      <c r="G1972" s="74" t="s">
        <v>300</v>
      </c>
      <c r="H1972" s="87">
        <v>44651</v>
      </c>
      <c r="I1972" s="94">
        <v>5992.85</v>
      </c>
      <c r="J1972" s="94">
        <v>4494.64</v>
      </c>
      <c r="K1972" s="94">
        <v>1498.21</v>
      </c>
    </row>
    <row r="1973" spans="1:11">
      <c r="A1973" s="74" t="s">
        <v>309</v>
      </c>
      <c r="B1973" s="74" t="s">
        <v>301</v>
      </c>
      <c r="C1973" s="74" t="s">
        <v>302</v>
      </c>
      <c r="D1973" s="74" t="s">
        <v>82</v>
      </c>
      <c r="E1973" s="88" t="s">
        <v>85</v>
      </c>
      <c r="F1973" s="86" t="s">
        <v>279</v>
      </c>
      <c r="G1973" s="74" t="s">
        <v>303</v>
      </c>
      <c r="H1973" s="87">
        <v>44651</v>
      </c>
      <c r="I1973" s="94">
        <v>6211.47</v>
      </c>
      <c r="J1973" s="94">
        <v>4658.6</v>
      </c>
      <c r="K1973" s="94">
        <v>1552.87</v>
      </c>
    </row>
    <row r="1974" spans="1:11">
      <c r="A1974" s="74" t="s">
        <v>309</v>
      </c>
      <c r="B1974" s="74" t="s">
        <v>304</v>
      </c>
      <c r="C1974" s="74" t="s">
        <v>305</v>
      </c>
      <c r="D1974" s="74" t="s">
        <v>86</v>
      </c>
      <c r="E1974" s="74" t="s">
        <v>90</v>
      </c>
      <c r="F1974" s="86" t="s">
        <v>306</v>
      </c>
      <c r="G1974" s="74" t="s">
        <v>307</v>
      </c>
      <c r="H1974" s="87">
        <v>44651</v>
      </c>
      <c r="I1974" s="94">
        <v>6502.25</v>
      </c>
      <c r="J1974" s="94">
        <v>4876.69</v>
      </c>
      <c r="K1974" s="94">
        <v>1625.56</v>
      </c>
    </row>
    <row r="1975" spans="1:11">
      <c r="A1975" s="74" t="s">
        <v>309</v>
      </c>
      <c r="B1975" s="74" t="s">
        <v>114</v>
      </c>
      <c r="C1975" s="74" t="s">
        <v>115</v>
      </c>
      <c r="D1975" s="74" t="s">
        <v>79</v>
      </c>
      <c r="E1975" s="74" t="s">
        <v>80</v>
      </c>
      <c r="F1975" s="86" t="s">
        <v>116</v>
      </c>
      <c r="G1975" s="74" t="s">
        <v>117</v>
      </c>
      <c r="H1975" s="87">
        <v>44681</v>
      </c>
      <c r="I1975" s="94">
        <v>3279.44</v>
      </c>
      <c r="J1975" s="94">
        <v>2459.58</v>
      </c>
      <c r="K1975" s="94">
        <v>819.86</v>
      </c>
    </row>
    <row r="1976" spans="1:11">
      <c r="A1976" s="74" t="s">
        <v>309</v>
      </c>
      <c r="B1976" s="74" t="s">
        <v>118</v>
      </c>
      <c r="C1976" s="74" t="s">
        <v>119</v>
      </c>
      <c r="D1976" s="74" t="s">
        <v>79</v>
      </c>
      <c r="E1976" s="74" t="s">
        <v>80</v>
      </c>
      <c r="F1976" s="86" t="s">
        <v>120</v>
      </c>
      <c r="G1976" s="74" t="s">
        <v>117</v>
      </c>
      <c r="H1976" s="87">
        <v>44681</v>
      </c>
      <c r="I1976" s="94">
        <v>2777.83</v>
      </c>
      <c r="J1976" s="94">
        <v>2083.37</v>
      </c>
      <c r="K1976" s="94">
        <v>694.46</v>
      </c>
    </row>
    <row r="1977" spans="1:11">
      <c r="A1977" s="74" t="s">
        <v>309</v>
      </c>
      <c r="B1977" s="74" t="s">
        <v>121</v>
      </c>
      <c r="C1977" s="74" t="s">
        <v>122</v>
      </c>
      <c r="D1977" s="74" t="s">
        <v>79</v>
      </c>
      <c r="E1977" s="74" t="s">
        <v>80</v>
      </c>
      <c r="F1977" s="86" t="s">
        <v>123</v>
      </c>
      <c r="G1977" s="74" t="s">
        <v>117</v>
      </c>
      <c r="H1977" s="87">
        <v>44681</v>
      </c>
      <c r="I1977" s="94">
        <v>2483.25</v>
      </c>
      <c r="J1977" s="94">
        <v>1862.44</v>
      </c>
      <c r="K1977" s="94">
        <v>620.81</v>
      </c>
    </row>
    <row r="1978" spans="1:11">
      <c r="A1978" s="74" t="s">
        <v>309</v>
      </c>
      <c r="B1978" s="74" t="s">
        <v>124</v>
      </c>
      <c r="C1978" s="74" t="s">
        <v>125</v>
      </c>
      <c r="D1978" s="74" t="s">
        <v>79</v>
      </c>
      <c r="E1978" s="74" t="s">
        <v>80</v>
      </c>
      <c r="F1978" s="86" t="s">
        <v>116</v>
      </c>
      <c r="G1978" s="74" t="s">
        <v>117</v>
      </c>
      <c r="H1978" s="87">
        <v>44681</v>
      </c>
      <c r="I1978" s="94">
        <v>3298.5</v>
      </c>
      <c r="J1978" s="94">
        <v>2473.88</v>
      </c>
      <c r="K1978" s="94">
        <v>824.62</v>
      </c>
    </row>
    <row r="1979" spans="1:11">
      <c r="A1979" s="74" t="s">
        <v>309</v>
      </c>
      <c r="B1979" s="74" t="s">
        <v>126</v>
      </c>
      <c r="C1979" s="74" t="s">
        <v>127</v>
      </c>
      <c r="D1979" s="74" t="s">
        <v>79</v>
      </c>
      <c r="E1979" s="74" t="s">
        <v>80</v>
      </c>
      <c r="F1979" s="86" t="s">
        <v>120</v>
      </c>
      <c r="G1979" s="74" t="s">
        <v>117</v>
      </c>
      <c r="H1979" s="87">
        <v>44681</v>
      </c>
      <c r="I1979" s="94">
        <v>2972.58</v>
      </c>
      <c r="J1979" s="94">
        <v>2229.44</v>
      </c>
      <c r="K1979" s="94">
        <v>743.14</v>
      </c>
    </row>
    <row r="1980" spans="1:11">
      <c r="A1980" s="74" t="s">
        <v>309</v>
      </c>
      <c r="B1980" s="74" t="s">
        <v>128</v>
      </c>
      <c r="C1980" s="74" t="s">
        <v>129</v>
      </c>
      <c r="D1980" s="74" t="s">
        <v>79</v>
      </c>
      <c r="E1980" s="74" t="s">
        <v>80</v>
      </c>
      <c r="F1980" s="86" t="s">
        <v>123</v>
      </c>
      <c r="G1980" s="74" t="s">
        <v>117</v>
      </c>
      <c r="H1980" s="87">
        <v>44681</v>
      </c>
      <c r="I1980" s="94">
        <v>2482.42</v>
      </c>
      <c r="J1980" s="94">
        <v>1861.82</v>
      </c>
      <c r="K1980" s="94">
        <v>620.6</v>
      </c>
    </row>
    <row r="1981" spans="1:11">
      <c r="A1981" s="74" t="s">
        <v>309</v>
      </c>
      <c r="B1981" s="74" t="s">
        <v>130</v>
      </c>
      <c r="C1981" s="74" t="s">
        <v>131</v>
      </c>
      <c r="D1981" s="74" t="s">
        <v>79</v>
      </c>
      <c r="E1981" s="74" t="s">
        <v>80</v>
      </c>
      <c r="F1981" s="86" t="s">
        <v>116</v>
      </c>
      <c r="G1981" s="74" t="s">
        <v>117</v>
      </c>
      <c r="H1981" s="87">
        <v>44681</v>
      </c>
      <c r="I1981" s="94">
        <v>3357.66</v>
      </c>
      <c r="J1981" s="94">
        <v>2518.25</v>
      </c>
      <c r="K1981" s="94">
        <v>839.41</v>
      </c>
    </row>
    <row r="1982" spans="1:11">
      <c r="A1982" s="74" t="s">
        <v>309</v>
      </c>
      <c r="B1982" s="74" t="s">
        <v>132</v>
      </c>
      <c r="C1982" s="74" t="s">
        <v>133</v>
      </c>
      <c r="D1982" s="74" t="s">
        <v>79</v>
      </c>
      <c r="E1982" s="74" t="s">
        <v>80</v>
      </c>
      <c r="F1982" s="86" t="s">
        <v>120</v>
      </c>
      <c r="G1982" s="74" t="s">
        <v>117</v>
      </c>
      <c r="H1982" s="87">
        <v>44681</v>
      </c>
      <c r="I1982" s="94">
        <v>2863.91</v>
      </c>
      <c r="J1982" s="94">
        <v>2147.93</v>
      </c>
      <c r="K1982" s="94">
        <v>715.98</v>
      </c>
    </row>
    <row r="1983" spans="1:11">
      <c r="A1983" s="74" t="s">
        <v>309</v>
      </c>
      <c r="B1983" s="74" t="s">
        <v>134</v>
      </c>
      <c r="C1983" s="74" t="s">
        <v>135</v>
      </c>
      <c r="D1983" s="74" t="s">
        <v>79</v>
      </c>
      <c r="E1983" s="74" t="s">
        <v>80</v>
      </c>
      <c r="F1983" s="86" t="s">
        <v>123</v>
      </c>
      <c r="G1983" s="74" t="s">
        <v>117</v>
      </c>
      <c r="H1983" s="87">
        <v>44681</v>
      </c>
      <c r="I1983" s="94">
        <v>2372.99</v>
      </c>
      <c r="J1983" s="94">
        <v>1779.74</v>
      </c>
      <c r="K1983" s="94">
        <v>593.25</v>
      </c>
    </row>
    <row r="1984" spans="1:11">
      <c r="A1984" s="74" t="s">
        <v>309</v>
      </c>
      <c r="B1984" s="74" t="s">
        <v>136</v>
      </c>
      <c r="C1984" s="74" t="s">
        <v>137</v>
      </c>
      <c r="D1984" s="74" t="s">
        <v>79</v>
      </c>
      <c r="E1984" s="74" t="s">
        <v>80</v>
      </c>
      <c r="F1984" s="86" t="s">
        <v>116</v>
      </c>
      <c r="G1984" s="74" t="s">
        <v>138</v>
      </c>
      <c r="H1984" s="87">
        <v>44681</v>
      </c>
      <c r="I1984" s="94">
        <v>3422.24</v>
      </c>
      <c r="J1984" s="94">
        <v>2566.68</v>
      </c>
      <c r="K1984" s="94">
        <v>855.56</v>
      </c>
    </row>
    <row r="1985" spans="1:11">
      <c r="A1985" s="74" t="s">
        <v>309</v>
      </c>
      <c r="B1985" s="74" t="s">
        <v>139</v>
      </c>
      <c r="C1985" s="74" t="s">
        <v>140</v>
      </c>
      <c r="D1985" s="74" t="s">
        <v>79</v>
      </c>
      <c r="E1985" s="74" t="s">
        <v>80</v>
      </c>
      <c r="F1985" s="86" t="s">
        <v>120</v>
      </c>
      <c r="G1985" s="74" t="s">
        <v>138</v>
      </c>
      <c r="H1985" s="87">
        <v>44681</v>
      </c>
      <c r="I1985" s="94">
        <v>2838.67</v>
      </c>
      <c r="J1985" s="94">
        <v>2129</v>
      </c>
      <c r="K1985" s="94">
        <v>709.67</v>
      </c>
    </row>
    <row r="1986" spans="1:11">
      <c r="A1986" s="74" t="s">
        <v>309</v>
      </c>
      <c r="B1986" s="74" t="s">
        <v>141</v>
      </c>
      <c r="C1986" s="74" t="s">
        <v>142</v>
      </c>
      <c r="D1986" s="74" t="s">
        <v>79</v>
      </c>
      <c r="E1986" s="74" t="s">
        <v>80</v>
      </c>
      <c r="F1986" s="86" t="s">
        <v>123</v>
      </c>
      <c r="G1986" s="74" t="s">
        <v>138</v>
      </c>
      <c r="H1986" s="87">
        <v>44681</v>
      </c>
      <c r="I1986" s="94">
        <v>2508.94</v>
      </c>
      <c r="J1986" s="94">
        <v>1881.71</v>
      </c>
      <c r="K1986" s="94">
        <v>627.23</v>
      </c>
    </row>
    <row r="1987" spans="1:11">
      <c r="A1987" s="74" t="s">
        <v>309</v>
      </c>
      <c r="B1987" s="74" t="s">
        <v>143</v>
      </c>
      <c r="C1987" s="74" t="s">
        <v>144</v>
      </c>
      <c r="D1987" s="74" t="s">
        <v>79</v>
      </c>
      <c r="E1987" s="74" t="s">
        <v>80</v>
      </c>
      <c r="F1987" s="86" t="s">
        <v>145</v>
      </c>
      <c r="G1987" s="74" t="s">
        <v>146</v>
      </c>
      <c r="H1987" s="87">
        <v>44681</v>
      </c>
      <c r="I1987" s="94">
        <v>7658.34</v>
      </c>
      <c r="J1987" s="94">
        <v>5743.76</v>
      </c>
      <c r="K1987" s="94">
        <v>1914.58</v>
      </c>
    </row>
    <row r="1988" spans="1:11">
      <c r="A1988" s="74" t="s">
        <v>309</v>
      </c>
      <c r="B1988" s="74" t="s">
        <v>147</v>
      </c>
      <c r="C1988" s="74" t="s">
        <v>148</v>
      </c>
      <c r="D1988" s="74" t="s">
        <v>79</v>
      </c>
      <c r="E1988" s="74" t="s">
        <v>80</v>
      </c>
      <c r="F1988" s="86" t="s">
        <v>149</v>
      </c>
      <c r="G1988" s="74" t="s">
        <v>150</v>
      </c>
      <c r="H1988" s="87">
        <v>44681</v>
      </c>
      <c r="I1988" s="94">
        <v>7242.87</v>
      </c>
      <c r="J1988" s="94">
        <v>5432.15</v>
      </c>
      <c r="K1988" s="94">
        <v>1810.72</v>
      </c>
    </row>
    <row r="1989" spans="1:11">
      <c r="A1989" s="74" t="s">
        <v>309</v>
      </c>
      <c r="B1989" s="74" t="s">
        <v>151</v>
      </c>
      <c r="C1989" s="74" t="s">
        <v>152</v>
      </c>
      <c r="D1989" s="74" t="s">
        <v>79</v>
      </c>
      <c r="E1989" s="74" t="s">
        <v>81</v>
      </c>
      <c r="F1989" s="86" t="s">
        <v>123</v>
      </c>
      <c r="G1989" s="74" t="s">
        <v>153</v>
      </c>
      <c r="H1989" s="87">
        <v>44681</v>
      </c>
      <c r="I1989" s="94">
        <v>2495.04</v>
      </c>
      <c r="J1989" s="94">
        <v>1871.28</v>
      </c>
      <c r="K1989" s="94">
        <v>623.76</v>
      </c>
    </row>
    <row r="1990" spans="1:11">
      <c r="A1990" s="74" t="s">
        <v>309</v>
      </c>
      <c r="B1990" s="74" t="s">
        <v>154</v>
      </c>
      <c r="C1990" s="74" t="s">
        <v>155</v>
      </c>
      <c r="D1990" s="74" t="s">
        <v>79</v>
      </c>
      <c r="E1990" s="74" t="s">
        <v>81</v>
      </c>
      <c r="F1990" s="86" t="s">
        <v>156</v>
      </c>
      <c r="G1990" s="74" t="s">
        <v>157</v>
      </c>
      <c r="H1990" s="87">
        <v>44681</v>
      </c>
      <c r="I1990" s="94">
        <v>2102.07</v>
      </c>
      <c r="J1990" s="94">
        <v>1576.55</v>
      </c>
      <c r="K1990" s="94">
        <v>525.52</v>
      </c>
    </row>
    <row r="1991" spans="1:11">
      <c r="A1991" s="74" t="s">
        <v>309</v>
      </c>
      <c r="B1991" s="74" t="s">
        <v>158</v>
      </c>
      <c r="C1991" s="74" t="s">
        <v>159</v>
      </c>
      <c r="D1991" s="74" t="s">
        <v>79</v>
      </c>
      <c r="E1991" s="74" t="s">
        <v>81</v>
      </c>
      <c r="F1991" s="86" t="s">
        <v>160</v>
      </c>
      <c r="G1991" s="74" t="s">
        <v>161</v>
      </c>
      <c r="H1991" s="87">
        <v>44681</v>
      </c>
      <c r="I1991" s="94">
        <v>1611.83</v>
      </c>
      <c r="J1991" s="94">
        <v>1208.87</v>
      </c>
      <c r="K1991" s="94">
        <v>402.96</v>
      </c>
    </row>
    <row r="1992" spans="1:11">
      <c r="A1992" s="74" t="s">
        <v>309</v>
      </c>
      <c r="B1992" s="74" t="s">
        <v>162</v>
      </c>
      <c r="C1992" s="74" t="s">
        <v>163</v>
      </c>
      <c r="D1992" s="74" t="s">
        <v>79</v>
      </c>
      <c r="E1992" s="74" t="s">
        <v>81</v>
      </c>
      <c r="F1992" s="86" t="s">
        <v>123</v>
      </c>
      <c r="G1992" s="74" t="s">
        <v>153</v>
      </c>
      <c r="H1992" s="87">
        <v>44681</v>
      </c>
      <c r="I1992" s="94">
        <v>2385.65</v>
      </c>
      <c r="J1992" s="94">
        <v>1789.24</v>
      </c>
      <c r="K1992" s="94">
        <v>596.41</v>
      </c>
    </row>
    <row r="1993" spans="1:11">
      <c r="A1993" s="74" t="s">
        <v>309</v>
      </c>
      <c r="B1993" s="74" t="s">
        <v>164</v>
      </c>
      <c r="C1993" s="74" t="s">
        <v>165</v>
      </c>
      <c r="D1993" s="74" t="s">
        <v>79</v>
      </c>
      <c r="E1993" s="74" t="s">
        <v>81</v>
      </c>
      <c r="F1993" s="86" t="s">
        <v>156</v>
      </c>
      <c r="G1993" s="74" t="s">
        <v>157</v>
      </c>
      <c r="H1993" s="87">
        <v>44681</v>
      </c>
      <c r="I1993" s="94">
        <v>1999.17</v>
      </c>
      <c r="J1993" s="94">
        <v>1499.38</v>
      </c>
      <c r="K1993" s="94">
        <v>499.79</v>
      </c>
    </row>
    <row r="1994" spans="1:11">
      <c r="A1994" s="74" t="s">
        <v>309</v>
      </c>
      <c r="B1994" s="74" t="s">
        <v>166</v>
      </c>
      <c r="C1994" s="74" t="s">
        <v>167</v>
      </c>
      <c r="D1994" s="74" t="s">
        <v>79</v>
      </c>
      <c r="E1994" s="74" t="s">
        <v>81</v>
      </c>
      <c r="F1994" s="86" t="s">
        <v>160</v>
      </c>
      <c r="G1994" s="74" t="s">
        <v>161</v>
      </c>
      <c r="H1994" s="87">
        <v>44681</v>
      </c>
      <c r="I1994" s="94">
        <v>1673.4</v>
      </c>
      <c r="J1994" s="94">
        <v>1255.05</v>
      </c>
      <c r="K1994" s="94">
        <v>418.35</v>
      </c>
    </row>
    <row r="1995" spans="1:11">
      <c r="A1995" s="74" t="s">
        <v>309</v>
      </c>
      <c r="B1995" s="74" t="s">
        <v>168</v>
      </c>
      <c r="C1995" s="74" t="s">
        <v>169</v>
      </c>
      <c r="D1995" s="74" t="s">
        <v>79</v>
      </c>
      <c r="E1995" s="74" t="s">
        <v>81</v>
      </c>
      <c r="F1995" s="86" t="s">
        <v>123</v>
      </c>
      <c r="G1995" s="74" t="s">
        <v>153</v>
      </c>
      <c r="H1995" s="87">
        <v>44681</v>
      </c>
      <c r="I1995" s="94">
        <v>2571.96</v>
      </c>
      <c r="J1995" s="94">
        <v>1928.97</v>
      </c>
      <c r="K1995" s="94">
        <v>642.99</v>
      </c>
    </row>
    <row r="1996" spans="1:11">
      <c r="A1996" s="74" t="s">
        <v>309</v>
      </c>
      <c r="B1996" s="74" t="s">
        <v>170</v>
      </c>
      <c r="C1996" s="74" t="s">
        <v>171</v>
      </c>
      <c r="D1996" s="74" t="s">
        <v>79</v>
      </c>
      <c r="E1996" s="74" t="s">
        <v>81</v>
      </c>
      <c r="F1996" s="86" t="s">
        <v>156</v>
      </c>
      <c r="G1996" s="74" t="s">
        <v>157</v>
      </c>
      <c r="H1996" s="87">
        <v>44681</v>
      </c>
      <c r="I1996" s="94">
        <v>1991.25</v>
      </c>
      <c r="J1996" s="94">
        <v>1493.44</v>
      </c>
      <c r="K1996" s="94">
        <v>497.81</v>
      </c>
    </row>
    <row r="1997" spans="1:11">
      <c r="A1997" s="74" t="s">
        <v>309</v>
      </c>
      <c r="B1997" s="74" t="s">
        <v>172</v>
      </c>
      <c r="C1997" s="74" t="s">
        <v>173</v>
      </c>
      <c r="D1997" s="74" t="s">
        <v>79</v>
      </c>
      <c r="E1997" s="74" t="s">
        <v>81</v>
      </c>
      <c r="F1997" s="86" t="s">
        <v>160</v>
      </c>
      <c r="G1997" s="74" t="s">
        <v>161</v>
      </c>
      <c r="H1997" s="87">
        <v>44681</v>
      </c>
      <c r="I1997" s="94">
        <v>1686.73</v>
      </c>
      <c r="J1997" s="94">
        <v>1265.05</v>
      </c>
      <c r="K1997" s="94">
        <v>421.68</v>
      </c>
    </row>
    <row r="1998" spans="1:11">
      <c r="A1998" s="74" t="s">
        <v>309</v>
      </c>
      <c r="B1998" s="74" t="s">
        <v>174</v>
      </c>
      <c r="C1998" s="74" t="s">
        <v>175</v>
      </c>
      <c r="D1998" s="74" t="s">
        <v>79</v>
      </c>
      <c r="E1998" s="74" t="s">
        <v>81</v>
      </c>
      <c r="F1998" s="86" t="s">
        <v>176</v>
      </c>
      <c r="G1998" s="74" t="s">
        <v>177</v>
      </c>
      <c r="H1998" s="87">
        <v>44681</v>
      </c>
      <c r="I1998" s="94">
        <v>1209.29</v>
      </c>
      <c r="J1998" s="94">
        <v>906.97</v>
      </c>
      <c r="K1998" s="94">
        <v>302.32</v>
      </c>
    </row>
    <row r="1999" spans="1:11">
      <c r="A1999" s="74" t="s">
        <v>309</v>
      </c>
      <c r="B1999" s="74" t="s">
        <v>178</v>
      </c>
      <c r="C1999" s="74" t="s">
        <v>179</v>
      </c>
      <c r="D1999" s="74" t="s">
        <v>79</v>
      </c>
      <c r="E1999" s="74" t="s">
        <v>81</v>
      </c>
      <c r="F1999" s="86" t="s">
        <v>180</v>
      </c>
      <c r="G1999" s="74" t="s">
        <v>177</v>
      </c>
      <c r="H1999" s="87">
        <v>44681</v>
      </c>
      <c r="I1999" s="94">
        <v>804.14</v>
      </c>
      <c r="J1999" s="94">
        <v>603.11</v>
      </c>
      <c r="K1999" s="94">
        <v>201.03</v>
      </c>
    </row>
    <row r="2000" spans="1:11">
      <c r="A2000" s="74" t="s">
        <v>309</v>
      </c>
      <c r="B2000" s="74" t="s">
        <v>181</v>
      </c>
      <c r="C2000" s="74" t="s">
        <v>182</v>
      </c>
      <c r="D2000" s="74" t="s">
        <v>79</v>
      </c>
      <c r="E2000" s="74" t="s">
        <v>81</v>
      </c>
      <c r="F2000" s="86" t="s">
        <v>183</v>
      </c>
      <c r="G2000" s="74" t="s">
        <v>177</v>
      </c>
      <c r="H2000" s="87">
        <v>44681</v>
      </c>
      <c r="I2000" s="94">
        <v>411.71</v>
      </c>
      <c r="J2000" s="94">
        <v>308.78</v>
      </c>
      <c r="K2000" s="94">
        <v>102.93</v>
      </c>
    </row>
    <row r="2001" spans="1:11">
      <c r="A2001" s="74" t="s">
        <v>309</v>
      </c>
      <c r="B2001" s="74" t="s">
        <v>184</v>
      </c>
      <c r="C2001" s="74" t="s">
        <v>185</v>
      </c>
      <c r="D2001" s="74" t="s">
        <v>79</v>
      </c>
      <c r="E2001" s="74" t="s">
        <v>81</v>
      </c>
      <c r="F2001" s="86" t="s">
        <v>176</v>
      </c>
      <c r="G2001" s="74" t="s">
        <v>177</v>
      </c>
      <c r="H2001" s="87">
        <v>44681</v>
      </c>
      <c r="I2001" s="94">
        <v>1191.56</v>
      </c>
      <c r="J2001" s="94">
        <v>893.67</v>
      </c>
      <c r="K2001" s="94">
        <v>297.89</v>
      </c>
    </row>
    <row r="2002" spans="1:11">
      <c r="A2002" s="74" t="s">
        <v>309</v>
      </c>
      <c r="B2002" s="74" t="s">
        <v>186</v>
      </c>
      <c r="C2002" s="74" t="s">
        <v>187</v>
      </c>
      <c r="D2002" s="74" t="s">
        <v>79</v>
      </c>
      <c r="E2002" s="74" t="s">
        <v>81</v>
      </c>
      <c r="F2002" s="86" t="s">
        <v>180</v>
      </c>
      <c r="G2002" s="74" t="s">
        <v>177</v>
      </c>
      <c r="H2002" s="87">
        <v>44681</v>
      </c>
      <c r="I2002" s="94">
        <v>853.85</v>
      </c>
      <c r="J2002" s="94">
        <v>640.39</v>
      </c>
      <c r="K2002" s="94">
        <v>213.46</v>
      </c>
    </row>
    <row r="2003" spans="1:11">
      <c r="A2003" s="74" t="s">
        <v>309</v>
      </c>
      <c r="B2003" s="74" t="s">
        <v>188</v>
      </c>
      <c r="C2003" s="74" t="s">
        <v>189</v>
      </c>
      <c r="D2003" s="74" t="s">
        <v>79</v>
      </c>
      <c r="E2003" s="74" t="s">
        <v>81</v>
      </c>
      <c r="F2003" s="86" t="s">
        <v>183</v>
      </c>
      <c r="G2003" s="74" t="s">
        <v>177</v>
      </c>
      <c r="H2003" s="87">
        <v>44681</v>
      </c>
      <c r="I2003" s="94">
        <v>424.58</v>
      </c>
      <c r="J2003" s="94">
        <v>318.44</v>
      </c>
      <c r="K2003" s="94">
        <v>106.14</v>
      </c>
    </row>
    <row r="2004" spans="1:11">
      <c r="A2004" s="74" t="s">
        <v>309</v>
      </c>
      <c r="B2004" s="74" t="s">
        <v>190</v>
      </c>
      <c r="C2004" s="74" t="s">
        <v>191</v>
      </c>
      <c r="D2004" s="74" t="s">
        <v>79</v>
      </c>
      <c r="E2004" s="74" t="s">
        <v>81</v>
      </c>
      <c r="F2004" s="86" t="s">
        <v>176</v>
      </c>
      <c r="G2004" s="74" t="s">
        <v>177</v>
      </c>
      <c r="H2004" s="87">
        <v>44681</v>
      </c>
      <c r="I2004" s="94">
        <v>1226.42</v>
      </c>
      <c r="J2004" s="94">
        <v>919.82</v>
      </c>
      <c r="K2004" s="94">
        <v>306.6</v>
      </c>
    </row>
    <row r="2005" spans="1:11">
      <c r="A2005" s="74" t="s">
        <v>309</v>
      </c>
      <c r="B2005" s="74" t="s">
        <v>192</v>
      </c>
      <c r="C2005" s="74" t="s">
        <v>193</v>
      </c>
      <c r="D2005" s="74" t="s">
        <v>79</v>
      </c>
      <c r="E2005" s="74" t="s">
        <v>81</v>
      </c>
      <c r="F2005" s="86" t="s">
        <v>180</v>
      </c>
      <c r="G2005" s="74" t="s">
        <v>177</v>
      </c>
      <c r="H2005" s="87">
        <v>44681</v>
      </c>
      <c r="I2005" s="94">
        <v>818.86</v>
      </c>
      <c r="J2005" s="94">
        <v>614.15</v>
      </c>
      <c r="K2005" s="94">
        <v>204.71</v>
      </c>
    </row>
    <row r="2006" spans="1:11">
      <c r="A2006" s="74" t="s">
        <v>309</v>
      </c>
      <c r="B2006" s="74" t="s">
        <v>194</v>
      </c>
      <c r="C2006" s="74" t="s">
        <v>195</v>
      </c>
      <c r="D2006" s="74" t="s">
        <v>79</v>
      </c>
      <c r="E2006" s="74" t="s">
        <v>81</v>
      </c>
      <c r="F2006" s="86" t="s">
        <v>183</v>
      </c>
      <c r="G2006" s="74" t="s">
        <v>177</v>
      </c>
      <c r="H2006" s="87">
        <v>44681</v>
      </c>
      <c r="I2006" s="94">
        <v>399.45</v>
      </c>
      <c r="J2006" s="94">
        <v>299.59</v>
      </c>
      <c r="K2006" s="94">
        <v>99.86</v>
      </c>
    </row>
    <row r="2007" spans="1:11">
      <c r="A2007" s="74" t="s">
        <v>309</v>
      </c>
      <c r="B2007" s="74" t="s">
        <v>196</v>
      </c>
      <c r="C2007" s="74" t="s">
        <v>197</v>
      </c>
      <c r="D2007" s="74" t="s">
        <v>79</v>
      </c>
      <c r="E2007" s="74" t="s">
        <v>81</v>
      </c>
      <c r="F2007" s="86" t="s">
        <v>176</v>
      </c>
      <c r="G2007" s="74" t="s">
        <v>177</v>
      </c>
      <c r="H2007" s="87">
        <v>44681</v>
      </c>
      <c r="I2007" s="94">
        <v>1175.68</v>
      </c>
      <c r="J2007" s="94">
        <v>881.76</v>
      </c>
      <c r="K2007" s="94">
        <v>293.92</v>
      </c>
    </row>
    <row r="2008" spans="1:11">
      <c r="A2008" s="74" t="s">
        <v>309</v>
      </c>
      <c r="B2008" s="74" t="s">
        <v>198</v>
      </c>
      <c r="C2008" s="74" t="s">
        <v>199</v>
      </c>
      <c r="D2008" s="74" t="s">
        <v>79</v>
      </c>
      <c r="E2008" s="74" t="s">
        <v>81</v>
      </c>
      <c r="F2008" s="86" t="s">
        <v>180</v>
      </c>
      <c r="G2008" s="74" t="s">
        <v>177</v>
      </c>
      <c r="H2008" s="87">
        <v>44681</v>
      </c>
      <c r="I2008" s="94">
        <v>788.3</v>
      </c>
      <c r="J2008" s="94">
        <v>591.23</v>
      </c>
      <c r="K2008" s="94">
        <v>197.07</v>
      </c>
    </row>
    <row r="2009" spans="1:11">
      <c r="A2009" s="74" t="s">
        <v>309</v>
      </c>
      <c r="B2009" s="74" t="s">
        <v>200</v>
      </c>
      <c r="C2009" s="74" t="s">
        <v>201</v>
      </c>
      <c r="D2009" s="74" t="s">
        <v>79</v>
      </c>
      <c r="E2009" s="74" t="s">
        <v>81</v>
      </c>
      <c r="F2009" s="86" t="s">
        <v>183</v>
      </c>
      <c r="G2009" s="74" t="s">
        <v>177</v>
      </c>
      <c r="H2009" s="87">
        <v>44681</v>
      </c>
      <c r="I2009" s="94">
        <v>418.48</v>
      </c>
      <c r="J2009" s="94">
        <v>313.86</v>
      </c>
      <c r="K2009" s="94">
        <v>104.62</v>
      </c>
    </row>
    <row r="2010" spans="1:11">
      <c r="A2010" s="74" t="s">
        <v>309</v>
      </c>
      <c r="B2010" s="74" t="s">
        <v>202</v>
      </c>
      <c r="C2010" s="74" t="s">
        <v>203</v>
      </c>
      <c r="D2010" s="74" t="s">
        <v>79</v>
      </c>
      <c r="E2010" s="74" t="s">
        <v>81</v>
      </c>
      <c r="F2010" s="86" t="s">
        <v>204</v>
      </c>
      <c r="G2010" s="74" t="s">
        <v>205</v>
      </c>
      <c r="H2010" s="87">
        <v>44681</v>
      </c>
      <c r="I2010" s="94">
        <v>7125.31</v>
      </c>
      <c r="J2010" s="94">
        <v>5343.98</v>
      </c>
      <c r="K2010" s="94">
        <v>1781.33</v>
      </c>
    </row>
    <row r="2011" spans="1:11">
      <c r="A2011" s="74" t="s">
        <v>309</v>
      </c>
      <c r="B2011" s="74" t="s">
        <v>206</v>
      </c>
      <c r="C2011" s="74" t="s">
        <v>207</v>
      </c>
      <c r="D2011" s="88" t="s">
        <v>82</v>
      </c>
      <c r="E2011" s="88" t="s">
        <v>84</v>
      </c>
      <c r="F2011" s="86" t="s">
        <v>208</v>
      </c>
      <c r="G2011" s="74" t="s">
        <v>209</v>
      </c>
      <c r="H2011" s="87">
        <v>44681</v>
      </c>
      <c r="I2011" s="94">
        <v>3573.61</v>
      </c>
      <c r="J2011" s="94">
        <v>2680.21</v>
      </c>
      <c r="K2011" s="94">
        <v>893.4</v>
      </c>
    </row>
    <row r="2012" spans="1:11">
      <c r="A2012" s="74" t="s">
        <v>309</v>
      </c>
      <c r="B2012" s="74" t="s">
        <v>210</v>
      </c>
      <c r="C2012" s="74" t="s">
        <v>211</v>
      </c>
      <c r="D2012" s="88" t="s">
        <v>82</v>
      </c>
      <c r="E2012" s="88" t="s">
        <v>84</v>
      </c>
      <c r="F2012" s="86" t="s">
        <v>116</v>
      </c>
      <c r="G2012" s="74" t="s">
        <v>209</v>
      </c>
      <c r="H2012" s="87">
        <v>44681</v>
      </c>
      <c r="I2012" s="94">
        <v>3294.49</v>
      </c>
      <c r="J2012" s="94">
        <v>2470.87</v>
      </c>
      <c r="K2012" s="94">
        <v>823.62</v>
      </c>
    </row>
    <row r="2013" spans="1:11">
      <c r="A2013" s="74" t="s">
        <v>309</v>
      </c>
      <c r="B2013" s="74" t="s">
        <v>212</v>
      </c>
      <c r="C2013" s="74" t="s">
        <v>213</v>
      </c>
      <c r="D2013" s="88" t="s">
        <v>82</v>
      </c>
      <c r="E2013" s="88" t="s">
        <v>84</v>
      </c>
      <c r="F2013" s="86" t="s">
        <v>208</v>
      </c>
      <c r="G2013" s="74" t="s">
        <v>209</v>
      </c>
      <c r="H2013" s="87">
        <v>44681</v>
      </c>
      <c r="I2013" s="94">
        <v>3645.86</v>
      </c>
      <c r="J2013" s="94">
        <v>2734.4</v>
      </c>
      <c r="K2013" s="94">
        <v>911.46</v>
      </c>
    </row>
    <row r="2014" spans="1:11">
      <c r="A2014" s="74" t="s">
        <v>309</v>
      </c>
      <c r="B2014" s="74" t="s">
        <v>214</v>
      </c>
      <c r="C2014" s="74" t="s">
        <v>215</v>
      </c>
      <c r="D2014" s="88" t="s">
        <v>82</v>
      </c>
      <c r="E2014" s="88" t="s">
        <v>84</v>
      </c>
      <c r="F2014" s="86" t="s">
        <v>116</v>
      </c>
      <c r="G2014" s="74" t="s">
        <v>209</v>
      </c>
      <c r="H2014" s="87">
        <v>44681</v>
      </c>
      <c r="I2014" s="94">
        <v>3152.31</v>
      </c>
      <c r="J2014" s="94">
        <v>2364.23</v>
      </c>
      <c r="K2014" s="94">
        <v>788.08</v>
      </c>
    </row>
    <row r="2015" spans="1:11">
      <c r="A2015" s="74" t="s">
        <v>309</v>
      </c>
      <c r="B2015" s="74" t="s">
        <v>216</v>
      </c>
      <c r="C2015" s="74" t="s">
        <v>217</v>
      </c>
      <c r="D2015" s="88" t="s">
        <v>82</v>
      </c>
      <c r="E2015" s="88" t="s">
        <v>84</v>
      </c>
      <c r="F2015" s="86" t="s">
        <v>218</v>
      </c>
      <c r="G2015" s="74" t="s">
        <v>219</v>
      </c>
      <c r="H2015" s="87">
        <v>44681</v>
      </c>
      <c r="I2015" s="94">
        <v>4498.17</v>
      </c>
      <c r="J2015" s="94">
        <v>3373.63</v>
      </c>
      <c r="K2015" s="94">
        <v>1124.54</v>
      </c>
    </row>
    <row r="2016" spans="1:11">
      <c r="A2016" s="74" t="s">
        <v>309</v>
      </c>
      <c r="B2016" s="74" t="s">
        <v>220</v>
      </c>
      <c r="C2016" s="74" t="s">
        <v>221</v>
      </c>
      <c r="D2016" s="88" t="s">
        <v>82</v>
      </c>
      <c r="E2016" s="74" t="s">
        <v>83</v>
      </c>
      <c r="F2016" s="86" t="s">
        <v>218</v>
      </c>
      <c r="G2016" s="74" t="s">
        <v>222</v>
      </c>
      <c r="H2016" s="87">
        <v>44681</v>
      </c>
      <c r="I2016" s="94">
        <v>4451.85</v>
      </c>
      <c r="J2016" s="94">
        <v>3338.89</v>
      </c>
      <c r="K2016" s="94">
        <v>1112.96</v>
      </c>
    </row>
    <row r="2017" spans="1:11">
      <c r="A2017" s="74" t="s">
        <v>309</v>
      </c>
      <c r="B2017" s="74" t="s">
        <v>223</v>
      </c>
      <c r="C2017" s="74" t="s">
        <v>224</v>
      </c>
      <c r="D2017" s="88" t="s">
        <v>82</v>
      </c>
      <c r="E2017" s="74" t="s">
        <v>83</v>
      </c>
      <c r="F2017" s="86" t="s">
        <v>225</v>
      </c>
      <c r="G2017" s="74" t="s">
        <v>209</v>
      </c>
      <c r="H2017" s="87">
        <v>44681</v>
      </c>
      <c r="I2017" s="94">
        <v>4216.39</v>
      </c>
      <c r="J2017" s="94">
        <v>3162.29</v>
      </c>
      <c r="K2017" s="94">
        <v>1054.1</v>
      </c>
    </row>
    <row r="2018" spans="1:11">
      <c r="A2018" s="74" t="s">
        <v>309</v>
      </c>
      <c r="B2018" s="74" t="s">
        <v>226</v>
      </c>
      <c r="C2018" s="74" t="s">
        <v>227</v>
      </c>
      <c r="D2018" s="88" t="s">
        <v>82</v>
      </c>
      <c r="E2018" s="74" t="s">
        <v>83</v>
      </c>
      <c r="F2018" s="86" t="s">
        <v>208</v>
      </c>
      <c r="G2018" s="74" t="s">
        <v>209</v>
      </c>
      <c r="H2018" s="87">
        <v>44681</v>
      </c>
      <c r="I2018" s="94">
        <v>3767.04</v>
      </c>
      <c r="J2018" s="94">
        <v>2825.28</v>
      </c>
      <c r="K2018" s="94">
        <v>941.76</v>
      </c>
    </row>
    <row r="2019" spans="1:11">
      <c r="A2019" s="74" t="s">
        <v>309</v>
      </c>
      <c r="B2019" s="74" t="s">
        <v>228</v>
      </c>
      <c r="C2019" s="74" t="s">
        <v>229</v>
      </c>
      <c r="D2019" s="88" t="s">
        <v>82</v>
      </c>
      <c r="E2019" s="74" t="s">
        <v>83</v>
      </c>
      <c r="F2019" s="86" t="s">
        <v>116</v>
      </c>
      <c r="G2019" s="74" t="s">
        <v>209</v>
      </c>
      <c r="H2019" s="87">
        <v>44681</v>
      </c>
      <c r="I2019" s="94">
        <v>3290.3</v>
      </c>
      <c r="J2019" s="94">
        <v>2467.73</v>
      </c>
      <c r="K2019" s="94">
        <v>822.57</v>
      </c>
    </row>
    <row r="2020" spans="1:11">
      <c r="A2020" s="74" t="s">
        <v>309</v>
      </c>
      <c r="B2020" s="74" t="s">
        <v>230</v>
      </c>
      <c r="C2020" s="74" t="s">
        <v>231</v>
      </c>
      <c r="D2020" s="88" t="s">
        <v>82</v>
      </c>
      <c r="E2020" s="74" t="s">
        <v>83</v>
      </c>
      <c r="F2020" s="86" t="s">
        <v>120</v>
      </c>
      <c r="G2020" s="74" t="s">
        <v>209</v>
      </c>
      <c r="H2020" s="87">
        <v>44681</v>
      </c>
      <c r="I2020" s="94">
        <v>2798.47</v>
      </c>
      <c r="J2020" s="94">
        <v>2098.85</v>
      </c>
      <c r="K2020" s="94">
        <v>699.62</v>
      </c>
    </row>
    <row r="2021" spans="1:11">
      <c r="A2021" s="74" t="s">
        <v>309</v>
      </c>
      <c r="B2021" s="74" t="s">
        <v>232</v>
      </c>
      <c r="C2021" s="74" t="s">
        <v>233</v>
      </c>
      <c r="D2021" s="88" t="s">
        <v>82</v>
      </c>
      <c r="E2021" s="74" t="s">
        <v>83</v>
      </c>
      <c r="F2021" s="86" t="s">
        <v>123</v>
      </c>
      <c r="G2021" s="74" t="s">
        <v>209</v>
      </c>
      <c r="H2021" s="87">
        <v>44681</v>
      </c>
      <c r="I2021" s="94">
        <v>2341.5</v>
      </c>
      <c r="J2021" s="94">
        <v>1756.13</v>
      </c>
      <c r="K2021" s="94">
        <v>585.37</v>
      </c>
    </row>
    <row r="2022" spans="1:11">
      <c r="A2022" s="74" t="s">
        <v>309</v>
      </c>
      <c r="B2022" s="74" t="s">
        <v>234</v>
      </c>
      <c r="C2022" s="74" t="s">
        <v>235</v>
      </c>
      <c r="D2022" s="88" t="s">
        <v>82</v>
      </c>
      <c r="E2022" s="74" t="s">
        <v>83</v>
      </c>
      <c r="F2022" s="86" t="s">
        <v>116</v>
      </c>
      <c r="G2022" s="74" t="s">
        <v>209</v>
      </c>
      <c r="H2022" s="87">
        <v>44681</v>
      </c>
      <c r="I2022" s="94">
        <v>3339.53</v>
      </c>
      <c r="J2022" s="94">
        <v>2504.65</v>
      </c>
      <c r="K2022" s="94">
        <v>834.88</v>
      </c>
    </row>
    <row r="2023" spans="1:11">
      <c r="A2023" s="74" t="s">
        <v>309</v>
      </c>
      <c r="B2023" s="74" t="s">
        <v>236</v>
      </c>
      <c r="C2023" s="74" t="s">
        <v>237</v>
      </c>
      <c r="D2023" s="88" t="s">
        <v>82</v>
      </c>
      <c r="E2023" s="74" t="s">
        <v>83</v>
      </c>
      <c r="F2023" s="86" t="s">
        <v>120</v>
      </c>
      <c r="G2023" s="74" t="s">
        <v>209</v>
      </c>
      <c r="H2023" s="87">
        <v>44681</v>
      </c>
      <c r="I2023" s="94">
        <v>2870.65</v>
      </c>
      <c r="J2023" s="94">
        <v>2152.99</v>
      </c>
      <c r="K2023" s="94">
        <v>717.66</v>
      </c>
    </row>
    <row r="2024" spans="1:11">
      <c r="A2024" s="74" t="s">
        <v>309</v>
      </c>
      <c r="B2024" s="74" t="s">
        <v>238</v>
      </c>
      <c r="C2024" s="74" t="s">
        <v>239</v>
      </c>
      <c r="D2024" s="74" t="s">
        <v>86</v>
      </c>
      <c r="E2024" s="74" t="s">
        <v>87</v>
      </c>
      <c r="F2024" s="86" t="s">
        <v>204</v>
      </c>
      <c r="G2024" s="74" t="s">
        <v>240</v>
      </c>
      <c r="H2024" s="87">
        <v>44681</v>
      </c>
      <c r="I2024" s="94">
        <v>6009.18</v>
      </c>
      <c r="J2024" s="94">
        <v>4506.89</v>
      </c>
      <c r="K2024" s="94">
        <v>1502.29</v>
      </c>
    </row>
    <row r="2025" spans="1:11">
      <c r="A2025" s="74" t="s">
        <v>309</v>
      </c>
      <c r="B2025" s="74" t="s">
        <v>241</v>
      </c>
      <c r="C2025" s="74" t="s">
        <v>242</v>
      </c>
      <c r="D2025" s="74" t="s">
        <v>86</v>
      </c>
      <c r="E2025" s="74" t="s">
        <v>87</v>
      </c>
      <c r="F2025" s="86" t="s">
        <v>243</v>
      </c>
      <c r="G2025" s="74" t="s">
        <v>244</v>
      </c>
      <c r="H2025" s="87">
        <v>44681</v>
      </c>
      <c r="I2025" s="94">
        <v>4168.82</v>
      </c>
      <c r="J2025" s="94">
        <v>3126.62</v>
      </c>
      <c r="K2025" s="94">
        <v>1042.2</v>
      </c>
    </row>
    <row r="2026" spans="1:11">
      <c r="A2026" s="74" t="s">
        <v>309</v>
      </c>
      <c r="B2026" s="74" t="s">
        <v>245</v>
      </c>
      <c r="C2026" s="74" t="s">
        <v>246</v>
      </c>
      <c r="D2026" s="74" t="s">
        <v>86</v>
      </c>
      <c r="E2026" s="74" t="s">
        <v>87</v>
      </c>
      <c r="F2026" s="86" t="s">
        <v>247</v>
      </c>
      <c r="G2026" s="74" t="s">
        <v>248</v>
      </c>
      <c r="H2026" s="87">
        <v>44681</v>
      </c>
      <c r="I2026" s="94">
        <v>4095.69</v>
      </c>
      <c r="J2026" s="94">
        <v>3071.77</v>
      </c>
      <c r="K2026" s="94">
        <v>1023.92</v>
      </c>
    </row>
    <row r="2027" spans="1:11">
      <c r="A2027" s="74" t="s">
        <v>309</v>
      </c>
      <c r="B2027" s="74" t="s">
        <v>249</v>
      </c>
      <c r="C2027" s="74" t="s">
        <v>250</v>
      </c>
      <c r="D2027" s="74" t="s">
        <v>86</v>
      </c>
      <c r="E2027" s="74" t="s">
        <v>87</v>
      </c>
      <c r="F2027" s="86" t="s">
        <v>251</v>
      </c>
      <c r="G2027" s="74" t="s">
        <v>252</v>
      </c>
      <c r="H2027" s="87">
        <v>44681</v>
      </c>
      <c r="I2027" s="94">
        <v>3533.12</v>
      </c>
      <c r="J2027" s="94">
        <v>2649.84</v>
      </c>
      <c r="K2027" s="94">
        <v>883.28</v>
      </c>
    </row>
    <row r="2028" spans="1:11">
      <c r="A2028" s="74" t="s">
        <v>309</v>
      </c>
      <c r="B2028" s="74" t="s">
        <v>253</v>
      </c>
      <c r="C2028" s="74" t="s">
        <v>254</v>
      </c>
      <c r="D2028" s="74" t="s">
        <v>86</v>
      </c>
      <c r="E2028" s="74" t="s">
        <v>87</v>
      </c>
      <c r="F2028" s="86" t="s">
        <v>255</v>
      </c>
      <c r="G2028" s="74" t="s">
        <v>252</v>
      </c>
      <c r="H2028" s="87">
        <v>44681</v>
      </c>
      <c r="I2028" s="94">
        <v>3328.52</v>
      </c>
      <c r="J2028" s="94">
        <v>2496.39</v>
      </c>
      <c r="K2028" s="94">
        <v>832.13</v>
      </c>
    </row>
    <row r="2029" spans="1:11">
      <c r="A2029" s="74" t="s">
        <v>309</v>
      </c>
      <c r="B2029" s="74" t="s">
        <v>256</v>
      </c>
      <c r="C2029" s="74" t="s">
        <v>257</v>
      </c>
      <c r="D2029" s="74" t="s">
        <v>86</v>
      </c>
      <c r="E2029" s="74" t="s">
        <v>87</v>
      </c>
      <c r="F2029" s="86" t="s">
        <v>258</v>
      </c>
      <c r="G2029" s="74" t="s">
        <v>252</v>
      </c>
      <c r="H2029" s="87">
        <v>44681</v>
      </c>
      <c r="I2029" s="94">
        <v>3015.79</v>
      </c>
      <c r="J2029" s="94">
        <v>2261.84</v>
      </c>
      <c r="K2029" s="94">
        <v>753.95</v>
      </c>
    </row>
    <row r="2030" spans="1:11">
      <c r="A2030" s="74" t="s">
        <v>309</v>
      </c>
      <c r="B2030" s="74" t="s">
        <v>259</v>
      </c>
      <c r="C2030" s="74" t="s">
        <v>260</v>
      </c>
      <c r="D2030" s="74" t="s">
        <v>86</v>
      </c>
      <c r="E2030" s="74" t="s">
        <v>87</v>
      </c>
      <c r="F2030" s="86" t="s">
        <v>261</v>
      </c>
      <c r="G2030" s="74" t="s">
        <v>262</v>
      </c>
      <c r="H2030" s="87">
        <v>44681</v>
      </c>
      <c r="I2030" s="94">
        <v>2680.06</v>
      </c>
      <c r="J2030" s="94">
        <v>2010.05</v>
      </c>
      <c r="K2030" s="94">
        <v>670.01</v>
      </c>
    </row>
    <row r="2031" spans="1:11">
      <c r="A2031" s="74" t="s">
        <v>309</v>
      </c>
      <c r="B2031" s="74" t="s">
        <v>263</v>
      </c>
      <c r="C2031" s="74" t="s">
        <v>264</v>
      </c>
      <c r="D2031" s="74" t="s">
        <v>86</v>
      </c>
      <c r="E2031" s="74" t="s">
        <v>88</v>
      </c>
      <c r="F2031" s="86" t="s">
        <v>149</v>
      </c>
      <c r="G2031" s="74" t="s">
        <v>265</v>
      </c>
      <c r="H2031" s="87">
        <v>44681</v>
      </c>
      <c r="I2031" s="94">
        <v>5439.76</v>
      </c>
      <c r="J2031" s="94">
        <v>4079.82</v>
      </c>
      <c r="K2031" s="94">
        <v>1359.94</v>
      </c>
    </row>
    <row r="2032" spans="1:11">
      <c r="A2032" s="74" t="s">
        <v>309</v>
      </c>
      <c r="B2032" s="74" t="s">
        <v>266</v>
      </c>
      <c r="C2032" s="74" t="s">
        <v>267</v>
      </c>
      <c r="D2032" s="74" t="s">
        <v>86</v>
      </c>
      <c r="E2032" s="74" t="s">
        <v>88</v>
      </c>
      <c r="F2032" s="86" t="s">
        <v>243</v>
      </c>
      <c r="G2032" s="74" t="s">
        <v>268</v>
      </c>
      <c r="H2032" s="87">
        <v>44681</v>
      </c>
      <c r="I2032" s="94">
        <v>4419.11</v>
      </c>
      <c r="J2032" s="94">
        <v>3314.33</v>
      </c>
      <c r="K2032" s="94">
        <v>1104.78</v>
      </c>
    </row>
    <row r="2033" spans="1:11">
      <c r="A2033" s="74" t="s">
        <v>309</v>
      </c>
      <c r="B2033" s="74" t="s">
        <v>269</v>
      </c>
      <c r="C2033" s="74" t="s">
        <v>270</v>
      </c>
      <c r="D2033" s="74" t="s">
        <v>86</v>
      </c>
      <c r="E2033" s="74" t="s">
        <v>88</v>
      </c>
      <c r="F2033" s="86" t="s">
        <v>247</v>
      </c>
      <c r="G2033" s="74" t="s">
        <v>268</v>
      </c>
      <c r="H2033" s="87">
        <v>44681</v>
      </c>
      <c r="I2033" s="94">
        <v>3782.29</v>
      </c>
      <c r="J2033" s="94">
        <v>2836.72</v>
      </c>
      <c r="K2033" s="94">
        <v>945.57</v>
      </c>
    </row>
    <row r="2034" spans="1:11">
      <c r="A2034" s="74" t="s">
        <v>309</v>
      </c>
      <c r="B2034" s="74" t="s">
        <v>271</v>
      </c>
      <c r="C2034" s="74" t="s">
        <v>272</v>
      </c>
      <c r="D2034" s="74" t="s">
        <v>86</v>
      </c>
      <c r="E2034" s="74" t="s">
        <v>88</v>
      </c>
      <c r="F2034" s="86" t="s">
        <v>251</v>
      </c>
      <c r="G2034" s="74" t="s">
        <v>268</v>
      </c>
      <c r="H2034" s="87">
        <v>44681</v>
      </c>
      <c r="I2034" s="94">
        <v>3593.72</v>
      </c>
      <c r="J2034" s="94">
        <v>2695.29</v>
      </c>
      <c r="K2034" s="94">
        <v>898.43</v>
      </c>
    </row>
    <row r="2035" spans="1:11">
      <c r="A2035" s="74" t="s">
        <v>309</v>
      </c>
      <c r="B2035" s="74" t="s">
        <v>273</v>
      </c>
      <c r="C2035" s="74" t="s">
        <v>274</v>
      </c>
      <c r="D2035" s="74" t="s">
        <v>86</v>
      </c>
      <c r="E2035" s="74" t="s">
        <v>88</v>
      </c>
      <c r="F2035" s="86" t="s">
        <v>255</v>
      </c>
      <c r="G2035" s="74" t="s">
        <v>268</v>
      </c>
      <c r="H2035" s="87">
        <v>44681</v>
      </c>
      <c r="I2035" s="94">
        <v>3290.27</v>
      </c>
      <c r="J2035" s="94">
        <v>2467.7</v>
      </c>
      <c r="K2035" s="94">
        <v>822.57</v>
      </c>
    </row>
    <row r="2036" spans="1:11">
      <c r="A2036" s="74" t="s">
        <v>309</v>
      </c>
      <c r="B2036" s="74" t="s">
        <v>275</v>
      </c>
      <c r="C2036" s="74" t="s">
        <v>276</v>
      </c>
      <c r="D2036" s="74" t="s">
        <v>86</v>
      </c>
      <c r="E2036" s="74" t="s">
        <v>88</v>
      </c>
      <c r="F2036" s="86" t="s">
        <v>258</v>
      </c>
      <c r="G2036" s="74" t="s">
        <v>268</v>
      </c>
      <c r="H2036" s="87">
        <v>44681</v>
      </c>
      <c r="I2036" s="94">
        <v>3005.88</v>
      </c>
      <c r="J2036" s="94">
        <v>2254.41</v>
      </c>
      <c r="K2036" s="94">
        <v>751.47</v>
      </c>
    </row>
    <row r="2037" spans="1:11">
      <c r="A2037" s="74" t="s">
        <v>309</v>
      </c>
      <c r="B2037" s="74" t="s">
        <v>277</v>
      </c>
      <c r="C2037" s="74" t="s">
        <v>278</v>
      </c>
      <c r="D2037" s="74" t="s">
        <v>86</v>
      </c>
      <c r="E2037" s="74" t="s">
        <v>89</v>
      </c>
      <c r="F2037" s="86" t="s">
        <v>279</v>
      </c>
      <c r="G2037" s="74" t="s">
        <v>280</v>
      </c>
      <c r="H2037" s="87">
        <v>44681</v>
      </c>
      <c r="I2037" s="94">
        <v>5030.2</v>
      </c>
      <c r="J2037" s="94">
        <v>3772.65</v>
      </c>
      <c r="K2037" s="94">
        <v>1257.55</v>
      </c>
    </row>
    <row r="2038" spans="1:11">
      <c r="A2038" s="74" t="s">
        <v>309</v>
      </c>
      <c r="B2038" s="74" t="s">
        <v>281</v>
      </c>
      <c r="C2038" s="74" t="s">
        <v>282</v>
      </c>
      <c r="D2038" s="74" t="s">
        <v>86</v>
      </c>
      <c r="E2038" s="74" t="s">
        <v>89</v>
      </c>
      <c r="F2038" s="86" t="s">
        <v>225</v>
      </c>
      <c r="G2038" s="74" t="s">
        <v>283</v>
      </c>
      <c r="H2038" s="87">
        <v>44681</v>
      </c>
      <c r="I2038" s="94">
        <v>3233.76</v>
      </c>
      <c r="J2038" s="94">
        <v>2425.32</v>
      </c>
      <c r="K2038" s="94">
        <v>808.44</v>
      </c>
    </row>
    <row r="2039" spans="1:11">
      <c r="A2039" s="74" t="s">
        <v>309</v>
      </c>
      <c r="B2039" s="74" t="s">
        <v>284</v>
      </c>
      <c r="C2039" s="74" t="s">
        <v>285</v>
      </c>
      <c r="D2039" s="74" t="s">
        <v>86</v>
      </c>
      <c r="E2039" s="74" t="s">
        <v>89</v>
      </c>
      <c r="F2039" s="86" t="s">
        <v>208</v>
      </c>
      <c r="G2039" s="74" t="s">
        <v>283</v>
      </c>
      <c r="H2039" s="87">
        <v>44681</v>
      </c>
      <c r="I2039" s="94">
        <v>2893.53</v>
      </c>
      <c r="J2039" s="94">
        <v>2170.15</v>
      </c>
      <c r="K2039" s="94">
        <v>723.38</v>
      </c>
    </row>
    <row r="2040" spans="1:11">
      <c r="A2040" s="74" t="s">
        <v>309</v>
      </c>
      <c r="B2040" s="74" t="s">
        <v>286</v>
      </c>
      <c r="C2040" s="74" t="s">
        <v>287</v>
      </c>
      <c r="D2040" s="74" t="s">
        <v>82</v>
      </c>
      <c r="E2040" s="88" t="s">
        <v>85</v>
      </c>
      <c r="F2040" s="86" t="s">
        <v>288</v>
      </c>
      <c r="G2040" s="74" t="s">
        <v>289</v>
      </c>
      <c r="H2040" s="87">
        <v>44681</v>
      </c>
      <c r="I2040" s="94">
        <v>4894.19</v>
      </c>
      <c r="J2040" s="94">
        <v>3670.64</v>
      </c>
      <c r="K2040" s="94">
        <v>1223.55</v>
      </c>
    </row>
    <row r="2041" spans="1:11">
      <c r="A2041" s="74" t="s">
        <v>309</v>
      </c>
      <c r="B2041" s="74" t="s">
        <v>290</v>
      </c>
      <c r="C2041" s="74" t="s">
        <v>291</v>
      </c>
      <c r="D2041" s="74" t="s">
        <v>82</v>
      </c>
      <c r="E2041" s="88" t="s">
        <v>85</v>
      </c>
      <c r="F2041" s="86" t="s">
        <v>218</v>
      </c>
      <c r="G2041" s="74" t="s">
        <v>289</v>
      </c>
      <c r="H2041" s="87">
        <v>44681</v>
      </c>
      <c r="I2041" s="94">
        <v>4451.03</v>
      </c>
      <c r="J2041" s="94">
        <v>3338.27</v>
      </c>
      <c r="K2041" s="94">
        <v>1112.76</v>
      </c>
    </row>
    <row r="2042" spans="1:11">
      <c r="A2042" s="74" t="s">
        <v>309</v>
      </c>
      <c r="B2042" s="74" t="s">
        <v>292</v>
      </c>
      <c r="C2042" s="74" t="s">
        <v>293</v>
      </c>
      <c r="D2042" s="74" t="s">
        <v>82</v>
      </c>
      <c r="E2042" s="88" t="s">
        <v>85</v>
      </c>
      <c r="F2042" s="86" t="s">
        <v>225</v>
      </c>
      <c r="G2042" s="74" t="s">
        <v>289</v>
      </c>
      <c r="H2042" s="87">
        <v>44681</v>
      </c>
      <c r="I2042" s="94">
        <v>4188.89</v>
      </c>
      <c r="J2042" s="94">
        <v>3141.67</v>
      </c>
      <c r="K2042" s="94">
        <v>1047.22</v>
      </c>
    </row>
    <row r="2043" spans="1:11">
      <c r="A2043" s="74" t="s">
        <v>309</v>
      </c>
      <c r="B2043" s="74" t="s">
        <v>294</v>
      </c>
      <c r="C2043" s="74" t="s">
        <v>295</v>
      </c>
      <c r="D2043" s="74" t="s">
        <v>82</v>
      </c>
      <c r="E2043" s="88" t="s">
        <v>85</v>
      </c>
      <c r="F2043" s="86" t="s">
        <v>208</v>
      </c>
      <c r="G2043" s="74" t="s">
        <v>289</v>
      </c>
      <c r="H2043" s="87">
        <v>44681</v>
      </c>
      <c r="I2043" s="94">
        <v>3757.71</v>
      </c>
      <c r="J2043" s="94">
        <v>2818.28</v>
      </c>
      <c r="K2043" s="94">
        <v>939.43</v>
      </c>
    </row>
    <row r="2044" spans="1:11">
      <c r="A2044" s="74" t="s">
        <v>309</v>
      </c>
      <c r="B2044" s="74" t="s">
        <v>296</v>
      </c>
      <c r="C2044" s="74" t="s">
        <v>297</v>
      </c>
      <c r="D2044" s="74" t="s">
        <v>82</v>
      </c>
      <c r="E2044" s="88" t="s">
        <v>85</v>
      </c>
      <c r="F2044" s="86" t="s">
        <v>116</v>
      </c>
      <c r="G2044" s="74" t="s">
        <v>289</v>
      </c>
      <c r="H2044" s="87">
        <v>44681</v>
      </c>
      <c r="I2044" s="94">
        <v>3202.68</v>
      </c>
      <c r="J2044" s="94">
        <v>2402.01</v>
      </c>
      <c r="K2044" s="94">
        <v>800.67</v>
      </c>
    </row>
    <row r="2045" spans="1:11">
      <c r="A2045" s="74" t="s">
        <v>309</v>
      </c>
      <c r="B2045" s="74" t="s">
        <v>298</v>
      </c>
      <c r="C2045" s="74" t="s">
        <v>299</v>
      </c>
      <c r="D2045" s="74" t="s">
        <v>82</v>
      </c>
      <c r="E2045" s="88" t="s">
        <v>85</v>
      </c>
      <c r="F2045" s="86" t="s">
        <v>279</v>
      </c>
      <c r="G2045" s="74" t="s">
        <v>300</v>
      </c>
      <c r="H2045" s="87">
        <v>44681</v>
      </c>
      <c r="I2045" s="94">
        <v>6038.89</v>
      </c>
      <c r="J2045" s="94">
        <v>4529.17</v>
      </c>
      <c r="K2045" s="94">
        <v>1509.72</v>
      </c>
    </row>
    <row r="2046" spans="1:11">
      <c r="A2046" s="74" t="s">
        <v>309</v>
      </c>
      <c r="B2046" s="74" t="s">
        <v>301</v>
      </c>
      <c r="C2046" s="74" t="s">
        <v>302</v>
      </c>
      <c r="D2046" s="74" t="s">
        <v>82</v>
      </c>
      <c r="E2046" s="88" t="s">
        <v>85</v>
      </c>
      <c r="F2046" s="86" t="s">
        <v>279</v>
      </c>
      <c r="G2046" s="74" t="s">
        <v>303</v>
      </c>
      <c r="H2046" s="87">
        <v>44681</v>
      </c>
      <c r="I2046" s="94">
        <v>6170.35</v>
      </c>
      <c r="J2046" s="94">
        <v>4627.76</v>
      </c>
      <c r="K2046" s="94">
        <v>1542.59</v>
      </c>
    </row>
    <row r="2047" spans="1:11">
      <c r="A2047" s="74" t="s">
        <v>309</v>
      </c>
      <c r="B2047" s="74" t="s">
        <v>304</v>
      </c>
      <c r="C2047" s="74" t="s">
        <v>305</v>
      </c>
      <c r="D2047" s="74" t="s">
        <v>86</v>
      </c>
      <c r="E2047" s="74" t="s">
        <v>90</v>
      </c>
      <c r="F2047" s="86" t="s">
        <v>306</v>
      </c>
      <c r="G2047" s="74" t="s">
        <v>307</v>
      </c>
      <c r="H2047" s="87">
        <v>44681</v>
      </c>
      <c r="I2047" s="94">
        <v>6426.38</v>
      </c>
      <c r="J2047" s="94">
        <v>4819.79</v>
      </c>
      <c r="K2047" s="94">
        <v>1606.59</v>
      </c>
    </row>
    <row r="2048" spans="1:11">
      <c r="A2048" s="74" t="s">
        <v>309</v>
      </c>
      <c r="B2048" s="74" t="s">
        <v>114</v>
      </c>
      <c r="C2048" s="74" t="s">
        <v>115</v>
      </c>
      <c r="D2048" s="74" t="s">
        <v>79</v>
      </c>
      <c r="E2048" s="74" t="s">
        <v>80</v>
      </c>
      <c r="F2048" s="86" t="s">
        <v>116</v>
      </c>
      <c r="G2048" s="74" t="s">
        <v>117</v>
      </c>
      <c r="H2048" s="87">
        <v>44711</v>
      </c>
      <c r="I2048" s="94">
        <v>3149.99</v>
      </c>
      <c r="J2048" s="94">
        <v>2362.49</v>
      </c>
      <c r="K2048" s="94">
        <v>787.5</v>
      </c>
    </row>
    <row r="2049" spans="1:11">
      <c r="A2049" s="74" t="s">
        <v>309</v>
      </c>
      <c r="B2049" s="74" t="s">
        <v>118</v>
      </c>
      <c r="C2049" s="74" t="s">
        <v>119</v>
      </c>
      <c r="D2049" s="74" t="s">
        <v>79</v>
      </c>
      <c r="E2049" s="74" t="s">
        <v>80</v>
      </c>
      <c r="F2049" s="86" t="s">
        <v>120</v>
      </c>
      <c r="G2049" s="74" t="s">
        <v>117</v>
      </c>
      <c r="H2049" s="87">
        <v>44711</v>
      </c>
      <c r="I2049" s="94">
        <v>2998.8</v>
      </c>
      <c r="J2049" s="94">
        <v>2249.1</v>
      </c>
      <c r="K2049" s="94">
        <v>749.7</v>
      </c>
    </row>
    <row r="2050" spans="1:11">
      <c r="A2050" s="74" t="s">
        <v>309</v>
      </c>
      <c r="B2050" s="74" t="s">
        <v>121</v>
      </c>
      <c r="C2050" s="74" t="s">
        <v>122</v>
      </c>
      <c r="D2050" s="74" t="s">
        <v>79</v>
      </c>
      <c r="E2050" s="74" t="s">
        <v>80</v>
      </c>
      <c r="F2050" s="86" t="s">
        <v>123</v>
      </c>
      <c r="G2050" s="74" t="s">
        <v>117</v>
      </c>
      <c r="H2050" s="87">
        <v>44711</v>
      </c>
      <c r="I2050" s="94">
        <v>2484.51</v>
      </c>
      <c r="J2050" s="94">
        <v>1863.38</v>
      </c>
      <c r="K2050" s="94">
        <v>621.13</v>
      </c>
    </row>
    <row r="2051" spans="1:11">
      <c r="A2051" s="74" t="s">
        <v>309</v>
      </c>
      <c r="B2051" s="74" t="s">
        <v>124</v>
      </c>
      <c r="C2051" s="74" t="s">
        <v>125</v>
      </c>
      <c r="D2051" s="74" t="s">
        <v>79</v>
      </c>
      <c r="E2051" s="74" t="s">
        <v>80</v>
      </c>
      <c r="F2051" s="86" t="s">
        <v>116</v>
      </c>
      <c r="G2051" s="74" t="s">
        <v>117</v>
      </c>
      <c r="H2051" s="87">
        <v>44711</v>
      </c>
      <c r="I2051" s="94">
        <v>3181.93</v>
      </c>
      <c r="J2051" s="94">
        <v>2386.45</v>
      </c>
      <c r="K2051" s="94">
        <v>795.48</v>
      </c>
    </row>
    <row r="2052" spans="1:11">
      <c r="A2052" s="74" t="s">
        <v>309</v>
      </c>
      <c r="B2052" s="74" t="s">
        <v>126</v>
      </c>
      <c r="C2052" s="74" t="s">
        <v>127</v>
      </c>
      <c r="D2052" s="74" t="s">
        <v>79</v>
      </c>
      <c r="E2052" s="74" t="s">
        <v>80</v>
      </c>
      <c r="F2052" s="86" t="s">
        <v>120</v>
      </c>
      <c r="G2052" s="74" t="s">
        <v>117</v>
      </c>
      <c r="H2052" s="87">
        <v>44711</v>
      </c>
      <c r="I2052" s="94">
        <v>2898.71</v>
      </c>
      <c r="J2052" s="94">
        <v>2174.03</v>
      </c>
      <c r="K2052" s="94">
        <v>724.68</v>
      </c>
    </row>
    <row r="2053" spans="1:11">
      <c r="A2053" s="74" t="s">
        <v>309</v>
      </c>
      <c r="B2053" s="74" t="s">
        <v>128</v>
      </c>
      <c r="C2053" s="74" t="s">
        <v>129</v>
      </c>
      <c r="D2053" s="74" t="s">
        <v>79</v>
      </c>
      <c r="E2053" s="74" t="s">
        <v>80</v>
      </c>
      <c r="F2053" s="86" t="s">
        <v>123</v>
      </c>
      <c r="G2053" s="74" t="s">
        <v>117</v>
      </c>
      <c r="H2053" s="87">
        <v>44711</v>
      </c>
      <c r="I2053" s="94">
        <v>2360.76</v>
      </c>
      <c r="J2053" s="94">
        <v>1770.57</v>
      </c>
      <c r="K2053" s="94">
        <v>590.19</v>
      </c>
    </row>
    <row r="2054" spans="1:11">
      <c r="A2054" s="74" t="s">
        <v>309</v>
      </c>
      <c r="B2054" s="74" t="s">
        <v>130</v>
      </c>
      <c r="C2054" s="74" t="s">
        <v>131</v>
      </c>
      <c r="D2054" s="74" t="s">
        <v>79</v>
      </c>
      <c r="E2054" s="74" t="s">
        <v>80</v>
      </c>
      <c r="F2054" s="86" t="s">
        <v>116</v>
      </c>
      <c r="G2054" s="74" t="s">
        <v>117</v>
      </c>
      <c r="H2054" s="87">
        <v>44711</v>
      </c>
      <c r="I2054" s="94">
        <v>3146.8</v>
      </c>
      <c r="J2054" s="94">
        <v>2360.1</v>
      </c>
      <c r="K2054" s="94">
        <v>786.7</v>
      </c>
    </row>
    <row r="2055" spans="1:11">
      <c r="A2055" s="74" t="s">
        <v>309</v>
      </c>
      <c r="B2055" s="74" t="s">
        <v>132</v>
      </c>
      <c r="C2055" s="74" t="s">
        <v>133</v>
      </c>
      <c r="D2055" s="74" t="s">
        <v>79</v>
      </c>
      <c r="E2055" s="74" t="s">
        <v>80</v>
      </c>
      <c r="F2055" s="86" t="s">
        <v>120</v>
      </c>
      <c r="G2055" s="74" t="s">
        <v>117</v>
      </c>
      <c r="H2055" s="87">
        <v>44711</v>
      </c>
      <c r="I2055" s="94">
        <v>2827.93</v>
      </c>
      <c r="J2055" s="94">
        <v>2120.95</v>
      </c>
      <c r="K2055" s="94">
        <v>706.98</v>
      </c>
    </row>
    <row r="2056" spans="1:11">
      <c r="A2056" s="74" t="s">
        <v>309</v>
      </c>
      <c r="B2056" s="74" t="s">
        <v>134</v>
      </c>
      <c r="C2056" s="74" t="s">
        <v>135</v>
      </c>
      <c r="D2056" s="74" t="s">
        <v>79</v>
      </c>
      <c r="E2056" s="74" t="s">
        <v>80</v>
      </c>
      <c r="F2056" s="86" t="s">
        <v>123</v>
      </c>
      <c r="G2056" s="74" t="s">
        <v>117</v>
      </c>
      <c r="H2056" s="87">
        <v>44711</v>
      </c>
      <c r="I2056" s="94">
        <v>2473.1</v>
      </c>
      <c r="J2056" s="94">
        <v>1854.83</v>
      </c>
      <c r="K2056" s="94">
        <v>618.27</v>
      </c>
    </row>
    <row r="2057" spans="1:11">
      <c r="A2057" s="74" t="s">
        <v>309</v>
      </c>
      <c r="B2057" s="74" t="s">
        <v>136</v>
      </c>
      <c r="C2057" s="74" t="s">
        <v>137</v>
      </c>
      <c r="D2057" s="74" t="s">
        <v>79</v>
      </c>
      <c r="E2057" s="74" t="s">
        <v>80</v>
      </c>
      <c r="F2057" s="86" t="s">
        <v>116</v>
      </c>
      <c r="G2057" s="74" t="s">
        <v>138</v>
      </c>
      <c r="H2057" s="87">
        <v>44711</v>
      </c>
      <c r="I2057" s="94">
        <v>3174.19</v>
      </c>
      <c r="J2057" s="94">
        <v>2380.64</v>
      </c>
      <c r="K2057" s="94">
        <v>793.55</v>
      </c>
    </row>
    <row r="2058" spans="1:11">
      <c r="A2058" s="74" t="s">
        <v>309</v>
      </c>
      <c r="B2058" s="74" t="s">
        <v>139</v>
      </c>
      <c r="C2058" s="74" t="s">
        <v>140</v>
      </c>
      <c r="D2058" s="74" t="s">
        <v>79</v>
      </c>
      <c r="E2058" s="74" t="s">
        <v>80</v>
      </c>
      <c r="F2058" s="86" t="s">
        <v>120</v>
      </c>
      <c r="G2058" s="74" t="s">
        <v>138</v>
      </c>
      <c r="H2058" s="87">
        <v>44711</v>
      </c>
      <c r="I2058" s="94">
        <v>2964.91</v>
      </c>
      <c r="J2058" s="94">
        <v>2223.68</v>
      </c>
      <c r="K2058" s="94">
        <v>741.23</v>
      </c>
    </row>
    <row r="2059" spans="1:11">
      <c r="A2059" s="74" t="s">
        <v>309</v>
      </c>
      <c r="B2059" s="74" t="s">
        <v>141</v>
      </c>
      <c r="C2059" s="74" t="s">
        <v>142</v>
      </c>
      <c r="D2059" s="74" t="s">
        <v>79</v>
      </c>
      <c r="E2059" s="74" t="s">
        <v>80</v>
      </c>
      <c r="F2059" s="86" t="s">
        <v>123</v>
      </c>
      <c r="G2059" s="74" t="s">
        <v>138</v>
      </c>
      <c r="H2059" s="87">
        <v>44711</v>
      </c>
      <c r="I2059" s="94">
        <v>2441.8</v>
      </c>
      <c r="J2059" s="94">
        <v>1831.35</v>
      </c>
      <c r="K2059" s="94">
        <v>610.45</v>
      </c>
    </row>
    <row r="2060" spans="1:11">
      <c r="A2060" s="74" t="s">
        <v>309</v>
      </c>
      <c r="B2060" s="74" t="s">
        <v>143</v>
      </c>
      <c r="C2060" s="74" t="s">
        <v>144</v>
      </c>
      <c r="D2060" s="74" t="s">
        <v>79</v>
      </c>
      <c r="E2060" s="74" t="s">
        <v>80</v>
      </c>
      <c r="F2060" s="86" t="s">
        <v>145</v>
      </c>
      <c r="G2060" s="74" t="s">
        <v>146</v>
      </c>
      <c r="H2060" s="87">
        <v>44711</v>
      </c>
      <c r="I2060" s="94">
        <v>8107.41</v>
      </c>
      <c r="J2060" s="94">
        <v>6080.56</v>
      </c>
      <c r="K2060" s="94">
        <v>2026.85</v>
      </c>
    </row>
    <row r="2061" spans="1:11">
      <c r="A2061" s="74" t="s">
        <v>309</v>
      </c>
      <c r="B2061" s="74" t="s">
        <v>147</v>
      </c>
      <c r="C2061" s="74" t="s">
        <v>148</v>
      </c>
      <c r="D2061" s="74" t="s">
        <v>79</v>
      </c>
      <c r="E2061" s="74" t="s">
        <v>80</v>
      </c>
      <c r="F2061" s="86" t="s">
        <v>149</v>
      </c>
      <c r="G2061" s="74" t="s">
        <v>150</v>
      </c>
      <c r="H2061" s="87">
        <v>44711</v>
      </c>
      <c r="I2061" s="94">
        <v>7205.55</v>
      </c>
      <c r="J2061" s="94">
        <v>5404.16</v>
      </c>
      <c r="K2061" s="94">
        <v>1801.39</v>
      </c>
    </row>
    <row r="2062" spans="1:11">
      <c r="A2062" s="74" t="s">
        <v>309</v>
      </c>
      <c r="B2062" s="74" t="s">
        <v>151</v>
      </c>
      <c r="C2062" s="74" t="s">
        <v>152</v>
      </c>
      <c r="D2062" s="74" t="s">
        <v>79</v>
      </c>
      <c r="E2062" s="74" t="s">
        <v>81</v>
      </c>
      <c r="F2062" s="86" t="s">
        <v>123</v>
      </c>
      <c r="G2062" s="74" t="s">
        <v>153</v>
      </c>
      <c r="H2062" s="87">
        <v>44711</v>
      </c>
      <c r="I2062" s="94">
        <v>2372.94</v>
      </c>
      <c r="J2062" s="94">
        <v>1779.71</v>
      </c>
      <c r="K2062" s="94">
        <v>593.23</v>
      </c>
    </row>
    <row r="2063" spans="1:11">
      <c r="A2063" s="74" t="s">
        <v>309</v>
      </c>
      <c r="B2063" s="74" t="s">
        <v>154</v>
      </c>
      <c r="C2063" s="74" t="s">
        <v>155</v>
      </c>
      <c r="D2063" s="74" t="s">
        <v>79</v>
      </c>
      <c r="E2063" s="74" t="s">
        <v>81</v>
      </c>
      <c r="F2063" s="86" t="s">
        <v>156</v>
      </c>
      <c r="G2063" s="74" t="s">
        <v>157</v>
      </c>
      <c r="H2063" s="87">
        <v>44711</v>
      </c>
      <c r="I2063" s="94">
        <v>2027.05</v>
      </c>
      <c r="J2063" s="94">
        <v>1520.29</v>
      </c>
      <c r="K2063" s="94">
        <v>506.76</v>
      </c>
    </row>
    <row r="2064" spans="1:11">
      <c r="A2064" s="74" t="s">
        <v>309</v>
      </c>
      <c r="B2064" s="74" t="s">
        <v>158</v>
      </c>
      <c r="C2064" s="74" t="s">
        <v>159</v>
      </c>
      <c r="D2064" s="74" t="s">
        <v>79</v>
      </c>
      <c r="E2064" s="74" t="s">
        <v>81</v>
      </c>
      <c r="F2064" s="86" t="s">
        <v>160</v>
      </c>
      <c r="G2064" s="74" t="s">
        <v>161</v>
      </c>
      <c r="H2064" s="87">
        <v>44711</v>
      </c>
      <c r="I2064" s="94">
        <v>1598.17</v>
      </c>
      <c r="J2064" s="94">
        <v>1198.63</v>
      </c>
      <c r="K2064" s="94">
        <v>399.54</v>
      </c>
    </row>
    <row r="2065" spans="1:11">
      <c r="A2065" s="74" t="s">
        <v>309</v>
      </c>
      <c r="B2065" s="74" t="s">
        <v>162</v>
      </c>
      <c r="C2065" s="74" t="s">
        <v>163</v>
      </c>
      <c r="D2065" s="74" t="s">
        <v>79</v>
      </c>
      <c r="E2065" s="74" t="s">
        <v>81</v>
      </c>
      <c r="F2065" s="86" t="s">
        <v>123</v>
      </c>
      <c r="G2065" s="74" t="s">
        <v>153</v>
      </c>
      <c r="H2065" s="87">
        <v>44711</v>
      </c>
      <c r="I2065" s="94">
        <v>2472.32</v>
      </c>
      <c r="J2065" s="94">
        <v>1854.24</v>
      </c>
      <c r="K2065" s="94">
        <v>618.08</v>
      </c>
    </row>
    <row r="2066" spans="1:11">
      <c r="A2066" s="74" t="s">
        <v>309</v>
      </c>
      <c r="B2066" s="74" t="s">
        <v>164</v>
      </c>
      <c r="C2066" s="74" t="s">
        <v>165</v>
      </c>
      <c r="D2066" s="74" t="s">
        <v>79</v>
      </c>
      <c r="E2066" s="74" t="s">
        <v>81</v>
      </c>
      <c r="F2066" s="86" t="s">
        <v>156</v>
      </c>
      <c r="G2066" s="74" t="s">
        <v>157</v>
      </c>
      <c r="H2066" s="87">
        <v>44711</v>
      </c>
      <c r="I2066" s="94">
        <v>2138.13</v>
      </c>
      <c r="J2066" s="94">
        <v>1603.6</v>
      </c>
      <c r="K2066" s="94">
        <v>534.53</v>
      </c>
    </row>
    <row r="2067" spans="1:11">
      <c r="A2067" s="74" t="s">
        <v>309</v>
      </c>
      <c r="B2067" s="74" t="s">
        <v>166</v>
      </c>
      <c r="C2067" s="74" t="s">
        <v>167</v>
      </c>
      <c r="D2067" s="74" t="s">
        <v>79</v>
      </c>
      <c r="E2067" s="74" t="s">
        <v>81</v>
      </c>
      <c r="F2067" s="86" t="s">
        <v>160</v>
      </c>
      <c r="G2067" s="74" t="s">
        <v>161</v>
      </c>
      <c r="H2067" s="87">
        <v>44711</v>
      </c>
      <c r="I2067" s="94">
        <v>1617.15</v>
      </c>
      <c r="J2067" s="94">
        <v>1212.86</v>
      </c>
      <c r="K2067" s="94">
        <v>404.29</v>
      </c>
    </row>
    <row r="2068" spans="1:11">
      <c r="A2068" s="74" t="s">
        <v>309</v>
      </c>
      <c r="B2068" s="74" t="s">
        <v>168</v>
      </c>
      <c r="C2068" s="74" t="s">
        <v>169</v>
      </c>
      <c r="D2068" s="74" t="s">
        <v>79</v>
      </c>
      <c r="E2068" s="74" t="s">
        <v>81</v>
      </c>
      <c r="F2068" s="86" t="s">
        <v>123</v>
      </c>
      <c r="G2068" s="74" t="s">
        <v>153</v>
      </c>
      <c r="H2068" s="87">
        <v>44711</v>
      </c>
      <c r="I2068" s="94">
        <v>2447.37</v>
      </c>
      <c r="J2068" s="94">
        <v>1835.53</v>
      </c>
      <c r="K2068" s="94">
        <v>611.84</v>
      </c>
    </row>
    <row r="2069" spans="1:11">
      <c r="A2069" s="74" t="s">
        <v>309</v>
      </c>
      <c r="B2069" s="74" t="s">
        <v>170</v>
      </c>
      <c r="C2069" s="74" t="s">
        <v>171</v>
      </c>
      <c r="D2069" s="74" t="s">
        <v>79</v>
      </c>
      <c r="E2069" s="74" t="s">
        <v>81</v>
      </c>
      <c r="F2069" s="86" t="s">
        <v>156</v>
      </c>
      <c r="G2069" s="74" t="s">
        <v>157</v>
      </c>
      <c r="H2069" s="87">
        <v>44711</v>
      </c>
      <c r="I2069" s="94">
        <v>1950.33</v>
      </c>
      <c r="J2069" s="94">
        <v>1462.75</v>
      </c>
      <c r="K2069" s="94">
        <v>487.58</v>
      </c>
    </row>
    <row r="2070" spans="1:11">
      <c r="A2070" s="74" t="s">
        <v>309</v>
      </c>
      <c r="B2070" s="74" t="s">
        <v>172</v>
      </c>
      <c r="C2070" s="74" t="s">
        <v>173</v>
      </c>
      <c r="D2070" s="74" t="s">
        <v>79</v>
      </c>
      <c r="E2070" s="74" t="s">
        <v>81</v>
      </c>
      <c r="F2070" s="86" t="s">
        <v>160</v>
      </c>
      <c r="G2070" s="74" t="s">
        <v>161</v>
      </c>
      <c r="H2070" s="87">
        <v>44711</v>
      </c>
      <c r="I2070" s="94">
        <v>1688.93</v>
      </c>
      <c r="J2070" s="94">
        <v>1266.7</v>
      </c>
      <c r="K2070" s="94">
        <v>422.23</v>
      </c>
    </row>
    <row r="2071" spans="1:11">
      <c r="A2071" s="74" t="s">
        <v>309</v>
      </c>
      <c r="B2071" s="74" t="s">
        <v>174</v>
      </c>
      <c r="C2071" s="74" t="s">
        <v>175</v>
      </c>
      <c r="D2071" s="74" t="s">
        <v>79</v>
      </c>
      <c r="E2071" s="74" t="s">
        <v>81</v>
      </c>
      <c r="F2071" s="86" t="s">
        <v>176</v>
      </c>
      <c r="G2071" s="74" t="s">
        <v>177</v>
      </c>
      <c r="H2071" s="87">
        <v>44711</v>
      </c>
      <c r="I2071" s="94">
        <v>1201.73</v>
      </c>
      <c r="J2071" s="94">
        <v>901.3</v>
      </c>
      <c r="K2071" s="94">
        <v>300.43</v>
      </c>
    </row>
    <row r="2072" spans="1:11">
      <c r="A2072" s="74" t="s">
        <v>309</v>
      </c>
      <c r="B2072" s="74" t="s">
        <v>178</v>
      </c>
      <c r="C2072" s="74" t="s">
        <v>179</v>
      </c>
      <c r="D2072" s="74" t="s">
        <v>79</v>
      </c>
      <c r="E2072" s="74" t="s">
        <v>81</v>
      </c>
      <c r="F2072" s="86" t="s">
        <v>180</v>
      </c>
      <c r="G2072" s="74" t="s">
        <v>177</v>
      </c>
      <c r="H2072" s="87">
        <v>44711</v>
      </c>
      <c r="I2072" s="94">
        <v>821.02</v>
      </c>
      <c r="J2072" s="94">
        <v>615.77</v>
      </c>
      <c r="K2072" s="94">
        <v>205.25</v>
      </c>
    </row>
    <row r="2073" spans="1:11">
      <c r="A2073" s="74" t="s">
        <v>309</v>
      </c>
      <c r="B2073" s="74" t="s">
        <v>181</v>
      </c>
      <c r="C2073" s="74" t="s">
        <v>182</v>
      </c>
      <c r="D2073" s="74" t="s">
        <v>79</v>
      </c>
      <c r="E2073" s="74" t="s">
        <v>81</v>
      </c>
      <c r="F2073" s="86" t="s">
        <v>183</v>
      </c>
      <c r="G2073" s="74" t="s">
        <v>177</v>
      </c>
      <c r="H2073" s="87">
        <v>44711</v>
      </c>
      <c r="I2073" s="94">
        <v>416.59</v>
      </c>
      <c r="J2073" s="94">
        <v>312.44</v>
      </c>
      <c r="K2073" s="94">
        <v>104.15</v>
      </c>
    </row>
    <row r="2074" spans="1:11">
      <c r="A2074" s="74" t="s">
        <v>309</v>
      </c>
      <c r="B2074" s="74" t="s">
        <v>184</v>
      </c>
      <c r="C2074" s="74" t="s">
        <v>185</v>
      </c>
      <c r="D2074" s="74" t="s">
        <v>79</v>
      </c>
      <c r="E2074" s="74" t="s">
        <v>81</v>
      </c>
      <c r="F2074" s="86" t="s">
        <v>176</v>
      </c>
      <c r="G2074" s="74" t="s">
        <v>177</v>
      </c>
      <c r="H2074" s="87">
        <v>44711</v>
      </c>
      <c r="I2074" s="94">
        <v>1191.52</v>
      </c>
      <c r="J2074" s="94">
        <v>893.64</v>
      </c>
      <c r="K2074" s="94">
        <v>297.88</v>
      </c>
    </row>
    <row r="2075" spans="1:11">
      <c r="A2075" s="74" t="s">
        <v>309</v>
      </c>
      <c r="B2075" s="74" t="s">
        <v>186</v>
      </c>
      <c r="C2075" s="74" t="s">
        <v>187</v>
      </c>
      <c r="D2075" s="74" t="s">
        <v>79</v>
      </c>
      <c r="E2075" s="74" t="s">
        <v>81</v>
      </c>
      <c r="F2075" s="86" t="s">
        <v>180</v>
      </c>
      <c r="G2075" s="74" t="s">
        <v>177</v>
      </c>
      <c r="H2075" s="87">
        <v>44711</v>
      </c>
      <c r="I2075" s="94">
        <v>801.38</v>
      </c>
      <c r="J2075" s="94">
        <v>601.04</v>
      </c>
      <c r="K2075" s="94">
        <v>200.34</v>
      </c>
    </row>
    <row r="2076" spans="1:11">
      <c r="A2076" s="74" t="s">
        <v>309</v>
      </c>
      <c r="B2076" s="74" t="s">
        <v>188</v>
      </c>
      <c r="C2076" s="74" t="s">
        <v>189</v>
      </c>
      <c r="D2076" s="74" t="s">
        <v>79</v>
      </c>
      <c r="E2076" s="74" t="s">
        <v>81</v>
      </c>
      <c r="F2076" s="86" t="s">
        <v>183</v>
      </c>
      <c r="G2076" s="74" t="s">
        <v>177</v>
      </c>
      <c r="H2076" s="87">
        <v>44711</v>
      </c>
      <c r="I2076" s="94">
        <v>417.76</v>
      </c>
      <c r="J2076" s="94">
        <v>313.32</v>
      </c>
      <c r="K2076" s="94">
        <v>104.44</v>
      </c>
    </row>
    <row r="2077" spans="1:11">
      <c r="A2077" s="74" t="s">
        <v>309</v>
      </c>
      <c r="B2077" s="74" t="s">
        <v>190</v>
      </c>
      <c r="C2077" s="74" t="s">
        <v>191</v>
      </c>
      <c r="D2077" s="74" t="s">
        <v>79</v>
      </c>
      <c r="E2077" s="74" t="s">
        <v>81</v>
      </c>
      <c r="F2077" s="86" t="s">
        <v>176</v>
      </c>
      <c r="G2077" s="74" t="s">
        <v>177</v>
      </c>
      <c r="H2077" s="87">
        <v>44711</v>
      </c>
      <c r="I2077" s="94">
        <v>1238.5</v>
      </c>
      <c r="J2077" s="94">
        <v>928.88</v>
      </c>
      <c r="K2077" s="94">
        <v>309.62</v>
      </c>
    </row>
    <row r="2078" spans="1:11">
      <c r="A2078" s="74" t="s">
        <v>309</v>
      </c>
      <c r="B2078" s="74" t="s">
        <v>192</v>
      </c>
      <c r="C2078" s="74" t="s">
        <v>193</v>
      </c>
      <c r="D2078" s="74" t="s">
        <v>79</v>
      </c>
      <c r="E2078" s="74" t="s">
        <v>81</v>
      </c>
      <c r="F2078" s="86" t="s">
        <v>180</v>
      </c>
      <c r="G2078" s="74" t="s">
        <v>177</v>
      </c>
      <c r="H2078" s="87">
        <v>44711</v>
      </c>
      <c r="I2078" s="94">
        <v>798.54</v>
      </c>
      <c r="J2078" s="94">
        <v>598.91</v>
      </c>
      <c r="K2078" s="94">
        <v>199.63</v>
      </c>
    </row>
    <row r="2079" spans="1:11">
      <c r="A2079" s="74" t="s">
        <v>309</v>
      </c>
      <c r="B2079" s="74" t="s">
        <v>194</v>
      </c>
      <c r="C2079" s="74" t="s">
        <v>195</v>
      </c>
      <c r="D2079" s="74" t="s">
        <v>79</v>
      </c>
      <c r="E2079" s="74" t="s">
        <v>81</v>
      </c>
      <c r="F2079" s="86" t="s">
        <v>183</v>
      </c>
      <c r="G2079" s="74" t="s">
        <v>177</v>
      </c>
      <c r="H2079" s="87">
        <v>44711</v>
      </c>
      <c r="I2079" s="94">
        <v>396.83</v>
      </c>
      <c r="J2079" s="94">
        <v>297.62</v>
      </c>
      <c r="K2079" s="94">
        <v>99.21</v>
      </c>
    </row>
    <row r="2080" spans="1:11">
      <c r="A2080" s="74" t="s">
        <v>309</v>
      </c>
      <c r="B2080" s="74" t="s">
        <v>196</v>
      </c>
      <c r="C2080" s="74" t="s">
        <v>197</v>
      </c>
      <c r="D2080" s="74" t="s">
        <v>79</v>
      </c>
      <c r="E2080" s="74" t="s">
        <v>81</v>
      </c>
      <c r="F2080" s="86" t="s">
        <v>176</v>
      </c>
      <c r="G2080" s="74" t="s">
        <v>177</v>
      </c>
      <c r="H2080" s="87">
        <v>44711</v>
      </c>
      <c r="I2080" s="94">
        <v>1283.57</v>
      </c>
      <c r="J2080" s="94">
        <v>962.68</v>
      </c>
      <c r="K2080" s="94">
        <v>320.89</v>
      </c>
    </row>
    <row r="2081" spans="1:11">
      <c r="A2081" s="74" t="s">
        <v>309</v>
      </c>
      <c r="B2081" s="74" t="s">
        <v>198</v>
      </c>
      <c r="C2081" s="74" t="s">
        <v>199</v>
      </c>
      <c r="D2081" s="74" t="s">
        <v>79</v>
      </c>
      <c r="E2081" s="74" t="s">
        <v>81</v>
      </c>
      <c r="F2081" s="86" t="s">
        <v>180</v>
      </c>
      <c r="G2081" s="74" t="s">
        <v>177</v>
      </c>
      <c r="H2081" s="87">
        <v>44711</v>
      </c>
      <c r="I2081" s="94">
        <v>785.99</v>
      </c>
      <c r="J2081" s="94">
        <v>589.49</v>
      </c>
      <c r="K2081" s="94">
        <v>196.5</v>
      </c>
    </row>
    <row r="2082" spans="1:11">
      <c r="A2082" s="74" t="s">
        <v>309</v>
      </c>
      <c r="B2082" s="74" t="s">
        <v>200</v>
      </c>
      <c r="C2082" s="74" t="s">
        <v>201</v>
      </c>
      <c r="D2082" s="74" t="s">
        <v>79</v>
      </c>
      <c r="E2082" s="74" t="s">
        <v>81</v>
      </c>
      <c r="F2082" s="86" t="s">
        <v>183</v>
      </c>
      <c r="G2082" s="74" t="s">
        <v>177</v>
      </c>
      <c r="H2082" s="87">
        <v>44711</v>
      </c>
      <c r="I2082" s="94">
        <v>399.25</v>
      </c>
      <c r="J2082" s="94">
        <v>299.44</v>
      </c>
      <c r="K2082" s="94">
        <v>99.81</v>
      </c>
    </row>
    <row r="2083" spans="1:11">
      <c r="A2083" s="74" t="s">
        <v>309</v>
      </c>
      <c r="B2083" s="74" t="s">
        <v>202</v>
      </c>
      <c r="C2083" s="74" t="s">
        <v>203</v>
      </c>
      <c r="D2083" s="74" t="s">
        <v>79</v>
      </c>
      <c r="E2083" s="74" t="s">
        <v>81</v>
      </c>
      <c r="F2083" s="86" t="s">
        <v>204</v>
      </c>
      <c r="G2083" s="74" t="s">
        <v>205</v>
      </c>
      <c r="H2083" s="87">
        <v>44711</v>
      </c>
      <c r="I2083" s="94">
        <v>7589.73</v>
      </c>
      <c r="J2083" s="94">
        <v>5692.3</v>
      </c>
      <c r="K2083" s="94">
        <v>1897.43</v>
      </c>
    </row>
    <row r="2084" spans="1:11">
      <c r="A2084" s="74" t="s">
        <v>309</v>
      </c>
      <c r="B2084" s="74" t="s">
        <v>206</v>
      </c>
      <c r="C2084" s="74" t="s">
        <v>207</v>
      </c>
      <c r="D2084" s="88" t="s">
        <v>82</v>
      </c>
      <c r="E2084" s="88" t="s">
        <v>84</v>
      </c>
      <c r="F2084" s="86" t="s">
        <v>208</v>
      </c>
      <c r="G2084" s="74" t="s">
        <v>209</v>
      </c>
      <c r="H2084" s="87">
        <v>44711</v>
      </c>
      <c r="I2084" s="94">
        <v>3620.52</v>
      </c>
      <c r="J2084" s="94">
        <v>2715.39</v>
      </c>
      <c r="K2084" s="94">
        <v>905.13</v>
      </c>
    </row>
    <row r="2085" spans="1:11">
      <c r="A2085" s="74" t="s">
        <v>309</v>
      </c>
      <c r="B2085" s="74" t="s">
        <v>210</v>
      </c>
      <c r="C2085" s="74" t="s">
        <v>211</v>
      </c>
      <c r="D2085" s="88" t="s">
        <v>82</v>
      </c>
      <c r="E2085" s="88" t="s">
        <v>84</v>
      </c>
      <c r="F2085" s="86" t="s">
        <v>116</v>
      </c>
      <c r="G2085" s="74" t="s">
        <v>209</v>
      </c>
      <c r="H2085" s="87">
        <v>44711</v>
      </c>
      <c r="I2085" s="94">
        <v>3407.16</v>
      </c>
      <c r="J2085" s="94">
        <v>2555.37</v>
      </c>
      <c r="K2085" s="94">
        <v>851.79</v>
      </c>
    </row>
    <row r="2086" spans="1:11">
      <c r="A2086" s="74" t="s">
        <v>309</v>
      </c>
      <c r="B2086" s="74" t="s">
        <v>212</v>
      </c>
      <c r="C2086" s="74" t="s">
        <v>213</v>
      </c>
      <c r="D2086" s="88" t="s">
        <v>82</v>
      </c>
      <c r="E2086" s="88" t="s">
        <v>84</v>
      </c>
      <c r="F2086" s="86" t="s">
        <v>208</v>
      </c>
      <c r="G2086" s="74" t="s">
        <v>209</v>
      </c>
      <c r="H2086" s="87">
        <v>44711</v>
      </c>
      <c r="I2086" s="94">
        <v>3802.02</v>
      </c>
      <c r="J2086" s="94">
        <v>2851.52</v>
      </c>
      <c r="K2086" s="94">
        <v>950.5</v>
      </c>
    </row>
    <row r="2087" spans="1:11">
      <c r="A2087" s="74" t="s">
        <v>309</v>
      </c>
      <c r="B2087" s="74" t="s">
        <v>214</v>
      </c>
      <c r="C2087" s="74" t="s">
        <v>215</v>
      </c>
      <c r="D2087" s="88" t="s">
        <v>82</v>
      </c>
      <c r="E2087" s="88" t="s">
        <v>84</v>
      </c>
      <c r="F2087" s="86" t="s">
        <v>116</v>
      </c>
      <c r="G2087" s="74" t="s">
        <v>209</v>
      </c>
      <c r="H2087" s="87">
        <v>44711</v>
      </c>
      <c r="I2087" s="94">
        <v>3368.67</v>
      </c>
      <c r="J2087" s="94">
        <v>2526.5</v>
      </c>
      <c r="K2087" s="94">
        <v>842.17</v>
      </c>
    </row>
    <row r="2088" spans="1:11">
      <c r="A2088" s="74" t="s">
        <v>309</v>
      </c>
      <c r="B2088" s="74" t="s">
        <v>216</v>
      </c>
      <c r="C2088" s="74" t="s">
        <v>217</v>
      </c>
      <c r="D2088" s="88" t="s">
        <v>82</v>
      </c>
      <c r="E2088" s="88" t="s">
        <v>84</v>
      </c>
      <c r="F2088" s="86" t="s">
        <v>218</v>
      </c>
      <c r="G2088" s="74" t="s">
        <v>219</v>
      </c>
      <c r="H2088" s="87">
        <v>44711</v>
      </c>
      <c r="I2088" s="94">
        <v>4644.37</v>
      </c>
      <c r="J2088" s="94">
        <v>3483.28</v>
      </c>
      <c r="K2088" s="94">
        <v>1161.09</v>
      </c>
    </row>
    <row r="2089" spans="1:11">
      <c r="A2089" s="74" t="s">
        <v>309</v>
      </c>
      <c r="B2089" s="74" t="s">
        <v>220</v>
      </c>
      <c r="C2089" s="74" t="s">
        <v>221</v>
      </c>
      <c r="D2089" s="88" t="s">
        <v>82</v>
      </c>
      <c r="E2089" s="74" t="s">
        <v>83</v>
      </c>
      <c r="F2089" s="86" t="s">
        <v>218</v>
      </c>
      <c r="G2089" s="74" t="s">
        <v>222</v>
      </c>
      <c r="H2089" s="87">
        <v>44711</v>
      </c>
      <c r="I2089" s="94">
        <v>4580.85</v>
      </c>
      <c r="J2089" s="94">
        <v>3435.64</v>
      </c>
      <c r="K2089" s="94">
        <v>1145.21</v>
      </c>
    </row>
    <row r="2090" spans="1:11">
      <c r="A2090" s="74" t="s">
        <v>309</v>
      </c>
      <c r="B2090" s="74" t="s">
        <v>223</v>
      </c>
      <c r="C2090" s="74" t="s">
        <v>224</v>
      </c>
      <c r="D2090" s="88" t="s">
        <v>82</v>
      </c>
      <c r="E2090" s="74" t="s">
        <v>83</v>
      </c>
      <c r="F2090" s="86" t="s">
        <v>225</v>
      </c>
      <c r="G2090" s="74" t="s">
        <v>209</v>
      </c>
      <c r="H2090" s="87">
        <v>44711</v>
      </c>
      <c r="I2090" s="94">
        <v>3913.05</v>
      </c>
      <c r="J2090" s="94">
        <v>2934.79</v>
      </c>
      <c r="K2090" s="94">
        <v>978.26</v>
      </c>
    </row>
    <row r="2091" spans="1:11">
      <c r="A2091" s="74" t="s">
        <v>309</v>
      </c>
      <c r="B2091" s="74" t="s">
        <v>226</v>
      </c>
      <c r="C2091" s="74" t="s">
        <v>227</v>
      </c>
      <c r="D2091" s="88" t="s">
        <v>82</v>
      </c>
      <c r="E2091" s="74" t="s">
        <v>83</v>
      </c>
      <c r="F2091" s="86" t="s">
        <v>208</v>
      </c>
      <c r="G2091" s="74" t="s">
        <v>209</v>
      </c>
      <c r="H2091" s="87">
        <v>44711</v>
      </c>
      <c r="I2091" s="94">
        <v>3610.11</v>
      </c>
      <c r="J2091" s="94">
        <v>2707.58</v>
      </c>
      <c r="K2091" s="94">
        <v>902.53</v>
      </c>
    </row>
    <row r="2092" spans="1:11">
      <c r="A2092" s="74" t="s">
        <v>309</v>
      </c>
      <c r="B2092" s="74" t="s">
        <v>228</v>
      </c>
      <c r="C2092" s="74" t="s">
        <v>229</v>
      </c>
      <c r="D2092" s="88" t="s">
        <v>82</v>
      </c>
      <c r="E2092" s="74" t="s">
        <v>83</v>
      </c>
      <c r="F2092" s="86" t="s">
        <v>116</v>
      </c>
      <c r="G2092" s="74" t="s">
        <v>209</v>
      </c>
      <c r="H2092" s="87">
        <v>44711</v>
      </c>
      <c r="I2092" s="94">
        <v>3184.19</v>
      </c>
      <c r="J2092" s="94">
        <v>2388.14</v>
      </c>
      <c r="K2092" s="94">
        <v>796.05</v>
      </c>
    </row>
    <row r="2093" spans="1:11">
      <c r="A2093" s="74" t="s">
        <v>309</v>
      </c>
      <c r="B2093" s="74" t="s">
        <v>230</v>
      </c>
      <c r="C2093" s="74" t="s">
        <v>231</v>
      </c>
      <c r="D2093" s="88" t="s">
        <v>82</v>
      </c>
      <c r="E2093" s="74" t="s">
        <v>83</v>
      </c>
      <c r="F2093" s="86" t="s">
        <v>120</v>
      </c>
      <c r="G2093" s="74" t="s">
        <v>209</v>
      </c>
      <c r="H2093" s="87">
        <v>44711</v>
      </c>
      <c r="I2093" s="94">
        <v>2954.41</v>
      </c>
      <c r="J2093" s="94">
        <v>2215.81</v>
      </c>
      <c r="K2093" s="94">
        <v>738.6</v>
      </c>
    </row>
    <row r="2094" spans="1:11">
      <c r="A2094" s="74" t="s">
        <v>309</v>
      </c>
      <c r="B2094" s="74" t="s">
        <v>232</v>
      </c>
      <c r="C2094" s="74" t="s">
        <v>233</v>
      </c>
      <c r="D2094" s="88" t="s">
        <v>82</v>
      </c>
      <c r="E2094" s="74" t="s">
        <v>83</v>
      </c>
      <c r="F2094" s="86" t="s">
        <v>123</v>
      </c>
      <c r="G2094" s="74" t="s">
        <v>209</v>
      </c>
      <c r="H2094" s="87">
        <v>44711</v>
      </c>
      <c r="I2094" s="94">
        <v>2564.71</v>
      </c>
      <c r="J2094" s="94">
        <v>1923.53</v>
      </c>
      <c r="K2094" s="94">
        <v>641.18</v>
      </c>
    </row>
    <row r="2095" spans="1:11">
      <c r="A2095" s="74" t="s">
        <v>309</v>
      </c>
      <c r="B2095" s="74" t="s">
        <v>234</v>
      </c>
      <c r="C2095" s="74" t="s">
        <v>235</v>
      </c>
      <c r="D2095" s="88" t="s">
        <v>82</v>
      </c>
      <c r="E2095" s="74" t="s">
        <v>83</v>
      </c>
      <c r="F2095" s="86" t="s">
        <v>116</v>
      </c>
      <c r="G2095" s="74" t="s">
        <v>209</v>
      </c>
      <c r="H2095" s="87">
        <v>44711</v>
      </c>
      <c r="I2095" s="94">
        <v>3325.63</v>
      </c>
      <c r="J2095" s="94">
        <v>2494.22</v>
      </c>
      <c r="K2095" s="94">
        <v>831.41</v>
      </c>
    </row>
    <row r="2096" spans="1:11">
      <c r="A2096" s="74" t="s">
        <v>309</v>
      </c>
      <c r="B2096" s="74" t="s">
        <v>236</v>
      </c>
      <c r="C2096" s="74" t="s">
        <v>237</v>
      </c>
      <c r="D2096" s="88" t="s">
        <v>82</v>
      </c>
      <c r="E2096" s="74" t="s">
        <v>83</v>
      </c>
      <c r="F2096" s="86" t="s">
        <v>120</v>
      </c>
      <c r="G2096" s="74" t="s">
        <v>209</v>
      </c>
      <c r="H2096" s="87">
        <v>44711</v>
      </c>
      <c r="I2096" s="94">
        <v>2774.33</v>
      </c>
      <c r="J2096" s="94">
        <v>2080.75</v>
      </c>
      <c r="K2096" s="94">
        <v>693.58</v>
      </c>
    </row>
    <row r="2097" spans="1:11">
      <c r="A2097" s="74" t="s">
        <v>309</v>
      </c>
      <c r="B2097" s="74" t="s">
        <v>238</v>
      </c>
      <c r="C2097" s="74" t="s">
        <v>239</v>
      </c>
      <c r="D2097" s="74" t="s">
        <v>86</v>
      </c>
      <c r="E2097" s="74" t="s">
        <v>87</v>
      </c>
      <c r="F2097" s="86" t="s">
        <v>204</v>
      </c>
      <c r="G2097" s="74" t="s">
        <v>240</v>
      </c>
      <c r="H2097" s="87">
        <v>44711</v>
      </c>
      <c r="I2097" s="94">
        <v>5776.39</v>
      </c>
      <c r="J2097" s="94">
        <v>4332.29</v>
      </c>
      <c r="K2097" s="94">
        <v>1444.1</v>
      </c>
    </row>
    <row r="2098" spans="1:11">
      <c r="A2098" s="74" t="s">
        <v>309</v>
      </c>
      <c r="B2098" s="74" t="s">
        <v>241</v>
      </c>
      <c r="C2098" s="74" t="s">
        <v>242</v>
      </c>
      <c r="D2098" s="74" t="s">
        <v>86</v>
      </c>
      <c r="E2098" s="74" t="s">
        <v>87</v>
      </c>
      <c r="F2098" s="86" t="s">
        <v>243</v>
      </c>
      <c r="G2098" s="74" t="s">
        <v>244</v>
      </c>
      <c r="H2098" s="87">
        <v>44711</v>
      </c>
      <c r="I2098" s="94">
        <v>4279.08</v>
      </c>
      <c r="J2098" s="94">
        <v>3209.31</v>
      </c>
      <c r="K2098" s="94">
        <v>1069.77</v>
      </c>
    </row>
    <row r="2099" spans="1:11">
      <c r="A2099" s="74" t="s">
        <v>309</v>
      </c>
      <c r="B2099" s="74" t="s">
        <v>245</v>
      </c>
      <c r="C2099" s="74" t="s">
        <v>246</v>
      </c>
      <c r="D2099" s="74" t="s">
        <v>86</v>
      </c>
      <c r="E2099" s="74" t="s">
        <v>87</v>
      </c>
      <c r="F2099" s="86" t="s">
        <v>247</v>
      </c>
      <c r="G2099" s="74" t="s">
        <v>248</v>
      </c>
      <c r="H2099" s="87">
        <v>44711</v>
      </c>
      <c r="I2099" s="94">
        <v>3904.47</v>
      </c>
      <c r="J2099" s="94">
        <v>2928.35</v>
      </c>
      <c r="K2099" s="94">
        <v>976.12</v>
      </c>
    </row>
    <row r="2100" spans="1:11">
      <c r="A2100" s="74" t="s">
        <v>309</v>
      </c>
      <c r="B2100" s="74" t="s">
        <v>249</v>
      </c>
      <c r="C2100" s="74" t="s">
        <v>250</v>
      </c>
      <c r="D2100" s="74" t="s">
        <v>86</v>
      </c>
      <c r="E2100" s="74" t="s">
        <v>87</v>
      </c>
      <c r="F2100" s="86" t="s">
        <v>251</v>
      </c>
      <c r="G2100" s="74" t="s">
        <v>252</v>
      </c>
      <c r="H2100" s="87">
        <v>44711</v>
      </c>
      <c r="I2100" s="94">
        <v>3763.24</v>
      </c>
      <c r="J2100" s="94">
        <v>2822.43</v>
      </c>
      <c r="K2100" s="94">
        <v>940.81</v>
      </c>
    </row>
    <row r="2101" spans="1:11">
      <c r="A2101" s="74" t="s">
        <v>309</v>
      </c>
      <c r="B2101" s="74" t="s">
        <v>253</v>
      </c>
      <c r="C2101" s="74" t="s">
        <v>254</v>
      </c>
      <c r="D2101" s="74" t="s">
        <v>86</v>
      </c>
      <c r="E2101" s="74" t="s">
        <v>87</v>
      </c>
      <c r="F2101" s="86" t="s">
        <v>255</v>
      </c>
      <c r="G2101" s="74" t="s">
        <v>252</v>
      </c>
      <c r="H2101" s="87">
        <v>44711</v>
      </c>
      <c r="I2101" s="94">
        <v>3249.06</v>
      </c>
      <c r="J2101" s="94">
        <v>2436.8</v>
      </c>
      <c r="K2101" s="94">
        <v>812.26</v>
      </c>
    </row>
    <row r="2102" spans="1:11">
      <c r="A2102" s="74" t="s">
        <v>309</v>
      </c>
      <c r="B2102" s="74" t="s">
        <v>256</v>
      </c>
      <c r="C2102" s="74" t="s">
        <v>257</v>
      </c>
      <c r="D2102" s="74" t="s">
        <v>86</v>
      </c>
      <c r="E2102" s="74" t="s">
        <v>87</v>
      </c>
      <c r="F2102" s="86" t="s">
        <v>258</v>
      </c>
      <c r="G2102" s="74" t="s">
        <v>252</v>
      </c>
      <c r="H2102" s="87">
        <v>44711</v>
      </c>
      <c r="I2102" s="94">
        <v>3006.03</v>
      </c>
      <c r="J2102" s="94">
        <v>2254.52</v>
      </c>
      <c r="K2102" s="94">
        <v>751.51</v>
      </c>
    </row>
    <row r="2103" spans="1:11">
      <c r="A2103" s="74" t="s">
        <v>309</v>
      </c>
      <c r="B2103" s="74" t="s">
        <v>259</v>
      </c>
      <c r="C2103" s="74" t="s">
        <v>260</v>
      </c>
      <c r="D2103" s="74" t="s">
        <v>86</v>
      </c>
      <c r="E2103" s="74" t="s">
        <v>87</v>
      </c>
      <c r="F2103" s="86" t="s">
        <v>261</v>
      </c>
      <c r="G2103" s="74" t="s">
        <v>262</v>
      </c>
      <c r="H2103" s="87">
        <v>44711</v>
      </c>
      <c r="I2103" s="94">
        <v>2519.68</v>
      </c>
      <c r="J2103" s="94">
        <v>1889.76</v>
      </c>
      <c r="K2103" s="94">
        <v>629.92</v>
      </c>
    </row>
    <row r="2104" spans="1:11">
      <c r="A2104" s="74" t="s">
        <v>309</v>
      </c>
      <c r="B2104" s="74" t="s">
        <v>263</v>
      </c>
      <c r="C2104" s="74" t="s">
        <v>264</v>
      </c>
      <c r="D2104" s="74" t="s">
        <v>86</v>
      </c>
      <c r="E2104" s="74" t="s">
        <v>88</v>
      </c>
      <c r="F2104" s="86" t="s">
        <v>149</v>
      </c>
      <c r="G2104" s="74" t="s">
        <v>265</v>
      </c>
      <c r="H2104" s="87">
        <v>44711</v>
      </c>
      <c r="I2104" s="94">
        <v>5659.16</v>
      </c>
      <c r="J2104" s="94">
        <v>4244.37</v>
      </c>
      <c r="K2104" s="94">
        <v>1414.79</v>
      </c>
    </row>
    <row r="2105" spans="1:11">
      <c r="A2105" s="74" t="s">
        <v>309</v>
      </c>
      <c r="B2105" s="74" t="s">
        <v>266</v>
      </c>
      <c r="C2105" s="74" t="s">
        <v>267</v>
      </c>
      <c r="D2105" s="74" t="s">
        <v>86</v>
      </c>
      <c r="E2105" s="74" t="s">
        <v>88</v>
      </c>
      <c r="F2105" s="86" t="s">
        <v>243</v>
      </c>
      <c r="G2105" s="74" t="s">
        <v>268</v>
      </c>
      <c r="H2105" s="87">
        <v>44711</v>
      </c>
      <c r="I2105" s="94">
        <v>4372.12</v>
      </c>
      <c r="J2105" s="94">
        <v>3279.09</v>
      </c>
      <c r="K2105" s="94">
        <v>1093.03</v>
      </c>
    </row>
    <row r="2106" spans="1:11">
      <c r="A2106" s="74" t="s">
        <v>309</v>
      </c>
      <c r="B2106" s="74" t="s">
        <v>269</v>
      </c>
      <c r="C2106" s="74" t="s">
        <v>270</v>
      </c>
      <c r="D2106" s="74" t="s">
        <v>86</v>
      </c>
      <c r="E2106" s="74" t="s">
        <v>88</v>
      </c>
      <c r="F2106" s="86" t="s">
        <v>247</v>
      </c>
      <c r="G2106" s="74" t="s">
        <v>268</v>
      </c>
      <c r="H2106" s="87">
        <v>44711</v>
      </c>
      <c r="I2106" s="94">
        <v>4063.93</v>
      </c>
      <c r="J2106" s="94">
        <v>3047.95</v>
      </c>
      <c r="K2106" s="94">
        <v>1015.98</v>
      </c>
    </row>
    <row r="2107" spans="1:11">
      <c r="A2107" s="74" t="s">
        <v>309</v>
      </c>
      <c r="B2107" s="74" t="s">
        <v>271</v>
      </c>
      <c r="C2107" s="74" t="s">
        <v>272</v>
      </c>
      <c r="D2107" s="74" t="s">
        <v>86</v>
      </c>
      <c r="E2107" s="74" t="s">
        <v>88</v>
      </c>
      <c r="F2107" s="86" t="s">
        <v>251</v>
      </c>
      <c r="G2107" s="74" t="s">
        <v>268</v>
      </c>
      <c r="H2107" s="87">
        <v>44711</v>
      </c>
      <c r="I2107" s="94">
        <v>3493.91</v>
      </c>
      <c r="J2107" s="94">
        <v>2620.43</v>
      </c>
      <c r="K2107" s="94">
        <v>873.48</v>
      </c>
    </row>
    <row r="2108" spans="1:11">
      <c r="A2108" s="74" t="s">
        <v>309</v>
      </c>
      <c r="B2108" s="74" t="s">
        <v>273</v>
      </c>
      <c r="C2108" s="74" t="s">
        <v>274</v>
      </c>
      <c r="D2108" s="74" t="s">
        <v>86</v>
      </c>
      <c r="E2108" s="74" t="s">
        <v>88</v>
      </c>
      <c r="F2108" s="86" t="s">
        <v>255</v>
      </c>
      <c r="G2108" s="74" t="s">
        <v>268</v>
      </c>
      <c r="H2108" s="87">
        <v>44711</v>
      </c>
      <c r="I2108" s="94">
        <v>3219.81</v>
      </c>
      <c r="J2108" s="94">
        <v>2414.86</v>
      </c>
      <c r="K2108" s="94">
        <v>804.95</v>
      </c>
    </row>
    <row r="2109" spans="1:11">
      <c r="A2109" s="74" t="s">
        <v>309</v>
      </c>
      <c r="B2109" s="74" t="s">
        <v>275</v>
      </c>
      <c r="C2109" s="74" t="s">
        <v>276</v>
      </c>
      <c r="D2109" s="74" t="s">
        <v>86</v>
      </c>
      <c r="E2109" s="74" t="s">
        <v>88</v>
      </c>
      <c r="F2109" s="86" t="s">
        <v>258</v>
      </c>
      <c r="G2109" s="74" t="s">
        <v>268</v>
      </c>
      <c r="H2109" s="87">
        <v>44711</v>
      </c>
      <c r="I2109" s="94">
        <v>2848.65</v>
      </c>
      <c r="J2109" s="94">
        <v>2136.49</v>
      </c>
      <c r="K2109" s="94">
        <v>712.16</v>
      </c>
    </row>
    <row r="2110" spans="1:11">
      <c r="A2110" s="74" t="s">
        <v>309</v>
      </c>
      <c r="B2110" s="74" t="s">
        <v>277</v>
      </c>
      <c r="C2110" s="74" t="s">
        <v>278</v>
      </c>
      <c r="D2110" s="74" t="s">
        <v>86</v>
      </c>
      <c r="E2110" s="74" t="s">
        <v>89</v>
      </c>
      <c r="F2110" s="86" t="s">
        <v>279</v>
      </c>
      <c r="G2110" s="74" t="s">
        <v>280</v>
      </c>
      <c r="H2110" s="87">
        <v>44711</v>
      </c>
      <c r="I2110" s="94">
        <v>4892.48</v>
      </c>
      <c r="J2110" s="94">
        <v>3669.36</v>
      </c>
      <c r="K2110" s="94">
        <v>1223.12</v>
      </c>
    </row>
    <row r="2111" spans="1:11">
      <c r="A2111" s="74" t="s">
        <v>309</v>
      </c>
      <c r="B2111" s="74" t="s">
        <v>281</v>
      </c>
      <c r="C2111" s="74" t="s">
        <v>282</v>
      </c>
      <c r="D2111" s="74" t="s">
        <v>86</v>
      </c>
      <c r="E2111" s="74" t="s">
        <v>89</v>
      </c>
      <c r="F2111" s="86" t="s">
        <v>225</v>
      </c>
      <c r="G2111" s="74" t="s">
        <v>283</v>
      </c>
      <c r="H2111" s="87">
        <v>44711</v>
      </c>
      <c r="I2111" s="94">
        <v>3226.83</v>
      </c>
      <c r="J2111" s="94">
        <v>2420.12</v>
      </c>
      <c r="K2111" s="94">
        <v>806.71</v>
      </c>
    </row>
    <row r="2112" spans="1:11">
      <c r="A2112" s="74" t="s">
        <v>309</v>
      </c>
      <c r="B2112" s="74" t="s">
        <v>284</v>
      </c>
      <c r="C2112" s="74" t="s">
        <v>285</v>
      </c>
      <c r="D2112" s="74" t="s">
        <v>86</v>
      </c>
      <c r="E2112" s="74" t="s">
        <v>89</v>
      </c>
      <c r="F2112" s="86" t="s">
        <v>208</v>
      </c>
      <c r="G2112" s="74" t="s">
        <v>283</v>
      </c>
      <c r="H2112" s="87">
        <v>44711</v>
      </c>
      <c r="I2112" s="94">
        <v>2842.64</v>
      </c>
      <c r="J2112" s="94">
        <v>2131.98</v>
      </c>
      <c r="K2112" s="94">
        <v>710.66</v>
      </c>
    </row>
    <row r="2113" spans="1:11">
      <c r="A2113" s="74" t="s">
        <v>309</v>
      </c>
      <c r="B2113" s="74" t="s">
        <v>286</v>
      </c>
      <c r="C2113" s="74" t="s">
        <v>287</v>
      </c>
      <c r="D2113" s="74" t="s">
        <v>82</v>
      </c>
      <c r="E2113" s="88" t="s">
        <v>85</v>
      </c>
      <c r="F2113" s="86" t="s">
        <v>288</v>
      </c>
      <c r="G2113" s="74" t="s">
        <v>289</v>
      </c>
      <c r="H2113" s="87">
        <v>44711</v>
      </c>
      <c r="I2113" s="94">
        <v>5061.85</v>
      </c>
      <c r="J2113" s="94">
        <v>3796.39</v>
      </c>
      <c r="K2113" s="94">
        <v>1265.46</v>
      </c>
    </row>
    <row r="2114" spans="1:11">
      <c r="A2114" s="74" t="s">
        <v>309</v>
      </c>
      <c r="B2114" s="74" t="s">
        <v>290</v>
      </c>
      <c r="C2114" s="74" t="s">
        <v>291</v>
      </c>
      <c r="D2114" s="74" t="s">
        <v>82</v>
      </c>
      <c r="E2114" s="88" t="s">
        <v>85</v>
      </c>
      <c r="F2114" s="86" t="s">
        <v>218</v>
      </c>
      <c r="G2114" s="74" t="s">
        <v>289</v>
      </c>
      <c r="H2114" s="87">
        <v>44711</v>
      </c>
      <c r="I2114" s="94">
        <v>4487.33</v>
      </c>
      <c r="J2114" s="94">
        <v>3365.5</v>
      </c>
      <c r="K2114" s="94">
        <v>1121.83</v>
      </c>
    </row>
    <row r="2115" spans="1:11">
      <c r="A2115" s="74" t="s">
        <v>309</v>
      </c>
      <c r="B2115" s="74" t="s">
        <v>292</v>
      </c>
      <c r="C2115" s="74" t="s">
        <v>293</v>
      </c>
      <c r="D2115" s="74" t="s">
        <v>82</v>
      </c>
      <c r="E2115" s="88" t="s">
        <v>85</v>
      </c>
      <c r="F2115" s="86" t="s">
        <v>225</v>
      </c>
      <c r="G2115" s="74" t="s">
        <v>289</v>
      </c>
      <c r="H2115" s="87">
        <v>44711</v>
      </c>
      <c r="I2115" s="94">
        <v>4065.67</v>
      </c>
      <c r="J2115" s="94">
        <v>3049.25</v>
      </c>
      <c r="K2115" s="94">
        <v>1016.42</v>
      </c>
    </row>
    <row r="2116" spans="1:11">
      <c r="A2116" s="74" t="s">
        <v>309</v>
      </c>
      <c r="B2116" s="74" t="s">
        <v>294</v>
      </c>
      <c r="C2116" s="74" t="s">
        <v>295</v>
      </c>
      <c r="D2116" s="74" t="s">
        <v>82</v>
      </c>
      <c r="E2116" s="88" t="s">
        <v>85</v>
      </c>
      <c r="F2116" s="86" t="s">
        <v>208</v>
      </c>
      <c r="G2116" s="74" t="s">
        <v>289</v>
      </c>
      <c r="H2116" s="87">
        <v>44711</v>
      </c>
      <c r="I2116" s="94">
        <v>3827.59</v>
      </c>
      <c r="J2116" s="94">
        <v>2870.69</v>
      </c>
      <c r="K2116" s="94">
        <v>956.9</v>
      </c>
    </row>
    <row r="2117" spans="1:11">
      <c r="A2117" s="74" t="s">
        <v>309</v>
      </c>
      <c r="B2117" s="74" t="s">
        <v>296</v>
      </c>
      <c r="C2117" s="74" t="s">
        <v>297</v>
      </c>
      <c r="D2117" s="74" t="s">
        <v>82</v>
      </c>
      <c r="E2117" s="88" t="s">
        <v>85</v>
      </c>
      <c r="F2117" s="86" t="s">
        <v>116</v>
      </c>
      <c r="G2117" s="74" t="s">
        <v>289</v>
      </c>
      <c r="H2117" s="87">
        <v>44711</v>
      </c>
      <c r="I2117" s="94">
        <v>3184.46</v>
      </c>
      <c r="J2117" s="94">
        <v>2388.35</v>
      </c>
      <c r="K2117" s="94">
        <v>796.11</v>
      </c>
    </row>
    <row r="2118" spans="1:11">
      <c r="A2118" s="74" t="s">
        <v>309</v>
      </c>
      <c r="B2118" s="74" t="s">
        <v>298</v>
      </c>
      <c r="C2118" s="74" t="s">
        <v>299</v>
      </c>
      <c r="D2118" s="74" t="s">
        <v>82</v>
      </c>
      <c r="E2118" s="88" t="s">
        <v>85</v>
      </c>
      <c r="F2118" s="86" t="s">
        <v>279</v>
      </c>
      <c r="G2118" s="74" t="s">
        <v>300</v>
      </c>
      <c r="H2118" s="87">
        <v>44711</v>
      </c>
      <c r="I2118" s="94">
        <v>6044.02</v>
      </c>
      <c r="J2118" s="94">
        <v>4533.02</v>
      </c>
      <c r="K2118" s="94">
        <v>1511</v>
      </c>
    </row>
    <row r="2119" spans="1:11">
      <c r="A2119" s="74" t="s">
        <v>309</v>
      </c>
      <c r="B2119" s="74" t="s">
        <v>301</v>
      </c>
      <c r="C2119" s="74" t="s">
        <v>302</v>
      </c>
      <c r="D2119" s="74" t="s">
        <v>82</v>
      </c>
      <c r="E2119" s="88" t="s">
        <v>85</v>
      </c>
      <c r="F2119" s="86" t="s">
        <v>279</v>
      </c>
      <c r="G2119" s="74" t="s">
        <v>303</v>
      </c>
      <c r="H2119" s="87">
        <v>44711</v>
      </c>
      <c r="I2119" s="94">
        <v>6246.25</v>
      </c>
      <c r="J2119" s="94">
        <v>4684.69</v>
      </c>
      <c r="K2119" s="94">
        <v>1561.56</v>
      </c>
    </row>
    <row r="2120" spans="1:11">
      <c r="A2120" s="74" t="s">
        <v>309</v>
      </c>
      <c r="B2120" s="74" t="s">
        <v>304</v>
      </c>
      <c r="C2120" s="74" t="s">
        <v>305</v>
      </c>
      <c r="D2120" s="74" t="s">
        <v>86</v>
      </c>
      <c r="E2120" s="74" t="s">
        <v>90</v>
      </c>
      <c r="F2120" s="86" t="s">
        <v>306</v>
      </c>
      <c r="G2120" s="74" t="s">
        <v>307</v>
      </c>
      <c r="H2120" s="87">
        <v>44711</v>
      </c>
      <c r="I2120" s="94">
        <v>6799.43</v>
      </c>
      <c r="J2120" s="94">
        <v>5099.57</v>
      </c>
      <c r="K2120" s="94">
        <v>1699.86</v>
      </c>
    </row>
    <row r="2121" spans="1:11">
      <c r="A2121" s="74" t="s">
        <v>309</v>
      </c>
      <c r="B2121" s="74" t="s">
        <v>114</v>
      </c>
      <c r="C2121" s="74" t="s">
        <v>115</v>
      </c>
      <c r="D2121" s="74" t="s">
        <v>79</v>
      </c>
      <c r="E2121" s="74" t="s">
        <v>80</v>
      </c>
      <c r="F2121" s="86" t="s">
        <v>116</v>
      </c>
      <c r="G2121" s="74" t="s">
        <v>117</v>
      </c>
      <c r="H2121" s="87">
        <v>44742</v>
      </c>
      <c r="I2121" s="94">
        <v>3381.69</v>
      </c>
      <c r="J2121" s="94">
        <v>2536.27</v>
      </c>
      <c r="K2121" s="94">
        <v>845.42</v>
      </c>
    </row>
    <row r="2122" spans="1:11">
      <c r="A2122" s="74" t="s">
        <v>309</v>
      </c>
      <c r="B2122" s="74" t="s">
        <v>118</v>
      </c>
      <c r="C2122" s="74" t="s">
        <v>119</v>
      </c>
      <c r="D2122" s="74" t="s">
        <v>79</v>
      </c>
      <c r="E2122" s="74" t="s">
        <v>80</v>
      </c>
      <c r="F2122" s="86" t="s">
        <v>120</v>
      </c>
      <c r="G2122" s="74" t="s">
        <v>117</v>
      </c>
      <c r="H2122" s="87">
        <v>44742</v>
      </c>
      <c r="I2122" s="94">
        <v>2951.18</v>
      </c>
      <c r="J2122" s="94">
        <v>2213.39</v>
      </c>
      <c r="K2122" s="94">
        <v>737.79</v>
      </c>
    </row>
    <row r="2123" spans="1:11">
      <c r="A2123" s="74" t="s">
        <v>309</v>
      </c>
      <c r="B2123" s="74" t="s">
        <v>121</v>
      </c>
      <c r="C2123" s="74" t="s">
        <v>122</v>
      </c>
      <c r="D2123" s="74" t="s">
        <v>79</v>
      </c>
      <c r="E2123" s="74" t="s">
        <v>80</v>
      </c>
      <c r="F2123" s="86" t="s">
        <v>123</v>
      </c>
      <c r="G2123" s="74" t="s">
        <v>117</v>
      </c>
      <c r="H2123" s="87">
        <v>44742</v>
      </c>
      <c r="I2123" s="94">
        <v>2538.16</v>
      </c>
      <c r="J2123" s="94">
        <v>1903.62</v>
      </c>
      <c r="K2123" s="94">
        <v>634.54</v>
      </c>
    </row>
    <row r="2124" spans="1:11">
      <c r="A2124" s="74" t="s">
        <v>309</v>
      </c>
      <c r="B2124" s="74" t="s">
        <v>124</v>
      </c>
      <c r="C2124" s="74" t="s">
        <v>125</v>
      </c>
      <c r="D2124" s="74" t="s">
        <v>79</v>
      </c>
      <c r="E2124" s="74" t="s">
        <v>80</v>
      </c>
      <c r="F2124" s="86" t="s">
        <v>116</v>
      </c>
      <c r="G2124" s="74" t="s">
        <v>117</v>
      </c>
      <c r="H2124" s="87">
        <v>44742</v>
      </c>
      <c r="I2124" s="94">
        <v>3283.85</v>
      </c>
      <c r="J2124" s="94">
        <v>2462.89</v>
      </c>
      <c r="K2124" s="94">
        <v>820.96</v>
      </c>
    </row>
    <row r="2125" spans="1:11">
      <c r="A2125" s="74" t="s">
        <v>309</v>
      </c>
      <c r="B2125" s="74" t="s">
        <v>126</v>
      </c>
      <c r="C2125" s="74" t="s">
        <v>127</v>
      </c>
      <c r="D2125" s="74" t="s">
        <v>79</v>
      </c>
      <c r="E2125" s="74" t="s">
        <v>80</v>
      </c>
      <c r="F2125" s="86" t="s">
        <v>120</v>
      </c>
      <c r="G2125" s="74" t="s">
        <v>117</v>
      </c>
      <c r="H2125" s="87">
        <v>44742</v>
      </c>
      <c r="I2125" s="94">
        <v>2921.76</v>
      </c>
      <c r="J2125" s="94">
        <v>2191.32</v>
      </c>
      <c r="K2125" s="94">
        <v>730.44</v>
      </c>
    </row>
    <row r="2126" spans="1:11">
      <c r="A2126" s="74" t="s">
        <v>309</v>
      </c>
      <c r="B2126" s="74" t="s">
        <v>128</v>
      </c>
      <c r="C2126" s="74" t="s">
        <v>129</v>
      </c>
      <c r="D2126" s="74" t="s">
        <v>79</v>
      </c>
      <c r="E2126" s="74" t="s">
        <v>80</v>
      </c>
      <c r="F2126" s="86" t="s">
        <v>123</v>
      </c>
      <c r="G2126" s="74" t="s">
        <v>117</v>
      </c>
      <c r="H2126" s="87">
        <v>44742</v>
      </c>
      <c r="I2126" s="94">
        <v>2383.91</v>
      </c>
      <c r="J2126" s="94">
        <v>1787.93</v>
      </c>
      <c r="K2126" s="94">
        <v>595.98</v>
      </c>
    </row>
    <row r="2127" spans="1:11">
      <c r="A2127" s="74" t="s">
        <v>309</v>
      </c>
      <c r="B2127" s="74" t="s">
        <v>130</v>
      </c>
      <c r="C2127" s="74" t="s">
        <v>131</v>
      </c>
      <c r="D2127" s="74" t="s">
        <v>79</v>
      </c>
      <c r="E2127" s="74" t="s">
        <v>80</v>
      </c>
      <c r="F2127" s="86" t="s">
        <v>116</v>
      </c>
      <c r="G2127" s="74" t="s">
        <v>117</v>
      </c>
      <c r="H2127" s="87">
        <v>44742</v>
      </c>
      <c r="I2127" s="94">
        <v>3209.29</v>
      </c>
      <c r="J2127" s="94">
        <v>2406.97</v>
      </c>
      <c r="K2127" s="94">
        <v>802.32</v>
      </c>
    </row>
    <row r="2128" spans="1:11">
      <c r="A2128" s="74" t="s">
        <v>309</v>
      </c>
      <c r="B2128" s="74" t="s">
        <v>132</v>
      </c>
      <c r="C2128" s="74" t="s">
        <v>133</v>
      </c>
      <c r="D2128" s="74" t="s">
        <v>79</v>
      </c>
      <c r="E2128" s="74" t="s">
        <v>80</v>
      </c>
      <c r="F2128" s="86" t="s">
        <v>120</v>
      </c>
      <c r="G2128" s="74" t="s">
        <v>117</v>
      </c>
      <c r="H2128" s="87">
        <v>44742</v>
      </c>
      <c r="I2128" s="94">
        <v>2761.5</v>
      </c>
      <c r="J2128" s="94">
        <v>2071.13</v>
      </c>
      <c r="K2128" s="94">
        <v>690.37</v>
      </c>
    </row>
    <row r="2129" spans="1:11">
      <c r="A2129" s="74" t="s">
        <v>309</v>
      </c>
      <c r="B2129" s="74" t="s">
        <v>134</v>
      </c>
      <c r="C2129" s="74" t="s">
        <v>135</v>
      </c>
      <c r="D2129" s="74" t="s">
        <v>79</v>
      </c>
      <c r="E2129" s="74" t="s">
        <v>80</v>
      </c>
      <c r="F2129" s="86" t="s">
        <v>123</v>
      </c>
      <c r="G2129" s="74" t="s">
        <v>117</v>
      </c>
      <c r="H2129" s="87">
        <v>44742</v>
      </c>
      <c r="I2129" s="94">
        <v>2489.02</v>
      </c>
      <c r="J2129" s="94">
        <v>1866.77</v>
      </c>
      <c r="K2129" s="94">
        <v>622.25</v>
      </c>
    </row>
    <row r="2130" spans="1:11">
      <c r="A2130" s="74" t="s">
        <v>309</v>
      </c>
      <c r="B2130" s="74" t="s">
        <v>136</v>
      </c>
      <c r="C2130" s="74" t="s">
        <v>137</v>
      </c>
      <c r="D2130" s="74" t="s">
        <v>79</v>
      </c>
      <c r="E2130" s="74" t="s">
        <v>80</v>
      </c>
      <c r="F2130" s="86" t="s">
        <v>116</v>
      </c>
      <c r="G2130" s="74" t="s">
        <v>138</v>
      </c>
      <c r="H2130" s="87">
        <v>44742</v>
      </c>
      <c r="I2130" s="94">
        <v>3420.47</v>
      </c>
      <c r="J2130" s="94">
        <v>2565.35</v>
      </c>
      <c r="K2130" s="94">
        <v>855.12</v>
      </c>
    </row>
    <row r="2131" spans="1:11">
      <c r="A2131" s="74" t="s">
        <v>309</v>
      </c>
      <c r="B2131" s="74" t="s">
        <v>139</v>
      </c>
      <c r="C2131" s="74" t="s">
        <v>140</v>
      </c>
      <c r="D2131" s="74" t="s">
        <v>79</v>
      </c>
      <c r="E2131" s="74" t="s">
        <v>80</v>
      </c>
      <c r="F2131" s="86" t="s">
        <v>120</v>
      </c>
      <c r="G2131" s="74" t="s">
        <v>138</v>
      </c>
      <c r="H2131" s="87">
        <v>44742</v>
      </c>
      <c r="I2131" s="94">
        <v>2741.16</v>
      </c>
      <c r="J2131" s="94">
        <v>2055.87</v>
      </c>
      <c r="K2131" s="94">
        <v>685.29</v>
      </c>
    </row>
    <row r="2132" spans="1:11">
      <c r="A2132" s="74" t="s">
        <v>309</v>
      </c>
      <c r="B2132" s="74" t="s">
        <v>141</v>
      </c>
      <c r="C2132" s="74" t="s">
        <v>142</v>
      </c>
      <c r="D2132" s="74" t="s">
        <v>79</v>
      </c>
      <c r="E2132" s="74" t="s">
        <v>80</v>
      </c>
      <c r="F2132" s="86" t="s">
        <v>123</v>
      </c>
      <c r="G2132" s="74" t="s">
        <v>138</v>
      </c>
      <c r="H2132" s="87">
        <v>44742</v>
      </c>
      <c r="I2132" s="94">
        <v>2564.82</v>
      </c>
      <c r="J2132" s="94">
        <v>1923.62</v>
      </c>
      <c r="K2132" s="94">
        <v>641.2</v>
      </c>
    </row>
    <row r="2133" spans="1:11">
      <c r="A2133" s="74" t="s">
        <v>309</v>
      </c>
      <c r="B2133" s="74" t="s">
        <v>143</v>
      </c>
      <c r="C2133" s="74" t="s">
        <v>144</v>
      </c>
      <c r="D2133" s="74" t="s">
        <v>79</v>
      </c>
      <c r="E2133" s="74" t="s">
        <v>80</v>
      </c>
      <c r="F2133" s="86" t="s">
        <v>145</v>
      </c>
      <c r="G2133" s="74" t="s">
        <v>146</v>
      </c>
      <c r="H2133" s="87">
        <v>44742</v>
      </c>
      <c r="I2133" s="94">
        <v>7544.4</v>
      </c>
      <c r="J2133" s="94">
        <v>5658.3</v>
      </c>
      <c r="K2133" s="94">
        <v>1886.1</v>
      </c>
    </row>
    <row r="2134" spans="1:11">
      <c r="A2134" s="74" t="s">
        <v>309</v>
      </c>
      <c r="B2134" s="74" t="s">
        <v>147</v>
      </c>
      <c r="C2134" s="74" t="s">
        <v>148</v>
      </c>
      <c r="D2134" s="74" t="s">
        <v>79</v>
      </c>
      <c r="E2134" s="74" t="s">
        <v>80</v>
      </c>
      <c r="F2134" s="86" t="s">
        <v>149</v>
      </c>
      <c r="G2134" s="74" t="s">
        <v>150</v>
      </c>
      <c r="H2134" s="87">
        <v>44742</v>
      </c>
      <c r="I2134" s="94">
        <v>7166.33</v>
      </c>
      <c r="J2134" s="94">
        <v>5374.75</v>
      </c>
      <c r="K2134" s="94">
        <v>1791.58</v>
      </c>
    </row>
    <row r="2135" spans="1:11">
      <c r="A2135" s="74" t="s">
        <v>309</v>
      </c>
      <c r="B2135" s="74" t="s">
        <v>151</v>
      </c>
      <c r="C2135" s="74" t="s">
        <v>152</v>
      </c>
      <c r="D2135" s="74" t="s">
        <v>79</v>
      </c>
      <c r="E2135" s="74" t="s">
        <v>81</v>
      </c>
      <c r="F2135" s="86" t="s">
        <v>123</v>
      </c>
      <c r="G2135" s="74" t="s">
        <v>153</v>
      </c>
      <c r="H2135" s="87">
        <v>44742</v>
      </c>
      <c r="I2135" s="94">
        <v>2498.43</v>
      </c>
      <c r="J2135" s="94">
        <v>1873.82</v>
      </c>
      <c r="K2135" s="94">
        <v>624.61</v>
      </c>
    </row>
    <row r="2136" spans="1:11">
      <c r="A2136" s="74" t="s">
        <v>309</v>
      </c>
      <c r="B2136" s="74" t="s">
        <v>154</v>
      </c>
      <c r="C2136" s="74" t="s">
        <v>155</v>
      </c>
      <c r="D2136" s="74" t="s">
        <v>79</v>
      </c>
      <c r="E2136" s="74" t="s">
        <v>81</v>
      </c>
      <c r="F2136" s="86" t="s">
        <v>156</v>
      </c>
      <c r="G2136" s="74" t="s">
        <v>157</v>
      </c>
      <c r="H2136" s="87">
        <v>44742</v>
      </c>
      <c r="I2136" s="94">
        <v>2053.53</v>
      </c>
      <c r="J2136" s="94">
        <v>1540.15</v>
      </c>
      <c r="K2136" s="94">
        <v>513.38</v>
      </c>
    </row>
    <row r="2137" spans="1:11">
      <c r="A2137" s="74" t="s">
        <v>309</v>
      </c>
      <c r="B2137" s="74" t="s">
        <v>158</v>
      </c>
      <c r="C2137" s="74" t="s">
        <v>159</v>
      </c>
      <c r="D2137" s="74" t="s">
        <v>79</v>
      </c>
      <c r="E2137" s="74" t="s">
        <v>81</v>
      </c>
      <c r="F2137" s="86" t="s">
        <v>160</v>
      </c>
      <c r="G2137" s="74" t="s">
        <v>161</v>
      </c>
      <c r="H2137" s="87">
        <v>44742</v>
      </c>
      <c r="I2137" s="94">
        <v>1605</v>
      </c>
      <c r="J2137" s="94">
        <v>1203.75</v>
      </c>
      <c r="K2137" s="94">
        <v>401.25</v>
      </c>
    </row>
    <row r="2138" spans="1:11">
      <c r="A2138" s="74" t="s">
        <v>309</v>
      </c>
      <c r="B2138" s="74" t="s">
        <v>162</v>
      </c>
      <c r="C2138" s="74" t="s">
        <v>163</v>
      </c>
      <c r="D2138" s="74" t="s">
        <v>79</v>
      </c>
      <c r="E2138" s="74" t="s">
        <v>81</v>
      </c>
      <c r="F2138" s="86" t="s">
        <v>123</v>
      </c>
      <c r="G2138" s="74" t="s">
        <v>153</v>
      </c>
      <c r="H2138" s="87">
        <v>44742</v>
      </c>
      <c r="I2138" s="94">
        <v>2364.87</v>
      </c>
      <c r="J2138" s="94">
        <v>1773.65</v>
      </c>
      <c r="K2138" s="94">
        <v>591.22</v>
      </c>
    </row>
    <row r="2139" spans="1:11">
      <c r="A2139" s="74" t="s">
        <v>309</v>
      </c>
      <c r="B2139" s="74" t="s">
        <v>164</v>
      </c>
      <c r="C2139" s="74" t="s">
        <v>165</v>
      </c>
      <c r="D2139" s="74" t="s">
        <v>79</v>
      </c>
      <c r="E2139" s="74" t="s">
        <v>81</v>
      </c>
      <c r="F2139" s="86" t="s">
        <v>156</v>
      </c>
      <c r="G2139" s="74" t="s">
        <v>157</v>
      </c>
      <c r="H2139" s="87">
        <v>44742</v>
      </c>
      <c r="I2139" s="94">
        <v>2013.53</v>
      </c>
      <c r="J2139" s="94">
        <v>1510.15</v>
      </c>
      <c r="K2139" s="94">
        <v>503.38</v>
      </c>
    </row>
    <row r="2140" spans="1:11">
      <c r="A2140" s="74" t="s">
        <v>309</v>
      </c>
      <c r="B2140" s="74" t="s">
        <v>166</v>
      </c>
      <c r="C2140" s="74" t="s">
        <v>167</v>
      </c>
      <c r="D2140" s="74" t="s">
        <v>79</v>
      </c>
      <c r="E2140" s="74" t="s">
        <v>81</v>
      </c>
      <c r="F2140" s="86" t="s">
        <v>160</v>
      </c>
      <c r="G2140" s="74" t="s">
        <v>161</v>
      </c>
      <c r="H2140" s="87">
        <v>44742</v>
      </c>
      <c r="I2140" s="94">
        <v>1667.16</v>
      </c>
      <c r="J2140" s="94">
        <v>1250.37</v>
      </c>
      <c r="K2140" s="94">
        <v>416.79</v>
      </c>
    </row>
    <row r="2141" spans="1:11">
      <c r="A2141" s="74" t="s">
        <v>309</v>
      </c>
      <c r="B2141" s="74" t="s">
        <v>168</v>
      </c>
      <c r="C2141" s="74" t="s">
        <v>169</v>
      </c>
      <c r="D2141" s="74" t="s">
        <v>79</v>
      </c>
      <c r="E2141" s="74" t="s">
        <v>81</v>
      </c>
      <c r="F2141" s="86" t="s">
        <v>123</v>
      </c>
      <c r="G2141" s="74" t="s">
        <v>153</v>
      </c>
      <c r="H2141" s="87">
        <v>44742</v>
      </c>
      <c r="I2141" s="94">
        <v>2475.69</v>
      </c>
      <c r="J2141" s="94">
        <v>1856.77</v>
      </c>
      <c r="K2141" s="94">
        <v>618.92</v>
      </c>
    </row>
    <row r="2142" spans="1:11">
      <c r="A2142" s="74" t="s">
        <v>309</v>
      </c>
      <c r="B2142" s="74" t="s">
        <v>170</v>
      </c>
      <c r="C2142" s="74" t="s">
        <v>171</v>
      </c>
      <c r="D2142" s="74" t="s">
        <v>79</v>
      </c>
      <c r="E2142" s="74" t="s">
        <v>81</v>
      </c>
      <c r="F2142" s="86" t="s">
        <v>156</v>
      </c>
      <c r="G2142" s="74" t="s">
        <v>157</v>
      </c>
      <c r="H2142" s="87">
        <v>44742</v>
      </c>
      <c r="I2142" s="94">
        <v>2005.08</v>
      </c>
      <c r="J2142" s="94">
        <v>1503.81</v>
      </c>
      <c r="K2142" s="94">
        <v>501.27</v>
      </c>
    </row>
    <row r="2143" spans="1:11">
      <c r="A2143" s="74" t="s">
        <v>309</v>
      </c>
      <c r="B2143" s="74" t="s">
        <v>172</v>
      </c>
      <c r="C2143" s="74" t="s">
        <v>173</v>
      </c>
      <c r="D2143" s="74" t="s">
        <v>79</v>
      </c>
      <c r="E2143" s="74" t="s">
        <v>81</v>
      </c>
      <c r="F2143" s="86" t="s">
        <v>160</v>
      </c>
      <c r="G2143" s="74" t="s">
        <v>161</v>
      </c>
      <c r="H2143" s="87">
        <v>44742</v>
      </c>
      <c r="I2143" s="94">
        <v>1605.72</v>
      </c>
      <c r="J2143" s="94">
        <v>1204.29</v>
      </c>
      <c r="K2143" s="94">
        <v>401.43</v>
      </c>
    </row>
    <row r="2144" spans="1:11">
      <c r="A2144" s="74" t="s">
        <v>309</v>
      </c>
      <c r="B2144" s="74" t="s">
        <v>174</v>
      </c>
      <c r="C2144" s="74" t="s">
        <v>175</v>
      </c>
      <c r="D2144" s="74" t="s">
        <v>79</v>
      </c>
      <c r="E2144" s="74" t="s">
        <v>81</v>
      </c>
      <c r="F2144" s="86" t="s">
        <v>176</v>
      </c>
      <c r="G2144" s="74" t="s">
        <v>177</v>
      </c>
      <c r="H2144" s="87">
        <v>44742</v>
      </c>
      <c r="I2144" s="94">
        <v>1215.4</v>
      </c>
      <c r="J2144" s="94">
        <v>911.55</v>
      </c>
      <c r="K2144" s="94">
        <v>303.85</v>
      </c>
    </row>
    <row r="2145" spans="1:11">
      <c r="A2145" s="74" t="s">
        <v>309</v>
      </c>
      <c r="B2145" s="74" t="s">
        <v>178</v>
      </c>
      <c r="C2145" s="74" t="s">
        <v>179</v>
      </c>
      <c r="D2145" s="74" t="s">
        <v>79</v>
      </c>
      <c r="E2145" s="74" t="s">
        <v>81</v>
      </c>
      <c r="F2145" s="86" t="s">
        <v>180</v>
      </c>
      <c r="G2145" s="74" t="s">
        <v>177</v>
      </c>
      <c r="H2145" s="87">
        <v>44742</v>
      </c>
      <c r="I2145" s="94">
        <v>811.17</v>
      </c>
      <c r="J2145" s="94">
        <v>608.38</v>
      </c>
      <c r="K2145" s="94">
        <v>202.79</v>
      </c>
    </row>
    <row r="2146" spans="1:11">
      <c r="A2146" s="74" t="s">
        <v>309</v>
      </c>
      <c r="B2146" s="74" t="s">
        <v>181</v>
      </c>
      <c r="C2146" s="74" t="s">
        <v>182</v>
      </c>
      <c r="D2146" s="74" t="s">
        <v>79</v>
      </c>
      <c r="E2146" s="74" t="s">
        <v>81</v>
      </c>
      <c r="F2146" s="86" t="s">
        <v>183</v>
      </c>
      <c r="G2146" s="74" t="s">
        <v>177</v>
      </c>
      <c r="H2146" s="87">
        <v>44742</v>
      </c>
      <c r="I2146" s="94">
        <v>412.53</v>
      </c>
      <c r="J2146" s="94">
        <v>309.4</v>
      </c>
      <c r="K2146" s="94">
        <v>103.13</v>
      </c>
    </row>
    <row r="2147" spans="1:11">
      <c r="A2147" s="74" t="s">
        <v>309</v>
      </c>
      <c r="B2147" s="74" t="s">
        <v>184</v>
      </c>
      <c r="C2147" s="74" t="s">
        <v>185</v>
      </c>
      <c r="D2147" s="74" t="s">
        <v>79</v>
      </c>
      <c r="E2147" s="74" t="s">
        <v>81</v>
      </c>
      <c r="F2147" s="86" t="s">
        <v>176</v>
      </c>
      <c r="G2147" s="74" t="s">
        <v>177</v>
      </c>
      <c r="H2147" s="87">
        <v>44742</v>
      </c>
      <c r="I2147" s="94">
        <v>1269.41</v>
      </c>
      <c r="J2147" s="94">
        <v>952.06</v>
      </c>
      <c r="K2147" s="94">
        <v>317.35</v>
      </c>
    </row>
    <row r="2148" spans="1:11">
      <c r="A2148" s="74" t="s">
        <v>309</v>
      </c>
      <c r="B2148" s="74" t="s">
        <v>186</v>
      </c>
      <c r="C2148" s="74" t="s">
        <v>187</v>
      </c>
      <c r="D2148" s="74" t="s">
        <v>79</v>
      </c>
      <c r="E2148" s="74" t="s">
        <v>81</v>
      </c>
      <c r="F2148" s="86" t="s">
        <v>180</v>
      </c>
      <c r="G2148" s="74" t="s">
        <v>177</v>
      </c>
      <c r="H2148" s="87">
        <v>44742</v>
      </c>
      <c r="I2148" s="94">
        <v>812.43</v>
      </c>
      <c r="J2148" s="94">
        <v>609.32</v>
      </c>
      <c r="K2148" s="94">
        <v>203.11</v>
      </c>
    </row>
    <row r="2149" spans="1:11">
      <c r="A2149" s="74" t="s">
        <v>309</v>
      </c>
      <c r="B2149" s="74" t="s">
        <v>188</v>
      </c>
      <c r="C2149" s="74" t="s">
        <v>189</v>
      </c>
      <c r="D2149" s="74" t="s">
        <v>79</v>
      </c>
      <c r="E2149" s="74" t="s">
        <v>81</v>
      </c>
      <c r="F2149" s="86" t="s">
        <v>183</v>
      </c>
      <c r="G2149" s="74" t="s">
        <v>177</v>
      </c>
      <c r="H2149" s="87">
        <v>44742</v>
      </c>
      <c r="I2149" s="94">
        <v>392.93</v>
      </c>
      <c r="J2149" s="94">
        <v>294.7</v>
      </c>
      <c r="K2149" s="94">
        <v>98.23</v>
      </c>
    </row>
    <row r="2150" spans="1:11">
      <c r="A2150" s="74" t="s">
        <v>309</v>
      </c>
      <c r="B2150" s="74" t="s">
        <v>190</v>
      </c>
      <c r="C2150" s="74" t="s">
        <v>191</v>
      </c>
      <c r="D2150" s="74" t="s">
        <v>79</v>
      </c>
      <c r="E2150" s="74" t="s">
        <v>81</v>
      </c>
      <c r="F2150" s="86" t="s">
        <v>176</v>
      </c>
      <c r="G2150" s="74" t="s">
        <v>177</v>
      </c>
      <c r="H2150" s="87">
        <v>44742</v>
      </c>
      <c r="I2150" s="94">
        <v>1216.79</v>
      </c>
      <c r="J2150" s="94">
        <v>912.59</v>
      </c>
      <c r="K2150" s="94">
        <v>304.2</v>
      </c>
    </row>
    <row r="2151" spans="1:11">
      <c r="A2151" s="74" t="s">
        <v>309</v>
      </c>
      <c r="B2151" s="74" t="s">
        <v>192</v>
      </c>
      <c r="C2151" s="74" t="s">
        <v>193</v>
      </c>
      <c r="D2151" s="74" t="s">
        <v>79</v>
      </c>
      <c r="E2151" s="74" t="s">
        <v>81</v>
      </c>
      <c r="F2151" s="86" t="s">
        <v>180</v>
      </c>
      <c r="G2151" s="74" t="s">
        <v>177</v>
      </c>
      <c r="H2151" s="87">
        <v>44742</v>
      </c>
      <c r="I2151" s="94">
        <v>800.97</v>
      </c>
      <c r="J2151" s="94">
        <v>600.73</v>
      </c>
      <c r="K2151" s="94">
        <v>200.24</v>
      </c>
    </row>
    <row r="2152" spans="1:11">
      <c r="A2152" s="74" t="s">
        <v>309</v>
      </c>
      <c r="B2152" s="74" t="s">
        <v>194</v>
      </c>
      <c r="C2152" s="74" t="s">
        <v>195</v>
      </c>
      <c r="D2152" s="74" t="s">
        <v>79</v>
      </c>
      <c r="E2152" s="74" t="s">
        <v>81</v>
      </c>
      <c r="F2152" s="86" t="s">
        <v>183</v>
      </c>
      <c r="G2152" s="74" t="s">
        <v>177</v>
      </c>
      <c r="H2152" s="87">
        <v>44742</v>
      </c>
      <c r="I2152" s="94">
        <v>397.81</v>
      </c>
      <c r="J2152" s="94">
        <v>298.36</v>
      </c>
      <c r="K2152" s="94">
        <v>99.45</v>
      </c>
    </row>
    <row r="2153" spans="1:11">
      <c r="A2153" s="74" t="s">
        <v>309</v>
      </c>
      <c r="B2153" s="74" t="s">
        <v>196</v>
      </c>
      <c r="C2153" s="74" t="s">
        <v>197</v>
      </c>
      <c r="D2153" s="74" t="s">
        <v>79</v>
      </c>
      <c r="E2153" s="74" t="s">
        <v>81</v>
      </c>
      <c r="F2153" s="86" t="s">
        <v>176</v>
      </c>
      <c r="G2153" s="74" t="s">
        <v>177</v>
      </c>
      <c r="H2153" s="87">
        <v>44742</v>
      </c>
      <c r="I2153" s="94">
        <v>1170.02</v>
      </c>
      <c r="J2153" s="94">
        <v>877.52</v>
      </c>
      <c r="K2153" s="94">
        <v>292.5</v>
      </c>
    </row>
    <row r="2154" spans="1:11">
      <c r="A2154" s="74" t="s">
        <v>309</v>
      </c>
      <c r="B2154" s="74" t="s">
        <v>198</v>
      </c>
      <c r="C2154" s="74" t="s">
        <v>199</v>
      </c>
      <c r="D2154" s="74" t="s">
        <v>79</v>
      </c>
      <c r="E2154" s="74" t="s">
        <v>81</v>
      </c>
      <c r="F2154" s="86" t="s">
        <v>180</v>
      </c>
      <c r="G2154" s="74" t="s">
        <v>177</v>
      </c>
      <c r="H2154" s="87">
        <v>44742</v>
      </c>
      <c r="I2154" s="94">
        <v>847.32</v>
      </c>
      <c r="J2154" s="94">
        <v>635.49</v>
      </c>
      <c r="K2154" s="94">
        <v>211.83</v>
      </c>
    </row>
    <row r="2155" spans="1:11">
      <c r="A2155" s="74" t="s">
        <v>309</v>
      </c>
      <c r="B2155" s="74" t="s">
        <v>200</v>
      </c>
      <c r="C2155" s="74" t="s">
        <v>201</v>
      </c>
      <c r="D2155" s="74" t="s">
        <v>79</v>
      </c>
      <c r="E2155" s="74" t="s">
        <v>81</v>
      </c>
      <c r="F2155" s="86" t="s">
        <v>183</v>
      </c>
      <c r="G2155" s="74" t="s">
        <v>177</v>
      </c>
      <c r="H2155" s="87">
        <v>44742</v>
      </c>
      <c r="I2155" s="94">
        <v>409.72</v>
      </c>
      <c r="J2155" s="94">
        <v>307.29</v>
      </c>
      <c r="K2155" s="94">
        <v>102.43</v>
      </c>
    </row>
    <row r="2156" spans="1:11">
      <c r="A2156" s="74" t="s">
        <v>309</v>
      </c>
      <c r="B2156" s="74" t="s">
        <v>202</v>
      </c>
      <c r="C2156" s="74" t="s">
        <v>203</v>
      </c>
      <c r="D2156" s="74" t="s">
        <v>79</v>
      </c>
      <c r="E2156" s="74" t="s">
        <v>81</v>
      </c>
      <c r="F2156" s="86" t="s">
        <v>204</v>
      </c>
      <c r="G2156" s="74" t="s">
        <v>205</v>
      </c>
      <c r="H2156" s="87">
        <v>44742</v>
      </c>
      <c r="I2156" s="94">
        <v>7396.87</v>
      </c>
      <c r="J2156" s="94">
        <v>5547.65</v>
      </c>
      <c r="K2156" s="94">
        <v>1849.22</v>
      </c>
    </row>
    <row r="2157" spans="1:11">
      <c r="A2157" s="74" t="s">
        <v>309</v>
      </c>
      <c r="B2157" s="74" t="s">
        <v>206</v>
      </c>
      <c r="C2157" s="74" t="s">
        <v>207</v>
      </c>
      <c r="D2157" s="88" t="s">
        <v>82</v>
      </c>
      <c r="E2157" s="88" t="s">
        <v>84</v>
      </c>
      <c r="F2157" s="86" t="s">
        <v>208</v>
      </c>
      <c r="G2157" s="74" t="s">
        <v>209</v>
      </c>
      <c r="H2157" s="87">
        <v>44742</v>
      </c>
      <c r="I2157" s="94">
        <v>3632.41</v>
      </c>
      <c r="J2157" s="94">
        <v>2724.31</v>
      </c>
      <c r="K2157" s="94">
        <v>908.1</v>
      </c>
    </row>
    <row r="2158" spans="1:11">
      <c r="A2158" s="74" t="s">
        <v>309</v>
      </c>
      <c r="B2158" s="74" t="s">
        <v>210</v>
      </c>
      <c r="C2158" s="74" t="s">
        <v>211</v>
      </c>
      <c r="D2158" s="88" t="s">
        <v>82</v>
      </c>
      <c r="E2158" s="88" t="s">
        <v>84</v>
      </c>
      <c r="F2158" s="86" t="s">
        <v>116</v>
      </c>
      <c r="G2158" s="74" t="s">
        <v>209</v>
      </c>
      <c r="H2158" s="87">
        <v>44742</v>
      </c>
      <c r="I2158" s="94">
        <v>3218.2</v>
      </c>
      <c r="J2158" s="94">
        <v>2413.65</v>
      </c>
      <c r="K2158" s="94">
        <v>804.55</v>
      </c>
    </row>
    <row r="2159" spans="1:11">
      <c r="A2159" s="74" t="s">
        <v>309</v>
      </c>
      <c r="B2159" s="74" t="s">
        <v>212</v>
      </c>
      <c r="C2159" s="74" t="s">
        <v>213</v>
      </c>
      <c r="D2159" s="88" t="s">
        <v>82</v>
      </c>
      <c r="E2159" s="88" t="s">
        <v>84</v>
      </c>
      <c r="F2159" s="86" t="s">
        <v>208</v>
      </c>
      <c r="G2159" s="74" t="s">
        <v>209</v>
      </c>
      <c r="H2159" s="87">
        <v>44742</v>
      </c>
      <c r="I2159" s="94">
        <v>3809.72</v>
      </c>
      <c r="J2159" s="94">
        <v>2857.29</v>
      </c>
      <c r="K2159" s="94">
        <v>952.43</v>
      </c>
    </row>
    <row r="2160" spans="1:11">
      <c r="A2160" s="74" t="s">
        <v>309</v>
      </c>
      <c r="B2160" s="74" t="s">
        <v>214</v>
      </c>
      <c r="C2160" s="74" t="s">
        <v>215</v>
      </c>
      <c r="D2160" s="88" t="s">
        <v>82</v>
      </c>
      <c r="E2160" s="88" t="s">
        <v>84</v>
      </c>
      <c r="F2160" s="86" t="s">
        <v>116</v>
      </c>
      <c r="G2160" s="74" t="s">
        <v>209</v>
      </c>
      <c r="H2160" s="87">
        <v>44742</v>
      </c>
      <c r="I2160" s="94">
        <v>3272.64</v>
      </c>
      <c r="J2160" s="94">
        <v>2454.48</v>
      </c>
      <c r="K2160" s="94">
        <v>818.16</v>
      </c>
    </row>
    <row r="2161" spans="1:11">
      <c r="A2161" s="74" t="s">
        <v>309</v>
      </c>
      <c r="B2161" s="74" t="s">
        <v>216</v>
      </c>
      <c r="C2161" s="74" t="s">
        <v>217</v>
      </c>
      <c r="D2161" s="88" t="s">
        <v>82</v>
      </c>
      <c r="E2161" s="88" t="s">
        <v>84</v>
      </c>
      <c r="F2161" s="86" t="s">
        <v>218</v>
      </c>
      <c r="G2161" s="74" t="s">
        <v>219</v>
      </c>
      <c r="H2161" s="87">
        <v>44742</v>
      </c>
      <c r="I2161" s="94">
        <v>4431.81</v>
      </c>
      <c r="J2161" s="94">
        <v>3323.86</v>
      </c>
      <c r="K2161" s="94">
        <v>1107.95</v>
      </c>
    </row>
    <row r="2162" spans="1:11">
      <c r="A2162" s="74" t="s">
        <v>309</v>
      </c>
      <c r="B2162" s="74" t="s">
        <v>220</v>
      </c>
      <c r="C2162" s="74" t="s">
        <v>221</v>
      </c>
      <c r="D2162" s="88" t="s">
        <v>82</v>
      </c>
      <c r="E2162" s="74" t="s">
        <v>83</v>
      </c>
      <c r="F2162" s="86" t="s">
        <v>218</v>
      </c>
      <c r="G2162" s="74" t="s">
        <v>222</v>
      </c>
      <c r="H2162" s="87">
        <v>44742</v>
      </c>
      <c r="I2162" s="94">
        <v>4624.8</v>
      </c>
      <c r="J2162" s="94">
        <v>3468.6</v>
      </c>
      <c r="K2162" s="94">
        <v>1156.2</v>
      </c>
    </row>
    <row r="2163" spans="1:11">
      <c r="A2163" s="74" t="s">
        <v>309</v>
      </c>
      <c r="B2163" s="74" t="s">
        <v>223</v>
      </c>
      <c r="C2163" s="74" t="s">
        <v>224</v>
      </c>
      <c r="D2163" s="88" t="s">
        <v>82</v>
      </c>
      <c r="E2163" s="74" t="s">
        <v>83</v>
      </c>
      <c r="F2163" s="86" t="s">
        <v>225</v>
      </c>
      <c r="G2163" s="74" t="s">
        <v>209</v>
      </c>
      <c r="H2163" s="87">
        <v>44742</v>
      </c>
      <c r="I2163" s="94">
        <v>4149.21</v>
      </c>
      <c r="J2163" s="94">
        <v>3111.91</v>
      </c>
      <c r="K2163" s="94">
        <v>1037.3</v>
      </c>
    </row>
    <row r="2164" spans="1:11">
      <c r="A2164" s="74" t="s">
        <v>309</v>
      </c>
      <c r="B2164" s="74" t="s">
        <v>226</v>
      </c>
      <c r="C2164" s="74" t="s">
        <v>227</v>
      </c>
      <c r="D2164" s="88" t="s">
        <v>82</v>
      </c>
      <c r="E2164" s="74" t="s">
        <v>83</v>
      </c>
      <c r="F2164" s="86" t="s">
        <v>208</v>
      </c>
      <c r="G2164" s="74" t="s">
        <v>209</v>
      </c>
      <c r="H2164" s="87">
        <v>44742</v>
      </c>
      <c r="I2164" s="94">
        <v>3853.46</v>
      </c>
      <c r="J2164" s="94">
        <v>2890.1</v>
      </c>
      <c r="K2164" s="94">
        <v>963.36</v>
      </c>
    </row>
    <row r="2165" spans="1:11">
      <c r="A2165" s="74" t="s">
        <v>309</v>
      </c>
      <c r="B2165" s="74" t="s">
        <v>228</v>
      </c>
      <c r="C2165" s="74" t="s">
        <v>229</v>
      </c>
      <c r="D2165" s="88" t="s">
        <v>82</v>
      </c>
      <c r="E2165" s="74" t="s">
        <v>83</v>
      </c>
      <c r="F2165" s="86" t="s">
        <v>116</v>
      </c>
      <c r="G2165" s="74" t="s">
        <v>209</v>
      </c>
      <c r="H2165" s="87">
        <v>44742</v>
      </c>
      <c r="I2165" s="94">
        <v>3380.5</v>
      </c>
      <c r="J2165" s="94">
        <v>2535.38</v>
      </c>
      <c r="K2165" s="94">
        <v>845.12</v>
      </c>
    </row>
    <row r="2166" spans="1:11">
      <c r="A2166" s="74" t="s">
        <v>309</v>
      </c>
      <c r="B2166" s="74" t="s">
        <v>230</v>
      </c>
      <c r="C2166" s="74" t="s">
        <v>231</v>
      </c>
      <c r="D2166" s="88" t="s">
        <v>82</v>
      </c>
      <c r="E2166" s="74" t="s">
        <v>83</v>
      </c>
      <c r="F2166" s="86" t="s">
        <v>120</v>
      </c>
      <c r="G2166" s="74" t="s">
        <v>209</v>
      </c>
      <c r="H2166" s="87">
        <v>44742</v>
      </c>
      <c r="I2166" s="94">
        <v>2859.18</v>
      </c>
      <c r="J2166" s="94">
        <v>2144.39</v>
      </c>
      <c r="K2166" s="94">
        <v>714.79</v>
      </c>
    </row>
    <row r="2167" spans="1:11">
      <c r="A2167" s="74" t="s">
        <v>309</v>
      </c>
      <c r="B2167" s="74" t="s">
        <v>232</v>
      </c>
      <c r="C2167" s="74" t="s">
        <v>233</v>
      </c>
      <c r="D2167" s="88" t="s">
        <v>82</v>
      </c>
      <c r="E2167" s="74" t="s">
        <v>83</v>
      </c>
      <c r="F2167" s="86" t="s">
        <v>123</v>
      </c>
      <c r="G2167" s="74" t="s">
        <v>209</v>
      </c>
      <c r="H2167" s="87">
        <v>44742</v>
      </c>
      <c r="I2167" s="94">
        <v>2523.9</v>
      </c>
      <c r="J2167" s="94">
        <v>1892.93</v>
      </c>
      <c r="K2167" s="94">
        <v>630.97</v>
      </c>
    </row>
    <row r="2168" spans="1:11">
      <c r="A2168" s="74" t="s">
        <v>309</v>
      </c>
      <c r="B2168" s="74" t="s">
        <v>234</v>
      </c>
      <c r="C2168" s="74" t="s">
        <v>235</v>
      </c>
      <c r="D2168" s="88" t="s">
        <v>82</v>
      </c>
      <c r="E2168" s="74" t="s">
        <v>83</v>
      </c>
      <c r="F2168" s="86" t="s">
        <v>116</v>
      </c>
      <c r="G2168" s="74" t="s">
        <v>209</v>
      </c>
      <c r="H2168" s="87">
        <v>44742</v>
      </c>
      <c r="I2168" s="94">
        <v>3295.32</v>
      </c>
      <c r="J2168" s="94">
        <v>2471.49</v>
      </c>
      <c r="K2168" s="94">
        <v>823.83</v>
      </c>
    </row>
    <row r="2169" spans="1:11">
      <c r="A2169" s="74" t="s">
        <v>309</v>
      </c>
      <c r="B2169" s="74" t="s">
        <v>236</v>
      </c>
      <c r="C2169" s="74" t="s">
        <v>237</v>
      </c>
      <c r="D2169" s="88" t="s">
        <v>82</v>
      </c>
      <c r="E2169" s="74" t="s">
        <v>83</v>
      </c>
      <c r="F2169" s="86" t="s">
        <v>120</v>
      </c>
      <c r="G2169" s="74" t="s">
        <v>209</v>
      </c>
      <c r="H2169" s="87">
        <v>44742</v>
      </c>
      <c r="I2169" s="94">
        <v>2938.27</v>
      </c>
      <c r="J2169" s="94">
        <v>2203.7</v>
      </c>
      <c r="K2169" s="94">
        <v>734.57</v>
      </c>
    </row>
    <row r="2170" spans="1:11">
      <c r="A2170" s="74" t="s">
        <v>309</v>
      </c>
      <c r="B2170" s="74" t="s">
        <v>238</v>
      </c>
      <c r="C2170" s="74" t="s">
        <v>239</v>
      </c>
      <c r="D2170" s="74" t="s">
        <v>86</v>
      </c>
      <c r="E2170" s="74" t="s">
        <v>87</v>
      </c>
      <c r="F2170" s="86" t="s">
        <v>204</v>
      </c>
      <c r="G2170" s="74" t="s">
        <v>240</v>
      </c>
      <c r="H2170" s="87">
        <v>44742</v>
      </c>
      <c r="I2170" s="94">
        <v>5694.76</v>
      </c>
      <c r="J2170" s="94">
        <v>4271.07</v>
      </c>
      <c r="K2170" s="94">
        <v>1423.69</v>
      </c>
    </row>
    <row r="2171" spans="1:11">
      <c r="A2171" s="74" t="s">
        <v>309</v>
      </c>
      <c r="B2171" s="74" t="s">
        <v>241</v>
      </c>
      <c r="C2171" s="74" t="s">
        <v>242</v>
      </c>
      <c r="D2171" s="74" t="s">
        <v>86</v>
      </c>
      <c r="E2171" s="74" t="s">
        <v>87</v>
      </c>
      <c r="F2171" s="86" t="s">
        <v>243</v>
      </c>
      <c r="G2171" s="74" t="s">
        <v>244</v>
      </c>
      <c r="H2171" s="87">
        <v>44742</v>
      </c>
      <c r="I2171" s="94">
        <v>4369.3</v>
      </c>
      <c r="J2171" s="94">
        <v>3276.98</v>
      </c>
      <c r="K2171" s="94">
        <v>1092.32</v>
      </c>
    </row>
    <row r="2172" spans="1:11">
      <c r="A2172" s="74" t="s">
        <v>309</v>
      </c>
      <c r="B2172" s="74" t="s">
        <v>245</v>
      </c>
      <c r="C2172" s="74" t="s">
        <v>246</v>
      </c>
      <c r="D2172" s="74" t="s">
        <v>86</v>
      </c>
      <c r="E2172" s="74" t="s">
        <v>87</v>
      </c>
      <c r="F2172" s="86" t="s">
        <v>247</v>
      </c>
      <c r="G2172" s="74" t="s">
        <v>248</v>
      </c>
      <c r="H2172" s="87">
        <v>44742</v>
      </c>
      <c r="I2172" s="94">
        <v>3990.3</v>
      </c>
      <c r="J2172" s="94">
        <v>2992.73</v>
      </c>
      <c r="K2172" s="94">
        <v>997.57</v>
      </c>
    </row>
    <row r="2173" spans="1:11">
      <c r="A2173" s="74" t="s">
        <v>309</v>
      </c>
      <c r="B2173" s="74" t="s">
        <v>249</v>
      </c>
      <c r="C2173" s="74" t="s">
        <v>250</v>
      </c>
      <c r="D2173" s="74" t="s">
        <v>86</v>
      </c>
      <c r="E2173" s="74" t="s">
        <v>87</v>
      </c>
      <c r="F2173" s="86" t="s">
        <v>251</v>
      </c>
      <c r="G2173" s="74" t="s">
        <v>252</v>
      </c>
      <c r="H2173" s="87">
        <v>44742</v>
      </c>
      <c r="I2173" s="94">
        <v>3436.52</v>
      </c>
      <c r="J2173" s="94">
        <v>2577.39</v>
      </c>
      <c r="K2173" s="94">
        <v>859.13</v>
      </c>
    </row>
    <row r="2174" spans="1:11">
      <c r="A2174" s="74" t="s">
        <v>309</v>
      </c>
      <c r="B2174" s="74" t="s">
        <v>253</v>
      </c>
      <c r="C2174" s="74" t="s">
        <v>254</v>
      </c>
      <c r="D2174" s="74" t="s">
        <v>86</v>
      </c>
      <c r="E2174" s="74" t="s">
        <v>87</v>
      </c>
      <c r="F2174" s="86" t="s">
        <v>255</v>
      </c>
      <c r="G2174" s="74" t="s">
        <v>252</v>
      </c>
      <c r="H2174" s="87">
        <v>44742</v>
      </c>
      <c r="I2174" s="94">
        <v>3257.53</v>
      </c>
      <c r="J2174" s="94">
        <v>2443.15</v>
      </c>
      <c r="K2174" s="94">
        <v>814.38</v>
      </c>
    </row>
    <row r="2175" spans="1:11">
      <c r="A2175" s="74" t="s">
        <v>309</v>
      </c>
      <c r="B2175" s="74" t="s">
        <v>256</v>
      </c>
      <c r="C2175" s="74" t="s">
        <v>257</v>
      </c>
      <c r="D2175" s="74" t="s">
        <v>86</v>
      </c>
      <c r="E2175" s="74" t="s">
        <v>87</v>
      </c>
      <c r="F2175" s="86" t="s">
        <v>258</v>
      </c>
      <c r="G2175" s="74" t="s">
        <v>252</v>
      </c>
      <c r="H2175" s="87">
        <v>44742</v>
      </c>
      <c r="I2175" s="94">
        <v>3051.64</v>
      </c>
      <c r="J2175" s="94">
        <v>2288.73</v>
      </c>
      <c r="K2175" s="94">
        <v>762.91</v>
      </c>
    </row>
    <row r="2176" spans="1:11">
      <c r="A2176" s="74" t="s">
        <v>309</v>
      </c>
      <c r="B2176" s="74" t="s">
        <v>259</v>
      </c>
      <c r="C2176" s="74" t="s">
        <v>260</v>
      </c>
      <c r="D2176" s="74" t="s">
        <v>86</v>
      </c>
      <c r="E2176" s="74" t="s">
        <v>87</v>
      </c>
      <c r="F2176" s="86" t="s">
        <v>261</v>
      </c>
      <c r="G2176" s="74" t="s">
        <v>262</v>
      </c>
      <c r="H2176" s="87">
        <v>44742</v>
      </c>
      <c r="I2176" s="94">
        <v>2502.09</v>
      </c>
      <c r="J2176" s="94">
        <v>1876.57</v>
      </c>
      <c r="K2176" s="94">
        <v>625.52</v>
      </c>
    </row>
    <row r="2177" spans="1:11">
      <c r="A2177" s="74" t="s">
        <v>309</v>
      </c>
      <c r="B2177" s="74" t="s">
        <v>263</v>
      </c>
      <c r="C2177" s="74" t="s">
        <v>264</v>
      </c>
      <c r="D2177" s="74" t="s">
        <v>86</v>
      </c>
      <c r="E2177" s="74" t="s">
        <v>88</v>
      </c>
      <c r="F2177" s="86" t="s">
        <v>149</v>
      </c>
      <c r="G2177" s="74" t="s">
        <v>265</v>
      </c>
      <c r="H2177" s="87">
        <v>44742</v>
      </c>
      <c r="I2177" s="94">
        <v>5433.23</v>
      </c>
      <c r="J2177" s="94">
        <v>4074.92</v>
      </c>
      <c r="K2177" s="94">
        <v>1358.31</v>
      </c>
    </row>
    <row r="2178" spans="1:11">
      <c r="A2178" s="74" t="s">
        <v>309</v>
      </c>
      <c r="B2178" s="74" t="s">
        <v>266</v>
      </c>
      <c r="C2178" s="74" t="s">
        <v>267</v>
      </c>
      <c r="D2178" s="74" t="s">
        <v>86</v>
      </c>
      <c r="E2178" s="74" t="s">
        <v>88</v>
      </c>
      <c r="F2178" s="86" t="s">
        <v>243</v>
      </c>
      <c r="G2178" s="74" t="s">
        <v>268</v>
      </c>
      <c r="H2178" s="87">
        <v>44742</v>
      </c>
      <c r="I2178" s="94">
        <v>4252.21</v>
      </c>
      <c r="J2178" s="94">
        <v>3189.16</v>
      </c>
      <c r="K2178" s="94">
        <v>1063.05</v>
      </c>
    </row>
    <row r="2179" spans="1:11">
      <c r="A2179" s="74" t="s">
        <v>309</v>
      </c>
      <c r="B2179" s="74" t="s">
        <v>269</v>
      </c>
      <c r="C2179" s="74" t="s">
        <v>270</v>
      </c>
      <c r="D2179" s="74" t="s">
        <v>86</v>
      </c>
      <c r="E2179" s="74" t="s">
        <v>88</v>
      </c>
      <c r="F2179" s="86" t="s">
        <v>247</v>
      </c>
      <c r="G2179" s="74" t="s">
        <v>268</v>
      </c>
      <c r="H2179" s="87">
        <v>44742</v>
      </c>
      <c r="I2179" s="94">
        <v>3771.02</v>
      </c>
      <c r="J2179" s="94">
        <v>2828.27</v>
      </c>
      <c r="K2179" s="94">
        <v>942.75</v>
      </c>
    </row>
    <row r="2180" spans="1:11">
      <c r="A2180" s="74" t="s">
        <v>309</v>
      </c>
      <c r="B2180" s="74" t="s">
        <v>271</v>
      </c>
      <c r="C2180" s="74" t="s">
        <v>272</v>
      </c>
      <c r="D2180" s="74" t="s">
        <v>86</v>
      </c>
      <c r="E2180" s="74" t="s">
        <v>88</v>
      </c>
      <c r="F2180" s="86" t="s">
        <v>251</v>
      </c>
      <c r="G2180" s="74" t="s">
        <v>268</v>
      </c>
      <c r="H2180" s="87">
        <v>44742</v>
      </c>
      <c r="I2180" s="94">
        <v>3508.26</v>
      </c>
      <c r="J2180" s="94">
        <v>2631.2</v>
      </c>
      <c r="K2180" s="94">
        <v>877.06</v>
      </c>
    </row>
    <row r="2181" spans="1:11">
      <c r="A2181" s="74" t="s">
        <v>309</v>
      </c>
      <c r="B2181" s="74" t="s">
        <v>273</v>
      </c>
      <c r="C2181" s="74" t="s">
        <v>274</v>
      </c>
      <c r="D2181" s="74" t="s">
        <v>86</v>
      </c>
      <c r="E2181" s="74" t="s">
        <v>88</v>
      </c>
      <c r="F2181" s="86" t="s">
        <v>255</v>
      </c>
      <c r="G2181" s="74" t="s">
        <v>268</v>
      </c>
      <c r="H2181" s="87">
        <v>44742</v>
      </c>
      <c r="I2181" s="94">
        <v>3415.27</v>
      </c>
      <c r="J2181" s="94">
        <v>2561.45</v>
      </c>
      <c r="K2181" s="94">
        <v>853.82</v>
      </c>
    </row>
    <row r="2182" spans="1:11">
      <c r="A2182" s="74" t="s">
        <v>309</v>
      </c>
      <c r="B2182" s="74" t="s">
        <v>275</v>
      </c>
      <c r="C2182" s="74" t="s">
        <v>276</v>
      </c>
      <c r="D2182" s="74" t="s">
        <v>86</v>
      </c>
      <c r="E2182" s="74" t="s">
        <v>88</v>
      </c>
      <c r="F2182" s="86" t="s">
        <v>258</v>
      </c>
      <c r="G2182" s="74" t="s">
        <v>268</v>
      </c>
      <c r="H2182" s="87">
        <v>44742</v>
      </c>
      <c r="I2182" s="94">
        <v>2961.87</v>
      </c>
      <c r="J2182" s="94">
        <v>2221.4</v>
      </c>
      <c r="K2182" s="94">
        <v>740.47</v>
      </c>
    </row>
    <row r="2183" spans="1:11">
      <c r="A2183" s="74" t="s">
        <v>309</v>
      </c>
      <c r="B2183" s="74" t="s">
        <v>277</v>
      </c>
      <c r="C2183" s="74" t="s">
        <v>278</v>
      </c>
      <c r="D2183" s="74" t="s">
        <v>86</v>
      </c>
      <c r="E2183" s="74" t="s">
        <v>89</v>
      </c>
      <c r="F2183" s="86" t="s">
        <v>279</v>
      </c>
      <c r="G2183" s="74" t="s">
        <v>280</v>
      </c>
      <c r="H2183" s="87">
        <v>44742</v>
      </c>
      <c r="I2183" s="94">
        <v>4752.58</v>
      </c>
      <c r="J2183" s="94">
        <v>3564.44</v>
      </c>
      <c r="K2183" s="94">
        <v>1188.14</v>
      </c>
    </row>
    <row r="2184" spans="1:11">
      <c r="A2184" s="74" t="s">
        <v>309</v>
      </c>
      <c r="B2184" s="74" t="s">
        <v>281</v>
      </c>
      <c r="C2184" s="74" t="s">
        <v>282</v>
      </c>
      <c r="D2184" s="74" t="s">
        <v>86</v>
      </c>
      <c r="E2184" s="74" t="s">
        <v>89</v>
      </c>
      <c r="F2184" s="86" t="s">
        <v>225</v>
      </c>
      <c r="G2184" s="74" t="s">
        <v>283</v>
      </c>
      <c r="H2184" s="87">
        <v>44742</v>
      </c>
      <c r="I2184" s="94">
        <v>3270.15</v>
      </c>
      <c r="J2184" s="94">
        <v>2452.61</v>
      </c>
      <c r="K2184" s="94">
        <v>817.54</v>
      </c>
    </row>
    <row r="2185" spans="1:11">
      <c r="A2185" s="74" t="s">
        <v>309</v>
      </c>
      <c r="B2185" s="74" t="s">
        <v>284</v>
      </c>
      <c r="C2185" s="74" t="s">
        <v>285</v>
      </c>
      <c r="D2185" s="74" t="s">
        <v>86</v>
      </c>
      <c r="E2185" s="74" t="s">
        <v>89</v>
      </c>
      <c r="F2185" s="86" t="s">
        <v>208</v>
      </c>
      <c r="G2185" s="74" t="s">
        <v>283</v>
      </c>
      <c r="H2185" s="87">
        <v>44742</v>
      </c>
      <c r="I2185" s="94">
        <v>2873.61</v>
      </c>
      <c r="J2185" s="94">
        <v>2155.21</v>
      </c>
      <c r="K2185" s="94">
        <v>718.4</v>
      </c>
    </row>
    <row r="2186" spans="1:11">
      <c r="A2186" s="74" t="s">
        <v>309</v>
      </c>
      <c r="B2186" s="74" t="s">
        <v>286</v>
      </c>
      <c r="C2186" s="74" t="s">
        <v>287</v>
      </c>
      <c r="D2186" s="74" t="s">
        <v>82</v>
      </c>
      <c r="E2186" s="88" t="s">
        <v>85</v>
      </c>
      <c r="F2186" s="86" t="s">
        <v>288</v>
      </c>
      <c r="G2186" s="74" t="s">
        <v>289</v>
      </c>
      <c r="H2186" s="87">
        <v>44742</v>
      </c>
      <c r="I2186" s="94">
        <v>4887.87</v>
      </c>
      <c r="J2186" s="94">
        <v>3665.9</v>
      </c>
      <c r="K2186" s="94">
        <v>1221.97</v>
      </c>
    </row>
    <row r="2187" spans="1:11">
      <c r="A2187" s="74" t="s">
        <v>309</v>
      </c>
      <c r="B2187" s="74" t="s">
        <v>290</v>
      </c>
      <c r="C2187" s="74" t="s">
        <v>291</v>
      </c>
      <c r="D2187" s="74" t="s">
        <v>82</v>
      </c>
      <c r="E2187" s="88" t="s">
        <v>85</v>
      </c>
      <c r="F2187" s="86" t="s">
        <v>218</v>
      </c>
      <c r="G2187" s="74" t="s">
        <v>289</v>
      </c>
      <c r="H2187" s="87">
        <v>44742</v>
      </c>
      <c r="I2187" s="94">
        <v>4462.81</v>
      </c>
      <c r="J2187" s="94">
        <v>3347.11</v>
      </c>
      <c r="K2187" s="94">
        <v>1115.7</v>
      </c>
    </row>
    <row r="2188" spans="1:11">
      <c r="A2188" s="74" t="s">
        <v>309</v>
      </c>
      <c r="B2188" s="74" t="s">
        <v>292</v>
      </c>
      <c r="C2188" s="74" t="s">
        <v>293</v>
      </c>
      <c r="D2188" s="74" t="s">
        <v>82</v>
      </c>
      <c r="E2188" s="88" t="s">
        <v>85</v>
      </c>
      <c r="F2188" s="86" t="s">
        <v>225</v>
      </c>
      <c r="G2188" s="74" t="s">
        <v>289</v>
      </c>
      <c r="H2188" s="87">
        <v>44742</v>
      </c>
      <c r="I2188" s="94">
        <v>4068.69</v>
      </c>
      <c r="J2188" s="94">
        <v>3051.52</v>
      </c>
      <c r="K2188" s="94">
        <v>1017.17</v>
      </c>
    </row>
    <row r="2189" spans="1:11">
      <c r="A2189" s="74" t="s">
        <v>309</v>
      </c>
      <c r="B2189" s="74" t="s">
        <v>294</v>
      </c>
      <c r="C2189" s="74" t="s">
        <v>295</v>
      </c>
      <c r="D2189" s="74" t="s">
        <v>82</v>
      </c>
      <c r="E2189" s="88" t="s">
        <v>85</v>
      </c>
      <c r="F2189" s="86" t="s">
        <v>208</v>
      </c>
      <c r="G2189" s="74" t="s">
        <v>289</v>
      </c>
      <c r="H2189" s="87">
        <v>44742</v>
      </c>
      <c r="I2189" s="94">
        <v>3536.68</v>
      </c>
      <c r="J2189" s="94">
        <v>2652.51</v>
      </c>
      <c r="K2189" s="94">
        <v>884.17</v>
      </c>
    </row>
    <row r="2190" spans="1:11">
      <c r="A2190" s="74" t="s">
        <v>309</v>
      </c>
      <c r="B2190" s="74" t="s">
        <v>296</v>
      </c>
      <c r="C2190" s="74" t="s">
        <v>297</v>
      </c>
      <c r="D2190" s="74" t="s">
        <v>82</v>
      </c>
      <c r="E2190" s="88" t="s">
        <v>85</v>
      </c>
      <c r="F2190" s="86" t="s">
        <v>116</v>
      </c>
      <c r="G2190" s="74" t="s">
        <v>289</v>
      </c>
      <c r="H2190" s="87">
        <v>44742</v>
      </c>
      <c r="I2190" s="94">
        <v>3403.5</v>
      </c>
      <c r="J2190" s="94">
        <v>2552.63</v>
      </c>
      <c r="K2190" s="94">
        <v>850.87</v>
      </c>
    </row>
    <row r="2191" spans="1:11">
      <c r="A2191" s="74" t="s">
        <v>309</v>
      </c>
      <c r="B2191" s="74" t="s">
        <v>298</v>
      </c>
      <c r="C2191" s="74" t="s">
        <v>299</v>
      </c>
      <c r="D2191" s="74" t="s">
        <v>82</v>
      </c>
      <c r="E2191" s="88" t="s">
        <v>85</v>
      </c>
      <c r="F2191" s="86" t="s">
        <v>279</v>
      </c>
      <c r="G2191" s="74" t="s">
        <v>300</v>
      </c>
      <c r="H2191" s="87">
        <v>44742</v>
      </c>
      <c r="I2191" s="94">
        <v>5936.76</v>
      </c>
      <c r="J2191" s="94">
        <v>4452.57</v>
      </c>
      <c r="K2191" s="94">
        <v>1484.19</v>
      </c>
    </row>
    <row r="2192" spans="1:11">
      <c r="A2192" s="74" t="s">
        <v>309</v>
      </c>
      <c r="B2192" s="74" t="s">
        <v>301</v>
      </c>
      <c r="C2192" s="74" t="s">
        <v>302</v>
      </c>
      <c r="D2192" s="74" t="s">
        <v>82</v>
      </c>
      <c r="E2192" s="88" t="s">
        <v>85</v>
      </c>
      <c r="F2192" s="86" t="s">
        <v>279</v>
      </c>
      <c r="G2192" s="74" t="s">
        <v>303</v>
      </c>
      <c r="H2192" s="87">
        <v>44742</v>
      </c>
      <c r="I2192" s="94">
        <v>6140.76</v>
      </c>
      <c r="J2192" s="94">
        <v>4605.57</v>
      </c>
      <c r="K2192" s="94">
        <v>1535.19</v>
      </c>
    </row>
    <row r="2193" spans="1:11">
      <c r="A2193" s="74" t="s">
        <v>309</v>
      </c>
      <c r="B2193" s="74" t="s">
        <v>304</v>
      </c>
      <c r="C2193" s="74" t="s">
        <v>305</v>
      </c>
      <c r="D2193" s="74" t="s">
        <v>86</v>
      </c>
      <c r="E2193" s="74" t="s">
        <v>90</v>
      </c>
      <c r="F2193" s="86" t="s">
        <v>306</v>
      </c>
      <c r="G2193" s="74" t="s">
        <v>307</v>
      </c>
      <c r="H2193" s="87">
        <v>44742</v>
      </c>
      <c r="I2193" s="94">
        <v>6370.48</v>
      </c>
      <c r="J2193" s="94">
        <v>4777.86</v>
      </c>
      <c r="K2193" s="94">
        <v>1592.62</v>
      </c>
    </row>
    <row r="2194" spans="1:11">
      <c r="A2194" s="74" t="s">
        <v>309</v>
      </c>
      <c r="B2194" s="74" t="s">
        <v>114</v>
      </c>
      <c r="C2194" s="74" t="s">
        <v>115</v>
      </c>
      <c r="D2194" s="74" t="s">
        <v>79</v>
      </c>
      <c r="E2194" s="74" t="s">
        <v>80</v>
      </c>
      <c r="F2194" s="86" t="s">
        <v>116</v>
      </c>
      <c r="G2194" s="74" t="s">
        <v>117</v>
      </c>
      <c r="H2194" s="87">
        <v>44773</v>
      </c>
      <c r="I2194" s="94">
        <v>3129.64</v>
      </c>
      <c r="J2194" s="94">
        <v>2347.23</v>
      </c>
      <c r="K2194" s="94">
        <v>782.41</v>
      </c>
    </row>
    <row r="2195" spans="1:11">
      <c r="A2195" s="74" t="s">
        <v>309</v>
      </c>
      <c r="B2195" s="74" t="s">
        <v>118</v>
      </c>
      <c r="C2195" s="74" t="s">
        <v>119</v>
      </c>
      <c r="D2195" s="74" t="s">
        <v>79</v>
      </c>
      <c r="E2195" s="74" t="s">
        <v>80</v>
      </c>
      <c r="F2195" s="86" t="s">
        <v>120</v>
      </c>
      <c r="G2195" s="74" t="s">
        <v>117</v>
      </c>
      <c r="H2195" s="87">
        <v>44773</v>
      </c>
      <c r="I2195" s="94">
        <v>2937.57</v>
      </c>
      <c r="J2195" s="94">
        <v>2203.18</v>
      </c>
      <c r="K2195" s="94">
        <v>734.39</v>
      </c>
    </row>
    <row r="2196" spans="1:11">
      <c r="A2196" s="74" t="s">
        <v>309</v>
      </c>
      <c r="B2196" s="74" t="s">
        <v>121</v>
      </c>
      <c r="C2196" s="74" t="s">
        <v>122</v>
      </c>
      <c r="D2196" s="74" t="s">
        <v>79</v>
      </c>
      <c r="E2196" s="74" t="s">
        <v>80</v>
      </c>
      <c r="F2196" s="86" t="s">
        <v>123</v>
      </c>
      <c r="G2196" s="74" t="s">
        <v>117</v>
      </c>
      <c r="H2196" s="87">
        <v>44773</v>
      </c>
      <c r="I2196" s="94">
        <v>2522.5</v>
      </c>
      <c r="J2196" s="94">
        <v>1891.88</v>
      </c>
      <c r="K2196" s="94">
        <v>630.62</v>
      </c>
    </row>
    <row r="2197" spans="1:11">
      <c r="A2197" s="74" t="s">
        <v>309</v>
      </c>
      <c r="B2197" s="74" t="s">
        <v>124</v>
      </c>
      <c r="C2197" s="74" t="s">
        <v>125</v>
      </c>
      <c r="D2197" s="74" t="s">
        <v>79</v>
      </c>
      <c r="E2197" s="74" t="s">
        <v>80</v>
      </c>
      <c r="F2197" s="86" t="s">
        <v>116</v>
      </c>
      <c r="G2197" s="74" t="s">
        <v>117</v>
      </c>
      <c r="H2197" s="87">
        <v>44773</v>
      </c>
      <c r="I2197" s="94">
        <v>3390.22</v>
      </c>
      <c r="J2197" s="94">
        <v>2542.67</v>
      </c>
      <c r="K2197" s="94">
        <v>847.55</v>
      </c>
    </row>
    <row r="2198" spans="1:11">
      <c r="A2198" s="74" t="s">
        <v>309</v>
      </c>
      <c r="B2198" s="74" t="s">
        <v>126</v>
      </c>
      <c r="C2198" s="74" t="s">
        <v>127</v>
      </c>
      <c r="D2198" s="74" t="s">
        <v>79</v>
      </c>
      <c r="E2198" s="74" t="s">
        <v>80</v>
      </c>
      <c r="F2198" s="86" t="s">
        <v>120</v>
      </c>
      <c r="G2198" s="74" t="s">
        <v>117</v>
      </c>
      <c r="H2198" s="87">
        <v>44773</v>
      </c>
      <c r="I2198" s="94">
        <v>2766.28</v>
      </c>
      <c r="J2198" s="94">
        <v>2074.71</v>
      </c>
      <c r="K2198" s="94">
        <v>691.57</v>
      </c>
    </row>
    <row r="2199" spans="1:11">
      <c r="A2199" s="74" t="s">
        <v>309</v>
      </c>
      <c r="B2199" s="74" t="s">
        <v>128</v>
      </c>
      <c r="C2199" s="74" t="s">
        <v>129</v>
      </c>
      <c r="D2199" s="74" t="s">
        <v>79</v>
      </c>
      <c r="E2199" s="74" t="s">
        <v>80</v>
      </c>
      <c r="F2199" s="86" t="s">
        <v>123</v>
      </c>
      <c r="G2199" s="74" t="s">
        <v>117</v>
      </c>
      <c r="H2199" s="87">
        <v>44773</v>
      </c>
      <c r="I2199" s="94">
        <v>2499.76</v>
      </c>
      <c r="J2199" s="94">
        <v>1874.82</v>
      </c>
      <c r="K2199" s="94">
        <v>624.94</v>
      </c>
    </row>
    <row r="2200" spans="1:11">
      <c r="A2200" s="74" t="s">
        <v>309</v>
      </c>
      <c r="B2200" s="74" t="s">
        <v>130</v>
      </c>
      <c r="C2200" s="74" t="s">
        <v>131</v>
      </c>
      <c r="D2200" s="74" t="s">
        <v>79</v>
      </c>
      <c r="E2200" s="74" t="s">
        <v>80</v>
      </c>
      <c r="F2200" s="86" t="s">
        <v>116</v>
      </c>
      <c r="G2200" s="74" t="s">
        <v>117</v>
      </c>
      <c r="H2200" s="87">
        <v>44773</v>
      </c>
      <c r="I2200" s="94">
        <v>3362.45</v>
      </c>
      <c r="J2200" s="94">
        <v>2521.84</v>
      </c>
      <c r="K2200" s="94">
        <v>840.61</v>
      </c>
    </row>
    <row r="2201" spans="1:11">
      <c r="A2201" s="74" t="s">
        <v>309</v>
      </c>
      <c r="B2201" s="74" t="s">
        <v>132</v>
      </c>
      <c r="C2201" s="74" t="s">
        <v>133</v>
      </c>
      <c r="D2201" s="74" t="s">
        <v>79</v>
      </c>
      <c r="E2201" s="74" t="s">
        <v>80</v>
      </c>
      <c r="F2201" s="86" t="s">
        <v>120</v>
      </c>
      <c r="G2201" s="74" t="s">
        <v>117</v>
      </c>
      <c r="H2201" s="87">
        <v>44773</v>
      </c>
      <c r="I2201" s="94">
        <v>2847.98</v>
      </c>
      <c r="J2201" s="94">
        <v>2135.99</v>
      </c>
      <c r="K2201" s="94">
        <v>711.99</v>
      </c>
    </row>
    <row r="2202" spans="1:11">
      <c r="A2202" s="74" t="s">
        <v>309</v>
      </c>
      <c r="B2202" s="74" t="s">
        <v>134</v>
      </c>
      <c r="C2202" s="74" t="s">
        <v>135</v>
      </c>
      <c r="D2202" s="74" t="s">
        <v>79</v>
      </c>
      <c r="E2202" s="74" t="s">
        <v>80</v>
      </c>
      <c r="F2202" s="86" t="s">
        <v>123</v>
      </c>
      <c r="G2202" s="74" t="s">
        <v>117</v>
      </c>
      <c r="H2202" s="87">
        <v>44773</v>
      </c>
      <c r="I2202" s="94">
        <v>2496.17</v>
      </c>
      <c r="J2202" s="94">
        <v>1872.13</v>
      </c>
      <c r="K2202" s="94">
        <v>624.04</v>
      </c>
    </row>
    <row r="2203" spans="1:11">
      <c r="A2203" s="74" t="s">
        <v>309</v>
      </c>
      <c r="B2203" s="74" t="s">
        <v>136</v>
      </c>
      <c r="C2203" s="74" t="s">
        <v>137</v>
      </c>
      <c r="D2203" s="74" t="s">
        <v>79</v>
      </c>
      <c r="E2203" s="74" t="s">
        <v>80</v>
      </c>
      <c r="F2203" s="86" t="s">
        <v>116</v>
      </c>
      <c r="G2203" s="74" t="s">
        <v>138</v>
      </c>
      <c r="H2203" s="87">
        <v>44773</v>
      </c>
      <c r="I2203" s="94">
        <v>3166.13</v>
      </c>
      <c r="J2203" s="94">
        <v>2374.6</v>
      </c>
      <c r="K2203" s="94">
        <v>791.53</v>
      </c>
    </row>
    <row r="2204" spans="1:11">
      <c r="A2204" s="74" t="s">
        <v>309</v>
      </c>
      <c r="B2204" s="74" t="s">
        <v>139</v>
      </c>
      <c r="C2204" s="74" t="s">
        <v>140</v>
      </c>
      <c r="D2204" s="74" t="s">
        <v>79</v>
      </c>
      <c r="E2204" s="74" t="s">
        <v>80</v>
      </c>
      <c r="F2204" s="86" t="s">
        <v>120</v>
      </c>
      <c r="G2204" s="74" t="s">
        <v>138</v>
      </c>
      <c r="H2204" s="87">
        <v>44773</v>
      </c>
      <c r="I2204" s="94">
        <v>2779.99</v>
      </c>
      <c r="J2204" s="94">
        <v>2084.99</v>
      </c>
      <c r="K2204" s="94">
        <v>695</v>
      </c>
    </row>
    <row r="2205" spans="1:11">
      <c r="A2205" s="74" t="s">
        <v>309</v>
      </c>
      <c r="B2205" s="74" t="s">
        <v>141</v>
      </c>
      <c r="C2205" s="74" t="s">
        <v>142</v>
      </c>
      <c r="D2205" s="74" t="s">
        <v>79</v>
      </c>
      <c r="E2205" s="74" t="s">
        <v>80</v>
      </c>
      <c r="F2205" s="86" t="s">
        <v>123</v>
      </c>
      <c r="G2205" s="74" t="s">
        <v>138</v>
      </c>
      <c r="H2205" s="87">
        <v>44773</v>
      </c>
      <c r="I2205" s="94">
        <v>2461.09</v>
      </c>
      <c r="J2205" s="94">
        <v>1845.82</v>
      </c>
      <c r="K2205" s="94">
        <v>615.27</v>
      </c>
    </row>
    <row r="2206" spans="1:11">
      <c r="A2206" s="74" t="s">
        <v>309</v>
      </c>
      <c r="B2206" s="74" t="s">
        <v>143</v>
      </c>
      <c r="C2206" s="74" t="s">
        <v>144</v>
      </c>
      <c r="D2206" s="74" t="s">
        <v>79</v>
      </c>
      <c r="E2206" s="74" t="s">
        <v>80</v>
      </c>
      <c r="F2206" s="86" t="s">
        <v>145</v>
      </c>
      <c r="G2206" s="74" t="s">
        <v>146</v>
      </c>
      <c r="H2206" s="87">
        <v>44773</v>
      </c>
      <c r="I2206" s="94">
        <v>7653.91</v>
      </c>
      <c r="J2206" s="94">
        <v>5740.43</v>
      </c>
      <c r="K2206" s="94">
        <v>1913.48</v>
      </c>
    </row>
    <row r="2207" spans="1:11">
      <c r="A2207" s="74" t="s">
        <v>309</v>
      </c>
      <c r="B2207" s="74" t="s">
        <v>147</v>
      </c>
      <c r="C2207" s="74" t="s">
        <v>148</v>
      </c>
      <c r="D2207" s="74" t="s">
        <v>79</v>
      </c>
      <c r="E2207" s="74" t="s">
        <v>80</v>
      </c>
      <c r="F2207" s="86" t="s">
        <v>149</v>
      </c>
      <c r="G2207" s="74" t="s">
        <v>150</v>
      </c>
      <c r="H2207" s="87">
        <v>44773</v>
      </c>
      <c r="I2207" s="94">
        <v>6955.7</v>
      </c>
      <c r="J2207" s="94">
        <v>5216.78</v>
      </c>
      <c r="K2207" s="94">
        <v>1738.92</v>
      </c>
    </row>
    <row r="2208" spans="1:11">
      <c r="A2208" s="74" t="s">
        <v>309</v>
      </c>
      <c r="B2208" s="74" t="s">
        <v>151</v>
      </c>
      <c r="C2208" s="74" t="s">
        <v>152</v>
      </c>
      <c r="D2208" s="74" t="s">
        <v>79</v>
      </c>
      <c r="E2208" s="74" t="s">
        <v>81</v>
      </c>
      <c r="F2208" s="86" t="s">
        <v>123</v>
      </c>
      <c r="G2208" s="74" t="s">
        <v>153</v>
      </c>
      <c r="H2208" s="87">
        <v>44773</v>
      </c>
      <c r="I2208" s="94">
        <v>2452.18</v>
      </c>
      <c r="J2208" s="94">
        <v>1839.14</v>
      </c>
      <c r="K2208" s="94">
        <v>613.04</v>
      </c>
    </row>
    <row r="2209" spans="1:11">
      <c r="A2209" s="74" t="s">
        <v>309</v>
      </c>
      <c r="B2209" s="74" t="s">
        <v>154</v>
      </c>
      <c r="C2209" s="74" t="s">
        <v>155</v>
      </c>
      <c r="D2209" s="74" t="s">
        <v>79</v>
      </c>
      <c r="E2209" s="74" t="s">
        <v>81</v>
      </c>
      <c r="F2209" s="86" t="s">
        <v>156</v>
      </c>
      <c r="G2209" s="74" t="s">
        <v>157</v>
      </c>
      <c r="H2209" s="87">
        <v>44773</v>
      </c>
      <c r="I2209" s="94">
        <v>1973.79</v>
      </c>
      <c r="J2209" s="94">
        <v>1480.34</v>
      </c>
      <c r="K2209" s="94">
        <v>493.45</v>
      </c>
    </row>
    <row r="2210" spans="1:11">
      <c r="A2210" s="74" t="s">
        <v>309</v>
      </c>
      <c r="B2210" s="74" t="s">
        <v>158</v>
      </c>
      <c r="C2210" s="74" t="s">
        <v>159</v>
      </c>
      <c r="D2210" s="74" t="s">
        <v>79</v>
      </c>
      <c r="E2210" s="74" t="s">
        <v>81</v>
      </c>
      <c r="F2210" s="86" t="s">
        <v>160</v>
      </c>
      <c r="G2210" s="74" t="s">
        <v>161</v>
      </c>
      <c r="H2210" s="87">
        <v>44773</v>
      </c>
      <c r="I2210" s="94">
        <v>1674.01</v>
      </c>
      <c r="J2210" s="94">
        <v>1255.51</v>
      </c>
      <c r="K2210" s="94">
        <v>418.5</v>
      </c>
    </row>
    <row r="2211" spans="1:11">
      <c r="A2211" s="74" t="s">
        <v>309</v>
      </c>
      <c r="B2211" s="74" t="s">
        <v>162</v>
      </c>
      <c r="C2211" s="74" t="s">
        <v>163</v>
      </c>
      <c r="D2211" s="74" t="s">
        <v>79</v>
      </c>
      <c r="E2211" s="74" t="s">
        <v>81</v>
      </c>
      <c r="F2211" s="86" t="s">
        <v>123</v>
      </c>
      <c r="G2211" s="74" t="s">
        <v>153</v>
      </c>
      <c r="H2211" s="87">
        <v>44773</v>
      </c>
      <c r="I2211" s="94">
        <v>2491.05</v>
      </c>
      <c r="J2211" s="94">
        <v>1868.29</v>
      </c>
      <c r="K2211" s="94">
        <v>622.76</v>
      </c>
    </row>
    <row r="2212" spans="1:11">
      <c r="A2212" s="74" t="s">
        <v>309</v>
      </c>
      <c r="B2212" s="74" t="s">
        <v>164</v>
      </c>
      <c r="C2212" s="74" t="s">
        <v>165</v>
      </c>
      <c r="D2212" s="74" t="s">
        <v>79</v>
      </c>
      <c r="E2212" s="74" t="s">
        <v>81</v>
      </c>
      <c r="F2212" s="86" t="s">
        <v>156</v>
      </c>
      <c r="G2212" s="74" t="s">
        <v>157</v>
      </c>
      <c r="H2212" s="87">
        <v>44773</v>
      </c>
      <c r="I2212" s="94">
        <v>2102.3</v>
      </c>
      <c r="J2212" s="94">
        <v>1576.73</v>
      </c>
      <c r="K2212" s="94">
        <v>525.57</v>
      </c>
    </row>
    <row r="2213" spans="1:11">
      <c r="A2213" s="74" t="s">
        <v>309</v>
      </c>
      <c r="B2213" s="74" t="s">
        <v>166</v>
      </c>
      <c r="C2213" s="74" t="s">
        <v>167</v>
      </c>
      <c r="D2213" s="74" t="s">
        <v>79</v>
      </c>
      <c r="E2213" s="74" t="s">
        <v>81</v>
      </c>
      <c r="F2213" s="86" t="s">
        <v>160</v>
      </c>
      <c r="G2213" s="74" t="s">
        <v>161</v>
      </c>
      <c r="H2213" s="87">
        <v>44773</v>
      </c>
      <c r="I2213" s="94">
        <v>1673.36</v>
      </c>
      <c r="J2213" s="94">
        <v>1255.02</v>
      </c>
      <c r="K2213" s="94">
        <v>418.34</v>
      </c>
    </row>
    <row r="2214" spans="1:11">
      <c r="A2214" s="74" t="s">
        <v>309</v>
      </c>
      <c r="B2214" s="74" t="s">
        <v>168</v>
      </c>
      <c r="C2214" s="74" t="s">
        <v>169</v>
      </c>
      <c r="D2214" s="74" t="s">
        <v>79</v>
      </c>
      <c r="E2214" s="74" t="s">
        <v>81</v>
      </c>
      <c r="F2214" s="86" t="s">
        <v>123</v>
      </c>
      <c r="G2214" s="74" t="s">
        <v>153</v>
      </c>
      <c r="H2214" s="87">
        <v>44773</v>
      </c>
      <c r="I2214" s="94">
        <v>2396.52</v>
      </c>
      <c r="J2214" s="94">
        <v>1797.39</v>
      </c>
      <c r="K2214" s="94">
        <v>599.13</v>
      </c>
    </row>
    <row r="2215" spans="1:11">
      <c r="A2215" s="74" t="s">
        <v>309</v>
      </c>
      <c r="B2215" s="74" t="s">
        <v>170</v>
      </c>
      <c r="C2215" s="74" t="s">
        <v>171</v>
      </c>
      <c r="D2215" s="74" t="s">
        <v>79</v>
      </c>
      <c r="E2215" s="74" t="s">
        <v>81</v>
      </c>
      <c r="F2215" s="86" t="s">
        <v>156</v>
      </c>
      <c r="G2215" s="74" t="s">
        <v>157</v>
      </c>
      <c r="H2215" s="87">
        <v>44773</v>
      </c>
      <c r="I2215" s="94">
        <v>2072.07</v>
      </c>
      <c r="J2215" s="94">
        <v>1554.05</v>
      </c>
      <c r="K2215" s="94">
        <v>518.02</v>
      </c>
    </row>
    <row r="2216" spans="1:11">
      <c r="A2216" s="74" t="s">
        <v>309</v>
      </c>
      <c r="B2216" s="74" t="s">
        <v>172</v>
      </c>
      <c r="C2216" s="74" t="s">
        <v>173</v>
      </c>
      <c r="D2216" s="74" t="s">
        <v>79</v>
      </c>
      <c r="E2216" s="74" t="s">
        <v>81</v>
      </c>
      <c r="F2216" s="86" t="s">
        <v>160</v>
      </c>
      <c r="G2216" s="74" t="s">
        <v>161</v>
      </c>
      <c r="H2216" s="87">
        <v>44773</v>
      </c>
      <c r="I2216" s="94">
        <v>1699.3</v>
      </c>
      <c r="J2216" s="94">
        <v>1274.48</v>
      </c>
      <c r="K2216" s="94">
        <v>424.82</v>
      </c>
    </row>
    <row r="2217" spans="1:11">
      <c r="A2217" s="74" t="s">
        <v>309</v>
      </c>
      <c r="B2217" s="74" t="s">
        <v>174</v>
      </c>
      <c r="C2217" s="74" t="s">
        <v>175</v>
      </c>
      <c r="D2217" s="74" t="s">
        <v>79</v>
      </c>
      <c r="E2217" s="74" t="s">
        <v>81</v>
      </c>
      <c r="F2217" s="86" t="s">
        <v>176</v>
      </c>
      <c r="G2217" s="74" t="s">
        <v>177</v>
      </c>
      <c r="H2217" s="87">
        <v>44773</v>
      </c>
      <c r="I2217" s="94">
        <v>1204</v>
      </c>
      <c r="J2217" s="94">
        <v>903</v>
      </c>
      <c r="K2217" s="94">
        <v>301</v>
      </c>
    </row>
    <row r="2218" spans="1:11">
      <c r="A2218" s="74" t="s">
        <v>309</v>
      </c>
      <c r="B2218" s="74" t="s">
        <v>178</v>
      </c>
      <c r="C2218" s="74" t="s">
        <v>179</v>
      </c>
      <c r="D2218" s="74" t="s">
        <v>79</v>
      </c>
      <c r="E2218" s="74" t="s">
        <v>81</v>
      </c>
      <c r="F2218" s="86" t="s">
        <v>180</v>
      </c>
      <c r="G2218" s="74" t="s">
        <v>177</v>
      </c>
      <c r="H2218" s="87">
        <v>44773</v>
      </c>
      <c r="I2218" s="94">
        <v>812.96</v>
      </c>
      <c r="J2218" s="94">
        <v>609.72</v>
      </c>
      <c r="K2218" s="94">
        <v>203.24</v>
      </c>
    </row>
    <row r="2219" spans="1:11">
      <c r="A2219" s="74" t="s">
        <v>309</v>
      </c>
      <c r="B2219" s="74" t="s">
        <v>181</v>
      </c>
      <c r="C2219" s="74" t="s">
        <v>182</v>
      </c>
      <c r="D2219" s="74" t="s">
        <v>79</v>
      </c>
      <c r="E2219" s="74" t="s">
        <v>81</v>
      </c>
      <c r="F2219" s="86" t="s">
        <v>183</v>
      </c>
      <c r="G2219" s="74" t="s">
        <v>177</v>
      </c>
      <c r="H2219" s="87">
        <v>44773</v>
      </c>
      <c r="I2219" s="94">
        <v>413.68</v>
      </c>
      <c r="J2219" s="94">
        <v>310.26</v>
      </c>
      <c r="K2219" s="94">
        <v>103.42</v>
      </c>
    </row>
    <row r="2220" spans="1:11">
      <c r="A2220" s="74" t="s">
        <v>309</v>
      </c>
      <c r="B2220" s="74" t="s">
        <v>184</v>
      </c>
      <c r="C2220" s="74" t="s">
        <v>185</v>
      </c>
      <c r="D2220" s="74" t="s">
        <v>79</v>
      </c>
      <c r="E2220" s="74" t="s">
        <v>81</v>
      </c>
      <c r="F2220" s="86" t="s">
        <v>176</v>
      </c>
      <c r="G2220" s="74" t="s">
        <v>177</v>
      </c>
      <c r="H2220" s="87">
        <v>44773</v>
      </c>
      <c r="I2220" s="94">
        <v>1218.95</v>
      </c>
      <c r="J2220" s="94">
        <v>914.21</v>
      </c>
      <c r="K2220" s="94">
        <v>304.74</v>
      </c>
    </row>
    <row r="2221" spans="1:11">
      <c r="A2221" s="74" t="s">
        <v>309</v>
      </c>
      <c r="B2221" s="74" t="s">
        <v>186</v>
      </c>
      <c r="C2221" s="74" t="s">
        <v>187</v>
      </c>
      <c r="D2221" s="74" t="s">
        <v>79</v>
      </c>
      <c r="E2221" s="74" t="s">
        <v>81</v>
      </c>
      <c r="F2221" s="86" t="s">
        <v>180</v>
      </c>
      <c r="G2221" s="74" t="s">
        <v>177</v>
      </c>
      <c r="H2221" s="87">
        <v>44773</v>
      </c>
      <c r="I2221" s="94">
        <v>790.53</v>
      </c>
      <c r="J2221" s="94">
        <v>592.9</v>
      </c>
      <c r="K2221" s="94">
        <v>197.63</v>
      </c>
    </row>
    <row r="2222" spans="1:11">
      <c r="A2222" s="74" t="s">
        <v>309</v>
      </c>
      <c r="B2222" s="74" t="s">
        <v>188</v>
      </c>
      <c r="C2222" s="74" t="s">
        <v>189</v>
      </c>
      <c r="D2222" s="74" t="s">
        <v>79</v>
      </c>
      <c r="E2222" s="74" t="s">
        <v>81</v>
      </c>
      <c r="F2222" s="86" t="s">
        <v>183</v>
      </c>
      <c r="G2222" s="74" t="s">
        <v>177</v>
      </c>
      <c r="H2222" s="87">
        <v>44773</v>
      </c>
      <c r="I2222" s="94">
        <v>420.58</v>
      </c>
      <c r="J2222" s="94">
        <v>315.44</v>
      </c>
      <c r="K2222" s="94">
        <v>105.14</v>
      </c>
    </row>
    <row r="2223" spans="1:11">
      <c r="A2223" s="74" t="s">
        <v>309</v>
      </c>
      <c r="B2223" s="74" t="s">
        <v>190</v>
      </c>
      <c r="C2223" s="74" t="s">
        <v>191</v>
      </c>
      <c r="D2223" s="74" t="s">
        <v>79</v>
      </c>
      <c r="E2223" s="74" t="s">
        <v>81</v>
      </c>
      <c r="F2223" s="86" t="s">
        <v>176</v>
      </c>
      <c r="G2223" s="74" t="s">
        <v>177</v>
      </c>
      <c r="H2223" s="87">
        <v>44773</v>
      </c>
      <c r="I2223" s="94">
        <v>1245.57</v>
      </c>
      <c r="J2223" s="94">
        <v>934.18</v>
      </c>
      <c r="K2223" s="94">
        <v>311.39</v>
      </c>
    </row>
    <row r="2224" spans="1:11">
      <c r="A2224" s="74" t="s">
        <v>309</v>
      </c>
      <c r="B2224" s="74" t="s">
        <v>192</v>
      </c>
      <c r="C2224" s="74" t="s">
        <v>193</v>
      </c>
      <c r="D2224" s="74" t="s">
        <v>79</v>
      </c>
      <c r="E2224" s="74" t="s">
        <v>81</v>
      </c>
      <c r="F2224" s="86" t="s">
        <v>180</v>
      </c>
      <c r="G2224" s="74" t="s">
        <v>177</v>
      </c>
      <c r="H2224" s="87">
        <v>44773</v>
      </c>
      <c r="I2224" s="94">
        <v>819.91</v>
      </c>
      <c r="J2224" s="94">
        <v>614.93</v>
      </c>
      <c r="K2224" s="94">
        <v>204.98</v>
      </c>
    </row>
    <row r="2225" spans="1:11">
      <c r="A2225" s="74" t="s">
        <v>309</v>
      </c>
      <c r="B2225" s="74" t="s">
        <v>194</v>
      </c>
      <c r="C2225" s="74" t="s">
        <v>195</v>
      </c>
      <c r="D2225" s="74" t="s">
        <v>79</v>
      </c>
      <c r="E2225" s="74" t="s">
        <v>81</v>
      </c>
      <c r="F2225" s="86" t="s">
        <v>183</v>
      </c>
      <c r="G2225" s="74" t="s">
        <v>177</v>
      </c>
      <c r="H2225" s="87">
        <v>44773</v>
      </c>
      <c r="I2225" s="94">
        <v>427.06</v>
      </c>
      <c r="J2225" s="94">
        <v>320.3</v>
      </c>
      <c r="K2225" s="94">
        <v>106.76</v>
      </c>
    </row>
    <row r="2226" spans="1:11">
      <c r="A2226" s="74" t="s">
        <v>309</v>
      </c>
      <c r="B2226" s="74" t="s">
        <v>196</v>
      </c>
      <c r="C2226" s="74" t="s">
        <v>197</v>
      </c>
      <c r="D2226" s="74" t="s">
        <v>79</v>
      </c>
      <c r="E2226" s="74" t="s">
        <v>81</v>
      </c>
      <c r="F2226" s="86" t="s">
        <v>176</v>
      </c>
      <c r="G2226" s="74" t="s">
        <v>177</v>
      </c>
      <c r="H2226" s="87">
        <v>44773</v>
      </c>
      <c r="I2226" s="94">
        <v>1197.97</v>
      </c>
      <c r="J2226" s="94">
        <v>898.48</v>
      </c>
      <c r="K2226" s="94">
        <v>299.49</v>
      </c>
    </row>
    <row r="2227" spans="1:11">
      <c r="A2227" s="74" t="s">
        <v>309</v>
      </c>
      <c r="B2227" s="74" t="s">
        <v>198</v>
      </c>
      <c r="C2227" s="74" t="s">
        <v>199</v>
      </c>
      <c r="D2227" s="74" t="s">
        <v>79</v>
      </c>
      <c r="E2227" s="74" t="s">
        <v>81</v>
      </c>
      <c r="F2227" s="86" t="s">
        <v>180</v>
      </c>
      <c r="G2227" s="74" t="s">
        <v>177</v>
      </c>
      <c r="H2227" s="87">
        <v>44773</v>
      </c>
      <c r="I2227" s="94">
        <v>780.61</v>
      </c>
      <c r="J2227" s="94">
        <v>585.46</v>
      </c>
      <c r="K2227" s="94">
        <v>195.15</v>
      </c>
    </row>
    <row r="2228" spans="1:11">
      <c r="A2228" s="74" t="s">
        <v>309</v>
      </c>
      <c r="B2228" s="74" t="s">
        <v>200</v>
      </c>
      <c r="C2228" s="74" t="s">
        <v>201</v>
      </c>
      <c r="D2228" s="74" t="s">
        <v>79</v>
      </c>
      <c r="E2228" s="74" t="s">
        <v>81</v>
      </c>
      <c r="F2228" s="86" t="s">
        <v>183</v>
      </c>
      <c r="G2228" s="74" t="s">
        <v>177</v>
      </c>
      <c r="H2228" s="87">
        <v>44773</v>
      </c>
      <c r="I2228" s="94">
        <v>398.11</v>
      </c>
      <c r="J2228" s="94">
        <v>298.58</v>
      </c>
      <c r="K2228" s="94">
        <v>99.53</v>
      </c>
    </row>
    <row r="2229" spans="1:11">
      <c r="A2229" s="74" t="s">
        <v>309</v>
      </c>
      <c r="B2229" s="74" t="s">
        <v>202</v>
      </c>
      <c r="C2229" s="74" t="s">
        <v>203</v>
      </c>
      <c r="D2229" s="74" t="s">
        <v>79</v>
      </c>
      <c r="E2229" s="74" t="s">
        <v>81</v>
      </c>
      <c r="F2229" s="86" t="s">
        <v>204</v>
      </c>
      <c r="G2229" s="74" t="s">
        <v>205</v>
      </c>
      <c r="H2229" s="87">
        <v>44773</v>
      </c>
      <c r="I2229" s="94">
        <v>7615.64</v>
      </c>
      <c r="J2229" s="94">
        <v>5711.73</v>
      </c>
      <c r="K2229" s="94">
        <v>1903.91</v>
      </c>
    </row>
    <row r="2230" spans="1:11">
      <c r="A2230" s="74" t="s">
        <v>309</v>
      </c>
      <c r="B2230" s="74" t="s">
        <v>206</v>
      </c>
      <c r="C2230" s="74" t="s">
        <v>207</v>
      </c>
      <c r="D2230" s="88" t="s">
        <v>82</v>
      </c>
      <c r="E2230" s="88" t="s">
        <v>84</v>
      </c>
      <c r="F2230" s="86" t="s">
        <v>208</v>
      </c>
      <c r="G2230" s="74" t="s">
        <v>209</v>
      </c>
      <c r="H2230" s="87">
        <v>44773</v>
      </c>
      <c r="I2230" s="94">
        <v>3648.65</v>
      </c>
      <c r="J2230" s="94">
        <v>2736.49</v>
      </c>
      <c r="K2230" s="94">
        <v>912.16</v>
      </c>
    </row>
    <row r="2231" spans="1:11">
      <c r="A2231" s="74" t="s">
        <v>309</v>
      </c>
      <c r="B2231" s="74" t="s">
        <v>210</v>
      </c>
      <c r="C2231" s="74" t="s">
        <v>211</v>
      </c>
      <c r="D2231" s="88" t="s">
        <v>82</v>
      </c>
      <c r="E2231" s="88" t="s">
        <v>84</v>
      </c>
      <c r="F2231" s="86" t="s">
        <v>116</v>
      </c>
      <c r="G2231" s="74" t="s">
        <v>209</v>
      </c>
      <c r="H2231" s="87">
        <v>44773</v>
      </c>
      <c r="I2231" s="94">
        <v>3196.1</v>
      </c>
      <c r="J2231" s="94">
        <v>2397.08</v>
      </c>
      <c r="K2231" s="94">
        <v>799.02</v>
      </c>
    </row>
    <row r="2232" spans="1:11">
      <c r="A2232" s="74" t="s">
        <v>309</v>
      </c>
      <c r="B2232" s="74" t="s">
        <v>212</v>
      </c>
      <c r="C2232" s="74" t="s">
        <v>213</v>
      </c>
      <c r="D2232" s="88" t="s">
        <v>82</v>
      </c>
      <c r="E2232" s="88" t="s">
        <v>84</v>
      </c>
      <c r="F2232" s="86" t="s">
        <v>208</v>
      </c>
      <c r="G2232" s="74" t="s">
        <v>209</v>
      </c>
      <c r="H2232" s="87">
        <v>44773</v>
      </c>
      <c r="I2232" s="94">
        <v>3522.72</v>
      </c>
      <c r="J2232" s="94">
        <v>2642.04</v>
      </c>
      <c r="K2232" s="94">
        <v>880.68</v>
      </c>
    </row>
    <row r="2233" spans="1:11">
      <c r="A2233" s="74" t="s">
        <v>309</v>
      </c>
      <c r="B2233" s="74" t="s">
        <v>214</v>
      </c>
      <c r="C2233" s="74" t="s">
        <v>215</v>
      </c>
      <c r="D2233" s="88" t="s">
        <v>82</v>
      </c>
      <c r="E2233" s="88" t="s">
        <v>84</v>
      </c>
      <c r="F2233" s="86" t="s">
        <v>116</v>
      </c>
      <c r="G2233" s="74" t="s">
        <v>209</v>
      </c>
      <c r="H2233" s="87">
        <v>44773</v>
      </c>
      <c r="I2233" s="94">
        <v>3269.66</v>
      </c>
      <c r="J2233" s="94">
        <v>2452.25</v>
      </c>
      <c r="K2233" s="94">
        <v>817.41</v>
      </c>
    </row>
    <row r="2234" spans="1:11">
      <c r="A2234" s="74" t="s">
        <v>309</v>
      </c>
      <c r="B2234" s="74" t="s">
        <v>216</v>
      </c>
      <c r="C2234" s="74" t="s">
        <v>217</v>
      </c>
      <c r="D2234" s="88" t="s">
        <v>82</v>
      </c>
      <c r="E2234" s="88" t="s">
        <v>84</v>
      </c>
      <c r="F2234" s="86" t="s">
        <v>218</v>
      </c>
      <c r="G2234" s="74" t="s">
        <v>219</v>
      </c>
      <c r="H2234" s="87">
        <v>44773</v>
      </c>
      <c r="I2234" s="94">
        <v>4627.97</v>
      </c>
      <c r="J2234" s="94">
        <v>3470.98</v>
      </c>
      <c r="K2234" s="94">
        <v>1156.99</v>
      </c>
    </row>
    <row r="2235" spans="1:11">
      <c r="A2235" s="74" t="s">
        <v>309</v>
      </c>
      <c r="B2235" s="74" t="s">
        <v>220</v>
      </c>
      <c r="C2235" s="74" t="s">
        <v>221</v>
      </c>
      <c r="D2235" s="88" t="s">
        <v>82</v>
      </c>
      <c r="E2235" s="74" t="s">
        <v>83</v>
      </c>
      <c r="F2235" s="86" t="s">
        <v>218</v>
      </c>
      <c r="G2235" s="74" t="s">
        <v>222</v>
      </c>
      <c r="H2235" s="87">
        <v>44773</v>
      </c>
      <c r="I2235" s="94">
        <v>4450.77</v>
      </c>
      <c r="J2235" s="94">
        <v>3338.08</v>
      </c>
      <c r="K2235" s="94">
        <v>1112.69</v>
      </c>
    </row>
    <row r="2236" spans="1:11">
      <c r="A2236" s="74" t="s">
        <v>309</v>
      </c>
      <c r="B2236" s="74" t="s">
        <v>223</v>
      </c>
      <c r="C2236" s="74" t="s">
        <v>224</v>
      </c>
      <c r="D2236" s="88" t="s">
        <v>82</v>
      </c>
      <c r="E2236" s="74" t="s">
        <v>83</v>
      </c>
      <c r="F2236" s="86" t="s">
        <v>225</v>
      </c>
      <c r="G2236" s="74" t="s">
        <v>209</v>
      </c>
      <c r="H2236" s="87">
        <v>44773</v>
      </c>
      <c r="I2236" s="94">
        <v>4254.14</v>
      </c>
      <c r="J2236" s="94">
        <v>3190.61</v>
      </c>
      <c r="K2236" s="94">
        <v>1063.53</v>
      </c>
    </row>
    <row r="2237" spans="1:11">
      <c r="A2237" s="74" t="s">
        <v>309</v>
      </c>
      <c r="B2237" s="74" t="s">
        <v>226</v>
      </c>
      <c r="C2237" s="74" t="s">
        <v>227</v>
      </c>
      <c r="D2237" s="88" t="s">
        <v>82</v>
      </c>
      <c r="E2237" s="74" t="s">
        <v>83</v>
      </c>
      <c r="F2237" s="86" t="s">
        <v>208</v>
      </c>
      <c r="G2237" s="74" t="s">
        <v>209</v>
      </c>
      <c r="H2237" s="87">
        <v>44773</v>
      </c>
      <c r="I2237" s="94">
        <v>3803.24</v>
      </c>
      <c r="J2237" s="94">
        <v>2852.43</v>
      </c>
      <c r="K2237" s="94">
        <v>950.81</v>
      </c>
    </row>
    <row r="2238" spans="1:11">
      <c r="A2238" s="74" t="s">
        <v>309</v>
      </c>
      <c r="B2238" s="74" t="s">
        <v>228</v>
      </c>
      <c r="C2238" s="74" t="s">
        <v>229</v>
      </c>
      <c r="D2238" s="88" t="s">
        <v>82</v>
      </c>
      <c r="E2238" s="74" t="s">
        <v>83</v>
      </c>
      <c r="F2238" s="86" t="s">
        <v>116</v>
      </c>
      <c r="G2238" s="74" t="s">
        <v>209</v>
      </c>
      <c r="H2238" s="87">
        <v>44773</v>
      </c>
      <c r="I2238" s="94">
        <v>3130.51</v>
      </c>
      <c r="J2238" s="94">
        <v>2347.88</v>
      </c>
      <c r="K2238" s="94">
        <v>782.63</v>
      </c>
    </row>
    <row r="2239" spans="1:11">
      <c r="A2239" s="74" t="s">
        <v>309</v>
      </c>
      <c r="B2239" s="74" t="s">
        <v>230</v>
      </c>
      <c r="C2239" s="74" t="s">
        <v>231</v>
      </c>
      <c r="D2239" s="88" t="s">
        <v>82</v>
      </c>
      <c r="E2239" s="74" t="s">
        <v>83</v>
      </c>
      <c r="F2239" s="86" t="s">
        <v>120</v>
      </c>
      <c r="G2239" s="74" t="s">
        <v>209</v>
      </c>
      <c r="H2239" s="87">
        <v>44773</v>
      </c>
      <c r="I2239" s="94">
        <v>2947.14</v>
      </c>
      <c r="J2239" s="94">
        <v>2210.36</v>
      </c>
      <c r="K2239" s="94">
        <v>736.78</v>
      </c>
    </row>
    <row r="2240" spans="1:11">
      <c r="A2240" s="74" t="s">
        <v>309</v>
      </c>
      <c r="B2240" s="74" t="s">
        <v>232</v>
      </c>
      <c r="C2240" s="74" t="s">
        <v>233</v>
      </c>
      <c r="D2240" s="88" t="s">
        <v>82</v>
      </c>
      <c r="E2240" s="74" t="s">
        <v>83</v>
      </c>
      <c r="F2240" s="86" t="s">
        <v>123</v>
      </c>
      <c r="G2240" s="74" t="s">
        <v>209</v>
      </c>
      <c r="H2240" s="87">
        <v>44773</v>
      </c>
      <c r="I2240" s="94">
        <v>2424.74</v>
      </c>
      <c r="J2240" s="94">
        <v>1818.56</v>
      </c>
      <c r="K2240" s="94">
        <v>606.18</v>
      </c>
    </row>
    <row r="2241" spans="1:11">
      <c r="A2241" s="74" t="s">
        <v>309</v>
      </c>
      <c r="B2241" s="74" t="s">
        <v>234</v>
      </c>
      <c r="C2241" s="74" t="s">
        <v>235</v>
      </c>
      <c r="D2241" s="88" t="s">
        <v>82</v>
      </c>
      <c r="E2241" s="74" t="s">
        <v>83</v>
      </c>
      <c r="F2241" s="86" t="s">
        <v>116</v>
      </c>
      <c r="G2241" s="74" t="s">
        <v>209</v>
      </c>
      <c r="H2241" s="87">
        <v>44773</v>
      </c>
      <c r="I2241" s="94">
        <v>3264.2</v>
      </c>
      <c r="J2241" s="94">
        <v>2448.15</v>
      </c>
      <c r="K2241" s="94">
        <v>816.05</v>
      </c>
    </row>
    <row r="2242" spans="1:11">
      <c r="A2242" s="74" t="s">
        <v>309</v>
      </c>
      <c r="B2242" s="74" t="s">
        <v>236</v>
      </c>
      <c r="C2242" s="74" t="s">
        <v>237</v>
      </c>
      <c r="D2242" s="88" t="s">
        <v>82</v>
      </c>
      <c r="E2242" s="74" t="s">
        <v>83</v>
      </c>
      <c r="F2242" s="86" t="s">
        <v>120</v>
      </c>
      <c r="G2242" s="74" t="s">
        <v>209</v>
      </c>
      <c r="H2242" s="87">
        <v>44773</v>
      </c>
      <c r="I2242" s="94">
        <v>2854.08</v>
      </c>
      <c r="J2242" s="94">
        <v>2140.56</v>
      </c>
      <c r="K2242" s="94">
        <v>713.52</v>
      </c>
    </row>
    <row r="2243" spans="1:11">
      <c r="A2243" s="74" t="s">
        <v>309</v>
      </c>
      <c r="B2243" s="74" t="s">
        <v>238</v>
      </c>
      <c r="C2243" s="74" t="s">
        <v>239</v>
      </c>
      <c r="D2243" s="74" t="s">
        <v>86</v>
      </c>
      <c r="E2243" s="74" t="s">
        <v>87</v>
      </c>
      <c r="F2243" s="86" t="s">
        <v>204</v>
      </c>
      <c r="G2243" s="74" t="s">
        <v>240</v>
      </c>
      <c r="H2243" s="87">
        <v>44773</v>
      </c>
      <c r="I2243" s="94">
        <v>5763.31</v>
      </c>
      <c r="J2243" s="94">
        <v>4322.48</v>
      </c>
      <c r="K2243" s="94">
        <v>1440.83</v>
      </c>
    </row>
    <row r="2244" spans="1:11">
      <c r="A2244" s="74" t="s">
        <v>309</v>
      </c>
      <c r="B2244" s="74" t="s">
        <v>241</v>
      </c>
      <c r="C2244" s="74" t="s">
        <v>242</v>
      </c>
      <c r="D2244" s="74" t="s">
        <v>86</v>
      </c>
      <c r="E2244" s="74" t="s">
        <v>87</v>
      </c>
      <c r="F2244" s="86" t="s">
        <v>243</v>
      </c>
      <c r="G2244" s="74" t="s">
        <v>244</v>
      </c>
      <c r="H2244" s="87">
        <v>44773</v>
      </c>
      <c r="I2244" s="94">
        <v>4430.22</v>
      </c>
      <c r="J2244" s="94">
        <v>3322.67</v>
      </c>
      <c r="K2244" s="94">
        <v>1107.55</v>
      </c>
    </row>
    <row r="2245" spans="1:11">
      <c r="A2245" s="74" t="s">
        <v>309</v>
      </c>
      <c r="B2245" s="74" t="s">
        <v>245</v>
      </c>
      <c r="C2245" s="74" t="s">
        <v>246</v>
      </c>
      <c r="D2245" s="74" t="s">
        <v>86</v>
      </c>
      <c r="E2245" s="74" t="s">
        <v>87</v>
      </c>
      <c r="F2245" s="86" t="s">
        <v>247</v>
      </c>
      <c r="G2245" s="74" t="s">
        <v>248</v>
      </c>
      <c r="H2245" s="87">
        <v>44773</v>
      </c>
      <c r="I2245" s="94">
        <v>3793.43</v>
      </c>
      <c r="J2245" s="94">
        <v>2845.07</v>
      </c>
      <c r="K2245" s="94">
        <v>948.36</v>
      </c>
    </row>
    <row r="2246" spans="1:11">
      <c r="A2246" s="74" t="s">
        <v>309</v>
      </c>
      <c r="B2246" s="74" t="s">
        <v>249</v>
      </c>
      <c r="C2246" s="74" t="s">
        <v>250</v>
      </c>
      <c r="D2246" s="74" t="s">
        <v>86</v>
      </c>
      <c r="E2246" s="74" t="s">
        <v>87</v>
      </c>
      <c r="F2246" s="86" t="s">
        <v>251</v>
      </c>
      <c r="G2246" s="74" t="s">
        <v>252</v>
      </c>
      <c r="H2246" s="87">
        <v>44773</v>
      </c>
      <c r="I2246" s="94">
        <v>3728.49</v>
      </c>
      <c r="J2246" s="94">
        <v>2796.37</v>
      </c>
      <c r="K2246" s="94">
        <v>932.12</v>
      </c>
    </row>
    <row r="2247" spans="1:11">
      <c r="A2247" s="74" t="s">
        <v>309</v>
      </c>
      <c r="B2247" s="74" t="s">
        <v>253</v>
      </c>
      <c r="C2247" s="74" t="s">
        <v>254</v>
      </c>
      <c r="D2247" s="74" t="s">
        <v>86</v>
      </c>
      <c r="E2247" s="74" t="s">
        <v>87</v>
      </c>
      <c r="F2247" s="86" t="s">
        <v>255</v>
      </c>
      <c r="G2247" s="74" t="s">
        <v>252</v>
      </c>
      <c r="H2247" s="87">
        <v>44773</v>
      </c>
      <c r="I2247" s="94">
        <v>3255.06</v>
      </c>
      <c r="J2247" s="94">
        <v>2441.3</v>
      </c>
      <c r="K2247" s="94">
        <v>813.76</v>
      </c>
    </row>
    <row r="2248" spans="1:11">
      <c r="A2248" s="74" t="s">
        <v>309</v>
      </c>
      <c r="B2248" s="74" t="s">
        <v>256</v>
      </c>
      <c r="C2248" s="74" t="s">
        <v>257</v>
      </c>
      <c r="D2248" s="74" t="s">
        <v>86</v>
      </c>
      <c r="E2248" s="74" t="s">
        <v>87</v>
      </c>
      <c r="F2248" s="86" t="s">
        <v>258</v>
      </c>
      <c r="G2248" s="74" t="s">
        <v>252</v>
      </c>
      <c r="H2248" s="87">
        <v>44773</v>
      </c>
      <c r="I2248" s="94">
        <v>2985.81</v>
      </c>
      <c r="J2248" s="94">
        <v>2239.36</v>
      </c>
      <c r="K2248" s="94">
        <v>746.45</v>
      </c>
    </row>
    <row r="2249" spans="1:11">
      <c r="A2249" s="74" t="s">
        <v>309</v>
      </c>
      <c r="B2249" s="74" t="s">
        <v>259</v>
      </c>
      <c r="C2249" s="74" t="s">
        <v>260</v>
      </c>
      <c r="D2249" s="74" t="s">
        <v>86</v>
      </c>
      <c r="E2249" s="74" t="s">
        <v>87</v>
      </c>
      <c r="F2249" s="86" t="s">
        <v>261</v>
      </c>
      <c r="G2249" s="74" t="s">
        <v>262</v>
      </c>
      <c r="H2249" s="87">
        <v>44773</v>
      </c>
      <c r="I2249" s="94">
        <v>2689.19</v>
      </c>
      <c r="J2249" s="94">
        <v>2016.89</v>
      </c>
      <c r="K2249" s="94">
        <v>672.3</v>
      </c>
    </row>
    <row r="2250" spans="1:11">
      <c r="A2250" s="74" t="s">
        <v>309</v>
      </c>
      <c r="B2250" s="74" t="s">
        <v>263</v>
      </c>
      <c r="C2250" s="74" t="s">
        <v>264</v>
      </c>
      <c r="D2250" s="74" t="s">
        <v>86</v>
      </c>
      <c r="E2250" s="74" t="s">
        <v>88</v>
      </c>
      <c r="F2250" s="86" t="s">
        <v>149</v>
      </c>
      <c r="G2250" s="74" t="s">
        <v>265</v>
      </c>
      <c r="H2250" s="87">
        <v>44773</v>
      </c>
      <c r="I2250" s="94">
        <v>5714.36</v>
      </c>
      <c r="J2250" s="94">
        <v>4285.77</v>
      </c>
      <c r="K2250" s="94">
        <v>1428.59</v>
      </c>
    </row>
    <row r="2251" spans="1:11">
      <c r="A2251" s="74" t="s">
        <v>309</v>
      </c>
      <c r="B2251" s="74" t="s">
        <v>266</v>
      </c>
      <c r="C2251" s="74" t="s">
        <v>267</v>
      </c>
      <c r="D2251" s="74" t="s">
        <v>86</v>
      </c>
      <c r="E2251" s="74" t="s">
        <v>88</v>
      </c>
      <c r="F2251" s="86" t="s">
        <v>243</v>
      </c>
      <c r="G2251" s="74" t="s">
        <v>268</v>
      </c>
      <c r="H2251" s="87">
        <v>44773</v>
      </c>
      <c r="I2251" s="94">
        <v>4126.87</v>
      </c>
      <c r="J2251" s="94">
        <v>3095.15</v>
      </c>
      <c r="K2251" s="94">
        <v>1031.72</v>
      </c>
    </row>
    <row r="2252" spans="1:11">
      <c r="A2252" s="74" t="s">
        <v>309</v>
      </c>
      <c r="B2252" s="74" t="s">
        <v>269</v>
      </c>
      <c r="C2252" s="74" t="s">
        <v>270</v>
      </c>
      <c r="D2252" s="74" t="s">
        <v>86</v>
      </c>
      <c r="E2252" s="74" t="s">
        <v>88</v>
      </c>
      <c r="F2252" s="86" t="s">
        <v>247</v>
      </c>
      <c r="G2252" s="74" t="s">
        <v>268</v>
      </c>
      <c r="H2252" s="87">
        <v>44773</v>
      </c>
      <c r="I2252" s="94">
        <v>3844.21</v>
      </c>
      <c r="J2252" s="94">
        <v>2883.16</v>
      </c>
      <c r="K2252" s="94">
        <v>961.05</v>
      </c>
    </row>
    <row r="2253" spans="1:11">
      <c r="A2253" s="74" t="s">
        <v>309</v>
      </c>
      <c r="B2253" s="74" t="s">
        <v>271</v>
      </c>
      <c r="C2253" s="74" t="s">
        <v>272</v>
      </c>
      <c r="D2253" s="74" t="s">
        <v>86</v>
      </c>
      <c r="E2253" s="74" t="s">
        <v>88</v>
      </c>
      <c r="F2253" s="86" t="s">
        <v>251</v>
      </c>
      <c r="G2253" s="74" t="s">
        <v>268</v>
      </c>
      <c r="H2253" s="87">
        <v>44773</v>
      </c>
      <c r="I2253" s="94">
        <v>3647.8</v>
      </c>
      <c r="J2253" s="94">
        <v>2735.85</v>
      </c>
      <c r="K2253" s="94">
        <v>911.95</v>
      </c>
    </row>
    <row r="2254" spans="1:11">
      <c r="A2254" s="74" t="s">
        <v>309</v>
      </c>
      <c r="B2254" s="74" t="s">
        <v>273</v>
      </c>
      <c r="C2254" s="74" t="s">
        <v>274</v>
      </c>
      <c r="D2254" s="74" t="s">
        <v>86</v>
      </c>
      <c r="E2254" s="74" t="s">
        <v>88</v>
      </c>
      <c r="F2254" s="86" t="s">
        <v>255</v>
      </c>
      <c r="G2254" s="74" t="s">
        <v>268</v>
      </c>
      <c r="H2254" s="87">
        <v>44773</v>
      </c>
      <c r="I2254" s="94">
        <v>3148.22</v>
      </c>
      <c r="J2254" s="94">
        <v>2361.17</v>
      </c>
      <c r="K2254" s="94">
        <v>787.05</v>
      </c>
    </row>
    <row r="2255" spans="1:11">
      <c r="A2255" s="74" t="s">
        <v>309</v>
      </c>
      <c r="B2255" s="74" t="s">
        <v>275</v>
      </c>
      <c r="C2255" s="74" t="s">
        <v>276</v>
      </c>
      <c r="D2255" s="74" t="s">
        <v>86</v>
      </c>
      <c r="E2255" s="74" t="s">
        <v>88</v>
      </c>
      <c r="F2255" s="86" t="s">
        <v>258</v>
      </c>
      <c r="G2255" s="74" t="s">
        <v>268</v>
      </c>
      <c r="H2255" s="87">
        <v>44773</v>
      </c>
      <c r="I2255" s="94">
        <v>2812.82</v>
      </c>
      <c r="J2255" s="94">
        <v>2109.62</v>
      </c>
      <c r="K2255" s="94">
        <v>703.2</v>
      </c>
    </row>
    <row r="2256" spans="1:11">
      <c r="A2256" s="74" t="s">
        <v>309</v>
      </c>
      <c r="B2256" s="74" t="s">
        <v>277</v>
      </c>
      <c r="C2256" s="74" t="s">
        <v>278</v>
      </c>
      <c r="D2256" s="74" t="s">
        <v>86</v>
      </c>
      <c r="E2256" s="74" t="s">
        <v>89</v>
      </c>
      <c r="F2256" s="86" t="s">
        <v>279</v>
      </c>
      <c r="G2256" s="74" t="s">
        <v>280</v>
      </c>
      <c r="H2256" s="87">
        <v>44773</v>
      </c>
      <c r="I2256" s="94">
        <v>4843.05</v>
      </c>
      <c r="J2256" s="94">
        <v>3632.29</v>
      </c>
      <c r="K2256" s="94">
        <v>1210.76</v>
      </c>
    </row>
    <row r="2257" spans="1:11">
      <c r="A2257" s="74" t="s">
        <v>309</v>
      </c>
      <c r="B2257" s="74" t="s">
        <v>281</v>
      </c>
      <c r="C2257" s="74" t="s">
        <v>282</v>
      </c>
      <c r="D2257" s="74" t="s">
        <v>86</v>
      </c>
      <c r="E2257" s="74" t="s">
        <v>89</v>
      </c>
      <c r="F2257" s="86" t="s">
        <v>225</v>
      </c>
      <c r="G2257" s="74" t="s">
        <v>283</v>
      </c>
      <c r="H2257" s="87">
        <v>44773</v>
      </c>
      <c r="I2257" s="94">
        <v>3421.49</v>
      </c>
      <c r="J2257" s="94">
        <v>2566.12</v>
      </c>
      <c r="K2257" s="94">
        <v>855.37</v>
      </c>
    </row>
    <row r="2258" spans="1:11">
      <c r="A2258" s="74" t="s">
        <v>309</v>
      </c>
      <c r="B2258" s="74" t="s">
        <v>284</v>
      </c>
      <c r="C2258" s="74" t="s">
        <v>285</v>
      </c>
      <c r="D2258" s="74" t="s">
        <v>86</v>
      </c>
      <c r="E2258" s="74" t="s">
        <v>89</v>
      </c>
      <c r="F2258" s="86" t="s">
        <v>208</v>
      </c>
      <c r="G2258" s="74" t="s">
        <v>283</v>
      </c>
      <c r="H2258" s="87">
        <v>44773</v>
      </c>
      <c r="I2258" s="94">
        <v>2971.58</v>
      </c>
      <c r="J2258" s="94">
        <v>2228.69</v>
      </c>
      <c r="K2258" s="94">
        <v>742.89</v>
      </c>
    </row>
    <row r="2259" spans="1:11">
      <c r="A2259" s="74" t="s">
        <v>309</v>
      </c>
      <c r="B2259" s="74" t="s">
        <v>286</v>
      </c>
      <c r="C2259" s="74" t="s">
        <v>287</v>
      </c>
      <c r="D2259" s="74" t="s">
        <v>82</v>
      </c>
      <c r="E2259" s="88" t="s">
        <v>85</v>
      </c>
      <c r="F2259" s="86" t="s">
        <v>288</v>
      </c>
      <c r="G2259" s="74" t="s">
        <v>289</v>
      </c>
      <c r="H2259" s="87">
        <v>44773</v>
      </c>
      <c r="I2259" s="94">
        <v>4903.8</v>
      </c>
      <c r="J2259" s="94">
        <v>3677.85</v>
      </c>
      <c r="K2259" s="94">
        <v>1225.95</v>
      </c>
    </row>
    <row r="2260" spans="1:11">
      <c r="A2260" s="74" t="s">
        <v>309</v>
      </c>
      <c r="B2260" s="74" t="s">
        <v>290</v>
      </c>
      <c r="C2260" s="74" t="s">
        <v>291</v>
      </c>
      <c r="D2260" s="74" t="s">
        <v>82</v>
      </c>
      <c r="E2260" s="88" t="s">
        <v>85</v>
      </c>
      <c r="F2260" s="86" t="s">
        <v>218</v>
      </c>
      <c r="G2260" s="74" t="s">
        <v>289</v>
      </c>
      <c r="H2260" s="87">
        <v>44773</v>
      </c>
      <c r="I2260" s="94">
        <v>4304.29</v>
      </c>
      <c r="J2260" s="94">
        <v>3228.22</v>
      </c>
      <c r="K2260" s="94">
        <v>1076.07</v>
      </c>
    </row>
    <row r="2261" spans="1:11">
      <c r="A2261" s="74" t="s">
        <v>309</v>
      </c>
      <c r="B2261" s="74" t="s">
        <v>292</v>
      </c>
      <c r="C2261" s="74" t="s">
        <v>293</v>
      </c>
      <c r="D2261" s="74" t="s">
        <v>82</v>
      </c>
      <c r="E2261" s="88" t="s">
        <v>85</v>
      </c>
      <c r="F2261" s="86" t="s">
        <v>225</v>
      </c>
      <c r="G2261" s="74" t="s">
        <v>289</v>
      </c>
      <c r="H2261" s="87">
        <v>44773</v>
      </c>
      <c r="I2261" s="94">
        <v>4213.07</v>
      </c>
      <c r="J2261" s="94">
        <v>3159.8</v>
      </c>
      <c r="K2261" s="94">
        <v>1053.27</v>
      </c>
    </row>
    <row r="2262" spans="1:11">
      <c r="A2262" s="74" t="s">
        <v>309</v>
      </c>
      <c r="B2262" s="74" t="s">
        <v>294</v>
      </c>
      <c r="C2262" s="74" t="s">
        <v>295</v>
      </c>
      <c r="D2262" s="74" t="s">
        <v>82</v>
      </c>
      <c r="E2262" s="88" t="s">
        <v>85</v>
      </c>
      <c r="F2262" s="86" t="s">
        <v>208</v>
      </c>
      <c r="G2262" s="74" t="s">
        <v>289</v>
      </c>
      <c r="H2262" s="87">
        <v>44773</v>
      </c>
      <c r="I2262" s="94">
        <v>3821.08</v>
      </c>
      <c r="J2262" s="94">
        <v>2865.81</v>
      </c>
      <c r="K2262" s="94">
        <v>955.27</v>
      </c>
    </row>
    <row r="2263" spans="1:11">
      <c r="A2263" s="74" t="s">
        <v>309</v>
      </c>
      <c r="B2263" s="74" t="s">
        <v>296</v>
      </c>
      <c r="C2263" s="74" t="s">
        <v>297</v>
      </c>
      <c r="D2263" s="74" t="s">
        <v>82</v>
      </c>
      <c r="E2263" s="88" t="s">
        <v>85</v>
      </c>
      <c r="F2263" s="86" t="s">
        <v>116</v>
      </c>
      <c r="G2263" s="74" t="s">
        <v>289</v>
      </c>
      <c r="H2263" s="87">
        <v>44773</v>
      </c>
      <c r="I2263" s="94">
        <v>3276.55</v>
      </c>
      <c r="J2263" s="94">
        <v>2457.41</v>
      </c>
      <c r="K2263" s="94">
        <v>819.14</v>
      </c>
    </row>
    <row r="2264" spans="1:11">
      <c r="A2264" s="74" t="s">
        <v>309</v>
      </c>
      <c r="B2264" s="74" t="s">
        <v>298</v>
      </c>
      <c r="C2264" s="74" t="s">
        <v>299</v>
      </c>
      <c r="D2264" s="74" t="s">
        <v>82</v>
      </c>
      <c r="E2264" s="88" t="s">
        <v>85</v>
      </c>
      <c r="F2264" s="86" t="s">
        <v>279</v>
      </c>
      <c r="G2264" s="74" t="s">
        <v>300</v>
      </c>
      <c r="H2264" s="87">
        <v>44773</v>
      </c>
      <c r="I2264" s="94">
        <v>5942.73</v>
      </c>
      <c r="J2264" s="94">
        <v>4457.05</v>
      </c>
      <c r="K2264" s="94">
        <v>1485.68</v>
      </c>
    </row>
    <row r="2265" spans="1:11">
      <c r="A2265" s="74" t="s">
        <v>309</v>
      </c>
      <c r="B2265" s="74" t="s">
        <v>301</v>
      </c>
      <c r="C2265" s="74" t="s">
        <v>302</v>
      </c>
      <c r="D2265" s="74" t="s">
        <v>82</v>
      </c>
      <c r="E2265" s="88" t="s">
        <v>85</v>
      </c>
      <c r="F2265" s="86" t="s">
        <v>279</v>
      </c>
      <c r="G2265" s="74" t="s">
        <v>303</v>
      </c>
      <c r="H2265" s="87">
        <v>44773</v>
      </c>
      <c r="I2265" s="94">
        <v>5894.49</v>
      </c>
      <c r="J2265" s="94">
        <v>4420.87</v>
      </c>
      <c r="K2265" s="94">
        <v>1473.62</v>
      </c>
    </row>
    <row r="2266" spans="1:11">
      <c r="A2266" s="74" t="s">
        <v>309</v>
      </c>
      <c r="B2266" s="74" t="s">
        <v>304</v>
      </c>
      <c r="C2266" s="74" t="s">
        <v>305</v>
      </c>
      <c r="D2266" s="74" t="s">
        <v>86</v>
      </c>
      <c r="E2266" s="74" t="s">
        <v>90</v>
      </c>
      <c r="F2266" s="86" t="s">
        <v>306</v>
      </c>
      <c r="G2266" s="74" t="s">
        <v>307</v>
      </c>
      <c r="H2266" s="87">
        <v>44773</v>
      </c>
      <c r="I2266" s="94">
        <v>6731.7</v>
      </c>
      <c r="J2266" s="94">
        <v>5048.78</v>
      </c>
      <c r="K2266" s="94">
        <v>1682.92</v>
      </c>
    </row>
    <row r="2267" spans="1:11">
      <c r="A2267" s="74" t="s">
        <v>309</v>
      </c>
      <c r="B2267" s="74" t="s">
        <v>114</v>
      </c>
      <c r="C2267" s="74" t="s">
        <v>115</v>
      </c>
      <c r="D2267" s="74" t="s">
        <v>79</v>
      </c>
      <c r="E2267" s="74" t="s">
        <v>80</v>
      </c>
      <c r="F2267" s="86" t="s">
        <v>116</v>
      </c>
      <c r="G2267" s="74" t="s">
        <v>117</v>
      </c>
      <c r="H2267" s="87">
        <v>44804</v>
      </c>
      <c r="I2267" s="94">
        <v>3200.01</v>
      </c>
      <c r="J2267" s="94">
        <v>2400.01</v>
      </c>
      <c r="K2267" s="94">
        <v>800</v>
      </c>
    </row>
    <row r="2268" spans="1:11">
      <c r="A2268" s="74" t="s">
        <v>309</v>
      </c>
      <c r="B2268" s="74" t="s">
        <v>118</v>
      </c>
      <c r="C2268" s="74" t="s">
        <v>119</v>
      </c>
      <c r="D2268" s="74" t="s">
        <v>79</v>
      </c>
      <c r="E2268" s="74" t="s">
        <v>80</v>
      </c>
      <c r="F2268" s="86" t="s">
        <v>120</v>
      </c>
      <c r="G2268" s="74" t="s">
        <v>117</v>
      </c>
      <c r="H2268" s="87">
        <v>44804</v>
      </c>
      <c r="I2268" s="94">
        <v>2865.74</v>
      </c>
      <c r="J2268" s="94">
        <v>2149.31</v>
      </c>
      <c r="K2268" s="94">
        <v>716.43</v>
      </c>
    </row>
    <row r="2269" spans="1:11">
      <c r="A2269" s="74" t="s">
        <v>309</v>
      </c>
      <c r="B2269" s="74" t="s">
        <v>121</v>
      </c>
      <c r="C2269" s="74" t="s">
        <v>122</v>
      </c>
      <c r="D2269" s="74" t="s">
        <v>79</v>
      </c>
      <c r="E2269" s="74" t="s">
        <v>80</v>
      </c>
      <c r="F2269" s="86" t="s">
        <v>123</v>
      </c>
      <c r="G2269" s="74" t="s">
        <v>117</v>
      </c>
      <c r="H2269" s="87">
        <v>44804</v>
      </c>
      <c r="I2269" s="94">
        <v>2543.92</v>
      </c>
      <c r="J2269" s="94">
        <v>1907.94</v>
      </c>
      <c r="K2269" s="94">
        <v>635.98</v>
      </c>
    </row>
    <row r="2270" spans="1:11">
      <c r="A2270" s="74" t="s">
        <v>309</v>
      </c>
      <c r="B2270" s="74" t="s">
        <v>124</v>
      </c>
      <c r="C2270" s="74" t="s">
        <v>125</v>
      </c>
      <c r="D2270" s="74" t="s">
        <v>79</v>
      </c>
      <c r="E2270" s="74" t="s">
        <v>80</v>
      </c>
      <c r="F2270" s="86" t="s">
        <v>116</v>
      </c>
      <c r="G2270" s="74" t="s">
        <v>117</v>
      </c>
      <c r="H2270" s="87">
        <v>44804</v>
      </c>
      <c r="I2270" s="94">
        <v>3265.92</v>
      </c>
      <c r="J2270" s="94">
        <v>2449.44</v>
      </c>
      <c r="K2270" s="94">
        <v>816.48</v>
      </c>
    </row>
    <row r="2271" spans="1:11">
      <c r="A2271" s="74" t="s">
        <v>309</v>
      </c>
      <c r="B2271" s="74" t="s">
        <v>126</v>
      </c>
      <c r="C2271" s="74" t="s">
        <v>127</v>
      </c>
      <c r="D2271" s="74" t="s">
        <v>79</v>
      </c>
      <c r="E2271" s="74" t="s">
        <v>80</v>
      </c>
      <c r="F2271" s="86" t="s">
        <v>120</v>
      </c>
      <c r="G2271" s="74" t="s">
        <v>117</v>
      </c>
      <c r="H2271" s="87">
        <v>44804</v>
      </c>
      <c r="I2271" s="94">
        <v>2963.06</v>
      </c>
      <c r="J2271" s="94">
        <v>2222.3</v>
      </c>
      <c r="K2271" s="94">
        <v>740.76</v>
      </c>
    </row>
    <row r="2272" spans="1:11">
      <c r="A2272" s="74" t="s">
        <v>309</v>
      </c>
      <c r="B2272" s="74" t="s">
        <v>128</v>
      </c>
      <c r="C2272" s="74" t="s">
        <v>129</v>
      </c>
      <c r="D2272" s="74" t="s">
        <v>79</v>
      </c>
      <c r="E2272" s="74" t="s">
        <v>80</v>
      </c>
      <c r="F2272" s="86" t="s">
        <v>123</v>
      </c>
      <c r="G2272" s="74" t="s">
        <v>117</v>
      </c>
      <c r="H2272" s="87">
        <v>44804</v>
      </c>
      <c r="I2272" s="94">
        <v>2368.69</v>
      </c>
      <c r="J2272" s="94">
        <v>1776.52</v>
      </c>
      <c r="K2272" s="94">
        <v>592.17</v>
      </c>
    </row>
    <row r="2273" spans="1:11">
      <c r="A2273" s="74" t="s">
        <v>309</v>
      </c>
      <c r="B2273" s="74" t="s">
        <v>130</v>
      </c>
      <c r="C2273" s="74" t="s">
        <v>131</v>
      </c>
      <c r="D2273" s="74" t="s">
        <v>79</v>
      </c>
      <c r="E2273" s="74" t="s">
        <v>80</v>
      </c>
      <c r="F2273" s="86" t="s">
        <v>116</v>
      </c>
      <c r="G2273" s="74" t="s">
        <v>117</v>
      </c>
      <c r="H2273" s="87">
        <v>44804</v>
      </c>
      <c r="I2273" s="94">
        <v>3354.61</v>
      </c>
      <c r="J2273" s="94">
        <v>2515.96</v>
      </c>
      <c r="K2273" s="94">
        <v>838.65</v>
      </c>
    </row>
    <row r="2274" spans="1:11">
      <c r="A2274" s="74" t="s">
        <v>309</v>
      </c>
      <c r="B2274" s="74" t="s">
        <v>132</v>
      </c>
      <c r="C2274" s="74" t="s">
        <v>133</v>
      </c>
      <c r="D2274" s="74" t="s">
        <v>79</v>
      </c>
      <c r="E2274" s="74" t="s">
        <v>80</v>
      </c>
      <c r="F2274" s="86" t="s">
        <v>120</v>
      </c>
      <c r="G2274" s="74" t="s">
        <v>117</v>
      </c>
      <c r="H2274" s="87">
        <v>44804</v>
      </c>
      <c r="I2274" s="94">
        <v>2924.59</v>
      </c>
      <c r="J2274" s="94">
        <v>2193.44</v>
      </c>
      <c r="K2274" s="94">
        <v>731.15</v>
      </c>
    </row>
    <row r="2275" spans="1:11">
      <c r="A2275" s="74" t="s">
        <v>309</v>
      </c>
      <c r="B2275" s="74" t="s">
        <v>134</v>
      </c>
      <c r="C2275" s="74" t="s">
        <v>135</v>
      </c>
      <c r="D2275" s="74" t="s">
        <v>79</v>
      </c>
      <c r="E2275" s="74" t="s">
        <v>80</v>
      </c>
      <c r="F2275" s="86" t="s">
        <v>123</v>
      </c>
      <c r="G2275" s="74" t="s">
        <v>117</v>
      </c>
      <c r="H2275" s="87">
        <v>44804</v>
      </c>
      <c r="I2275" s="94">
        <v>2529.33</v>
      </c>
      <c r="J2275" s="94">
        <v>1897</v>
      </c>
      <c r="K2275" s="94">
        <v>632.33</v>
      </c>
    </row>
    <row r="2276" spans="1:11">
      <c r="A2276" s="74" t="s">
        <v>309</v>
      </c>
      <c r="B2276" s="74" t="s">
        <v>136</v>
      </c>
      <c r="C2276" s="74" t="s">
        <v>137</v>
      </c>
      <c r="D2276" s="74" t="s">
        <v>79</v>
      </c>
      <c r="E2276" s="74" t="s">
        <v>80</v>
      </c>
      <c r="F2276" s="86" t="s">
        <v>116</v>
      </c>
      <c r="G2276" s="74" t="s">
        <v>138</v>
      </c>
      <c r="H2276" s="87">
        <v>44804</v>
      </c>
      <c r="I2276" s="94">
        <v>3253.58</v>
      </c>
      <c r="J2276" s="94">
        <v>2440.19</v>
      </c>
      <c r="K2276" s="94">
        <v>813.39</v>
      </c>
    </row>
    <row r="2277" spans="1:11">
      <c r="A2277" s="74" t="s">
        <v>309</v>
      </c>
      <c r="B2277" s="74" t="s">
        <v>139</v>
      </c>
      <c r="C2277" s="74" t="s">
        <v>140</v>
      </c>
      <c r="D2277" s="74" t="s">
        <v>79</v>
      </c>
      <c r="E2277" s="74" t="s">
        <v>80</v>
      </c>
      <c r="F2277" s="86" t="s">
        <v>120</v>
      </c>
      <c r="G2277" s="74" t="s">
        <v>138</v>
      </c>
      <c r="H2277" s="87">
        <v>44804</v>
      </c>
      <c r="I2277" s="94">
        <v>2864.37</v>
      </c>
      <c r="J2277" s="94">
        <v>2148.28</v>
      </c>
      <c r="K2277" s="94">
        <v>716.09</v>
      </c>
    </row>
    <row r="2278" spans="1:11">
      <c r="A2278" s="74" t="s">
        <v>309</v>
      </c>
      <c r="B2278" s="74" t="s">
        <v>141</v>
      </c>
      <c r="C2278" s="74" t="s">
        <v>142</v>
      </c>
      <c r="D2278" s="74" t="s">
        <v>79</v>
      </c>
      <c r="E2278" s="74" t="s">
        <v>80</v>
      </c>
      <c r="F2278" s="86" t="s">
        <v>123</v>
      </c>
      <c r="G2278" s="74" t="s">
        <v>138</v>
      </c>
      <c r="H2278" s="87">
        <v>44804</v>
      </c>
      <c r="I2278" s="94">
        <v>2422.42</v>
      </c>
      <c r="J2278" s="94">
        <v>1816.82</v>
      </c>
      <c r="K2278" s="94">
        <v>605.6</v>
      </c>
    </row>
    <row r="2279" spans="1:11">
      <c r="A2279" s="74" t="s">
        <v>309</v>
      </c>
      <c r="B2279" s="74" t="s">
        <v>143</v>
      </c>
      <c r="C2279" s="74" t="s">
        <v>144</v>
      </c>
      <c r="D2279" s="74" t="s">
        <v>79</v>
      </c>
      <c r="E2279" s="74" t="s">
        <v>80</v>
      </c>
      <c r="F2279" s="86" t="s">
        <v>145</v>
      </c>
      <c r="G2279" s="74" t="s">
        <v>146</v>
      </c>
      <c r="H2279" s="87">
        <v>44804</v>
      </c>
      <c r="I2279" s="94">
        <v>8051.42</v>
      </c>
      <c r="J2279" s="94">
        <v>6038.57</v>
      </c>
      <c r="K2279" s="94">
        <v>2012.85</v>
      </c>
    </row>
    <row r="2280" spans="1:11">
      <c r="A2280" s="74" t="s">
        <v>309</v>
      </c>
      <c r="B2280" s="74" t="s">
        <v>147</v>
      </c>
      <c r="C2280" s="74" t="s">
        <v>148</v>
      </c>
      <c r="D2280" s="74" t="s">
        <v>79</v>
      </c>
      <c r="E2280" s="74" t="s">
        <v>80</v>
      </c>
      <c r="F2280" s="86" t="s">
        <v>149</v>
      </c>
      <c r="G2280" s="74" t="s">
        <v>150</v>
      </c>
      <c r="H2280" s="87">
        <v>44804</v>
      </c>
      <c r="I2280" s="94">
        <v>6908.75</v>
      </c>
      <c r="J2280" s="94">
        <v>5181.56</v>
      </c>
      <c r="K2280" s="94">
        <v>1727.19</v>
      </c>
    </row>
    <row r="2281" spans="1:11">
      <c r="A2281" s="74" t="s">
        <v>309</v>
      </c>
      <c r="B2281" s="74" t="s">
        <v>151</v>
      </c>
      <c r="C2281" s="74" t="s">
        <v>152</v>
      </c>
      <c r="D2281" s="74" t="s">
        <v>79</v>
      </c>
      <c r="E2281" s="74" t="s">
        <v>81</v>
      </c>
      <c r="F2281" s="86" t="s">
        <v>123</v>
      </c>
      <c r="G2281" s="74" t="s">
        <v>153</v>
      </c>
      <c r="H2281" s="87">
        <v>44804</v>
      </c>
      <c r="I2281" s="94">
        <v>2563.13</v>
      </c>
      <c r="J2281" s="94">
        <v>1922.35</v>
      </c>
      <c r="K2281" s="94">
        <v>640.78</v>
      </c>
    </row>
    <row r="2282" spans="1:11">
      <c r="A2282" s="74" t="s">
        <v>309</v>
      </c>
      <c r="B2282" s="74" t="s">
        <v>154</v>
      </c>
      <c r="C2282" s="74" t="s">
        <v>155</v>
      </c>
      <c r="D2282" s="74" t="s">
        <v>79</v>
      </c>
      <c r="E2282" s="74" t="s">
        <v>81</v>
      </c>
      <c r="F2282" s="86" t="s">
        <v>156</v>
      </c>
      <c r="G2282" s="74" t="s">
        <v>157</v>
      </c>
      <c r="H2282" s="87">
        <v>44804</v>
      </c>
      <c r="I2282" s="94">
        <v>1964.64</v>
      </c>
      <c r="J2282" s="94">
        <v>1473.48</v>
      </c>
      <c r="K2282" s="94">
        <v>491.16</v>
      </c>
    </row>
    <row r="2283" spans="1:11">
      <c r="A2283" s="74" t="s">
        <v>309</v>
      </c>
      <c r="B2283" s="74" t="s">
        <v>158</v>
      </c>
      <c r="C2283" s="74" t="s">
        <v>159</v>
      </c>
      <c r="D2283" s="74" t="s">
        <v>79</v>
      </c>
      <c r="E2283" s="74" t="s">
        <v>81</v>
      </c>
      <c r="F2283" s="86" t="s">
        <v>160</v>
      </c>
      <c r="G2283" s="74" t="s">
        <v>161</v>
      </c>
      <c r="H2283" s="87">
        <v>44804</v>
      </c>
      <c r="I2283" s="94">
        <v>1667.06</v>
      </c>
      <c r="J2283" s="94">
        <v>1250.3</v>
      </c>
      <c r="K2283" s="94">
        <v>416.76</v>
      </c>
    </row>
    <row r="2284" spans="1:11">
      <c r="A2284" s="74" t="s">
        <v>309</v>
      </c>
      <c r="B2284" s="74" t="s">
        <v>162</v>
      </c>
      <c r="C2284" s="74" t="s">
        <v>163</v>
      </c>
      <c r="D2284" s="74" t="s">
        <v>79</v>
      </c>
      <c r="E2284" s="74" t="s">
        <v>81</v>
      </c>
      <c r="F2284" s="86" t="s">
        <v>123</v>
      </c>
      <c r="G2284" s="74" t="s">
        <v>153</v>
      </c>
      <c r="H2284" s="87">
        <v>44804</v>
      </c>
      <c r="I2284" s="94">
        <v>2350.07</v>
      </c>
      <c r="J2284" s="94">
        <v>1762.55</v>
      </c>
      <c r="K2284" s="94">
        <v>587.52</v>
      </c>
    </row>
    <row r="2285" spans="1:11">
      <c r="A2285" s="74" t="s">
        <v>309</v>
      </c>
      <c r="B2285" s="74" t="s">
        <v>164</v>
      </c>
      <c r="C2285" s="74" t="s">
        <v>165</v>
      </c>
      <c r="D2285" s="74" t="s">
        <v>79</v>
      </c>
      <c r="E2285" s="74" t="s">
        <v>81</v>
      </c>
      <c r="F2285" s="86" t="s">
        <v>156</v>
      </c>
      <c r="G2285" s="74" t="s">
        <v>157</v>
      </c>
      <c r="H2285" s="87">
        <v>44804</v>
      </c>
      <c r="I2285" s="94">
        <v>2067.55</v>
      </c>
      <c r="J2285" s="94">
        <v>1550.66</v>
      </c>
      <c r="K2285" s="94">
        <v>516.89</v>
      </c>
    </row>
    <row r="2286" spans="1:11">
      <c r="A2286" s="74" t="s">
        <v>309</v>
      </c>
      <c r="B2286" s="74" t="s">
        <v>166</v>
      </c>
      <c r="C2286" s="74" t="s">
        <v>167</v>
      </c>
      <c r="D2286" s="74" t="s">
        <v>79</v>
      </c>
      <c r="E2286" s="74" t="s">
        <v>81</v>
      </c>
      <c r="F2286" s="86" t="s">
        <v>160</v>
      </c>
      <c r="G2286" s="74" t="s">
        <v>161</v>
      </c>
      <c r="H2286" s="87">
        <v>44804</v>
      </c>
      <c r="I2286" s="94">
        <v>1581.1</v>
      </c>
      <c r="J2286" s="94">
        <v>1185.83</v>
      </c>
      <c r="K2286" s="94">
        <v>395.27</v>
      </c>
    </row>
    <row r="2287" spans="1:11">
      <c r="A2287" s="74" t="s">
        <v>309</v>
      </c>
      <c r="B2287" s="74" t="s">
        <v>168</v>
      </c>
      <c r="C2287" s="74" t="s">
        <v>169</v>
      </c>
      <c r="D2287" s="74" t="s">
        <v>79</v>
      </c>
      <c r="E2287" s="74" t="s">
        <v>81</v>
      </c>
      <c r="F2287" s="86" t="s">
        <v>123</v>
      </c>
      <c r="G2287" s="74" t="s">
        <v>153</v>
      </c>
      <c r="H2287" s="87">
        <v>44804</v>
      </c>
      <c r="I2287" s="94">
        <v>2437.38</v>
      </c>
      <c r="J2287" s="94">
        <v>1828.04</v>
      </c>
      <c r="K2287" s="94">
        <v>609.34</v>
      </c>
    </row>
    <row r="2288" spans="1:11">
      <c r="A2288" s="74" t="s">
        <v>309</v>
      </c>
      <c r="B2288" s="74" t="s">
        <v>170</v>
      </c>
      <c r="C2288" s="74" t="s">
        <v>171</v>
      </c>
      <c r="D2288" s="74" t="s">
        <v>79</v>
      </c>
      <c r="E2288" s="74" t="s">
        <v>81</v>
      </c>
      <c r="F2288" s="86" t="s">
        <v>156</v>
      </c>
      <c r="G2288" s="74" t="s">
        <v>157</v>
      </c>
      <c r="H2288" s="87">
        <v>44804</v>
      </c>
      <c r="I2288" s="94">
        <v>2144.84</v>
      </c>
      <c r="J2288" s="94">
        <v>1608.63</v>
      </c>
      <c r="K2288" s="94">
        <v>536.21</v>
      </c>
    </row>
    <row r="2289" spans="1:11">
      <c r="A2289" s="74" t="s">
        <v>309</v>
      </c>
      <c r="B2289" s="74" t="s">
        <v>172</v>
      </c>
      <c r="C2289" s="74" t="s">
        <v>173</v>
      </c>
      <c r="D2289" s="74" t="s">
        <v>79</v>
      </c>
      <c r="E2289" s="74" t="s">
        <v>81</v>
      </c>
      <c r="F2289" s="86" t="s">
        <v>160</v>
      </c>
      <c r="G2289" s="74" t="s">
        <v>161</v>
      </c>
      <c r="H2289" s="87">
        <v>44804</v>
      </c>
      <c r="I2289" s="94">
        <v>1625.23</v>
      </c>
      <c r="J2289" s="94">
        <v>1218.92</v>
      </c>
      <c r="K2289" s="94">
        <v>406.31</v>
      </c>
    </row>
    <row r="2290" spans="1:11">
      <c r="A2290" s="74" t="s">
        <v>309</v>
      </c>
      <c r="B2290" s="74" t="s">
        <v>174</v>
      </c>
      <c r="C2290" s="74" t="s">
        <v>175</v>
      </c>
      <c r="D2290" s="74" t="s">
        <v>79</v>
      </c>
      <c r="E2290" s="74" t="s">
        <v>81</v>
      </c>
      <c r="F2290" s="86" t="s">
        <v>176</v>
      </c>
      <c r="G2290" s="74" t="s">
        <v>177</v>
      </c>
      <c r="H2290" s="87">
        <v>44804</v>
      </c>
      <c r="I2290" s="94">
        <v>1248.4</v>
      </c>
      <c r="J2290" s="94">
        <v>936.3</v>
      </c>
      <c r="K2290" s="94">
        <v>312.1</v>
      </c>
    </row>
    <row r="2291" spans="1:11">
      <c r="A2291" s="74" t="s">
        <v>309</v>
      </c>
      <c r="B2291" s="74" t="s">
        <v>178</v>
      </c>
      <c r="C2291" s="74" t="s">
        <v>179</v>
      </c>
      <c r="D2291" s="74" t="s">
        <v>79</v>
      </c>
      <c r="E2291" s="74" t="s">
        <v>81</v>
      </c>
      <c r="F2291" s="86" t="s">
        <v>180</v>
      </c>
      <c r="G2291" s="74" t="s">
        <v>177</v>
      </c>
      <c r="H2291" s="87">
        <v>44804</v>
      </c>
      <c r="I2291" s="94">
        <v>843.86</v>
      </c>
      <c r="J2291" s="94">
        <v>632.9</v>
      </c>
      <c r="K2291" s="94">
        <v>210.96</v>
      </c>
    </row>
    <row r="2292" spans="1:11">
      <c r="A2292" s="74" t="s">
        <v>309</v>
      </c>
      <c r="B2292" s="74" t="s">
        <v>181</v>
      </c>
      <c r="C2292" s="74" t="s">
        <v>182</v>
      </c>
      <c r="D2292" s="74" t="s">
        <v>79</v>
      </c>
      <c r="E2292" s="74" t="s">
        <v>81</v>
      </c>
      <c r="F2292" s="86" t="s">
        <v>183</v>
      </c>
      <c r="G2292" s="74" t="s">
        <v>177</v>
      </c>
      <c r="H2292" s="87">
        <v>44804</v>
      </c>
      <c r="I2292" s="94">
        <v>403.19</v>
      </c>
      <c r="J2292" s="94">
        <v>302.39</v>
      </c>
      <c r="K2292" s="94">
        <v>100.8</v>
      </c>
    </row>
    <row r="2293" spans="1:11">
      <c r="A2293" s="74" t="s">
        <v>309</v>
      </c>
      <c r="B2293" s="74" t="s">
        <v>184</v>
      </c>
      <c r="C2293" s="74" t="s">
        <v>185</v>
      </c>
      <c r="D2293" s="74" t="s">
        <v>79</v>
      </c>
      <c r="E2293" s="74" t="s">
        <v>81</v>
      </c>
      <c r="F2293" s="86" t="s">
        <v>176</v>
      </c>
      <c r="G2293" s="74" t="s">
        <v>177</v>
      </c>
      <c r="H2293" s="87">
        <v>44804</v>
      </c>
      <c r="I2293" s="94">
        <v>1257.14</v>
      </c>
      <c r="J2293" s="94">
        <v>942.86</v>
      </c>
      <c r="K2293" s="94">
        <v>314.28</v>
      </c>
    </row>
    <row r="2294" spans="1:11">
      <c r="A2294" s="74" t="s">
        <v>309</v>
      </c>
      <c r="B2294" s="74" t="s">
        <v>186</v>
      </c>
      <c r="C2294" s="74" t="s">
        <v>187</v>
      </c>
      <c r="D2294" s="74" t="s">
        <v>79</v>
      </c>
      <c r="E2294" s="74" t="s">
        <v>81</v>
      </c>
      <c r="F2294" s="86" t="s">
        <v>180</v>
      </c>
      <c r="G2294" s="74" t="s">
        <v>177</v>
      </c>
      <c r="H2294" s="87">
        <v>44804</v>
      </c>
      <c r="I2294" s="94">
        <v>852.46</v>
      </c>
      <c r="J2294" s="94">
        <v>639.35</v>
      </c>
      <c r="K2294" s="94">
        <v>213.11</v>
      </c>
    </row>
    <row r="2295" spans="1:11">
      <c r="A2295" s="74" t="s">
        <v>309</v>
      </c>
      <c r="B2295" s="74" t="s">
        <v>188</v>
      </c>
      <c r="C2295" s="74" t="s">
        <v>189</v>
      </c>
      <c r="D2295" s="74" t="s">
        <v>79</v>
      </c>
      <c r="E2295" s="74" t="s">
        <v>81</v>
      </c>
      <c r="F2295" s="86" t="s">
        <v>183</v>
      </c>
      <c r="G2295" s="74" t="s">
        <v>177</v>
      </c>
      <c r="H2295" s="87">
        <v>44804</v>
      </c>
      <c r="I2295" s="94">
        <v>397.13</v>
      </c>
      <c r="J2295" s="94">
        <v>297.85</v>
      </c>
      <c r="K2295" s="94">
        <v>99.28</v>
      </c>
    </row>
    <row r="2296" spans="1:11">
      <c r="A2296" s="74" t="s">
        <v>309</v>
      </c>
      <c r="B2296" s="74" t="s">
        <v>190</v>
      </c>
      <c r="C2296" s="74" t="s">
        <v>191</v>
      </c>
      <c r="D2296" s="74" t="s">
        <v>79</v>
      </c>
      <c r="E2296" s="74" t="s">
        <v>81</v>
      </c>
      <c r="F2296" s="86" t="s">
        <v>176</v>
      </c>
      <c r="G2296" s="74" t="s">
        <v>177</v>
      </c>
      <c r="H2296" s="87">
        <v>44804</v>
      </c>
      <c r="I2296" s="94">
        <v>1258.47</v>
      </c>
      <c r="J2296" s="94">
        <v>943.85</v>
      </c>
      <c r="K2296" s="94">
        <v>314.62</v>
      </c>
    </row>
    <row r="2297" spans="1:11">
      <c r="A2297" s="74" t="s">
        <v>309</v>
      </c>
      <c r="B2297" s="74" t="s">
        <v>192</v>
      </c>
      <c r="C2297" s="74" t="s">
        <v>193</v>
      </c>
      <c r="D2297" s="74" t="s">
        <v>79</v>
      </c>
      <c r="E2297" s="74" t="s">
        <v>81</v>
      </c>
      <c r="F2297" s="86" t="s">
        <v>180</v>
      </c>
      <c r="G2297" s="74" t="s">
        <v>177</v>
      </c>
      <c r="H2297" s="87">
        <v>44804</v>
      </c>
      <c r="I2297" s="94">
        <v>851.53</v>
      </c>
      <c r="J2297" s="94">
        <v>638.65</v>
      </c>
      <c r="K2297" s="94">
        <v>212.88</v>
      </c>
    </row>
    <row r="2298" spans="1:11">
      <c r="A2298" s="74" t="s">
        <v>309</v>
      </c>
      <c r="B2298" s="74" t="s">
        <v>194</v>
      </c>
      <c r="C2298" s="74" t="s">
        <v>195</v>
      </c>
      <c r="D2298" s="74" t="s">
        <v>79</v>
      </c>
      <c r="E2298" s="74" t="s">
        <v>81</v>
      </c>
      <c r="F2298" s="86" t="s">
        <v>183</v>
      </c>
      <c r="G2298" s="74" t="s">
        <v>177</v>
      </c>
      <c r="H2298" s="87">
        <v>44804</v>
      </c>
      <c r="I2298" s="94">
        <v>390.67</v>
      </c>
      <c r="J2298" s="94">
        <v>293</v>
      </c>
      <c r="K2298" s="94">
        <v>97.67</v>
      </c>
    </row>
    <row r="2299" spans="1:11">
      <c r="A2299" s="74" t="s">
        <v>309</v>
      </c>
      <c r="B2299" s="74" t="s">
        <v>196</v>
      </c>
      <c r="C2299" s="74" t="s">
        <v>197</v>
      </c>
      <c r="D2299" s="74" t="s">
        <v>79</v>
      </c>
      <c r="E2299" s="74" t="s">
        <v>81</v>
      </c>
      <c r="F2299" s="86" t="s">
        <v>176</v>
      </c>
      <c r="G2299" s="74" t="s">
        <v>177</v>
      </c>
      <c r="H2299" s="87">
        <v>44804</v>
      </c>
      <c r="I2299" s="94">
        <v>1185.33</v>
      </c>
      <c r="J2299" s="94">
        <v>889</v>
      </c>
      <c r="K2299" s="94">
        <v>296.33</v>
      </c>
    </row>
    <row r="2300" spans="1:11">
      <c r="A2300" s="74" t="s">
        <v>309</v>
      </c>
      <c r="B2300" s="74" t="s">
        <v>198</v>
      </c>
      <c r="C2300" s="74" t="s">
        <v>199</v>
      </c>
      <c r="D2300" s="74" t="s">
        <v>79</v>
      </c>
      <c r="E2300" s="74" t="s">
        <v>81</v>
      </c>
      <c r="F2300" s="86" t="s">
        <v>180</v>
      </c>
      <c r="G2300" s="74" t="s">
        <v>177</v>
      </c>
      <c r="H2300" s="87">
        <v>44804</v>
      </c>
      <c r="I2300" s="94">
        <v>791.9</v>
      </c>
      <c r="J2300" s="94">
        <v>593.93</v>
      </c>
      <c r="K2300" s="94">
        <v>197.97</v>
      </c>
    </row>
    <row r="2301" spans="1:11">
      <c r="A2301" s="74" t="s">
        <v>309</v>
      </c>
      <c r="B2301" s="74" t="s">
        <v>200</v>
      </c>
      <c r="C2301" s="74" t="s">
        <v>201</v>
      </c>
      <c r="D2301" s="74" t="s">
        <v>79</v>
      </c>
      <c r="E2301" s="74" t="s">
        <v>81</v>
      </c>
      <c r="F2301" s="86" t="s">
        <v>183</v>
      </c>
      <c r="G2301" s="74" t="s">
        <v>177</v>
      </c>
      <c r="H2301" s="87">
        <v>44804</v>
      </c>
      <c r="I2301" s="94">
        <v>424.72</v>
      </c>
      <c r="J2301" s="94">
        <v>318.54</v>
      </c>
      <c r="K2301" s="94">
        <v>106.18</v>
      </c>
    </row>
    <row r="2302" spans="1:11">
      <c r="A2302" s="74" t="s">
        <v>309</v>
      </c>
      <c r="B2302" s="74" t="s">
        <v>202</v>
      </c>
      <c r="C2302" s="74" t="s">
        <v>203</v>
      </c>
      <c r="D2302" s="74" t="s">
        <v>79</v>
      </c>
      <c r="E2302" s="74" t="s">
        <v>81</v>
      </c>
      <c r="F2302" s="86" t="s">
        <v>204</v>
      </c>
      <c r="G2302" s="74" t="s">
        <v>205</v>
      </c>
      <c r="H2302" s="87">
        <v>44804</v>
      </c>
      <c r="I2302" s="94">
        <v>7679.61</v>
      </c>
      <c r="J2302" s="94">
        <v>5759.71</v>
      </c>
      <c r="K2302" s="94">
        <v>1919.9</v>
      </c>
    </row>
    <row r="2303" spans="1:11">
      <c r="A2303" s="74" t="s">
        <v>309</v>
      </c>
      <c r="B2303" s="74" t="s">
        <v>206</v>
      </c>
      <c r="C2303" s="74" t="s">
        <v>207</v>
      </c>
      <c r="D2303" s="88" t="s">
        <v>82</v>
      </c>
      <c r="E2303" s="88" t="s">
        <v>84</v>
      </c>
      <c r="F2303" s="86" t="s">
        <v>208</v>
      </c>
      <c r="G2303" s="74" t="s">
        <v>209</v>
      </c>
      <c r="H2303" s="87">
        <v>44804</v>
      </c>
      <c r="I2303" s="94">
        <v>3735.69</v>
      </c>
      <c r="J2303" s="94">
        <v>2801.77</v>
      </c>
      <c r="K2303" s="94">
        <v>933.92</v>
      </c>
    </row>
    <row r="2304" spans="1:11">
      <c r="A2304" s="74" t="s">
        <v>309</v>
      </c>
      <c r="B2304" s="74" t="s">
        <v>210</v>
      </c>
      <c r="C2304" s="74" t="s">
        <v>211</v>
      </c>
      <c r="D2304" s="88" t="s">
        <v>82</v>
      </c>
      <c r="E2304" s="88" t="s">
        <v>84</v>
      </c>
      <c r="F2304" s="86" t="s">
        <v>116</v>
      </c>
      <c r="G2304" s="74" t="s">
        <v>209</v>
      </c>
      <c r="H2304" s="87">
        <v>44804</v>
      </c>
      <c r="I2304" s="94">
        <v>3340.16</v>
      </c>
      <c r="J2304" s="94">
        <v>2505.12</v>
      </c>
      <c r="K2304" s="94">
        <v>835.04</v>
      </c>
    </row>
    <row r="2305" spans="1:11">
      <c r="A2305" s="74" t="s">
        <v>309</v>
      </c>
      <c r="B2305" s="74" t="s">
        <v>212</v>
      </c>
      <c r="C2305" s="74" t="s">
        <v>213</v>
      </c>
      <c r="D2305" s="88" t="s">
        <v>82</v>
      </c>
      <c r="E2305" s="88" t="s">
        <v>84</v>
      </c>
      <c r="F2305" s="86" t="s">
        <v>208</v>
      </c>
      <c r="G2305" s="74" t="s">
        <v>209</v>
      </c>
      <c r="H2305" s="87">
        <v>44804</v>
      </c>
      <c r="I2305" s="94">
        <v>3632.13</v>
      </c>
      <c r="J2305" s="94">
        <v>2724.1</v>
      </c>
      <c r="K2305" s="94">
        <v>908.03</v>
      </c>
    </row>
    <row r="2306" spans="1:11">
      <c r="A2306" s="74" t="s">
        <v>309</v>
      </c>
      <c r="B2306" s="74" t="s">
        <v>214</v>
      </c>
      <c r="C2306" s="74" t="s">
        <v>215</v>
      </c>
      <c r="D2306" s="88" t="s">
        <v>82</v>
      </c>
      <c r="E2306" s="88" t="s">
        <v>84</v>
      </c>
      <c r="F2306" s="86" t="s">
        <v>116</v>
      </c>
      <c r="G2306" s="74" t="s">
        <v>209</v>
      </c>
      <c r="H2306" s="87">
        <v>44804</v>
      </c>
      <c r="I2306" s="94">
        <v>3181.01</v>
      </c>
      <c r="J2306" s="94">
        <v>2385.76</v>
      </c>
      <c r="K2306" s="94">
        <v>795.25</v>
      </c>
    </row>
    <row r="2307" spans="1:11">
      <c r="A2307" s="74" t="s">
        <v>309</v>
      </c>
      <c r="B2307" s="74" t="s">
        <v>216</v>
      </c>
      <c r="C2307" s="74" t="s">
        <v>217</v>
      </c>
      <c r="D2307" s="88" t="s">
        <v>82</v>
      </c>
      <c r="E2307" s="88" t="s">
        <v>84</v>
      </c>
      <c r="F2307" s="86" t="s">
        <v>218</v>
      </c>
      <c r="G2307" s="74" t="s">
        <v>219</v>
      </c>
      <c r="H2307" s="87">
        <v>44804</v>
      </c>
      <c r="I2307" s="94">
        <v>4339.67</v>
      </c>
      <c r="J2307" s="94">
        <v>3254.75</v>
      </c>
      <c r="K2307" s="94">
        <v>1084.92</v>
      </c>
    </row>
    <row r="2308" spans="1:11">
      <c r="A2308" s="74" t="s">
        <v>309</v>
      </c>
      <c r="B2308" s="74" t="s">
        <v>220</v>
      </c>
      <c r="C2308" s="74" t="s">
        <v>221</v>
      </c>
      <c r="D2308" s="88" t="s">
        <v>82</v>
      </c>
      <c r="E2308" s="74" t="s">
        <v>83</v>
      </c>
      <c r="F2308" s="86" t="s">
        <v>218</v>
      </c>
      <c r="G2308" s="74" t="s">
        <v>222</v>
      </c>
      <c r="H2308" s="87">
        <v>44804</v>
      </c>
      <c r="I2308" s="94">
        <v>4601.4</v>
      </c>
      <c r="J2308" s="94">
        <v>3451.05</v>
      </c>
      <c r="K2308" s="94">
        <v>1150.35</v>
      </c>
    </row>
    <row r="2309" spans="1:11">
      <c r="A2309" s="74" t="s">
        <v>309</v>
      </c>
      <c r="B2309" s="74" t="s">
        <v>223</v>
      </c>
      <c r="C2309" s="74" t="s">
        <v>224</v>
      </c>
      <c r="D2309" s="88" t="s">
        <v>82</v>
      </c>
      <c r="E2309" s="74" t="s">
        <v>83</v>
      </c>
      <c r="F2309" s="86" t="s">
        <v>225</v>
      </c>
      <c r="G2309" s="74" t="s">
        <v>209</v>
      </c>
      <c r="H2309" s="87">
        <v>44804</v>
      </c>
      <c r="I2309" s="94">
        <v>3953.11</v>
      </c>
      <c r="J2309" s="94">
        <v>2964.83</v>
      </c>
      <c r="K2309" s="94">
        <v>988.28</v>
      </c>
    </row>
    <row r="2310" spans="1:11">
      <c r="A2310" s="74" t="s">
        <v>309</v>
      </c>
      <c r="B2310" s="74" t="s">
        <v>226</v>
      </c>
      <c r="C2310" s="74" t="s">
        <v>227</v>
      </c>
      <c r="D2310" s="88" t="s">
        <v>82</v>
      </c>
      <c r="E2310" s="74" t="s">
        <v>83</v>
      </c>
      <c r="F2310" s="86" t="s">
        <v>208</v>
      </c>
      <c r="G2310" s="74" t="s">
        <v>209</v>
      </c>
      <c r="H2310" s="87">
        <v>44804</v>
      </c>
      <c r="I2310" s="94">
        <v>3527.24</v>
      </c>
      <c r="J2310" s="94">
        <v>2645.43</v>
      </c>
      <c r="K2310" s="94">
        <v>881.81</v>
      </c>
    </row>
    <row r="2311" spans="1:11">
      <c r="A2311" s="74" t="s">
        <v>309</v>
      </c>
      <c r="B2311" s="74" t="s">
        <v>228</v>
      </c>
      <c r="C2311" s="74" t="s">
        <v>229</v>
      </c>
      <c r="D2311" s="88" t="s">
        <v>82</v>
      </c>
      <c r="E2311" s="74" t="s">
        <v>83</v>
      </c>
      <c r="F2311" s="86" t="s">
        <v>116</v>
      </c>
      <c r="G2311" s="74" t="s">
        <v>209</v>
      </c>
      <c r="H2311" s="87">
        <v>44804</v>
      </c>
      <c r="I2311" s="94">
        <v>3283.91</v>
      </c>
      <c r="J2311" s="94">
        <v>2462.93</v>
      </c>
      <c r="K2311" s="94">
        <v>820.98</v>
      </c>
    </row>
    <row r="2312" spans="1:11">
      <c r="A2312" s="74" t="s">
        <v>309</v>
      </c>
      <c r="B2312" s="74" t="s">
        <v>230</v>
      </c>
      <c r="C2312" s="74" t="s">
        <v>231</v>
      </c>
      <c r="D2312" s="88" t="s">
        <v>82</v>
      </c>
      <c r="E2312" s="74" t="s">
        <v>83</v>
      </c>
      <c r="F2312" s="86" t="s">
        <v>120</v>
      </c>
      <c r="G2312" s="74" t="s">
        <v>209</v>
      </c>
      <c r="H2312" s="87">
        <v>44804</v>
      </c>
      <c r="I2312" s="94">
        <v>2773.56</v>
      </c>
      <c r="J2312" s="94">
        <v>2080.17</v>
      </c>
      <c r="K2312" s="94">
        <v>693.39</v>
      </c>
    </row>
    <row r="2313" spans="1:11">
      <c r="A2313" s="74" t="s">
        <v>309</v>
      </c>
      <c r="B2313" s="74" t="s">
        <v>232</v>
      </c>
      <c r="C2313" s="74" t="s">
        <v>233</v>
      </c>
      <c r="D2313" s="88" t="s">
        <v>82</v>
      </c>
      <c r="E2313" s="74" t="s">
        <v>83</v>
      </c>
      <c r="F2313" s="86" t="s">
        <v>123</v>
      </c>
      <c r="G2313" s="74" t="s">
        <v>209</v>
      </c>
      <c r="H2313" s="87">
        <v>44804</v>
      </c>
      <c r="I2313" s="94">
        <v>2420.28</v>
      </c>
      <c r="J2313" s="94">
        <v>1815.21</v>
      </c>
      <c r="K2313" s="94">
        <v>605.07</v>
      </c>
    </row>
    <row r="2314" spans="1:11">
      <c r="A2314" s="74" t="s">
        <v>309</v>
      </c>
      <c r="B2314" s="74" t="s">
        <v>234</v>
      </c>
      <c r="C2314" s="74" t="s">
        <v>235</v>
      </c>
      <c r="D2314" s="88" t="s">
        <v>82</v>
      </c>
      <c r="E2314" s="74" t="s">
        <v>83</v>
      </c>
      <c r="F2314" s="86" t="s">
        <v>116</v>
      </c>
      <c r="G2314" s="74" t="s">
        <v>209</v>
      </c>
      <c r="H2314" s="87">
        <v>44804</v>
      </c>
      <c r="I2314" s="94">
        <v>3389.69</v>
      </c>
      <c r="J2314" s="94">
        <v>2542.27</v>
      </c>
      <c r="K2314" s="94">
        <v>847.42</v>
      </c>
    </row>
    <row r="2315" spans="1:11">
      <c r="A2315" s="74" t="s">
        <v>309</v>
      </c>
      <c r="B2315" s="74" t="s">
        <v>236</v>
      </c>
      <c r="C2315" s="74" t="s">
        <v>237</v>
      </c>
      <c r="D2315" s="88" t="s">
        <v>82</v>
      </c>
      <c r="E2315" s="74" t="s">
        <v>83</v>
      </c>
      <c r="F2315" s="86" t="s">
        <v>120</v>
      </c>
      <c r="G2315" s="74" t="s">
        <v>209</v>
      </c>
      <c r="H2315" s="87">
        <v>44804</v>
      </c>
      <c r="I2315" s="94">
        <v>2889.79</v>
      </c>
      <c r="J2315" s="94">
        <v>2167.34</v>
      </c>
      <c r="K2315" s="94">
        <v>722.45</v>
      </c>
    </row>
    <row r="2316" spans="1:11">
      <c r="A2316" s="74" t="s">
        <v>309</v>
      </c>
      <c r="B2316" s="74" t="s">
        <v>238</v>
      </c>
      <c r="C2316" s="74" t="s">
        <v>239</v>
      </c>
      <c r="D2316" s="74" t="s">
        <v>86</v>
      </c>
      <c r="E2316" s="74" t="s">
        <v>87</v>
      </c>
      <c r="F2316" s="86" t="s">
        <v>204</v>
      </c>
      <c r="G2316" s="74" t="s">
        <v>240</v>
      </c>
      <c r="H2316" s="87">
        <v>44804</v>
      </c>
      <c r="I2316" s="94">
        <v>6091.52</v>
      </c>
      <c r="J2316" s="94">
        <v>4568.64</v>
      </c>
      <c r="K2316" s="94">
        <v>1522.88</v>
      </c>
    </row>
    <row r="2317" spans="1:11">
      <c r="A2317" s="74" t="s">
        <v>309</v>
      </c>
      <c r="B2317" s="74" t="s">
        <v>241</v>
      </c>
      <c r="C2317" s="74" t="s">
        <v>242</v>
      </c>
      <c r="D2317" s="74" t="s">
        <v>86</v>
      </c>
      <c r="E2317" s="74" t="s">
        <v>87</v>
      </c>
      <c r="F2317" s="86" t="s">
        <v>243</v>
      </c>
      <c r="G2317" s="74" t="s">
        <v>244</v>
      </c>
      <c r="H2317" s="87">
        <v>44804</v>
      </c>
      <c r="I2317" s="94">
        <v>4323.71</v>
      </c>
      <c r="J2317" s="94">
        <v>3242.78</v>
      </c>
      <c r="K2317" s="94">
        <v>1080.93</v>
      </c>
    </row>
    <row r="2318" spans="1:11">
      <c r="A2318" s="74" t="s">
        <v>309</v>
      </c>
      <c r="B2318" s="74" t="s">
        <v>245</v>
      </c>
      <c r="C2318" s="74" t="s">
        <v>246</v>
      </c>
      <c r="D2318" s="74" t="s">
        <v>86</v>
      </c>
      <c r="E2318" s="74" t="s">
        <v>87</v>
      </c>
      <c r="F2318" s="86" t="s">
        <v>247</v>
      </c>
      <c r="G2318" s="74" t="s">
        <v>248</v>
      </c>
      <c r="H2318" s="87">
        <v>44804</v>
      </c>
      <c r="I2318" s="94">
        <v>3906.53</v>
      </c>
      <c r="J2318" s="94">
        <v>2929.9</v>
      </c>
      <c r="K2318" s="94">
        <v>976.63</v>
      </c>
    </row>
    <row r="2319" spans="1:11">
      <c r="A2319" s="74" t="s">
        <v>309</v>
      </c>
      <c r="B2319" s="74" t="s">
        <v>249</v>
      </c>
      <c r="C2319" s="74" t="s">
        <v>250</v>
      </c>
      <c r="D2319" s="74" t="s">
        <v>86</v>
      </c>
      <c r="E2319" s="74" t="s">
        <v>87</v>
      </c>
      <c r="F2319" s="86" t="s">
        <v>251</v>
      </c>
      <c r="G2319" s="74" t="s">
        <v>252</v>
      </c>
      <c r="H2319" s="87">
        <v>44804</v>
      </c>
      <c r="I2319" s="94">
        <v>3682.15</v>
      </c>
      <c r="J2319" s="94">
        <v>2761.61</v>
      </c>
      <c r="K2319" s="94">
        <v>920.54</v>
      </c>
    </row>
    <row r="2320" spans="1:11">
      <c r="A2320" s="74" t="s">
        <v>309</v>
      </c>
      <c r="B2320" s="74" t="s">
        <v>253</v>
      </c>
      <c r="C2320" s="74" t="s">
        <v>254</v>
      </c>
      <c r="D2320" s="74" t="s">
        <v>86</v>
      </c>
      <c r="E2320" s="74" t="s">
        <v>87</v>
      </c>
      <c r="F2320" s="86" t="s">
        <v>255</v>
      </c>
      <c r="G2320" s="74" t="s">
        <v>252</v>
      </c>
      <c r="H2320" s="87">
        <v>44804</v>
      </c>
      <c r="I2320" s="94">
        <v>3368.29</v>
      </c>
      <c r="J2320" s="94">
        <v>2526.22</v>
      </c>
      <c r="K2320" s="94">
        <v>842.07</v>
      </c>
    </row>
    <row r="2321" spans="1:11">
      <c r="A2321" s="74" t="s">
        <v>309</v>
      </c>
      <c r="B2321" s="74" t="s">
        <v>256</v>
      </c>
      <c r="C2321" s="74" t="s">
        <v>257</v>
      </c>
      <c r="D2321" s="74" t="s">
        <v>86</v>
      </c>
      <c r="E2321" s="74" t="s">
        <v>87</v>
      </c>
      <c r="F2321" s="86" t="s">
        <v>258</v>
      </c>
      <c r="G2321" s="74" t="s">
        <v>252</v>
      </c>
      <c r="H2321" s="87">
        <v>44804</v>
      </c>
      <c r="I2321" s="94">
        <v>2809.12</v>
      </c>
      <c r="J2321" s="94">
        <v>2106.84</v>
      </c>
      <c r="K2321" s="94">
        <v>702.28</v>
      </c>
    </row>
    <row r="2322" spans="1:11">
      <c r="A2322" s="74" t="s">
        <v>309</v>
      </c>
      <c r="B2322" s="74" t="s">
        <v>259</v>
      </c>
      <c r="C2322" s="74" t="s">
        <v>260</v>
      </c>
      <c r="D2322" s="74" t="s">
        <v>86</v>
      </c>
      <c r="E2322" s="74" t="s">
        <v>87</v>
      </c>
      <c r="F2322" s="86" t="s">
        <v>261</v>
      </c>
      <c r="G2322" s="74" t="s">
        <v>262</v>
      </c>
      <c r="H2322" s="87">
        <v>44804</v>
      </c>
      <c r="I2322" s="94">
        <v>2650.58</v>
      </c>
      <c r="J2322" s="94">
        <v>1987.94</v>
      </c>
      <c r="K2322" s="94">
        <v>662.64</v>
      </c>
    </row>
    <row r="2323" spans="1:11">
      <c r="A2323" s="74" t="s">
        <v>309</v>
      </c>
      <c r="B2323" s="74" t="s">
        <v>263</v>
      </c>
      <c r="C2323" s="74" t="s">
        <v>264</v>
      </c>
      <c r="D2323" s="74" t="s">
        <v>86</v>
      </c>
      <c r="E2323" s="74" t="s">
        <v>88</v>
      </c>
      <c r="F2323" s="86" t="s">
        <v>149</v>
      </c>
      <c r="G2323" s="74" t="s">
        <v>265</v>
      </c>
      <c r="H2323" s="87">
        <v>44804</v>
      </c>
      <c r="I2323" s="94">
        <v>5461.36</v>
      </c>
      <c r="J2323" s="94">
        <v>4096.02</v>
      </c>
      <c r="K2323" s="94">
        <v>1365.34</v>
      </c>
    </row>
    <row r="2324" spans="1:11">
      <c r="A2324" s="74" t="s">
        <v>309</v>
      </c>
      <c r="B2324" s="74" t="s">
        <v>266</v>
      </c>
      <c r="C2324" s="74" t="s">
        <v>267</v>
      </c>
      <c r="D2324" s="74" t="s">
        <v>86</v>
      </c>
      <c r="E2324" s="74" t="s">
        <v>88</v>
      </c>
      <c r="F2324" s="86" t="s">
        <v>243</v>
      </c>
      <c r="G2324" s="74" t="s">
        <v>268</v>
      </c>
      <c r="H2324" s="87">
        <v>44804</v>
      </c>
      <c r="I2324" s="94">
        <v>4376.52</v>
      </c>
      <c r="J2324" s="94">
        <v>3282.39</v>
      </c>
      <c r="K2324" s="94">
        <v>1094.13</v>
      </c>
    </row>
    <row r="2325" spans="1:11">
      <c r="A2325" s="74" t="s">
        <v>309</v>
      </c>
      <c r="B2325" s="74" t="s">
        <v>269</v>
      </c>
      <c r="C2325" s="74" t="s">
        <v>270</v>
      </c>
      <c r="D2325" s="74" t="s">
        <v>86</v>
      </c>
      <c r="E2325" s="74" t="s">
        <v>88</v>
      </c>
      <c r="F2325" s="86" t="s">
        <v>247</v>
      </c>
      <c r="G2325" s="74" t="s">
        <v>268</v>
      </c>
      <c r="H2325" s="87">
        <v>44804</v>
      </c>
      <c r="I2325" s="94">
        <v>3818.76</v>
      </c>
      <c r="J2325" s="94">
        <v>2864.07</v>
      </c>
      <c r="K2325" s="94">
        <v>954.69</v>
      </c>
    </row>
    <row r="2326" spans="1:11">
      <c r="A2326" s="74" t="s">
        <v>309</v>
      </c>
      <c r="B2326" s="74" t="s">
        <v>271</v>
      </c>
      <c r="C2326" s="74" t="s">
        <v>272</v>
      </c>
      <c r="D2326" s="74" t="s">
        <v>86</v>
      </c>
      <c r="E2326" s="74" t="s">
        <v>88</v>
      </c>
      <c r="F2326" s="86" t="s">
        <v>251</v>
      </c>
      <c r="G2326" s="74" t="s">
        <v>268</v>
      </c>
      <c r="H2326" s="87">
        <v>44804</v>
      </c>
      <c r="I2326" s="94">
        <v>3631.24</v>
      </c>
      <c r="J2326" s="94">
        <v>2723.43</v>
      </c>
      <c r="K2326" s="94">
        <v>907.81</v>
      </c>
    </row>
    <row r="2327" spans="1:11">
      <c r="A2327" s="74" t="s">
        <v>309</v>
      </c>
      <c r="B2327" s="74" t="s">
        <v>273</v>
      </c>
      <c r="C2327" s="74" t="s">
        <v>274</v>
      </c>
      <c r="D2327" s="74" t="s">
        <v>86</v>
      </c>
      <c r="E2327" s="74" t="s">
        <v>88</v>
      </c>
      <c r="F2327" s="86" t="s">
        <v>255</v>
      </c>
      <c r="G2327" s="74" t="s">
        <v>268</v>
      </c>
      <c r="H2327" s="87">
        <v>44804</v>
      </c>
      <c r="I2327" s="94">
        <v>3207.5</v>
      </c>
      <c r="J2327" s="94">
        <v>2405.63</v>
      </c>
      <c r="K2327" s="94">
        <v>801.87</v>
      </c>
    </row>
    <row r="2328" spans="1:11">
      <c r="A2328" s="74" t="s">
        <v>309</v>
      </c>
      <c r="B2328" s="74" t="s">
        <v>275</v>
      </c>
      <c r="C2328" s="74" t="s">
        <v>276</v>
      </c>
      <c r="D2328" s="74" t="s">
        <v>86</v>
      </c>
      <c r="E2328" s="74" t="s">
        <v>88</v>
      </c>
      <c r="F2328" s="86" t="s">
        <v>258</v>
      </c>
      <c r="G2328" s="74" t="s">
        <v>268</v>
      </c>
      <c r="H2328" s="87">
        <v>44804</v>
      </c>
      <c r="I2328" s="94">
        <v>3064.2</v>
      </c>
      <c r="J2328" s="94">
        <v>2298.15</v>
      </c>
      <c r="K2328" s="94">
        <v>766.05</v>
      </c>
    </row>
    <row r="2329" spans="1:11">
      <c r="A2329" s="74" t="s">
        <v>309</v>
      </c>
      <c r="B2329" s="74" t="s">
        <v>277</v>
      </c>
      <c r="C2329" s="74" t="s">
        <v>278</v>
      </c>
      <c r="D2329" s="74" t="s">
        <v>86</v>
      </c>
      <c r="E2329" s="74" t="s">
        <v>89</v>
      </c>
      <c r="F2329" s="86" t="s">
        <v>279</v>
      </c>
      <c r="G2329" s="74" t="s">
        <v>280</v>
      </c>
      <c r="H2329" s="87">
        <v>44804</v>
      </c>
      <c r="I2329" s="94">
        <v>4873.12</v>
      </c>
      <c r="J2329" s="94">
        <v>3654.84</v>
      </c>
      <c r="K2329" s="94">
        <v>1218.28</v>
      </c>
    </row>
    <row r="2330" spans="1:11">
      <c r="A2330" s="74" t="s">
        <v>309</v>
      </c>
      <c r="B2330" s="74" t="s">
        <v>281</v>
      </c>
      <c r="C2330" s="74" t="s">
        <v>282</v>
      </c>
      <c r="D2330" s="74" t="s">
        <v>86</v>
      </c>
      <c r="E2330" s="74" t="s">
        <v>89</v>
      </c>
      <c r="F2330" s="86" t="s">
        <v>225</v>
      </c>
      <c r="G2330" s="74" t="s">
        <v>283</v>
      </c>
      <c r="H2330" s="87">
        <v>44804</v>
      </c>
      <c r="I2330" s="94">
        <v>3198.01</v>
      </c>
      <c r="J2330" s="94">
        <v>2398.51</v>
      </c>
      <c r="K2330" s="94">
        <v>799.5</v>
      </c>
    </row>
    <row r="2331" spans="1:11">
      <c r="A2331" s="74" t="s">
        <v>309</v>
      </c>
      <c r="B2331" s="74" t="s">
        <v>284</v>
      </c>
      <c r="C2331" s="74" t="s">
        <v>285</v>
      </c>
      <c r="D2331" s="74" t="s">
        <v>86</v>
      </c>
      <c r="E2331" s="74" t="s">
        <v>89</v>
      </c>
      <c r="F2331" s="86" t="s">
        <v>208</v>
      </c>
      <c r="G2331" s="74" t="s">
        <v>283</v>
      </c>
      <c r="H2331" s="87">
        <v>44804</v>
      </c>
      <c r="I2331" s="94">
        <v>2854.04</v>
      </c>
      <c r="J2331" s="94">
        <v>2140.53</v>
      </c>
      <c r="K2331" s="94">
        <v>713.51</v>
      </c>
    </row>
    <row r="2332" spans="1:11">
      <c r="A2332" s="74" t="s">
        <v>309</v>
      </c>
      <c r="B2332" s="74" t="s">
        <v>286</v>
      </c>
      <c r="C2332" s="74" t="s">
        <v>287</v>
      </c>
      <c r="D2332" s="74" t="s">
        <v>82</v>
      </c>
      <c r="E2332" s="88" t="s">
        <v>85</v>
      </c>
      <c r="F2332" s="86" t="s">
        <v>288</v>
      </c>
      <c r="G2332" s="74" t="s">
        <v>289</v>
      </c>
      <c r="H2332" s="87">
        <v>44804</v>
      </c>
      <c r="I2332" s="94">
        <v>4871.55</v>
      </c>
      <c r="J2332" s="94">
        <v>3653.66</v>
      </c>
      <c r="K2332" s="94">
        <v>1217.89</v>
      </c>
    </row>
    <row r="2333" spans="1:11">
      <c r="A2333" s="74" t="s">
        <v>309</v>
      </c>
      <c r="B2333" s="74" t="s">
        <v>290</v>
      </c>
      <c r="C2333" s="74" t="s">
        <v>291</v>
      </c>
      <c r="D2333" s="74" t="s">
        <v>82</v>
      </c>
      <c r="E2333" s="88" t="s">
        <v>85</v>
      </c>
      <c r="F2333" s="86" t="s">
        <v>218</v>
      </c>
      <c r="G2333" s="74" t="s">
        <v>289</v>
      </c>
      <c r="H2333" s="87">
        <v>44804</v>
      </c>
      <c r="I2333" s="94">
        <v>4458.18</v>
      </c>
      <c r="J2333" s="94">
        <v>3343.64</v>
      </c>
      <c r="K2333" s="94">
        <v>1114.54</v>
      </c>
    </row>
    <row r="2334" spans="1:11">
      <c r="A2334" s="74" t="s">
        <v>309</v>
      </c>
      <c r="B2334" s="74" t="s">
        <v>292</v>
      </c>
      <c r="C2334" s="74" t="s">
        <v>293</v>
      </c>
      <c r="D2334" s="74" t="s">
        <v>82</v>
      </c>
      <c r="E2334" s="88" t="s">
        <v>85</v>
      </c>
      <c r="F2334" s="86" t="s">
        <v>225</v>
      </c>
      <c r="G2334" s="74" t="s">
        <v>289</v>
      </c>
      <c r="H2334" s="87">
        <v>44804</v>
      </c>
      <c r="I2334" s="94">
        <v>3960.61</v>
      </c>
      <c r="J2334" s="94">
        <v>2970.46</v>
      </c>
      <c r="K2334" s="94">
        <v>990.15</v>
      </c>
    </row>
    <row r="2335" spans="1:11">
      <c r="A2335" s="74" t="s">
        <v>309</v>
      </c>
      <c r="B2335" s="74" t="s">
        <v>294</v>
      </c>
      <c r="C2335" s="74" t="s">
        <v>295</v>
      </c>
      <c r="D2335" s="74" t="s">
        <v>82</v>
      </c>
      <c r="E2335" s="88" t="s">
        <v>85</v>
      </c>
      <c r="F2335" s="86" t="s">
        <v>208</v>
      </c>
      <c r="G2335" s="74" t="s">
        <v>289</v>
      </c>
      <c r="H2335" s="87">
        <v>44804</v>
      </c>
      <c r="I2335" s="94">
        <v>3530.45</v>
      </c>
      <c r="J2335" s="94">
        <v>2647.84</v>
      </c>
      <c r="K2335" s="94">
        <v>882.61</v>
      </c>
    </row>
    <row r="2336" spans="1:11">
      <c r="A2336" s="74" t="s">
        <v>309</v>
      </c>
      <c r="B2336" s="74" t="s">
        <v>296</v>
      </c>
      <c r="C2336" s="74" t="s">
        <v>297</v>
      </c>
      <c r="D2336" s="74" t="s">
        <v>82</v>
      </c>
      <c r="E2336" s="88" t="s">
        <v>85</v>
      </c>
      <c r="F2336" s="86" t="s">
        <v>116</v>
      </c>
      <c r="G2336" s="74" t="s">
        <v>289</v>
      </c>
      <c r="H2336" s="87">
        <v>44804</v>
      </c>
      <c r="I2336" s="94">
        <v>3372.68</v>
      </c>
      <c r="J2336" s="94">
        <v>2529.51</v>
      </c>
      <c r="K2336" s="94">
        <v>843.17</v>
      </c>
    </row>
    <row r="2337" spans="1:11">
      <c r="A2337" s="74" t="s">
        <v>309</v>
      </c>
      <c r="B2337" s="74" t="s">
        <v>298</v>
      </c>
      <c r="C2337" s="74" t="s">
        <v>299</v>
      </c>
      <c r="D2337" s="74" t="s">
        <v>82</v>
      </c>
      <c r="E2337" s="88" t="s">
        <v>85</v>
      </c>
      <c r="F2337" s="86" t="s">
        <v>279</v>
      </c>
      <c r="G2337" s="74" t="s">
        <v>300</v>
      </c>
      <c r="H2337" s="87">
        <v>44804</v>
      </c>
      <c r="I2337" s="94">
        <v>5917.08</v>
      </c>
      <c r="J2337" s="94">
        <v>4437.81</v>
      </c>
      <c r="K2337" s="94">
        <v>1479.27</v>
      </c>
    </row>
    <row r="2338" spans="1:11">
      <c r="A2338" s="74" t="s">
        <v>309</v>
      </c>
      <c r="B2338" s="74" t="s">
        <v>301</v>
      </c>
      <c r="C2338" s="74" t="s">
        <v>302</v>
      </c>
      <c r="D2338" s="74" t="s">
        <v>82</v>
      </c>
      <c r="E2338" s="88" t="s">
        <v>85</v>
      </c>
      <c r="F2338" s="86" t="s">
        <v>279</v>
      </c>
      <c r="G2338" s="74" t="s">
        <v>303</v>
      </c>
      <c r="H2338" s="87">
        <v>44804</v>
      </c>
      <c r="I2338" s="94">
        <v>6326.36</v>
      </c>
      <c r="J2338" s="94">
        <v>4744.77</v>
      </c>
      <c r="K2338" s="94">
        <v>1581.59</v>
      </c>
    </row>
    <row r="2339" spans="1:11">
      <c r="A2339" s="74" t="s">
        <v>309</v>
      </c>
      <c r="B2339" s="74" t="s">
        <v>304</v>
      </c>
      <c r="C2339" s="74" t="s">
        <v>305</v>
      </c>
      <c r="D2339" s="74" t="s">
        <v>86</v>
      </c>
      <c r="E2339" s="74" t="s">
        <v>90</v>
      </c>
      <c r="F2339" s="86" t="s">
        <v>306</v>
      </c>
      <c r="G2339" s="74" t="s">
        <v>307</v>
      </c>
      <c r="H2339" s="87">
        <v>44804</v>
      </c>
      <c r="I2339" s="94">
        <v>6862.86</v>
      </c>
      <c r="J2339" s="94">
        <v>5147.15</v>
      </c>
      <c r="K2339" s="94">
        <v>1715.71</v>
      </c>
    </row>
    <row r="2340" spans="1:11">
      <c r="A2340" s="74" t="s">
        <v>309</v>
      </c>
      <c r="B2340" s="74" t="s">
        <v>114</v>
      </c>
      <c r="C2340" s="74" t="s">
        <v>115</v>
      </c>
      <c r="D2340" s="74" t="s">
        <v>79</v>
      </c>
      <c r="E2340" s="74" t="s">
        <v>80</v>
      </c>
      <c r="F2340" s="86" t="s">
        <v>116</v>
      </c>
      <c r="G2340" s="74" t="s">
        <v>117</v>
      </c>
      <c r="H2340" s="87">
        <v>44834</v>
      </c>
      <c r="I2340" s="94">
        <v>3349.82</v>
      </c>
      <c r="J2340" s="94">
        <v>2512.37</v>
      </c>
      <c r="K2340" s="94">
        <v>837.45</v>
      </c>
    </row>
    <row r="2341" spans="1:11">
      <c r="A2341" s="74" t="s">
        <v>309</v>
      </c>
      <c r="B2341" s="74" t="s">
        <v>118</v>
      </c>
      <c r="C2341" s="74" t="s">
        <v>119</v>
      </c>
      <c r="D2341" s="74" t="s">
        <v>79</v>
      </c>
      <c r="E2341" s="74" t="s">
        <v>80</v>
      </c>
      <c r="F2341" s="86" t="s">
        <v>120</v>
      </c>
      <c r="G2341" s="74" t="s">
        <v>117</v>
      </c>
      <c r="H2341" s="87">
        <v>44834</v>
      </c>
      <c r="I2341" s="94">
        <v>2830.16</v>
      </c>
      <c r="J2341" s="94">
        <v>2122.62</v>
      </c>
      <c r="K2341" s="94">
        <v>707.54</v>
      </c>
    </row>
    <row r="2342" spans="1:11">
      <c r="A2342" s="74" t="s">
        <v>309</v>
      </c>
      <c r="B2342" s="74" t="s">
        <v>121</v>
      </c>
      <c r="C2342" s="74" t="s">
        <v>122</v>
      </c>
      <c r="D2342" s="74" t="s">
        <v>79</v>
      </c>
      <c r="E2342" s="74" t="s">
        <v>80</v>
      </c>
      <c r="F2342" s="86" t="s">
        <v>123</v>
      </c>
      <c r="G2342" s="74" t="s">
        <v>117</v>
      </c>
      <c r="H2342" s="87">
        <v>44834</v>
      </c>
      <c r="I2342" s="94">
        <v>2469.78</v>
      </c>
      <c r="J2342" s="94">
        <v>1852.34</v>
      </c>
      <c r="K2342" s="94">
        <v>617.44</v>
      </c>
    </row>
    <row r="2343" spans="1:11">
      <c r="A2343" s="74" t="s">
        <v>309</v>
      </c>
      <c r="B2343" s="74" t="s">
        <v>124</v>
      </c>
      <c r="C2343" s="74" t="s">
        <v>125</v>
      </c>
      <c r="D2343" s="74" t="s">
        <v>79</v>
      </c>
      <c r="E2343" s="74" t="s">
        <v>80</v>
      </c>
      <c r="F2343" s="86" t="s">
        <v>116</v>
      </c>
      <c r="G2343" s="74" t="s">
        <v>117</v>
      </c>
      <c r="H2343" s="87">
        <v>44834</v>
      </c>
      <c r="I2343" s="94">
        <v>3339.85</v>
      </c>
      <c r="J2343" s="94">
        <v>2504.89</v>
      </c>
      <c r="K2343" s="94">
        <v>834.96</v>
      </c>
    </row>
    <row r="2344" spans="1:11">
      <c r="A2344" s="74" t="s">
        <v>309</v>
      </c>
      <c r="B2344" s="74" t="s">
        <v>126</v>
      </c>
      <c r="C2344" s="74" t="s">
        <v>127</v>
      </c>
      <c r="D2344" s="74" t="s">
        <v>79</v>
      </c>
      <c r="E2344" s="74" t="s">
        <v>80</v>
      </c>
      <c r="F2344" s="86" t="s">
        <v>120</v>
      </c>
      <c r="G2344" s="74" t="s">
        <v>117</v>
      </c>
      <c r="H2344" s="87">
        <v>44834</v>
      </c>
      <c r="I2344" s="94">
        <v>2911.53</v>
      </c>
      <c r="J2344" s="94">
        <v>2183.65</v>
      </c>
      <c r="K2344" s="94">
        <v>727.88</v>
      </c>
    </row>
    <row r="2345" spans="1:11">
      <c r="A2345" s="74" t="s">
        <v>309</v>
      </c>
      <c r="B2345" s="74" t="s">
        <v>128</v>
      </c>
      <c r="C2345" s="74" t="s">
        <v>129</v>
      </c>
      <c r="D2345" s="74" t="s">
        <v>79</v>
      </c>
      <c r="E2345" s="74" t="s">
        <v>80</v>
      </c>
      <c r="F2345" s="86" t="s">
        <v>123</v>
      </c>
      <c r="G2345" s="74" t="s">
        <v>117</v>
      </c>
      <c r="H2345" s="87">
        <v>44834</v>
      </c>
      <c r="I2345" s="94">
        <v>2428.21</v>
      </c>
      <c r="J2345" s="94">
        <v>1821.16</v>
      </c>
      <c r="K2345" s="94">
        <v>607.05</v>
      </c>
    </row>
    <row r="2346" spans="1:11">
      <c r="A2346" s="74" t="s">
        <v>309</v>
      </c>
      <c r="B2346" s="74" t="s">
        <v>130</v>
      </c>
      <c r="C2346" s="74" t="s">
        <v>131</v>
      </c>
      <c r="D2346" s="74" t="s">
        <v>79</v>
      </c>
      <c r="E2346" s="74" t="s">
        <v>80</v>
      </c>
      <c r="F2346" s="86" t="s">
        <v>116</v>
      </c>
      <c r="G2346" s="74" t="s">
        <v>117</v>
      </c>
      <c r="H2346" s="87">
        <v>44834</v>
      </c>
      <c r="I2346" s="94">
        <v>3307.54</v>
      </c>
      <c r="J2346" s="94">
        <v>2480.66</v>
      </c>
      <c r="K2346" s="94">
        <v>826.88</v>
      </c>
    </row>
    <row r="2347" spans="1:11">
      <c r="A2347" s="74" t="s">
        <v>309</v>
      </c>
      <c r="B2347" s="74" t="s">
        <v>132</v>
      </c>
      <c r="C2347" s="74" t="s">
        <v>133</v>
      </c>
      <c r="D2347" s="74" t="s">
        <v>79</v>
      </c>
      <c r="E2347" s="74" t="s">
        <v>80</v>
      </c>
      <c r="F2347" s="86" t="s">
        <v>120</v>
      </c>
      <c r="G2347" s="74" t="s">
        <v>117</v>
      </c>
      <c r="H2347" s="87">
        <v>44834</v>
      </c>
      <c r="I2347" s="94">
        <v>2947.22</v>
      </c>
      <c r="J2347" s="94">
        <v>2210.42</v>
      </c>
      <c r="K2347" s="94">
        <v>736.8</v>
      </c>
    </row>
    <row r="2348" spans="1:11">
      <c r="A2348" s="74" t="s">
        <v>309</v>
      </c>
      <c r="B2348" s="74" t="s">
        <v>134</v>
      </c>
      <c r="C2348" s="74" t="s">
        <v>135</v>
      </c>
      <c r="D2348" s="74" t="s">
        <v>79</v>
      </c>
      <c r="E2348" s="74" t="s">
        <v>80</v>
      </c>
      <c r="F2348" s="86" t="s">
        <v>123</v>
      </c>
      <c r="G2348" s="74" t="s">
        <v>117</v>
      </c>
      <c r="H2348" s="87">
        <v>44834</v>
      </c>
      <c r="I2348" s="94">
        <v>2547.29</v>
      </c>
      <c r="J2348" s="94">
        <v>1910.47</v>
      </c>
      <c r="K2348" s="94">
        <v>636.82</v>
      </c>
    </row>
    <row r="2349" spans="1:11">
      <c r="A2349" s="74" t="s">
        <v>309</v>
      </c>
      <c r="B2349" s="74" t="s">
        <v>136</v>
      </c>
      <c r="C2349" s="74" t="s">
        <v>137</v>
      </c>
      <c r="D2349" s="74" t="s">
        <v>79</v>
      </c>
      <c r="E2349" s="74" t="s">
        <v>80</v>
      </c>
      <c r="F2349" s="86" t="s">
        <v>116</v>
      </c>
      <c r="G2349" s="74" t="s">
        <v>138</v>
      </c>
      <c r="H2349" s="87">
        <v>44834</v>
      </c>
      <c r="I2349" s="94">
        <v>3139.66</v>
      </c>
      <c r="J2349" s="94">
        <v>2354.75</v>
      </c>
      <c r="K2349" s="94">
        <v>784.91</v>
      </c>
    </row>
    <row r="2350" spans="1:11">
      <c r="A2350" s="74" t="s">
        <v>309</v>
      </c>
      <c r="B2350" s="74" t="s">
        <v>139</v>
      </c>
      <c r="C2350" s="74" t="s">
        <v>140</v>
      </c>
      <c r="D2350" s="74" t="s">
        <v>79</v>
      </c>
      <c r="E2350" s="74" t="s">
        <v>80</v>
      </c>
      <c r="F2350" s="86" t="s">
        <v>120</v>
      </c>
      <c r="G2350" s="74" t="s">
        <v>138</v>
      </c>
      <c r="H2350" s="87">
        <v>44834</v>
      </c>
      <c r="I2350" s="94">
        <v>2778.94</v>
      </c>
      <c r="J2350" s="94">
        <v>2084.21</v>
      </c>
      <c r="K2350" s="94">
        <v>694.73</v>
      </c>
    </row>
    <row r="2351" spans="1:11">
      <c r="A2351" s="74" t="s">
        <v>309</v>
      </c>
      <c r="B2351" s="74" t="s">
        <v>141</v>
      </c>
      <c r="C2351" s="74" t="s">
        <v>142</v>
      </c>
      <c r="D2351" s="74" t="s">
        <v>79</v>
      </c>
      <c r="E2351" s="74" t="s">
        <v>80</v>
      </c>
      <c r="F2351" s="86" t="s">
        <v>123</v>
      </c>
      <c r="G2351" s="74" t="s">
        <v>138</v>
      </c>
      <c r="H2351" s="87">
        <v>44834</v>
      </c>
      <c r="I2351" s="94">
        <v>2340.83</v>
      </c>
      <c r="J2351" s="94">
        <v>1755.62</v>
      </c>
      <c r="K2351" s="94">
        <v>585.21</v>
      </c>
    </row>
    <row r="2352" spans="1:11">
      <c r="A2352" s="74" t="s">
        <v>309</v>
      </c>
      <c r="B2352" s="74" t="s">
        <v>143</v>
      </c>
      <c r="C2352" s="74" t="s">
        <v>144</v>
      </c>
      <c r="D2352" s="74" t="s">
        <v>79</v>
      </c>
      <c r="E2352" s="74" t="s">
        <v>80</v>
      </c>
      <c r="F2352" s="86" t="s">
        <v>145</v>
      </c>
      <c r="G2352" s="74" t="s">
        <v>146</v>
      </c>
      <c r="H2352" s="87">
        <v>44834</v>
      </c>
      <c r="I2352" s="94">
        <v>7490.15</v>
      </c>
      <c r="J2352" s="94">
        <v>5617.61</v>
      </c>
      <c r="K2352" s="94">
        <v>1872.54</v>
      </c>
    </row>
    <row r="2353" spans="1:11">
      <c r="A2353" s="74" t="s">
        <v>309</v>
      </c>
      <c r="B2353" s="74" t="s">
        <v>147</v>
      </c>
      <c r="C2353" s="74" t="s">
        <v>148</v>
      </c>
      <c r="D2353" s="74" t="s">
        <v>79</v>
      </c>
      <c r="E2353" s="74" t="s">
        <v>80</v>
      </c>
      <c r="F2353" s="86" t="s">
        <v>149</v>
      </c>
      <c r="G2353" s="74" t="s">
        <v>150</v>
      </c>
      <c r="H2353" s="87">
        <v>44834</v>
      </c>
      <c r="I2353" s="94">
        <v>6652.02</v>
      </c>
      <c r="J2353" s="94">
        <v>4989.02</v>
      </c>
      <c r="K2353" s="94">
        <v>1663</v>
      </c>
    </row>
    <row r="2354" spans="1:11">
      <c r="A2354" s="74" t="s">
        <v>309</v>
      </c>
      <c r="B2354" s="74" t="s">
        <v>151</v>
      </c>
      <c r="C2354" s="74" t="s">
        <v>152</v>
      </c>
      <c r="D2354" s="74" t="s">
        <v>79</v>
      </c>
      <c r="E2354" s="74" t="s">
        <v>81</v>
      </c>
      <c r="F2354" s="86" t="s">
        <v>123</v>
      </c>
      <c r="G2354" s="74" t="s">
        <v>153</v>
      </c>
      <c r="H2354" s="87">
        <v>44834</v>
      </c>
      <c r="I2354" s="94">
        <v>2382.06</v>
      </c>
      <c r="J2354" s="94">
        <v>1786.55</v>
      </c>
      <c r="K2354" s="94">
        <v>595.51</v>
      </c>
    </row>
    <row r="2355" spans="1:11">
      <c r="A2355" s="74" t="s">
        <v>309</v>
      </c>
      <c r="B2355" s="74" t="s">
        <v>154</v>
      </c>
      <c r="C2355" s="74" t="s">
        <v>155</v>
      </c>
      <c r="D2355" s="74" t="s">
        <v>79</v>
      </c>
      <c r="E2355" s="74" t="s">
        <v>81</v>
      </c>
      <c r="F2355" s="86" t="s">
        <v>156</v>
      </c>
      <c r="G2355" s="74" t="s">
        <v>157</v>
      </c>
      <c r="H2355" s="87">
        <v>44834</v>
      </c>
      <c r="I2355" s="94">
        <v>2073.4</v>
      </c>
      <c r="J2355" s="94">
        <v>1555.05</v>
      </c>
      <c r="K2355" s="94">
        <v>518.35</v>
      </c>
    </row>
    <row r="2356" spans="1:11">
      <c r="A2356" s="74" t="s">
        <v>309</v>
      </c>
      <c r="B2356" s="74" t="s">
        <v>158</v>
      </c>
      <c r="C2356" s="74" t="s">
        <v>159</v>
      </c>
      <c r="D2356" s="74" t="s">
        <v>79</v>
      </c>
      <c r="E2356" s="74" t="s">
        <v>81</v>
      </c>
      <c r="F2356" s="86" t="s">
        <v>160</v>
      </c>
      <c r="G2356" s="74" t="s">
        <v>161</v>
      </c>
      <c r="H2356" s="87">
        <v>44834</v>
      </c>
      <c r="I2356" s="94">
        <v>1705.45</v>
      </c>
      <c r="J2356" s="94">
        <v>1279.09</v>
      </c>
      <c r="K2356" s="94">
        <v>426.36</v>
      </c>
    </row>
    <row r="2357" spans="1:11">
      <c r="A2357" s="74" t="s">
        <v>309</v>
      </c>
      <c r="B2357" s="74" t="s">
        <v>162</v>
      </c>
      <c r="C2357" s="74" t="s">
        <v>163</v>
      </c>
      <c r="D2357" s="74" t="s">
        <v>79</v>
      </c>
      <c r="E2357" s="74" t="s">
        <v>81</v>
      </c>
      <c r="F2357" s="86" t="s">
        <v>123</v>
      </c>
      <c r="G2357" s="74" t="s">
        <v>153</v>
      </c>
      <c r="H2357" s="87">
        <v>44834</v>
      </c>
      <c r="I2357" s="94">
        <v>2549.74</v>
      </c>
      <c r="J2357" s="94">
        <v>1912.31</v>
      </c>
      <c r="K2357" s="94">
        <v>637.43</v>
      </c>
    </row>
    <row r="2358" spans="1:11">
      <c r="A2358" s="74" t="s">
        <v>309</v>
      </c>
      <c r="B2358" s="74" t="s">
        <v>164</v>
      </c>
      <c r="C2358" s="74" t="s">
        <v>165</v>
      </c>
      <c r="D2358" s="74" t="s">
        <v>79</v>
      </c>
      <c r="E2358" s="74" t="s">
        <v>81</v>
      </c>
      <c r="F2358" s="86" t="s">
        <v>156</v>
      </c>
      <c r="G2358" s="74" t="s">
        <v>157</v>
      </c>
      <c r="H2358" s="87">
        <v>44834</v>
      </c>
      <c r="I2358" s="94">
        <v>2066.22</v>
      </c>
      <c r="J2358" s="94">
        <v>1549.67</v>
      </c>
      <c r="K2358" s="94">
        <v>516.55</v>
      </c>
    </row>
    <row r="2359" spans="1:11">
      <c r="A2359" s="74" t="s">
        <v>309</v>
      </c>
      <c r="B2359" s="74" t="s">
        <v>166</v>
      </c>
      <c r="C2359" s="74" t="s">
        <v>167</v>
      </c>
      <c r="D2359" s="74" t="s">
        <v>79</v>
      </c>
      <c r="E2359" s="74" t="s">
        <v>81</v>
      </c>
      <c r="F2359" s="86" t="s">
        <v>160</v>
      </c>
      <c r="G2359" s="74" t="s">
        <v>161</v>
      </c>
      <c r="H2359" s="87">
        <v>44834</v>
      </c>
      <c r="I2359" s="94">
        <v>1699.82</v>
      </c>
      <c r="J2359" s="94">
        <v>1274.87</v>
      </c>
      <c r="K2359" s="94">
        <v>424.95</v>
      </c>
    </row>
    <row r="2360" spans="1:11">
      <c r="A2360" s="74" t="s">
        <v>309</v>
      </c>
      <c r="B2360" s="74" t="s">
        <v>168</v>
      </c>
      <c r="C2360" s="74" t="s">
        <v>169</v>
      </c>
      <c r="D2360" s="74" t="s">
        <v>79</v>
      </c>
      <c r="E2360" s="74" t="s">
        <v>81</v>
      </c>
      <c r="F2360" s="86" t="s">
        <v>123</v>
      </c>
      <c r="G2360" s="74" t="s">
        <v>153</v>
      </c>
      <c r="H2360" s="87">
        <v>44834</v>
      </c>
      <c r="I2360" s="94">
        <v>2485.28</v>
      </c>
      <c r="J2360" s="94">
        <v>1863.96</v>
      </c>
      <c r="K2360" s="94">
        <v>621.32</v>
      </c>
    </row>
    <row r="2361" spans="1:11">
      <c r="A2361" s="74" t="s">
        <v>309</v>
      </c>
      <c r="B2361" s="74" t="s">
        <v>170</v>
      </c>
      <c r="C2361" s="74" t="s">
        <v>171</v>
      </c>
      <c r="D2361" s="74" t="s">
        <v>79</v>
      </c>
      <c r="E2361" s="74" t="s">
        <v>81</v>
      </c>
      <c r="F2361" s="86" t="s">
        <v>156</v>
      </c>
      <c r="G2361" s="74" t="s">
        <v>157</v>
      </c>
      <c r="H2361" s="87">
        <v>44834</v>
      </c>
      <c r="I2361" s="94">
        <v>2075.66</v>
      </c>
      <c r="J2361" s="94">
        <v>1556.75</v>
      </c>
      <c r="K2361" s="94">
        <v>518.91</v>
      </c>
    </row>
    <row r="2362" spans="1:11">
      <c r="A2362" s="74" t="s">
        <v>309</v>
      </c>
      <c r="B2362" s="74" t="s">
        <v>172</v>
      </c>
      <c r="C2362" s="74" t="s">
        <v>173</v>
      </c>
      <c r="D2362" s="74" t="s">
        <v>79</v>
      </c>
      <c r="E2362" s="74" t="s">
        <v>81</v>
      </c>
      <c r="F2362" s="86" t="s">
        <v>160</v>
      </c>
      <c r="G2362" s="74" t="s">
        <v>161</v>
      </c>
      <c r="H2362" s="87">
        <v>44834</v>
      </c>
      <c r="I2362" s="94">
        <v>1674.03</v>
      </c>
      <c r="J2362" s="94">
        <v>1255.52</v>
      </c>
      <c r="K2362" s="94">
        <v>418.51</v>
      </c>
    </row>
    <row r="2363" spans="1:11">
      <c r="A2363" s="74" t="s">
        <v>309</v>
      </c>
      <c r="B2363" s="74" t="s">
        <v>174</v>
      </c>
      <c r="C2363" s="74" t="s">
        <v>175</v>
      </c>
      <c r="D2363" s="74" t="s">
        <v>79</v>
      </c>
      <c r="E2363" s="74" t="s">
        <v>81</v>
      </c>
      <c r="F2363" s="86" t="s">
        <v>176</v>
      </c>
      <c r="G2363" s="74" t="s">
        <v>177</v>
      </c>
      <c r="H2363" s="87">
        <v>44834</v>
      </c>
      <c r="I2363" s="94">
        <v>1240.28</v>
      </c>
      <c r="J2363" s="94">
        <v>930.21</v>
      </c>
      <c r="K2363" s="94">
        <v>310.07</v>
      </c>
    </row>
    <row r="2364" spans="1:11">
      <c r="A2364" s="74" t="s">
        <v>309</v>
      </c>
      <c r="B2364" s="74" t="s">
        <v>178</v>
      </c>
      <c r="C2364" s="74" t="s">
        <v>179</v>
      </c>
      <c r="D2364" s="74" t="s">
        <v>79</v>
      </c>
      <c r="E2364" s="74" t="s">
        <v>81</v>
      </c>
      <c r="F2364" s="86" t="s">
        <v>180</v>
      </c>
      <c r="G2364" s="74" t="s">
        <v>177</v>
      </c>
      <c r="H2364" s="87">
        <v>44834</v>
      </c>
      <c r="I2364" s="94">
        <v>798.19</v>
      </c>
      <c r="J2364" s="94">
        <v>598.64</v>
      </c>
      <c r="K2364" s="94">
        <v>199.55</v>
      </c>
    </row>
    <row r="2365" spans="1:11">
      <c r="A2365" s="74" t="s">
        <v>309</v>
      </c>
      <c r="B2365" s="74" t="s">
        <v>181</v>
      </c>
      <c r="C2365" s="74" t="s">
        <v>182</v>
      </c>
      <c r="D2365" s="74" t="s">
        <v>79</v>
      </c>
      <c r="E2365" s="74" t="s">
        <v>81</v>
      </c>
      <c r="F2365" s="86" t="s">
        <v>183</v>
      </c>
      <c r="G2365" s="74" t="s">
        <v>177</v>
      </c>
      <c r="H2365" s="87">
        <v>44834</v>
      </c>
      <c r="I2365" s="94">
        <v>409.26</v>
      </c>
      <c r="J2365" s="94">
        <v>306.95</v>
      </c>
      <c r="K2365" s="94">
        <v>102.31</v>
      </c>
    </row>
    <row r="2366" spans="1:11">
      <c r="A2366" s="74" t="s">
        <v>309</v>
      </c>
      <c r="B2366" s="74" t="s">
        <v>184</v>
      </c>
      <c r="C2366" s="74" t="s">
        <v>185</v>
      </c>
      <c r="D2366" s="74" t="s">
        <v>79</v>
      </c>
      <c r="E2366" s="74" t="s">
        <v>81</v>
      </c>
      <c r="F2366" s="86" t="s">
        <v>176</v>
      </c>
      <c r="G2366" s="74" t="s">
        <v>177</v>
      </c>
      <c r="H2366" s="87">
        <v>44834</v>
      </c>
      <c r="I2366" s="94">
        <v>1227.37</v>
      </c>
      <c r="J2366" s="94">
        <v>920.53</v>
      </c>
      <c r="K2366" s="94">
        <v>306.84</v>
      </c>
    </row>
    <row r="2367" spans="1:11">
      <c r="A2367" s="74" t="s">
        <v>309</v>
      </c>
      <c r="B2367" s="74" t="s">
        <v>186</v>
      </c>
      <c r="C2367" s="74" t="s">
        <v>187</v>
      </c>
      <c r="D2367" s="74" t="s">
        <v>79</v>
      </c>
      <c r="E2367" s="74" t="s">
        <v>81</v>
      </c>
      <c r="F2367" s="86" t="s">
        <v>180</v>
      </c>
      <c r="G2367" s="74" t="s">
        <v>177</v>
      </c>
      <c r="H2367" s="87">
        <v>44834</v>
      </c>
      <c r="I2367" s="94">
        <v>812.25</v>
      </c>
      <c r="J2367" s="94">
        <v>609.19</v>
      </c>
      <c r="K2367" s="94">
        <v>203.06</v>
      </c>
    </row>
    <row r="2368" spans="1:11">
      <c r="A2368" s="74" t="s">
        <v>309</v>
      </c>
      <c r="B2368" s="74" t="s">
        <v>188</v>
      </c>
      <c r="C2368" s="74" t="s">
        <v>189</v>
      </c>
      <c r="D2368" s="74" t="s">
        <v>79</v>
      </c>
      <c r="E2368" s="74" t="s">
        <v>81</v>
      </c>
      <c r="F2368" s="86" t="s">
        <v>183</v>
      </c>
      <c r="G2368" s="74" t="s">
        <v>177</v>
      </c>
      <c r="H2368" s="87">
        <v>44834</v>
      </c>
      <c r="I2368" s="94">
        <v>413.51</v>
      </c>
      <c r="J2368" s="94">
        <v>310.13</v>
      </c>
      <c r="K2368" s="94">
        <v>103.38</v>
      </c>
    </row>
    <row r="2369" spans="1:11">
      <c r="A2369" s="74" t="s">
        <v>309</v>
      </c>
      <c r="B2369" s="74" t="s">
        <v>190</v>
      </c>
      <c r="C2369" s="74" t="s">
        <v>191</v>
      </c>
      <c r="D2369" s="74" t="s">
        <v>79</v>
      </c>
      <c r="E2369" s="74" t="s">
        <v>81</v>
      </c>
      <c r="F2369" s="86" t="s">
        <v>176</v>
      </c>
      <c r="G2369" s="74" t="s">
        <v>177</v>
      </c>
      <c r="H2369" s="87">
        <v>44834</v>
      </c>
      <c r="I2369" s="94">
        <v>1226.94</v>
      </c>
      <c r="J2369" s="94">
        <v>920.21</v>
      </c>
      <c r="K2369" s="94">
        <v>306.73</v>
      </c>
    </row>
    <row r="2370" spans="1:11">
      <c r="A2370" s="74" t="s">
        <v>309</v>
      </c>
      <c r="B2370" s="74" t="s">
        <v>192</v>
      </c>
      <c r="C2370" s="74" t="s">
        <v>193</v>
      </c>
      <c r="D2370" s="74" t="s">
        <v>79</v>
      </c>
      <c r="E2370" s="74" t="s">
        <v>81</v>
      </c>
      <c r="F2370" s="86" t="s">
        <v>180</v>
      </c>
      <c r="G2370" s="74" t="s">
        <v>177</v>
      </c>
      <c r="H2370" s="87">
        <v>44834</v>
      </c>
      <c r="I2370" s="94">
        <v>806.02</v>
      </c>
      <c r="J2370" s="94">
        <v>604.52</v>
      </c>
      <c r="K2370" s="94">
        <v>201.5</v>
      </c>
    </row>
    <row r="2371" spans="1:11">
      <c r="A2371" s="74" t="s">
        <v>309</v>
      </c>
      <c r="B2371" s="74" t="s">
        <v>194</v>
      </c>
      <c r="C2371" s="74" t="s">
        <v>195</v>
      </c>
      <c r="D2371" s="74" t="s">
        <v>79</v>
      </c>
      <c r="E2371" s="74" t="s">
        <v>81</v>
      </c>
      <c r="F2371" s="86" t="s">
        <v>183</v>
      </c>
      <c r="G2371" s="74" t="s">
        <v>177</v>
      </c>
      <c r="H2371" s="87">
        <v>44834</v>
      </c>
      <c r="I2371" s="94">
        <v>403.57</v>
      </c>
      <c r="J2371" s="94">
        <v>302.68</v>
      </c>
      <c r="K2371" s="94">
        <v>100.89</v>
      </c>
    </row>
    <row r="2372" spans="1:11">
      <c r="A2372" s="74" t="s">
        <v>309</v>
      </c>
      <c r="B2372" s="74" t="s">
        <v>196</v>
      </c>
      <c r="C2372" s="74" t="s">
        <v>197</v>
      </c>
      <c r="D2372" s="74" t="s">
        <v>79</v>
      </c>
      <c r="E2372" s="74" t="s">
        <v>81</v>
      </c>
      <c r="F2372" s="86" t="s">
        <v>176</v>
      </c>
      <c r="G2372" s="74" t="s">
        <v>177</v>
      </c>
      <c r="H2372" s="87">
        <v>44834</v>
      </c>
      <c r="I2372" s="94">
        <v>1192.07</v>
      </c>
      <c r="J2372" s="94">
        <v>894.05</v>
      </c>
      <c r="K2372" s="94">
        <v>298.02</v>
      </c>
    </row>
    <row r="2373" spans="1:11">
      <c r="A2373" s="74" t="s">
        <v>309</v>
      </c>
      <c r="B2373" s="74" t="s">
        <v>198</v>
      </c>
      <c r="C2373" s="74" t="s">
        <v>199</v>
      </c>
      <c r="D2373" s="74" t="s">
        <v>79</v>
      </c>
      <c r="E2373" s="74" t="s">
        <v>81</v>
      </c>
      <c r="F2373" s="86" t="s">
        <v>180</v>
      </c>
      <c r="G2373" s="74" t="s">
        <v>177</v>
      </c>
      <c r="H2373" s="87">
        <v>44834</v>
      </c>
      <c r="I2373" s="94">
        <v>780.49</v>
      </c>
      <c r="J2373" s="94">
        <v>585.37</v>
      </c>
      <c r="K2373" s="94">
        <v>195.12</v>
      </c>
    </row>
    <row r="2374" spans="1:11">
      <c r="A2374" s="74" t="s">
        <v>309</v>
      </c>
      <c r="B2374" s="74" t="s">
        <v>200</v>
      </c>
      <c r="C2374" s="74" t="s">
        <v>201</v>
      </c>
      <c r="D2374" s="74" t="s">
        <v>79</v>
      </c>
      <c r="E2374" s="74" t="s">
        <v>81</v>
      </c>
      <c r="F2374" s="86" t="s">
        <v>183</v>
      </c>
      <c r="G2374" s="74" t="s">
        <v>177</v>
      </c>
      <c r="H2374" s="87">
        <v>44834</v>
      </c>
      <c r="I2374" s="94">
        <v>407.26</v>
      </c>
      <c r="J2374" s="94">
        <v>305.45</v>
      </c>
      <c r="K2374" s="94">
        <v>101.81</v>
      </c>
    </row>
    <row r="2375" spans="1:11">
      <c r="A2375" s="74" t="s">
        <v>309</v>
      </c>
      <c r="B2375" s="74" t="s">
        <v>202</v>
      </c>
      <c r="C2375" s="74" t="s">
        <v>203</v>
      </c>
      <c r="D2375" s="74" t="s">
        <v>79</v>
      </c>
      <c r="E2375" s="74" t="s">
        <v>81</v>
      </c>
      <c r="F2375" s="86" t="s">
        <v>204</v>
      </c>
      <c r="G2375" s="74" t="s">
        <v>205</v>
      </c>
      <c r="H2375" s="87">
        <v>44834</v>
      </c>
      <c r="I2375" s="94">
        <v>7090.24</v>
      </c>
      <c r="J2375" s="94">
        <v>5317.68</v>
      </c>
      <c r="K2375" s="94">
        <v>1772.56</v>
      </c>
    </row>
    <row r="2376" spans="1:11">
      <c r="A2376" s="74" t="s">
        <v>309</v>
      </c>
      <c r="B2376" s="74" t="s">
        <v>206</v>
      </c>
      <c r="C2376" s="74" t="s">
        <v>207</v>
      </c>
      <c r="D2376" s="88" t="s">
        <v>82</v>
      </c>
      <c r="E2376" s="88" t="s">
        <v>84</v>
      </c>
      <c r="F2376" s="86" t="s">
        <v>208</v>
      </c>
      <c r="G2376" s="74" t="s">
        <v>209</v>
      </c>
      <c r="H2376" s="87">
        <v>44834</v>
      </c>
      <c r="I2376" s="94">
        <v>3678.73</v>
      </c>
      <c r="J2376" s="94">
        <v>2759.05</v>
      </c>
      <c r="K2376" s="94">
        <v>919.68</v>
      </c>
    </row>
    <row r="2377" spans="1:11">
      <c r="A2377" s="74" t="s">
        <v>309</v>
      </c>
      <c r="B2377" s="74" t="s">
        <v>210</v>
      </c>
      <c r="C2377" s="74" t="s">
        <v>211</v>
      </c>
      <c r="D2377" s="88" t="s">
        <v>82</v>
      </c>
      <c r="E2377" s="88" t="s">
        <v>84</v>
      </c>
      <c r="F2377" s="86" t="s">
        <v>116</v>
      </c>
      <c r="G2377" s="74" t="s">
        <v>209</v>
      </c>
      <c r="H2377" s="87">
        <v>44834</v>
      </c>
      <c r="I2377" s="94">
        <v>3424.73</v>
      </c>
      <c r="J2377" s="94">
        <v>2568.55</v>
      </c>
      <c r="K2377" s="94">
        <v>856.18</v>
      </c>
    </row>
    <row r="2378" spans="1:11">
      <c r="A2378" s="74" t="s">
        <v>309</v>
      </c>
      <c r="B2378" s="74" t="s">
        <v>212</v>
      </c>
      <c r="C2378" s="74" t="s">
        <v>213</v>
      </c>
      <c r="D2378" s="88" t="s">
        <v>82</v>
      </c>
      <c r="E2378" s="88" t="s">
        <v>84</v>
      </c>
      <c r="F2378" s="86" t="s">
        <v>208</v>
      </c>
      <c r="G2378" s="74" t="s">
        <v>209</v>
      </c>
      <c r="H2378" s="87">
        <v>44834</v>
      </c>
      <c r="I2378" s="94">
        <v>3600.38</v>
      </c>
      <c r="J2378" s="94">
        <v>2700.29</v>
      </c>
      <c r="K2378" s="94">
        <v>900.09</v>
      </c>
    </row>
    <row r="2379" spans="1:11">
      <c r="A2379" s="74" t="s">
        <v>309</v>
      </c>
      <c r="B2379" s="74" t="s">
        <v>214</v>
      </c>
      <c r="C2379" s="74" t="s">
        <v>215</v>
      </c>
      <c r="D2379" s="88" t="s">
        <v>82</v>
      </c>
      <c r="E2379" s="88" t="s">
        <v>84</v>
      </c>
      <c r="F2379" s="86" t="s">
        <v>116</v>
      </c>
      <c r="G2379" s="74" t="s">
        <v>209</v>
      </c>
      <c r="H2379" s="87">
        <v>44834</v>
      </c>
      <c r="I2379" s="94">
        <v>3329.91</v>
      </c>
      <c r="J2379" s="94">
        <v>2497.43</v>
      </c>
      <c r="K2379" s="94">
        <v>832.48</v>
      </c>
    </row>
    <row r="2380" spans="1:11">
      <c r="A2380" s="74" t="s">
        <v>309</v>
      </c>
      <c r="B2380" s="74" t="s">
        <v>216</v>
      </c>
      <c r="C2380" s="74" t="s">
        <v>217</v>
      </c>
      <c r="D2380" s="88" t="s">
        <v>82</v>
      </c>
      <c r="E2380" s="88" t="s">
        <v>84</v>
      </c>
      <c r="F2380" s="86" t="s">
        <v>218</v>
      </c>
      <c r="G2380" s="74" t="s">
        <v>219</v>
      </c>
      <c r="H2380" s="87">
        <v>44834</v>
      </c>
      <c r="I2380" s="94">
        <v>4303.15</v>
      </c>
      <c r="J2380" s="94">
        <v>3227.36</v>
      </c>
      <c r="K2380" s="94">
        <v>1075.79</v>
      </c>
    </row>
    <row r="2381" spans="1:11">
      <c r="A2381" s="74" t="s">
        <v>309</v>
      </c>
      <c r="B2381" s="74" t="s">
        <v>220</v>
      </c>
      <c r="C2381" s="74" t="s">
        <v>221</v>
      </c>
      <c r="D2381" s="88" t="s">
        <v>82</v>
      </c>
      <c r="E2381" s="74" t="s">
        <v>83</v>
      </c>
      <c r="F2381" s="86" t="s">
        <v>218</v>
      </c>
      <c r="G2381" s="74" t="s">
        <v>222</v>
      </c>
      <c r="H2381" s="87">
        <v>44834</v>
      </c>
      <c r="I2381" s="94">
        <v>4609.81</v>
      </c>
      <c r="J2381" s="94">
        <v>3457.36</v>
      </c>
      <c r="K2381" s="94">
        <v>1152.45</v>
      </c>
    </row>
    <row r="2382" spans="1:11">
      <c r="A2382" s="74" t="s">
        <v>309</v>
      </c>
      <c r="B2382" s="74" t="s">
        <v>223</v>
      </c>
      <c r="C2382" s="74" t="s">
        <v>224</v>
      </c>
      <c r="D2382" s="88" t="s">
        <v>82</v>
      </c>
      <c r="E2382" s="74" t="s">
        <v>83</v>
      </c>
      <c r="F2382" s="86" t="s">
        <v>225</v>
      </c>
      <c r="G2382" s="74" t="s">
        <v>209</v>
      </c>
      <c r="H2382" s="87">
        <v>44834</v>
      </c>
      <c r="I2382" s="94">
        <v>3918.43</v>
      </c>
      <c r="J2382" s="94">
        <v>2938.82</v>
      </c>
      <c r="K2382" s="94">
        <v>979.61</v>
      </c>
    </row>
    <row r="2383" spans="1:11">
      <c r="A2383" s="74" t="s">
        <v>309</v>
      </c>
      <c r="B2383" s="74" t="s">
        <v>226</v>
      </c>
      <c r="C2383" s="74" t="s">
        <v>227</v>
      </c>
      <c r="D2383" s="88" t="s">
        <v>82</v>
      </c>
      <c r="E2383" s="74" t="s">
        <v>83</v>
      </c>
      <c r="F2383" s="86" t="s">
        <v>208</v>
      </c>
      <c r="G2383" s="74" t="s">
        <v>209</v>
      </c>
      <c r="H2383" s="87">
        <v>44834</v>
      </c>
      <c r="I2383" s="94">
        <v>3662.44</v>
      </c>
      <c r="J2383" s="94">
        <v>2746.83</v>
      </c>
      <c r="K2383" s="94">
        <v>915.61</v>
      </c>
    </row>
    <row r="2384" spans="1:11">
      <c r="A2384" s="74" t="s">
        <v>309</v>
      </c>
      <c r="B2384" s="74" t="s">
        <v>228</v>
      </c>
      <c r="C2384" s="74" t="s">
        <v>229</v>
      </c>
      <c r="D2384" s="88" t="s">
        <v>82</v>
      </c>
      <c r="E2384" s="74" t="s">
        <v>83</v>
      </c>
      <c r="F2384" s="86" t="s">
        <v>116</v>
      </c>
      <c r="G2384" s="74" t="s">
        <v>209</v>
      </c>
      <c r="H2384" s="87">
        <v>44834</v>
      </c>
      <c r="I2384" s="94">
        <v>3337.3</v>
      </c>
      <c r="J2384" s="94">
        <v>2502.98</v>
      </c>
      <c r="K2384" s="94">
        <v>834.32</v>
      </c>
    </row>
    <row r="2385" spans="1:11">
      <c r="A2385" s="74" t="s">
        <v>309</v>
      </c>
      <c r="B2385" s="74" t="s">
        <v>230</v>
      </c>
      <c r="C2385" s="74" t="s">
        <v>231</v>
      </c>
      <c r="D2385" s="88" t="s">
        <v>82</v>
      </c>
      <c r="E2385" s="74" t="s">
        <v>83</v>
      </c>
      <c r="F2385" s="86" t="s">
        <v>120</v>
      </c>
      <c r="G2385" s="74" t="s">
        <v>209</v>
      </c>
      <c r="H2385" s="87">
        <v>44834</v>
      </c>
      <c r="I2385" s="94">
        <v>2732.66</v>
      </c>
      <c r="J2385" s="94">
        <v>2049.5</v>
      </c>
      <c r="K2385" s="94">
        <v>683.16</v>
      </c>
    </row>
    <row r="2386" spans="1:11">
      <c r="A2386" s="74" t="s">
        <v>309</v>
      </c>
      <c r="B2386" s="74" t="s">
        <v>232</v>
      </c>
      <c r="C2386" s="74" t="s">
        <v>233</v>
      </c>
      <c r="D2386" s="88" t="s">
        <v>82</v>
      </c>
      <c r="E2386" s="74" t="s">
        <v>83</v>
      </c>
      <c r="F2386" s="86" t="s">
        <v>123</v>
      </c>
      <c r="G2386" s="74" t="s">
        <v>209</v>
      </c>
      <c r="H2386" s="87">
        <v>44834</v>
      </c>
      <c r="I2386" s="94">
        <v>2486.26</v>
      </c>
      <c r="J2386" s="94">
        <v>1864.7</v>
      </c>
      <c r="K2386" s="94">
        <v>621.56</v>
      </c>
    </row>
    <row r="2387" spans="1:11">
      <c r="A2387" s="74" t="s">
        <v>309</v>
      </c>
      <c r="B2387" s="74" t="s">
        <v>234</v>
      </c>
      <c r="C2387" s="74" t="s">
        <v>235</v>
      </c>
      <c r="D2387" s="88" t="s">
        <v>82</v>
      </c>
      <c r="E2387" s="74" t="s">
        <v>83</v>
      </c>
      <c r="F2387" s="86" t="s">
        <v>116</v>
      </c>
      <c r="G2387" s="74" t="s">
        <v>209</v>
      </c>
      <c r="H2387" s="87">
        <v>44834</v>
      </c>
      <c r="I2387" s="94">
        <v>3193.55</v>
      </c>
      <c r="J2387" s="94">
        <v>2395.16</v>
      </c>
      <c r="K2387" s="94">
        <v>798.39</v>
      </c>
    </row>
    <row r="2388" spans="1:11">
      <c r="A2388" s="74" t="s">
        <v>309</v>
      </c>
      <c r="B2388" s="74" t="s">
        <v>236</v>
      </c>
      <c r="C2388" s="74" t="s">
        <v>237</v>
      </c>
      <c r="D2388" s="88" t="s">
        <v>82</v>
      </c>
      <c r="E2388" s="74" t="s">
        <v>83</v>
      </c>
      <c r="F2388" s="86" t="s">
        <v>120</v>
      </c>
      <c r="G2388" s="74" t="s">
        <v>209</v>
      </c>
      <c r="H2388" s="87">
        <v>44834</v>
      </c>
      <c r="I2388" s="94">
        <v>2902.52</v>
      </c>
      <c r="J2388" s="94">
        <v>2176.89</v>
      </c>
      <c r="K2388" s="94">
        <v>725.63</v>
      </c>
    </row>
    <row r="2389" spans="1:11">
      <c r="A2389" s="74" t="s">
        <v>309</v>
      </c>
      <c r="B2389" s="74" t="s">
        <v>238</v>
      </c>
      <c r="C2389" s="74" t="s">
        <v>239</v>
      </c>
      <c r="D2389" s="74" t="s">
        <v>86</v>
      </c>
      <c r="E2389" s="74" t="s">
        <v>87</v>
      </c>
      <c r="F2389" s="86" t="s">
        <v>204</v>
      </c>
      <c r="G2389" s="74" t="s">
        <v>240</v>
      </c>
      <c r="H2389" s="87">
        <v>44834</v>
      </c>
      <c r="I2389" s="94">
        <v>5826.23</v>
      </c>
      <c r="J2389" s="94">
        <v>4369.67</v>
      </c>
      <c r="K2389" s="94">
        <v>1456.56</v>
      </c>
    </row>
    <row r="2390" spans="1:11">
      <c r="A2390" s="74" t="s">
        <v>309</v>
      </c>
      <c r="B2390" s="74" t="s">
        <v>241</v>
      </c>
      <c r="C2390" s="74" t="s">
        <v>242</v>
      </c>
      <c r="D2390" s="74" t="s">
        <v>86</v>
      </c>
      <c r="E2390" s="74" t="s">
        <v>87</v>
      </c>
      <c r="F2390" s="86" t="s">
        <v>243</v>
      </c>
      <c r="G2390" s="74" t="s">
        <v>244</v>
      </c>
      <c r="H2390" s="87">
        <v>44834</v>
      </c>
      <c r="I2390" s="94">
        <v>4146.7</v>
      </c>
      <c r="J2390" s="94">
        <v>3110.03</v>
      </c>
      <c r="K2390" s="94">
        <v>1036.67</v>
      </c>
    </row>
    <row r="2391" spans="1:11">
      <c r="A2391" s="74" t="s">
        <v>309</v>
      </c>
      <c r="B2391" s="74" t="s">
        <v>245</v>
      </c>
      <c r="C2391" s="74" t="s">
        <v>246</v>
      </c>
      <c r="D2391" s="74" t="s">
        <v>86</v>
      </c>
      <c r="E2391" s="74" t="s">
        <v>87</v>
      </c>
      <c r="F2391" s="86" t="s">
        <v>247</v>
      </c>
      <c r="G2391" s="74" t="s">
        <v>248</v>
      </c>
      <c r="H2391" s="87">
        <v>44834</v>
      </c>
      <c r="I2391" s="94">
        <v>4115.1</v>
      </c>
      <c r="J2391" s="94">
        <v>3086.33</v>
      </c>
      <c r="K2391" s="94">
        <v>1028.77</v>
      </c>
    </row>
    <row r="2392" spans="1:11">
      <c r="A2392" s="74" t="s">
        <v>309</v>
      </c>
      <c r="B2392" s="74" t="s">
        <v>249</v>
      </c>
      <c r="C2392" s="74" t="s">
        <v>250</v>
      </c>
      <c r="D2392" s="74" t="s">
        <v>86</v>
      </c>
      <c r="E2392" s="74" t="s">
        <v>87</v>
      </c>
      <c r="F2392" s="86" t="s">
        <v>251</v>
      </c>
      <c r="G2392" s="74" t="s">
        <v>252</v>
      </c>
      <c r="H2392" s="87">
        <v>44834</v>
      </c>
      <c r="I2392" s="94">
        <v>3763.11</v>
      </c>
      <c r="J2392" s="94">
        <v>2822.33</v>
      </c>
      <c r="K2392" s="94">
        <v>940.78</v>
      </c>
    </row>
    <row r="2393" spans="1:11">
      <c r="A2393" s="74" t="s">
        <v>309</v>
      </c>
      <c r="B2393" s="74" t="s">
        <v>253</v>
      </c>
      <c r="C2393" s="74" t="s">
        <v>254</v>
      </c>
      <c r="D2393" s="74" t="s">
        <v>86</v>
      </c>
      <c r="E2393" s="74" t="s">
        <v>87</v>
      </c>
      <c r="F2393" s="86" t="s">
        <v>255</v>
      </c>
      <c r="G2393" s="74" t="s">
        <v>252</v>
      </c>
      <c r="H2393" s="87">
        <v>44834</v>
      </c>
      <c r="I2393" s="94">
        <v>3176.49</v>
      </c>
      <c r="J2393" s="94">
        <v>2382.37</v>
      </c>
      <c r="K2393" s="94">
        <v>794.12</v>
      </c>
    </row>
    <row r="2394" spans="1:11">
      <c r="A2394" s="74" t="s">
        <v>309</v>
      </c>
      <c r="B2394" s="74" t="s">
        <v>256</v>
      </c>
      <c r="C2394" s="74" t="s">
        <v>257</v>
      </c>
      <c r="D2394" s="74" t="s">
        <v>86</v>
      </c>
      <c r="E2394" s="74" t="s">
        <v>87</v>
      </c>
      <c r="F2394" s="86" t="s">
        <v>258</v>
      </c>
      <c r="G2394" s="74" t="s">
        <v>252</v>
      </c>
      <c r="H2394" s="87">
        <v>44834</v>
      </c>
      <c r="I2394" s="94">
        <v>3039.38</v>
      </c>
      <c r="J2394" s="94">
        <v>2279.54</v>
      </c>
      <c r="K2394" s="94">
        <v>759.84</v>
      </c>
    </row>
    <row r="2395" spans="1:11">
      <c r="A2395" s="74" t="s">
        <v>309</v>
      </c>
      <c r="B2395" s="74" t="s">
        <v>259</v>
      </c>
      <c r="C2395" s="74" t="s">
        <v>260</v>
      </c>
      <c r="D2395" s="74" t="s">
        <v>86</v>
      </c>
      <c r="E2395" s="74" t="s">
        <v>87</v>
      </c>
      <c r="F2395" s="86" t="s">
        <v>261</v>
      </c>
      <c r="G2395" s="74" t="s">
        <v>262</v>
      </c>
      <c r="H2395" s="87">
        <v>44834</v>
      </c>
      <c r="I2395" s="94">
        <v>2520.87</v>
      </c>
      <c r="J2395" s="94">
        <v>1890.65</v>
      </c>
      <c r="K2395" s="94">
        <v>630.22</v>
      </c>
    </row>
    <row r="2396" spans="1:11">
      <c r="A2396" s="74" t="s">
        <v>309</v>
      </c>
      <c r="B2396" s="74" t="s">
        <v>263</v>
      </c>
      <c r="C2396" s="74" t="s">
        <v>264</v>
      </c>
      <c r="D2396" s="74" t="s">
        <v>86</v>
      </c>
      <c r="E2396" s="74" t="s">
        <v>88</v>
      </c>
      <c r="F2396" s="86" t="s">
        <v>149</v>
      </c>
      <c r="G2396" s="74" t="s">
        <v>265</v>
      </c>
      <c r="H2396" s="87">
        <v>44834</v>
      </c>
      <c r="I2396" s="94">
        <v>5720.54</v>
      </c>
      <c r="J2396" s="94">
        <v>4290.41</v>
      </c>
      <c r="K2396" s="94">
        <v>1430.13</v>
      </c>
    </row>
    <row r="2397" spans="1:11">
      <c r="A2397" s="74" t="s">
        <v>309</v>
      </c>
      <c r="B2397" s="74" t="s">
        <v>266</v>
      </c>
      <c r="C2397" s="74" t="s">
        <v>267</v>
      </c>
      <c r="D2397" s="74" t="s">
        <v>86</v>
      </c>
      <c r="E2397" s="74" t="s">
        <v>88</v>
      </c>
      <c r="F2397" s="86" t="s">
        <v>243</v>
      </c>
      <c r="G2397" s="74" t="s">
        <v>268</v>
      </c>
      <c r="H2397" s="87">
        <v>44834</v>
      </c>
      <c r="I2397" s="94">
        <v>4232.66</v>
      </c>
      <c r="J2397" s="94">
        <v>3174.5</v>
      </c>
      <c r="K2397" s="94">
        <v>1058.16</v>
      </c>
    </row>
    <row r="2398" spans="1:11">
      <c r="A2398" s="74" t="s">
        <v>309</v>
      </c>
      <c r="B2398" s="74" t="s">
        <v>269</v>
      </c>
      <c r="C2398" s="74" t="s">
        <v>270</v>
      </c>
      <c r="D2398" s="74" t="s">
        <v>86</v>
      </c>
      <c r="E2398" s="74" t="s">
        <v>88</v>
      </c>
      <c r="F2398" s="86" t="s">
        <v>247</v>
      </c>
      <c r="G2398" s="74" t="s">
        <v>268</v>
      </c>
      <c r="H2398" s="87">
        <v>44834</v>
      </c>
      <c r="I2398" s="94">
        <v>4028.02</v>
      </c>
      <c r="J2398" s="94">
        <v>3021.02</v>
      </c>
      <c r="K2398" s="94">
        <v>1007</v>
      </c>
    </row>
    <row r="2399" spans="1:11">
      <c r="A2399" s="74" t="s">
        <v>309</v>
      </c>
      <c r="B2399" s="74" t="s">
        <v>271</v>
      </c>
      <c r="C2399" s="74" t="s">
        <v>272</v>
      </c>
      <c r="D2399" s="74" t="s">
        <v>86</v>
      </c>
      <c r="E2399" s="74" t="s">
        <v>88</v>
      </c>
      <c r="F2399" s="86" t="s">
        <v>251</v>
      </c>
      <c r="G2399" s="74" t="s">
        <v>268</v>
      </c>
      <c r="H2399" s="87">
        <v>44834</v>
      </c>
      <c r="I2399" s="94">
        <v>3496.4</v>
      </c>
      <c r="J2399" s="94">
        <v>2622.3</v>
      </c>
      <c r="K2399" s="94">
        <v>874.1</v>
      </c>
    </row>
    <row r="2400" spans="1:11">
      <c r="A2400" s="74" t="s">
        <v>309</v>
      </c>
      <c r="B2400" s="74" t="s">
        <v>273</v>
      </c>
      <c r="C2400" s="74" t="s">
        <v>274</v>
      </c>
      <c r="D2400" s="74" t="s">
        <v>86</v>
      </c>
      <c r="E2400" s="74" t="s">
        <v>88</v>
      </c>
      <c r="F2400" s="86" t="s">
        <v>255</v>
      </c>
      <c r="G2400" s="74" t="s">
        <v>268</v>
      </c>
      <c r="H2400" s="87">
        <v>44834</v>
      </c>
      <c r="I2400" s="94">
        <v>3196.99</v>
      </c>
      <c r="J2400" s="94">
        <v>2397.74</v>
      </c>
      <c r="K2400" s="94">
        <v>799.25</v>
      </c>
    </row>
    <row r="2401" spans="1:11">
      <c r="A2401" s="74" t="s">
        <v>309</v>
      </c>
      <c r="B2401" s="74" t="s">
        <v>275</v>
      </c>
      <c r="C2401" s="74" t="s">
        <v>276</v>
      </c>
      <c r="D2401" s="74" t="s">
        <v>86</v>
      </c>
      <c r="E2401" s="74" t="s">
        <v>88</v>
      </c>
      <c r="F2401" s="86" t="s">
        <v>258</v>
      </c>
      <c r="G2401" s="74" t="s">
        <v>268</v>
      </c>
      <c r="H2401" s="87">
        <v>44834</v>
      </c>
      <c r="I2401" s="94">
        <v>2926.29</v>
      </c>
      <c r="J2401" s="94">
        <v>2194.72</v>
      </c>
      <c r="K2401" s="94">
        <v>731.57</v>
      </c>
    </row>
    <row r="2402" spans="1:11">
      <c r="A2402" s="74" t="s">
        <v>309</v>
      </c>
      <c r="B2402" s="74" t="s">
        <v>277</v>
      </c>
      <c r="C2402" s="74" t="s">
        <v>278</v>
      </c>
      <c r="D2402" s="74" t="s">
        <v>86</v>
      </c>
      <c r="E2402" s="74" t="s">
        <v>89</v>
      </c>
      <c r="F2402" s="86" t="s">
        <v>279</v>
      </c>
      <c r="G2402" s="74" t="s">
        <v>280</v>
      </c>
      <c r="H2402" s="87">
        <v>44834</v>
      </c>
      <c r="I2402" s="94">
        <v>4835.6</v>
      </c>
      <c r="J2402" s="94">
        <v>3626.7</v>
      </c>
      <c r="K2402" s="94">
        <v>1208.9</v>
      </c>
    </row>
    <row r="2403" spans="1:11">
      <c r="A2403" s="74" t="s">
        <v>309</v>
      </c>
      <c r="B2403" s="74" t="s">
        <v>281</v>
      </c>
      <c r="C2403" s="74" t="s">
        <v>282</v>
      </c>
      <c r="D2403" s="74" t="s">
        <v>86</v>
      </c>
      <c r="E2403" s="74" t="s">
        <v>89</v>
      </c>
      <c r="F2403" s="86" t="s">
        <v>225</v>
      </c>
      <c r="G2403" s="74" t="s">
        <v>283</v>
      </c>
      <c r="H2403" s="87">
        <v>44834</v>
      </c>
      <c r="I2403" s="94">
        <v>3407.4</v>
      </c>
      <c r="J2403" s="94">
        <v>2555.55</v>
      </c>
      <c r="K2403" s="94">
        <v>851.85</v>
      </c>
    </row>
    <row r="2404" spans="1:11">
      <c r="A2404" s="74" t="s">
        <v>309</v>
      </c>
      <c r="B2404" s="74" t="s">
        <v>284</v>
      </c>
      <c r="C2404" s="74" t="s">
        <v>285</v>
      </c>
      <c r="D2404" s="74" t="s">
        <v>86</v>
      </c>
      <c r="E2404" s="74" t="s">
        <v>89</v>
      </c>
      <c r="F2404" s="86" t="s">
        <v>208</v>
      </c>
      <c r="G2404" s="74" t="s">
        <v>283</v>
      </c>
      <c r="H2404" s="87">
        <v>44834</v>
      </c>
      <c r="I2404" s="94">
        <v>3067.11</v>
      </c>
      <c r="J2404" s="94">
        <v>2300.33</v>
      </c>
      <c r="K2404" s="94">
        <v>766.78</v>
      </c>
    </row>
    <row r="2405" spans="1:11">
      <c r="A2405" s="74" t="s">
        <v>309</v>
      </c>
      <c r="B2405" s="74" t="s">
        <v>286</v>
      </c>
      <c r="C2405" s="74" t="s">
        <v>287</v>
      </c>
      <c r="D2405" s="74" t="s">
        <v>82</v>
      </c>
      <c r="E2405" s="88" t="s">
        <v>85</v>
      </c>
      <c r="F2405" s="86" t="s">
        <v>288</v>
      </c>
      <c r="G2405" s="74" t="s">
        <v>289</v>
      </c>
      <c r="H2405" s="87">
        <v>44834</v>
      </c>
      <c r="I2405" s="94">
        <v>5138.27</v>
      </c>
      <c r="J2405" s="94">
        <v>3853.7</v>
      </c>
      <c r="K2405" s="94">
        <v>1284.57</v>
      </c>
    </row>
    <row r="2406" spans="1:11">
      <c r="A2406" s="74" t="s">
        <v>309</v>
      </c>
      <c r="B2406" s="74" t="s">
        <v>290</v>
      </c>
      <c r="C2406" s="74" t="s">
        <v>291</v>
      </c>
      <c r="D2406" s="74" t="s">
        <v>82</v>
      </c>
      <c r="E2406" s="88" t="s">
        <v>85</v>
      </c>
      <c r="F2406" s="86" t="s">
        <v>218</v>
      </c>
      <c r="G2406" s="74" t="s">
        <v>289</v>
      </c>
      <c r="H2406" s="87">
        <v>44834</v>
      </c>
      <c r="I2406" s="94">
        <v>4567.17</v>
      </c>
      <c r="J2406" s="94">
        <v>3425.38</v>
      </c>
      <c r="K2406" s="94">
        <v>1141.79</v>
      </c>
    </row>
    <row r="2407" spans="1:11">
      <c r="A2407" s="74" t="s">
        <v>309</v>
      </c>
      <c r="B2407" s="74" t="s">
        <v>292</v>
      </c>
      <c r="C2407" s="74" t="s">
        <v>293</v>
      </c>
      <c r="D2407" s="74" t="s">
        <v>82</v>
      </c>
      <c r="E2407" s="88" t="s">
        <v>85</v>
      </c>
      <c r="F2407" s="86" t="s">
        <v>225</v>
      </c>
      <c r="G2407" s="74" t="s">
        <v>289</v>
      </c>
      <c r="H2407" s="87">
        <v>44834</v>
      </c>
      <c r="I2407" s="94">
        <v>4004.58</v>
      </c>
      <c r="J2407" s="94">
        <v>3003.44</v>
      </c>
      <c r="K2407" s="94">
        <v>1001.14</v>
      </c>
    </row>
    <row r="2408" spans="1:11">
      <c r="A2408" s="74" t="s">
        <v>309</v>
      </c>
      <c r="B2408" s="74" t="s">
        <v>294</v>
      </c>
      <c r="C2408" s="74" t="s">
        <v>295</v>
      </c>
      <c r="D2408" s="74" t="s">
        <v>82</v>
      </c>
      <c r="E2408" s="88" t="s">
        <v>85</v>
      </c>
      <c r="F2408" s="86" t="s">
        <v>208</v>
      </c>
      <c r="G2408" s="74" t="s">
        <v>289</v>
      </c>
      <c r="H2408" s="87">
        <v>44834</v>
      </c>
      <c r="I2408" s="94">
        <v>3826.67</v>
      </c>
      <c r="J2408" s="94">
        <v>2870</v>
      </c>
      <c r="K2408" s="94">
        <v>956.67</v>
      </c>
    </row>
    <row r="2409" spans="1:11">
      <c r="A2409" s="74" t="s">
        <v>309</v>
      </c>
      <c r="B2409" s="74" t="s">
        <v>296</v>
      </c>
      <c r="C2409" s="74" t="s">
        <v>297</v>
      </c>
      <c r="D2409" s="74" t="s">
        <v>82</v>
      </c>
      <c r="E2409" s="88" t="s">
        <v>85</v>
      </c>
      <c r="F2409" s="86" t="s">
        <v>116</v>
      </c>
      <c r="G2409" s="74" t="s">
        <v>289</v>
      </c>
      <c r="H2409" s="87">
        <v>44834</v>
      </c>
      <c r="I2409" s="94">
        <v>3394.51</v>
      </c>
      <c r="J2409" s="94">
        <v>2545.88</v>
      </c>
      <c r="K2409" s="94">
        <v>848.63</v>
      </c>
    </row>
    <row r="2410" spans="1:11">
      <c r="A2410" s="74" t="s">
        <v>309</v>
      </c>
      <c r="B2410" s="74" t="s">
        <v>298</v>
      </c>
      <c r="C2410" s="74" t="s">
        <v>299</v>
      </c>
      <c r="D2410" s="74" t="s">
        <v>82</v>
      </c>
      <c r="E2410" s="88" t="s">
        <v>85</v>
      </c>
      <c r="F2410" s="86" t="s">
        <v>279</v>
      </c>
      <c r="G2410" s="74" t="s">
        <v>300</v>
      </c>
      <c r="H2410" s="87">
        <v>44834</v>
      </c>
      <c r="I2410" s="94">
        <v>6226.28</v>
      </c>
      <c r="J2410" s="94">
        <v>4669.71</v>
      </c>
      <c r="K2410" s="94">
        <v>1556.57</v>
      </c>
    </row>
    <row r="2411" spans="1:11">
      <c r="A2411" s="74" t="s">
        <v>309</v>
      </c>
      <c r="B2411" s="74" t="s">
        <v>301</v>
      </c>
      <c r="C2411" s="74" t="s">
        <v>302</v>
      </c>
      <c r="D2411" s="74" t="s">
        <v>82</v>
      </c>
      <c r="E2411" s="88" t="s">
        <v>85</v>
      </c>
      <c r="F2411" s="86" t="s">
        <v>279</v>
      </c>
      <c r="G2411" s="74" t="s">
        <v>303</v>
      </c>
      <c r="H2411" s="87">
        <v>44834</v>
      </c>
      <c r="I2411" s="94">
        <v>6389.66</v>
      </c>
      <c r="J2411" s="94">
        <v>4792.25</v>
      </c>
      <c r="K2411" s="94">
        <v>1597.41</v>
      </c>
    </row>
    <row r="2412" spans="1:11">
      <c r="A2412" s="74" t="s">
        <v>309</v>
      </c>
      <c r="B2412" s="74" t="s">
        <v>304</v>
      </c>
      <c r="C2412" s="74" t="s">
        <v>305</v>
      </c>
      <c r="D2412" s="74" t="s">
        <v>86</v>
      </c>
      <c r="E2412" s="74" t="s">
        <v>90</v>
      </c>
      <c r="F2412" s="86" t="s">
        <v>306</v>
      </c>
      <c r="G2412" s="74" t="s">
        <v>307</v>
      </c>
      <c r="H2412" s="87">
        <v>44834</v>
      </c>
      <c r="I2412" s="94">
        <v>6529.14</v>
      </c>
      <c r="J2412" s="94">
        <v>4896.86</v>
      </c>
      <c r="K2412" s="94">
        <v>1632.28</v>
      </c>
    </row>
    <row r="2413" spans="1:11">
      <c r="A2413" s="74" t="s">
        <v>309</v>
      </c>
      <c r="B2413" s="74" t="s">
        <v>114</v>
      </c>
      <c r="C2413" s="74" t="s">
        <v>115</v>
      </c>
      <c r="D2413" s="74" t="s">
        <v>79</v>
      </c>
      <c r="E2413" s="74" t="s">
        <v>80</v>
      </c>
      <c r="F2413" s="86" t="s">
        <v>116</v>
      </c>
      <c r="G2413" s="74" t="s">
        <v>117</v>
      </c>
      <c r="H2413" s="87">
        <v>44865</v>
      </c>
      <c r="I2413" s="94">
        <v>3152.64</v>
      </c>
      <c r="J2413" s="94">
        <v>2364.48</v>
      </c>
      <c r="K2413" s="94">
        <v>788.16</v>
      </c>
    </row>
    <row r="2414" spans="1:11">
      <c r="A2414" s="74" t="s">
        <v>309</v>
      </c>
      <c r="B2414" s="74" t="s">
        <v>118</v>
      </c>
      <c r="C2414" s="74" t="s">
        <v>119</v>
      </c>
      <c r="D2414" s="74" t="s">
        <v>79</v>
      </c>
      <c r="E2414" s="74" t="s">
        <v>80</v>
      </c>
      <c r="F2414" s="86" t="s">
        <v>120</v>
      </c>
      <c r="G2414" s="74" t="s">
        <v>117</v>
      </c>
      <c r="H2414" s="87">
        <v>44865</v>
      </c>
      <c r="I2414" s="94">
        <v>2790.24</v>
      </c>
      <c r="J2414" s="94">
        <v>2092.68</v>
      </c>
      <c r="K2414" s="94">
        <v>697.56</v>
      </c>
    </row>
    <row r="2415" spans="1:11">
      <c r="A2415" s="74" t="s">
        <v>309</v>
      </c>
      <c r="B2415" s="74" t="s">
        <v>121</v>
      </c>
      <c r="C2415" s="74" t="s">
        <v>122</v>
      </c>
      <c r="D2415" s="74" t="s">
        <v>79</v>
      </c>
      <c r="E2415" s="74" t="s">
        <v>80</v>
      </c>
      <c r="F2415" s="86" t="s">
        <v>123</v>
      </c>
      <c r="G2415" s="74" t="s">
        <v>117</v>
      </c>
      <c r="H2415" s="87">
        <v>44865</v>
      </c>
      <c r="I2415" s="94">
        <v>2430.54</v>
      </c>
      <c r="J2415" s="94">
        <v>1822.91</v>
      </c>
      <c r="K2415" s="94">
        <v>607.63</v>
      </c>
    </row>
    <row r="2416" spans="1:11">
      <c r="A2416" s="74" t="s">
        <v>309</v>
      </c>
      <c r="B2416" s="74" t="s">
        <v>124</v>
      </c>
      <c r="C2416" s="74" t="s">
        <v>125</v>
      </c>
      <c r="D2416" s="74" t="s">
        <v>79</v>
      </c>
      <c r="E2416" s="74" t="s">
        <v>80</v>
      </c>
      <c r="F2416" s="86" t="s">
        <v>116</v>
      </c>
      <c r="G2416" s="74" t="s">
        <v>117</v>
      </c>
      <c r="H2416" s="87">
        <v>44865</v>
      </c>
      <c r="I2416" s="94">
        <v>3228.08</v>
      </c>
      <c r="J2416" s="94">
        <v>2421.06</v>
      </c>
      <c r="K2416" s="94">
        <v>807.02</v>
      </c>
    </row>
    <row r="2417" spans="1:11">
      <c r="A2417" s="74" t="s">
        <v>309</v>
      </c>
      <c r="B2417" s="74" t="s">
        <v>126</v>
      </c>
      <c r="C2417" s="74" t="s">
        <v>127</v>
      </c>
      <c r="D2417" s="74" t="s">
        <v>79</v>
      </c>
      <c r="E2417" s="74" t="s">
        <v>80</v>
      </c>
      <c r="F2417" s="86" t="s">
        <v>120</v>
      </c>
      <c r="G2417" s="74" t="s">
        <v>117</v>
      </c>
      <c r="H2417" s="87">
        <v>44865</v>
      </c>
      <c r="I2417" s="94">
        <v>2964.95</v>
      </c>
      <c r="J2417" s="94">
        <v>2223.71</v>
      </c>
      <c r="K2417" s="94">
        <v>741.24</v>
      </c>
    </row>
    <row r="2418" spans="1:11">
      <c r="A2418" s="74" t="s">
        <v>309</v>
      </c>
      <c r="B2418" s="74" t="s">
        <v>128</v>
      </c>
      <c r="C2418" s="74" t="s">
        <v>129</v>
      </c>
      <c r="D2418" s="74" t="s">
        <v>79</v>
      </c>
      <c r="E2418" s="74" t="s">
        <v>80</v>
      </c>
      <c r="F2418" s="86" t="s">
        <v>123</v>
      </c>
      <c r="G2418" s="74" t="s">
        <v>117</v>
      </c>
      <c r="H2418" s="87">
        <v>44865</v>
      </c>
      <c r="I2418" s="94">
        <v>2545.27</v>
      </c>
      <c r="J2418" s="94">
        <v>1908.95</v>
      </c>
      <c r="K2418" s="94">
        <v>636.32</v>
      </c>
    </row>
    <row r="2419" spans="1:11">
      <c r="A2419" s="74" t="s">
        <v>309</v>
      </c>
      <c r="B2419" s="74" t="s">
        <v>130</v>
      </c>
      <c r="C2419" s="74" t="s">
        <v>131</v>
      </c>
      <c r="D2419" s="74" t="s">
        <v>79</v>
      </c>
      <c r="E2419" s="74" t="s">
        <v>80</v>
      </c>
      <c r="F2419" s="86" t="s">
        <v>116</v>
      </c>
      <c r="G2419" s="74" t="s">
        <v>117</v>
      </c>
      <c r="H2419" s="87">
        <v>44865</v>
      </c>
      <c r="I2419" s="94">
        <v>3397.5</v>
      </c>
      <c r="J2419" s="94">
        <v>2548.13</v>
      </c>
      <c r="K2419" s="94">
        <v>849.37</v>
      </c>
    </row>
    <row r="2420" spans="1:11">
      <c r="A2420" s="74" t="s">
        <v>309</v>
      </c>
      <c r="B2420" s="74" t="s">
        <v>132</v>
      </c>
      <c r="C2420" s="74" t="s">
        <v>133</v>
      </c>
      <c r="D2420" s="74" t="s">
        <v>79</v>
      </c>
      <c r="E2420" s="74" t="s">
        <v>80</v>
      </c>
      <c r="F2420" s="86" t="s">
        <v>120</v>
      </c>
      <c r="G2420" s="74" t="s">
        <v>117</v>
      </c>
      <c r="H2420" s="87">
        <v>44865</v>
      </c>
      <c r="I2420" s="94">
        <v>2825.02</v>
      </c>
      <c r="J2420" s="94">
        <v>2118.77</v>
      </c>
      <c r="K2420" s="94">
        <v>706.25</v>
      </c>
    </row>
    <row r="2421" spans="1:11">
      <c r="A2421" s="74" t="s">
        <v>309</v>
      </c>
      <c r="B2421" s="74" t="s">
        <v>134</v>
      </c>
      <c r="C2421" s="74" t="s">
        <v>135</v>
      </c>
      <c r="D2421" s="74" t="s">
        <v>79</v>
      </c>
      <c r="E2421" s="74" t="s">
        <v>80</v>
      </c>
      <c r="F2421" s="86" t="s">
        <v>123</v>
      </c>
      <c r="G2421" s="74" t="s">
        <v>117</v>
      </c>
      <c r="H2421" s="87">
        <v>44865</v>
      </c>
      <c r="I2421" s="94">
        <v>2486.55</v>
      </c>
      <c r="J2421" s="94">
        <v>1864.91</v>
      </c>
      <c r="K2421" s="94">
        <v>621.64</v>
      </c>
    </row>
    <row r="2422" spans="1:11">
      <c r="A2422" s="74" t="s">
        <v>309</v>
      </c>
      <c r="B2422" s="74" t="s">
        <v>136</v>
      </c>
      <c r="C2422" s="74" t="s">
        <v>137</v>
      </c>
      <c r="D2422" s="74" t="s">
        <v>79</v>
      </c>
      <c r="E2422" s="74" t="s">
        <v>80</v>
      </c>
      <c r="F2422" s="86" t="s">
        <v>116</v>
      </c>
      <c r="G2422" s="74" t="s">
        <v>138</v>
      </c>
      <c r="H2422" s="87">
        <v>44865</v>
      </c>
      <c r="I2422" s="94">
        <v>3427.9</v>
      </c>
      <c r="J2422" s="94">
        <v>2570.93</v>
      </c>
      <c r="K2422" s="94">
        <v>856.97</v>
      </c>
    </row>
    <row r="2423" spans="1:11">
      <c r="A2423" s="74" t="s">
        <v>309</v>
      </c>
      <c r="B2423" s="74" t="s">
        <v>139</v>
      </c>
      <c r="C2423" s="74" t="s">
        <v>140</v>
      </c>
      <c r="D2423" s="74" t="s">
        <v>79</v>
      </c>
      <c r="E2423" s="74" t="s">
        <v>80</v>
      </c>
      <c r="F2423" s="86" t="s">
        <v>120</v>
      </c>
      <c r="G2423" s="74" t="s">
        <v>138</v>
      </c>
      <c r="H2423" s="87">
        <v>44865</v>
      </c>
      <c r="I2423" s="94">
        <v>2879.12</v>
      </c>
      <c r="J2423" s="94">
        <v>2159.34</v>
      </c>
      <c r="K2423" s="94">
        <v>719.78</v>
      </c>
    </row>
    <row r="2424" spans="1:11">
      <c r="A2424" s="74" t="s">
        <v>309</v>
      </c>
      <c r="B2424" s="74" t="s">
        <v>141</v>
      </c>
      <c r="C2424" s="74" t="s">
        <v>142</v>
      </c>
      <c r="D2424" s="74" t="s">
        <v>79</v>
      </c>
      <c r="E2424" s="74" t="s">
        <v>80</v>
      </c>
      <c r="F2424" s="86" t="s">
        <v>123</v>
      </c>
      <c r="G2424" s="74" t="s">
        <v>138</v>
      </c>
      <c r="H2424" s="87">
        <v>44865</v>
      </c>
      <c r="I2424" s="94">
        <v>2413.05</v>
      </c>
      <c r="J2424" s="94">
        <v>1809.79</v>
      </c>
      <c r="K2424" s="94">
        <v>603.26</v>
      </c>
    </row>
    <row r="2425" spans="1:11">
      <c r="A2425" s="74" t="s">
        <v>309</v>
      </c>
      <c r="B2425" s="74" t="s">
        <v>143</v>
      </c>
      <c r="C2425" s="74" t="s">
        <v>144</v>
      </c>
      <c r="D2425" s="74" t="s">
        <v>79</v>
      </c>
      <c r="E2425" s="74" t="s">
        <v>80</v>
      </c>
      <c r="F2425" s="86" t="s">
        <v>145</v>
      </c>
      <c r="G2425" s="74" t="s">
        <v>146</v>
      </c>
      <c r="H2425" s="87">
        <v>44865</v>
      </c>
      <c r="I2425" s="94">
        <v>7578.27</v>
      </c>
      <c r="J2425" s="94">
        <v>5683.7</v>
      </c>
      <c r="K2425" s="94">
        <v>1894.57</v>
      </c>
    </row>
    <row r="2426" spans="1:11">
      <c r="A2426" s="74" t="s">
        <v>309</v>
      </c>
      <c r="B2426" s="74" t="s">
        <v>147</v>
      </c>
      <c r="C2426" s="74" t="s">
        <v>148</v>
      </c>
      <c r="D2426" s="74" t="s">
        <v>79</v>
      </c>
      <c r="E2426" s="74" t="s">
        <v>80</v>
      </c>
      <c r="F2426" s="86" t="s">
        <v>149</v>
      </c>
      <c r="G2426" s="74" t="s">
        <v>150</v>
      </c>
      <c r="H2426" s="87">
        <v>44865</v>
      </c>
      <c r="I2426" s="94">
        <v>6995.62</v>
      </c>
      <c r="J2426" s="94">
        <v>5246.72</v>
      </c>
      <c r="K2426" s="94">
        <v>1748.9</v>
      </c>
    </row>
    <row r="2427" spans="1:11">
      <c r="A2427" s="74" t="s">
        <v>309</v>
      </c>
      <c r="B2427" s="74" t="s">
        <v>151</v>
      </c>
      <c r="C2427" s="74" t="s">
        <v>152</v>
      </c>
      <c r="D2427" s="74" t="s">
        <v>79</v>
      </c>
      <c r="E2427" s="74" t="s">
        <v>81</v>
      </c>
      <c r="F2427" s="86" t="s">
        <v>123</v>
      </c>
      <c r="G2427" s="74" t="s">
        <v>153</v>
      </c>
      <c r="H2427" s="87">
        <v>44865</v>
      </c>
      <c r="I2427" s="94">
        <v>2542.07</v>
      </c>
      <c r="J2427" s="94">
        <v>1906.55</v>
      </c>
      <c r="K2427" s="94">
        <v>635.52</v>
      </c>
    </row>
    <row r="2428" spans="1:11">
      <c r="A2428" s="74" t="s">
        <v>309</v>
      </c>
      <c r="B2428" s="74" t="s">
        <v>154</v>
      </c>
      <c r="C2428" s="74" t="s">
        <v>155</v>
      </c>
      <c r="D2428" s="74" t="s">
        <v>79</v>
      </c>
      <c r="E2428" s="74" t="s">
        <v>81</v>
      </c>
      <c r="F2428" s="86" t="s">
        <v>156</v>
      </c>
      <c r="G2428" s="74" t="s">
        <v>157</v>
      </c>
      <c r="H2428" s="87">
        <v>44865</v>
      </c>
      <c r="I2428" s="94">
        <v>2071.69</v>
      </c>
      <c r="J2428" s="94">
        <v>1553.77</v>
      </c>
      <c r="K2428" s="94">
        <v>517.92</v>
      </c>
    </row>
    <row r="2429" spans="1:11">
      <c r="A2429" s="74" t="s">
        <v>309</v>
      </c>
      <c r="B2429" s="74" t="s">
        <v>158</v>
      </c>
      <c r="C2429" s="74" t="s">
        <v>159</v>
      </c>
      <c r="D2429" s="74" t="s">
        <v>79</v>
      </c>
      <c r="E2429" s="74" t="s">
        <v>81</v>
      </c>
      <c r="F2429" s="86" t="s">
        <v>160</v>
      </c>
      <c r="G2429" s="74" t="s">
        <v>161</v>
      </c>
      <c r="H2429" s="87">
        <v>44865</v>
      </c>
      <c r="I2429" s="94">
        <v>1633.37</v>
      </c>
      <c r="J2429" s="94">
        <v>1225.03</v>
      </c>
      <c r="K2429" s="94">
        <v>408.34</v>
      </c>
    </row>
    <row r="2430" spans="1:11">
      <c r="A2430" s="74" t="s">
        <v>309</v>
      </c>
      <c r="B2430" s="74" t="s">
        <v>162</v>
      </c>
      <c r="C2430" s="74" t="s">
        <v>163</v>
      </c>
      <c r="D2430" s="74" t="s">
        <v>79</v>
      </c>
      <c r="E2430" s="74" t="s">
        <v>81</v>
      </c>
      <c r="F2430" s="86" t="s">
        <v>123</v>
      </c>
      <c r="G2430" s="74" t="s">
        <v>153</v>
      </c>
      <c r="H2430" s="87">
        <v>44865</v>
      </c>
      <c r="I2430" s="94">
        <v>2425.6</v>
      </c>
      <c r="J2430" s="94">
        <v>1819.2</v>
      </c>
      <c r="K2430" s="94">
        <v>606.4</v>
      </c>
    </row>
    <row r="2431" spans="1:11">
      <c r="A2431" s="74" t="s">
        <v>309</v>
      </c>
      <c r="B2431" s="74" t="s">
        <v>164</v>
      </c>
      <c r="C2431" s="74" t="s">
        <v>165</v>
      </c>
      <c r="D2431" s="74" t="s">
        <v>79</v>
      </c>
      <c r="E2431" s="74" t="s">
        <v>81</v>
      </c>
      <c r="F2431" s="86" t="s">
        <v>156</v>
      </c>
      <c r="G2431" s="74" t="s">
        <v>157</v>
      </c>
      <c r="H2431" s="87">
        <v>44865</v>
      </c>
      <c r="I2431" s="94">
        <v>2113.22</v>
      </c>
      <c r="J2431" s="94">
        <v>1584.92</v>
      </c>
      <c r="K2431" s="94">
        <v>528.3</v>
      </c>
    </row>
    <row r="2432" spans="1:11">
      <c r="A2432" s="74" t="s">
        <v>309</v>
      </c>
      <c r="B2432" s="74" t="s">
        <v>166</v>
      </c>
      <c r="C2432" s="74" t="s">
        <v>167</v>
      </c>
      <c r="D2432" s="74" t="s">
        <v>79</v>
      </c>
      <c r="E2432" s="74" t="s">
        <v>81</v>
      </c>
      <c r="F2432" s="86" t="s">
        <v>160</v>
      </c>
      <c r="G2432" s="74" t="s">
        <v>161</v>
      </c>
      <c r="H2432" s="87">
        <v>44865</v>
      </c>
      <c r="I2432" s="94">
        <v>1648.9</v>
      </c>
      <c r="J2432" s="94">
        <v>1236.68</v>
      </c>
      <c r="K2432" s="94">
        <v>412.22</v>
      </c>
    </row>
    <row r="2433" spans="1:11">
      <c r="A2433" s="74" t="s">
        <v>309</v>
      </c>
      <c r="B2433" s="74" t="s">
        <v>168</v>
      </c>
      <c r="C2433" s="74" t="s">
        <v>169</v>
      </c>
      <c r="D2433" s="74" t="s">
        <v>79</v>
      </c>
      <c r="E2433" s="74" t="s">
        <v>81</v>
      </c>
      <c r="F2433" s="86" t="s">
        <v>123</v>
      </c>
      <c r="G2433" s="74" t="s">
        <v>153</v>
      </c>
      <c r="H2433" s="87">
        <v>44865</v>
      </c>
      <c r="I2433" s="94">
        <v>2516.19</v>
      </c>
      <c r="J2433" s="94">
        <v>1887.14</v>
      </c>
      <c r="K2433" s="94">
        <v>629.05</v>
      </c>
    </row>
    <row r="2434" spans="1:11">
      <c r="A2434" s="74" t="s">
        <v>309</v>
      </c>
      <c r="B2434" s="74" t="s">
        <v>170</v>
      </c>
      <c r="C2434" s="74" t="s">
        <v>171</v>
      </c>
      <c r="D2434" s="74" t="s">
        <v>79</v>
      </c>
      <c r="E2434" s="74" t="s">
        <v>81</v>
      </c>
      <c r="F2434" s="86" t="s">
        <v>156</v>
      </c>
      <c r="G2434" s="74" t="s">
        <v>157</v>
      </c>
      <c r="H2434" s="87">
        <v>44865</v>
      </c>
      <c r="I2434" s="94">
        <v>1983.95</v>
      </c>
      <c r="J2434" s="94">
        <v>1487.96</v>
      </c>
      <c r="K2434" s="94">
        <v>495.99</v>
      </c>
    </row>
    <row r="2435" spans="1:11">
      <c r="A2435" s="74" t="s">
        <v>309</v>
      </c>
      <c r="B2435" s="74" t="s">
        <v>172</v>
      </c>
      <c r="C2435" s="74" t="s">
        <v>173</v>
      </c>
      <c r="D2435" s="74" t="s">
        <v>79</v>
      </c>
      <c r="E2435" s="74" t="s">
        <v>81</v>
      </c>
      <c r="F2435" s="86" t="s">
        <v>160</v>
      </c>
      <c r="G2435" s="74" t="s">
        <v>161</v>
      </c>
      <c r="H2435" s="87">
        <v>44865</v>
      </c>
      <c r="I2435" s="94">
        <v>1643.99</v>
      </c>
      <c r="J2435" s="94">
        <v>1232.99</v>
      </c>
      <c r="K2435" s="94">
        <v>411</v>
      </c>
    </row>
    <row r="2436" spans="1:11">
      <c r="A2436" s="74" t="s">
        <v>309</v>
      </c>
      <c r="B2436" s="74" t="s">
        <v>174</v>
      </c>
      <c r="C2436" s="74" t="s">
        <v>175</v>
      </c>
      <c r="D2436" s="74" t="s">
        <v>79</v>
      </c>
      <c r="E2436" s="74" t="s">
        <v>81</v>
      </c>
      <c r="F2436" s="86" t="s">
        <v>176</v>
      </c>
      <c r="G2436" s="74" t="s">
        <v>177</v>
      </c>
      <c r="H2436" s="87">
        <v>44865</v>
      </c>
      <c r="I2436" s="94">
        <v>1189.15</v>
      </c>
      <c r="J2436" s="94">
        <v>891.86</v>
      </c>
      <c r="K2436" s="94">
        <v>297.29</v>
      </c>
    </row>
    <row r="2437" spans="1:11">
      <c r="A2437" s="74" t="s">
        <v>309</v>
      </c>
      <c r="B2437" s="74" t="s">
        <v>178</v>
      </c>
      <c r="C2437" s="74" t="s">
        <v>179</v>
      </c>
      <c r="D2437" s="74" t="s">
        <v>79</v>
      </c>
      <c r="E2437" s="74" t="s">
        <v>81</v>
      </c>
      <c r="F2437" s="86" t="s">
        <v>180</v>
      </c>
      <c r="G2437" s="74" t="s">
        <v>177</v>
      </c>
      <c r="H2437" s="87">
        <v>44865</v>
      </c>
      <c r="I2437" s="94">
        <v>853.48</v>
      </c>
      <c r="J2437" s="94">
        <v>640.11</v>
      </c>
      <c r="K2437" s="94">
        <v>213.37</v>
      </c>
    </row>
    <row r="2438" spans="1:11">
      <c r="A2438" s="74" t="s">
        <v>309</v>
      </c>
      <c r="B2438" s="74" t="s">
        <v>181</v>
      </c>
      <c r="C2438" s="74" t="s">
        <v>182</v>
      </c>
      <c r="D2438" s="74" t="s">
        <v>79</v>
      </c>
      <c r="E2438" s="74" t="s">
        <v>81</v>
      </c>
      <c r="F2438" s="86" t="s">
        <v>183</v>
      </c>
      <c r="G2438" s="74" t="s">
        <v>177</v>
      </c>
      <c r="H2438" s="87">
        <v>44865</v>
      </c>
      <c r="I2438" s="94">
        <v>404.57</v>
      </c>
      <c r="J2438" s="94">
        <v>303.43</v>
      </c>
      <c r="K2438" s="94">
        <v>101.14</v>
      </c>
    </row>
    <row r="2439" spans="1:11">
      <c r="A2439" s="74" t="s">
        <v>309</v>
      </c>
      <c r="B2439" s="74" t="s">
        <v>184</v>
      </c>
      <c r="C2439" s="74" t="s">
        <v>185</v>
      </c>
      <c r="D2439" s="74" t="s">
        <v>79</v>
      </c>
      <c r="E2439" s="74" t="s">
        <v>81</v>
      </c>
      <c r="F2439" s="86" t="s">
        <v>176</v>
      </c>
      <c r="G2439" s="74" t="s">
        <v>177</v>
      </c>
      <c r="H2439" s="87">
        <v>44865</v>
      </c>
      <c r="I2439" s="94">
        <v>1234.21</v>
      </c>
      <c r="J2439" s="94">
        <v>925.66</v>
      </c>
      <c r="K2439" s="94">
        <v>308.55</v>
      </c>
    </row>
    <row r="2440" spans="1:11">
      <c r="A2440" s="74" t="s">
        <v>309</v>
      </c>
      <c r="B2440" s="74" t="s">
        <v>186</v>
      </c>
      <c r="C2440" s="74" t="s">
        <v>187</v>
      </c>
      <c r="D2440" s="74" t="s">
        <v>79</v>
      </c>
      <c r="E2440" s="74" t="s">
        <v>81</v>
      </c>
      <c r="F2440" s="86" t="s">
        <v>180</v>
      </c>
      <c r="G2440" s="74" t="s">
        <v>177</v>
      </c>
      <c r="H2440" s="87">
        <v>44865</v>
      </c>
      <c r="I2440" s="94">
        <v>819.09</v>
      </c>
      <c r="J2440" s="94">
        <v>614.32</v>
      </c>
      <c r="K2440" s="94">
        <v>204.77</v>
      </c>
    </row>
    <row r="2441" spans="1:11">
      <c r="A2441" s="74" t="s">
        <v>309</v>
      </c>
      <c r="B2441" s="74" t="s">
        <v>188</v>
      </c>
      <c r="C2441" s="74" t="s">
        <v>189</v>
      </c>
      <c r="D2441" s="74" t="s">
        <v>79</v>
      </c>
      <c r="E2441" s="74" t="s">
        <v>81</v>
      </c>
      <c r="F2441" s="86" t="s">
        <v>183</v>
      </c>
      <c r="G2441" s="74" t="s">
        <v>177</v>
      </c>
      <c r="H2441" s="87">
        <v>44865</v>
      </c>
      <c r="I2441" s="94">
        <v>395.08</v>
      </c>
      <c r="J2441" s="94">
        <v>296.31</v>
      </c>
      <c r="K2441" s="94">
        <v>98.77</v>
      </c>
    </row>
    <row r="2442" spans="1:11">
      <c r="A2442" s="74" t="s">
        <v>309</v>
      </c>
      <c r="B2442" s="74" t="s">
        <v>190</v>
      </c>
      <c r="C2442" s="74" t="s">
        <v>191</v>
      </c>
      <c r="D2442" s="74" t="s">
        <v>79</v>
      </c>
      <c r="E2442" s="74" t="s">
        <v>81</v>
      </c>
      <c r="F2442" s="86" t="s">
        <v>176</v>
      </c>
      <c r="G2442" s="74" t="s">
        <v>177</v>
      </c>
      <c r="H2442" s="87">
        <v>44865</v>
      </c>
      <c r="I2442" s="94">
        <v>1203.02</v>
      </c>
      <c r="J2442" s="94">
        <v>902.27</v>
      </c>
      <c r="K2442" s="94">
        <v>300.75</v>
      </c>
    </row>
    <row r="2443" spans="1:11">
      <c r="A2443" s="74" t="s">
        <v>309</v>
      </c>
      <c r="B2443" s="74" t="s">
        <v>192</v>
      </c>
      <c r="C2443" s="74" t="s">
        <v>193</v>
      </c>
      <c r="D2443" s="74" t="s">
        <v>79</v>
      </c>
      <c r="E2443" s="74" t="s">
        <v>81</v>
      </c>
      <c r="F2443" s="86" t="s">
        <v>180</v>
      </c>
      <c r="G2443" s="74" t="s">
        <v>177</v>
      </c>
      <c r="H2443" s="87">
        <v>44865</v>
      </c>
      <c r="I2443" s="94">
        <v>796.81</v>
      </c>
      <c r="J2443" s="94">
        <v>597.61</v>
      </c>
      <c r="K2443" s="94">
        <v>199.2</v>
      </c>
    </row>
    <row r="2444" spans="1:11">
      <c r="A2444" s="74" t="s">
        <v>309</v>
      </c>
      <c r="B2444" s="74" t="s">
        <v>194</v>
      </c>
      <c r="C2444" s="74" t="s">
        <v>195</v>
      </c>
      <c r="D2444" s="74" t="s">
        <v>79</v>
      </c>
      <c r="E2444" s="74" t="s">
        <v>81</v>
      </c>
      <c r="F2444" s="86" t="s">
        <v>183</v>
      </c>
      <c r="G2444" s="74" t="s">
        <v>177</v>
      </c>
      <c r="H2444" s="87">
        <v>44865</v>
      </c>
      <c r="I2444" s="94">
        <v>395.28</v>
      </c>
      <c r="J2444" s="94">
        <v>296.46</v>
      </c>
      <c r="K2444" s="94">
        <v>98.82</v>
      </c>
    </row>
    <row r="2445" spans="1:11">
      <c r="A2445" s="74" t="s">
        <v>309</v>
      </c>
      <c r="B2445" s="74" t="s">
        <v>196</v>
      </c>
      <c r="C2445" s="74" t="s">
        <v>197</v>
      </c>
      <c r="D2445" s="74" t="s">
        <v>79</v>
      </c>
      <c r="E2445" s="74" t="s">
        <v>81</v>
      </c>
      <c r="F2445" s="86" t="s">
        <v>176</v>
      </c>
      <c r="G2445" s="74" t="s">
        <v>177</v>
      </c>
      <c r="H2445" s="87">
        <v>44865</v>
      </c>
      <c r="I2445" s="94">
        <v>1282.12</v>
      </c>
      <c r="J2445" s="94">
        <v>961.59</v>
      </c>
      <c r="K2445" s="94">
        <v>320.53</v>
      </c>
    </row>
    <row r="2446" spans="1:11">
      <c r="A2446" s="74" t="s">
        <v>309</v>
      </c>
      <c r="B2446" s="74" t="s">
        <v>198</v>
      </c>
      <c r="C2446" s="74" t="s">
        <v>199</v>
      </c>
      <c r="D2446" s="74" t="s">
        <v>79</v>
      </c>
      <c r="E2446" s="74" t="s">
        <v>81</v>
      </c>
      <c r="F2446" s="86" t="s">
        <v>180</v>
      </c>
      <c r="G2446" s="74" t="s">
        <v>177</v>
      </c>
      <c r="H2446" s="87">
        <v>44865</v>
      </c>
      <c r="I2446" s="94">
        <v>835.19</v>
      </c>
      <c r="J2446" s="94">
        <v>626.39</v>
      </c>
      <c r="K2446" s="94">
        <v>208.8</v>
      </c>
    </row>
    <row r="2447" spans="1:11">
      <c r="A2447" s="74" t="s">
        <v>309</v>
      </c>
      <c r="B2447" s="74" t="s">
        <v>200</v>
      </c>
      <c r="C2447" s="74" t="s">
        <v>201</v>
      </c>
      <c r="D2447" s="74" t="s">
        <v>79</v>
      </c>
      <c r="E2447" s="74" t="s">
        <v>81</v>
      </c>
      <c r="F2447" s="86" t="s">
        <v>183</v>
      </c>
      <c r="G2447" s="74" t="s">
        <v>177</v>
      </c>
      <c r="H2447" s="87">
        <v>44865</v>
      </c>
      <c r="I2447" s="94">
        <v>421.43</v>
      </c>
      <c r="J2447" s="94">
        <v>316.07</v>
      </c>
      <c r="K2447" s="94">
        <v>105.36</v>
      </c>
    </row>
    <row r="2448" spans="1:11">
      <c r="A2448" s="74" t="s">
        <v>309</v>
      </c>
      <c r="B2448" s="74" t="s">
        <v>202</v>
      </c>
      <c r="C2448" s="74" t="s">
        <v>203</v>
      </c>
      <c r="D2448" s="74" t="s">
        <v>79</v>
      </c>
      <c r="E2448" s="74" t="s">
        <v>81</v>
      </c>
      <c r="F2448" s="86" t="s">
        <v>204</v>
      </c>
      <c r="G2448" s="74" t="s">
        <v>205</v>
      </c>
      <c r="H2448" s="87">
        <v>44865</v>
      </c>
      <c r="I2448" s="94">
        <v>7236.44</v>
      </c>
      <c r="J2448" s="94">
        <v>5427.33</v>
      </c>
      <c r="K2448" s="94">
        <v>1809.11</v>
      </c>
    </row>
    <row r="2449" spans="1:11">
      <c r="A2449" s="74" t="s">
        <v>309</v>
      </c>
      <c r="B2449" s="74" t="s">
        <v>206</v>
      </c>
      <c r="C2449" s="74" t="s">
        <v>207</v>
      </c>
      <c r="D2449" s="88" t="s">
        <v>82</v>
      </c>
      <c r="E2449" s="88" t="s">
        <v>84</v>
      </c>
      <c r="F2449" s="86" t="s">
        <v>208</v>
      </c>
      <c r="G2449" s="74" t="s">
        <v>209</v>
      </c>
      <c r="H2449" s="87">
        <v>44865</v>
      </c>
      <c r="I2449" s="94">
        <v>3568.01</v>
      </c>
      <c r="J2449" s="94">
        <v>2676.01</v>
      </c>
      <c r="K2449" s="94">
        <v>892</v>
      </c>
    </row>
    <row r="2450" spans="1:11">
      <c r="A2450" s="74" t="s">
        <v>309</v>
      </c>
      <c r="B2450" s="74" t="s">
        <v>210</v>
      </c>
      <c r="C2450" s="74" t="s">
        <v>211</v>
      </c>
      <c r="D2450" s="88" t="s">
        <v>82</v>
      </c>
      <c r="E2450" s="88" t="s">
        <v>84</v>
      </c>
      <c r="F2450" s="86" t="s">
        <v>116</v>
      </c>
      <c r="G2450" s="74" t="s">
        <v>209</v>
      </c>
      <c r="H2450" s="87">
        <v>44865</v>
      </c>
      <c r="I2450" s="94">
        <v>3206.2</v>
      </c>
      <c r="J2450" s="94">
        <v>2404.65</v>
      </c>
      <c r="K2450" s="94">
        <v>801.55</v>
      </c>
    </row>
    <row r="2451" spans="1:11">
      <c r="A2451" s="74" t="s">
        <v>309</v>
      </c>
      <c r="B2451" s="74" t="s">
        <v>212</v>
      </c>
      <c r="C2451" s="74" t="s">
        <v>213</v>
      </c>
      <c r="D2451" s="88" t="s">
        <v>82</v>
      </c>
      <c r="E2451" s="88" t="s">
        <v>84</v>
      </c>
      <c r="F2451" s="86" t="s">
        <v>208</v>
      </c>
      <c r="G2451" s="74" t="s">
        <v>209</v>
      </c>
      <c r="H2451" s="87">
        <v>44865</v>
      </c>
      <c r="I2451" s="94">
        <v>3584.49</v>
      </c>
      <c r="J2451" s="94">
        <v>2688.37</v>
      </c>
      <c r="K2451" s="94">
        <v>896.12</v>
      </c>
    </row>
    <row r="2452" spans="1:11">
      <c r="A2452" s="74" t="s">
        <v>309</v>
      </c>
      <c r="B2452" s="74" t="s">
        <v>214</v>
      </c>
      <c r="C2452" s="74" t="s">
        <v>215</v>
      </c>
      <c r="D2452" s="88" t="s">
        <v>82</v>
      </c>
      <c r="E2452" s="88" t="s">
        <v>84</v>
      </c>
      <c r="F2452" s="86" t="s">
        <v>116</v>
      </c>
      <c r="G2452" s="74" t="s">
        <v>209</v>
      </c>
      <c r="H2452" s="87">
        <v>44865</v>
      </c>
      <c r="I2452" s="94">
        <v>3315.82</v>
      </c>
      <c r="J2452" s="94">
        <v>2486.87</v>
      </c>
      <c r="K2452" s="94">
        <v>828.95</v>
      </c>
    </row>
    <row r="2453" spans="1:11">
      <c r="A2453" s="74" t="s">
        <v>309</v>
      </c>
      <c r="B2453" s="74" t="s">
        <v>216</v>
      </c>
      <c r="C2453" s="74" t="s">
        <v>217</v>
      </c>
      <c r="D2453" s="88" t="s">
        <v>82</v>
      </c>
      <c r="E2453" s="88" t="s">
        <v>84</v>
      </c>
      <c r="F2453" s="86" t="s">
        <v>218</v>
      </c>
      <c r="G2453" s="74" t="s">
        <v>219</v>
      </c>
      <c r="H2453" s="87">
        <v>44865</v>
      </c>
      <c r="I2453" s="94">
        <v>4626.97</v>
      </c>
      <c r="J2453" s="94">
        <v>3470.23</v>
      </c>
      <c r="K2453" s="94">
        <v>1156.74</v>
      </c>
    </row>
    <row r="2454" spans="1:11">
      <c r="A2454" s="74" t="s">
        <v>309</v>
      </c>
      <c r="B2454" s="74" t="s">
        <v>220</v>
      </c>
      <c r="C2454" s="74" t="s">
        <v>221</v>
      </c>
      <c r="D2454" s="88" t="s">
        <v>82</v>
      </c>
      <c r="E2454" s="74" t="s">
        <v>83</v>
      </c>
      <c r="F2454" s="86" t="s">
        <v>218</v>
      </c>
      <c r="G2454" s="74" t="s">
        <v>222</v>
      </c>
      <c r="H2454" s="87">
        <v>44865</v>
      </c>
      <c r="I2454" s="94">
        <v>4520.55</v>
      </c>
      <c r="J2454" s="94">
        <v>3390.41</v>
      </c>
      <c r="K2454" s="94">
        <v>1130.14</v>
      </c>
    </row>
    <row r="2455" spans="1:11">
      <c r="A2455" s="74" t="s">
        <v>309</v>
      </c>
      <c r="B2455" s="74" t="s">
        <v>223</v>
      </c>
      <c r="C2455" s="74" t="s">
        <v>224</v>
      </c>
      <c r="D2455" s="88" t="s">
        <v>82</v>
      </c>
      <c r="E2455" s="74" t="s">
        <v>83</v>
      </c>
      <c r="F2455" s="86" t="s">
        <v>225</v>
      </c>
      <c r="G2455" s="74" t="s">
        <v>209</v>
      </c>
      <c r="H2455" s="87">
        <v>44865</v>
      </c>
      <c r="I2455" s="94">
        <v>4169.03</v>
      </c>
      <c r="J2455" s="94">
        <v>3126.77</v>
      </c>
      <c r="K2455" s="94">
        <v>1042.26</v>
      </c>
    </row>
    <row r="2456" spans="1:11">
      <c r="A2456" s="74" t="s">
        <v>309</v>
      </c>
      <c r="B2456" s="74" t="s">
        <v>226</v>
      </c>
      <c r="C2456" s="74" t="s">
        <v>227</v>
      </c>
      <c r="D2456" s="88" t="s">
        <v>82</v>
      </c>
      <c r="E2456" s="74" t="s">
        <v>83</v>
      </c>
      <c r="F2456" s="86" t="s">
        <v>208</v>
      </c>
      <c r="G2456" s="74" t="s">
        <v>209</v>
      </c>
      <c r="H2456" s="87">
        <v>44865</v>
      </c>
      <c r="I2456" s="94">
        <v>3783.64</v>
      </c>
      <c r="J2456" s="94">
        <v>2837.73</v>
      </c>
      <c r="K2456" s="94">
        <v>945.91</v>
      </c>
    </row>
    <row r="2457" spans="1:11">
      <c r="A2457" s="74" t="s">
        <v>309</v>
      </c>
      <c r="B2457" s="74" t="s">
        <v>228</v>
      </c>
      <c r="C2457" s="74" t="s">
        <v>229</v>
      </c>
      <c r="D2457" s="88" t="s">
        <v>82</v>
      </c>
      <c r="E2457" s="74" t="s">
        <v>83</v>
      </c>
      <c r="F2457" s="86" t="s">
        <v>116</v>
      </c>
      <c r="G2457" s="74" t="s">
        <v>209</v>
      </c>
      <c r="H2457" s="87">
        <v>44865</v>
      </c>
      <c r="I2457" s="94">
        <v>3300.53</v>
      </c>
      <c r="J2457" s="94">
        <v>2475.4</v>
      </c>
      <c r="K2457" s="94">
        <v>825.13</v>
      </c>
    </row>
    <row r="2458" spans="1:11">
      <c r="A2458" s="74" t="s">
        <v>309</v>
      </c>
      <c r="B2458" s="74" t="s">
        <v>230</v>
      </c>
      <c r="C2458" s="74" t="s">
        <v>231</v>
      </c>
      <c r="D2458" s="88" t="s">
        <v>82</v>
      </c>
      <c r="E2458" s="74" t="s">
        <v>83</v>
      </c>
      <c r="F2458" s="86" t="s">
        <v>120</v>
      </c>
      <c r="G2458" s="74" t="s">
        <v>209</v>
      </c>
      <c r="H2458" s="87">
        <v>44865</v>
      </c>
      <c r="I2458" s="94">
        <v>2814.35</v>
      </c>
      <c r="J2458" s="94">
        <v>2110.76</v>
      </c>
      <c r="K2458" s="94">
        <v>703.59</v>
      </c>
    </row>
    <row r="2459" spans="1:11">
      <c r="A2459" s="74" t="s">
        <v>309</v>
      </c>
      <c r="B2459" s="74" t="s">
        <v>232</v>
      </c>
      <c r="C2459" s="74" t="s">
        <v>233</v>
      </c>
      <c r="D2459" s="88" t="s">
        <v>82</v>
      </c>
      <c r="E2459" s="74" t="s">
        <v>83</v>
      </c>
      <c r="F2459" s="86" t="s">
        <v>123</v>
      </c>
      <c r="G2459" s="74" t="s">
        <v>209</v>
      </c>
      <c r="H2459" s="87">
        <v>44865</v>
      </c>
      <c r="I2459" s="94">
        <v>2509.33</v>
      </c>
      <c r="J2459" s="94">
        <v>1882</v>
      </c>
      <c r="K2459" s="94">
        <v>627.33</v>
      </c>
    </row>
    <row r="2460" spans="1:11">
      <c r="A2460" s="74" t="s">
        <v>309</v>
      </c>
      <c r="B2460" s="74" t="s">
        <v>234</v>
      </c>
      <c r="C2460" s="74" t="s">
        <v>235</v>
      </c>
      <c r="D2460" s="88" t="s">
        <v>82</v>
      </c>
      <c r="E2460" s="74" t="s">
        <v>83</v>
      </c>
      <c r="F2460" s="86" t="s">
        <v>116</v>
      </c>
      <c r="G2460" s="74" t="s">
        <v>209</v>
      </c>
      <c r="H2460" s="87">
        <v>44865</v>
      </c>
      <c r="I2460" s="94">
        <v>3305.35</v>
      </c>
      <c r="J2460" s="94">
        <v>2479.01</v>
      </c>
      <c r="K2460" s="94">
        <v>826.34</v>
      </c>
    </row>
    <row r="2461" spans="1:11">
      <c r="A2461" s="74" t="s">
        <v>309</v>
      </c>
      <c r="B2461" s="74" t="s">
        <v>236</v>
      </c>
      <c r="C2461" s="74" t="s">
        <v>237</v>
      </c>
      <c r="D2461" s="88" t="s">
        <v>82</v>
      </c>
      <c r="E2461" s="74" t="s">
        <v>83</v>
      </c>
      <c r="F2461" s="86" t="s">
        <v>120</v>
      </c>
      <c r="G2461" s="74" t="s">
        <v>209</v>
      </c>
      <c r="H2461" s="87">
        <v>44865</v>
      </c>
      <c r="I2461" s="94">
        <v>2803.41</v>
      </c>
      <c r="J2461" s="94">
        <v>2102.56</v>
      </c>
      <c r="K2461" s="94">
        <v>700.85</v>
      </c>
    </row>
    <row r="2462" spans="1:11">
      <c r="A2462" s="74" t="s">
        <v>309</v>
      </c>
      <c r="B2462" s="74" t="s">
        <v>238</v>
      </c>
      <c r="C2462" s="74" t="s">
        <v>239</v>
      </c>
      <c r="D2462" s="74" t="s">
        <v>86</v>
      </c>
      <c r="E2462" s="74" t="s">
        <v>87</v>
      </c>
      <c r="F2462" s="86" t="s">
        <v>204</v>
      </c>
      <c r="G2462" s="74" t="s">
        <v>240</v>
      </c>
      <c r="H2462" s="87">
        <v>44865</v>
      </c>
      <c r="I2462" s="94">
        <v>5918.69</v>
      </c>
      <c r="J2462" s="94">
        <v>4439.02</v>
      </c>
      <c r="K2462" s="94">
        <v>1479.67</v>
      </c>
    </row>
    <row r="2463" spans="1:11">
      <c r="A2463" s="74" t="s">
        <v>309</v>
      </c>
      <c r="B2463" s="74" t="s">
        <v>241</v>
      </c>
      <c r="C2463" s="74" t="s">
        <v>242</v>
      </c>
      <c r="D2463" s="74" t="s">
        <v>86</v>
      </c>
      <c r="E2463" s="74" t="s">
        <v>87</v>
      </c>
      <c r="F2463" s="86" t="s">
        <v>243</v>
      </c>
      <c r="G2463" s="74" t="s">
        <v>244</v>
      </c>
      <c r="H2463" s="87">
        <v>44865</v>
      </c>
      <c r="I2463" s="94">
        <v>4313.86</v>
      </c>
      <c r="J2463" s="94">
        <v>3235.4</v>
      </c>
      <c r="K2463" s="94">
        <v>1078.46</v>
      </c>
    </row>
    <row r="2464" spans="1:11">
      <c r="A2464" s="74" t="s">
        <v>309</v>
      </c>
      <c r="B2464" s="74" t="s">
        <v>245</v>
      </c>
      <c r="C2464" s="74" t="s">
        <v>246</v>
      </c>
      <c r="D2464" s="74" t="s">
        <v>86</v>
      </c>
      <c r="E2464" s="74" t="s">
        <v>87</v>
      </c>
      <c r="F2464" s="86" t="s">
        <v>247</v>
      </c>
      <c r="G2464" s="74" t="s">
        <v>248</v>
      </c>
      <c r="H2464" s="87">
        <v>44865</v>
      </c>
      <c r="I2464" s="94">
        <v>4034.51</v>
      </c>
      <c r="J2464" s="94">
        <v>3025.88</v>
      </c>
      <c r="K2464" s="94">
        <v>1008.63</v>
      </c>
    </row>
    <row r="2465" spans="1:11">
      <c r="A2465" s="74" t="s">
        <v>309</v>
      </c>
      <c r="B2465" s="74" t="s">
        <v>249</v>
      </c>
      <c r="C2465" s="74" t="s">
        <v>250</v>
      </c>
      <c r="D2465" s="74" t="s">
        <v>86</v>
      </c>
      <c r="E2465" s="74" t="s">
        <v>87</v>
      </c>
      <c r="F2465" s="86" t="s">
        <v>251</v>
      </c>
      <c r="G2465" s="74" t="s">
        <v>252</v>
      </c>
      <c r="H2465" s="87">
        <v>44865</v>
      </c>
      <c r="I2465" s="94">
        <v>3737.24</v>
      </c>
      <c r="J2465" s="94">
        <v>2802.93</v>
      </c>
      <c r="K2465" s="94">
        <v>934.31</v>
      </c>
    </row>
    <row r="2466" spans="1:11">
      <c r="A2466" s="74" t="s">
        <v>309</v>
      </c>
      <c r="B2466" s="74" t="s">
        <v>253</v>
      </c>
      <c r="C2466" s="74" t="s">
        <v>254</v>
      </c>
      <c r="D2466" s="74" t="s">
        <v>86</v>
      </c>
      <c r="E2466" s="74" t="s">
        <v>87</v>
      </c>
      <c r="F2466" s="86" t="s">
        <v>255</v>
      </c>
      <c r="G2466" s="74" t="s">
        <v>252</v>
      </c>
      <c r="H2466" s="87">
        <v>44865</v>
      </c>
      <c r="I2466" s="94">
        <v>3375.72</v>
      </c>
      <c r="J2466" s="94">
        <v>2531.79</v>
      </c>
      <c r="K2466" s="94">
        <v>843.93</v>
      </c>
    </row>
    <row r="2467" spans="1:11">
      <c r="A2467" s="74" t="s">
        <v>309</v>
      </c>
      <c r="B2467" s="74" t="s">
        <v>256</v>
      </c>
      <c r="C2467" s="74" t="s">
        <v>257</v>
      </c>
      <c r="D2467" s="74" t="s">
        <v>86</v>
      </c>
      <c r="E2467" s="74" t="s">
        <v>87</v>
      </c>
      <c r="F2467" s="86" t="s">
        <v>258</v>
      </c>
      <c r="G2467" s="74" t="s">
        <v>252</v>
      </c>
      <c r="H2467" s="87">
        <v>44865</v>
      </c>
      <c r="I2467" s="94">
        <v>2813.45</v>
      </c>
      <c r="J2467" s="94">
        <v>2110.09</v>
      </c>
      <c r="K2467" s="94">
        <v>703.36</v>
      </c>
    </row>
    <row r="2468" spans="1:11">
      <c r="A2468" s="74" t="s">
        <v>309</v>
      </c>
      <c r="B2468" s="74" t="s">
        <v>259</v>
      </c>
      <c r="C2468" s="74" t="s">
        <v>260</v>
      </c>
      <c r="D2468" s="74" t="s">
        <v>86</v>
      </c>
      <c r="E2468" s="74" t="s">
        <v>87</v>
      </c>
      <c r="F2468" s="86" t="s">
        <v>261</v>
      </c>
      <c r="G2468" s="74" t="s">
        <v>262</v>
      </c>
      <c r="H2468" s="87">
        <v>44865</v>
      </c>
      <c r="I2468" s="94">
        <v>2729.51</v>
      </c>
      <c r="J2468" s="94">
        <v>2047.13</v>
      </c>
      <c r="K2468" s="94">
        <v>682.38</v>
      </c>
    </row>
    <row r="2469" spans="1:11">
      <c r="A2469" s="74" t="s">
        <v>309</v>
      </c>
      <c r="B2469" s="74" t="s">
        <v>263</v>
      </c>
      <c r="C2469" s="74" t="s">
        <v>264</v>
      </c>
      <c r="D2469" s="74" t="s">
        <v>86</v>
      </c>
      <c r="E2469" s="74" t="s">
        <v>88</v>
      </c>
      <c r="F2469" s="86" t="s">
        <v>149</v>
      </c>
      <c r="G2469" s="74" t="s">
        <v>265</v>
      </c>
      <c r="H2469" s="87">
        <v>44865</v>
      </c>
      <c r="I2469" s="94">
        <v>5440.15</v>
      </c>
      <c r="J2469" s="94">
        <v>4080.11</v>
      </c>
      <c r="K2469" s="94">
        <v>1360.04</v>
      </c>
    </row>
    <row r="2470" spans="1:11">
      <c r="A2470" s="74" t="s">
        <v>309</v>
      </c>
      <c r="B2470" s="74" t="s">
        <v>266</v>
      </c>
      <c r="C2470" s="74" t="s">
        <v>267</v>
      </c>
      <c r="D2470" s="74" t="s">
        <v>86</v>
      </c>
      <c r="E2470" s="74" t="s">
        <v>88</v>
      </c>
      <c r="F2470" s="86" t="s">
        <v>243</v>
      </c>
      <c r="G2470" s="74" t="s">
        <v>268</v>
      </c>
      <c r="H2470" s="87">
        <v>44865</v>
      </c>
      <c r="I2470" s="94">
        <v>4452.63</v>
      </c>
      <c r="J2470" s="94">
        <v>3339.47</v>
      </c>
      <c r="K2470" s="94">
        <v>1113.16</v>
      </c>
    </row>
    <row r="2471" spans="1:11">
      <c r="A2471" s="74" t="s">
        <v>309</v>
      </c>
      <c r="B2471" s="74" t="s">
        <v>269</v>
      </c>
      <c r="C2471" s="74" t="s">
        <v>270</v>
      </c>
      <c r="D2471" s="74" t="s">
        <v>86</v>
      </c>
      <c r="E2471" s="74" t="s">
        <v>88</v>
      </c>
      <c r="F2471" s="86" t="s">
        <v>247</v>
      </c>
      <c r="G2471" s="74" t="s">
        <v>268</v>
      </c>
      <c r="H2471" s="87">
        <v>44865</v>
      </c>
      <c r="I2471" s="94">
        <v>3956.46</v>
      </c>
      <c r="J2471" s="94">
        <v>2967.35</v>
      </c>
      <c r="K2471" s="94">
        <v>989.11</v>
      </c>
    </row>
    <row r="2472" spans="1:11">
      <c r="A2472" s="74" t="s">
        <v>309</v>
      </c>
      <c r="B2472" s="74" t="s">
        <v>271</v>
      </c>
      <c r="C2472" s="74" t="s">
        <v>272</v>
      </c>
      <c r="D2472" s="74" t="s">
        <v>86</v>
      </c>
      <c r="E2472" s="74" t="s">
        <v>88</v>
      </c>
      <c r="F2472" s="86" t="s">
        <v>251</v>
      </c>
      <c r="G2472" s="74" t="s">
        <v>268</v>
      </c>
      <c r="H2472" s="87">
        <v>44865</v>
      </c>
      <c r="I2472" s="94">
        <v>3695.16</v>
      </c>
      <c r="J2472" s="94">
        <v>2771.37</v>
      </c>
      <c r="K2472" s="94">
        <v>923.79</v>
      </c>
    </row>
    <row r="2473" spans="1:11">
      <c r="A2473" s="74" t="s">
        <v>309</v>
      </c>
      <c r="B2473" s="74" t="s">
        <v>273</v>
      </c>
      <c r="C2473" s="74" t="s">
        <v>274</v>
      </c>
      <c r="D2473" s="74" t="s">
        <v>86</v>
      </c>
      <c r="E2473" s="74" t="s">
        <v>88</v>
      </c>
      <c r="F2473" s="86" t="s">
        <v>255</v>
      </c>
      <c r="G2473" s="74" t="s">
        <v>268</v>
      </c>
      <c r="H2473" s="87">
        <v>44865</v>
      </c>
      <c r="I2473" s="94">
        <v>3294.57</v>
      </c>
      <c r="J2473" s="94">
        <v>2470.93</v>
      </c>
      <c r="K2473" s="94">
        <v>823.64</v>
      </c>
    </row>
    <row r="2474" spans="1:11">
      <c r="A2474" s="74" t="s">
        <v>309</v>
      </c>
      <c r="B2474" s="74" t="s">
        <v>275</v>
      </c>
      <c r="C2474" s="74" t="s">
        <v>276</v>
      </c>
      <c r="D2474" s="74" t="s">
        <v>86</v>
      </c>
      <c r="E2474" s="74" t="s">
        <v>88</v>
      </c>
      <c r="F2474" s="86" t="s">
        <v>258</v>
      </c>
      <c r="G2474" s="74" t="s">
        <v>268</v>
      </c>
      <c r="H2474" s="87">
        <v>44865</v>
      </c>
      <c r="I2474" s="94">
        <v>2946.89</v>
      </c>
      <c r="J2474" s="94">
        <v>2210.17</v>
      </c>
      <c r="K2474" s="94">
        <v>736.72</v>
      </c>
    </row>
    <row r="2475" spans="1:11">
      <c r="A2475" s="74" t="s">
        <v>309</v>
      </c>
      <c r="B2475" s="74" t="s">
        <v>277</v>
      </c>
      <c r="C2475" s="74" t="s">
        <v>278</v>
      </c>
      <c r="D2475" s="74" t="s">
        <v>86</v>
      </c>
      <c r="E2475" s="74" t="s">
        <v>89</v>
      </c>
      <c r="F2475" s="86" t="s">
        <v>279</v>
      </c>
      <c r="G2475" s="74" t="s">
        <v>280</v>
      </c>
      <c r="H2475" s="87">
        <v>44865</v>
      </c>
      <c r="I2475" s="94">
        <v>4883.46</v>
      </c>
      <c r="J2475" s="94">
        <v>3662.6</v>
      </c>
      <c r="K2475" s="94">
        <v>1220.86</v>
      </c>
    </row>
    <row r="2476" spans="1:11">
      <c r="A2476" s="74" t="s">
        <v>309</v>
      </c>
      <c r="B2476" s="74" t="s">
        <v>281</v>
      </c>
      <c r="C2476" s="74" t="s">
        <v>282</v>
      </c>
      <c r="D2476" s="74" t="s">
        <v>86</v>
      </c>
      <c r="E2476" s="74" t="s">
        <v>89</v>
      </c>
      <c r="F2476" s="86" t="s">
        <v>225</v>
      </c>
      <c r="G2476" s="74" t="s">
        <v>283</v>
      </c>
      <c r="H2476" s="87">
        <v>44865</v>
      </c>
      <c r="I2476" s="94">
        <v>3269.58</v>
      </c>
      <c r="J2476" s="94">
        <v>2452.19</v>
      </c>
      <c r="K2476" s="94">
        <v>817.39</v>
      </c>
    </row>
    <row r="2477" spans="1:11">
      <c r="A2477" s="74" t="s">
        <v>309</v>
      </c>
      <c r="B2477" s="74" t="s">
        <v>284</v>
      </c>
      <c r="C2477" s="74" t="s">
        <v>285</v>
      </c>
      <c r="D2477" s="74" t="s">
        <v>86</v>
      </c>
      <c r="E2477" s="74" t="s">
        <v>89</v>
      </c>
      <c r="F2477" s="86" t="s">
        <v>208</v>
      </c>
      <c r="G2477" s="74" t="s">
        <v>283</v>
      </c>
      <c r="H2477" s="87">
        <v>44865</v>
      </c>
      <c r="I2477" s="94">
        <v>2896.93</v>
      </c>
      <c r="J2477" s="94">
        <v>2172.7</v>
      </c>
      <c r="K2477" s="94">
        <v>724.23</v>
      </c>
    </row>
    <row r="2478" spans="1:11">
      <c r="A2478" s="74" t="s">
        <v>309</v>
      </c>
      <c r="B2478" s="74" t="s">
        <v>286</v>
      </c>
      <c r="C2478" s="74" t="s">
        <v>287</v>
      </c>
      <c r="D2478" s="74" t="s">
        <v>82</v>
      </c>
      <c r="E2478" s="88" t="s">
        <v>85</v>
      </c>
      <c r="F2478" s="86" t="s">
        <v>288</v>
      </c>
      <c r="G2478" s="74" t="s">
        <v>289</v>
      </c>
      <c r="H2478" s="87">
        <v>44865</v>
      </c>
      <c r="I2478" s="94">
        <v>5036.52</v>
      </c>
      <c r="J2478" s="94">
        <v>3777.39</v>
      </c>
      <c r="K2478" s="94">
        <v>1259.13</v>
      </c>
    </row>
    <row r="2479" spans="1:11">
      <c r="A2479" s="74" t="s">
        <v>309</v>
      </c>
      <c r="B2479" s="74" t="s">
        <v>290</v>
      </c>
      <c r="C2479" s="74" t="s">
        <v>291</v>
      </c>
      <c r="D2479" s="74" t="s">
        <v>82</v>
      </c>
      <c r="E2479" s="88" t="s">
        <v>85</v>
      </c>
      <c r="F2479" s="86" t="s">
        <v>218</v>
      </c>
      <c r="G2479" s="74" t="s">
        <v>289</v>
      </c>
      <c r="H2479" s="87">
        <v>44865</v>
      </c>
      <c r="I2479" s="94">
        <v>4584.27</v>
      </c>
      <c r="J2479" s="94">
        <v>3438.2</v>
      </c>
      <c r="K2479" s="94">
        <v>1146.07</v>
      </c>
    </row>
    <row r="2480" spans="1:11">
      <c r="A2480" s="74" t="s">
        <v>309</v>
      </c>
      <c r="B2480" s="74" t="s">
        <v>292</v>
      </c>
      <c r="C2480" s="74" t="s">
        <v>293</v>
      </c>
      <c r="D2480" s="74" t="s">
        <v>82</v>
      </c>
      <c r="E2480" s="88" t="s">
        <v>85</v>
      </c>
      <c r="F2480" s="86" t="s">
        <v>225</v>
      </c>
      <c r="G2480" s="74" t="s">
        <v>289</v>
      </c>
      <c r="H2480" s="87">
        <v>44865</v>
      </c>
      <c r="I2480" s="94">
        <v>4191.39</v>
      </c>
      <c r="J2480" s="94">
        <v>3143.54</v>
      </c>
      <c r="K2480" s="94">
        <v>1047.85</v>
      </c>
    </row>
    <row r="2481" spans="1:11">
      <c r="A2481" s="74" t="s">
        <v>309</v>
      </c>
      <c r="B2481" s="74" t="s">
        <v>294</v>
      </c>
      <c r="C2481" s="74" t="s">
        <v>295</v>
      </c>
      <c r="D2481" s="74" t="s">
        <v>82</v>
      </c>
      <c r="E2481" s="88" t="s">
        <v>85</v>
      </c>
      <c r="F2481" s="86" t="s">
        <v>208</v>
      </c>
      <c r="G2481" s="74" t="s">
        <v>289</v>
      </c>
      <c r="H2481" s="87">
        <v>44865</v>
      </c>
      <c r="I2481" s="94">
        <v>3511.88</v>
      </c>
      <c r="J2481" s="94">
        <v>2633.91</v>
      </c>
      <c r="K2481" s="94">
        <v>877.97</v>
      </c>
    </row>
    <row r="2482" spans="1:11">
      <c r="A2482" s="74" t="s">
        <v>309</v>
      </c>
      <c r="B2482" s="74" t="s">
        <v>296</v>
      </c>
      <c r="C2482" s="74" t="s">
        <v>297</v>
      </c>
      <c r="D2482" s="74" t="s">
        <v>82</v>
      </c>
      <c r="E2482" s="88" t="s">
        <v>85</v>
      </c>
      <c r="F2482" s="86" t="s">
        <v>116</v>
      </c>
      <c r="G2482" s="74" t="s">
        <v>289</v>
      </c>
      <c r="H2482" s="87">
        <v>44865</v>
      </c>
      <c r="I2482" s="94">
        <v>3244.89</v>
      </c>
      <c r="J2482" s="94">
        <v>2433.67</v>
      </c>
      <c r="K2482" s="94">
        <v>811.22</v>
      </c>
    </row>
    <row r="2483" spans="1:11">
      <c r="A2483" s="74" t="s">
        <v>309</v>
      </c>
      <c r="B2483" s="74" t="s">
        <v>298</v>
      </c>
      <c r="C2483" s="74" t="s">
        <v>299</v>
      </c>
      <c r="D2483" s="74" t="s">
        <v>82</v>
      </c>
      <c r="E2483" s="88" t="s">
        <v>85</v>
      </c>
      <c r="F2483" s="86" t="s">
        <v>279</v>
      </c>
      <c r="G2483" s="74" t="s">
        <v>300</v>
      </c>
      <c r="H2483" s="87">
        <v>44865</v>
      </c>
      <c r="I2483" s="94">
        <v>6237.49</v>
      </c>
      <c r="J2483" s="94">
        <v>4678.12</v>
      </c>
      <c r="K2483" s="94">
        <v>1559.37</v>
      </c>
    </row>
    <row r="2484" spans="1:11">
      <c r="A2484" s="74" t="s">
        <v>309</v>
      </c>
      <c r="B2484" s="74" t="s">
        <v>301</v>
      </c>
      <c r="C2484" s="74" t="s">
        <v>302</v>
      </c>
      <c r="D2484" s="74" t="s">
        <v>82</v>
      </c>
      <c r="E2484" s="88" t="s">
        <v>85</v>
      </c>
      <c r="F2484" s="86" t="s">
        <v>279</v>
      </c>
      <c r="G2484" s="74" t="s">
        <v>303</v>
      </c>
      <c r="H2484" s="87">
        <v>44865</v>
      </c>
      <c r="I2484" s="94">
        <v>6087.74</v>
      </c>
      <c r="J2484" s="94">
        <v>4565.81</v>
      </c>
      <c r="K2484" s="94">
        <v>1521.93</v>
      </c>
    </row>
    <row r="2485" spans="1:11">
      <c r="A2485" s="74" t="s">
        <v>309</v>
      </c>
      <c r="B2485" s="74" t="s">
        <v>304</v>
      </c>
      <c r="C2485" s="74" t="s">
        <v>305</v>
      </c>
      <c r="D2485" s="74" t="s">
        <v>86</v>
      </c>
      <c r="E2485" s="74" t="s">
        <v>90</v>
      </c>
      <c r="F2485" s="86" t="s">
        <v>306</v>
      </c>
      <c r="G2485" s="74" t="s">
        <v>307</v>
      </c>
      <c r="H2485" s="87">
        <v>44865</v>
      </c>
      <c r="I2485" s="94">
        <v>6579.74</v>
      </c>
      <c r="J2485" s="94">
        <v>4934.81</v>
      </c>
      <c r="K2485" s="94">
        <v>1644.93</v>
      </c>
    </row>
    <row r="2486" spans="1:11">
      <c r="A2486" s="74" t="s">
        <v>309</v>
      </c>
      <c r="B2486" s="74" t="s">
        <v>114</v>
      </c>
      <c r="C2486" s="74" t="s">
        <v>115</v>
      </c>
      <c r="D2486" s="74" t="s">
        <v>79</v>
      </c>
      <c r="E2486" s="74" t="s">
        <v>80</v>
      </c>
      <c r="F2486" s="86" t="s">
        <v>116</v>
      </c>
      <c r="G2486" s="74" t="s">
        <v>117</v>
      </c>
      <c r="H2486" s="87">
        <v>44895</v>
      </c>
      <c r="I2486" s="94">
        <v>3276.78</v>
      </c>
      <c r="J2486" s="94">
        <v>2457.59</v>
      </c>
      <c r="K2486" s="94">
        <v>819.19</v>
      </c>
    </row>
    <row r="2487" spans="1:11">
      <c r="A2487" s="74" t="s">
        <v>309</v>
      </c>
      <c r="B2487" s="74" t="s">
        <v>118</v>
      </c>
      <c r="C2487" s="74" t="s">
        <v>119</v>
      </c>
      <c r="D2487" s="74" t="s">
        <v>79</v>
      </c>
      <c r="E2487" s="74" t="s">
        <v>80</v>
      </c>
      <c r="F2487" s="86" t="s">
        <v>120</v>
      </c>
      <c r="G2487" s="74" t="s">
        <v>117</v>
      </c>
      <c r="H2487" s="87">
        <v>44895</v>
      </c>
      <c r="I2487" s="94">
        <v>2957.08</v>
      </c>
      <c r="J2487" s="94">
        <v>2217.81</v>
      </c>
      <c r="K2487" s="94">
        <v>739.27</v>
      </c>
    </row>
    <row r="2488" spans="1:11">
      <c r="A2488" s="74" t="s">
        <v>309</v>
      </c>
      <c r="B2488" s="74" t="s">
        <v>121</v>
      </c>
      <c r="C2488" s="74" t="s">
        <v>122</v>
      </c>
      <c r="D2488" s="74" t="s">
        <v>79</v>
      </c>
      <c r="E2488" s="74" t="s">
        <v>80</v>
      </c>
      <c r="F2488" s="86" t="s">
        <v>123</v>
      </c>
      <c r="G2488" s="74" t="s">
        <v>117</v>
      </c>
      <c r="H2488" s="87">
        <v>44895</v>
      </c>
      <c r="I2488" s="94">
        <v>2393.47</v>
      </c>
      <c r="J2488" s="94">
        <v>1795.1</v>
      </c>
      <c r="K2488" s="94">
        <v>598.37</v>
      </c>
    </row>
    <row r="2489" spans="1:11">
      <c r="A2489" s="74" t="s">
        <v>309</v>
      </c>
      <c r="B2489" s="74" t="s">
        <v>124</v>
      </c>
      <c r="C2489" s="74" t="s">
        <v>125</v>
      </c>
      <c r="D2489" s="74" t="s">
        <v>79</v>
      </c>
      <c r="E2489" s="74" t="s">
        <v>80</v>
      </c>
      <c r="F2489" s="86" t="s">
        <v>116</v>
      </c>
      <c r="G2489" s="74" t="s">
        <v>117</v>
      </c>
      <c r="H2489" s="87">
        <v>44895</v>
      </c>
      <c r="I2489" s="94">
        <v>3183.92</v>
      </c>
      <c r="J2489" s="94">
        <v>2387.94</v>
      </c>
      <c r="K2489" s="94">
        <v>795.98</v>
      </c>
    </row>
    <row r="2490" spans="1:11">
      <c r="A2490" s="74" t="s">
        <v>309</v>
      </c>
      <c r="B2490" s="74" t="s">
        <v>126</v>
      </c>
      <c r="C2490" s="74" t="s">
        <v>127</v>
      </c>
      <c r="D2490" s="74" t="s">
        <v>79</v>
      </c>
      <c r="E2490" s="74" t="s">
        <v>80</v>
      </c>
      <c r="F2490" s="86" t="s">
        <v>120</v>
      </c>
      <c r="G2490" s="74" t="s">
        <v>117</v>
      </c>
      <c r="H2490" s="87">
        <v>44895</v>
      </c>
      <c r="I2490" s="94">
        <v>2897.6</v>
      </c>
      <c r="J2490" s="94">
        <v>2173.2</v>
      </c>
      <c r="K2490" s="94">
        <v>724.4</v>
      </c>
    </row>
    <row r="2491" spans="1:11">
      <c r="A2491" s="74" t="s">
        <v>309</v>
      </c>
      <c r="B2491" s="74" t="s">
        <v>128</v>
      </c>
      <c r="C2491" s="74" t="s">
        <v>129</v>
      </c>
      <c r="D2491" s="74" t="s">
        <v>79</v>
      </c>
      <c r="E2491" s="74" t="s">
        <v>80</v>
      </c>
      <c r="F2491" s="86" t="s">
        <v>123</v>
      </c>
      <c r="G2491" s="74" t="s">
        <v>117</v>
      </c>
      <c r="H2491" s="87">
        <v>44895</v>
      </c>
      <c r="I2491" s="94">
        <v>2496.94</v>
      </c>
      <c r="J2491" s="94">
        <v>1872.71</v>
      </c>
      <c r="K2491" s="94">
        <v>624.23</v>
      </c>
    </row>
    <row r="2492" spans="1:11">
      <c r="A2492" s="74" t="s">
        <v>309</v>
      </c>
      <c r="B2492" s="74" t="s">
        <v>130</v>
      </c>
      <c r="C2492" s="74" t="s">
        <v>131</v>
      </c>
      <c r="D2492" s="74" t="s">
        <v>79</v>
      </c>
      <c r="E2492" s="74" t="s">
        <v>80</v>
      </c>
      <c r="F2492" s="86" t="s">
        <v>116</v>
      </c>
      <c r="G2492" s="74" t="s">
        <v>117</v>
      </c>
      <c r="H2492" s="87">
        <v>44895</v>
      </c>
      <c r="I2492" s="94">
        <v>3352.97</v>
      </c>
      <c r="J2492" s="94">
        <v>2514.73</v>
      </c>
      <c r="K2492" s="94">
        <v>838.24</v>
      </c>
    </row>
    <row r="2493" spans="1:11">
      <c r="A2493" s="74" t="s">
        <v>309</v>
      </c>
      <c r="B2493" s="74" t="s">
        <v>132</v>
      </c>
      <c r="C2493" s="74" t="s">
        <v>133</v>
      </c>
      <c r="D2493" s="74" t="s">
        <v>79</v>
      </c>
      <c r="E2493" s="74" t="s">
        <v>80</v>
      </c>
      <c r="F2493" s="86" t="s">
        <v>120</v>
      </c>
      <c r="G2493" s="74" t="s">
        <v>117</v>
      </c>
      <c r="H2493" s="87">
        <v>44895</v>
      </c>
      <c r="I2493" s="94">
        <v>2871.79</v>
      </c>
      <c r="J2493" s="94">
        <v>2153.84</v>
      </c>
      <c r="K2493" s="94">
        <v>717.95</v>
      </c>
    </row>
    <row r="2494" spans="1:11">
      <c r="A2494" s="74" t="s">
        <v>309</v>
      </c>
      <c r="B2494" s="74" t="s">
        <v>134</v>
      </c>
      <c r="C2494" s="74" t="s">
        <v>135</v>
      </c>
      <c r="D2494" s="74" t="s">
        <v>79</v>
      </c>
      <c r="E2494" s="74" t="s">
        <v>80</v>
      </c>
      <c r="F2494" s="86" t="s">
        <v>123</v>
      </c>
      <c r="G2494" s="74" t="s">
        <v>117</v>
      </c>
      <c r="H2494" s="87">
        <v>44895</v>
      </c>
      <c r="I2494" s="94">
        <v>2348.19</v>
      </c>
      <c r="J2494" s="94">
        <v>1761.14</v>
      </c>
      <c r="K2494" s="94">
        <v>587.05</v>
      </c>
    </row>
    <row r="2495" spans="1:11">
      <c r="A2495" s="74" t="s">
        <v>309</v>
      </c>
      <c r="B2495" s="74" t="s">
        <v>136</v>
      </c>
      <c r="C2495" s="74" t="s">
        <v>137</v>
      </c>
      <c r="D2495" s="74" t="s">
        <v>79</v>
      </c>
      <c r="E2495" s="74" t="s">
        <v>80</v>
      </c>
      <c r="F2495" s="86" t="s">
        <v>116</v>
      </c>
      <c r="G2495" s="74" t="s">
        <v>138</v>
      </c>
      <c r="H2495" s="87">
        <v>44895</v>
      </c>
      <c r="I2495" s="94">
        <v>3396.71</v>
      </c>
      <c r="J2495" s="94">
        <v>2547.53</v>
      </c>
      <c r="K2495" s="94">
        <v>849.18</v>
      </c>
    </row>
    <row r="2496" spans="1:11">
      <c r="A2496" s="74" t="s">
        <v>309</v>
      </c>
      <c r="B2496" s="74" t="s">
        <v>139</v>
      </c>
      <c r="C2496" s="74" t="s">
        <v>140</v>
      </c>
      <c r="D2496" s="74" t="s">
        <v>79</v>
      </c>
      <c r="E2496" s="74" t="s">
        <v>80</v>
      </c>
      <c r="F2496" s="86" t="s">
        <v>120</v>
      </c>
      <c r="G2496" s="74" t="s">
        <v>138</v>
      </c>
      <c r="H2496" s="87">
        <v>44895</v>
      </c>
      <c r="I2496" s="94">
        <v>2826.43</v>
      </c>
      <c r="J2496" s="94">
        <v>2119.82</v>
      </c>
      <c r="K2496" s="94">
        <v>706.61</v>
      </c>
    </row>
    <row r="2497" spans="1:11">
      <c r="A2497" s="74" t="s">
        <v>309</v>
      </c>
      <c r="B2497" s="74" t="s">
        <v>141</v>
      </c>
      <c r="C2497" s="74" t="s">
        <v>142</v>
      </c>
      <c r="D2497" s="74" t="s">
        <v>79</v>
      </c>
      <c r="E2497" s="74" t="s">
        <v>80</v>
      </c>
      <c r="F2497" s="86" t="s">
        <v>123</v>
      </c>
      <c r="G2497" s="74" t="s">
        <v>138</v>
      </c>
      <c r="H2497" s="87">
        <v>44895</v>
      </c>
      <c r="I2497" s="94">
        <v>2404.8</v>
      </c>
      <c r="J2497" s="94">
        <v>1803.6</v>
      </c>
      <c r="K2497" s="94">
        <v>601.2</v>
      </c>
    </row>
    <row r="2498" spans="1:11">
      <c r="A2498" s="74" t="s">
        <v>309</v>
      </c>
      <c r="B2498" s="74" t="s">
        <v>143</v>
      </c>
      <c r="C2498" s="74" t="s">
        <v>144</v>
      </c>
      <c r="D2498" s="74" t="s">
        <v>79</v>
      </c>
      <c r="E2498" s="74" t="s">
        <v>80</v>
      </c>
      <c r="F2498" s="86" t="s">
        <v>145</v>
      </c>
      <c r="G2498" s="74" t="s">
        <v>146</v>
      </c>
      <c r="H2498" s="87">
        <v>44895</v>
      </c>
      <c r="I2498" s="94">
        <v>7429.85</v>
      </c>
      <c r="J2498" s="94">
        <v>5572.39</v>
      </c>
      <c r="K2498" s="94">
        <v>1857.46</v>
      </c>
    </row>
    <row r="2499" spans="1:11">
      <c r="A2499" s="74" t="s">
        <v>309</v>
      </c>
      <c r="B2499" s="74" t="s">
        <v>147</v>
      </c>
      <c r="C2499" s="74" t="s">
        <v>148</v>
      </c>
      <c r="D2499" s="74" t="s">
        <v>79</v>
      </c>
      <c r="E2499" s="74" t="s">
        <v>80</v>
      </c>
      <c r="F2499" s="86" t="s">
        <v>149</v>
      </c>
      <c r="G2499" s="74" t="s">
        <v>150</v>
      </c>
      <c r="H2499" s="87">
        <v>44895</v>
      </c>
      <c r="I2499" s="94">
        <v>7102.82</v>
      </c>
      <c r="J2499" s="94">
        <v>5327.12</v>
      </c>
      <c r="K2499" s="94">
        <v>1775.7</v>
      </c>
    </row>
    <row r="2500" spans="1:11">
      <c r="A2500" s="74" t="s">
        <v>309</v>
      </c>
      <c r="B2500" s="74" t="s">
        <v>151</v>
      </c>
      <c r="C2500" s="74" t="s">
        <v>152</v>
      </c>
      <c r="D2500" s="74" t="s">
        <v>79</v>
      </c>
      <c r="E2500" s="74" t="s">
        <v>81</v>
      </c>
      <c r="F2500" s="86" t="s">
        <v>123</v>
      </c>
      <c r="G2500" s="74" t="s">
        <v>153</v>
      </c>
      <c r="H2500" s="87">
        <v>44895</v>
      </c>
      <c r="I2500" s="94">
        <v>2380.84</v>
      </c>
      <c r="J2500" s="94">
        <v>1785.63</v>
      </c>
      <c r="K2500" s="94">
        <v>595.21</v>
      </c>
    </row>
    <row r="2501" spans="1:11">
      <c r="A2501" s="74" t="s">
        <v>309</v>
      </c>
      <c r="B2501" s="74" t="s">
        <v>154</v>
      </c>
      <c r="C2501" s="74" t="s">
        <v>155</v>
      </c>
      <c r="D2501" s="74" t="s">
        <v>79</v>
      </c>
      <c r="E2501" s="74" t="s">
        <v>81</v>
      </c>
      <c r="F2501" s="86" t="s">
        <v>156</v>
      </c>
      <c r="G2501" s="74" t="s">
        <v>157</v>
      </c>
      <c r="H2501" s="87">
        <v>44895</v>
      </c>
      <c r="I2501" s="94">
        <v>2086.81</v>
      </c>
      <c r="J2501" s="94">
        <v>1565.11</v>
      </c>
      <c r="K2501" s="94">
        <v>521.7</v>
      </c>
    </row>
    <row r="2502" spans="1:11">
      <c r="A2502" s="74" t="s">
        <v>309</v>
      </c>
      <c r="B2502" s="74" t="s">
        <v>158</v>
      </c>
      <c r="C2502" s="74" t="s">
        <v>159</v>
      </c>
      <c r="D2502" s="74" t="s">
        <v>79</v>
      </c>
      <c r="E2502" s="74" t="s">
        <v>81</v>
      </c>
      <c r="F2502" s="86" t="s">
        <v>160</v>
      </c>
      <c r="G2502" s="74" t="s">
        <v>161</v>
      </c>
      <c r="H2502" s="87">
        <v>44895</v>
      </c>
      <c r="I2502" s="94">
        <v>1575.78</v>
      </c>
      <c r="J2502" s="94">
        <v>1181.84</v>
      </c>
      <c r="K2502" s="94">
        <v>393.94</v>
      </c>
    </row>
    <row r="2503" spans="1:11">
      <c r="A2503" s="74" t="s">
        <v>309</v>
      </c>
      <c r="B2503" s="74" t="s">
        <v>162</v>
      </c>
      <c r="C2503" s="74" t="s">
        <v>163</v>
      </c>
      <c r="D2503" s="74" t="s">
        <v>79</v>
      </c>
      <c r="E2503" s="74" t="s">
        <v>81</v>
      </c>
      <c r="F2503" s="86" t="s">
        <v>123</v>
      </c>
      <c r="G2503" s="74" t="s">
        <v>153</v>
      </c>
      <c r="H2503" s="87">
        <v>44895</v>
      </c>
      <c r="I2503" s="94">
        <v>2401.38</v>
      </c>
      <c r="J2503" s="94">
        <v>1801.04</v>
      </c>
      <c r="K2503" s="94">
        <v>600.34</v>
      </c>
    </row>
    <row r="2504" spans="1:11">
      <c r="A2504" s="74" t="s">
        <v>309</v>
      </c>
      <c r="B2504" s="74" t="s">
        <v>164</v>
      </c>
      <c r="C2504" s="74" t="s">
        <v>165</v>
      </c>
      <c r="D2504" s="74" t="s">
        <v>79</v>
      </c>
      <c r="E2504" s="74" t="s">
        <v>81</v>
      </c>
      <c r="F2504" s="86" t="s">
        <v>156</v>
      </c>
      <c r="G2504" s="74" t="s">
        <v>157</v>
      </c>
      <c r="H2504" s="87">
        <v>44895</v>
      </c>
      <c r="I2504" s="94">
        <v>2068.63</v>
      </c>
      <c r="J2504" s="94">
        <v>1551.47</v>
      </c>
      <c r="K2504" s="94">
        <v>517.16</v>
      </c>
    </row>
    <row r="2505" spans="1:11">
      <c r="A2505" s="74" t="s">
        <v>309</v>
      </c>
      <c r="B2505" s="74" t="s">
        <v>166</v>
      </c>
      <c r="C2505" s="74" t="s">
        <v>167</v>
      </c>
      <c r="D2505" s="74" t="s">
        <v>79</v>
      </c>
      <c r="E2505" s="74" t="s">
        <v>81</v>
      </c>
      <c r="F2505" s="86" t="s">
        <v>160</v>
      </c>
      <c r="G2505" s="74" t="s">
        <v>161</v>
      </c>
      <c r="H2505" s="87">
        <v>44895</v>
      </c>
      <c r="I2505" s="94">
        <v>1593.22</v>
      </c>
      <c r="J2505" s="94">
        <v>1194.92</v>
      </c>
      <c r="K2505" s="94">
        <v>398.3</v>
      </c>
    </row>
    <row r="2506" spans="1:11">
      <c r="A2506" s="74" t="s">
        <v>309</v>
      </c>
      <c r="B2506" s="74" t="s">
        <v>168</v>
      </c>
      <c r="C2506" s="74" t="s">
        <v>169</v>
      </c>
      <c r="D2506" s="74" t="s">
        <v>79</v>
      </c>
      <c r="E2506" s="74" t="s">
        <v>81</v>
      </c>
      <c r="F2506" s="86" t="s">
        <v>123</v>
      </c>
      <c r="G2506" s="74" t="s">
        <v>153</v>
      </c>
      <c r="H2506" s="87">
        <v>44895</v>
      </c>
      <c r="I2506" s="94">
        <v>2507.49</v>
      </c>
      <c r="J2506" s="94">
        <v>1880.62</v>
      </c>
      <c r="K2506" s="94">
        <v>626.87</v>
      </c>
    </row>
    <row r="2507" spans="1:11">
      <c r="A2507" s="74" t="s">
        <v>309</v>
      </c>
      <c r="B2507" s="74" t="s">
        <v>170</v>
      </c>
      <c r="C2507" s="74" t="s">
        <v>171</v>
      </c>
      <c r="D2507" s="74" t="s">
        <v>79</v>
      </c>
      <c r="E2507" s="74" t="s">
        <v>81</v>
      </c>
      <c r="F2507" s="86" t="s">
        <v>156</v>
      </c>
      <c r="G2507" s="74" t="s">
        <v>157</v>
      </c>
      <c r="H2507" s="87">
        <v>44895</v>
      </c>
      <c r="I2507" s="94">
        <v>2017.4</v>
      </c>
      <c r="J2507" s="94">
        <v>1513.05</v>
      </c>
      <c r="K2507" s="94">
        <v>504.35</v>
      </c>
    </row>
    <row r="2508" spans="1:11">
      <c r="A2508" s="74" t="s">
        <v>309</v>
      </c>
      <c r="B2508" s="74" t="s">
        <v>172</v>
      </c>
      <c r="C2508" s="74" t="s">
        <v>173</v>
      </c>
      <c r="D2508" s="74" t="s">
        <v>79</v>
      </c>
      <c r="E2508" s="74" t="s">
        <v>81</v>
      </c>
      <c r="F2508" s="86" t="s">
        <v>160</v>
      </c>
      <c r="G2508" s="74" t="s">
        <v>161</v>
      </c>
      <c r="H2508" s="87">
        <v>44895</v>
      </c>
      <c r="I2508" s="94">
        <v>1581.84</v>
      </c>
      <c r="J2508" s="94">
        <v>1186.38</v>
      </c>
      <c r="K2508" s="94">
        <v>395.46</v>
      </c>
    </row>
    <row r="2509" spans="1:11">
      <c r="A2509" s="74" t="s">
        <v>309</v>
      </c>
      <c r="B2509" s="74" t="s">
        <v>174</v>
      </c>
      <c r="C2509" s="74" t="s">
        <v>175</v>
      </c>
      <c r="D2509" s="74" t="s">
        <v>79</v>
      </c>
      <c r="E2509" s="74" t="s">
        <v>81</v>
      </c>
      <c r="F2509" s="86" t="s">
        <v>176</v>
      </c>
      <c r="G2509" s="74" t="s">
        <v>177</v>
      </c>
      <c r="H2509" s="87">
        <v>44895</v>
      </c>
      <c r="I2509" s="94">
        <v>1258.96</v>
      </c>
      <c r="J2509" s="94">
        <v>944.22</v>
      </c>
      <c r="K2509" s="94">
        <v>314.74</v>
      </c>
    </row>
    <row r="2510" spans="1:11">
      <c r="A2510" s="74" t="s">
        <v>309</v>
      </c>
      <c r="B2510" s="74" t="s">
        <v>178</v>
      </c>
      <c r="C2510" s="74" t="s">
        <v>179</v>
      </c>
      <c r="D2510" s="74" t="s">
        <v>79</v>
      </c>
      <c r="E2510" s="74" t="s">
        <v>81</v>
      </c>
      <c r="F2510" s="86" t="s">
        <v>180</v>
      </c>
      <c r="G2510" s="74" t="s">
        <v>177</v>
      </c>
      <c r="H2510" s="87">
        <v>44895</v>
      </c>
      <c r="I2510" s="94">
        <v>853.27</v>
      </c>
      <c r="J2510" s="94">
        <v>639.95</v>
      </c>
      <c r="K2510" s="94">
        <v>213.32</v>
      </c>
    </row>
    <row r="2511" spans="1:11">
      <c r="A2511" s="74" t="s">
        <v>309</v>
      </c>
      <c r="B2511" s="74" t="s">
        <v>181</v>
      </c>
      <c r="C2511" s="74" t="s">
        <v>182</v>
      </c>
      <c r="D2511" s="74" t="s">
        <v>79</v>
      </c>
      <c r="E2511" s="74" t="s">
        <v>81</v>
      </c>
      <c r="F2511" s="86" t="s">
        <v>183</v>
      </c>
      <c r="G2511" s="74" t="s">
        <v>177</v>
      </c>
      <c r="H2511" s="87">
        <v>44895</v>
      </c>
      <c r="I2511" s="94">
        <v>397.69</v>
      </c>
      <c r="J2511" s="94">
        <v>298.27</v>
      </c>
      <c r="K2511" s="94">
        <v>99.42</v>
      </c>
    </row>
    <row r="2512" spans="1:11">
      <c r="A2512" s="74" t="s">
        <v>309</v>
      </c>
      <c r="B2512" s="74" t="s">
        <v>184</v>
      </c>
      <c r="C2512" s="74" t="s">
        <v>185</v>
      </c>
      <c r="D2512" s="74" t="s">
        <v>79</v>
      </c>
      <c r="E2512" s="74" t="s">
        <v>81</v>
      </c>
      <c r="F2512" s="86" t="s">
        <v>176</v>
      </c>
      <c r="G2512" s="74" t="s">
        <v>177</v>
      </c>
      <c r="H2512" s="87">
        <v>44895</v>
      </c>
      <c r="I2512" s="94">
        <v>1206.44</v>
      </c>
      <c r="J2512" s="94">
        <v>904.83</v>
      </c>
      <c r="K2512" s="94">
        <v>301.61</v>
      </c>
    </row>
    <row r="2513" spans="1:11">
      <c r="A2513" s="74" t="s">
        <v>309</v>
      </c>
      <c r="B2513" s="74" t="s">
        <v>186</v>
      </c>
      <c r="C2513" s="74" t="s">
        <v>187</v>
      </c>
      <c r="D2513" s="74" t="s">
        <v>79</v>
      </c>
      <c r="E2513" s="74" t="s">
        <v>81</v>
      </c>
      <c r="F2513" s="86" t="s">
        <v>180</v>
      </c>
      <c r="G2513" s="74" t="s">
        <v>177</v>
      </c>
      <c r="H2513" s="87">
        <v>44895</v>
      </c>
      <c r="I2513" s="94">
        <v>809.44</v>
      </c>
      <c r="J2513" s="94">
        <v>607.08</v>
      </c>
      <c r="K2513" s="94">
        <v>202.36</v>
      </c>
    </row>
    <row r="2514" spans="1:11">
      <c r="A2514" s="74" t="s">
        <v>309</v>
      </c>
      <c r="B2514" s="74" t="s">
        <v>188</v>
      </c>
      <c r="C2514" s="74" t="s">
        <v>189</v>
      </c>
      <c r="D2514" s="74" t="s">
        <v>79</v>
      </c>
      <c r="E2514" s="74" t="s">
        <v>81</v>
      </c>
      <c r="F2514" s="86" t="s">
        <v>183</v>
      </c>
      <c r="G2514" s="74" t="s">
        <v>177</v>
      </c>
      <c r="H2514" s="87">
        <v>44895</v>
      </c>
      <c r="I2514" s="94">
        <v>413.95</v>
      </c>
      <c r="J2514" s="94">
        <v>310.46</v>
      </c>
      <c r="K2514" s="94">
        <v>103.49</v>
      </c>
    </row>
    <row r="2515" spans="1:11">
      <c r="A2515" s="74" t="s">
        <v>309</v>
      </c>
      <c r="B2515" s="74" t="s">
        <v>190</v>
      </c>
      <c r="C2515" s="74" t="s">
        <v>191</v>
      </c>
      <c r="D2515" s="74" t="s">
        <v>79</v>
      </c>
      <c r="E2515" s="74" t="s">
        <v>81</v>
      </c>
      <c r="F2515" s="86" t="s">
        <v>176</v>
      </c>
      <c r="G2515" s="74" t="s">
        <v>177</v>
      </c>
      <c r="H2515" s="87">
        <v>44895</v>
      </c>
      <c r="I2515" s="94">
        <v>1194.3</v>
      </c>
      <c r="J2515" s="94">
        <v>895.73</v>
      </c>
      <c r="K2515" s="94">
        <v>298.57</v>
      </c>
    </row>
    <row r="2516" spans="1:11">
      <c r="A2516" s="74" t="s">
        <v>309</v>
      </c>
      <c r="B2516" s="74" t="s">
        <v>192</v>
      </c>
      <c r="C2516" s="74" t="s">
        <v>193</v>
      </c>
      <c r="D2516" s="74" t="s">
        <v>79</v>
      </c>
      <c r="E2516" s="74" t="s">
        <v>81</v>
      </c>
      <c r="F2516" s="86" t="s">
        <v>180</v>
      </c>
      <c r="G2516" s="74" t="s">
        <v>177</v>
      </c>
      <c r="H2516" s="87">
        <v>44895</v>
      </c>
      <c r="I2516" s="94">
        <v>796.25</v>
      </c>
      <c r="J2516" s="94">
        <v>597.19</v>
      </c>
      <c r="K2516" s="94">
        <v>199.06</v>
      </c>
    </row>
    <row r="2517" spans="1:11">
      <c r="A2517" s="74" t="s">
        <v>309</v>
      </c>
      <c r="B2517" s="74" t="s">
        <v>194</v>
      </c>
      <c r="C2517" s="74" t="s">
        <v>195</v>
      </c>
      <c r="D2517" s="74" t="s">
        <v>79</v>
      </c>
      <c r="E2517" s="74" t="s">
        <v>81</v>
      </c>
      <c r="F2517" s="86" t="s">
        <v>183</v>
      </c>
      <c r="G2517" s="74" t="s">
        <v>177</v>
      </c>
      <c r="H2517" s="87">
        <v>44895</v>
      </c>
      <c r="I2517" s="94">
        <v>400.42</v>
      </c>
      <c r="J2517" s="94">
        <v>300.32</v>
      </c>
      <c r="K2517" s="94">
        <v>100.1</v>
      </c>
    </row>
    <row r="2518" spans="1:11">
      <c r="A2518" s="74" t="s">
        <v>309</v>
      </c>
      <c r="B2518" s="74" t="s">
        <v>196</v>
      </c>
      <c r="C2518" s="74" t="s">
        <v>197</v>
      </c>
      <c r="D2518" s="74" t="s">
        <v>79</v>
      </c>
      <c r="E2518" s="74" t="s">
        <v>81</v>
      </c>
      <c r="F2518" s="86" t="s">
        <v>176</v>
      </c>
      <c r="G2518" s="74" t="s">
        <v>177</v>
      </c>
      <c r="H2518" s="87">
        <v>44895</v>
      </c>
      <c r="I2518" s="94">
        <v>1218.92</v>
      </c>
      <c r="J2518" s="94">
        <v>914.19</v>
      </c>
      <c r="K2518" s="94">
        <v>304.73</v>
      </c>
    </row>
    <row r="2519" spans="1:11">
      <c r="A2519" s="74" t="s">
        <v>309</v>
      </c>
      <c r="B2519" s="74" t="s">
        <v>198</v>
      </c>
      <c r="C2519" s="74" t="s">
        <v>199</v>
      </c>
      <c r="D2519" s="74" t="s">
        <v>79</v>
      </c>
      <c r="E2519" s="74" t="s">
        <v>81</v>
      </c>
      <c r="F2519" s="86" t="s">
        <v>180</v>
      </c>
      <c r="G2519" s="74" t="s">
        <v>177</v>
      </c>
      <c r="H2519" s="87">
        <v>44895</v>
      </c>
      <c r="I2519" s="94">
        <v>806.02</v>
      </c>
      <c r="J2519" s="94">
        <v>604.52</v>
      </c>
      <c r="K2519" s="94">
        <v>201.5</v>
      </c>
    </row>
    <row r="2520" spans="1:11">
      <c r="A2520" s="74" t="s">
        <v>309</v>
      </c>
      <c r="B2520" s="74" t="s">
        <v>200</v>
      </c>
      <c r="C2520" s="74" t="s">
        <v>201</v>
      </c>
      <c r="D2520" s="74" t="s">
        <v>79</v>
      </c>
      <c r="E2520" s="74" t="s">
        <v>81</v>
      </c>
      <c r="F2520" s="86" t="s">
        <v>183</v>
      </c>
      <c r="G2520" s="74" t="s">
        <v>177</v>
      </c>
      <c r="H2520" s="87">
        <v>44895</v>
      </c>
      <c r="I2520" s="94">
        <v>403.14</v>
      </c>
      <c r="J2520" s="94">
        <v>302.36</v>
      </c>
      <c r="K2520" s="94">
        <v>100.78</v>
      </c>
    </row>
    <row r="2521" spans="1:11">
      <c r="A2521" s="74" t="s">
        <v>309</v>
      </c>
      <c r="B2521" s="74" t="s">
        <v>202</v>
      </c>
      <c r="C2521" s="74" t="s">
        <v>203</v>
      </c>
      <c r="D2521" s="74" t="s">
        <v>79</v>
      </c>
      <c r="E2521" s="74" t="s">
        <v>81</v>
      </c>
      <c r="F2521" s="86" t="s">
        <v>204</v>
      </c>
      <c r="G2521" s="74" t="s">
        <v>205</v>
      </c>
      <c r="H2521" s="87">
        <v>44895</v>
      </c>
      <c r="I2521" s="94">
        <v>7325.03</v>
      </c>
      <c r="J2521" s="94">
        <v>5493.77</v>
      </c>
      <c r="K2521" s="94">
        <v>1831.26</v>
      </c>
    </row>
    <row r="2522" spans="1:11">
      <c r="A2522" s="74" t="s">
        <v>309</v>
      </c>
      <c r="B2522" s="74" t="s">
        <v>206</v>
      </c>
      <c r="C2522" s="74" t="s">
        <v>207</v>
      </c>
      <c r="D2522" s="88" t="s">
        <v>82</v>
      </c>
      <c r="E2522" s="88" t="s">
        <v>84</v>
      </c>
      <c r="F2522" s="86" t="s">
        <v>208</v>
      </c>
      <c r="G2522" s="74" t="s">
        <v>209</v>
      </c>
      <c r="H2522" s="87">
        <v>44895</v>
      </c>
      <c r="I2522" s="94">
        <v>3663.03</v>
      </c>
      <c r="J2522" s="94">
        <v>2747.27</v>
      </c>
      <c r="K2522" s="94">
        <v>915.76</v>
      </c>
    </row>
    <row r="2523" spans="1:11">
      <c r="A2523" s="74" t="s">
        <v>309</v>
      </c>
      <c r="B2523" s="74" t="s">
        <v>210</v>
      </c>
      <c r="C2523" s="74" t="s">
        <v>211</v>
      </c>
      <c r="D2523" s="88" t="s">
        <v>82</v>
      </c>
      <c r="E2523" s="88" t="s">
        <v>84</v>
      </c>
      <c r="F2523" s="86" t="s">
        <v>116</v>
      </c>
      <c r="G2523" s="74" t="s">
        <v>209</v>
      </c>
      <c r="H2523" s="87">
        <v>44895</v>
      </c>
      <c r="I2523" s="94">
        <v>3341.09</v>
      </c>
      <c r="J2523" s="94">
        <v>2505.82</v>
      </c>
      <c r="K2523" s="94">
        <v>835.27</v>
      </c>
    </row>
    <row r="2524" spans="1:11">
      <c r="A2524" s="74" t="s">
        <v>309</v>
      </c>
      <c r="B2524" s="74" t="s">
        <v>212</v>
      </c>
      <c r="C2524" s="74" t="s">
        <v>213</v>
      </c>
      <c r="D2524" s="88" t="s">
        <v>82</v>
      </c>
      <c r="E2524" s="88" t="s">
        <v>84</v>
      </c>
      <c r="F2524" s="86" t="s">
        <v>208</v>
      </c>
      <c r="G2524" s="74" t="s">
        <v>209</v>
      </c>
      <c r="H2524" s="87">
        <v>44895</v>
      </c>
      <c r="I2524" s="94">
        <v>3541.34</v>
      </c>
      <c r="J2524" s="94">
        <v>2656.01</v>
      </c>
      <c r="K2524" s="94">
        <v>885.33</v>
      </c>
    </row>
    <row r="2525" spans="1:11">
      <c r="A2525" s="74" t="s">
        <v>309</v>
      </c>
      <c r="B2525" s="74" t="s">
        <v>214</v>
      </c>
      <c r="C2525" s="74" t="s">
        <v>215</v>
      </c>
      <c r="D2525" s="88" t="s">
        <v>82</v>
      </c>
      <c r="E2525" s="88" t="s">
        <v>84</v>
      </c>
      <c r="F2525" s="86" t="s">
        <v>116</v>
      </c>
      <c r="G2525" s="74" t="s">
        <v>209</v>
      </c>
      <c r="H2525" s="87">
        <v>44895</v>
      </c>
      <c r="I2525" s="94">
        <v>3197.08</v>
      </c>
      <c r="J2525" s="94">
        <v>2397.81</v>
      </c>
      <c r="K2525" s="94">
        <v>799.27</v>
      </c>
    </row>
    <row r="2526" spans="1:11">
      <c r="A2526" s="74" t="s">
        <v>309</v>
      </c>
      <c r="B2526" s="74" t="s">
        <v>216</v>
      </c>
      <c r="C2526" s="74" t="s">
        <v>217</v>
      </c>
      <c r="D2526" s="88" t="s">
        <v>82</v>
      </c>
      <c r="E2526" s="88" t="s">
        <v>84</v>
      </c>
      <c r="F2526" s="86" t="s">
        <v>218</v>
      </c>
      <c r="G2526" s="74" t="s">
        <v>219</v>
      </c>
      <c r="H2526" s="87">
        <v>44895</v>
      </c>
      <c r="I2526" s="94">
        <v>4667.37</v>
      </c>
      <c r="J2526" s="94">
        <v>3500.53</v>
      </c>
      <c r="K2526" s="94">
        <v>1166.84</v>
      </c>
    </row>
    <row r="2527" spans="1:11">
      <c r="A2527" s="74" t="s">
        <v>309</v>
      </c>
      <c r="B2527" s="74" t="s">
        <v>220</v>
      </c>
      <c r="C2527" s="74" t="s">
        <v>221</v>
      </c>
      <c r="D2527" s="88" t="s">
        <v>82</v>
      </c>
      <c r="E2527" s="74" t="s">
        <v>83</v>
      </c>
      <c r="F2527" s="86" t="s">
        <v>218</v>
      </c>
      <c r="G2527" s="74" t="s">
        <v>222</v>
      </c>
      <c r="H2527" s="87">
        <v>44895</v>
      </c>
      <c r="I2527" s="94">
        <v>4441.8</v>
      </c>
      <c r="J2527" s="94">
        <v>3331.35</v>
      </c>
      <c r="K2527" s="94">
        <v>1110.45</v>
      </c>
    </row>
    <row r="2528" spans="1:11">
      <c r="A2528" s="74" t="s">
        <v>309</v>
      </c>
      <c r="B2528" s="74" t="s">
        <v>223</v>
      </c>
      <c r="C2528" s="74" t="s">
        <v>224</v>
      </c>
      <c r="D2528" s="88" t="s">
        <v>82</v>
      </c>
      <c r="E2528" s="74" t="s">
        <v>83</v>
      </c>
      <c r="F2528" s="86" t="s">
        <v>225</v>
      </c>
      <c r="G2528" s="74" t="s">
        <v>209</v>
      </c>
      <c r="H2528" s="87">
        <v>44895</v>
      </c>
      <c r="I2528" s="94">
        <v>3922.65</v>
      </c>
      <c r="J2528" s="94">
        <v>2941.99</v>
      </c>
      <c r="K2528" s="94">
        <v>980.66</v>
      </c>
    </row>
    <row r="2529" spans="1:11">
      <c r="A2529" s="74" t="s">
        <v>309</v>
      </c>
      <c r="B2529" s="74" t="s">
        <v>226</v>
      </c>
      <c r="C2529" s="74" t="s">
        <v>227</v>
      </c>
      <c r="D2529" s="88" t="s">
        <v>82</v>
      </c>
      <c r="E2529" s="74" t="s">
        <v>83</v>
      </c>
      <c r="F2529" s="86" t="s">
        <v>208</v>
      </c>
      <c r="G2529" s="74" t="s">
        <v>209</v>
      </c>
      <c r="H2529" s="87">
        <v>44895</v>
      </c>
      <c r="I2529" s="94">
        <v>3585.37</v>
      </c>
      <c r="J2529" s="94">
        <v>2689.03</v>
      </c>
      <c r="K2529" s="94">
        <v>896.34</v>
      </c>
    </row>
    <row r="2530" spans="1:11">
      <c r="A2530" s="74" t="s">
        <v>309</v>
      </c>
      <c r="B2530" s="74" t="s">
        <v>228</v>
      </c>
      <c r="C2530" s="74" t="s">
        <v>229</v>
      </c>
      <c r="D2530" s="88" t="s">
        <v>82</v>
      </c>
      <c r="E2530" s="74" t="s">
        <v>83</v>
      </c>
      <c r="F2530" s="86" t="s">
        <v>116</v>
      </c>
      <c r="G2530" s="74" t="s">
        <v>209</v>
      </c>
      <c r="H2530" s="87">
        <v>44895</v>
      </c>
      <c r="I2530" s="94">
        <v>3189.47</v>
      </c>
      <c r="J2530" s="94">
        <v>2392.1</v>
      </c>
      <c r="K2530" s="94">
        <v>797.37</v>
      </c>
    </row>
    <row r="2531" spans="1:11">
      <c r="A2531" s="74" t="s">
        <v>309</v>
      </c>
      <c r="B2531" s="74" t="s">
        <v>230</v>
      </c>
      <c r="C2531" s="74" t="s">
        <v>231</v>
      </c>
      <c r="D2531" s="88" t="s">
        <v>82</v>
      </c>
      <c r="E2531" s="74" t="s">
        <v>83</v>
      </c>
      <c r="F2531" s="86" t="s">
        <v>120</v>
      </c>
      <c r="G2531" s="74" t="s">
        <v>209</v>
      </c>
      <c r="H2531" s="87">
        <v>44895</v>
      </c>
      <c r="I2531" s="94">
        <v>2799.38</v>
      </c>
      <c r="J2531" s="94">
        <v>2099.54</v>
      </c>
      <c r="K2531" s="94">
        <v>699.84</v>
      </c>
    </row>
    <row r="2532" spans="1:11">
      <c r="A2532" s="74" t="s">
        <v>309</v>
      </c>
      <c r="B2532" s="74" t="s">
        <v>232</v>
      </c>
      <c r="C2532" s="74" t="s">
        <v>233</v>
      </c>
      <c r="D2532" s="88" t="s">
        <v>82</v>
      </c>
      <c r="E2532" s="74" t="s">
        <v>83</v>
      </c>
      <c r="F2532" s="86" t="s">
        <v>123</v>
      </c>
      <c r="G2532" s="74" t="s">
        <v>209</v>
      </c>
      <c r="H2532" s="87">
        <v>44895</v>
      </c>
      <c r="I2532" s="94">
        <v>2497.56</v>
      </c>
      <c r="J2532" s="94">
        <v>1873.17</v>
      </c>
      <c r="K2532" s="94">
        <v>624.39</v>
      </c>
    </row>
    <row r="2533" spans="1:11">
      <c r="A2533" s="74" t="s">
        <v>309</v>
      </c>
      <c r="B2533" s="74" t="s">
        <v>234</v>
      </c>
      <c r="C2533" s="74" t="s">
        <v>235</v>
      </c>
      <c r="D2533" s="88" t="s">
        <v>82</v>
      </c>
      <c r="E2533" s="74" t="s">
        <v>83</v>
      </c>
      <c r="F2533" s="86" t="s">
        <v>116</v>
      </c>
      <c r="G2533" s="74" t="s">
        <v>209</v>
      </c>
      <c r="H2533" s="87">
        <v>44895</v>
      </c>
      <c r="I2533" s="94">
        <v>3134.79</v>
      </c>
      <c r="J2533" s="94">
        <v>2351.09</v>
      </c>
      <c r="K2533" s="94">
        <v>783.7</v>
      </c>
    </row>
    <row r="2534" spans="1:11">
      <c r="A2534" s="74" t="s">
        <v>309</v>
      </c>
      <c r="B2534" s="74" t="s">
        <v>236</v>
      </c>
      <c r="C2534" s="74" t="s">
        <v>237</v>
      </c>
      <c r="D2534" s="88" t="s">
        <v>82</v>
      </c>
      <c r="E2534" s="74" t="s">
        <v>83</v>
      </c>
      <c r="F2534" s="86" t="s">
        <v>120</v>
      </c>
      <c r="G2534" s="74" t="s">
        <v>209</v>
      </c>
      <c r="H2534" s="87">
        <v>44895</v>
      </c>
      <c r="I2534" s="94">
        <v>2829.65</v>
      </c>
      <c r="J2534" s="94">
        <v>2122.24</v>
      </c>
      <c r="K2534" s="94">
        <v>707.41</v>
      </c>
    </row>
    <row r="2535" spans="1:11">
      <c r="A2535" s="74" t="s">
        <v>309</v>
      </c>
      <c r="B2535" s="74" t="s">
        <v>238</v>
      </c>
      <c r="C2535" s="74" t="s">
        <v>239</v>
      </c>
      <c r="D2535" s="74" t="s">
        <v>86</v>
      </c>
      <c r="E2535" s="74" t="s">
        <v>87</v>
      </c>
      <c r="F2535" s="86" t="s">
        <v>204</v>
      </c>
      <c r="G2535" s="74" t="s">
        <v>240</v>
      </c>
      <c r="H2535" s="87">
        <v>44895</v>
      </c>
      <c r="I2535" s="94">
        <v>6012.7</v>
      </c>
      <c r="J2535" s="94">
        <v>4509.53</v>
      </c>
      <c r="K2535" s="94">
        <v>1503.17</v>
      </c>
    </row>
    <row r="2536" spans="1:11">
      <c r="A2536" s="74" t="s">
        <v>309</v>
      </c>
      <c r="B2536" s="74" t="s">
        <v>241</v>
      </c>
      <c r="C2536" s="74" t="s">
        <v>242</v>
      </c>
      <c r="D2536" s="74" t="s">
        <v>86</v>
      </c>
      <c r="E2536" s="74" t="s">
        <v>87</v>
      </c>
      <c r="F2536" s="86" t="s">
        <v>243</v>
      </c>
      <c r="G2536" s="74" t="s">
        <v>244</v>
      </c>
      <c r="H2536" s="87">
        <v>44895</v>
      </c>
      <c r="I2536" s="94">
        <v>4200.34</v>
      </c>
      <c r="J2536" s="94">
        <v>3150.26</v>
      </c>
      <c r="K2536" s="94">
        <v>1050.08</v>
      </c>
    </row>
    <row r="2537" spans="1:11">
      <c r="A2537" s="74" t="s">
        <v>309</v>
      </c>
      <c r="B2537" s="74" t="s">
        <v>245</v>
      </c>
      <c r="C2537" s="74" t="s">
        <v>246</v>
      </c>
      <c r="D2537" s="74" t="s">
        <v>86</v>
      </c>
      <c r="E2537" s="74" t="s">
        <v>87</v>
      </c>
      <c r="F2537" s="86" t="s">
        <v>247</v>
      </c>
      <c r="G2537" s="74" t="s">
        <v>248</v>
      </c>
      <c r="H2537" s="87">
        <v>44895</v>
      </c>
      <c r="I2537" s="94">
        <v>4031.31</v>
      </c>
      <c r="J2537" s="94">
        <v>3023.48</v>
      </c>
      <c r="K2537" s="94">
        <v>1007.83</v>
      </c>
    </row>
    <row r="2538" spans="1:11">
      <c r="A2538" s="74" t="s">
        <v>309</v>
      </c>
      <c r="B2538" s="74" t="s">
        <v>249</v>
      </c>
      <c r="C2538" s="74" t="s">
        <v>250</v>
      </c>
      <c r="D2538" s="74" t="s">
        <v>86</v>
      </c>
      <c r="E2538" s="74" t="s">
        <v>87</v>
      </c>
      <c r="F2538" s="86" t="s">
        <v>251</v>
      </c>
      <c r="G2538" s="74" t="s">
        <v>252</v>
      </c>
      <c r="H2538" s="87">
        <v>44895</v>
      </c>
      <c r="I2538" s="94">
        <v>3448.93</v>
      </c>
      <c r="J2538" s="94">
        <v>2586.7</v>
      </c>
      <c r="K2538" s="94">
        <v>862.23</v>
      </c>
    </row>
    <row r="2539" spans="1:11">
      <c r="A2539" s="74" t="s">
        <v>309</v>
      </c>
      <c r="B2539" s="74" t="s">
        <v>253</v>
      </c>
      <c r="C2539" s="74" t="s">
        <v>254</v>
      </c>
      <c r="D2539" s="74" t="s">
        <v>86</v>
      </c>
      <c r="E2539" s="74" t="s">
        <v>87</v>
      </c>
      <c r="F2539" s="86" t="s">
        <v>255</v>
      </c>
      <c r="G2539" s="74" t="s">
        <v>252</v>
      </c>
      <c r="H2539" s="87">
        <v>44895</v>
      </c>
      <c r="I2539" s="94">
        <v>3265.4</v>
      </c>
      <c r="J2539" s="94">
        <v>2449.05</v>
      </c>
      <c r="K2539" s="94">
        <v>816.35</v>
      </c>
    </row>
    <row r="2540" spans="1:11">
      <c r="A2540" s="74" t="s">
        <v>309</v>
      </c>
      <c r="B2540" s="74" t="s">
        <v>256</v>
      </c>
      <c r="C2540" s="74" t="s">
        <v>257</v>
      </c>
      <c r="D2540" s="74" t="s">
        <v>86</v>
      </c>
      <c r="E2540" s="74" t="s">
        <v>87</v>
      </c>
      <c r="F2540" s="86" t="s">
        <v>258</v>
      </c>
      <c r="G2540" s="74" t="s">
        <v>252</v>
      </c>
      <c r="H2540" s="87">
        <v>44895</v>
      </c>
      <c r="I2540" s="94">
        <v>2849.81</v>
      </c>
      <c r="J2540" s="94">
        <v>2137.36</v>
      </c>
      <c r="K2540" s="94">
        <v>712.45</v>
      </c>
    </row>
    <row r="2541" spans="1:11">
      <c r="A2541" s="74" t="s">
        <v>309</v>
      </c>
      <c r="B2541" s="74" t="s">
        <v>259</v>
      </c>
      <c r="C2541" s="74" t="s">
        <v>260</v>
      </c>
      <c r="D2541" s="74" t="s">
        <v>86</v>
      </c>
      <c r="E2541" s="74" t="s">
        <v>87</v>
      </c>
      <c r="F2541" s="86" t="s">
        <v>261</v>
      </c>
      <c r="G2541" s="74" t="s">
        <v>262</v>
      </c>
      <c r="H2541" s="87">
        <v>44895</v>
      </c>
      <c r="I2541" s="94">
        <v>2700.55</v>
      </c>
      <c r="J2541" s="94">
        <v>2025.41</v>
      </c>
      <c r="K2541" s="94">
        <v>675.14</v>
      </c>
    </row>
    <row r="2542" spans="1:11">
      <c r="A2542" s="74" t="s">
        <v>309</v>
      </c>
      <c r="B2542" s="74" t="s">
        <v>263</v>
      </c>
      <c r="C2542" s="74" t="s">
        <v>264</v>
      </c>
      <c r="D2542" s="74" t="s">
        <v>86</v>
      </c>
      <c r="E2542" s="74" t="s">
        <v>88</v>
      </c>
      <c r="F2542" s="86" t="s">
        <v>149</v>
      </c>
      <c r="G2542" s="74" t="s">
        <v>265</v>
      </c>
      <c r="H2542" s="87">
        <v>44895</v>
      </c>
      <c r="I2542" s="94">
        <v>5567.33</v>
      </c>
      <c r="J2542" s="94">
        <v>4175.5</v>
      </c>
      <c r="K2542" s="94">
        <v>1391.83</v>
      </c>
    </row>
    <row r="2543" spans="1:11">
      <c r="A2543" s="74" t="s">
        <v>309</v>
      </c>
      <c r="B2543" s="74" t="s">
        <v>266</v>
      </c>
      <c r="C2543" s="74" t="s">
        <v>267</v>
      </c>
      <c r="D2543" s="74" t="s">
        <v>86</v>
      </c>
      <c r="E2543" s="74" t="s">
        <v>88</v>
      </c>
      <c r="F2543" s="86" t="s">
        <v>243</v>
      </c>
      <c r="G2543" s="74" t="s">
        <v>268</v>
      </c>
      <c r="H2543" s="87">
        <v>44895</v>
      </c>
      <c r="I2543" s="94">
        <v>4282.97</v>
      </c>
      <c r="J2543" s="94">
        <v>3212.23</v>
      </c>
      <c r="K2543" s="94">
        <v>1070.74</v>
      </c>
    </row>
    <row r="2544" spans="1:11">
      <c r="A2544" s="74" t="s">
        <v>309</v>
      </c>
      <c r="B2544" s="74" t="s">
        <v>269</v>
      </c>
      <c r="C2544" s="74" t="s">
        <v>270</v>
      </c>
      <c r="D2544" s="74" t="s">
        <v>86</v>
      </c>
      <c r="E2544" s="74" t="s">
        <v>88</v>
      </c>
      <c r="F2544" s="86" t="s">
        <v>247</v>
      </c>
      <c r="G2544" s="74" t="s">
        <v>268</v>
      </c>
      <c r="H2544" s="87">
        <v>44895</v>
      </c>
      <c r="I2544" s="94">
        <v>3961.02</v>
      </c>
      <c r="J2544" s="94">
        <v>2970.77</v>
      </c>
      <c r="K2544" s="94">
        <v>990.25</v>
      </c>
    </row>
    <row r="2545" spans="1:11">
      <c r="A2545" s="74" t="s">
        <v>309</v>
      </c>
      <c r="B2545" s="74" t="s">
        <v>271</v>
      </c>
      <c r="C2545" s="74" t="s">
        <v>272</v>
      </c>
      <c r="D2545" s="74" t="s">
        <v>86</v>
      </c>
      <c r="E2545" s="74" t="s">
        <v>88</v>
      </c>
      <c r="F2545" s="86" t="s">
        <v>251</v>
      </c>
      <c r="G2545" s="74" t="s">
        <v>268</v>
      </c>
      <c r="H2545" s="87">
        <v>44895</v>
      </c>
      <c r="I2545" s="94">
        <v>3448.45</v>
      </c>
      <c r="J2545" s="94">
        <v>2586.34</v>
      </c>
      <c r="K2545" s="94">
        <v>862.11</v>
      </c>
    </row>
    <row r="2546" spans="1:11">
      <c r="A2546" s="74" t="s">
        <v>309</v>
      </c>
      <c r="B2546" s="74" t="s">
        <v>273</v>
      </c>
      <c r="C2546" s="74" t="s">
        <v>274</v>
      </c>
      <c r="D2546" s="74" t="s">
        <v>86</v>
      </c>
      <c r="E2546" s="74" t="s">
        <v>88</v>
      </c>
      <c r="F2546" s="86" t="s">
        <v>255</v>
      </c>
      <c r="G2546" s="74" t="s">
        <v>268</v>
      </c>
      <c r="H2546" s="87">
        <v>44895</v>
      </c>
      <c r="I2546" s="94">
        <v>3122.37</v>
      </c>
      <c r="J2546" s="94">
        <v>2341.78</v>
      </c>
      <c r="K2546" s="94">
        <v>780.59</v>
      </c>
    </row>
    <row r="2547" spans="1:11">
      <c r="A2547" s="74" t="s">
        <v>309</v>
      </c>
      <c r="B2547" s="74" t="s">
        <v>275</v>
      </c>
      <c r="C2547" s="74" t="s">
        <v>276</v>
      </c>
      <c r="D2547" s="74" t="s">
        <v>86</v>
      </c>
      <c r="E2547" s="74" t="s">
        <v>88</v>
      </c>
      <c r="F2547" s="86" t="s">
        <v>258</v>
      </c>
      <c r="G2547" s="74" t="s">
        <v>268</v>
      </c>
      <c r="H2547" s="87">
        <v>44895</v>
      </c>
      <c r="I2547" s="94">
        <v>2851.75</v>
      </c>
      <c r="J2547" s="94">
        <v>2138.81</v>
      </c>
      <c r="K2547" s="94">
        <v>712.94</v>
      </c>
    </row>
    <row r="2548" spans="1:11">
      <c r="A2548" s="74" t="s">
        <v>309</v>
      </c>
      <c r="B2548" s="74" t="s">
        <v>277</v>
      </c>
      <c r="C2548" s="74" t="s">
        <v>278</v>
      </c>
      <c r="D2548" s="74" t="s">
        <v>86</v>
      </c>
      <c r="E2548" s="74" t="s">
        <v>89</v>
      </c>
      <c r="F2548" s="86" t="s">
        <v>279</v>
      </c>
      <c r="G2548" s="74" t="s">
        <v>280</v>
      </c>
      <c r="H2548" s="87">
        <v>44895</v>
      </c>
      <c r="I2548" s="94">
        <v>5097.39</v>
      </c>
      <c r="J2548" s="94">
        <v>3823.04</v>
      </c>
      <c r="K2548" s="94">
        <v>1274.35</v>
      </c>
    </row>
    <row r="2549" spans="1:11">
      <c r="A2549" s="74" t="s">
        <v>309</v>
      </c>
      <c r="B2549" s="74" t="s">
        <v>281</v>
      </c>
      <c r="C2549" s="74" t="s">
        <v>282</v>
      </c>
      <c r="D2549" s="74" t="s">
        <v>86</v>
      </c>
      <c r="E2549" s="74" t="s">
        <v>89</v>
      </c>
      <c r="F2549" s="86" t="s">
        <v>225</v>
      </c>
      <c r="G2549" s="74" t="s">
        <v>283</v>
      </c>
      <c r="H2549" s="87">
        <v>44895</v>
      </c>
      <c r="I2549" s="94">
        <v>3149.76</v>
      </c>
      <c r="J2549" s="94">
        <v>2362.32</v>
      </c>
      <c r="K2549" s="94">
        <v>787.44</v>
      </c>
    </row>
    <row r="2550" spans="1:11">
      <c r="A2550" s="74" t="s">
        <v>309</v>
      </c>
      <c r="B2550" s="74" t="s">
        <v>284</v>
      </c>
      <c r="C2550" s="74" t="s">
        <v>285</v>
      </c>
      <c r="D2550" s="74" t="s">
        <v>86</v>
      </c>
      <c r="E2550" s="74" t="s">
        <v>89</v>
      </c>
      <c r="F2550" s="86" t="s">
        <v>208</v>
      </c>
      <c r="G2550" s="74" t="s">
        <v>283</v>
      </c>
      <c r="H2550" s="87">
        <v>44895</v>
      </c>
      <c r="I2550" s="94">
        <v>2832.35</v>
      </c>
      <c r="J2550" s="94">
        <v>2124.26</v>
      </c>
      <c r="K2550" s="94">
        <v>708.09</v>
      </c>
    </row>
    <row r="2551" spans="1:11">
      <c r="A2551" s="74" t="s">
        <v>309</v>
      </c>
      <c r="B2551" s="74" t="s">
        <v>286</v>
      </c>
      <c r="C2551" s="74" t="s">
        <v>287</v>
      </c>
      <c r="D2551" s="74" t="s">
        <v>82</v>
      </c>
      <c r="E2551" s="88" t="s">
        <v>85</v>
      </c>
      <c r="F2551" s="86" t="s">
        <v>288</v>
      </c>
      <c r="G2551" s="74" t="s">
        <v>289</v>
      </c>
      <c r="H2551" s="87">
        <v>44895</v>
      </c>
      <c r="I2551" s="94">
        <v>4799.29</v>
      </c>
      <c r="J2551" s="94">
        <v>3599.47</v>
      </c>
      <c r="K2551" s="94">
        <v>1199.82</v>
      </c>
    </row>
    <row r="2552" spans="1:11">
      <c r="A2552" s="74" t="s">
        <v>309</v>
      </c>
      <c r="B2552" s="74" t="s">
        <v>290</v>
      </c>
      <c r="C2552" s="74" t="s">
        <v>291</v>
      </c>
      <c r="D2552" s="74" t="s">
        <v>82</v>
      </c>
      <c r="E2552" s="88" t="s">
        <v>85</v>
      </c>
      <c r="F2552" s="86" t="s">
        <v>218</v>
      </c>
      <c r="G2552" s="74" t="s">
        <v>289</v>
      </c>
      <c r="H2552" s="87">
        <v>44895</v>
      </c>
      <c r="I2552" s="94">
        <v>4687.64</v>
      </c>
      <c r="J2552" s="94">
        <v>3515.73</v>
      </c>
      <c r="K2552" s="94">
        <v>1171.91</v>
      </c>
    </row>
    <row r="2553" spans="1:11">
      <c r="A2553" s="74" t="s">
        <v>309</v>
      </c>
      <c r="B2553" s="74" t="s">
        <v>292</v>
      </c>
      <c r="C2553" s="74" t="s">
        <v>293</v>
      </c>
      <c r="D2553" s="74" t="s">
        <v>82</v>
      </c>
      <c r="E2553" s="88" t="s">
        <v>85</v>
      </c>
      <c r="F2553" s="86" t="s">
        <v>225</v>
      </c>
      <c r="G2553" s="74" t="s">
        <v>289</v>
      </c>
      <c r="H2553" s="87">
        <v>44895</v>
      </c>
      <c r="I2553" s="94">
        <v>3995.06</v>
      </c>
      <c r="J2553" s="94">
        <v>2996.3</v>
      </c>
      <c r="K2553" s="94">
        <v>998.76</v>
      </c>
    </row>
    <row r="2554" spans="1:11">
      <c r="A2554" s="74" t="s">
        <v>309</v>
      </c>
      <c r="B2554" s="74" t="s">
        <v>294</v>
      </c>
      <c r="C2554" s="74" t="s">
        <v>295</v>
      </c>
      <c r="D2554" s="74" t="s">
        <v>82</v>
      </c>
      <c r="E2554" s="88" t="s">
        <v>85</v>
      </c>
      <c r="F2554" s="86" t="s">
        <v>208</v>
      </c>
      <c r="G2554" s="74" t="s">
        <v>289</v>
      </c>
      <c r="H2554" s="87">
        <v>44895</v>
      </c>
      <c r="I2554" s="94">
        <v>3514.73</v>
      </c>
      <c r="J2554" s="94">
        <v>2636.05</v>
      </c>
      <c r="K2554" s="94">
        <v>878.68</v>
      </c>
    </row>
    <row r="2555" spans="1:11">
      <c r="A2555" s="74" t="s">
        <v>309</v>
      </c>
      <c r="B2555" s="74" t="s">
        <v>296</v>
      </c>
      <c r="C2555" s="74" t="s">
        <v>297</v>
      </c>
      <c r="D2555" s="74" t="s">
        <v>82</v>
      </c>
      <c r="E2555" s="88" t="s">
        <v>85</v>
      </c>
      <c r="F2555" s="86" t="s">
        <v>116</v>
      </c>
      <c r="G2555" s="74" t="s">
        <v>289</v>
      </c>
      <c r="H2555" s="87">
        <v>44895</v>
      </c>
      <c r="I2555" s="94">
        <v>3133.23</v>
      </c>
      <c r="J2555" s="94">
        <v>2349.92</v>
      </c>
      <c r="K2555" s="94">
        <v>783.31</v>
      </c>
    </row>
    <row r="2556" spans="1:11">
      <c r="A2556" s="74" t="s">
        <v>309</v>
      </c>
      <c r="B2556" s="74" t="s">
        <v>298</v>
      </c>
      <c r="C2556" s="74" t="s">
        <v>299</v>
      </c>
      <c r="D2556" s="74" t="s">
        <v>82</v>
      </c>
      <c r="E2556" s="88" t="s">
        <v>85</v>
      </c>
      <c r="F2556" s="86" t="s">
        <v>279</v>
      </c>
      <c r="G2556" s="74" t="s">
        <v>300</v>
      </c>
      <c r="H2556" s="87">
        <v>44895</v>
      </c>
      <c r="I2556" s="94">
        <v>5894.94</v>
      </c>
      <c r="J2556" s="94">
        <v>4421.21</v>
      </c>
      <c r="K2556" s="94">
        <v>1473.73</v>
      </c>
    </row>
    <row r="2557" spans="1:11">
      <c r="A2557" s="74" t="s">
        <v>309</v>
      </c>
      <c r="B2557" s="74" t="s">
        <v>301</v>
      </c>
      <c r="C2557" s="74" t="s">
        <v>302</v>
      </c>
      <c r="D2557" s="74" t="s">
        <v>82</v>
      </c>
      <c r="E2557" s="88" t="s">
        <v>85</v>
      </c>
      <c r="F2557" s="86" t="s">
        <v>279</v>
      </c>
      <c r="G2557" s="74" t="s">
        <v>303</v>
      </c>
      <c r="H2557" s="87">
        <v>44895</v>
      </c>
      <c r="I2557" s="94">
        <v>6149.56</v>
      </c>
      <c r="J2557" s="94">
        <v>4612.17</v>
      </c>
      <c r="K2557" s="94">
        <v>1537.39</v>
      </c>
    </row>
    <row r="2558" spans="1:11">
      <c r="A2558" s="74" t="s">
        <v>309</v>
      </c>
      <c r="B2558" s="74" t="s">
        <v>304</v>
      </c>
      <c r="C2558" s="74" t="s">
        <v>305</v>
      </c>
      <c r="D2558" s="74" t="s">
        <v>86</v>
      </c>
      <c r="E2558" s="74" t="s">
        <v>90</v>
      </c>
      <c r="F2558" s="86" t="s">
        <v>306</v>
      </c>
      <c r="G2558" s="74" t="s">
        <v>307</v>
      </c>
      <c r="H2558" s="87">
        <v>44895</v>
      </c>
      <c r="I2558" s="94">
        <v>6383.56</v>
      </c>
      <c r="J2558" s="94">
        <v>4787.67</v>
      </c>
      <c r="K2558" s="94">
        <v>1595.89</v>
      </c>
    </row>
    <row r="2559" spans="1:11">
      <c r="A2559" s="74" t="s">
        <v>309</v>
      </c>
      <c r="B2559" s="74" t="s">
        <v>114</v>
      </c>
      <c r="C2559" s="74" t="s">
        <v>115</v>
      </c>
      <c r="D2559" s="74" t="s">
        <v>79</v>
      </c>
      <c r="E2559" s="74" t="s">
        <v>80</v>
      </c>
      <c r="F2559" s="86" t="s">
        <v>116</v>
      </c>
      <c r="G2559" s="74" t="s">
        <v>117</v>
      </c>
      <c r="H2559" s="87">
        <v>44926</v>
      </c>
      <c r="I2559" s="94">
        <v>3403.88</v>
      </c>
      <c r="J2559" s="94">
        <v>2552.91</v>
      </c>
      <c r="K2559" s="94">
        <v>850.97</v>
      </c>
    </row>
    <row r="2560" spans="1:11">
      <c r="A2560" s="74" t="s">
        <v>309</v>
      </c>
      <c r="B2560" s="74" t="s">
        <v>118</v>
      </c>
      <c r="C2560" s="74" t="s">
        <v>119</v>
      </c>
      <c r="D2560" s="74" t="s">
        <v>79</v>
      </c>
      <c r="E2560" s="74" t="s">
        <v>80</v>
      </c>
      <c r="F2560" s="86" t="s">
        <v>120</v>
      </c>
      <c r="G2560" s="74" t="s">
        <v>117</v>
      </c>
      <c r="H2560" s="87">
        <v>44926</v>
      </c>
      <c r="I2560" s="94">
        <v>2902.34</v>
      </c>
      <c r="J2560" s="94">
        <v>2176.76</v>
      </c>
      <c r="K2560" s="94">
        <v>725.58</v>
      </c>
    </row>
    <row r="2561" spans="1:11">
      <c r="A2561" s="74" t="s">
        <v>309</v>
      </c>
      <c r="B2561" s="74" t="s">
        <v>121</v>
      </c>
      <c r="C2561" s="74" t="s">
        <v>122</v>
      </c>
      <c r="D2561" s="74" t="s">
        <v>79</v>
      </c>
      <c r="E2561" s="74" t="s">
        <v>80</v>
      </c>
      <c r="F2561" s="86" t="s">
        <v>123</v>
      </c>
      <c r="G2561" s="74" t="s">
        <v>117</v>
      </c>
      <c r="H2561" s="87">
        <v>44926</v>
      </c>
      <c r="I2561" s="94">
        <v>2452.17</v>
      </c>
      <c r="J2561" s="94">
        <v>1839.13</v>
      </c>
      <c r="K2561" s="94">
        <v>613.04</v>
      </c>
    </row>
    <row r="2562" spans="1:11">
      <c r="A2562" s="74" t="s">
        <v>309</v>
      </c>
      <c r="B2562" s="74" t="s">
        <v>124</v>
      </c>
      <c r="C2562" s="74" t="s">
        <v>125</v>
      </c>
      <c r="D2562" s="74" t="s">
        <v>79</v>
      </c>
      <c r="E2562" s="74" t="s">
        <v>80</v>
      </c>
      <c r="F2562" s="86" t="s">
        <v>116</v>
      </c>
      <c r="G2562" s="74" t="s">
        <v>117</v>
      </c>
      <c r="H2562" s="87">
        <v>44926</v>
      </c>
      <c r="I2562" s="94">
        <v>3376.34</v>
      </c>
      <c r="J2562" s="94">
        <v>2532.26</v>
      </c>
      <c r="K2562" s="94">
        <v>844.08</v>
      </c>
    </row>
    <row r="2563" spans="1:11">
      <c r="A2563" s="74" t="s">
        <v>309</v>
      </c>
      <c r="B2563" s="74" t="s">
        <v>126</v>
      </c>
      <c r="C2563" s="74" t="s">
        <v>127</v>
      </c>
      <c r="D2563" s="74" t="s">
        <v>79</v>
      </c>
      <c r="E2563" s="74" t="s">
        <v>80</v>
      </c>
      <c r="F2563" s="86" t="s">
        <v>120</v>
      </c>
      <c r="G2563" s="74" t="s">
        <v>117</v>
      </c>
      <c r="H2563" s="87">
        <v>44926</v>
      </c>
      <c r="I2563" s="94">
        <v>2832.02</v>
      </c>
      <c r="J2563" s="94">
        <v>2124.02</v>
      </c>
      <c r="K2563" s="94">
        <v>708</v>
      </c>
    </row>
    <row r="2564" spans="1:11">
      <c r="A2564" s="74" t="s">
        <v>309</v>
      </c>
      <c r="B2564" s="74" t="s">
        <v>128</v>
      </c>
      <c r="C2564" s="74" t="s">
        <v>129</v>
      </c>
      <c r="D2564" s="74" t="s">
        <v>79</v>
      </c>
      <c r="E2564" s="74" t="s">
        <v>80</v>
      </c>
      <c r="F2564" s="86" t="s">
        <v>123</v>
      </c>
      <c r="G2564" s="74" t="s">
        <v>117</v>
      </c>
      <c r="H2564" s="87">
        <v>44926</v>
      </c>
      <c r="I2564" s="94">
        <v>2410.04</v>
      </c>
      <c r="J2564" s="94">
        <v>1807.53</v>
      </c>
      <c r="K2564" s="94">
        <v>602.51</v>
      </c>
    </row>
    <row r="2565" spans="1:11">
      <c r="A2565" s="74" t="s">
        <v>309</v>
      </c>
      <c r="B2565" s="74" t="s">
        <v>130</v>
      </c>
      <c r="C2565" s="74" t="s">
        <v>131</v>
      </c>
      <c r="D2565" s="74" t="s">
        <v>79</v>
      </c>
      <c r="E2565" s="74" t="s">
        <v>80</v>
      </c>
      <c r="F2565" s="86" t="s">
        <v>116</v>
      </c>
      <c r="G2565" s="74" t="s">
        <v>117</v>
      </c>
      <c r="H2565" s="87">
        <v>44926</v>
      </c>
      <c r="I2565" s="94">
        <v>3126.21</v>
      </c>
      <c r="J2565" s="94">
        <v>2344.66</v>
      </c>
      <c r="K2565" s="94">
        <v>781.55</v>
      </c>
    </row>
    <row r="2566" spans="1:11">
      <c r="A2566" s="74" t="s">
        <v>309</v>
      </c>
      <c r="B2566" s="74" t="s">
        <v>132</v>
      </c>
      <c r="C2566" s="74" t="s">
        <v>133</v>
      </c>
      <c r="D2566" s="74" t="s">
        <v>79</v>
      </c>
      <c r="E2566" s="74" t="s">
        <v>80</v>
      </c>
      <c r="F2566" s="86" t="s">
        <v>120</v>
      </c>
      <c r="G2566" s="74" t="s">
        <v>117</v>
      </c>
      <c r="H2566" s="87">
        <v>44926</v>
      </c>
      <c r="I2566" s="94">
        <v>2767.17</v>
      </c>
      <c r="J2566" s="94">
        <v>2075.38</v>
      </c>
      <c r="K2566" s="94">
        <v>691.79</v>
      </c>
    </row>
    <row r="2567" spans="1:11">
      <c r="A2567" s="74" t="s">
        <v>309</v>
      </c>
      <c r="B2567" s="74" t="s">
        <v>134</v>
      </c>
      <c r="C2567" s="74" t="s">
        <v>135</v>
      </c>
      <c r="D2567" s="74" t="s">
        <v>79</v>
      </c>
      <c r="E2567" s="74" t="s">
        <v>80</v>
      </c>
      <c r="F2567" s="86" t="s">
        <v>123</v>
      </c>
      <c r="G2567" s="74" t="s">
        <v>117</v>
      </c>
      <c r="H2567" s="87">
        <v>44926</v>
      </c>
      <c r="I2567" s="94">
        <v>2537.82</v>
      </c>
      <c r="J2567" s="94">
        <v>1903.37</v>
      </c>
      <c r="K2567" s="94">
        <v>634.45</v>
      </c>
    </row>
    <row r="2568" spans="1:11">
      <c r="A2568" s="74" t="s">
        <v>309</v>
      </c>
      <c r="B2568" s="74" t="s">
        <v>136</v>
      </c>
      <c r="C2568" s="74" t="s">
        <v>137</v>
      </c>
      <c r="D2568" s="74" t="s">
        <v>79</v>
      </c>
      <c r="E2568" s="74" t="s">
        <v>80</v>
      </c>
      <c r="F2568" s="86" t="s">
        <v>116</v>
      </c>
      <c r="G2568" s="74" t="s">
        <v>138</v>
      </c>
      <c r="H2568" s="87">
        <v>44926</v>
      </c>
      <c r="I2568" s="94">
        <v>3129.08</v>
      </c>
      <c r="J2568" s="94">
        <v>2346.81</v>
      </c>
      <c r="K2568" s="94">
        <v>782.27</v>
      </c>
    </row>
    <row r="2569" spans="1:11">
      <c r="A2569" s="74" t="s">
        <v>309</v>
      </c>
      <c r="B2569" s="74" t="s">
        <v>139</v>
      </c>
      <c r="C2569" s="74" t="s">
        <v>140</v>
      </c>
      <c r="D2569" s="74" t="s">
        <v>79</v>
      </c>
      <c r="E2569" s="74" t="s">
        <v>80</v>
      </c>
      <c r="F2569" s="86" t="s">
        <v>120</v>
      </c>
      <c r="G2569" s="74" t="s">
        <v>138</v>
      </c>
      <c r="H2569" s="87">
        <v>44926</v>
      </c>
      <c r="I2569" s="94">
        <v>2855.59</v>
      </c>
      <c r="J2569" s="94">
        <v>2141.69</v>
      </c>
      <c r="K2569" s="94">
        <v>713.9</v>
      </c>
    </row>
    <row r="2570" spans="1:11">
      <c r="A2570" s="74" t="s">
        <v>309</v>
      </c>
      <c r="B2570" s="74" t="s">
        <v>141</v>
      </c>
      <c r="C2570" s="74" t="s">
        <v>142</v>
      </c>
      <c r="D2570" s="74" t="s">
        <v>79</v>
      </c>
      <c r="E2570" s="74" t="s">
        <v>80</v>
      </c>
      <c r="F2570" s="86" t="s">
        <v>123</v>
      </c>
      <c r="G2570" s="74" t="s">
        <v>138</v>
      </c>
      <c r="H2570" s="87">
        <v>44926</v>
      </c>
      <c r="I2570" s="94">
        <v>2421.51</v>
      </c>
      <c r="J2570" s="94">
        <v>1816.13</v>
      </c>
      <c r="K2570" s="94">
        <v>605.38</v>
      </c>
    </row>
    <row r="2571" spans="1:11">
      <c r="A2571" s="74" t="s">
        <v>309</v>
      </c>
      <c r="B2571" s="74" t="s">
        <v>143</v>
      </c>
      <c r="C2571" s="74" t="s">
        <v>144</v>
      </c>
      <c r="D2571" s="74" t="s">
        <v>79</v>
      </c>
      <c r="E2571" s="74" t="s">
        <v>80</v>
      </c>
      <c r="F2571" s="86" t="s">
        <v>145</v>
      </c>
      <c r="G2571" s="74" t="s">
        <v>146</v>
      </c>
      <c r="H2571" s="87">
        <v>44926</v>
      </c>
      <c r="I2571" s="94">
        <v>7440.46</v>
      </c>
      <c r="J2571" s="94">
        <v>5580.35</v>
      </c>
      <c r="K2571" s="94">
        <v>1860.11</v>
      </c>
    </row>
    <row r="2572" spans="1:11">
      <c r="A2572" s="74" t="s">
        <v>309</v>
      </c>
      <c r="B2572" s="74" t="s">
        <v>147</v>
      </c>
      <c r="C2572" s="74" t="s">
        <v>148</v>
      </c>
      <c r="D2572" s="74" t="s">
        <v>79</v>
      </c>
      <c r="E2572" s="74" t="s">
        <v>80</v>
      </c>
      <c r="F2572" s="86" t="s">
        <v>149</v>
      </c>
      <c r="G2572" s="74" t="s">
        <v>150</v>
      </c>
      <c r="H2572" s="87">
        <v>44926</v>
      </c>
      <c r="I2572" s="94">
        <v>6922.32</v>
      </c>
      <c r="J2572" s="94">
        <v>5191.74</v>
      </c>
      <c r="K2572" s="94">
        <v>1730.58</v>
      </c>
    </row>
    <row r="2573" spans="1:11">
      <c r="A2573" s="74" t="s">
        <v>309</v>
      </c>
      <c r="B2573" s="74" t="s">
        <v>151</v>
      </c>
      <c r="C2573" s="74" t="s">
        <v>152</v>
      </c>
      <c r="D2573" s="74" t="s">
        <v>79</v>
      </c>
      <c r="E2573" s="74" t="s">
        <v>81</v>
      </c>
      <c r="F2573" s="86" t="s">
        <v>123</v>
      </c>
      <c r="G2573" s="74" t="s">
        <v>153</v>
      </c>
      <c r="H2573" s="87">
        <v>44926</v>
      </c>
      <c r="I2573" s="94">
        <v>2345.65</v>
      </c>
      <c r="J2573" s="94">
        <v>1759.24</v>
      </c>
      <c r="K2573" s="94">
        <v>586.41</v>
      </c>
    </row>
    <row r="2574" spans="1:11">
      <c r="A2574" s="74" t="s">
        <v>309</v>
      </c>
      <c r="B2574" s="74" t="s">
        <v>154</v>
      </c>
      <c r="C2574" s="74" t="s">
        <v>155</v>
      </c>
      <c r="D2574" s="74" t="s">
        <v>79</v>
      </c>
      <c r="E2574" s="74" t="s">
        <v>81</v>
      </c>
      <c r="F2574" s="86" t="s">
        <v>156</v>
      </c>
      <c r="G2574" s="74" t="s">
        <v>157</v>
      </c>
      <c r="H2574" s="87">
        <v>44926</v>
      </c>
      <c r="I2574" s="94">
        <v>1961.72</v>
      </c>
      <c r="J2574" s="94">
        <v>1471.29</v>
      </c>
      <c r="K2574" s="94">
        <v>490.43</v>
      </c>
    </row>
    <row r="2575" spans="1:11">
      <c r="A2575" s="74" t="s">
        <v>309</v>
      </c>
      <c r="B2575" s="74" t="s">
        <v>158</v>
      </c>
      <c r="C2575" s="74" t="s">
        <v>159</v>
      </c>
      <c r="D2575" s="74" t="s">
        <v>79</v>
      </c>
      <c r="E2575" s="74" t="s">
        <v>81</v>
      </c>
      <c r="F2575" s="86" t="s">
        <v>160</v>
      </c>
      <c r="G2575" s="74" t="s">
        <v>161</v>
      </c>
      <c r="H2575" s="87">
        <v>44926</v>
      </c>
      <c r="I2575" s="94">
        <v>1600.82</v>
      </c>
      <c r="J2575" s="94">
        <v>1200.62</v>
      </c>
      <c r="K2575" s="94">
        <v>400.2</v>
      </c>
    </row>
    <row r="2576" spans="1:11">
      <c r="A2576" s="74" t="s">
        <v>309</v>
      </c>
      <c r="B2576" s="74" t="s">
        <v>162</v>
      </c>
      <c r="C2576" s="74" t="s">
        <v>163</v>
      </c>
      <c r="D2576" s="74" t="s">
        <v>79</v>
      </c>
      <c r="E2576" s="74" t="s">
        <v>81</v>
      </c>
      <c r="F2576" s="86" t="s">
        <v>123</v>
      </c>
      <c r="G2576" s="74" t="s">
        <v>153</v>
      </c>
      <c r="H2576" s="87">
        <v>44926</v>
      </c>
      <c r="I2576" s="94">
        <v>2484.6</v>
      </c>
      <c r="J2576" s="94">
        <v>1863.45</v>
      </c>
      <c r="K2576" s="94">
        <v>621.15</v>
      </c>
    </row>
    <row r="2577" spans="1:11">
      <c r="A2577" s="74" t="s">
        <v>309</v>
      </c>
      <c r="B2577" s="74" t="s">
        <v>164</v>
      </c>
      <c r="C2577" s="74" t="s">
        <v>165</v>
      </c>
      <c r="D2577" s="74" t="s">
        <v>79</v>
      </c>
      <c r="E2577" s="74" t="s">
        <v>81</v>
      </c>
      <c r="F2577" s="86" t="s">
        <v>156</v>
      </c>
      <c r="G2577" s="74" t="s">
        <v>157</v>
      </c>
      <c r="H2577" s="87">
        <v>44926</v>
      </c>
      <c r="I2577" s="94">
        <v>1992.07</v>
      </c>
      <c r="J2577" s="94">
        <v>1494.05</v>
      </c>
      <c r="K2577" s="94">
        <v>498.02</v>
      </c>
    </row>
    <row r="2578" spans="1:11">
      <c r="A2578" s="74" t="s">
        <v>309</v>
      </c>
      <c r="B2578" s="74" t="s">
        <v>166</v>
      </c>
      <c r="C2578" s="74" t="s">
        <v>167</v>
      </c>
      <c r="D2578" s="74" t="s">
        <v>79</v>
      </c>
      <c r="E2578" s="74" t="s">
        <v>81</v>
      </c>
      <c r="F2578" s="86" t="s">
        <v>160</v>
      </c>
      <c r="G2578" s="74" t="s">
        <v>161</v>
      </c>
      <c r="H2578" s="87">
        <v>44926</v>
      </c>
      <c r="I2578" s="94">
        <v>1591.84</v>
      </c>
      <c r="J2578" s="94">
        <v>1193.88</v>
      </c>
      <c r="K2578" s="94">
        <v>397.96</v>
      </c>
    </row>
    <row r="2579" spans="1:11">
      <c r="A2579" s="74" t="s">
        <v>309</v>
      </c>
      <c r="B2579" s="74" t="s">
        <v>168</v>
      </c>
      <c r="C2579" s="74" t="s">
        <v>169</v>
      </c>
      <c r="D2579" s="74" t="s">
        <v>79</v>
      </c>
      <c r="E2579" s="74" t="s">
        <v>81</v>
      </c>
      <c r="F2579" s="86" t="s">
        <v>123</v>
      </c>
      <c r="G2579" s="74" t="s">
        <v>153</v>
      </c>
      <c r="H2579" s="87">
        <v>44926</v>
      </c>
      <c r="I2579" s="94">
        <v>2524.21</v>
      </c>
      <c r="J2579" s="94">
        <v>1893.16</v>
      </c>
      <c r="K2579" s="94">
        <v>631.05</v>
      </c>
    </row>
    <row r="2580" spans="1:11">
      <c r="A2580" s="74" t="s">
        <v>309</v>
      </c>
      <c r="B2580" s="74" t="s">
        <v>170</v>
      </c>
      <c r="C2580" s="74" t="s">
        <v>171</v>
      </c>
      <c r="D2580" s="74" t="s">
        <v>79</v>
      </c>
      <c r="E2580" s="74" t="s">
        <v>81</v>
      </c>
      <c r="F2580" s="86" t="s">
        <v>156</v>
      </c>
      <c r="G2580" s="74" t="s">
        <v>157</v>
      </c>
      <c r="H2580" s="87">
        <v>44926</v>
      </c>
      <c r="I2580" s="94">
        <v>2104.21</v>
      </c>
      <c r="J2580" s="94">
        <v>1578.16</v>
      </c>
      <c r="K2580" s="94">
        <v>526.05</v>
      </c>
    </row>
    <row r="2581" spans="1:11">
      <c r="A2581" s="74" t="s">
        <v>309</v>
      </c>
      <c r="B2581" s="74" t="s">
        <v>172</v>
      </c>
      <c r="C2581" s="74" t="s">
        <v>173</v>
      </c>
      <c r="D2581" s="74" t="s">
        <v>79</v>
      </c>
      <c r="E2581" s="74" t="s">
        <v>81</v>
      </c>
      <c r="F2581" s="86" t="s">
        <v>160</v>
      </c>
      <c r="G2581" s="74" t="s">
        <v>161</v>
      </c>
      <c r="H2581" s="87">
        <v>44926</v>
      </c>
      <c r="I2581" s="94">
        <v>1689.23</v>
      </c>
      <c r="J2581" s="94">
        <v>1266.92</v>
      </c>
      <c r="K2581" s="94">
        <v>422.31</v>
      </c>
    </row>
    <row r="2582" spans="1:11">
      <c r="A2582" s="74" t="s">
        <v>309</v>
      </c>
      <c r="B2582" s="74" t="s">
        <v>174</v>
      </c>
      <c r="C2582" s="74" t="s">
        <v>175</v>
      </c>
      <c r="D2582" s="74" t="s">
        <v>79</v>
      </c>
      <c r="E2582" s="74" t="s">
        <v>81</v>
      </c>
      <c r="F2582" s="86" t="s">
        <v>176</v>
      </c>
      <c r="G2582" s="74" t="s">
        <v>177</v>
      </c>
      <c r="H2582" s="87">
        <v>44926</v>
      </c>
      <c r="I2582" s="94">
        <v>1172.28</v>
      </c>
      <c r="J2582" s="94">
        <v>879.21</v>
      </c>
      <c r="K2582" s="94">
        <v>293.07</v>
      </c>
    </row>
    <row r="2583" spans="1:11">
      <c r="A2583" s="74" t="s">
        <v>309</v>
      </c>
      <c r="B2583" s="74" t="s">
        <v>178</v>
      </c>
      <c r="C2583" s="74" t="s">
        <v>179</v>
      </c>
      <c r="D2583" s="74" t="s">
        <v>79</v>
      </c>
      <c r="E2583" s="74" t="s">
        <v>81</v>
      </c>
      <c r="F2583" s="86" t="s">
        <v>180</v>
      </c>
      <c r="G2583" s="74" t="s">
        <v>177</v>
      </c>
      <c r="H2583" s="87">
        <v>44926</v>
      </c>
      <c r="I2583" s="94">
        <v>802.06</v>
      </c>
      <c r="J2583" s="94">
        <v>601.55</v>
      </c>
      <c r="K2583" s="94">
        <v>200.51</v>
      </c>
    </row>
    <row r="2584" spans="1:11">
      <c r="A2584" s="74" t="s">
        <v>309</v>
      </c>
      <c r="B2584" s="74" t="s">
        <v>181</v>
      </c>
      <c r="C2584" s="74" t="s">
        <v>182</v>
      </c>
      <c r="D2584" s="74" t="s">
        <v>79</v>
      </c>
      <c r="E2584" s="74" t="s">
        <v>81</v>
      </c>
      <c r="F2584" s="86" t="s">
        <v>183</v>
      </c>
      <c r="G2584" s="74" t="s">
        <v>177</v>
      </c>
      <c r="H2584" s="87">
        <v>44926</v>
      </c>
      <c r="I2584" s="94">
        <v>420.02</v>
      </c>
      <c r="J2584" s="94">
        <v>315.02</v>
      </c>
      <c r="K2584" s="94">
        <v>105</v>
      </c>
    </row>
    <row r="2585" spans="1:11">
      <c r="A2585" s="74" t="s">
        <v>309</v>
      </c>
      <c r="B2585" s="74" t="s">
        <v>184</v>
      </c>
      <c r="C2585" s="74" t="s">
        <v>185</v>
      </c>
      <c r="D2585" s="74" t="s">
        <v>79</v>
      </c>
      <c r="E2585" s="74" t="s">
        <v>81</v>
      </c>
      <c r="F2585" s="86" t="s">
        <v>176</v>
      </c>
      <c r="G2585" s="74" t="s">
        <v>177</v>
      </c>
      <c r="H2585" s="87">
        <v>44926</v>
      </c>
      <c r="I2585" s="94">
        <v>1234.53</v>
      </c>
      <c r="J2585" s="94">
        <v>925.9</v>
      </c>
      <c r="K2585" s="94">
        <v>308.63</v>
      </c>
    </row>
    <row r="2586" spans="1:11">
      <c r="A2586" s="74" t="s">
        <v>309</v>
      </c>
      <c r="B2586" s="74" t="s">
        <v>186</v>
      </c>
      <c r="C2586" s="74" t="s">
        <v>187</v>
      </c>
      <c r="D2586" s="74" t="s">
        <v>79</v>
      </c>
      <c r="E2586" s="74" t="s">
        <v>81</v>
      </c>
      <c r="F2586" s="86" t="s">
        <v>180</v>
      </c>
      <c r="G2586" s="74" t="s">
        <v>177</v>
      </c>
      <c r="H2586" s="87">
        <v>44926</v>
      </c>
      <c r="I2586" s="94">
        <v>856.17</v>
      </c>
      <c r="J2586" s="94">
        <v>642.13</v>
      </c>
      <c r="K2586" s="94">
        <v>214.04</v>
      </c>
    </row>
    <row r="2587" spans="1:11">
      <c r="A2587" s="74" t="s">
        <v>309</v>
      </c>
      <c r="B2587" s="74" t="s">
        <v>188</v>
      </c>
      <c r="C2587" s="74" t="s">
        <v>189</v>
      </c>
      <c r="D2587" s="74" t="s">
        <v>79</v>
      </c>
      <c r="E2587" s="74" t="s">
        <v>81</v>
      </c>
      <c r="F2587" s="86" t="s">
        <v>183</v>
      </c>
      <c r="G2587" s="74" t="s">
        <v>177</v>
      </c>
      <c r="H2587" s="87">
        <v>44926</v>
      </c>
      <c r="I2587" s="94">
        <v>423.42</v>
      </c>
      <c r="J2587" s="94">
        <v>317.57</v>
      </c>
      <c r="K2587" s="94">
        <v>105.85</v>
      </c>
    </row>
    <row r="2588" spans="1:11">
      <c r="A2588" s="74" t="s">
        <v>309</v>
      </c>
      <c r="B2588" s="74" t="s">
        <v>190</v>
      </c>
      <c r="C2588" s="74" t="s">
        <v>191</v>
      </c>
      <c r="D2588" s="74" t="s">
        <v>79</v>
      </c>
      <c r="E2588" s="74" t="s">
        <v>81</v>
      </c>
      <c r="F2588" s="86" t="s">
        <v>176</v>
      </c>
      <c r="G2588" s="74" t="s">
        <v>177</v>
      </c>
      <c r="H2588" s="87">
        <v>44926</v>
      </c>
      <c r="I2588" s="94">
        <v>1285.11</v>
      </c>
      <c r="J2588" s="94">
        <v>963.83</v>
      </c>
      <c r="K2588" s="94">
        <v>321.28</v>
      </c>
    </row>
    <row r="2589" spans="1:11">
      <c r="A2589" s="74" t="s">
        <v>309</v>
      </c>
      <c r="B2589" s="74" t="s">
        <v>192</v>
      </c>
      <c r="C2589" s="74" t="s">
        <v>193</v>
      </c>
      <c r="D2589" s="74" t="s">
        <v>79</v>
      </c>
      <c r="E2589" s="74" t="s">
        <v>81</v>
      </c>
      <c r="F2589" s="86" t="s">
        <v>180</v>
      </c>
      <c r="G2589" s="74" t="s">
        <v>177</v>
      </c>
      <c r="H2589" s="87">
        <v>44926</v>
      </c>
      <c r="I2589" s="94">
        <v>852.67</v>
      </c>
      <c r="J2589" s="94">
        <v>639.5</v>
      </c>
      <c r="K2589" s="94">
        <v>213.17</v>
      </c>
    </row>
    <row r="2590" spans="1:11">
      <c r="A2590" s="74" t="s">
        <v>309</v>
      </c>
      <c r="B2590" s="74" t="s">
        <v>194</v>
      </c>
      <c r="C2590" s="74" t="s">
        <v>195</v>
      </c>
      <c r="D2590" s="74" t="s">
        <v>79</v>
      </c>
      <c r="E2590" s="74" t="s">
        <v>81</v>
      </c>
      <c r="F2590" s="86" t="s">
        <v>183</v>
      </c>
      <c r="G2590" s="74" t="s">
        <v>177</v>
      </c>
      <c r="H2590" s="87">
        <v>44926</v>
      </c>
      <c r="I2590" s="94">
        <v>415.21</v>
      </c>
      <c r="J2590" s="94">
        <v>311.41</v>
      </c>
      <c r="K2590" s="94">
        <v>103.8</v>
      </c>
    </row>
    <row r="2591" spans="1:11">
      <c r="A2591" s="74" t="s">
        <v>309</v>
      </c>
      <c r="B2591" s="74" t="s">
        <v>196</v>
      </c>
      <c r="C2591" s="74" t="s">
        <v>197</v>
      </c>
      <c r="D2591" s="74" t="s">
        <v>79</v>
      </c>
      <c r="E2591" s="74" t="s">
        <v>81</v>
      </c>
      <c r="F2591" s="86" t="s">
        <v>176</v>
      </c>
      <c r="G2591" s="74" t="s">
        <v>177</v>
      </c>
      <c r="H2591" s="87">
        <v>44926</v>
      </c>
      <c r="I2591" s="94">
        <v>1232.73</v>
      </c>
      <c r="J2591" s="94">
        <v>924.55</v>
      </c>
      <c r="K2591" s="94">
        <v>308.18</v>
      </c>
    </row>
    <row r="2592" spans="1:11">
      <c r="A2592" s="74" t="s">
        <v>309</v>
      </c>
      <c r="B2592" s="74" t="s">
        <v>198</v>
      </c>
      <c r="C2592" s="74" t="s">
        <v>199</v>
      </c>
      <c r="D2592" s="74" t="s">
        <v>79</v>
      </c>
      <c r="E2592" s="74" t="s">
        <v>81</v>
      </c>
      <c r="F2592" s="86" t="s">
        <v>180</v>
      </c>
      <c r="G2592" s="74" t="s">
        <v>177</v>
      </c>
      <c r="H2592" s="87">
        <v>44926</v>
      </c>
      <c r="I2592" s="94">
        <v>829.56</v>
      </c>
      <c r="J2592" s="94">
        <v>622.17</v>
      </c>
      <c r="K2592" s="94">
        <v>207.39</v>
      </c>
    </row>
    <row r="2593" spans="1:11">
      <c r="A2593" s="74" t="s">
        <v>309</v>
      </c>
      <c r="B2593" s="74" t="s">
        <v>200</v>
      </c>
      <c r="C2593" s="74" t="s">
        <v>201</v>
      </c>
      <c r="D2593" s="74" t="s">
        <v>79</v>
      </c>
      <c r="E2593" s="74" t="s">
        <v>81</v>
      </c>
      <c r="F2593" s="86" t="s">
        <v>183</v>
      </c>
      <c r="G2593" s="74" t="s">
        <v>177</v>
      </c>
      <c r="H2593" s="87">
        <v>44926</v>
      </c>
      <c r="I2593" s="94">
        <v>417.81</v>
      </c>
      <c r="J2593" s="94">
        <v>313.36</v>
      </c>
      <c r="K2593" s="94">
        <v>104.45</v>
      </c>
    </row>
    <row r="2594" spans="1:11">
      <c r="A2594" s="74" t="s">
        <v>309</v>
      </c>
      <c r="B2594" s="74" t="s">
        <v>202</v>
      </c>
      <c r="C2594" s="74" t="s">
        <v>203</v>
      </c>
      <c r="D2594" s="74" t="s">
        <v>79</v>
      </c>
      <c r="E2594" s="74" t="s">
        <v>81</v>
      </c>
      <c r="F2594" s="86" t="s">
        <v>204</v>
      </c>
      <c r="G2594" s="74" t="s">
        <v>205</v>
      </c>
      <c r="H2594" s="87">
        <v>44926</v>
      </c>
      <c r="I2594" s="94">
        <v>7671.99</v>
      </c>
      <c r="J2594" s="94">
        <v>5753.99</v>
      </c>
      <c r="K2594" s="94">
        <v>1918</v>
      </c>
    </row>
    <row r="2595" spans="1:11">
      <c r="A2595" s="74" t="s">
        <v>309</v>
      </c>
      <c r="B2595" s="74" t="s">
        <v>206</v>
      </c>
      <c r="C2595" s="74" t="s">
        <v>207</v>
      </c>
      <c r="D2595" s="88" t="s">
        <v>82</v>
      </c>
      <c r="E2595" s="88" t="s">
        <v>84</v>
      </c>
      <c r="F2595" s="86" t="s">
        <v>208</v>
      </c>
      <c r="G2595" s="74" t="s">
        <v>209</v>
      </c>
      <c r="H2595" s="87">
        <v>44926</v>
      </c>
      <c r="I2595" s="94">
        <v>3556.42</v>
      </c>
      <c r="J2595" s="94">
        <v>2667.32</v>
      </c>
      <c r="K2595" s="94">
        <v>889.1</v>
      </c>
    </row>
    <row r="2596" spans="1:11">
      <c r="A2596" s="74" t="s">
        <v>309</v>
      </c>
      <c r="B2596" s="74" t="s">
        <v>210</v>
      </c>
      <c r="C2596" s="74" t="s">
        <v>211</v>
      </c>
      <c r="D2596" s="88" t="s">
        <v>82</v>
      </c>
      <c r="E2596" s="88" t="s">
        <v>84</v>
      </c>
      <c r="F2596" s="86" t="s">
        <v>116</v>
      </c>
      <c r="G2596" s="74" t="s">
        <v>209</v>
      </c>
      <c r="H2596" s="87">
        <v>44926</v>
      </c>
      <c r="I2596" s="94">
        <v>3120.77</v>
      </c>
      <c r="J2596" s="94">
        <v>2340.58</v>
      </c>
      <c r="K2596" s="94">
        <v>780.19</v>
      </c>
    </row>
    <row r="2597" spans="1:11">
      <c r="A2597" s="74" t="s">
        <v>309</v>
      </c>
      <c r="B2597" s="74" t="s">
        <v>212</v>
      </c>
      <c r="C2597" s="74" t="s">
        <v>213</v>
      </c>
      <c r="D2597" s="88" t="s">
        <v>82</v>
      </c>
      <c r="E2597" s="88" t="s">
        <v>84</v>
      </c>
      <c r="F2597" s="86" t="s">
        <v>208</v>
      </c>
      <c r="G2597" s="74" t="s">
        <v>209</v>
      </c>
      <c r="H2597" s="87">
        <v>44926</v>
      </c>
      <c r="I2597" s="94">
        <v>3538.95</v>
      </c>
      <c r="J2597" s="94">
        <v>2654.21</v>
      </c>
      <c r="K2597" s="94">
        <v>884.74</v>
      </c>
    </row>
    <row r="2598" spans="1:11">
      <c r="A2598" s="74" t="s">
        <v>309</v>
      </c>
      <c r="B2598" s="74" t="s">
        <v>214</v>
      </c>
      <c r="C2598" s="74" t="s">
        <v>215</v>
      </c>
      <c r="D2598" s="88" t="s">
        <v>82</v>
      </c>
      <c r="E2598" s="88" t="s">
        <v>84</v>
      </c>
      <c r="F2598" s="86" t="s">
        <v>116</v>
      </c>
      <c r="G2598" s="74" t="s">
        <v>209</v>
      </c>
      <c r="H2598" s="87">
        <v>44926</v>
      </c>
      <c r="I2598" s="94">
        <v>3302.36</v>
      </c>
      <c r="J2598" s="94">
        <v>2476.77</v>
      </c>
      <c r="K2598" s="94">
        <v>825.59</v>
      </c>
    </row>
    <row r="2599" spans="1:11">
      <c r="A2599" s="74" t="s">
        <v>309</v>
      </c>
      <c r="B2599" s="74" t="s">
        <v>216</v>
      </c>
      <c r="C2599" s="74" t="s">
        <v>217</v>
      </c>
      <c r="D2599" s="88" t="s">
        <v>82</v>
      </c>
      <c r="E2599" s="88" t="s">
        <v>84</v>
      </c>
      <c r="F2599" s="86" t="s">
        <v>218</v>
      </c>
      <c r="G2599" s="74" t="s">
        <v>219</v>
      </c>
      <c r="H2599" s="87">
        <v>44926</v>
      </c>
      <c r="I2599" s="94">
        <v>4718.44</v>
      </c>
      <c r="J2599" s="94">
        <v>3538.83</v>
      </c>
      <c r="K2599" s="94">
        <v>1179.61</v>
      </c>
    </row>
    <row r="2600" spans="1:11">
      <c r="A2600" s="74" t="s">
        <v>309</v>
      </c>
      <c r="B2600" s="74" t="s">
        <v>220</v>
      </c>
      <c r="C2600" s="74" t="s">
        <v>221</v>
      </c>
      <c r="D2600" s="88" t="s">
        <v>82</v>
      </c>
      <c r="E2600" s="74" t="s">
        <v>83</v>
      </c>
      <c r="F2600" s="86" t="s">
        <v>218</v>
      </c>
      <c r="G2600" s="74" t="s">
        <v>222</v>
      </c>
      <c r="H2600" s="87">
        <v>44926</v>
      </c>
      <c r="I2600" s="94">
        <v>4405.85</v>
      </c>
      <c r="J2600" s="94">
        <v>3304.39</v>
      </c>
      <c r="K2600" s="94">
        <v>1101.46</v>
      </c>
    </row>
    <row r="2601" spans="1:11">
      <c r="A2601" s="74" t="s">
        <v>309</v>
      </c>
      <c r="B2601" s="74" t="s">
        <v>223</v>
      </c>
      <c r="C2601" s="74" t="s">
        <v>224</v>
      </c>
      <c r="D2601" s="88" t="s">
        <v>82</v>
      </c>
      <c r="E2601" s="74" t="s">
        <v>83</v>
      </c>
      <c r="F2601" s="86" t="s">
        <v>225</v>
      </c>
      <c r="G2601" s="74" t="s">
        <v>209</v>
      </c>
      <c r="H2601" s="87">
        <v>44926</v>
      </c>
      <c r="I2601" s="94">
        <v>4240.15</v>
      </c>
      <c r="J2601" s="94">
        <v>3180.11</v>
      </c>
      <c r="K2601" s="94">
        <v>1060.04</v>
      </c>
    </row>
    <row r="2602" spans="1:11">
      <c r="A2602" s="74" t="s">
        <v>309</v>
      </c>
      <c r="B2602" s="74" t="s">
        <v>226</v>
      </c>
      <c r="C2602" s="74" t="s">
        <v>227</v>
      </c>
      <c r="D2602" s="88" t="s">
        <v>82</v>
      </c>
      <c r="E2602" s="74" t="s">
        <v>83</v>
      </c>
      <c r="F2602" s="86" t="s">
        <v>208</v>
      </c>
      <c r="G2602" s="74" t="s">
        <v>209</v>
      </c>
      <c r="H2602" s="87">
        <v>44926</v>
      </c>
      <c r="I2602" s="94">
        <v>3553.71</v>
      </c>
      <c r="J2602" s="94">
        <v>2665.28</v>
      </c>
      <c r="K2602" s="94">
        <v>888.43</v>
      </c>
    </row>
    <row r="2603" spans="1:11">
      <c r="A2603" s="74" t="s">
        <v>309</v>
      </c>
      <c r="B2603" s="74" t="s">
        <v>228</v>
      </c>
      <c r="C2603" s="74" t="s">
        <v>229</v>
      </c>
      <c r="D2603" s="88" t="s">
        <v>82</v>
      </c>
      <c r="E2603" s="74" t="s">
        <v>83</v>
      </c>
      <c r="F2603" s="86" t="s">
        <v>116</v>
      </c>
      <c r="G2603" s="74" t="s">
        <v>209</v>
      </c>
      <c r="H2603" s="87">
        <v>44926</v>
      </c>
      <c r="I2603" s="94">
        <v>3344.05</v>
      </c>
      <c r="J2603" s="94">
        <v>2508.04</v>
      </c>
      <c r="K2603" s="94">
        <v>836.01</v>
      </c>
    </row>
    <row r="2604" spans="1:11">
      <c r="A2604" s="74" t="s">
        <v>309</v>
      </c>
      <c r="B2604" s="74" t="s">
        <v>230</v>
      </c>
      <c r="C2604" s="74" t="s">
        <v>231</v>
      </c>
      <c r="D2604" s="88" t="s">
        <v>82</v>
      </c>
      <c r="E2604" s="74" t="s">
        <v>83</v>
      </c>
      <c r="F2604" s="86" t="s">
        <v>120</v>
      </c>
      <c r="G2604" s="74" t="s">
        <v>209</v>
      </c>
      <c r="H2604" s="87">
        <v>44926</v>
      </c>
      <c r="I2604" s="94">
        <v>2831.74</v>
      </c>
      <c r="J2604" s="94">
        <v>2123.81</v>
      </c>
      <c r="K2604" s="94">
        <v>707.93</v>
      </c>
    </row>
    <row r="2605" spans="1:11">
      <c r="A2605" s="74" t="s">
        <v>309</v>
      </c>
      <c r="B2605" s="74" t="s">
        <v>232</v>
      </c>
      <c r="C2605" s="74" t="s">
        <v>233</v>
      </c>
      <c r="D2605" s="88" t="s">
        <v>82</v>
      </c>
      <c r="E2605" s="74" t="s">
        <v>83</v>
      </c>
      <c r="F2605" s="86" t="s">
        <v>123</v>
      </c>
      <c r="G2605" s="74" t="s">
        <v>209</v>
      </c>
      <c r="H2605" s="87">
        <v>44926</v>
      </c>
      <c r="I2605" s="94">
        <v>2398.14</v>
      </c>
      <c r="J2605" s="94">
        <v>1798.61</v>
      </c>
      <c r="K2605" s="94">
        <v>599.53</v>
      </c>
    </row>
    <row r="2606" spans="1:11">
      <c r="A2606" s="74" t="s">
        <v>309</v>
      </c>
      <c r="B2606" s="74" t="s">
        <v>234</v>
      </c>
      <c r="C2606" s="74" t="s">
        <v>235</v>
      </c>
      <c r="D2606" s="88" t="s">
        <v>82</v>
      </c>
      <c r="E2606" s="74" t="s">
        <v>83</v>
      </c>
      <c r="F2606" s="86" t="s">
        <v>116</v>
      </c>
      <c r="G2606" s="74" t="s">
        <v>209</v>
      </c>
      <c r="H2606" s="87">
        <v>44926</v>
      </c>
      <c r="I2606" s="94">
        <v>3267.71</v>
      </c>
      <c r="J2606" s="94">
        <v>2450.78</v>
      </c>
      <c r="K2606" s="94">
        <v>816.93</v>
      </c>
    </row>
    <row r="2607" spans="1:11">
      <c r="A2607" s="74" t="s">
        <v>309</v>
      </c>
      <c r="B2607" s="74" t="s">
        <v>236</v>
      </c>
      <c r="C2607" s="74" t="s">
        <v>237</v>
      </c>
      <c r="D2607" s="88" t="s">
        <v>82</v>
      </c>
      <c r="E2607" s="74" t="s">
        <v>83</v>
      </c>
      <c r="F2607" s="86" t="s">
        <v>120</v>
      </c>
      <c r="G2607" s="74" t="s">
        <v>209</v>
      </c>
      <c r="H2607" s="87">
        <v>44926</v>
      </c>
      <c r="I2607" s="94">
        <v>2843.67</v>
      </c>
      <c r="J2607" s="94">
        <v>2132.75</v>
      </c>
      <c r="K2607" s="94">
        <v>710.92</v>
      </c>
    </row>
    <row r="2608" spans="1:11">
      <c r="A2608" s="74" t="s">
        <v>309</v>
      </c>
      <c r="B2608" s="74" t="s">
        <v>238</v>
      </c>
      <c r="C2608" s="74" t="s">
        <v>239</v>
      </c>
      <c r="D2608" s="74" t="s">
        <v>86</v>
      </c>
      <c r="E2608" s="74" t="s">
        <v>87</v>
      </c>
      <c r="F2608" s="86" t="s">
        <v>204</v>
      </c>
      <c r="G2608" s="74" t="s">
        <v>240</v>
      </c>
      <c r="H2608" s="87">
        <v>44926</v>
      </c>
      <c r="I2608" s="94">
        <v>5654.26</v>
      </c>
      <c r="J2608" s="94">
        <v>4240.7</v>
      </c>
      <c r="K2608" s="94">
        <v>1413.56</v>
      </c>
    </row>
    <row r="2609" spans="1:11">
      <c r="A2609" s="74" t="s">
        <v>309</v>
      </c>
      <c r="B2609" s="74" t="s">
        <v>241</v>
      </c>
      <c r="C2609" s="74" t="s">
        <v>242</v>
      </c>
      <c r="D2609" s="74" t="s">
        <v>86</v>
      </c>
      <c r="E2609" s="74" t="s">
        <v>87</v>
      </c>
      <c r="F2609" s="86" t="s">
        <v>243</v>
      </c>
      <c r="G2609" s="74" t="s">
        <v>244</v>
      </c>
      <c r="H2609" s="87">
        <v>44926</v>
      </c>
      <c r="I2609" s="94">
        <v>4246.85</v>
      </c>
      <c r="J2609" s="94">
        <v>3185.14</v>
      </c>
      <c r="K2609" s="94">
        <v>1061.71</v>
      </c>
    </row>
    <row r="2610" spans="1:11">
      <c r="A2610" s="74" t="s">
        <v>309</v>
      </c>
      <c r="B2610" s="74" t="s">
        <v>245</v>
      </c>
      <c r="C2610" s="74" t="s">
        <v>246</v>
      </c>
      <c r="D2610" s="74" t="s">
        <v>86</v>
      </c>
      <c r="E2610" s="74" t="s">
        <v>87</v>
      </c>
      <c r="F2610" s="86" t="s">
        <v>247</v>
      </c>
      <c r="G2610" s="74" t="s">
        <v>248</v>
      </c>
      <c r="H2610" s="87">
        <v>44926</v>
      </c>
      <c r="I2610" s="94">
        <v>3776.88</v>
      </c>
      <c r="J2610" s="94">
        <v>2832.66</v>
      </c>
      <c r="K2610" s="94">
        <v>944.22</v>
      </c>
    </row>
    <row r="2611" spans="1:11">
      <c r="A2611" s="74" t="s">
        <v>309</v>
      </c>
      <c r="B2611" s="74" t="s">
        <v>249</v>
      </c>
      <c r="C2611" s="74" t="s">
        <v>250</v>
      </c>
      <c r="D2611" s="74" t="s">
        <v>86</v>
      </c>
      <c r="E2611" s="74" t="s">
        <v>87</v>
      </c>
      <c r="F2611" s="86" t="s">
        <v>251</v>
      </c>
      <c r="G2611" s="74" t="s">
        <v>252</v>
      </c>
      <c r="H2611" s="87">
        <v>44926</v>
      </c>
      <c r="I2611" s="94">
        <v>3504.75</v>
      </c>
      <c r="J2611" s="94">
        <v>2628.56</v>
      </c>
      <c r="K2611" s="94">
        <v>876.19</v>
      </c>
    </row>
    <row r="2612" spans="1:11">
      <c r="A2612" s="74" t="s">
        <v>309</v>
      </c>
      <c r="B2612" s="74" t="s">
        <v>253</v>
      </c>
      <c r="C2612" s="74" t="s">
        <v>254</v>
      </c>
      <c r="D2612" s="74" t="s">
        <v>86</v>
      </c>
      <c r="E2612" s="74" t="s">
        <v>87</v>
      </c>
      <c r="F2612" s="86" t="s">
        <v>255</v>
      </c>
      <c r="G2612" s="74" t="s">
        <v>252</v>
      </c>
      <c r="H2612" s="87">
        <v>44926</v>
      </c>
      <c r="I2612" s="94">
        <v>3281.62</v>
      </c>
      <c r="J2612" s="94">
        <v>2461.22</v>
      </c>
      <c r="K2612" s="94">
        <v>820.4</v>
      </c>
    </row>
    <row r="2613" spans="1:11">
      <c r="A2613" s="74" t="s">
        <v>309</v>
      </c>
      <c r="B2613" s="74" t="s">
        <v>256</v>
      </c>
      <c r="C2613" s="74" t="s">
        <v>257</v>
      </c>
      <c r="D2613" s="74" t="s">
        <v>86</v>
      </c>
      <c r="E2613" s="74" t="s">
        <v>87</v>
      </c>
      <c r="F2613" s="86" t="s">
        <v>258</v>
      </c>
      <c r="G2613" s="74" t="s">
        <v>252</v>
      </c>
      <c r="H2613" s="87">
        <v>44926</v>
      </c>
      <c r="I2613" s="94">
        <v>2912.84</v>
      </c>
      <c r="J2613" s="94">
        <v>2184.63</v>
      </c>
      <c r="K2613" s="94">
        <v>728.21</v>
      </c>
    </row>
    <row r="2614" spans="1:11">
      <c r="A2614" s="74" t="s">
        <v>309</v>
      </c>
      <c r="B2614" s="74" t="s">
        <v>259</v>
      </c>
      <c r="C2614" s="74" t="s">
        <v>260</v>
      </c>
      <c r="D2614" s="74" t="s">
        <v>86</v>
      </c>
      <c r="E2614" s="74" t="s">
        <v>87</v>
      </c>
      <c r="F2614" s="86" t="s">
        <v>261</v>
      </c>
      <c r="G2614" s="74" t="s">
        <v>262</v>
      </c>
      <c r="H2614" s="87">
        <v>44926</v>
      </c>
      <c r="I2614" s="94">
        <v>2639.89</v>
      </c>
      <c r="J2614" s="94">
        <v>1979.92</v>
      </c>
      <c r="K2614" s="94">
        <v>659.97</v>
      </c>
    </row>
    <row r="2615" spans="1:11">
      <c r="A2615" s="74" t="s">
        <v>309</v>
      </c>
      <c r="B2615" s="74" t="s">
        <v>263</v>
      </c>
      <c r="C2615" s="74" t="s">
        <v>264</v>
      </c>
      <c r="D2615" s="74" t="s">
        <v>86</v>
      </c>
      <c r="E2615" s="74" t="s">
        <v>88</v>
      </c>
      <c r="F2615" s="86" t="s">
        <v>149</v>
      </c>
      <c r="G2615" s="74" t="s">
        <v>265</v>
      </c>
      <c r="H2615" s="87">
        <v>44926</v>
      </c>
      <c r="I2615" s="94">
        <v>5336.57</v>
      </c>
      <c r="J2615" s="94">
        <v>4002.43</v>
      </c>
      <c r="K2615" s="94">
        <v>1334.14</v>
      </c>
    </row>
    <row r="2616" spans="1:11">
      <c r="A2616" s="74" t="s">
        <v>309</v>
      </c>
      <c r="B2616" s="74" t="s">
        <v>266</v>
      </c>
      <c r="C2616" s="74" t="s">
        <v>267</v>
      </c>
      <c r="D2616" s="74" t="s">
        <v>86</v>
      </c>
      <c r="E2616" s="74" t="s">
        <v>88</v>
      </c>
      <c r="F2616" s="86" t="s">
        <v>243</v>
      </c>
      <c r="G2616" s="74" t="s">
        <v>268</v>
      </c>
      <c r="H2616" s="87">
        <v>44926</v>
      </c>
      <c r="I2616" s="94">
        <v>4446.33</v>
      </c>
      <c r="J2616" s="94">
        <v>3334.75</v>
      </c>
      <c r="K2616" s="94">
        <v>1111.58</v>
      </c>
    </row>
    <row r="2617" spans="1:11">
      <c r="A2617" s="74" t="s">
        <v>309</v>
      </c>
      <c r="B2617" s="74" t="s">
        <v>269</v>
      </c>
      <c r="C2617" s="74" t="s">
        <v>270</v>
      </c>
      <c r="D2617" s="74" t="s">
        <v>86</v>
      </c>
      <c r="E2617" s="74" t="s">
        <v>88</v>
      </c>
      <c r="F2617" s="86" t="s">
        <v>247</v>
      </c>
      <c r="G2617" s="74" t="s">
        <v>268</v>
      </c>
      <c r="H2617" s="87">
        <v>44926</v>
      </c>
      <c r="I2617" s="94">
        <v>4103.29</v>
      </c>
      <c r="J2617" s="94">
        <v>3077.47</v>
      </c>
      <c r="K2617" s="94">
        <v>1025.82</v>
      </c>
    </row>
    <row r="2618" spans="1:11">
      <c r="A2618" s="74" t="s">
        <v>309</v>
      </c>
      <c r="B2618" s="74" t="s">
        <v>271</v>
      </c>
      <c r="C2618" s="74" t="s">
        <v>272</v>
      </c>
      <c r="D2618" s="74" t="s">
        <v>86</v>
      </c>
      <c r="E2618" s="74" t="s">
        <v>88</v>
      </c>
      <c r="F2618" s="86" t="s">
        <v>251</v>
      </c>
      <c r="G2618" s="74" t="s">
        <v>268</v>
      </c>
      <c r="H2618" s="87">
        <v>44926</v>
      </c>
      <c r="I2618" s="94">
        <v>3631.79</v>
      </c>
      <c r="J2618" s="94">
        <v>2723.84</v>
      </c>
      <c r="K2618" s="94">
        <v>907.95</v>
      </c>
    </row>
    <row r="2619" spans="1:11">
      <c r="A2619" s="74" t="s">
        <v>309</v>
      </c>
      <c r="B2619" s="74" t="s">
        <v>273</v>
      </c>
      <c r="C2619" s="74" t="s">
        <v>274</v>
      </c>
      <c r="D2619" s="74" t="s">
        <v>86</v>
      </c>
      <c r="E2619" s="74" t="s">
        <v>88</v>
      </c>
      <c r="F2619" s="86" t="s">
        <v>255</v>
      </c>
      <c r="G2619" s="74" t="s">
        <v>268</v>
      </c>
      <c r="H2619" s="87">
        <v>44926</v>
      </c>
      <c r="I2619" s="94">
        <v>3211.96</v>
      </c>
      <c r="J2619" s="94">
        <v>2408.97</v>
      </c>
      <c r="K2619" s="94">
        <v>802.99</v>
      </c>
    </row>
    <row r="2620" spans="1:11">
      <c r="A2620" s="74" t="s">
        <v>309</v>
      </c>
      <c r="B2620" s="74" t="s">
        <v>275</v>
      </c>
      <c r="C2620" s="74" t="s">
        <v>276</v>
      </c>
      <c r="D2620" s="74" t="s">
        <v>86</v>
      </c>
      <c r="E2620" s="74" t="s">
        <v>88</v>
      </c>
      <c r="F2620" s="86" t="s">
        <v>258</v>
      </c>
      <c r="G2620" s="74" t="s">
        <v>268</v>
      </c>
      <c r="H2620" s="87">
        <v>44926</v>
      </c>
      <c r="I2620" s="94">
        <v>2814.44</v>
      </c>
      <c r="J2620" s="94">
        <v>2110.83</v>
      </c>
      <c r="K2620" s="94">
        <v>703.61</v>
      </c>
    </row>
    <row r="2621" spans="1:11">
      <c r="A2621" s="74" t="s">
        <v>309</v>
      </c>
      <c r="B2621" s="74" t="s">
        <v>277</v>
      </c>
      <c r="C2621" s="74" t="s">
        <v>278</v>
      </c>
      <c r="D2621" s="74" t="s">
        <v>86</v>
      </c>
      <c r="E2621" s="74" t="s">
        <v>89</v>
      </c>
      <c r="F2621" s="86" t="s">
        <v>279</v>
      </c>
      <c r="G2621" s="74" t="s">
        <v>280</v>
      </c>
      <c r="H2621" s="87">
        <v>44926</v>
      </c>
      <c r="I2621" s="94">
        <v>4735.27</v>
      </c>
      <c r="J2621" s="94">
        <v>3551.45</v>
      </c>
      <c r="K2621" s="94">
        <v>1183.82</v>
      </c>
    </row>
    <row r="2622" spans="1:11">
      <c r="A2622" s="74" t="s">
        <v>309</v>
      </c>
      <c r="B2622" s="74" t="s">
        <v>281</v>
      </c>
      <c r="C2622" s="74" t="s">
        <v>282</v>
      </c>
      <c r="D2622" s="74" t="s">
        <v>86</v>
      </c>
      <c r="E2622" s="74" t="s">
        <v>89</v>
      </c>
      <c r="F2622" s="86" t="s">
        <v>225</v>
      </c>
      <c r="G2622" s="74" t="s">
        <v>283</v>
      </c>
      <c r="H2622" s="87">
        <v>44926</v>
      </c>
      <c r="I2622" s="94">
        <v>3206.93</v>
      </c>
      <c r="J2622" s="94">
        <v>2405.2</v>
      </c>
      <c r="K2622" s="94">
        <v>801.73</v>
      </c>
    </row>
    <row r="2623" spans="1:11">
      <c r="A2623" s="74" t="s">
        <v>309</v>
      </c>
      <c r="B2623" s="74" t="s">
        <v>284</v>
      </c>
      <c r="C2623" s="74" t="s">
        <v>285</v>
      </c>
      <c r="D2623" s="74" t="s">
        <v>86</v>
      </c>
      <c r="E2623" s="74" t="s">
        <v>89</v>
      </c>
      <c r="F2623" s="86" t="s">
        <v>208</v>
      </c>
      <c r="G2623" s="74" t="s">
        <v>283</v>
      </c>
      <c r="H2623" s="87">
        <v>44926</v>
      </c>
      <c r="I2623" s="94">
        <v>2931.26</v>
      </c>
      <c r="J2623" s="94">
        <v>2198.45</v>
      </c>
      <c r="K2623" s="94">
        <v>732.81</v>
      </c>
    </row>
    <row r="2624" spans="1:11">
      <c r="A2624" s="74" t="s">
        <v>309</v>
      </c>
      <c r="B2624" s="74" t="s">
        <v>286</v>
      </c>
      <c r="C2624" s="74" t="s">
        <v>287</v>
      </c>
      <c r="D2624" s="74" t="s">
        <v>82</v>
      </c>
      <c r="E2624" s="88" t="s">
        <v>85</v>
      </c>
      <c r="F2624" s="86" t="s">
        <v>288</v>
      </c>
      <c r="G2624" s="74" t="s">
        <v>289</v>
      </c>
      <c r="H2624" s="87">
        <v>44926</v>
      </c>
      <c r="I2624" s="94">
        <v>5027.81</v>
      </c>
      <c r="J2624" s="94">
        <v>3770.86</v>
      </c>
      <c r="K2624" s="94">
        <v>1256.95</v>
      </c>
    </row>
    <row r="2625" spans="1:11">
      <c r="A2625" s="74" t="s">
        <v>309</v>
      </c>
      <c r="B2625" s="74" t="s">
        <v>290</v>
      </c>
      <c r="C2625" s="74" t="s">
        <v>291</v>
      </c>
      <c r="D2625" s="74" t="s">
        <v>82</v>
      </c>
      <c r="E2625" s="88" t="s">
        <v>85</v>
      </c>
      <c r="F2625" s="86" t="s">
        <v>218</v>
      </c>
      <c r="G2625" s="74" t="s">
        <v>289</v>
      </c>
      <c r="H2625" s="87">
        <v>44926</v>
      </c>
      <c r="I2625" s="94">
        <v>4492.06</v>
      </c>
      <c r="J2625" s="94">
        <v>3369.05</v>
      </c>
      <c r="K2625" s="94">
        <v>1123.01</v>
      </c>
    </row>
    <row r="2626" spans="1:11">
      <c r="A2626" s="74" t="s">
        <v>309</v>
      </c>
      <c r="B2626" s="74" t="s">
        <v>292</v>
      </c>
      <c r="C2626" s="74" t="s">
        <v>293</v>
      </c>
      <c r="D2626" s="74" t="s">
        <v>82</v>
      </c>
      <c r="E2626" s="88" t="s">
        <v>85</v>
      </c>
      <c r="F2626" s="86" t="s">
        <v>225</v>
      </c>
      <c r="G2626" s="74" t="s">
        <v>289</v>
      </c>
      <c r="H2626" s="87">
        <v>44926</v>
      </c>
      <c r="I2626" s="94">
        <v>4134.72</v>
      </c>
      <c r="J2626" s="94">
        <v>3101.04</v>
      </c>
      <c r="K2626" s="94">
        <v>1033.68</v>
      </c>
    </row>
    <row r="2627" spans="1:11">
      <c r="A2627" s="74" t="s">
        <v>309</v>
      </c>
      <c r="B2627" s="74" t="s">
        <v>294</v>
      </c>
      <c r="C2627" s="74" t="s">
        <v>295</v>
      </c>
      <c r="D2627" s="74" t="s">
        <v>82</v>
      </c>
      <c r="E2627" s="88" t="s">
        <v>85</v>
      </c>
      <c r="F2627" s="86" t="s">
        <v>208</v>
      </c>
      <c r="G2627" s="74" t="s">
        <v>289</v>
      </c>
      <c r="H2627" s="87">
        <v>44926</v>
      </c>
      <c r="I2627" s="94">
        <v>3781.19</v>
      </c>
      <c r="J2627" s="94">
        <v>2835.89</v>
      </c>
      <c r="K2627" s="94">
        <v>945.3</v>
      </c>
    </row>
    <row r="2628" spans="1:11">
      <c r="A2628" s="74" t="s">
        <v>309</v>
      </c>
      <c r="B2628" s="74" t="s">
        <v>296</v>
      </c>
      <c r="C2628" s="74" t="s">
        <v>297</v>
      </c>
      <c r="D2628" s="74" t="s">
        <v>82</v>
      </c>
      <c r="E2628" s="88" t="s">
        <v>85</v>
      </c>
      <c r="F2628" s="86" t="s">
        <v>116</v>
      </c>
      <c r="G2628" s="74" t="s">
        <v>289</v>
      </c>
      <c r="H2628" s="87">
        <v>44926</v>
      </c>
      <c r="I2628" s="94">
        <v>3213.76</v>
      </c>
      <c r="J2628" s="94">
        <v>2410.32</v>
      </c>
      <c r="K2628" s="94">
        <v>803.44</v>
      </c>
    </row>
    <row r="2629" spans="1:11">
      <c r="A2629" s="74" t="s">
        <v>309</v>
      </c>
      <c r="B2629" s="74" t="s">
        <v>298</v>
      </c>
      <c r="C2629" s="74" t="s">
        <v>299</v>
      </c>
      <c r="D2629" s="74" t="s">
        <v>82</v>
      </c>
      <c r="E2629" s="88" t="s">
        <v>85</v>
      </c>
      <c r="F2629" s="86" t="s">
        <v>279</v>
      </c>
      <c r="G2629" s="74" t="s">
        <v>300</v>
      </c>
      <c r="H2629" s="87">
        <v>44926</v>
      </c>
      <c r="I2629" s="94">
        <v>6153.31</v>
      </c>
      <c r="J2629" s="94">
        <v>4614.98</v>
      </c>
      <c r="K2629" s="94">
        <v>1538.33</v>
      </c>
    </row>
    <row r="2630" spans="1:11">
      <c r="A2630" s="74" t="s">
        <v>309</v>
      </c>
      <c r="B2630" s="74" t="s">
        <v>301</v>
      </c>
      <c r="C2630" s="74" t="s">
        <v>302</v>
      </c>
      <c r="D2630" s="74" t="s">
        <v>82</v>
      </c>
      <c r="E2630" s="88" t="s">
        <v>85</v>
      </c>
      <c r="F2630" s="86" t="s">
        <v>279</v>
      </c>
      <c r="G2630" s="74" t="s">
        <v>303</v>
      </c>
      <c r="H2630" s="87">
        <v>44926</v>
      </c>
      <c r="I2630" s="94">
        <v>6303.54</v>
      </c>
      <c r="J2630" s="94">
        <v>4727.66</v>
      </c>
      <c r="K2630" s="94">
        <v>1575.88</v>
      </c>
    </row>
    <row r="2631" spans="1:11">
      <c r="A2631" s="74" t="s">
        <v>309</v>
      </c>
      <c r="B2631" s="74" t="s">
        <v>304</v>
      </c>
      <c r="C2631" s="74" t="s">
        <v>305</v>
      </c>
      <c r="D2631" s="74" t="s">
        <v>86</v>
      </c>
      <c r="E2631" s="74" t="s">
        <v>90</v>
      </c>
      <c r="F2631" s="86" t="s">
        <v>306</v>
      </c>
      <c r="G2631" s="74" t="s">
        <v>307</v>
      </c>
      <c r="H2631" s="87">
        <v>44926</v>
      </c>
      <c r="I2631" s="94">
        <v>6676.7</v>
      </c>
      <c r="J2631" s="94">
        <v>5007.53</v>
      </c>
      <c r="K2631" s="94">
        <v>1669.17</v>
      </c>
    </row>
  </sheetData>
  <sheetProtection algorithmName="SHA-512" hashValue="in7TYz68YFba3nTROYaLpNPK1Y0B9TMsDaqFofRqqY7E/qyAwyakSTR9/ee/bc73NywGHptwZVDgiPwzTnk6IA==" saltValue="MKI96BtL5PgTzmOgfl7PjA==" spinCount="100000" sheet="1" formatCells="0" formatColumns="0" formatRows="0" insertRows="0" insertColumns="0" autoFilter="0" objects="1" scenarios="1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31"/>
  <sheetViews>
    <sheetView workbookViewId="0">
      <selection activeCell="J17" sqref="J17"/>
    </sheetView>
  </sheetViews>
  <sheetFormatPr defaultColWidth="9" defaultRowHeight="15.6" outlineLevelCol="5"/>
  <cols>
    <col min="1" max="1" width="8.88888888888889" style="74"/>
    <col min="2" max="3" width="11.6666666666667" style="74" customWidth="1"/>
    <col min="4" max="4" width="13.8888888888889" style="74" customWidth="1"/>
    <col min="5" max="5" width="14.2222222222222" style="74" customWidth="1"/>
    <col min="6" max="6" width="11.6666666666667" style="90" customWidth="1"/>
    <col min="7" max="16384" width="8.88888888888889" style="90"/>
  </cols>
  <sheetData>
    <row r="1" spans="1:6">
      <c r="A1" s="78" t="s">
        <v>100</v>
      </c>
      <c r="B1" s="79"/>
      <c r="C1" s="79"/>
      <c r="D1" s="79"/>
      <c r="E1" s="79"/>
      <c r="F1" s="91"/>
    </row>
    <row r="2" spans="1:6">
      <c r="A2" s="78" t="s">
        <v>101</v>
      </c>
      <c r="B2" s="79"/>
      <c r="C2" s="79"/>
      <c r="D2" s="79"/>
      <c r="E2" s="79"/>
      <c r="F2" s="91"/>
    </row>
    <row r="3" spans="1:6">
      <c r="A3" s="92" t="s">
        <v>102</v>
      </c>
      <c r="B3" s="85" t="s">
        <v>105</v>
      </c>
      <c r="C3" s="85" t="s">
        <v>106</v>
      </c>
      <c r="D3" s="85" t="s">
        <v>314</v>
      </c>
      <c r="E3" s="85" t="s">
        <v>310</v>
      </c>
      <c r="F3" s="85" t="s">
        <v>315</v>
      </c>
    </row>
    <row r="4" spans="1:6">
      <c r="A4" s="74" t="s">
        <v>113</v>
      </c>
      <c r="B4" s="74" t="s">
        <v>79</v>
      </c>
      <c r="C4" s="74" t="s">
        <v>80</v>
      </c>
      <c r="D4" s="74" t="s">
        <v>316</v>
      </c>
      <c r="E4" s="87">
        <v>44227</v>
      </c>
      <c r="F4" s="94">
        <v>3164.25</v>
      </c>
    </row>
    <row r="5" spans="1:6">
      <c r="A5" s="74" t="s">
        <v>113</v>
      </c>
      <c r="B5" s="74" t="s">
        <v>79</v>
      </c>
      <c r="C5" s="74" t="s">
        <v>81</v>
      </c>
      <c r="D5" s="74" t="s">
        <v>316</v>
      </c>
      <c r="E5" s="87">
        <v>44227</v>
      </c>
      <c r="F5" s="94">
        <v>2432.95</v>
      </c>
    </row>
    <row r="6" spans="1:6">
      <c r="A6" s="74" t="s">
        <v>113</v>
      </c>
      <c r="B6" s="88" t="s">
        <v>82</v>
      </c>
      <c r="C6" s="88" t="s">
        <v>84</v>
      </c>
      <c r="D6" s="74" t="s">
        <v>316</v>
      </c>
      <c r="E6" s="87">
        <v>44227</v>
      </c>
      <c r="F6" s="94">
        <v>3528.94</v>
      </c>
    </row>
    <row r="7" spans="1:6">
      <c r="A7" s="74" t="s">
        <v>113</v>
      </c>
      <c r="B7" s="88" t="s">
        <v>82</v>
      </c>
      <c r="C7" s="74" t="s">
        <v>83</v>
      </c>
      <c r="D7" s="74" t="s">
        <v>316</v>
      </c>
      <c r="E7" s="87">
        <v>44227</v>
      </c>
      <c r="F7" s="94">
        <v>4543.76</v>
      </c>
    </row>
    <row r="8" spans="1:6">
      <c r="A8" s="74" t="s">
        <v>113</v>
      </c>
      <c r="B8" s="74" t="s">
        <v>86</v>
      </c>
      <c r="C8" s="74" t="s">
        <v>87</v>
      </c>
      <c r="D8" s="74" t="s">
        <v>316</v>
      </c>
      <c r="E8" s="87">
        <v>44227</v>
      </c>
      <c r="F8" s="94">
        <v>6014.86</v>
      </c>
    </row>
    <row r="9" spans="1:6">
      <c r="A9" s="74" t="s">
        <v>113</v>
      </c>
      <c r="B9" s="74" t="s">
        <v>86</v>
      </c>
      <c r="C9" s="74" t="s">
        <v>88</v>
      </c>
      <c r="D9" s="74" t="s">
        <v>316</v>
      </c>
      <c r="E9" s="87">
        <v>44227</v>
      </c>
      <c r="F9" s="94">
        <v>5786.18</v>
      </c>
    </row>
    <row r="10" spans="1:6">
      <c r="A10" s="74" t="s">
        <v>113</v>
      </c>
      <c r="B10" s="74" t="s">
        <v>86</v>
      </c>
      <c r="C10" s="74" t="s">
        <v>89</v>
      </c>
      <c r="D10" s="74" t="s">
        <v>316</v>
      </c>
      <c r="E10" s="87">
        <v>44227</v>
      </c>
      <c r="F10" s="94">
        <v>5042.7</v>
      </c>
    </row>
    <row r="11" spans="1:6">
      <c r="A11" s="74" t="s">
        <v>113</v>
      </c>
      <c r="B11" s="74" t="s">
        <v>82</v>
      </c>
      <c r="C11" s="88" t="s">
        <v>85</v>
      </c>
      <c r="D11" s="74" t="s">
        <v>316</v>
      </c>
      <c r="E11" s="87">
        <v>44227</v>
      </c>
      <c r="F11" s="94">
        <v>4810.77</v>
      </c>
    </row>
    <row r="12" spans="1:6">
      <c r="A12" s="74" t="s">
        <v>113</v>
      </c>
      <c r="B12" s="74" t="s">
        <v>86</v>
      </c>
      <c r="C12" s="74" t="s">
        <v>90</v>
      </c>
      <c r="D12" s="74" t="s">
        <v>316</v>
      </c>
      <c r="E12" s="87">
        <v>44227</v>
      </c>
      <c r="F12" s="94">
        <v>6798.55</v>
      </c>
    </row>
    <row r="13" spans="1:6">
      <c r="A13" s="74" t="s">
        <v>113</v>
      </c>
      <c r="B13" s="74" t="s">
        <v>79</v>
      </c>
      <c r="C13" s="74" t="s">
        <v>80</v>
      </c>
      <c r="D13" s="74" t="s">
        <v>316</v>
      </c>
      <c r="E13" s="87">
        <v>44255</v>
      </c>
      <c r="F13" s="94">
        <v>3428.32</v>
      </c>
    </row>
    <row r="14" spans="1:6">
      <c r="A14" s="74" t="s">
        <v>113</v>
      </c>
      <c r="B14" s="74" t="s">
        <v>79</v>
      </c>
      <c r="C14" s="74" t="s">
        <v>81</v>
      </c>
      <c r="D14" s="74" t="s">
        <v>316</v>
      </c>
      <c r="E14" s="87">
        <v>44255</v>
      </c>
      <c r="F14" s="94">
        <v>2400.15</v>
      </c>
    </row>
    <row r="15" spans="1:6">
      <c r="A15" s="74" t="s">
        <v>113</v>
      </c>
      <c r="B15" s="88" t="s">
        <v>82</v>
      </c>
      <c r="C15" s="88" t="s">
        <v>84</v>
      </c>
      <c r="D15" s="74" t="s">
        <v>316</v>
      </c>
      <c r="E15" s="87">
        <v>44255</v>
      </c>
      <c r="F15" s="94">
        <v>3856.88</v>
      </c>
    </row>
    <row r="16" spans="1:6">
      <c r="A16" s="74" t="s">
        <v>113</v>
      </c>
      <c r="B16" s="88" t="s">
        <v>82</v>
      </c>
      <c r="C16" s="74" t="s">
        <v>83</v>
      </c>
      <c r="D16" s="74" t="s">
        <v>316</v>
      </c>
      <c r="E16" s="87">
        <v>44255</v>
      </c>
      <c r="F16" s="94">
        <v>4716.44</v>
      </c>
    </row>
    <row r="17" spans="1:6">
      <c r="A17" s="74" t="s">
        <v>113</v>
      </c>
      <c r="B17" s="74" t="s">
        <v>86</v>
      </c>
      <c r="C17" s="74" t="s">
        <v>87</v>
      </c>
      <c r="D17" s="74" t="s">
        <v>316</v>
      </c>
      <c r="E17" s="87">
        <v>44255</v>
      </c>
      <c r="F17" s="94">
        <v>5782.53</v>
      </c>
    </row>
    <row r="18" spans="1:6">
      <c r="A18" s="74" t="s">
        <v>113</v>
      </c>
      <c r="B18" s="74" t="s">
        <v>86</v>
      </c>
      <c r="C18" s="74" t="s">
        <v>88</v>
      </c>
      <c r="D18" s="74" t="s">
        <v>316</v>
      </c>
      <c r="E18" s="87">
        <v>44255</v>
      </c>
      <c r="F18" s="94">
        <v>5501.97</v>
      </c>
    </row>
    <row r="19" spans="1:6">
      <c r="A19" s="74" t="s">
        <v>113</v>
      </c>
      <c r="B19" s="74" t="s">
        <v>86</v>
      </c>
      <c r="C19" s="74" t="s">
        <v>89</v>
      </c>
      <c r="D19" s="74" t="s">
        <v>316</v>
      </c>
      <c r="E19" s="87">
        <v>44255</v>
      </c>
      <c r="F19" s="94">
        <v>4760.59</v>
      </c>
    </row>
    <row r="20" spans="1:6">
      <c r="A20" s="74" t="s">
        <v>113</v>
      </c>
      <c r="B20" s="74" t="s">
        <v>82</v>
      </c>
      <c r="C20" s="88" t="s">
        <v>85</v>
      </c>
      <c r="D20" s="74" t="s">
        <v>316</v>
      </c>
      <c r="E20" s="87">
        <v>44255</v>
      </c>
      <c r="F20" s="94">
        <v>4709.91</v>
      </c>
    </row>
    <row r="21" spans="1:6">
      <c r="A21" s="74" t="s">
        <v>113</v>
      </c>
      <c r="B21" s="74" t="s">
        <v>86</v>
      </c>
      <c r="C21" s="74" t="s">
        <v>90</v>
      </c>
      <c r="D21" s="74" t="s">
        <v>316</v>
      </c>
      <c r="E21" s="87">
        <v>44255</v>
      </c>
      <c r="F21" s="94">
        <v>6574.09</v>
      </c>
    </row>
    <row r="22" spans="1:6">
      <c r="A22" s="74" t="s">
        <v>113</v>
      </c>
      <c r="B22" s="74" t="s">
        <v>79</v>
      </c>
      <c r="C22" s="74" t="s">
        <v>80</v>
      </c>
      <c r="D22" s="74" t="s">
        <v>316</v>
      </c>
      <c r="E22" s="87">
        <v>44286</v>
      </c>
      <c r="F22" s="94">
        <v>3326.91</v>
      </c>
    </row>
    <row r="23" spans="1:6">
      <c r="A23" s="74" t="s">
        <v>113</v>
      </c>
      <c r="B23" s="74" t="s">
        <v>79</v>
      </c>
      <c r="C23" s="74" t="s">
        <v>81</v>
      </c>
      <c r="D23" s="74" t="s">
        <v>316</v>
      </c>
      <c r="E23" s="87">
        <v>44286</v>
      </c>
      <c r="F23" s="94">
        <v>2569.4</v>
      </c>
    </row>
    <row r="24" spans="1:6">
      <c r="A24" s="74" t="s">
        <v>113</v>
      </c>
      <c r="B24" s="88" t="s">
        <v>82</v>
      </c>
      <c r="C24" s="88" t="s">
        <v>84</v>
      </c>
      <c r="D24" s="74" t="s">
        <v>316</v>
      </c>
      <c r="E24" s="87">
        <v>44286</v>
      </c>
      <c r="F24" s="94">
        <v>3515.23</v>
      </c>
    </row>
    <row r="25" spans="1:6">
      <c r="A25" s="74" t="s">
        <v>113</v>
      </c>
      <c r="B25" s="88" t="s">
        <v>82</v>
      </c>
      <c r="C25" s="74" t="s">
        <v>83</v>
      </c>
      <c r="D25" s="74" t="s">
        <v>316</v>
      </c>
      <c r="E25" s="87">
        <v>44286</v>
      </c>
      <c r="F25" s="94">
        <v>4591.67</v>
      </c>
    </row>
    <row r="26" spans="1:6">
      <c r="A26" s="74" t="s">
        <v>113</v>
      </c>
      <c r="B26" s="74" t="s">
        <v>86</v>
      </c>
      <c r="C26" s="74" t="s">
        <v>87</v>
      </c>
      <c r="D26" s="74" t="s">
        <v>316</v>
      </c>
      <c r="E26" s="87">
        <v>44286</v>
      </c>
      <c r="F26" s="94">
        <v>5945.85</v>
      </c>
    </row>
    <row r="27" spans="1:6">
      <c r="A27" s="74" t="s">
        <v>113</v>
      </c>
      <c r="B27" s="74" t="s">
        <v>86</v>
      </c>
      <c r="C27" s="74" t="s">
        <v>88</v>
      </c>
      <c r="D27" s="74" t="s">
        <v>316</v>
      </c>
      <c r="E27" s="87">
        <v>44286</v>
      </c>
      <c r="F27" s="94">
        <v>5485.46</v>
      </c>
    </row>
    <row r="28" spans="1:6">
      <c r="A28" s="74" t="s">
        <v>113</v>
      </c>
      <c r="B28" s="74" t="s">
        <v>86</v>
      </c>
      <c r="C28" s="74" t="s">
        <v>89</v>
      </c>
      <c r="D28" s="74" t="s">
        <v>316</v>
      </c>
      <c r="E28" s="87">
        <v>44286</v>
      </c>
      <c r="F28" s="94">
        <v>4929.44</v>
      </c>
    </row>
    <row r="29" spans="1:6">
      <c r="A29" s="74" t="s">
        <v>113</v>
      </c>
      <c r="B29" s="74" t="s">
        <v>82</v>
      </c>
      <c r="C29" s="88" t="s">
        <v>85</v>
      </c>
      <c r="D29" s="74" t="s">
        <v>316</v>
      </c>
      <c r="E29" s="87">
        <v>44286</v>
      </c>
      <c r="F29" s="94">
        <v>5090.42</v>
      </c>
    </row>
    <row r="30" spans="1:6">
      <c r="A30" s="74" t="s">
        <v>113</v>
      </c>
      <c r="B30" s="74" t="s">
        <v>86</v>
      </c>
      <c r="C30" s="74" t="s">
        <v>90</v>
      </c>
      <c r="D30" s="74" t="s">
        <v>316</v>
      </c>
      <c r="E30" s="87">
        <v>44286</v>
      </c>
      <c r="F30" s="94">
        <v>6425.46</v>
      </c>
    </row>
    <row r="31" spans="1:6">
      <c r="A31" s="74" t="s">
        <v>113</v>
      </c>
      <c r="B31" s="74" t="s">
        <v>79</v>
      </c>
      <c r="C31" s="74" t="s">
        <v>80</v>
      </c>
      <c r="D31" s="74" t="s">
        <v>316</v>
      </c>
      <c r="E31" s="87">
        <v>44316</v>
      </c>
      <c r="F31" s="94">
        <v>3296.33</v>
      </c>
    </row>
    <row r="32" spans="1:6">
      <c r="A32" s="74" t="s">
        <v>113</v>
      </c>
      <c r="B32" s="74" t="s">
        <v>79</v>
      </c>
      <c r="C32" s="74" t="s">
        <v>81</v>
      </c>
      <c r="D32" s="74" t="s">
        <v>316</v>
      </c>
      <c r="E32" s="87">
        <v>44316</v>
      </c>
      <c r="F32" s="94">
        <v>2474.46</v>
      </c>
    </row>
    <row r="33" spans="1:6">
      <c r="A33" s="74" t="s">
        <v>113</v>
      </c>
      <c r="B33" s="88" t="s">
        <v>82</v>
      </c>
      <c r="C33" s="88" t="s">
        <v>84</v>
      </c>
      <c r="D33" s="74" t="s">
        <v>316</v>
      </c>
      <c r="E33" s="87">
        <v>44316</v>
      </c>
      <c r="F33" s="94">
        <v>3683.26</v>
      </c>
    </row>
    <row r="34" spans="1:6">
      <c r="A34" s="74" t="s">
        <v>113</v>
      </c>
      <c r="B34" s="88" t="s">
        <v>82</v>
      </c>
      <c r="C34" s="74" t="s">
        <v>83</v>
      </c>
      <c r="D34" s="74" t="s">
        <v>316</v>
      </c>
      <c r="E34" s="87">
        <v>44316</v>
      </c>
      <c r="F34" s="94">
        <v>4634.35</v>
      </c>
    </row>
    <row r="35" spans="1:6">
      <c r="A35" s="74" t="s">
        <v>113</v>
      </c>
      <c r="B35" s="74" t="s">
        <v>86</v>
      </c>
      <c r="C35" s="74" t="s">
        <v>87</v>
      </c>
      <c r="D35" s="74" t="s">
        <v>316</v>
      </c>
      <c r="E35" s="87">
        <v>44316</v>
      </c>
      <c r="F35" s="94">
        <v>5676.27</v>
      </c>
    </row>
    <row r="36" spans="1:6">
      <c r="A36" s="74" t="s">
        <v>113</v>
      </c>
      <c r="B36" s="74" t="s">
        <v>86</v>
      </c>
      <c r="C36" s="74" t="s">
        <v>88</v>
      </c>
      <c r="D36" s="74" t="s">
        <v>316</v>
      </c>
      <c r="E36" s="87">
        <v>44316</v>
      </c>
      <c r="F36" s="94">
        <v>5755.35</v>
      </c>
    </row>
    <row r="37" spans="1:6">
      <c r="A37" s="74" t="s">
        <v>113</v>
      </c>
      <c r="B37" s="74" t="s">
        <v>86</v>
      </c>
      <c r="C37" s="74" t="s">
        <v>89</v>
      </c>
      <c r="D37" s="74" t="s">
        <v>316</v>
      </c>
      <c r="E37" s="87">
        <v>44316</v>
      </c>
      <c r="F37" s="94">
        <v>4752.77</v>
      </c>
    </row>
    <row r="38" spans="1:6">
      <c r="A38" s="74" t="s">
        <v>113</v>
      </c>
      <c r="B38" s="74" t="s">
        <v>82</v>
      </c>
      <c r="C38" s="88" t="s">
        <v>85</v>
      </c>
      <c r="D38" s="74" t="s">
        <v>316</v>
      </c>
      <c r="E38" s="87">
        <v>44316</v>
      </c>
      <c r="F38" s="94">
        <v>4927.07</v>
      </c>
    </row>
    <row r="39" spans="1:6">
      <c r="A39" s="74" t="s">
        <v>113</v>
      </c>
      <c r="B39" s="74" t="s">
        <v>86</v>
      </c>
      <c r="C39" s="74" t="s">
        <v>90</v>
      </c>
      <c r="D39" s="74" t="s">
        <v>316</v>
      </c>
      <c r="E39" s="87">
        <v>44316</v>
      </c>
      <c r="F39" s="94">
        <v>6857.53</v>
      </c>
    </row>
    <row r="40" spans="1:6">
      <c r="A40" s="74" t="s">
        <v>113</v>
      </c>
      <c r="B40" s="74" t="s">
        <v>79</v>
      </c>
      <c r="C40" s="74" t="s">
        <v>80</v>
      </c>
      <c r="D40" s="74" t="s">
        <v>316</v>
      </c>
      <c r="E40" s="87">
        <v>44346</v>
      </c>
      <c r="F40" s="94">
        <v>3201.01</v>
      </c>
    </row>
    <row r="41" spans="1:6">
      <c r="A41" s="74" t="s">
        <v>113</v>
      </c>
      <c r="B41" s="74" t="s">
        <v>79</v>
      </c>
      <c r="C41" s="74" t="s">
        <v>81</v>
      </c>
      <c r="D41" s="74" t="s">
        <v>316</v>
      </c>
      <c r="E41" s="87">
        <v>44346</v>
      </c>
      <c r="F41" s="94">
        <v>2506.35</v>
      </c>
    </row>
    <row r="42" spans="1:6">
      <c r="A42" s="74" t="s">
        <v>113</v>
      </c>
      <c r="B42" s="88" t="s">
        <v>82</v>
      </c>
      <c r="C42" s="88" t="s">
        <v>84</v>
      </c>
      <c r="D42" s="74" t="s">
        <v>316</v>
      </c>
      <c r="E42" s="87">
        <v>44346</v>
      </c>
      <c r="F42" s="94">
        <v>3776.97</v>
      </c>
    </row>
    <row r="43" spans="1:6">
      <c r="A43" s="74" t="s">
        <v>113</v>
      </c>
      <c r="B43" s="88" t="s">
        <v>82</v>
      </c>
      <c r="C43" s="74" t="s">
        <v>83</v>
      </c>
      <c r="D43" s="74" t="s">
        <v>316</v>
      </c>
      <c r="E43" s="87">
        <v>44346</v>
      </c>
      <c r="F43" s="94">
        <v>4626.53</v>
      </c>
    </row>
    <row r="44" spans="1:6">
      <c r="A44" s="74" t="s">
        <v>113</v>
      </c>
      <c r="B44" s="74" t="s">
        <v>86</v>
      </c>
      <c r="C44" s="74" t="s">
        <v>87</v>
      </c>
      <c r="D44" s="74" t="s">
        <v>316</v>
      </c>
      <c r="E44" s="87">
        <v>44346</v>
      </c>
      <c r="F44" s="94">
        <v>5635.13</v>
      </c>
    </row>
    <row r="45" spans="1:6">
      <c r="A45" s="74" t="s">
        <v>113</v>
      </c>
      <c r="B45" s="74" t="s">
        <v>86</v>
      </c>
      <c r="C45" s="74" t="s">
        <v>88</v>
      </c>
      <c r="D45" s="74" t="s">
        <v>316</v>
      </c>
      <c r="E45" s="87">
        <v>44346</v>
      </c>
      <c r="F45" s="94">
        <v>5613</v>
      </c>
    </row>
    <row r="46" spans="1:6">
      <c r="A46" s="74" t="s">
        <v>113</v>
      </c>
      <c r="B46" s="74" t="s">
        <v>86</v>
      </c>
      <c r="C46" s="74" t="s">
        <v>89</v>
      </c>
      <c r="D46" s="74" t="s">
        <v>316</v>
      </c>
      <c r="E46" s="87">
        <v>44346</v>
      </c>
      <c r="F46" s="94">
        <v>4762.59</v>
      </c>
    </row>
    <row r="47" spans="1:6">
      <c r="A47" s="74" t="s">
        <v>113</v>
      </c>
      <c r="B47" s="74" t="s">
        <v>82</v>
      </c>
      <c r="C47" s="88" t="s">
        <v>85</v>
      </c>
      <c r="D47" s="74" t="s">
        <v>316</v>
      </c>
      <c r="E47" s="87">
        <v>44346</v>
      </c>
      <c r="F47" s="94">
        <v>4994.07</v>
      </c>
    </row>
    <row r="48" spans="1:6">
      <c r="A48" s="74" t="s">
        <v>113</v>
      </c>
      <c r="B48" s="74" t="s">
        <v>86</v>
      </c>
      <c r="C48" s="74" t="s">
        <v>90</v>
      </c>
      <c r="D48" s="74" t="s">
        <v>316</v>
      </c>
      <c r="E48" s="87">
        <v>44346</v>
      </c>
      <c r="F48" s="94">
        <v>6727.04</v>
      </c>
    </row>
    <row r="49" spans="1:6">
      <c r="A49" s="74" t="s">
        <v>113</v>
      </c>
      <c r="B49" s="74" t="s">
        <v>79</v>
      </c>
      <c r="C49" s="74" t="s">
        <v>80</v>
      </c>
      <c r="D49" s="74" t="s">
        <v>316</v>
      </c>
      <c r="E49" s="87">
        <v>44377</v>
      </c>
      <c r="F49" s="94">
        <v>3187.22</v>
      </c>
    </row>
    <row r="50" spans="1:6">
      <c r="A50" s="74" t="s">
        <v>113</v>
      </c>
      <c r="B50" s="74" t="s">
        <v>79</v>
      </c>
      <c r="C50" s="74" t="s">
        <v>81</v>
      </c>
      <c r="D50" s="74" t="s">
        <v>316</v>
      </c>
      <c r="E50" s="87">
        <v>44377</v>
      </c>
      <c r="F50" s="94">
        <v>2572.53</v>
      </c>
    </row>
    <row r="51" spans="1:6">
      <c r="A51" s="74" t="s">
        <v>113</v>
      </c>
      <c r="B51" s="88" t="s">
        <v>82</v>
      </c>
      <c r="C51" s="88" t="s">
        <v>84</v>
      </c>
      <c r="D51" s="74" t="s">
        <v>316</v>
      </c>
      <c r="E51" s="87">
        <v>44377</v>
      </c>
      <c r="F51" s="94">
        <v>3857.45</v>
      </c>
    </row>
    <row r="52" spans="1:6">
      <c r="A52" s="74" t="s">
        <v>113</v>
      </c>
      <c r="B52" s="88" t="s">
        <v>82</v>
      </c>
      <c r="C52" s="74" t="s">
        <v>83</v>
      </c>
      <c r="D52" s="74" t="s">
        <v>316</v>
      </c>
      <c r="E52" s="87">
        <v>44377</v>
      </c>
      <c r="F52" s="94">
        <v>4457.99</v>
      </c>
    </row>
    <row r="53" spans="1:6">
      <c r="A53" s="74" t="s">
        <v>113</v>
      </c>
      <c r="B53" s="74" t="s">
        <v>86</v>
      </c>
      <c r="C53" s="74" t="s">
        <v>87</v>
      </c>
      <c r="D53" s="74" t="s">
        <v>316</v>
      </c>
      <c r="E53" s="87">
        <v>44377</v>
      </c>
      <c r="F53" s="94">
        <v>6069.55</v>
      </c>
    </row>
    <row r="54" spans="1:6">
      <c r="A54" s="74" t="s">
        <v>113</v>
      </c>
      <c r="B54" s="74" t="s">
        <v>86</v>
      </c>
      <c r="C54" s="74" t="s">
        <v>88</v>
      </c>
      <c r="D54" s="74" t="s">
        <v>316</v>
      </c>
      <c r="E54" s="87">
        <v>44377</v>
      </c>
      <c r="F54" s="94">
        <v>5814.94</v>
      </c>
    </row>
    <row r="55" spans="1:6">
      <c r="A55" s="74" t="s">
        <v>113</v>
      </c>
      <c r="B55" s="74" t="s">
        <v>86</v>
      </c>
      <c r="C55" s="74" t="s">
        <v>89</v>
      </c>
      <c r="D55" s="74" t="s">
        <v>316</v>
      </c>
      <c r="E55" s="87">
        <v>44377</v>
      </c>
      <c r="F55" s="94">
        <v>5109.99</v>
      </c>
    </row>
    <row r="56" spans="1:6">
      <c r="A56" s="74" t="s">
        <v>113</v>
      </c>
      <c r="B56" s="74" t="s">
        <v>82</v>
      </c>
      <c r="C56" s="88" t="s">
        <v>85</v>
      </c>
      <c r="D56" s="74" t="s">
        <v>316</v>
      </c>
      <c r="E56" s="87">
        <v>44377</v>
      </c>
      <c r="F56" s="94">
        <v>4780.35</v>
      </c>
    </row>
    <row r="57" spans="1:6">
      <c r="A57" s="74" t="s">
        <v>113</v>
      </c>
      <c r="B57" s="74" t="s">
        <v>86</v>
      </c>
      <c r="C57" s="74" t="s">
        <v>90</v>
      </c>
      <c r="D57" s="74" t="s">
        <v>316</v>
      </c>
      <c r="E57" s="87">
        <v>44377</v>
      </c>
      <c r="F57" s="94">
        <v>6458.87</v>
      </c>
    </row>
    <row r="58" spans="1:6">
      <c r="A58" s="74" t="s">
        <v>113</v>
      </c>
      <c r="B58" s="74" t="s">
        <v>79</v>
      </c>
      <c r="C58" s="74" t="s">
        <v>80</v>
      </c>
      <c r="D58" s="74" t="s">
        <v>316</v>
      </c>
      <c r="E58" s="87">
        <v>44408</v>
      </c>
      <c r="F58" s="94">
        <v>3147.48</v>
      </c>
    </row>
    <row r="59" spans="1:6">
      <c r="A59" s="74" t="s">
        <v>113</v>
      </c>
      <c r="B59" s="74" t="s">
        <v>79</v>
      </c>
      <c r="C59" s="74" t="s">
        <v>81</v>
      </c>
      <c r="D59" s="74" t="s">
        <v>316</v>
      </c>
      <c r="E59" s="87">
        <v>44408</v>
      </c>
      <c r="F59" s="94">
        <v>2569.69</v>
      </c>
    </row>
    <row r="60" spans="1:6">
      <c r="A60" s="74" t="s">
        <v>113</v>
      </c>
      <c r="B60" s="88" t="s">
        <v>82</v>
      </c>
      <c r="C60" s="88" t="s">
        <v>84</v>
      </c>
      <c r="D60" s="74" t="s">
        <v>316</v>
      </c>
      <c r="E60" s="87">
        <v>44408</v>
      </c>
      <c r="F60" s="94">
        <v>3532.5</v>
      </c>
    </row>
    <row r="61" spans="1:6">
      <c r="A61" s="74" t="s">
        <v>113</v>
      </c>
      <c r="B61" s="88" t="s">
        <v>82</v>
      </c>
      <c r="C61" s="74" t="s">
        <v>83</v>
      </c>
      <c r="D61" s="74" t="s">
        <v>316</v>
      </c>
      <c r="E61" s="87">
        <v>44408</v>
      </c>
      <c r="F61" s="94">
        <v>4589.21</v>
      </c>
    </row>
    <row r="62" spans="1:6">
      <c r="A62" s="74" t="s">
        <v>113</v>
      </c>
      <c r="B62" s="74" t="s">
        <v>86</v>
      </c>
      <c r="C62" s="74" t="s">
        <v>87</v>
      </c>
      <c r="D62" s="74" t="s">
        <v>316</v>
      </c>
      <c r="E62" s="87">
        <v>44408</v>
      </c>
      <c r="F62" s="94">
        <v>5708.48</v>
      </c>
    </row>
    <row r="63" spans="1:6">
      <c r="A63" s="74" t="s">
        <v>113</v>
      </c>
      <c r="B63" s="74" t="s">
        <v>86</v>
      </c>
      <c r="C63" s="74" t="s">
        <v>88</v>
      </c>
      <c r="D63" s="74" t="s">
        <v>316</v>
      </c>
      <c r="E63" s="87">
        <v>44408</v>
      </c>
      <c r="F63" s="94">
        <v>5690.09</v>
      </c>
    </row>
    <row r="64" spans="1:6">
      <c r="A64" s="74" t="s">
        <v>113</v>
      </c>
      <c r="B64" s="74" t="s">
        <v>86</v>
      </c>
      <c r="C64" s="74" t="s">
        <v>89</v>
      </c>
      <c r="D64" s="74" t="s">
        <v>316</v>
      </c>
      <c r="E64" s="87">
        <v>44408</v>
      </c>
      <c r="F64" s="94">
        <v>4967.63</v>
      </c>
    </row>
    <row r="65" spans="1:6">
      <c r="A65" s="74" t="s">
        <v>113</v>
      </c>
      <c r="B65" s="74" t="s">
        <v>82</v>
      </c>
      <c r="C65" s="88" t="s">
        <v>85</v>
      </c>
      <c r="D65" s="74" t="s">
        <v>316</v>
      </c>
      <c r="E65" s="87">
        <v>44408</v>
      </c>
      <c r="F65" s="94">
        <v>4718.91</v>
      </c>
    </row>
    <row r="66" spans="1:6">
      <c r="A66" s="74" t="s">
        <v>113</v>
      </c>
      <c r="B66" s="74" t="s">
        <v>86</v>
      </c>
      <c r="C66" s="74" t="s">
        <v>90</v>
      </c>
      <c r="D66" s="74" t="s">
        <v>316</v>
      </c>
      <c r="E66" s="87">
        <v>44408</v>
      </c>
      <c r="F66" s="94">
        <v>6785.25</v>
      </c>
    </row>
    <row r="67" spans="1:6">
      <c r="A67" s="74" t="s">
        <v>113</v>
      </c>
      <c r="B67" s="74" t="s">
        <v>79</v>
      </c>
      <c r="C67" s="74" t="s">
        <v>80</v>
      </c>
      <c r="D67" s="74" t="s">
        <v>316</v>
      </c>
      <c r="E67" s="87">
        <v>44439</v>
      </c>
      <c r="F67" s="94">
        <v>3359.83</v>
      </c>
    </row>
    <row r="68" spans="1:6">
      <c r="A68" s="74" t="s">
        <v>113</v>
      </c>
      <c r="B68" s="74" t="s">
        <v>79</v>
      </c>
      <c r="C68" s="74" t="s">
        <v>81</v>
      </c>
      <c r="D68" s="74" t="s">
        <v>316</v>
      </c>
      <c r="E68" s="87">
        <v>44439</v>
      </c>
      <c r="F68" s="94">
        <v>2553.71</v>
      </c>
    </row>
    <row r="69" spans="1:6">
      <c r="A69" s="74" t="s">
        <v>113</v>
      </c>
      <c r="B69" s="88" t="s">
        <v>82</v>
      </c>
      <c r="C69" s="88" t="s">
        <v>84</v>
      </c>
      <c r="D69" s="74" t="s">
        <v>316</v>
      </c>
      <c r="E69" s="87">
        <v>44439</v>
      </c>
      <c r="F69" s="94">
        <v>3544.01</v>
      </c>
    </row>
    <row r="70" spans="1:6">
      <c r="A70" s="74" t="s">
        <v>113</v>
      </c>
      <c r="B70" s="88" t="s">
        <v>82</v>
      </c>
      <c r="C70" s="74" t="s">
        <v>83</v>
      </c>
      <c r="D70" s="74" t="s">
        <v>316</v>
      </c>
      <c r="E70" s="87">
        <v>44439</v>
      </c>
      <c r="F70" s="94">
        <v>4458.34</v>
      </c>
    </row>
    <row r="71" spans="1:6">
      <c r="A71" s="74" t="s">
        <v>113</v>
      </c>
      <c r="B71" s="74" t="s">
        <v>86</v>
      </c>
      <c r="C71" s="74" t="s">
        <v>87</v>
      </c>
      <c r="D71" s="74" t="s">
        <v>316</v>
      </c>
      <c r="E71" s="87">
        <v>44439</v>
      </c>
      <c r="F71" s="94">
        <v>6047.78</v>
      </c>
    </row>
    <row r="72" spans="1:6">
      <c r="A72" s="74" t="s">
        <v>113</v>
      </c>
      <c r="B72" s="74" t="s">
        <v>86</v>
      </c>
      <c r="C72" s="74" t="s">
        <v>88</v>
      </c>
      <c r="D72" s="74" t="s">
        <v>316</v>
      </c>
      <c r="E72" s="87">
        <v>44439</v>
      </c>
      <c r="F72" s="94">
        <v>5556.99</v>
      </c>
    </row>
    <row r="73" spans="1:6">
      <c r="A73" s="74" t="s">
        <v>113</v>
      </c>
      <c r="B73" s="74" t="s">
        <v>86</v>
      </c>
      <c r="C73" s="74" t="s">
        <v>89</v>
      </c>
      <c r="D73" s="74" t="s">
        <v>316</v>
      </c>
      <c r="E73" s="87">
        <v>44439</v>
      </c>
      <c r="F73" s="94">
        <v>4870.28</v>
      </c>
    </row>
    <row r="74" spans="1:6">
      <c r="A74" s="74" t="s">
        <v>113</v>
      </c>
      <c r="B74" s="74" t="s">
        <v>82</v>
      </c>
      <c r="C74" s="88" t="s">
        <v>85</v>
      </c>
      <c r="D74" s="74" t="s">
        <v>316</v>
      </c>
      <c r="E74" s="87">
        <v>44439</v>
      </c>
      <c r="F74" s="94">
        <v>4740.52</v>
      </c>
    </row>
    <row r="75" spans="1:6">
      <c r="A75" s="74" t="s">
        <v>113</v>
      </c>
      <c r="B75" s="74" t="s">
        <v>86</v>
      </c>
      <c r="C75" s="74" t="s">
        <v>90</v>
      </c>
      <c r="D75" s="74" t="s">
        <v>316</v>
      </c>
      <c r="E75" s="87">
        <v>44439</v>
      </c>
      <c r="F75" s="94">
        <v>6744.15</v>
      </c>
    </row>
    <row r="76" spans="1:6">
      <c r="A76" s="74" t="s">
        <v>113</v>
      </c>
      <c r="B76" s="74" t="s">
        <v>79</v>
      </c>
      <c r="C76" s="74" t="s">
        <v>80</v>
      </c>
      <c r="D76" s="74" t="s">
        <v>316</v>
      </c>
      <c r="E76" s="87">
        <v>44469</v>
      </c>
      <c r="F76" s="94">
        <v>3158.49</v>
      </c>
    </row>
    <row r="77" spans="1:6">
      <c r="A77" s="74" t="s">
        <v>113</v>
      </c>
      <c r="B77" s="74" t="s">
        <v>79</v>
      </c>
      <c r="C77" s="74" t="s">
        <v>81</v>
      </c>
      <c r="D77" s="74" t="s">
        <v>316</v>
      </c>
      <c r="E77" s="87">
        <v>44469</v>
      </c>
      <c r="F77" s="94">
        <v>2441.88</v>
      </c>
    </row>
    <row r="78" spans="1:6">
      <c r="A78" s="74" t="s">
        <v>113</v>
      </c>
      <c r="B78" s="88" t="s">
        <v>82</v>
      </c>
      <c r="C78" s="88" t="s">
        <v>84</v>
      </c>
      <c r="D78" s="74" t="s">
        <v>316</v>
      </c>
      <c r="E78" s="87">
        <v>44469</v>
      </c>
      <c r="F78" s="94">
        <v>3851.42</v>
      </c>
    </row>
    <row r="79" spans="1:6">
      <c r="A79" s="74" t="s">
        <v>113</v>
      </c>
      <c r="B79" s="88" t="s">
        <v>82</v>
      </c>
      <c r="C79" s="74" t="s">
        <v>83</v>
      </c>
      <c r="D79" s="74" t="s">
        <v>316</v>
      </c>
      <c r="E79" s="87">
        <v>44469</v>
      </c>
      <c r="F79" s="94">
        <v>4318.1</v>
      </c>
    </row>
    <row r="80" spans="1:6">
      <c r="A80" s="74" t="s">
        <v>113</v>
      </c>
      <c r="B80" s="74" t="s">
        <v>86</v>
      </c>
      <c r="C80" s="74" t="s">
        <v>87</v>
      </c>
      <c r="D80" s="74" t="s">
        <v>316</v>
      </c>
      <c r="E80" s="87">
        <v>44469</v>
      </c>
      <c r="F80" s="94">
        <v>5620.13</v>
      </c>
    </row>
    <row r="81" spans="1:6">
      <c r="A81" s="74" t="s">
        <v>113</v>
      </c>
      <c r="B81" s="74" t="s">
        <v>86</v>
      </c>
      <c r="C81" s="74" t="s">
        <v>88</v>
      </c>
      <c r="D81" s="74" t="s">
        <v>316</v>
      </c>
      <c r="E81" s="87">
        <v>44469</v>
      </c>
      <c r="F81" s="94">
        <v>5634.61</v>
      </c>
    </row>
    <row r="82" spans="1:6">
      <c r="A82" s="74" t="s">
        <v>113</v>
      </c>
      <c r="B82" s="74" t="s">
        <v>86</v>
      </c>
      <c r="C82" s="74" t="s">
        <v>89</v>
      </c>
      <c r="D82" s="74" t="s">
        <v>316</v>
      </c>
      <c r="E82" s="87">
        <v>44469</v>
      </c>
      <c r="F82" s="94">
        <v>4772.08</v>
      </c>
    </row>
    <row r="83" spans="1:6">
      <c r="A83" s="74" t="s">
        <v>113</v>
      </c>
      <c r="B83" s="74" t="s">
        <v>82</v>
      </c>
      <c r="C83" s="88" t="s">
        <v>85</v>
      </c>
      <c r="D83" s="74" t="s">
        <v>316</v>
      </c>
      <c r="E83" s="87">
        <v>44469</v>
      </c>
      <c r="F83" s="94">
        <v>5037.3</v>
      </c>
    </row>
    <row r="84" spans="1:6">
      <c r="A84" s="74" t="s">
        <v>113</v>
      </c>
      <c r="B84" s="74" t="s">
        <v>86</v>
      </c>
      <c r="C84" s="74" t="s">
        <v>90</v>
      </c>
      <c r="D84" s="74" t="s">
        <v>316</v>
      </c>
      <c r="E84" s="87">
        <v>44469</v>
      </c>
      <c r="F84" s="94">
        <v>6412.76</v>
      </c>
    </row>
    <row r="85" spans="1:6">
      <c r="A85" s="74" t="s">
        <v>113</v>
      </c>
      <c r="B85" s="74" t="s">
        <v>79</v>
      </c>
      <c r="C85" s="74" t="s">
        <v>80</v>
      </c>
      <c r="D85" s="74" t="s">
        <v>316</v>
      </c>
      <c r="E85" s="87">
        <v>43861</v>
      </c>
      <c r="F85" s="94">
        <v>3211.48</v>
      </c>
    </row>
    <row r="86" spans="1:6">
      <c r="A86" s="74" t="s">
        <v>113</v>
      </c>
      <c r="B86" s="74" t="s">
        <v>79</v>
      </c>
      <c r="C86" s="74" t="s">
        <v>81</v>
      </c>
      <c r="D86" s="74" t="s">
        <v>316</v>
      </c>
      <c r="E86" s="87">
        <v>43861</v>
      </c>
      <c r="F86" s="94">
        <v>2419.68</v>
      </c>
    </row>
    <row r="87" spans="1:6">
      <c r="A87" s="74" t="s">
        <v>113</v>
      </c>
      <c r="B87" s="88" t="s">
        <v>82</v>
      </c>
      <c r="C87" s="88" t="s">
        <v>84</v>
      </c>
      <c r="D87" s="74" t="s">
        <v>316</v>
      </c>
      <c r="E87" s="87">
        <v>43861</v>
      </c>
      <c r="F87" s="94">
        <v>3599.26</v>
      </c>
    </row>
    <row r="88" spans="1:6">
      <c r="A88" s="74" t="s">
        <v>113</v>
      </c>
      <c r="B88" s="88" t="s">
        <v>82</v>
      </c>
      <c r="C88" s="74" t="s">
        <v>83</v>
      </c>
      <c r="D88" s="74" t="s">
        <v>316</v>
      </c>
      <c r="E88" s="87">
        <v>43861</v>
      </c>
      <c r="F88" s="94">
        <v>4367.67</v>
      </c>
    </row>
    <row r="89" spans="1:6">
      <c r="A89" s="74" t="s">
        <v>113</v>
      </c>
      <c r="B89" s="74" t="s">
        <v>86</v>
      </c>
      <c r="C89" s="74" t="s">
        <v>87</v>
      </c>
      <c r="D89" s="74" t="s">
        <v>316</v>
      </c>
      <c r="E89" s="87">
        <v>43861</v>
      </c>
      <c r="F89" s="94">
        <v>5734.71</v>
      </c>
    </row>
    <row r="90" spans="1:6">
      <c r="A90" s="74" t="s">
        <v>113</v>
      </c>
      <c r="B90" s="74" t="s">
        <v>86</v>
      </c>
      <c r="C90" s="74" t="s">
        <v>88</v>
      </c>
      <c r="D90" s="74" t="s">
        <v>316</v>
      </c>
      <c r="E90" s="87">
        <v>43861</v>
      </c>
      <c r="F90" s="94">
        <v>5595.05</v>
      </c>
    </row>
    <row r="91" spans="1:6">
      <c r="A91" s="74" t="s">
        <v>113</v>
      </c>
      <c r="B91" s="74" t="s">
        <v>86</v>
      </c>
      <c r="C91" s="74" t="s">
        <v>89</v>
      </c>
      <c r="D91" s="74" t="s">
        <v>316</v>
      </c>
      <c r="E91" s="87">
        <v>43861</v>
      </c>
      <c r="F91" s="94">
        <v>5014.54</v>
      </c>
    </row>
    <row r="92" spans="1:6">
      <c r="A92" s="74" t="s">
        <v>113</v>
      </c>
      <c r="B92" s="74" t="s">
        <v>82</v>
      </c>
      <c r="C92" s="88" t="s">
        <v>85</v>
      </c>
      <c r="D92" s="74" t="s">
        <v>316</v>
      </c>
      <c r="E92" s="87">
        <v>43861</v>
      </c>
      <c r="F92" s="94">
        <v>5098.54</v>
      </c>
    </row>
    <row r="93" spans="1:6">
      <c r="A93" s="74" t="s">
        <v>113</v>
      </c>
      <c r="B93" s="74" t="s">
        <v>86</v>
      </c>
      <c r="C93" s="74" t="s">
        <v>90</v>
      </c>
      <c r="D93" s="74" t="s">
        <v>316</v>
      </c>
      <c r="E93" s="87">
        <v>43861</v>
      </c>
      <c r="F93" s="94">
        <v>6610.4</v>
      </c>
    </row>
    <row r="94" spans="1:6">
      <c r="A94" s="74" t="s">
        <v>113</v>
      </c>
      <c r="B94" s="74" t="s">
        <v>79</v>
      </c>
      <c r="C94" s="74" t="s">
        <v>80</v>
      </c>
      <c r="D94" s="74" t="s">
        <v>316</v>
      </c>
      <c r="E94" s="87">
        <v>43889</v>
      </c>
      <c r="F94" s="94">
        <v>3164.16</v>
      </c>
    </row>
    <row r="95" spans="1:6">
      <c r="A95" s="74" t="s">
        <v>113</v>
      </c>
      <c r="B95" s="74" t="s">
        <v>79</v>
      </c>
      <c r="C95" s="74" t="s">
        <v>81</v>
      </c>
      <c r="D95" s="74" t="s">
        <v>316</v>
      </c>
      <c r="E95" s="87">
        <v>43889</v>
      </c>
      <c r="F95" s="94">
        <v>2552.68</v>
      </c>
    </row>
    <row r="96" spans="1:6">
      <c r="A96" s="74" t="s">
        <v>113</v>
      </c>
      <c r="B96" s="88" t="s">
        <v>82</v>
      </c>
      <c r="C96" s="88" t="s">
        <v>84</v>
      </c>
      <c r="D96" s="74" t="s">
        <v>316</v>
      </c>
      <c r="E96" s="87">
        <v>43889</v>
      </c>
      <c r="F96" s="94">
        <v>3710.79</v>
      </c>
    </row>
    <row r="97" spans="1:6">
      <c r="A97" s="74" t="s">
        <v>113</v>
      </c>
      <c r="B97" s="88" t="s">
        <v>82</v>
      </c>
      <c r="C97" s="74" t="s">
        <v>83</v>
      </c>
      <c r="D97" s="74" t="s">
        <v>316</v>
      </c>
      <c r="E97" s="87">
        <v>43889</v>
      </c>
      <c r="F97" s="94">
        <v>4642.09</v>
      </c>
    </row>
    <row r="98" spans="1:6">
      <c r="A98" s="74" t="s">
        <v>113</v>
      </c>
      <c r="B98" s="74" t="s">
        <v>86</v>
      </c>
      <c r="C98" s="74" t="s">
        <v>87</v>
      </c>
      <c r="D98" s="74" t="s">
        <v>316</v>
      </c>
      <c r="E98" s="87">
        <v>43889</v>
      </c>
      <c r="F98" s="94">
        <v>5795.25</v>
      </c>
    </row>
    <row r="99" spans="1:6">
      <c r="A99" s="74" t="s">
        <v>113</v>
      </c>
      <c r="B99" s="74" t="s">
        <v>86</v>
      </c>
      <c r="C99" s="74" t="s">
        <v>88</v>
      </c>
      <c r="D99" s="74" t="s">
        <v>316</v>
      </c>
      <c r="E99" s="87">
        <v>43889</v>
      </c>
      <c r="F99" s="94">
        <v>5310.54</v>
      </c>
    </row>
    <row r="100" spans="1:6">
      <c r="A100" s="74" t="s">
        <v>113</v>
      </c>
      <c r="B100" s="74" t="s">
        <v>86</v>
      </c>
      <c r="C100" s="74" t="s">
        <v>89</v>
      </c>
      <c r="D100" s="74" t="s">
        <v>316</v>
      </c>
      <c r="E100" s="87">
        <v>43889</v>
      </c>
      <c r="F100" s="94">
        <v>5122.26</v>
      </c>
    </row>
    <row r="101" spans="1:6">
      <c r="A101" s="74" t="s">
        <v>113</v>
      </c>
      <c r="B101" s="74" t="s">
        <v>82</v>
      </c>
      <c r="C101" s="88" t="s">
        <v>85</v>
      </c>
      <c r="D101" s="74" t="s">
        <v>316</v>
      </c>
      <c r="E101" s="87">
        <v>43889</v>
      </c>
      <c r="F101" s="94">
        <v>5097.39</v>
      </c>
    </row>
    <row r="102" spans="1:6">
      <c r="A102" s="74" t="s">
        <v>113</v>
      </c>
      <c r="B102" s="74" t="s">
        <v>86</v>
      </c>
      <c r="C102" s="74" t="s">
        <v>90</v>
      </c>
      <c r="D102" s="74" t="s">
        <v>316</v>
      </c>
      <c r="E102" s="87">
        <v>43889</v>
      </c>
      <c r="F102" s="94">
        <v>6458.3</v>
      </c>
    </row>
    <row r="103" spans="1:6">
      <c r="A103" s="74" t="s">
        <v>113</v>
      </c>
      <c r="B103" s="74" t="s">
        <v>79</v>
      </c>
      <c r="C103" s="74" t="s">
        <v>80</v>
      </c>
      <c r="D103" s="74" t="s">
        <v>316</v>
      </c>
      <c r="E103" s="87">
        <v>43921</v>
      </c>
      <c r="F103" s="94">
        <v>3250.54</v>
      </c>
    </row>
    <row r="104" spans="1:6">
      <c r="A104" s="74" t="s">
        <v>113</v>
      </c>
      <c r="B104" s="74" t="s">
        <v>79</v>
      </c>
      <c r="C104" s="74" t="s">
        <v>81</v>
      </c>
      <c r="D104" s="74" t="s">
        <v>316</v>
      </c>
      <c r="E104" s="87">
        <v>43921</v>
      </c>
      <c r="F104" s="94">
        <v>2462.51</v>
      </c>
    </row>
    <row r="105" spans="1:6">
      <c r="A105" s="74" t="s">
        <v>113</v>
      </c>
      <c r="B105" s="88" t="s">
        <v>82</v>
      </c>
      <c r="C105" s="88" t="s">
        <v>84</v>
      </c>
      <c r="D105" s="74" t="s">
        <v>316</v>
      </c>
      <c r="E105" s="87">
        <v>43921</v>
      </c>
      <c r="F105" s="94">
        <v>3786.76</v>
      </c>
    </row>
    <row r="106" spans="1:6">
      <c r="A106" s="74" t="s">
        <v>113</v>
      </c>
      <c r="B106" s="88" t="s">
        <v>82</v>
      </c>
      <c r="C106" s="74" t="s">
        <v>83</v>
      </c>
      <c r="D106" s="74" t="s">
        <v>316</v>
      </c>
      <c r="E106" s="87">
        <v>43921</v>
      </c>
      <c r="F106" s="94">
        <v>4382.33</v>
      </c>
    </row>
    <row r="107" spans="1:6">
      <c r="A107" s="74" t="s">
        <v>113</v>
      </c>
      <c r="B107" s="74" t="s">
        <v>86</v>
      </c>
      <c r="C107" s="74" t="s">
        <v>87</v>
      </c>
      <c r="D107" s="74" t="s">
        <v>316</v>
      </c>
      <c r="E107" s="87">
        <v>43921</v>
      </c>
      <c r="F107" s="94">
        <v>5740.01</v>
      </c>
    </row>
    <row r="108" spans="1:6">
      <c r="A108" s="74" t="s">
        <v>113</v>
      </c>
      <c r="B108" s="74" t="s">
        <v>86</v>
      </c>
      <c r="C108" s="74" t="s">
        <v>88</v>
      </c>
      <c r="D108" s="74" t="s">
        <v>316</v>
      </c>
      <c r="E108" s="87">
        <v>43921</v>
      </c>
      <c r="F108" s="94">
        <v>5383.81</v>
      </c>
    </row>
    <row r="109" spans="1:6">
      <c r="A109" s="74" t="s">
        <v>113</v>
      </c>
      <c r="B109" s="74" t="s">
        <v>86</v>
      </c>
      <c r="C109" s="74" t="s">
        <v>89</v>
      </c>
      <c r="D109" s="74" t="s">
        <v>316</v>
      </c>
      <c r="E109" s="87">
        <v>43921</v>
      </c>
      <c r="F109" s="94">
        <v>4911.78</v>
      </c>
    </row>
    <row r="110" spans="1:6">
      <c r="A110" s="74" t="s">
        <v>113</v>
      </c>
      <c r="B110" s="74" t="s">
        <v>82</v>
      </c>
      <c r="C110" s="88" t="s">
        <v>85</v>
      </c>
      <c r="D110" s="74" t="s">
        <v>316</v>
      </c>
      <c r="E110" s="87">
        <v>43921</v>
      </c>
      <c r="F110" s="94">
        <v>4900.22</v>
      </c>
    </row>
    <row r="111" spans="1:6">
      <c r="A111" s="74" t="s">
        <v>113</v>
      </c>
      <c r="B111" s="74" t="s">
        <v>86</v>
      </c>
      <c r="C111" s="74" t="s">
        <v>90</v>
      </c>
      <c r="D111" s="74" t="s">
        <v>316</v>
      </c>
      <c r="E111" s="87">
        <v>43921</v>
      </c>
      <c r="F111" s="94">
        <v>6757.79</v>
      </c>
    </row>
    <row r="112" spans="1:6">
      <c r="A112" s="74" t="s">
        <v>113</v>
      </c>
      <c r="B112" s="74" t="s">
        <v>79</v>
      </c>
      <c r="C112" s="74" t="s">
        <v>80</v>
      </c>
      <c r="D112" s="74" t="s">
        <v>316</v>
      </c>
      <c r="E112" s="87">
        <v>43951</v>
      </c>
      <c r="F112" s="94">
        <v>3346.71</v>
      </c>
    </row>
    <row r="113" spans="1:6">
      <c r="A113" s="74" t="s">
        <v>113</v>
      </c>
      <c r="B113" s="74" t="s">
        <v>79</v>
      </c>
      <c r="C113" s="74" t="s">
        <v>81</v>
      </c>
      <c r="D113" s="74" t="s">
        <v>316</v>
      </c>
      <c r="E113" s="87">
        <v>43951</v>
      </c>
      <c r="F113" s="94">
        <v>2527.8</v>
      </c>
    </row>
    <row r="114" spans="1:6">
      <c r="A114" s="74" t="s">
        <v>113</v>
      </c>
      <c r="B114" s="88" t="s">
        <v>82</v>
      </c>
      <c r="C114" s="88" t="s">
        <v>84</v>
      </c>
      <c r="D114" s="74" t="s">
        <v>316</v>
      </c>
      <c r="E114" s="87">
        <v>43951</v>
      </c>
      <c r="F114" s="94">
        <v>3662.88</v>
      </c>
    </row>
    <row r="115" spans="1:6">
      <c r="A115" s="74" t="s">
        <v>113</v>
      </c>
      <c r="B115" s="88" t="s">
        <v>82</v>
      </c>
      <c r="C115" s="74" t="s">
        <v>83</v>
      </c>
      <c r="D115" s="74" t="s">
        <v>316</v>
      </c>
      <c r="E115" s="87">
        <v>43951</v>
      </c>
      <c r="F115" s="94">
        <v>4356.9</v>
      </c>
    </row>
    <row r="116" spans="1:6">
      <c r="A116" s="74" t="s">
        <v>113</v>
      </c>
      <c r="B116" s="74" t="s">
        <v>86</v>
      </c>
      <c r="C116" s="74" t="s">
        <v>87</v>
      </c>
      <c r="D116" s="74" t="s">
        <v>316</v>
      </c>
      <c r="E116" s="87">
        <v>43951</v>
      </c>
      <c r="F116" s="94">
        <v>6106.59</v>
      </c>
    </row>
    <row r="117" spans="1:6">
      <c r="A117" s="74" t="s">
        <v>113</v>
      </c>
      <c r="B117" s="74" t="s">
        <v>86</v>
      </c>
      <c r="C117" s="74" t="s">
        <v>88</v>
      </c>
      <c r="D117" s="74" t="s">
        <v>316</v>
      </c>
      <c r="E117" s="87">
        <v>43951</v>
      </c>
      <c r="F117" s="94">
        <v>5400.75</v>
      </c>
    </row>
    <row r="118" spans="1:6">
      <c r="A118" s="74" t="s">
        <v>113</v>
      </c>
      <c r="B118" s="74" t="s">
        <v>86</v>
      </c>
      <c r="C118" s="74" t="s">
        <v>89</v>
      </c>
      <c r="D118" s="74" t="s">
        <v>316</v>
      </c>
      <c r="E118" s="87">
        <v>43951</v>
      </c>
      <c r="F118" s="94">
        <v>5003.84</v>
      </c>
    </row>
    <row r="119" spans="1:6">
      <c r="A119" s="74" t="s">
        <v>113</v>
      </c>
      <c r="B119" s="74" t="s">
        <v>82</v>
      </c>
      <c r="C119" s="88" t="s">
        <v>85</v>
      </c>
      <c r="D119" s="74" t="s">
        <v>316</v>
      </c>
      <c r="E119" s="87">
        <v>43951</v>
      </c>
      <c r="F119" s="94">
        <v>4859.5</v>
      </c>
    </row>
    <row r="120" spans="1:6">
      <c r="A120" s="74" t="s">
        <v>113</v>
      </c>
      <c r="B120" s="74" t="s">
        <v>86</v>
      </c>
      <c r="C120" s="74" t="s">
        <v>90</v>
      </c>
      <c r="D120" s="74" t="s">
        <v>316</v>
      </c>
      <c r="E120" s="87">
        <v>43951</v>
      </c>
      <c r="F120" s="94">
        <v>6807.3</v>
      </c>
    </row>
    <row r="121" spans="1:6">
      <c r="A121" s="74" t="s">
        <v>113</v>
      </c>
      <c r="B121" s="74" t="s">
        <v>79</v>
      </c>
      <c r="C121" s="74" t="s">
        <v>80</v>
      </c>
      <c r="D121" s="74" t="s">
        <v>316</v>
      </c>
      <c r="E121" s="87">
        <v>43981</v>
      </c>
      <c r="F121" s="94">
        <v>3222.36</v>
      </c>
    </row>
    <row r="122" spans="1:6">
      <c r="A122" s="74" t="s">
        <v>113</v>
      </c>
      <c r="B122" s="74" t="s">
        <v>79</v>
      </c>
      <c r="C122" s="74" t="s">
        <v>81</v>
      </c>
      <c r="D122" s="74" t="s">
        <v>316</v>
      </c>
      <c r="E122" s="87">
        <v>43981</v>
      </c>
      <c r="F122" s="94">
        <v>2558.23</v>
      </c>
    </row>
    <row r="123" spans="1:6">
      <c r="A123" s="74" t="s">
        <v>113</v>
      </c>
      <c r="B123" s="88" t="s">
        <v>82</v>
      </c>
      <c r="C123" s="88" t="s">
        <v>84</v>
      </c>
      <c r="D123" s="74" t="s">
        <v>316</v>
      </c>
      <c r="E123" s="87">
        <v>43981</v>
      </c>
      <c r="F123" s="94">
        <v>3700.27</v>
      </c>
    </row>
    <row r="124" spans="1:6">
      <c r="A124" s="74" t="s">
        <v>113</v>
      </c>
      <c r="B124" s="88" t="s">
        <v>82</v>
      </c>
      <c r="C124" s="74" t="s">
        <v>83</v>
      </c>
      <c r="D124" s="74" t="s">
        <v>316</v>
      </c>
      <c r="E124" s="87">
        <v>43981</v>
      </c>
      <c r="F124" s="94">
        <v>4369.36</v>
      </c>
    </row>
    <row r="125" spans="1:6">
      <c r="A125" s="74" t="s">
        <v>113</v>
      </c>
      <c r="B125" s="74" t="s">
        <v>86</v>
      </c>
      <c r="C125" s="74" t="s">
        <v>87</v>
      </c>
      <c r="D125" s="74" t="s">
        <v>316</v>
      </c>
      <c r="E125" s="87">
        <v>43981</v>
      </c>
      <c r="F125" s="94">
        <v>5828.04</v>
      </c>
    </row>
    <row r="126" spans="1:6">
      <c r="A126" s="74" t="s">
        <v>113</v>
      </c>
      <c r="B126" s="74" t="s">
        <v>86</v>
      </c>
      <c r="C126" s="74" t="s">
        <v>88</v>
      </c>
      <c r="D126" s="74" t="s">
        <v>316</v>
      </c>
      <c r="E126" s="87">
        <v>43981</v>
      </c>
      <c r="F126" s="94">
        <v>5507.08</v>
      </c>
    </row>
    <row r="127" spans="1:6">
      <c r="A127" s="74" t="s">
        <v>113</v>
      </c>
      <c r="B127" s="74" t="s">
        <v>86</v>
      </c>
      <c r="C127" s="74" t="s">
        <v>89</v>
      </c>
      <c r="D127" s="74" t="s">
        <v>316</v>
      </c>
      <c r="E127" s="87">
        <v>43981</v>
      </c>
      <c r="F127" s="94">
        <v>4878.45</v>
      </c>
    </row>
    <row r="128" spans="1:6">
      <c r="A128" s="74" t="s">
        <v>113</v>
      </c>
      <c r="B128" s="74" t="s">
        <v>82</v>
      </c>
      <c r="C128" s="88" t="s">
        <v>85</v>
      </c>
      <c r="D128" s="74" t="s">
        <v>316</v>
      </c>
      <c r="E128" s="87">
        <v>43981</v>
      </c>
      <c r="F128" s="94">
        <v>4867.24</v>
      </c>
    </row>
    <row r="129" spans="1:6">
      <c r="A129" s="74" t="s">
        <v>113</v>
      </c>
      <c r="B129" s="74" t="s">
        <v>86</v>
      </c>
      <c r="C129" s="74" t="s">
        <v>90</v>
      </c>
      <c r="D129" s="74" t="s">
        <v>316</v>
      </c>
      <c r="E129" s="87">
        <v>43981</v>
      </c>
      <c r="F129" s="94">
        <v>6550.64</v>
      </c>
    </row>
    <row r="130" spans="1:6">
      <c r="A130" s="74" t="s">
        <v>113</v>
      </c>
      <c r="B130" s="74" t="s">
        <v>79</v>
      </c>
      <c r="C130" s="74" t="s">
        <v>80</v>
      </c>
      <c r="D130" s="74" t="s">
        <v>316</v>
      </c>
      <c r="E130" s="87">
        <v>44012</v>
      </c>
      <c r="F130" s="94">
        <v>3169.51</v>
      </c>
    </row>
    <row r="131" spans="1:6">
      <c r="A131" s="74" t="s">
        <v>113</v>
      </c>
      <c r="B131" s="74" t="s">
        <v>79</v>
      </c>
      <c r="C131" s="74" t="s">
        <v>81</v>
      </c>
      <c r="D131" s="74" t="s">
        <v>316</v>
      </c>
      <c r="E131" s="87">
        <v>44012</v>
      </c>
      <c r="F131" s="94">
        <v>2383.68</v>
      </c>
    </row>
    <row r="132" spans="1:6">
      <c r="A132" s="74" t="s">
        <v>113</v>
      </c>
      <c r="B132" s="88" t="s">
        <v>82</v>
      </c>
      <c r="C132" s="88" t="s">
        <v>84</v>
      </c>
      <c r="D132" s="74" t="s">
        <v>316</v>
      </c>
      <c r="E132" s="87">
        <v>44012</v>
      </c>
      <c r="F132" s="94">
        <v>3608.63</v>
      </c>
    </row>
    <row r="133" spans="1:6">
      <c r="A133" s="74" t="s">
        <v>113</v>
      </c>
      <c r="B133" s="88" t="s">
        <v>82</v>
      </c>
      <c r="C133" s="74" t="s">
        <v>83</v>
      </c>
      <c r="D133" s="74" t="s">
        <v>316</v>
      </c>
      <c r="E133" s="87">
        <v>44012</v>
      </c>
      <c r="F133" s="94">
        <v>4478.09</v>
      </c>
    </row>
    <row r="134" spans="1:6">
      <c r="A134" s="74" t="s">
        <v>113</v>
      </c>
      <c r="B134" s="74" t="s">
        <v>86</v>
      </c>
      <c r="C134" s="74" t="s">
        <v>87</v>
      </c>
      <c r="D134" s="74" t="s">
        <v>316</v>
      </c>
      <c r="E134" s="87">
        <v>44012</v>
      </c>
      <c r="F134" s="94">
        <v>6105.65</v>
      </c>
    </row>
    <row r="135" spans="1:6">
      <c r="A135" s="74" t="s">
        <v>113</v>
      </c>
      <c r="B135" s="74" t="s">
        <v>86</v>
      </c>
      <c r="C135" s="74" t="s">
        <v>88</v>
      </c>
      <c r="D135" s="74" t="s">
        <v>316</v>
      </c>
      <c r="E135" s="87">
        <v>44012</v>
      </c>
      <c r="F135" s="94">
        <v>5577.81</v>
      </c>
    </row>
    <row r="136" spans="1:6">
      <c r="A136" s="74" t="s">
        <v>113</v>
      </c>
      <c r="B136" s="74" t="s">
        <v>86</v>
      </c>
      <c r="C136" s="74" t="s">
        <v>89</v>
      </c>
      <c r="D136" s="74" t="s">
        <v>316</v>
      </c>
      <c r="E136" s="87">
        <v>44012</v>
      </c>
      <c r="F136" s="94">
        <v>4684.26</v>
      </c>
    </row>
    <row r="137" spans="1:6">
      <c r="A137" s="74" t="s">
        <v>113</v>
      </c>
      <c r="B137" s="74" t="s">
        <v>82</v>
      </c>
      <c r="C137" s="88" t="s">
        <v>85</v>
      </c>
      <c r="D137" s="74" t="s">
        <v>316</v>
      </c>
      <c r="E137" s="87">
        <v>44012</v>
      </c>
      <c r="F137" s="94">
        <v>5053.27</v>
      </c>
    </row>
    <row r="138" spans="1:6">
      <c r="A138" s="74" t="s">
        <v>113</v>
      </c>
      <c r="B138" s="74" t="s">
        <v>86</v>
      </c>
      <c r="C138" s="74" t="s">
        <v>90</v>
      </c>
      <c r="D138" s="74" t="s">
        <v>316</v>
      </c>
      <c r="E138" s="87">
        <v>44012</v>
      </c>
      <c r="F138" s="94">
        <v>6684.3</v>
      </c>
    </row>
    <row r="139" spans="1:6">
      <c r="A139" s="74" t="s">
        <v>113</v>
      </c>
      <c r="B139" s="74" t="s">
        <v>79</v>
      </c>
      <c r="C139" s="74" t="s">
        <v>80</v>
      </c>
      <c r="D139" s="74" t="s">
        <v>316</v>
      </c>
      <c r="E139" s="87">
        <v>44043</v>
      </c>
      <c r="F139" s="94">
        <v>3412.74</v>
      </c>
    </row>
    <row r="140" spans="1:6">
      <c r="A140" s="74" t="s">
        <v>113</v>
      </c>
      <c r="B140" s="74" t="s">
        <v>79</v>
      </c>
      <c r="C140" s="74" t="s">
        <v>81</v>
      </c>
      <c r="D140" s="74" t="s">
        <v>316</v>
      </c>
      <c r="E140" s="87">
        <v>44043</v>
      </c>
      <c r="F140" s="94">
        <v>2509.22</v>
      </c>
    </row>
    <row r="141" spans="1:6">
      <c r="A141" s="74" t="s">
        <v>113</v>
      </c>
      <c r="B141" s="88" t="s">
        <v>82</v>
      </c>
      <c r="C141" s="88" t="s">
        <v>84</v>
      </c>
      <c r="D141" s="74" t="s">
        <v>316</v>
      </c>
      <c r="E141" s="87">
        <v>44043</v>
      </c>
      <c r="F141" s="94">
        <v>3722.13</v>
      </c>
    </row>
    <row r="142" spans="1:6">
      <c r="A142" s="74" t="s">
        <v>113</v>
      </c>
      <c r="B142" s="88" t="s">
        <v>82</v>
      </c>
      <c r="C142" s="74" t="s">
        <v>83</v>
      </c>
      <c r="D142" s="74" t="s">
        <v>316</v>
      </c>
      <c r="E142" s="87">
        <v>44043</v>
      </c>
      <c r="F142" s="94">
        <v>4658.45</v>
      </c>
    </row>
    <row r="143" spans="1:6">
      <c r="A143" s="74" t="s">
        <v>113</v>
      </c>
      <c r="B143" s="74" t="s">
        <v>86</v>
      </c>
      <c r="C143" s="74" t="s">
        <v>87</v>
      </c>
      <c r="D143" s="74" t="s">
        <v>316</v>
      </c>
      <c r="E143" s="87">
        <v>44043</v>
      </c>
      <c r="F143" s="94">
        <v>5661.19</v>
      </c>
    </row>
    <row r="144" spans="1:6">
      <c r="A144" s="74" t="s">
        <v>113</v>
      </c>
      <c r="B144" s="74" t="s">
        <v>86</v>
      </c>
      <c r="C144" s="74" t="s">
        <v>88</v>
      </c>
      <c r="D144" s="74" t="s">
        <v>316</v>
      </c>
      <c r="E144" s="87">
        <v>44043</v>
      </c>
      <c r="F144" s="94">
        <v>5826.67</v>
      </c>
    </row>
    <row r="145" spans="1:6">
      <c r="A145" s="74" t="s">
        <v>113</v>
      </c>
      <c r="B145" s="74" t="s">
        <v>86</v>
      </c>
      <c r="C145" s="74" t="s">
        <v>89</v>
      </c>
      <c r="D145" s="74" t="s">
        <v>316</v>
      </c>
      <c r="E145" s="87">
        <v>44043</v>
      </c>
      <c r="F145" s="94">
        <v>5111.51</v>
      </c>
    </row>
    <row r="146" spans="1:6">
      <c r="A146" s="74" t="s">
        <v>113</v>
      </c>
      <c r="B146" s="74" t="s">
        <v>82</v>
      </c>
      <c r="C146" s="88" t="s">
        <v>85</v>
      </c>
      <c r="D146" s="74" t="s">
        <v>316</v>
      </c>
      <c r="E146" s="87">
        <v>44043</v>
      </c>
      <c r="F146" s="94">
        <v>5033.08</v>
      </c>
    </row>
    <row r="147" spans="1:6">
      <c r="A147" s="74" t="s">
        <v>113</v>
      </c>
      <c r="B147" s="74" t="s">
        <v>86</v>
      </c>
      <c r="C147" s="74" t="s">
        <v>90</v>
      </c>
      <c r="D147" s="74" t="s">
        <v>316</v>
      </c>
      <c r="E147" s="87">
        <v>44043</v>
      </c>
      <c r="F147" s="94">
        <v>6763.16</v>
      </c>
    </row>
    <row r="148" spans="1:6">
      <c r="A148" s="74" t="s">
        <v>113</v>
      </c>
      <c r="B148" s="74" t="s">
        <v>79</v>
      </c>
      <c r="C148" s="74" t="s">
        <v>80</v>
      </c>
      <c r="D148" s="74" t="s">
        <v>316</v>
      </c>
      <c r="E148" s="87">
        <v>44074</v>
      </c>
      <c r="F148" s="94">
        <v>3191.23</v>
      </c>
    </row>
    <row r="149" spans="1:6">
      <c r="A149" s="74" t="s">
        <v>113</v>
      </c>
      <c r="B149" s="74" t="s">
        <v>79</v>
      </c>
      <c r="C149" s="74" t="s">
        <v>81</v>
      </c>
      <c r="D149" s="74" t="s">
        <v>316</v>
      </c>
      <c r="E149" s="87">
        <v>44074</v>
      </c>
      <c r="F149" s="94">
        <v>2439.55</v>
      </c>
    </row>
    <row r="150" spans="1:6">
      <c r="A150" s="74" t="s">
        <v>113</v>
      </c>
      <c r="B150" s="88" t="s">
        <v>82</v>
      </c>
      <c r="C150" s="88" t="s">
        <v>84</v>
      </c>
      <c r="D150" s="74" t="s">
        <v>316</v>
      </c>
      <c r="E150" s="87">
        <v>44074</v>
      </c>
      <c r="F150" s="94">
        <v>3548.69</v>
      </c>
    </row>
    <row r="151" spans="1:6">
      <c r="A151" s="74" t="s">
        <v>113</v>
      </c>
      <c r="B151" s="88" t="s">
        <v>82</v>
      </c>
      <c r="C151" s="74" t="s">
        <v>83</v>
      </c>
      <c r="D151" s="74" t="s">
        <v>316</v>
      </c>
      <c r="E151" s="87">
        <v>44074</v>
      </c>
      <c r="F151" s="94">
        <v>4665.36</v>
      </c>
    </row>
    <row r="152" spans="1:6">
      <c r="A152" s="74" t="s">
        <v>113</v>
      </c>
      <c r="B152" s="74" t="s">
        <v>86</v>
      </c>
      <c r="C152" s="74" t="s">
        <v>87</v>
      </c>
      <c r="D152" s="74" t="s">
        <v>316</v>
      </c>
      <c r="E152" s="87">
        <v>44074</v>
      </c>
      <c r="F152" s="94">
        <v>5896.18</v>
      </c>
    </row>
    <row r="153" spans="1:6">
      <c r="A153" s="74" t="s">
        <v>113</v>
      </c>
      <c r="B153" s="74" t="s">
        <v>86</v>
      </c>
      <c r="C153" s="74" t="s">
        <v>88</v>
      </c>
      <c r="D153" s="74" t="s">
        <v>316</v>
      </c>
      <c r="E153" s="87">
        <v>44074</v>
      </c>
      <c r="F153" s="94">
        <v>5753.15</v>
      </c>
    </row>
    <row r="154" spans="1:6">
      <c r="A154" s="74" t="s">
        <v>113</v>
      </c>
      <c r="B154" s="74" t="s">
        <v>86</v>
      </c>
      <c r="C154" s="74" t="s">
        <v>89</v>
      </c>
      <c r="D154" s="74" t="s">
        <v>316</v>
      </c>
      <c r="E154" s="87">
        <v>44074</v>
      </c>
      <c r="F154" s="94">
        <v>4694.81</v>
      </c>
    </row>
    <row r="155" spans="1:6">
      <c r="A155" s="74" t="s">
        <v>113</v>
      </c>
      <c r="B155" s="74" t="s">
        <v>82</v>
      </c>
      <c r="C155" s="88" t="s">
        <v>85</v>
      </c>
      <c r="D155" s="74" t="s">
        <v>316</v>
      </c>
      <c r="E155" s="87">
        <v>44074</v>
      </c>
      <c r="F155" s="94">
        <v>4979.48</v>
      </c>
    </row>
    <row r="156" spans="1:6">
      <c r="A156" s="74" t="s">
        <v>113</v>
      </c>
      <c r="B156" s="74" t="s">
        <v>86</v>
      </c>
      <c r="C156" s="74" t="s">
        <v>90</v>
      </c>
      <c r="D156" s="74" t="s">
        <v>316</v>
      </c>
      <c r="E156" s="87">
        <v>44074</v>
      </c>
      <c r="F156" s="94">
        <v>6620.3</v>
      </c>
    </row>
    <row r="157" spans="1:6">
      <c r="A157" s="74" t="s">
        <v>113</v>
      </c>
      <c r="B157" s="74" t="s">
        <v>79</v>
      </c>
      <c r="C157" s="74" t="s">
        <v>80</v>
      </c>
      <c r="D157" s="74" t="s">
        <v>316</v>
      </c>
      <c r="E157" s="87">
        <v>44104</v>
      </c>
      <c r="F157" s="94">
        <v>3191.35</v>
      </c>
    </row>
    <row r="158" spans="1:6">
      <c r="A158" s="74" t="s">
        <v>113</v>
      </c>
      <c r="B158" s="74" t="s">
        <v>79</v>
      </c>
      <c r="C158" s="74" t="s">
        <v>81</v>
      </c>
      <c r="D158" s="74" t="s">
        <v>316</v>
      </c>
      <c r="E158" s="87">
        <v>44104</v>
      </c>
      <c r="F158" s="94">
        <v>2430.54</v>
      </c>
    </row>
    <row r="159" spans="1:6">
      <c r="A159" s="74" t="s">
        <v>113</v>
      </c>
      <c r="B159" s="88" t="s">
        <v>82</v>
      </c>
      <c r="C159" s="88" t="s">
        <v>84</v>
      </c>
      <c r="D159" s="74" t="s">
        <v>316</v>
      </c>
      <c r="E159" s="87">
        <v>44104</v>
      </c>
      <c r="F159" s="94">
        <v>3807.25</v>
      </c>
    </row>
    <row r="160" spans="1:6">
      <c r="A160" s="74" t="s">
        <v>113</v>
      </c>
      <c r="B160" s="88" t="s">
        <v>82</v>
      </c>
      <c r="C160" s="74" t="s">
        <v>83</v>
      </c>
      <c r="D160" s="74" t="s">
        <v>316</v>
      </c>
      <c r="E160" s="87">
        <v>44104</v>
      </c>
      <c r="F160" s="94">
        <v>4642.83</v>
      </c>
    </row>
    <row r="161" spans="1:6">
      <c r="A161" s="74" t="s">
        <v>113</v>
      </c>
      <c r="B161" s="74" t="s">
        <v>86</v>
      </c>
      <c r="C161" s="74" t="s">
        <v>87</v>
      </c>
      <c r="D161" s="74" t="s">
        <v>316</v>
      </c>
      <c r="E161" s="87">
        <v>44104</v>
      </c>
      <c r="F161" s="94">
        <v>6070.71</v>
      </c>
    </row>
    <row r="162" spans="1:6">
      <c r="A162" s="74" t="s">
        <v>113</v>
      </c>
      <c r="B162" s="74" t="s">
        <v>86</v>
      </c>
      <c r="C162" s="74" t="s">
        <v>88</v>
      </c>
      <c r="D162" s="74" t="s">
        <v>316</v>
      </c>
      <c r="E162" s="87">
        <v>44104</v>
      </c>
      <c r="F162" s="94">
        <v>5312.86</v>
      </c>
    </row>
    <row r="163" spans="1:6">
      <c r="A163" s="74" t="s">
        <v>113</v>
      </c>
      <c r="B163" s="74" t="s">
        <v>86</v>
      </c>
      <c r="C163" s="74" t="s">
        <v>89</v>
      </c>
      <c r="D163" s="74" t="s">
        <v>316</v>
      </c>
      <c r="E163" s="87">
        <v>44104</v>
      </c>
      <c r="F163" s="94">
        <v>4830.26</v>
      </c>
    </row>
    <row r="164" spans="1:6">
      <c r="A164" s="74" t="s">
        <v>113</v>
      </c>
      <c r="B164" s="74" t="s">
        <v>82</v>
      </c>
      <c r="C164" s="88" t="s">
        <v>85</v>
      </c>
      <c r="D164" s="74" t="s">
        <v>316</v>
      </c>
      <c r="E164" s="87">
        <v>44104</v>
      </c>
      <c r="F164" s="94">
        <v>4684.17</v>
      </c>
    </row>
    <row r="165" spans="1:6">
      <c r="A165" s="74" t="s">
        <v>113</v>
      </c>
      <c r="B165" s="74" t="s">
        <v>86</v>
      </c>
      <c r="C165" s="74" t="s">
        <v>90</v>
      </c>
      <c r="D165" s="74" t="s">
        <v>316</v>
      </c>
      <c r="E165" s="87">
        <v>44104</v>
      </c>
      <c r="F165" s="94">
        <v>6297.5</v>
      </c>
    </row>
    <row r="166" spans="1:6">
      <c r="A166" s="74" t="s">
        <v>113</v>
      </c>
      <c r="B166" s="74" t="s">
        <v>79</v>
      </c>
      <c r="C166" s="74" t="s">
        <v>80</v>
      </c>
      <c r="D166" s="74" t="s">
        <v>316</v>
      </c>
      <c r="E166" s="87">
        <v>44135</v>
      </c>
      <c r="F166" s="94">
        <v>3423.19</v>
      </c>
    </row>
    <row r="167" spans="1:6">
      <c r="A167" s="74" t="s">
        <v>113</v>
      </c>
      <c r="B167" s="74" t="s">
        <v>79</v>
      </c>
      <c r="C167" s="74" t="s">
        <v>81</v>
      </c>
      <c r="D167" s="74" t="s">
        <v>316</v>
      </c>
      <c r="E167" s="87">
        <v>44135</v>
      </c>
      <c r="F167" s="94">
        <v>2456.86</v>
      </c>
    </row>
    <row r="168" spans="1:6">
      <c r="A168" s="74" t="s">
        <v>113</v>
      </c>
      <c r="B168" s="88" t="s">
        <v>82</v>
      </c>
      <c r="C168" s="88" t="s">
        <v>84</v>
      </c>
      <c r="D168" s="74" t="s">
        <v>316</v>
      </c>
      <c r="E168" s="87">
        <v>44135</v>
      </c>
      <c r="F168" s="94">
        <v>3555.18</v>
      </c>
    </row>
    <row r="169" spans="1:6">
      <c r="A169" s="74" t="s">
        <v>113</v>
      </c>
      <c r="B169" s="88" t="s">
        <v>82</v>
      </c>
      <c r="C169" s="74" t="s">
        <v>83</v>
      </c>
      <c r="D169" s="74" t="s">
        <v>316</v>
      </c>
      <c r="E169" s="87">
        <v>44135</v>
      </c>
      <c r="F169" s="94">
        <v>4304.13</v>
      </c>
    </row>
    <row r="170" spans="1:6">
      <c r="A170" s="74" t="s">
        <v>113</v>
      </c>
      <c r="B170" s="74" t="s">
        <v>86</v>
      </c>
      <c r="C170" s="74" t="s">
        <v>87</v>
      </c>
      <c r="D170" s="74" t="s">
        <v>316</v>
      </c>
      <c r="E170" s="87">
        <v>44135</v>
      </c>
      <c r="F170" s="94">
        <v>6014.99</v>
      </c>
    </row>
    <row r="171" spans="1:6">
      <c r="A171" s="74" t="s">
        <v>113</v>
      </c>
      <c r="B171" s="74" t="s">
        <v>86</v>
      </c>
      <c r="C171" s="74" t="s">
        <v>88</v>
      </c>
      <c r="D171" s="74" t="s">
        <v>316</v>
      </c>
      <c r="E171" s="87">
        <v>44135</v>
      </c>
      <c r="F171" s="94">
        <v>5553.63</v>
      </c>
    </row>
    <row r="172" spans="1:6">
      <c r="A172" s="74" t="s">
        <v>113</v>
      </c>
      <c r="B172" s="74" t="s">
        <v>86</v>
      </c>
      <c r="C172" s="74" t="s">
        <v>89</v>
      </c>
      <c r="D172" s="74" t="s">
        <v>316</v>
      </c>
      <c r="E172" s="87">
        <v>44135</v>
      </c>
      <c r="F172" s="94">
        <v>4767.05</v>
      </c>
    </row>
    <row r="173" spans="1:6">
      <c r="A173" s="74" t="s">
        <v>113</v>
      </c>
      <c r="B173" s="74" t="s">
        <v>82</v>
      </c>
      <c r="C173" s="88" t="s">
        <v>85</v>
      </c>
      <c r="D173" s="74" t="s">
        <v>316</v>
      </c>
      <c r="E173" s="87">
        <v>44135</v>
      </c>
      <c r="F173" s="94">
        <v>4732.07</v>
      </c>
    </row>
    <row r="174" spans="1:6">
      <c r="A174" s="74" t="s">
        <v>113</v>
      </c>
      <c r="B174" s="74" t="s">
        <v>86</v>
      </c>
      <c r="C174" s="74" t="s">
        <v>90</v>
      </c>
      <c r="D174" s="74" t="s">
        <v>316</v>
      </c>
      <c r="E174" s="87">
        <v>44135</v>
      </c>
      <c r="F174" s="94">
        <v>6472.51</v>
      </c>
    </row>
    <row r="175" spans="1:6">
      <c r="A175" s="74" t="s">
        <v>113</v>
      </c>
      <c r="B175" s="74" t="s">
        <v>79</v>
      </c>
      <c r="C175" s="74" t="s">
        <v>80</v>
      </c>
      <c r="D175" s="74" t="s">
        <v>316</v>
      </c>
      <c r="E175" s="87">
        <v>44165</v>
      </c>
      <c r="F175" s="94">
        <v>3222.43</v>
      </c>
    </row>
    <row r="176" spans="1:6">
      <c r="A176" s="74" t="s">
        <v>113</v>
      </c>
      <c r="B176" s="74" t="s">
        <v>79</v>
      </c>
      <c r="C176" s="74" t="s">
        <v>81</v>
      </c>
      <c r="D176" s="74" t="s">
        <v>316</v>
      </c>
      <c r="E176" s="87">
        <v>44165</v>
      </c>
      <c r="F176" s="94">
        <v>2397.68</v>
      </c>
    </row>
    <row r="177" spans="1:6">
      <c r="A177" s="74" t="s">
        <v>113</v>
      </c>
      <c r="B177" s="88" t="s">
        <v>82</v>
      </c>
      <c r="C177" s="88" t="s">
        <v>84</v>
      </c>
      <c r="D177" s="74" t="s">
        <v>316</v>
      </c>
      <c r="E177" s="87">
        <v>44165</v>
      </c>
      <c r="F177" s="94">
        <v>3603.61</v>
      </c>
    </row>
    <row r="178" spans="1:6">
      <c r="A178" s="74" t="s">
        <v>113</v>
      </c>
      <c r="B178" s="88" t="s">
        <v>82</v>
      </c>
      <c r="C178" s="74" t="s">
        <v>83</v>
      </c>
      <c r="D178" s="74" t="s">
        <v>316</v>
      </c>
      <c r="E178" s="87">
        <v>44165</v>
      </c>
      <c r="F178" s="94">
        <v>4673.89</v>
      </c>
    </row>
    <row r="179" spans="1:6">
      <c r="A179" s="74" t="s">
        <v>113</v>
      </c>
      <c r="B179" s="74" t="s">
        <v>86</v>
      </c>
      <c r="C179" s="74" t="s">
        <v>87</v>
      </c>
      <c r="D179" s="74" t="s">
        <v>316</v>
      </c>
      <c r="E179" s="87">
        <v>44165</v>
      </c>
      <c r="F179" s="94">
        <v>5629.88</v>
      </c>
    </row>
    <row r="180" spans="1:6">
      <c r="A180" s="74" t="s">
        <v>113</v>
      </c>
      <c r="B180" s="74" t="s">
        <v>86</v>
      </c>
      <c r="C180" s="74" t="s">
        <v>88</v>
      </c>
      <c r="D180" s="74" t="s">
        <v>316</v>
      </c>
      <c r="E180" s="87">
        <v>44165</v>
      </c>
      <c r="F180" s="94">
        <v>5833.31</v>
      </c>
    </row>
    <row r="181" spans="1:6">
      <c r="A181" s="74" t="s">
        <v>113</v>
      </c>
      <c r="B181" s="74" t="s">
        <v>86</v>
      </c>
      <c r="C181" s="74" t="s">
        <v>89</v>
      </c>
      <c r="D181" s="74" t="s">
        <v>316</v>
      </c>
      <c r="E181" s="87">
        <v>44165</v>
      </c>
      <c r="F181" s="94">
        <v>4755.61</v>
      </c>
    </row>
    <row r="182" spans="1:6">
      <c r="A182" s="74" t="s">
        <v>113</v>
      </c>
      <c r="B182" s="74" t="s">
        <v>82</v>
      </c>
      <c r="C182" s="88" t="s">
        <v>85</v>
      </c>
      <c r="D182" s="74" t="s">
        <v>316</v>
      </c>
      <c r="E182" s="87">
        <v>44165</v>
      </c>
      <c r="F182" s="94">
        <v>4819.39</v>
      </c>
    </row>
    <row r="183" spans="1:6">
      <c r="A183" s="74" t="s">
        <v>113</v>
      </c>
      <c r="B183" s="74" t="s">
        <v>86</v>
      </c>
      <c r="C183" s="74" t="s">
        <v>90</v>
      </c>
      <c r="D183" s="74" t="s">
        <v>316</v>
      </c>
      <c r="E183" s="87">
        <v>44165</v>
      </c>
      <c r="F183" s="94">
        <v>6814.14</v>
      </c>
    </row>
    <row r="184" spans="1:6">
      <c r="A184" s="74" t="s">
        <v>113</v>
      </c>
      <c r="B184" s="74" t="s">
        <v>79</v>
      </c>
      <c r="C184" s="74" t="s">
        <v>80</v>
      </c>
      <c r="D184" s="74" t="s">
        <v>316</v>
      </c>
      <c r="E184" s="87">
        <v>44196</v>
      </c>
      <c r="F184" s="94">
        <v>3264.09</v>
      </c>
    </row>
    <row r="185" spans="1:6">
      <c r="A185" s="74" t="s">
        <v>113</v>
      </c>
      <c r="B185" s="74" t="s">
        <v>79</v>
      </c>
      <c r="C185" s="74" t="s">
        <v>81</v>
      </c>
      <c r="D185" s="74" t="s">
        <v>316</v>
      </c>
      <c r="E185" s="87">
        <v>44196</v>
      </c>
      <c r="F185" s="94">
        <v>2558.15</v>
      </c>
    </row>
    <row r="186" spans="1:6">
      <c r="A186" s="74" t="s">
        <v>113</v>
      </c>
      <c r="B186" s="88" t="s">
        <v>82</v>
      </c>
      <c r="C186" s="88" t="s">
        <v>84</v>
      </c>
      <c r="D186" s="74" t="s">
        <v>316</v>
      </c>
      <c r="E186" s="87">
        <v>44196</v>
      </c>
      <c r="F186" s="94">
        <v>3829.66</v>
      </c>
    </row>
    <row r="187" spans="1:6">
      <c r="A187" s="74" t="s">
        <v>113</v>
      </c>
      <c r="B187" s="88" t="s">
        <v>82</v>
      </c>
      <c r="C187" s="74" t="s">
        <v>83</v>
      </c>
      <c r="D187" s="74" t="s">
        <v>316</v>
      </c>
      <c r="E187" s="87">
        <v>44196</v>
      </c>
      <c r="F187" s="94">
        <v>4396.21</v>
      </c>
    </row>
    <row r="188" spans="1:6">
      <c r="A188" s="74" t="s">
        <v>113</v>
      </c>
      <c r="B188" s="74" t="s">
        <v>86</v>
      </c>
      <c r="C188" s="74" t="s">
        <v>87</v>
      </c>
      <c r="D188" s="74" t="s">
        <v>316</v>
      </c>
      <c r="E188" s="87">
        <v>44196</v>
      </c>
      <c r="F188" s="94">
        <v>5799.95</v>
      </c>
    </row>
    <row r="189" spans="1:6">
      <c r="A189" s="74" t="s">
        <v>113</v>
      </c>
      <c r="B189" s="74" t="s">
        <v>86</v>
      </c>
      <c r="C189" s="74" t="s">
        <v>88</v>
      </c>
      <c r="D189" s="74" t="s">
        <v>316</v>
      </c>
      <c r="E189" s="87">
        <v>44196</v>
      </c>
      <c r="F189" s="94">
        <v>5424.52</v>
      </c>
    </row>
    <row r="190" spans="1:6">
      <c r="A190" s="74" t="s">
        <v>113</v>
      </c>
      <c r="B190" s="74" t="s">
        <v>86</v>
      </c>
      <c r="C190" s="74" t="s">
        <v>89</v>
      </c>
      <c r="D190" s="74" t="s">
        <v>316</v>
      </c>
      <c r="E190" s="87">
        <v>44196</v>
      </c>
      <c r="F190" s="94">
        <v>5078.17</v>
      </c>
    </row>
    <row r="191" spans="1:6">
      <c r="A191" s="74" t="s">
        <v>113</v>
      </c>
      <c r="B191" s="74" t="s">
        <v>82</v>
      </c>
      <c r="C191" s="88" t="s">
        <v>85</v>
      </c>
      <c r="D191" s="74" t="s">
        <v>316</v>
      </c>
      <c r="E191" s="87">
        <v>44196</v>
      </c>
      <c r="F191" s="94">
        <v>4917.05</v>
      </c>
    </row>
    <row r="192" spans="1:6">
      <c r="A192" s="74" t="s">
        <v>113</v>
      </c>
      <c r="B192" s="74" t="s">
        <v>86</v>
      </c>
      <c r="C192" s="74" t="s">
        <v>90</v>
      </c>
      <c r="D192" s="74" t="s">
        <v>316</v>
      </c>
      <c r="E192" s="87">
        <v>44196</v>
      </c>
      <c r="F192" s="94">
        <v>6743.77</v>
      </c>
    </row>
    <row r="193" spans="1:6">
      <c r="A193" s="74" t="s">
        <v>308</v>
      </c>
      <c r="B193" s="74" t="s">
        <v>79</v>
      </c>
      <c r="C193" s="74" t="s">
        <v>80</v>
      </c>
      <c r="D193" s="74" t="s">
        <v>316</v>
      </c>
      <c r="E193" s="87">
        <v>44500</v>
      </c>
      <c r="F193" s="94">
        <v>3258.65</v>
      </c>
    </row>
    <row r="194" spans="1:6">
      <c r="A194" s="74" t="s">
        <v>308</v>
      </c>
      <c r="B194" s="74" t="s">
        <v>79</v>
      </c>
      <c r="C194" s="74" t="s">
        <v>81</v>
      </c>
      <c r="D194" s="74" t="s">
        <v>316</v>
      </c>
      <c r="E194" s="87">
        <v>44500</v>
      </c>
      <c r="F194" s="94">
        <v>2437.6</v>
      </c>
    </row>
    <row r="195" spans="1:6">
      <c r="A195" s="74" t="s">
        <v>308</v>
      </c>
      <c r="B195" s="88" t="s">
        <v>82</v>
      </c>
      <c r="C195" s="88" t="s">
        <v>84</v>
      </c>
      <c r="D195" s="74" t="s">
        <v>316</v>
      </c>
      <c r="E195" s="87">
        <v>44500</v>
      </c>
      <c r="F195" s="94">
        <v>3564.85</v>
      </c>
    </row>
    <row r="196" spans="1:6">
      <c r="A196" s="74" t="s">
        <v>308</v>
      </c>
      <c r="B196" s="88" t="s">
        <v>82</v>
      </c>
      <c r="C196" s="74" t="s">
        <v>83</v>
      </c>
      <c r="D196" s="74" t="s">
        <v>316</v>
      </c>
      <c r="E196" s="87">
        <v>44500</v>
      </c>
      <c r="F196" s="94">
        <v>4614.84</v>
      </c>
    </row>
    <row r="197" spans="1:6">
      <c r="A197" s="74" t="s">
        <v>308</v>
      </c>
      <c r="B197" s="74" t="s">
        <v>86</v>
      </c>
      <c r="C197" s="74" t="s">
        <v>87</v>
      </c>
      <c r="D197" s="74" t="s">
        <v>316</v>
      </c>
      <c r="E197" s="87">
        <v>44500</v>
      </c>
      <c r="F197" s="94">
        <v>5994.99</v>
      </c>
    </row>
    <row r="198" spans="1:6">
      <c r="A198" s="74" t="s">
        <v>308</v>
      </c>
      <c r="B198" s="74" t="s">
        <v>86</v>
      </c>
      <c r="C198" s="74" t="s">
        <v>88</v>
      </c>
      <c r="D198" s="74" t="s">
        <v>316</v>
      </c>
      <c r="E198" s="87">
        <v>44500</v>
      </c>
      <c r="F198" s="94">
        <v>5833.73</v>
      </c>
    </row>
    <row r="199" spans="1:6">
      <c r="A199" s="74" t="s">
        <v>308</v>
      </c>
      <c r="B199" s="74" t="s">
        <v>86</v>
      </c>
      <c r="C199" s="74" t="s">
        <v>89</v>
      </c>
      <c r="D199" s="74" t="s">
        <v>316</v>
      </c>
      <c r="E199" s="87">
        <v>44500</v>
      </c>
      <c r="F199" s="94">
        <v>4760.94</v>
      </c>
    </row>
    <row r="200" spans="1:6">
      <c r="A200" s="74" t="s">
        <v>308</v>
      </c>
      <c r="B200" s="74" t="s">
        <v>82</v>
      </c>
      <c r="C200" s="88" t="s">
        <v>85</v>
      </c>
      <c r="D200" s="74" t="s">
        <v>316</v>
      </c>
      <c r="E200" s="87">
        <v>44500</v>
      </c>
      <c r="F200" s="94">
        <v>4828.65</v>
      </c>
    </row>
    <row r="201" spans="1:6">
      <c r="A201" s="74" t="s">
        <v>308</v>
      </c>
      <c r="B201" s="74" t="s">
        <v>86</v>
      </c>
      <c r="C201" s="74" t="s">
        <v>90</v>
      </c>
      <c r="D201" s="74" t="s">
        <v>316</v>
      </c>
      <c r="E201" s="87">
        <v>44500</v>
      </c>
      <c r="F201" s="94">
        <v>6333.41</v>
      </c>
    </row>
    <row r="202" spans="1:6">
      <c r="A202" s="74" t="s">
        <v>308</v>
      </c>
      <c r="B202" s="74" t="s">
        <v>79</v>
      </c>
      <c r="C202" s="74" t="s">
        <v>80</v>
      </c>
      <c r="D202" s="74" t="s">
        <v>316</v>
      </c>
      <c r="E202" s="87">
        <v>44530</v>
      </c>
      <c r="F202" s="94">
        <v>3389.11</v>
      </c>
    </row>
    <row r="203" spans="1:6">
      <c r="A203" s="74" t="s">
        <v>308</v>
      </c>
      <c r="B203" s="74" t="s">
        <v>79</v>
      </c>
      <c r="C203" s="74" t="s">
        <v>81</v>
      </c>
      <c r="D203" s="74" t="s">
        <v>316</v>
      </c>
      <c r="E203" s="87">
        <v>44530</v>
      </c>
      <c r="F203" s="94">
        <v>2523.85</v>
      </c>
    </row>
    <row r="204" spans="1:6">
      <c r="A204" s="74" t="s">
        <v>308</v>
      </c>
      <c r="B204" s="88" t="s">
        <v>82</v>
      </c>
      <c r="C204" s="88" t="s">
        <v>84</v>
      </c>
      <c r="D204" s="74" t="s">
        <v>316</v>
      </c>
      <c r="E204" s="87">
        <v>44530</v>
      </c>
      <c r="F204" s="94">
        <v>3785.34</v>
      </c>
    </row>
    <row r="205" spans="1:6">
      <c r="A205" s="74" t="s">
        <v>308</v>
      </c>
      <c r="B205" s="88" t="s">
        <v>82</v>
      </c>
      <c r="C205" s="74" t="s">
        <v>83</v>
      </c>
      <c r="D205" s="74" t="s">
        <v>316</v>
      </c>
      <c r="E205" s="87">
        <v>44530</v>
      </c>
      <c r="F205" s="94">
        <v>4381.12</v>
      </c>
    </row>
    <row r="206" spans="1:6">
      <c r="A206" s="74" t="s">
        <v>308</v>
      </c>
      <c r="B206" s="74" t="s">
        <v>86</v>
      </c>
      <c r="C206" s="74" t="s">
        <v>87</v>
      </c>
      <c r="D206" s="74" t="s">
        <v>316</v>
      </c>
      <c r="E206" s="87">
        <v>44530</v>
      </c>
      <c r="F206" s="94">
        <v>5983.53</v>
      </c>
    </row>
    <row r="207" spans="1:6">
      <c r="A207" s="74" t="s">
        <v>308</v>
      </c>
      <c r="B207" s="74" t="s">
        <v>86</v>
      </c>
      <c r="C207" s="74" t="s">
        <v>88</v>
      </c>
      <c r="D207" s="74" t="s">
        <v>316</v>
      </c>
      <c r="E207" s="87">
        <v>44530</v>
      </c>
      <c r="F207" s="94">
        <v>5820.61</v>
      </c>
    </row>
    <row r="208" spans="1:6">
      <c r="A208" s="74" t="s">
        <v>308</v>
      </c>
      <c r="B208" s="74" t="s">
        <v>86</v>
      </c>
      <c r="C208" s="74" t="s">
        <v>89</v>
      </c>
      <c r="D208" s="74" t="s">
        <v>316</v>
      </c>
      <c r="E208" s="87">
        <v>44530</v>
      </c>
      <c r="F208" s="94">
        <v>5064.08</v>
      </c>
    </row>
    <row r="209" spans="1:6">
      <c r="A209" s="74" t="s">
        <v>308</v>
      </c>
      <c r="B209" s="74" t="s">
        <v>82</v>
      </c>
      <c r="C209" s="88" t="s">
        <v>85</v>
      </c>
      <c r="D209" s="74" t="s">
        <v>316</v>
      </c>
      <c r="E209" s="87">
        <v>44530</v>
      </c>
      <c r="F209" s="94">
        <v>4972.28</v>
      </c>
    </row>
    <row r="210" spans="1:6">
      <c r="A210" s="74" t="s">
        <v>308</v>
      </c>
      <c r="B210" s="74" t="s">
        <v>86</v>
      </c>
      <c r="C210" s="74" t="s">
        <v>90</v>
      </c>
      <c r="D210" s="74" t="s">
        <v>316</v>
      </c>
      <c r="E210" s="87">
        <v>44530</v>
      </c>
      <c r="F210" s="94">
        <v>6683.85</v>
      </c>
    </row>
    <row r="211" spans="1:6">
      <c r="A211" s="74" t="s">
        <v>308</v>
      </c>
      <c r="B211" s="74" t="s">
        <v>79</v>
      </c>
      <c r="C211" s="74" t="s">
        <v>80</v>
      </c>
      <c r="D211" s="74" t="s">
        <v>316</v>
      </c>
      <c r="E211" s="87">
        <v>44561</v>
      </c>
      <c r="F211" s="94">
        <v>3337.99</v>
      </c>
    </row>
    <row r="212" spans="1:6">
      <c r="A212" s="74" t="s">
        <v>308</v>
      </c>
      <c r="B212" s="74" t="s">
        <v>79</v>
      </c>
      <c r="C212" s="74" t="s">
        <v>81</v>
      </c>
      <c r="D212" s="74" t="s">
        <v>316</v>
      </c>
      <c r="E212" s="87">
        <v>44561</v>
      </c>
      <c r="F212" s="94">
        <v>2342.67</v>
      </c>
    </row>
    <row r="213" spans="1:6">
      <c r="A213" s="74" t="s">
        <v>308</v>
      </c>
      <c r="B213" s="88" t="s">
        <v>82</v>
      </c>
      <c r="C213" s="88" t="s">
        <v>84</v>
      </c>
      <c r="D213" s="74" t="s">
        <v>316</v>
      </c>
      <c r="E213" s="87">
        <v>44561</v>
      </c>
      <c r="F213" s="94">
        <v>3613.48</v>
      </c>
    </row>
    <row r="214" spans="1:6">
      <c r="A214" s="74" t="s">
        <v>308</v>
      </c>
      <c r="B214" s="88" t="s">
        <v>82</v>
      </c>
      <c r="C214" s="74" t="s">
        <v>83</v>
      </c>
      <c r="D214" s="74" t="s">
        <v>316</v>
      </c>
      <c r="E214" s="87">
        <v>44561</v>
      </c>
      <c r="F214" s="94">
        <v>4506.85</v>
      </c>
    </row>
    <row r="215" spans="1:6">
      <c r="A215" s="74" t="s">
        <v>308</v>
      </c>
      <c r="B215" s="74" t="s">
        <v>86</v>
      </c>
      <c r="C215" s="74" t="s">
        <v>87</v>
      </c>
      <c r="D215" s="74" t="s">
        <v>316</v>
      </c>
      <c r="E215" s="87">
        <v>44561</v>
      </c>
      <c r="F215" s="94">
        <v>5935.39</v>
      </c>
    </row>
    <row r="216" spans="1:6">
      <c r="A216" s="74" t="s">
        <v>308</v>
      </c>
      <c r="B216" s="74" t="s">
        <v>86</v>
      </c>
      <c r="C216" s="74" t="s">
        <v>88</v>
      </c>
      <c r="D216" s="74" t="s">
        <v>316</v>
      </c>
      <c r="E216" s="87">
        <v>44561</v>
      </c>
      <c r="F216" s="94">
        <v>5744.36</v>
      </c>
    </row>
    <row r="217" spans="1:6">
      <c r="A217" s="74" t="s">
        <v>308</v>
      </c>
      <c r="B217" s="74" t="s">
        <v>86</v>
      </c>
      <c r="C217" s="74" t="s">
        <v>89</v>
      </c>
      <c r="D217" s="74" t="s">
        <v>316</v>
      </c>
      <c r="E217" s="87">
        <v>44561</v>
      </c>
      <c r="F217" s="94">
        <v>4751.97</v>
      </c>
    </row>
    <row r="218" spans="1:6">
      <c r="A218" s="74" t="s">
        <v>308</v>
      </c>
      <c r="B218" s="74" t="s">
        <v>82</v>
      </c>
      <c r="C218" s="88" t="s">
        <v>85</v>
      </c>
      <c r="D218" s="74" t="s">
        <v>316</v>
      </c>
      <c r="E218" s="87">
        <v>44561</v>
      </c>
      <c r="F218" s="94">
        <v>5115.32</v>
      </c>
    </row>
    <row r="219" spans="1:6">
      <c r="A219" s="74" t="s">
        <v>308</v>
      </c>
      <c r="B219" s="74" t="s">
        <v>86</v>
      </c>
      <c r="C219" s="74" t="s">
        <v>90</v>
      </c>
      <c r="D219" s="74" t="s">
        <v>316</v>
      </c>
      <c r="E219" s="87">
        <v>44561</v>
      </c>
      <c r="F219" s="94">
        <v>6675.27</v>
      </c>
    </row>
    <row r="220" spans="1:6">
      <c r="A220" s="74" t="s">
        <v>309</v>
      </c>
      <c r="B220" s="74" t="s">
        <v>79</v>
      </c>
      <c r="C220" s="74" t="s">
        <v>80</v>
      </c>
      <c r="D220" s="74" t="s">
        <v>316</v>
      </c>
      <c r="E220" s="87">
        <v>44592</v>
      </c>
      <c r="F220" s="94">
        <v>3317.98</v>
      </c>
    </row>
    <row r="221" spans="1:6">
      <c r="A221" s="74" t="s">
        <v>309</v>
      </c>
      <c r="B221" s="74" t="s">
        <v>79</v>
      </c>
      <c r="C221" s="74" t="s">
        <v>81</v>
      </c>
      <c r="D221" s="74" t="s">
        <v>316</v>
      </c>
      <c r="E221" s="87">
        <v>44592</v>
      </c>
      <c r="F221" s="94">
        <v>2495.75</v>
      </c>
    </row>
    <row r="222" spans="1:6">
      <c r="A222" s="74" t="s">
        <v>309</v>
      </c>
      <c r="B222" s="88" t="s">
        <v>82</v>
      </c>
      <c r="C222" s="88" t="s">
        <v>84</v>
      </c>
      <c r="D222" s="74" t="s">
        <v>316</v>
      </c>
      <c r="E222" s="87">
        <v>44592</v>
      </c>
      <c r="F222" s="94">
        <v>3565.76</v>
      </c>
    </row>
    <row r="223" spans="1:6">
      <c r="A223" s="74" t="s">
        <v>309</v>
      </c>
      <c r="B223" s="88" t="s">
        <v>82</v>
      </c>
      <c r="C223" s="74" t="s">
        <v>83</v>
      </c>
      <c r="D223" s="74" t="s">
        <v>316</v>
      </c>
      <c r="E223" s="87">
        <v>44592</v>
      </c>
      <c r="F223" s="94">
        <v>4451.93</v>
      </c>
    </row>
    <row r="224" spans="1:6">
      <c r="A224" s="74" t="s">
        <v>309</v>
      </c>
      <c r="B224" s="74" t="s">
        <v>86</v>
      </c>
      <c r="C224" s="74" t="s">
        <v>87</v>
      </c>
      <c r="D224" s="74" t="s">
        <v>316</v>
      </c>
      <c r="E224" s="87">
        <v>44592</v>
      </c>
      <c r="F224" s="94">
        <v>6054.47</v>
      </c>
    </row>
    <row r="225" spans="1:6">
      <c r="A225" s="74" t="s">
        <v>309</v>
      </c>
      <c r="B225" s="74" t="s">
        <v>86</v>
      </c>
      <c r="C225" s="74" t="s">
        <v>88</v>
      </c>
      <c r="D225" s="74" t="s">
        <v>316</v>
      </c>
      <c r="E225" s="87">
        <v>44592</v>
      </c>
      <c r="F225" s="94">
        <v>5417.47</v>
      </c>
    </row>
    <row r="226" spans="1:6">
      <c r="A226" s="74" t="s">
        <v>309</v>
      </c>
      <c r="B226" s="74" t="s">
        <v>86</v>
      </c>
      <c r="C226" s="74" t="s">
        <v>89</v>
      </c>
      <c r="D226" s="74" t="s">
        <v>316</v>
      </c>
      <c r="E226" s="87">
        <v>44592</v>
      </c>
      <c r="F226" s="94">
        <v>4842.56</v>
      </c>
    </row>
    <row r="227" spans="1:6">
      <c r="A227" s="74" t="s">
        <v>309</v>
      </c>
      <c r="B227" s="74" t="s">
        <v>82</v>
      </c>
      <c r="C227" s="88" t="s">
        <v>85</v>
      </c>
      <c r="D227" s="74" t="s">
        <v>316</v>
      </c>
      <c r="E227" s="87">
        <v>44592</v>
      </c>
      <c r="F227" s="94">
        <v>5079.27</v>
      </c>
    </row>
    <row r="228" spans="1:6">
      <c r="A228" s="74" t="s">
        <v>309</v>
      </c>
      <c r="B228" s="74" t="s">
        <v>86</v>
      </c>
      <c r="C228" s="74" t="s">
        <v>90</v>
      </c>
      <c r="D228" s="74" t="s">
        <v>316</v>
      </c>
      <c r="E228" s="87">
        <v>44592</v>
      </c>
      <c r="F228" s="94">
        <v>6830.49</v>
      </c>
    </row>
    <row r="229" spans="1:6">
      <c r="A229" s="74" t="s">
        <v>309</v>
      </c>
      <c r="B229" s="74" t="s">
        <v>79</v>
      </c>
      <c r="C229" s="74" t="s">
        <v>80</v>
      </c>
      <c r="D229" s="74" t="s">
        <v>316</v>
      </c>
      <c r="E229" s="87">
        <v>44620</v>
      </c>
      <c r="F229" s="94">
        <v>3390.56</v>
      </c>
    </row>
    <row r="230" spans="1:6">
      <c r="A230" s="74" t="s">
        <v>309</v>
      </c>
      <c r="B230" s="74" t="s">
        <v>79</v>
      </c>
      <c r="C230" s="74" t="s">
        <v>81</v>
      </c>
      <c r="D230" s="74" t="s">
        <v>316</v>
      </c>
      <c r="E230" s="87">
        <v>44620</v>
      </c>
      <c r="F230" s="94">
        <v>2531.26</v>
      </c>
    </row>
    <row r="231" spans="1:6">
      <c r="A231" s="74" t="s">
        <v>309</v>
      </c>
      <c r="B231" s="88" t="s">
        <v>82</v>
      </c>
      <c r="C231" s="88" t="s">
        <v>84</v>
      </c>
      <c r="D231" s="74" t="s">
        <v>316</v>
      </c>
      <c r="E231" s="87">
        <v>44620</v>
      </c>
      <c r="F231" s="94">
        <v>3695.69</v>
      </c>
    </row>
    <row r="232" spans="1:6">
      <c r="A232" s="74" t="s">
        <v>309</v>
      </c>
      <c r="B232" s="88" t="s">
        <v>82</v>
      </c>
      <c r="C232" s="74" t="s">
        <v>83</v>
      </c>
      <c r="D232" s="74" t="s">
        <v>316</v>
      </c>
      <c r="E232" s="87">
        <v>44620</v>
      </c>
      <c r="F232" s="94">
        <v>4528.11</v>
      </c>
    </row>
    <row r="233" spans="1:6">
      <c r="A233" s="74" t="s">
        <v>309</v>
      </c>
      <c r="B233" s="74" t="s">
        <v>86</v>
      </c>
      <c r="C233" s="74" t="s">
        <v>87</v>
      </c>
      <c r="D233" s="74" t="s">
        <v>316</v>
      </c>
      <c r="E233" s="87">
        <v>44620</v>
      </c>
      <c r="F233" s="94">
        <v>6168.24</v>
      </c>
    </row>
    <row r="234" spans="1:6">
      <c r="A234" s="74" t="s">
        <v>309</v>
      </c>
      <c r="B234" s="74" t="s">
        <v>86</v>
      </c>
      <c r="C234" s="74" t="s">
        <v>88</v>
      </c>
      <c r="D234" s="74" t="s">
        <v>316</v>
      </c>
      <c r="E234" s="87">
        <v>44620</v>
      </c>
      <c r="F234" s="94">
        <v>5704.55</v>
      </c>
    </row>
    <row r="235" spans="1:6">
      <c r="A235" s="74" t="s">
        <v>309</v>
      </c>
      <c r="B235" s="74" t="s">
        <v>86</v>
      </c>
      <c r="C235" s="74" t="s">
        <v>89</v>
      </c>
      <c r="D235" s="74" t="s">
        <v>316</v>
      </c>
      <c r="E235" s="87">
        <v>44620</v>
      </c>
      <c r="F235" s="94">
        <v>5134.81</v>
      </c>
    </row>
    <row r="236" spans="1:6">
      <c r="A236" s="74" t="s">
        <v>309</v>
      </c>
      <c r="B236" s="74" t="s">
        <v>82</v>
      </c>
      <c r="C236" s="88" t="s">
        <v>85</v>
      </c>
      <c r="D236" s="74" t="s">
        <v>316</v>
      </c>
      <c r="E236" s="87">
        <v>44620</v>
      </c>
      <c r="F236" s="94">
        <v>4795.11</v>
      </c>
    </row>
    <row r="237" spans="1:6">
      <c r="A237" s="74" t="s">
        <v>309</v>
      </c>
      <c r="B237" s="74" t="s">
        <v>86</v>
      </c>
      <c r="C237" s="74" t="s">
        <v>90</v>
      </c>
      <c r="D237" s="74" t="s">
        <v>316</v>
      </c>
      <c r="E237" s="87">
        <v>44620</v>
      </c>
      <c r="F237" s="94">
        <v>6649.84</v>
      </c>
    </row>
    <row r="238" spans="1:6">
      <c r="A238" s="74" t="s">
        <v>309</v>
      </c>
      <c r="B238" s="74" t="s">
        <v>79</v>
      </c>
      <c r="C238" s="74" t="s">
        <v>80</v>
      </c>
      <c r="D238" s="74" t="s">
        <v>316</v>
      </c>
      <c r="E238" s="87">
        <v>44651</v>
      </c>
      <c r="F238" s="94">
        <v>3333</v>
      </c>
    </row>
    <row r="239" spans="1:6">
      <c r="A239" s="74" t="s">
        <v>309</v>
      </c>
      <c r="B239" s="74" t="s">
        <v>79</v>
      </c>
      <c r="C239" s="74" t="s">
        <v>81</v>
      </c>
      <c r="D239" s="74" t="s">
        <v>316</v>
      </c>
      <c r="E239" s="87">
        <v>44651</v>
      </c>
      <c r="F239" s="94">
        <v>2571.79</v>
      </c>
    </row>
    <row r="240" spans="1:6">
      <c r="A240" s="74" t="s">
        <v>309</v>
      </c>
      <c r="B240" s="88" t="s">
        <v>82</v>
      </c>
      <c r="C240" s="88" t="s">
        <v>84</v>
      </c>
      <c r="D240" s="74" t="s">
        <v>316</v>
      </c>
      <c r="E240" s="87">
        <v>44651</v>
      </c>
      <c r="F240" s="94">
        <v>3519.31</v>
      </c>
    </row>
    <row r="241" spans="1:6">
      <c r="A241" s="74" t="s">
        <v>309</v>
      </c>
      <c r="B241" s="88" t="s">
        <v>82</v>
      </c>
      <c r="C241" s="74" t="s">
        <v>83</v>
      </c>
      <c r="D241" s="74" t="s">
        <v>316</v>
      </c>
      <c r="E241" s="87">
        <v>44651</v>
      </c>
      <c r="F241" s="94">
        <v>4295.69</v>
      </c>
    </row>
    <row r="242" spans="1:6">
      <c r="A242" s="74" t="s">
        <v>309</v>
      </c>
      <c r="B242" s="74" t="s">
        <v>86</v>
      </c>
      <c r="C242" s="74" t="s">
        <v>87</v>
      </c>
      <c r="D242" s="74" t="s">
        <v>316</v>
      </c>
      <c r="E242" s="87">
        <v>44651</v>
      </c>
      <c r="F242" s="94">
        <v>5919.07</v>
      </c>
    </row>
    <row r="243" spans="1:6">
      <c r="A243" s="74" t="s">
        <v>309</v>
      </c>
      <c r="B243" s="74" t="s">
        <v>86</v>
      </c>
      <c r="C243" s="74" t="s">
        <v>88</v>
      </c>
      <c r="D243" s="74" t="s">
        <v>316</v>
      </c>
      <c r="E243" s="87">
        <v>44651</v>
      </c>
      <c r="F243" s="94">
        <v>5827.17</v>
      </c>
    </row>
    <row r="244" spans="1:6">
      <c r="A244" s="74" t="s">
        <v>309</v>
      </c>
      <c r="B244" s="74" t="s">
        <v>86</v>
      </c>
      <c r="C244" s="74" t="s">
        <v>89</v>
      </c>
      <c r="D244" s="74" t="s">
        <v>316</v>
      </c>
      <c r="E244" s="87">
        <v>44651</v>
      </c>
      <c r="F244" s="94">
        <v>4698.19</v>
      </c>
    </row>
    <row r="245" spans="1:6">
      <c r="A245" s="74" t="s">
        <v>309</v>
      </c>
      <c r="B245" s="74" t="s">
        <v>82</v>
      </c>
      <c r="C245" s="88" t="s">
        <v>85</v>
      </c>
      <c r="D245" s="74" t="s">
        <v>316</v>
      </c>
      <c r="E245" s="87">
        <v>44651</v>
      </c>
      <c r="F245" s="94">
        <v>4941.39</v>
      </c>
    </row>
    <row r="246" spans="1:6">
      <c r="A246" s="74" t="s">
        <v>309</v>
      </c>
      <c r="B246" s="74" t="s">
        <v>86</v>
      </c>
      <c r="C246" s="74" t="s">
        <v>90</v>
      </c>
      <c r="D246" s="74" t="s">
        <v>316</v>
      </c>
      <c r="E246" s="87">
        <v>44651</v>
      </c>
      <c r="F246" s="94">
        <v>6502.25</v>
      </c>
    </row>
    <row r="247" spans="1:6">
      <c r="A247" s="74" t="s">
        <v>309</v>
      </c>
      <c r="B247" s="74" t="s">
        <v>79</v>
      </c>
      <c r="C247" s="74" t="s">
        <v>80</v>
      </c>
      <c r="D247" s="74" t="s">
        <v>316</v>
      </c>
      <c r="E247" s="87">
        <v>44681</v>
      </c>
      <c r="F247" s="94">
        <v>3279.44</v>
      </c>
    </row>
    <row r="248" spans="1:6">
      <c r="A248" s="74" t="s">
        <v>309</v>
      </c>
      <c r="B248" s="74" t="s">
        <v>79</v>
      </c>
      <c r="C248" s="74" t="s">
        <v>81</v>
      </c>
      <c r="D248" s="74" t="s">
        <v>316</v>
      </c>
      <c r="E248" s="87">
        <v>44681</v>
      </c>
      <c r="F248" s="94">
        <v>2495.04</v>
      </c>
    </row>
    <row r="249" spans="1:6">
      <c r="A249" s="74" t="s">
        <v>309</v>
      </c>
      <c r="B249" s="88" t="s">
        <v>82</v>
      </c>
      <c r="C249" s="88" t="s">
        <v>84</v>
      </c>
      <c r="D249" s="74" t="s">
        <v>316</v>
      </c>
      <c r="E249" s="87">
        <v>44681</v>
      </c>
      <c r="F249" s="94">
        <v>3573.61</v>
      </c>
    </row>
    <row r="250" spans="1:6">
      <c r="A250" s="74" t="s">
        <v>309</v>
      </c>
      <c r="B250" s="88" t="s">
        <v>82</v>
      </c>
      <c r="C250" s="74" t="s">
        <v>83</v>
      </c>
      <c r="D250" s="74" t="s">
        <v>316</v>
      </c>
      <c r="E250" s="87">
        <v>44681</v>
      </c>
      <c r="F250" s="94">
        <v>4451.85</v>
      </c>
    </row>
    <row r="251" spans="1:6">
      <c r="A251" s="74" t="s">
        <v>309</v>
      </c>
      <c r="B251" s="74" t="s">
        <v>86</v>
      </c>
      <c r="C251" s="74" t="s">
        <v>87</v>
      </c>
      <c r="D251" s="74" t="s">
        <v>316</v>
      </c>
      <c r="E251" s="87">
        <v>44681</v>
      </c>
      <c r="F251" s="94">
        <v>6009.18</v>
      </c>
    </row>
    <row r="252" spans="1:6">
      <c r="A252" s="74" t="s">
        <v>309</v>
      </c>
      <c r="B252" s="74" t="s">
        <v>86</v>
      </c>
      <c r="C252" s="74" t="s">
        <v>88</v>
      </c>
      <c r="D252" s="74" t="s">
        <v>316</v>
      </c>
      <c r="E252" s="87">
        <v>44681</v>
      </c>
      <c r="F252" s="94">
        <v>5439.76</v>
      </c>
    </row>
    <row r="253" spans="1:6">
      <c r="A253" s="74" t="s">
        <v>309</v>
      </c>
      <c r="B253" s="74" t="s">
        <v>86</v>
      </c>
      <c r="C253" s="74" t="s">
        <v>89</v>
      </c>
      <c r="D253" s="74" t="s">
        <v>316</v>
      </c>
      <c r="E253" s="87">
        <v>44681</v>
      </c>
      <c r="F253" s="94">
        <v>5030.2</v>
      </c>
    </row>
    <row r="254" spans="1:6">
      <c r="A254" s="74" t="s">
        <v>309</v>
      </c>
      <c r="B254" s="74" t="s">
        <v>82</v>
      </c>
      <c r="C254" s="88" t="s">
        <v>85</v>
      </c>
      <c r="D254" s="74" t="s">
        <v>316</v>
      </c>
      <c r="E254" s="87">
        <v>44681</v>
      </c>
      <c r="F254" s="94">
        <v>4894.19</v>
      </c>
    </row>
    <row r="255" spans="1:6">
      <c r="A255" s="74" t="s">
        <v>309</v>
      </c>
      <c r="B255" s="74" t="s">
        <v>86</v>
      </c>
      <c r="C255" s="74" t="s">
        <v>90</v>
      </c>
      <c r="D255" s="74" t="s">
        <v>316</v>
      </c>
      <c r="E255" s="87">
        <v>44681</v>
      </c>
      <c r="F255" s="94">
        <v>6426.38</v>
      </c>
    </row>
    <row r="256" spans="1:6">
      <c r="A256" s="74" t="s">
        <v>309</v>
      </c>
      <c r="B256" s="74" t="s">
        <v>79</v>
      </c>
      <c r="C256" s="74" t="s">
        <v>80</v>
      </c>
      <c r="D256" s="74" t="s">
        <v>316</v>
      </c>
      <c r="E256" s="87">
        <v>44711</v>
      </c>
      <c r="F256" s="94">
        <v>3149.99</v>
      </c>
    </row>
    <row r="257" spans="1:6">
      <c r="A257" s="74" t="s">
        <v>309</v>
      </c>
      <c r="B257" s="74" t="s">
        <v>79</v>
      </c>
      <c r="C257" s="74" t="s">
        <v>81</v>
      </c>
      <c r="D257" s="74" t="s">
        <v>316</v>
      </c>
      <c r="E257" s="87">
        <v>44711</v>
      </c>
      <c r="F257" s="94">
        <v>2372.94</v>
      </c>
    </row>
    <row r="258" spans="1:6">
      <c r="A258" s="74" t="s">
        <v>309</v>
      </c>
      <c r="B258" s="88" t="s">
        <v>82</v>
      </c>
      <c r="C258" s="88" t="s">
        <v>84</v>
      </c>
      <c r="D258" s="74" t="s">
        <v>316</v>
      </c>
      <c r="E258" s="87">
        <v>44711</v>
      </c>
      <c r="F258" s="94">
        <v>3620.52</v>
      </c>
    </row>
    <row r="259" spans="1:6">
      <c r="A259" s="74" t="s">
        <v>309</v>
      </c>
      <c r="B259" s="88" t="s">
        <v>82</v>
      </c>
      <c r="C259" s="74" t="s">
        <v>83</v>
      </c>
      <c r="D259" s="74" t="s">
        <v>316</v>
      </c>
      <c r="E259" s="87">
        <v>44711</v>
      </c>
      <c r="F259" s="94">
        <v>4580.85</v>
      </c>
    </row>
    <row r="260" spans="1:6">
      <c r="A260" s="74" t="s">
        <v>309</v>
      </c>
      <c r="B260" s="74" t="s">
        <v>86</v>
      </c>
      <c r="C260" s="74" t="s">
        <v>87</v>
      </c>
      <c r="D260" s="74" t="s">
        <v>316</v>
      </c>
      <c r="E260" s="87">
        <v>44711</v>
      </c>
      <c r="F260" s="94">
        <v>5776.39</v>
      </c>
    </row>
    <row r="261" spans="1:6">
      <c r="A261" s="74" t="s">
        <v>309</v>
      </c>
      <c r="B261" s="74" t="s">
        <v>86</v>
      </c>
      <c r="C261" s="74" t="s">
        <v>88</v>
      </c>
      <c r="D261" s="74" t="s">
        <v>316</v>
      </c>
      <c r="E261" s="87">
        <v>44711</v>
      </c>
      <c r="F261" s="94">
        <v>5659.16</v>
      </c>
    </row>
    <row r="262" spans="1:6">
      <c r="A262" s="74" t="s">
        <v>309</v>
      </c>
      <c r="B262" s="74" t="s">
        <v>86</v>
      </c>
      <c r="C262" s="74" t="s">
        <v>89</v>
      </c>
      <c r="D262" s="74" t="s">
        <v>316</v>
      </c>
      <c r="E262" s="87">
        <v>44711</v>
      </c>
      <c r="F262" s="94">
        <v>4892.48</v>
      </c>
    </row>
    <row r="263" spans="1:6">
      <c r="A263" s="74" t="s">
        <v>309</v>
      </c>
      <c r="B263" s="74" t="s">
        <v>82</v>
      </c>
      <c r="C263" s="88" t="s">
        <v>85</v>
      </c>
      <c r="D263" s="74" t="s">
        <v>316</v>
      </c>
      <c r="E263" s="87">
        <v>44711</v>
      </c>
      <c r="F263" s="94">
        <v>5061.85</v>
      </c>
    </row>
    <row r="264" spans="1:6">
      <c r="A264" s="74" t="s">
        <v>309</v>
      </c>
      <c r="B264" s="74" t="s">
        <v>86</v>
      </c>
      <c r="C264" s="74" t="s">
        <v>90</v>
      </c>
      <c r="D264" s="74" t="s">
        <v>316</v>
      </c>
      <c r="E264" s="87">
        <v>44711</v>
      </c>
      <c r="F264" s="94">
        <v>6799.43</v>
      </c>
    </row>
    <row r="265" spans="1:6">
      <c r="A265" s="74" t="s">
        <v>309</v>
      </c>
      <c r="B265" s="74" t="s">
        <v>79</v>
      </c>
      <c r="C265" s="74" t="s">
        <v>80</v>
      </c>
      <c r="D265" s="74" t="s">
        <v>316</v>
      </c>
      <c r="E265" s="87">
        <v>44742</v>
      </c>
      <c r="F265" s="94">
        <v>3381.69</v>
      </c>
    </row>
    <row r="266" spans="1:6">
      <c r="A266" s="74" t="s">
        <v>309</v>
      </c>
      <c r="B266" s="74" t="s">
        <v>79</v>
      </c>
      <c r="C266" s="74" t="s">
        <v>81</v>
      </c>
      <c r="D266" s="74" t="s">
        <v>316</v>
      </c>
      <c r="E266" s="87">
        <v>44742</v>
      </c>
      <c r="F266" s="94">
        <v>2498.43</v>
      </c>
    </row>
    <row r="267" spans="1:6">
      <c r="A267" s="74" t="s">
        <v>309</v>
      </c>
      <c r="B267" s="88" t="s">
        <v>82</v>
      </c>
      <c r="C267" s="88" t="s">
        <v>84</v>
      </c>
      <c r="D267" s="74" t="s">
        <v>316</v>
      </c>
      <c r="E267" s="87">
        <v>44742</v>
      </c>
      <c r="F267" s="94">
        <v>3632.41</v>
      </c>
    </row>
    <row r="268" spans="1:6">
      <c r="A268" s="74" t="s">
        <v>309</v>
      </c>
      <c r="B268" s="88" t="s">
        <v>82</v>
      </c>
      <c r="C268" s="74" t="s">
        <v>83</v>
      </c>
      <c r="D268" s="74" t="s">
        <v>316</v>
      </c>
      <c r="E268" s="87">
        <v>44742</v>
      </c>
      <c r="F268" s="94">
        <v>4624.8</v>
      </c>
    </row>
    <row r="269" spans="1:6">
      <c r="A269" s="74" t="s">
        <v>309</v>
      </c>
      <c r="B269" s="74" t="s">
        <v>86</v>
      </c>
      <c r="C269" s="74" t="s">
        <v>87</v>
      </c>
      <c r="D269" s="74" t="s">
        <v>316</v>
      </c>
      <c r="E269" s="87">
        <v>44742</v>
      </c>
      <c r="F269" s="94">
        <v>5694.76</v>
      </c>
    </row>
    <row r="270" spans="1:6">
      <c r="A270" s="74" t="s">
        <v>309</v>
      </c>
      <c r="B270" s="74" t="s">
        <v>86</v>
      </c>
      <c r="C270" s="74" t="s">
        <v>88</v>
      </c>
      <c r="D270" s="74" t="s">
        <v>316</v>
      </c>
      <c r="E270" s="87">
        <v>44742</v>
      </c>
      <c r="F270" s="94">
        <v>5433.23</v>
      </c>
    </row>
    <row r="271" spans="1:6">
      <c r="A271" s="74" t="s">
        <v>309</v>
      </c>
      <c r="B271" s="74" t="s">
        <v>86</v>
      </c>
      <c r="C271" s="74" t="s">
        <v>89</v>
      </c>
      <c r="D271" s="74" t="s">
        <v>316</v>
      </c>
      <c r="E271" s="87">
        <v>44742</v>
      </c>
      <c r="F271" s="94">
        <v>4752.58</v>
      </c>
    </row>
    <row r="272" spans="1:6">
      <c r="A272" s="74" t="s">
        <v>309</v>
      </c>
      <c r="B272" s="74" t="s">
        <v>82</v>
      </c>
      <c r="C272" s="88" t="s">
        <v>85</v>
      </c>
      <c r="D272" s="74" t="s">
        <v>316</v>
      </c>
      <c r="E272" s="87">
        <v>44742</v>
      </c>
      <c r="F272" s="94">
        <v>4887.87</v>
      </c>
    </row>
    <row r="273" spans="1:6">
      <c r="A273" s="74" t="s">
        <v>309</v>
      </c>
      <c r="B273" s="74" t="s">
        <v>86</v>
      </c>
      <c r="C273" s="74" t="s">
        <v>90</v>
      </c>
      <c r="D273" s="74" t="s">
        <v>316</v>
      </c>
      <c r="E273" s="87">
        <v>44742</v>
      </c>
      <c r="F273" s="94">
        <v>6370.48</v>
      </c>
    </row>
    <row r="274" spans="1:6">
      <c r="A274" s="74" t="s">
        <v>309</v>
      </c>
      <c r="B274" s="74" t="s">
        <v>79</v>
      </c>
      <c r="C274" s="74" t="s">
        <v>80</v>
      </c>
      <c r="D274" s="74" t="s">
        <v>316</v>
      </c>
      <c r="E274" s="87">
        <v>44773</v>
      </c>
      <c r="F274" s="94">
        <v>3129.64</v>
      </c>
    </row>
    <row r="275" spans="1:6">
      <c r="A275" s="74" t="s">
        <v>309</v>
      </c>
      <c r="B275" s="74" t="s">
        <v>79</v>
      </c>
      <c r="C275" s="74" t="s">
        <v>81</v>
      </c>
      <c r="D275" s="74" t="s">
        <v>316</v>
      </c>
      <c r="E275" s="87">
        <v>44773</v>
      </c>
      <c r="F275" s="94">
        <v>2452.18</v>
      </c>
    </row>
    <row r="276" spans="1:6">
      <c r="A276" s="74" t="s">
        <v>309</v>
      </c>
      <c r="B276" s="88" t="s">
        <v>82</v>
      </c>
      <c r="C276" s="88" t="s">
        <v>84</v>
      </c>
      <c r="D276" s="74" t="s">
        <v>316</v>
      </c>
      <c r="E276" s="87">
        <v>44773</v>
      </c>
      <c r="F276" s="94">
        <v>3648.65</v>
      </c>
    </row>
    <row r="277" spans="1:6">
      <c r="A277" s="74" t="s">
        <v>309</v>
      </c>
      <c r="B277" s="88" t="s">
        <v>82</v>
      </c>
      <c r="C277" s="74" t="s">
        <v>83</v>
      </c>
      <c r="D277" s="74" t="s">
        <v>316</v>
      </c>
      <c r="E277" s="87">
        <v>44773</v>
      </c>
      <c r="F277" s="94">
        <v>4450.77</v>
      </c>
    </row>
    <row r="278" spans="1:6">
      <c r="A278" s="74" t="s">
        <v>309</v>
      </c>
      <c r="B278" s="74" t="s">
        <v>86</v>
      </c>
      <c r="C278" s="74" t="s">
        <v>87</v>
      </c>
      <c r="D278" s="74" t="s">
        <v>316</v>
      </c>
      <c r="E278" s="87">
        <v>44773</v>
      </c>
      <c r="F278" s="94">
        <v>5763.31</v>
      </c>
    </row>
    <row r="279" spans="1:6">
      <c r="A279" s="74" t="s">
        <v>309</v>
      </c>
      <c r="B279" s="74" t="s">
        <v>86</v>
      </c>
      <c r="C279" s="74" t="s">
        <v>88</v>
      </c>
      <c r="D279" s="74" t="s">
        <v>316</v>
      </c>
      <c r="E279" s="87">
        <v>44773</v>
      </c>
      <c r="F279" s="94">
        <v>5714.36</v>
      </c>
    </row>
    <row r="280" spans="1:6">
      <c r="A280" s="74" t="s">
        <v>309</v>
      </c>
      <c r="B280" s="74" t="s">
        <v>86</v>
      </c>
      <c r="C280" s="74" t="s">
        <v>89</v>
      </c>
      <c r="D280" s="74" t="s">
        <v>316</v>
      </c>
      <c r="E280" s="87">
        <v>44773</v>
      </c>
      <c r="F280" s="94">
        <v>4843.05</v>
      </c>
    </row>
    <row r="281" spans="1:6">
      <c r="A281" s="74" t="s">
        <v>309</v>
      </c>
      <c r="B281" s="74" t="s">
        <v>82</v>
      </c>
      <c r="C281" s="88" t="s">
        <v>85</v>
      </c>
      <c r="D281" s="74" t="s">
        <v>316</v>
      </c>
      <c r="E281" s="87">
        <v>44773</v>
      </c>
      <c r="F281" s="94">
        <v>4903.8</v>
      </c>
    </row>
    <row r="282" spans="1:6">
      <c r="A282" s="74" t="s">
        <v>309</v>
      </c>
      <c r="B282" s="74" t="s">
        <v>86</v>
      </c>
      <c r="C282" s="74" t="s">
        <v>90</v>
      </c>
      <c r="D282" s="74" t="s">
        <v>316</v>
      </c>
      <c r="E282" s="87">
        <v>44773</v>
      </c>
      <c r="F282" s="94">
        <v>6731.7</v>
      </c>
    </row>
    <row r="283" spans="1:6">
      <c r="A283" s="74" t="s">
        <v>309</v>
      </c>
      <c r="B283" s="74" t="s">
        <v>79</v>
      </c>
      <c r="C283" s="74" t="s">
        <v>80</v>
      </c>
      <c r="D283" s="74" t="s">
        <v>316</v>
      </c>
      <c r="E283" s="87">
        <v>44804</v>
      </c>
      <c r="F283" s="94">
        <v>3200.01</v>
      </c>
    </row>
    <row r="284" spans="1:6">
      <c r="A284" s="74" t="s">
        <v>309</v>
      </c>
      <c r="B284" s="74" t="s">
        <v>79</v>
      </c>
      <c r="C284" s="74" t="s">
        <v>81</v>
      </c>
      <c r="D284" s="74" t="s">
        <v>316</v>
      </c>
      <c r="E284" s="87">
        <v>44804</v>
      </c>
      <c r="F284" s="94">
        <v>2563.13</v>
      </c>
    </row>
    <row r="285" spans="1:6">
      <c r="A285" s="74" t="s">
        <v>309</v>
      </c>
      <c r="B285" s="88" t="s">
        <v>82</v>
      </c>
      <c r="C285" s="88" t="s">
        <v>84</v>
      </c>
      <c r="D285" s="74" t="s">
        <v>316</v>
      </c>
      <c r="E285" s="87">
        <v>44804</v>
      </c>
      <c r="F285" s="94">
        <v>3735.69</v>
      </c>
    </row>
    <row r="286" spans="1:6">
      <c r="A286" s="74" t="s">
        <v>309</v>
      </c>
      <c r="B286" s="88" t="s">
        <v>82</v>
      </c>
      <c r="C286" s="74" t="s">
        <v>83</v>
      </c>
      <c r="D286" s="74" t="s">
        <v>316</v>
      </c>
      <c r="E286" s="87">
        <v>44804</v>
      </c>
      <c r="F286" s="94">
        <v>4601.4</v>
      </c>
    </row>
    <row r="287" spans="1:6">
      <c r="A287" s="74" t="s">
        <v>309</v>
      </c>
      <c r="B287" s="74" t="s">
        <v>86</v>
      </c>
      <c r="C287" s="74" t="s">
        <v>87</v>
      </c>
      <c r="D287" s="74" t="s">
        <v>316</v>
      </c>
      <c r="E287" s="87">
        <v>44804</v>
      </c>
      <c r="F287" s="94">
        <v>6091.52</v>
      </c>
    </row>
    <row r="288" spans="1:6">
      <c r="A288" s="74" t="s">
        <v>309</v>
      </c>
      <c r="B288" s="74" t="s">
        <v>86</v>
      </c>
      <c r="C288" s="74" t="s">
        <v>88</v>
      </c>
      <c r="D288" s="74" t="s">
        <v>316</v>
      </c>
      <c r="E288" s="87">
        <v>44804</v>
      </c>
      <c r="F288" s="94">
        <v>5461.36</v>
      </c>
    </row>
    <row r="289" spans="1:6">
      <c r="A289" s="74" t="s">
        <v>309</v>
      </c>
      <c r="B289" s="74" t="s">
        <v>86</v>
      </c>
      <c r="C289" s="74" t="s">
        <v>89</v>
      </c>
      <c r="D289" s="74" t="s">
        <v>316</v>
      </c>
      <c r="E289" s="87">
        <v>44804</v>
      </c>
      <c r="F289" s="94">
        <v>4873.12</v>
      </c>
    </row>
    <row r="290" spans="1:6">
      <c r="A290" s="74" t="s">
        <v>309</v>
      </c>
      <c r="B290" s="74" t="s">
        <v>82</v>
      </c>
      <c r="C290" s="88" t="s">
        <v>85</v>
      </c>
      <c r="D290" s="74" t="s">
        <v>316</v>
      </c>
      <c r="E290" s="87">
        <v>44804</v>
      </c>
      <c r="F290" s="94">
        <v>4871.55</v>
      </c>
    </row>
    <row r="291" spans="1:6">
      <c r="A291" s="74" t="s">
        <v>309</v>
      </c>
      <c r="B291" s="74" t="s">
        <v>86</v>
      </c>
      <c r="C291" s="74" t="s">
        <v>90</v>
      </c>
      <c r="D291" s="74" t="s">
        <v>316</v>
      </c>
      <c r="E291" s="87">
        <v>44804</v>
      </c>
      <c r="F291" s="94">
        <v>6862.86</v>
      </c>
    </row>
    <row r="292" spans="1:6">
      <c r="A292" s="74" t="s">
        <v>309</v>
      </c>
      <c r="B292" s="74" t="s">
        <v>79</v>
      </c>
      <c r="C292" s="74" t="s">
        <v>80</v>
      </c>
      <c r="D292" s="74" t="s">
        <v>316</v>
      </c>
      <c r="E292" s="87">
        <v>44834</v>
      </c>
      <c r="F292" s="94">
        <v>3349.82</v>
      </c>
    </row>
    <row r="293" spans="1:6">
      <c r="A293" s="74" t="s">
        <v>309</v>
      </c>
      <c r="B293" s="74" t="s">
        <v>79</v>
      </c>
      <c r="C293" s="74" t="s">
        <v>81</v>
      </c>
      <c r="D293" s="74" t="s">
        <v>316</v>
      </c>
      <c r="E293" s="87">
        <v>44834</v>
      </c>
      <c r="F293" s="94">
        <v>2382.06</v>
      </c>
    </row>
    <row r="294" spans="1:6">
      <c r="A294" s="74" t="s">
        <v>309</v>
      </c>
      <c r="B294" s="88" t="s">
        <v>82</v>
      </c>
      <c r="C294" s="88" t="s">
        <v>84</v>
      </c>
      <c r="D294" s="74" t="s">
        <v>316</v>
      </c>
      <c r="E294" s="87">
        <v>44834</v>
      </c>
      <c r="F294" s="94">
        <v>3678.73</v>
      </c>
    </row>
    <row r="295" spans="1:6">
      <c r="A295" s="74" t="s">
        <v>309</v>
      </c>
      <c r="B295" s="88" t="s">
        <v>82</v>
      </c>
      <c r="C295" s="74" t="s">
        <v>83</v>
      </c>
      <c r="D295" s="74" t="s">
        <v>316</v>
      </c>
      <c r="E295" s="87">
        <v>44834</v>
      </c>
      <c r="F295" s="94">
        <v>4609.81</v>
      </c>
    </row>
    <row r="296" spans="1:6">
      <c r="A296" s="74" t="s">
        <v>309</v>
      </c>
      <c r="B296" s="74" t="s">
        <v>86</v>
      </c>
      <c r="C296" s="74" t="s">
        <v>87</v>
      </c>
      <c r="D296" s="74" t="s">
        <v>316</v>
      </c>
      <c r="E296" s="87">
        <v>44834</v>
      </c>
      <c r="F296" s="94">
        <v>5826.23</v>
      </c>
    </row>
    <row r="297" spans="1:6">
      <c r="A297" s="74" t="s">
        <v>309</v>
      </c>
      <c r="B297" s="74" t="s">
        <v>86</v>
      </c>
      <c r="C297" s="74" t="s">
        <v>88</v>
      </c>
      <c r="D297" s="74" t="s">
        <v>316</v>
      </c>
      <c r="E297" s="87">
        <v>44834</v>
      </c>
      <c r="F297" s="94">
        <v>5720.54</v>
      </c>
    </row>
    <row r="298" spans="1:6">
      <c r="A298" s="74" t="s">
        <v>309</v>
      </c>
      <c r="B298" s="74" t="s">
        <v>86</v>
      </c>
      <c r="C298" s="74" t="s">
        <v>89</v>
      </c>
      <c r="D298" s="74" t="s">
        <v>316</v>
      </c>
      <c r="E298" s="87">
        <v>44834</v>
      </c>
      <c r="F298" s="94">
        <v>4835.6</v>
      </c>
    </row>
    <row r="299" spans="1:6">
      <c r="A299" s="74" t="s">
        <v>309</v>
      </c>
      <c r="B299" s="74" t="s">
        <v>82</v>
      </c>
      <c r="C299" s="88" t="s">
        <v>85</v>
      </c>
      <c r="D299" s="74" t="s">
        <v>316</v>
      </c>
      <c r="E299" s="87">
        <v>44834</v>
      </c>
      <c r="F299" s="94">
        <v>5138.27</v>
      </c>
    </row>
    <row r="300" spans="1:6">
      <c r="A300" s="74" t="s">
        <v>309</v>
      </c>
      <c r="B300" s="74" t="s">
        <v>86</v>
      </c>
      <c r="C300" s="74" t="s">
        <v>90</v>
      </c>
      <c r="D300" s="74" t="s">
        <v>316</v>
      </c>
      <c r="E300" s="87">
        <v>44834</v>
      </c>
      <c r="F300" s="94">
        <v>6529.14</v>
      </c>
    </row>
    <row r="301" spans="1:6">
      <c r="A301" s="74" t="s">
        <v>309</v>
      </c>
      <c r="B301" s="74" t="s">
        <v>79</v>
      </c>
      <c r="C301" s="74" t="s">
        <v>80</v>
      </c>
      <c r="D301" s="74" t="s">
        <v>316</v>
      </c>
      <c r="E301" s="87">
        <v>44865</v>
      </c>
      <c r="F301" s="94">
        <v>3152.64</v>
      </c>
    </row>
    <row r="302" spans="1:6">
      <c r="A302" s="74" t="s">
        <v>309</v>
      </c>
      <c r="B302" s="74" t="s">
        <v>79</v>
      </c>
      <c r="C302" s="74" t="s">
        <v>81</v>
      </c>
      <c r="D302" s="74" t="s">
        <v>316</v>
      </c>
      <c r="E302" s="87">
        <v>44865</v>
      </c>
      <c r="F302" s="94">
        <v>2542.07</v>
      </c>
    </row>
    <row r="303" spans="1:6">
      <c r="A303" s="74" t="s">
        <v>309</v>
      </c>
      <c r="B303" s="88" t="s">
        <v>82</v>
      </c>
      <c r="C303" s="88" t="s">
        <v>84</v>
      </c>
      <c r="D303" s="74" t="s">
        <v>316</v>
      </c>
      <c r="E303" s="87">
        <v>44865</v>
      </c>
      <c r="F303" s="94">
        <v>3568.01</v>
      </c>
    </row>
    <row r="304" spans="1:6">
      <c r="A304" s="74" t="s">
        <v>309</v>
      </c>
      <c r="B304" s="88" t="s">
        <v>82</v>
      </c>
      <c r="C304" s="74" t="s">
        <v>83</v>
      </c>
      <c r="D304" s="74" t="s">
        <v>316</v>
      </c>
      <c r="E304" s="87">
        <v>44865</v>
      </c>
      <c r="F304" s="94">
        <v>4520.55</v>
      </c>
    </row>
    <row r="305" spans="1:6">
      <c r="A305" s="74" t="s">
        <v>309</v>
      </c>
      <c r="B305" s="74" t="s">
        <v>86</v>
      </c>
      <c r="C305" s="74" t="s">
        <v>87</v>
      </c>
      <c r="D305" s="74" t="s">
        <v>316</v>
      </c>
      <c r="E305" s="87">
        <v>44865</v>
      </c>
      <c r="F305" s="94">
        <v>5918.69</v>
      </c>
    </row>
    <row r="306" spans="1:6">
      <c r="A306" s="74" t="s">
        <v>309</v>
      </c>
      <c r="B306" s="74" t="s">
        <v>86</v>
      </c>
      <c r="C306" s="74" t="s">
        <v>88</v>
      </c>
      <c r="D306" s="74" t="s">
        <v>316</v>
      </c>
      <c r="E306" s="87">
        <v>44865</v>
      </c>
      <c r="F306" s="94">
        <v>5440.15</v>
      </c>
    </row>
    <row r="307" spans="1:6">
      <c r="A307" s="74" t="s">
        <v>309</v>
      </c>
      <c r="B307" s="74" t="s">
        <v>86</v>
      </c>
      <c r="C307" s="74" t="s">
        <v>89</v>
      </c>
      <c r="D307" s="74" t="s">
        <v>316</v>
      </c>
      <c r="E307" s="87">
        <v>44865</v>
      </c>
      <c r="F307" s="94">
        <v>4883.46</v>
      </c>
    </row>
    <row r="308" spans="1:6">
      <c r="A308" s="74" t="s">
        <v>309</v>
      </c>
      <c r="B308" s="74" t="s">
        <v>82</v>
      </c>
      <c r="C308" s="88" t="s">
        <v>85</v>
      </c>
      <c r="D308" s="74" t="s">
        <v>316</v>
      </c>
      <c r="E308" s="87">
        <v>44865</v>
      </c>
      <c r="F308" s="94">
        <v>5036.52</v>
      </c>
    </row>
    <row r="309" spans="1:6">
      <c r="A309" s="74" t="s">
        <v>309</v>
      </c>
      <c r="B309" s="74" t="s">
        <v>86</v>
      </c>
      <c r="C309" s="74" t="s">
        <v>90</v>
      </c>
      <c r="D309" s="74" t="s">
        <v>316</v>
      </c>
      <c r="E309" s="87">
        <v>44865</v>
      </c>
      <c r="F309" s="94">
        <v>6579.74</v>
      </c>
    </row>
    <row r="310" spans="1:6">
      <c r="A310" s="74" t="s">
        <v>309</v>
      </c>
      <c r="B310" s="74" t="s">
        <v>79</v>
      </c>
      <c r="C310" s="74" t="s">
        <v>80</v>
      </c>
      <c r="D310" s="74" t="s">
        <v>316</v>
      </c>
      <c r="E310" s="87">
        <v>44895</v>
      </c>
      <c r="F310" s="94">
        <v>3276.78</v>
      </c>
    </row>
    <row r="311" spans="1:6">
      <c r="A311" s="74" t="s">
        <v>309</v>
      </c>
      <c r="B311" s="74" t="s">
        <v>79</v>
      </c>
      <c r="C311" s="74" t="s">
        <v>81</v>
      </c>
      <c r="D311" s="74" t="s">
        <v>316</v>
      </c>
      <c r="E311" s="87">
        <v>44895</v>
      </c>
      <c r="F311" s="94">
        <v>2380.84</v>
      </c>
    </row>
    <row r="312" spans="1:6">
      <c r="A312" s="74" t="s">
        <v>309</v>
      </c>
      <c r="B312" s="88" t="s">
        <v>82</v>
      </c>
      <c r="C312" s="88" t="s">
        <v>84</v>
      </c>
      <c r="D312" s="74" t="s">
        <v>316</v>
      </c>
      <c r="E312" s="87">
        <v>44895</v>
      </c>
      <c r="F312" s="94">
        <v>3663.03</v>
      </c>
    </row>
    <row r="313" spans="1:6">
      <c r="A313" s="74" t="s">
        <v>309</v>
      </c>
      <c r="B313" s="88" t="s">
        <v>82</v>
      </c>
      <c r="C313" s="74" t="s">
        <v>83</v>
      </c>
      <c r="D313" s="74" t="s">
        <v>316</v>
      </c>
      <c r="E313" s="87">
        <v>44895</v>
      </c>
      <c r="F313" s="94">
        <v>4441.8</v>
      </c>
    </row>
    <row r="314" spans="1:6">
      <c r="A314" s="74" t="s">
        <v>309</v>
      </c>
      <c r="B314" s="74" t="s">
        <v>86</v>
      </c>
      <c r="C314" s="74" t="s">
        <v>87</v>
      </c>
      <c r="D314" s="74" t="s">
        <v>316</v>
      </c>
      <c r="E314" s="87">
        <v>44895</v>
      </c>
      <c r="F314" s="94">
        <v>6012.7</v>
      </c>
    </row>
    <row r="315" spans="1:6">
      <c r="A315" s="74" t="s">
        <v>309</v>
      </c>
      <c r="B315" s="74" t="s">
        <v>86</v>
      </c>
      <c r="C315" s="74" t="s">
        <v>88</v>
      </c>
      <c r="D315" s="74" t="s">
        <v>316</v>
      </c>
      <c r="E315" s="87">
        <v>44895</v>
      </c>
      <c r="F315" s="94">
        <v>5567.33</v>
      </c>
    </row>
    <row r="316" spans="1:6">
      <c r="A316" s="74" t="s">
        <v>309</v>
      </c>
      <c r="B316" s="74" t="s">
        <v>86</v>
      </c>
      <c r="C316" s="74" t="s">
        <v>89</v>
      </c>
      <c r="D316" s="74" t="s">
        <v>316</v>
      </c>
      <c r="E316" s="87">
        <v>44895</v>
      </c>
      <c r="F316" s="94">
        <v>5097.39</v>
      </c>
    </row>
    <row r="317" spans="1:6">
      <c r="A317" s="74" t="s">
        <v>309</v>
      </c>
      <c r="B317" s="74" t="s">
        <v>82</v>
      </c>
      <c r="C317" s="88" t="s">
        <v>85</v>
      </c>
      <c r="D317" s="74" t="s">
        <v>316</v>
      </c>
      <c r="E317" s="87">
        <v>44895</v>
      </c>
      <c r="F317" s="94">
        <v>4799.29</v>
      </c>
    </row>
    <row r="318" spans="1:6">
      <c r="A318" s="74" t="s">
        <v>309</v>
      </c>
      <c r="B318" s="74" t="s">
        <v>86</v>
      </c>
      <c r="C318" s="74" t="s">
        <v>90</v>
      </c>
      <c r="D318" s="74" t="s">
        <v>316</v>
      </c>
      <c r="E318" s="87">
        <v>44895</v>
      </c>
      <c r="F318" s="94">
        <v>6383.56</v>
      </c>
    </row>
    <row r="319" spans="1:6">
      <c r="A319" s="74" t="s">
        <v>309</v>
      </c>
      <c r="B319" s="74" t="s">
        <v>79</v>
      </c>
      <c r="C319" s="74" t="s">
        <v>80</v>
      </c>
      <c r="D319" s="74" t="s">
        <v>316</v>
      </c>
      <c r="E319" s="87">
        <v>44926</v>
      </c>
      <c r="F319" s="94">
        <v>3403.88</v>
      </c>
    </row>
    <row r="320" spans="1:6">
      <c r="A320" s="74" t="s">
        <v>309</v>
      </c>
      <c r="B320" s="74" t="s">
        <v>79</v>
      </c>
      <c r="C320" s="74" t="s">
        <v>81</v>
      </c>
      <c r="D320" s="74" t="s">
        <v>316</v>
      </c>
      <c r="E320" s="87">
        <v>44926</v>
      </c>
      <c r="F320" s="94">
        <v>2345.65</v>
      </c>
    </row>
    <row r="321" spans="1:6">
      <c r="A321" s="74" t="s">
        <v>309</v>
      </c>
      <c r="B321" s="88" t="s">
        <v>82</v>
      </c>
      <c r="C321" s="88" t="s">
        <v>84</v>
      </c>
      <c r="D321" s="74" t="s">
        <v>316</v>
      </c>
      <c r="E321" s="87">
        <v>44926</v>
      </c>
      <c r="F321" s="94">
        <v>3556.42</v>
      </c>
    </row>
    <row r="322" spans="1:6">
      <c r="A322" s="74" t="s">
        <v>309</v>
      </c>
      <c r="B322" s="88" t="s">
        <v>82</v>
      </c>
      <c r="C322" s="74" t="s">
        <v>83</v>
      </c>
      <c r="D322" s="74" t="s">
        <v>316</v>
      </c>
      <c r="E322" s="87">
        <v>44926</v>
      </c>
      <c r="F322" s="94">
        <v>4405.85</v>
      </c>
    </row>
    <row r="323" spans="1:6">
      <c r="A323" s="74" t="s">
        <v>309</v>
      </c>
      <c r="B323" s="74" t="s">
        <v>86</v>
      </c>
      <c r="C323" s="74" t="s">
        <v>87</v>
      </c>
      <c r="D323" s="74" t="s">
        <v>316</v>
      </c>
      <c r="E323" s="87">
        <v>44926</v>
      </c>
      <c r="F323" s="94">
        <v>5654.26</v>
      </c>
    </row>
    <row r="324" spans="1:6">
      <c r="A324" s="74" t="s">
        <v>309</v>
      </c>
      <c r="B324" s="74" t="s">
        <v>86</v>
      </c>
      <c r="C324" s="74" t="s">
        <v>88</v>
      </c>
      <c r="D324" s="74" t="s">
        <v>316</v>
      </c>
      <c r="E324" s="87">
        <v>44926</v>
      </c>
      <c r="F324" s="94">
        <v>5336.57</v>
      </c>
    </row>
    <row r="325" spans="1:6">
      <c r="A325" s="74" t="s">
        <v>309</v>
      </c>
      <c r="B325" s="74" t="s">
        <v>86</v>
      </c>
      <c r="C325" s="74" t="s">
        <v>89</v>
      </c>
      <c r="D325" s="74" t="s">
        <v>316</v>
      </c>
      <c r="E325" s="87">
        <v>44926</v>
      </c>
      <c r="F325" s="94">
        <v>4735.27</v>
      </c>
    </row>
    <row r="326" spans="1:6">
      <c r="A326" s="74" t="s">
        <v>309</v>
      </c>
      <c r="B326" s="74" t="s">
        <v>82</v>
      </c>
      <c r="C326" s="88" t="s">
        <v>85</v>
      </c>
      <c r="D326" s="74" t="s">
        <v>316</v>
      </c>
      <c r="E326" s="87">
        <v>44926</v>
      </c>
      <c r="F326" s="94">
        <v>5027.81</v>
      </c>
    </row>
    <row r="327" spans="1:6">
      <c r="A327" s="74" t="s">
        <v>309</v>
      </c>
      <c r="B327" s="74" t="s">
        <v>86</v>
      </c>
      <c r="C327" s="74" t="s">
        <v>90</v>
      </c>
      <c r="D327" s="74" t="s">
        <v>316</v>
      </c>
      <c r="E327" s="87">
        <v>44926</v>
      </c>
      <c r="F327" s="94">
        <v>6676.7</v>
      </c>
    </row>
    <row r="328" ht="14.4" spans="1:5">
      <c r="A328" s="90"/>
      <c r="B328" s="90"/>
      <c r="C328" s="90"/>
      <c r="D328" s="90"/>
      <c r="E328" s="90"/>
    </row>
    <row r="329" ht="14.4" spans="1:5">
      <c r="A329" s="90"/>
      <c r="B329" s="90"/>
      <c r="C329" s="90"/>
      <c r="D329" s="90"/>
      <c r="E329" s="90"/>
    </row>
    <row r="330" ht="14.4" spans="1:5">
      <c r="A330" s="90"/>
      <c r="B330" s="90"/>
      <c r="C330" s="90"/>
      <c r="D330" s="90"/>
      <c r="E330" s="90"/>
    </row>
    <row r="331" ht="14.4" spans="1:5">
      <c r="A331" s="90"/>
      <c r="B331" s="90"/>
      <c r="C331" s="90"/>
      <c r="D331" s="90"/>
      <c r="E331" s="90"/>
    </row>
    <row r="332" ht="14.4" spans="1:5">
      <c r="A332" s="90"/>
      <c r="B332" s="90"/>
      <c r="C332" s="90"/>
      <c r="D332" s="90"/>
      <c r="E332" s="90"/>
    </row>
    <row r="333" ht="14.4" spans="1:5">
      <c r="A333" s="90"/>
      <c r="B333" s="90"/>
      <c r="C333" s="90"/>
      <c r="D333" s="90"/>
      <c r="E333" s="90"/>
    </row>
    <row r="334" ht="14.4" spans="1:5">
      <c r="A334" s="90"/>
      <c r="B334" s="90"/>
      <c r="C334" s="90"/>
      <c r="D334" s="90"/>
      <c r="E334" s="90"/>
    </row>
    <row r="335" ht="14.4" spans="1:5">
      <c r="A335" s="90"/>
      <c r="B335" s="90"/>
      <c r="C335" s="90"/>
      <c r="D335" s="90"/>
      <c r="E335" s="90"/>
    </row>
    <row r="336" ht="14.4" spans="1:5">
      <c r="A336" s="90"/>
      <c r="B336" s="90"/>
      <c r="C336" s="90"/>
      <c r="D336" s="90"/>
      <c r="E336" s="90"/>
    </row>
    <row r="337" s="90" customFormat="1" ht="14.4"/>
    <row r="338" s="90" customFormat="1" ht="14.4"/>
    <row r="339" s="90" customFormat="1" ht="14.4"/>
    <row r="340" s="90" customFormat="1" ht="14.4"/>
    <row r="341" s="90" customFormat="1" ht="14.4"/>
    <row r="342" s="90" customFormat="1" ht="14.4"/>
    <row r="343" s="90" customFormat="1" ht="14.4"/>
    <row r="344" s="90" customFormat="1" ht="14.4"/>
    <row r="345" s="90" customFormat="1" ht="14.4"/>
    <row r="346" s="90" customFormat="1" ht="14.4"/>
    <row r="347" s="90" customFormat="1" ht="14.4"/>
    <row r="348" s="90" customFormat="1" ht="14.4"/>
    <row r="349" s="90" customFormat="1" ht="14.4"/>
    <row r="350" s="90" customFormat="1" ht="14.4"/>
    <row r="351" s="90" customFormat="1" ht="14.4"/>
    <row r="352" s="90" customFormat="1" ht="14.4"/>
    <row r="353" s="90" customFormat="1" ht="14.4"/>
    <row r="354" s="90" customFormat="1" ht="14.4"/>
    <row r="355" s="90" customFormat="1" ht="14.4"/>
    <row r="356" s="90" customFormat="1" ht="14.4"/>
    <row r="357" s="90" customFormat="1" ht="14.4"/>
    <row r="358" s="90" customFormat="1" ht="14.4"/>
    <row r="359" s="90" customFormat="1" ht="14.4"/>
    <row r="360" s="90" customFormat="1" ht="14.4"/>
    <row r="361" s="90" customFormat="1" ht="14.4"/>
    <row r="362" s="90" customFormat="1" ht="14.4"/>
    <row r="363" s="90" customFormat="1" ht="14.4"/>
    <row r="364" s="90" customFormat="1" ht="14.4"/>
    <row r="365" s="90" customFormat="1" ht="14.4"/>
    <row r="366" s="90" customFormat="1" ht="14.4"/>
    <row r="367" s="90" customFormat="1" ht="14.4"/>
    <row r="368" s="90" customFormat="1" ht="14.4"/>
    <row r="369" s="90" customFormat="1" ht="14.4"/>
    <row r="370" s="90" customFormat="1" ht="14.4"/>
    <row r="371" s="90" customFormat="1" ht="14.4"/>
    <row r="372" s="90" customFormat="1" ht="14.4"/>
    <row r="373" s="90" customFormat="1" ht="14.4"/>
    <row r="374" s="90" customFormat="1" ht="14.4"/>
    <row r="375" s="90" customFormat="1" ht="14.4"/>
    <row r="376" s="90" customFormat="1" ht="14.4"/>
    <row r="377" s="90" customFormat="1" ht="14.4"/>
    <row r="378" s="90" customFormat="1" ht="14.4"/>
    <row r="379" s="90" customFormat="1" ht="14.4"/>
    <row r="380" s="90" customFormat="1" ht="14.4"/>
    <row r="381" s="90" customFormat="1" ht="14.4"/>
    <row r="382" s="90" customFormat="1" ht="14.4"/>
    <row r="383" s="90" customFormat="1" ht="14.4"/>
    <row r="384" s="90" customFormat="1" ht="14.4"/>
    <row r="385" s="90" customFormat="1" ht="14.4"/>
    <row r="386" s="90" customFormat="1" ht="14.4"/>
    <row r="387" s="90" customFormat="1" ht="14.4"/>
    <row r="388" s="90" customFormat="1" ht="14.4"/>
    <row r="389" s="90" customFormat="1" ht="14.4"/>
    <row r="390" s="90" customFormat="1" ht="14.4"/>
    <row r="391" s="90" customFormat="1" ht="14.4"/>
    <row r="392" s="90" customFormat="1" ht="14.4"/>
    <row r="393" s="90" customFormat="1" ht="14.4"/>
    <row r="394" s="90" customFormat="1" ht="14.4"/>
    <row r="395" s="90" customFormat="1" ht="14.4"/>
    <row r="396" s="90" customFormat="1" ht="14.4"/>
    <row r="397" s="90" customFormat="1" ht="14.4"/>
    <row r="398" s="90" customFormat="1" ht="14.4"/>
    <row r="399" s="90" customFormat="1" ht="14.4"/>
    <row r="400" s="90" customFormat="1" ht="14.4"/>
    <row r="401" s="90" customFormat="1" ht="14.4"/>
    <row r="402" s="90" customFormat="1" ht="14.4"/>
    <row r="403" s="90" customFormat="1" ht="14.4"/>
    <row r="404" s="90" customFormat="1" ht="14.4"/>
    <row r="405" s="90" customFormat="1" ht="14.4"/>
    <row r="406" s="90" customFormat="1" ht="14.4"/>
    <row r="407" s="90" customFormat="1" ht="14.4"/>
    <row r="408" s="90" customFormat="1" ht="14.4"/>
    <row r="409" s="90" customFormat="1" ht="14.4"/>
    <row r="410" s="90" customFormat="1" ht="14.4"/>
    <row r="411" s="90" customFormat="1" ht="14.4"/>
    <row r="412" s="90" customFormat="1" ht="14.4"/>
    <row r="413" s="90" customFormat="1" ht="14.4"/>
    <row r="414" s="90" customFormat="1" ht="14.4"/>
    <row r="415" s="90" customFormat="1" ht="14.4"/>
    <row r="416" s="90" customFormat="1" ht="14.4"/>
    <row r="417" s="90" customFormat="1" ht="14.4"/>
    <row r="418" s="90" customFormat="1" ht="14.4"/>
    <row r="419" s="90" customFormat="1" ht="14.4"/>
    <row r="420" s="90" customFormat="1" ht="14.4"/>
    <row r="421" s="90" customFormat="1" ht="14.4"/>
    <row r="422" s="90" customFormat="1" ht="14.4"/>
    <row r="423" s="90" customFormat="1" ht="14.4"/>
    <row r="424" s="90" customFormat="1" ht="14.4"/>
    <row r="425" s="90" customFormat="1" ht="14.4"/>
    <row r="426" s="90" customFormat="1" ht="14.4"/>
    <row r="427" s="90" customFormat="1" ht="14.4"/>
    <row r="428" s="90" customFormat="1" ht="14.4"/>
    <row r="429" s="90" customFormat="1" ht="14.4"/>
    <row r="430" s="90" customFormat="1" ht="14.4"/>
    <row r="431" s="90" customFormat="1" ht="14.4"/>
    <row r="432" s="90" customFormat="1" ht="14.4"/>
    <row r="433" s="90" customFormat="1" ht="14.4"/>
    <row r="434" s="90" customFormat="1" ht="14.4"/>
    <row r="435" s="90" customFormat="1" ht="14.4"/>
    <row r="436" s="90" customFormat="1" ht="14.4"/>
    <row r="437" s="90" customFormat="1" ht="14.4"/>
    <row r="438" s="90" customFormat="1" ht="14.4"/>
    <row r="439" s="90" customFormat="1" ht="14.4"/>
    <row r="440" s="90" customFormat="1" ht="14.4"/>
    <row r="441" s="90" customFormat="1" ht="14.4"/>
    <row r="442" s="90" customFormat="1" ht="14.4"/>
    <row r="443" s="90" customFormat="1" ht="14.4"/>
    <row r="444" s="90" customFormat="1" ht="14.4"/>
    <row r="445" s="90" customFormat="1" ht="14.4"/>
    <row r="446" s="90" customFormat="1" ht="14.4"/>
    <row r="447" s="90" customFormat="1" ht="14.4"/>
    <row r="448" s="90" customFormat="1" ht="14.4"/>
    <row r="449" s="90" customFormat="1" ht="14.4"/>
    <row r="450" s="90" customFormat="1" ht="14.4"/>
    <row r="451" s="90" customFormat="1" ht="14.4"/>
    <row r="452" s="90" customFormat="1" ht="14.4"/>
    <row r="453" s="90" customFormat="1" ht="14.4"/>
    <row r="454" s="90" customFormat="1" ht="14.4"/>
    <row r="455" s="90" customFormat="1" ht="14.4"/>
    <row r="456" s="90" customFormat="1" ht="14.4"/>
    <row r="457" s="90" customFormat="1" ht="14.4"/>
    <row r="458" s="90" customFormat="1" ht="14.4"/>
    <row r="459" s="90" customFormat="1" ht="14.4"/>
    <row r="460" s="90" customFormat="1" ht="14.4"/>
    <row r="461" s="90" customFormat="1" ht="14.4"/>
    <row r="462" s="90" customFormat="1" ht="14.4"/>
    <row r="463" s="90" customFormat="1" ht="14.4"/>
    <row r="464" s="90" customFormat="1" ht="14.4"/>
    <row r="465" s="90" customFormat="1" ht="14.4"/>
    <row r="466" s="90" customFormat="1" ht="14.4"/>
    <row r="467" s="90" customFormat="1" ht="14.4"/>
    <row r="468" s="90" customFormat="1" ht="14.4"/>
    <row r="469" s="90" customFormat="1" ht="14.4"/>
    <row r="470" s="90" customFormat="1" ht="14.4"/>
    <row r="471" s="90" customFormat="1" ht="14.4"/>
    <row r="472" s="90" customFormat="1" ht="14.4"/>
    <row r="473" s="90" customFormat="1" ht="14.4"/>
    <row r="474" s="90" customFormat="1" ht="14.4"/>
    <row r="475" s="90" customFormat="1" ht="14.4"/>
    <row r="476" s="90" customFormat="1" ht="14.4"/>
    <row r="477" s="90" customFormat="1" ht="14.4"/>
    <row r="478" s="90" customFormat="1" ht="14.4"/>
    <row r="479" s="90" customFormat="1" ht="14.4"/>
    <row r="480" s="90" customFormat="1" ht="14.4"/>
    <row r="481" s="90" customFormat="1" ht="14.4"/>
    <row r="482" s="90" customFormat="1" ht="14.4"/>
    <row r="483" s="90" customFormat="1" ht="14.4"/>
    <row r="484" s="90" customFormat="1" ht="14.4"/>
    <row r="485" s="90" customFormat="1" ht="14.4"/>
    <row r="486" s="90" customFormat="1" ht="14.4"/>
    <row r="487" s="90" customFormat="1" ht="14.4"/>
    <row r="488" s="90" customFormat="1" ht="14.4"/>
    <row r="489" s="90" customFormat="1" ht="14.4"/>
    <row r="490" s="90" customFormat="1" ht="14.4"/>
    <row r="491" s="90" customFormat="1" ht="14.4"/>
    <row r="492" s="90" customFormat="1" ht="14.4"/>
    <row r="493" s="90" customFormat="1" ht="14.4"/>
    <row r="494" s="90" customFormat="1" ht="14.4"/>
    <row r="495" s="90" customFormat="1" ht="14.4"/>
    <row r="496" s="90" customFormat="1" ht="14.4"/>
    <row r="497" s="90" customFormat="1" ht="14.4"/>
    <row r="498" s="90" customFormat="1" ht="14.4"/>
    <row r="499" s="90" customFormat="1" ht="14.4"/>
    <row r="500" s="90" customFormat="1" ht="14.4"/>
    <row r="501" s="90" customFormat="1" ht="14.4"/>
    <row r="502" s="90" customFormat="1" ht="14.4"/>
    <row r="503" s="90" customFormat="1" ht="14.4"/>
    <row r="504" s="90" customFormat="1" ht="14.4"/>
    <row r="505" s="90" customFormat="1" ht="14.4"/>
    <row r="506" s="90" customFormat="1" ht="14.4"/>
    <row r="507" s="90" customFormat="1" ht="14.4"/>
    <row r="508" s="90" customFormat="1" ht="14.4"/>
    <row r="509" s="90" customFormat="1" ht="14.4"/>
    <row r="510" s="90" customFormat="1" ht="14.4"/>
    <row r="511" s="90" customFormat="1" ht="14.4"/>
    <row r="512" s="90" customFormat="1" ht="14.4"/>
    <row r="513" s="90" customFormat="1" ht="14.4"/>
    <row r="514" s="90" customFormat="1" ht="14.4"/>
    <row r="515" s="90" customFormat="1" ht="14.4"/>
    <row r="516" s="90" customFormat="1" ht="14.4"/>
    <row r="517" s="90" customFormat="1" ht="14.4"/>
    <row r="518" s="90" customFormat="1" ht="14.4"/>
    <row r="519" s="90" customFormat="1" ht="14.4"/>
    <row r="520" s="90" customFormat="1" ht="14.4"/>
    <row r="521" s="90" customFormat="1" ht="14.4"/>
    <row r="522" s="90" customFormat="1" ht="14.4"/>
    <row r="523" s="90" customFormat="1" ht="14.4"/>
    <row r="524" s="90" customFormat="1" ht="14.4"/>
    <row r="525" s="90" customFormat="1" ht="14.4"/>
    <row r="526" s="90" customFormat="1" ht="14.4"/>
    <row r="527" s="90" customFormat="1" ht="14.4"/>
    <row r="528" s="90" customFormat="1" ht="14.4"/>
    <row r="529" s="90" customFormat="1" ht="14.4"/>
    <row r="530" s="90" customFormat="1" ht="14.4"/>
    <row r="531" s="90" customFormat="1" ht="14.4"/>
    <row r="532" s="90" customFormat="1" ht="14.4"/>
    <row r="533" s="90" customFormat="1" ht="14.4"/>
    <row r="534" s="90" customFormat="1" ht="14.4"/>
    <row r="535" s="90" customFormat="1" ht="14.4"/>
    <row r="536" s="90" customFormat="1" ht="14.4"/>
    <row r="537" s="90" customFormat="1" ht="14.4"/>
    <row r="538" s="90" customFormat="1" ht="14.4"/>
    <row r="539" s="90" customFormat="1" ht="14.4"/>
    <row r="540" s="90" customFormat="1" ht="14.4"/>
    <row r="541" s="90" customFormat="1" ht="14.4"/>
    <row r="542" s="90" customFormat="1" ht="14.4"/>
    <row r="543" s="90" customFormat="1" ht="14.4"/>
    <row r="544" s="90" customFormat="1" ht="14.4"/>
    <row r="545" s="90" customFormat="1" ht="14.4"/>
    <row r="546" s="90" customFormat="1" ht="14.4"/>
    <row r="547" s="90" customFormat="1" ht="14.4"/>
    <row r="548" s="90" customFormat="1" ht="14.4"/>
    <row r="549" s="90" customFormat="1" ht="14.4"/>
    <row r="550" s="90" customFormat="1" ht="14.4"/>
    <row r="551" s="90" customFormat="1" ht="14.4"/>
    <row r="552" s="90" customFormat="1" ht="14.4"/>
    <row r="553" s="90" customFormat="1" ht="14.4"/>
    <row r="554" s="90" customFormat="1" ht="14.4"/>
    <row r="555" s="90" customFormat="1" ht="14.4"/>
    <row r="556" s="90" customFormat="1" ht="14.4"/>
    <row r="557" s="90" customFormat="1" ht="14.4"/>
    <row r="558" s="90" customFormat="1" ht="14.4"/>
    <row r="559" s="90" customFormat="1" ht="14.4"/>
    <row r="560" s="90" customFormat="1" ht="14.4"/>
    <row r="561" s="90" customFormat="1" ht="14.4"/>
    <row r="562" s="90" customFormat="1" ht="14.4"/>
    <row r="563" s="90" customFormat="1" ht="14.4"/>
    <row r="564" s="90" customFormat="1" ht="14.4"/>
    <row r="565" s="90" customFormat="1" ht="14.4"/>
    <row r="566" s="90" customFormat="1" ht="14.4"/>
    <row r="567" s="90" customFormat="1" ht="14.4"/>
    <row r="568" s="90" customFormat="1" ht="14.4"/>
    <row r="569" s="90" customFormat="1" ht="14.4"/>
    <row r="570" s="90" customFormat="1" ht="14.4"/>
    <row r="571" s="90" customFormat="1" ht="14.4"/>
    <row r="572" s="90" customFormat="1" ht="14.4"/>
    <row r="573" s="90" customFormat="1" ht="14.4"/>
    <row r="574" s="90" customFormat="1" ht="14.4"/>
    <row r="575" s="90" customFormat="1" ht="14.4"/>
    <row r="576" s="90" customFormat="1" ht="14.4"/>
    <row r="577" s="90" customFormat="1" ht="14.4"/>
    <row r="578" s="90" customFormat="1" ht="14.4"/>
    <row r="579" s="90" customFormat="1" ht="14.4"/>
    <row r="580" s="90" customFormat="1" ht="14.4"/>
    <row r="581" s="90" customFormat="1" ht="14.4"/>
    <row r="582" s="90" customFormat="1" ht="14.4"/>
    <row r="583" s="90" customFormat="1" ht="14.4"/>
    <row r="584" s="90" customFormat="1" ht="14.4"/>
    <row r="585" s="90" customFormat="1" ht="14.4"/>
    <row r="586" s="90" customFormat="1" ht="14.4"/>
    <row r="587" s="90" customFormat="1" ht="14.4"/>
    <row r="588" s="90" customFormat="1" ht="14.4"/>
    <row r="589" s="90" customFormat="1" ht="14.4"/>
    <row r="590" s="90" customFormat="1" ht="14.4"/>
    <row r="591" s="90" customFormat="1" ht="14.4"/>
    <row r="592" s="90" customFormat="1" ht="14.4"/>
    <row r="593" s="90" customFormat="1" ht="14.4"/>
    <row r="594" s="90" customFormat="1" ht="14.4"/>
    <row r="595" s="90" customFormat="1" ht="14.4"/>
    <row r="596" s="90" customFormat="1" ht="14.4"/>
    <row r="597" s="90" customFormat="1" ht="14.4"/>
    <row r="598" s="90" customFormat="1" ht="14.4"/>
    <row r="599" s="90" customFormat="1" ht="14.4"/>
    <row r="600" s="90" customFormat="1" ht="14.4"/>
    <row r="601" s="90" customFormat="1" ht="14.4"/>
    <row r="602" s="90" customFormat="1" ht="14.4"/>
    <row r="603" s="90" customFormat="1" ht="14.4"/>
    <row r="604" s="90" customFormat="1" ht="14.4"/>
    <row r="605" s="90" customFormat="1" ht="14.4"/>
    <row r="606" s="90" customFormat="1" ht="14.4"/>
    <row r="607" s="90" customFormat="1" ht="14.4"/>
    <row r="608" s="90" customFormat="1" ht="14.4"/>
    <row r="609" s="90" customFormat="1" ht="14.4"/>
    <row r="610" s="90" customFormat="1" ht="14.4"/>
    <row r="611" s="90" customFormat="1" ht="14.4"/>
    <row r="612" s="90" customFormat="1" ht="14.4"/>
    <row r="613" s="90" customFormat="1" ht="14.4"/>
    <row r="614" s="90" customFormat="1" ht="14.4"/>
    <row r="615" s="90" customFormat="1" ht="14.4"/>
    <row r="616" s="90" customFormat="1" ht="14.4"/>
    <row r="617" s="90" customFormat="1" ht="14.4"/>
    <row r="618" s="90" customFormat="1" ht="14.4"/>
    <row r="619" s="90" customFormat="1" ht="14.4"/>
    <row r="620" s="90" customFormat="1" ht="14.4"/>
    <row r="621" s="90" customFormat="1" ht="14.4"/>
    <row r="622" s="90" customFormat="1" ht="14.4"/>
    <row r="623" s="90" customFormat="1" ht="14.4"/>
    <row r="624" s="90" customFormat="1" ht="14.4"/>
    <row r="625" s="90" customFormat="1" ht="14.4"/>
    <row r="626" s="90" customFormat="1" ht="14.4"/>
    <row r="627" s="90" customFormat="1" ht="14.4"/>
    <row r="628" s="90" customFormat="1" ht="14.4"/>
    <row r="629" s="90" customFormat="1" ht="14.4"/>
    <row r="630" s="90" customFormat="1" ht="14.4"/>
    <row r="631" s="90" customFormat="1" ht="14.4"/>
    <row r="632" s="90" customFormat="1" ht="14.4"/>
    <row r="633" s="90" customFormat="1" ht="14.4"/>
    <row r="634" s="90" customFormat="1" ht="14.4"/>
    <row r="635" s="90" customFormat="1" ht="14.4"/>
    <row r="636" s="90" customFormat="1" ht="14.4"/>
    <row r="637" s="90" customFormat="1" ht="14.4"/>
    <row r="638" s="90" customFormat="1" ht="14.4"/>
    <row r="639" s="90" customFormat="1" ht="14.4"/>
    <row r="640" s="90" customFormat="1" ht="14.4"/>
    <row r="641" s="90" customFormat="1" ht="14.4"/>
    <row r="642" s="90" customFormat="1" ht="14.4"/>
    <row r="643" s="90" customFormat="1" ht="14.4"/>
    <row r="644" s="90" customFormat="1" ht="14.4"/>
    <row r="645" s="90" customFormat="1" ht="14.4"/>
    <row r="646" s="90" customFormat="1" ht="14.4"/>
    <row r="647" s="90" customFormat="1" ht="14.4"/>
    <row r="648" s="90" customFormat="1" ht="14.4"/>
    <row r="649" s="90" customFormat="1" ht="14.4"/>
    <row r="650" s="90" customFormat="1" ht="14.4"/>
    <row r="651" s="90" customFormat="1" ht="14.4"/>
    <row r="652" s="90" customFormat="1" ht="14.4"/>
    <row r="653" s="90" customFormat="1" ht="14.4"/>
    <row r="654" s="90" customFormat="1" ht="14.4"/>
    <row r="655" s="90" customFormat="1" ht="14.4"/>
    <row r="656" s="90" customFormat="1" ht="14.4"/>
    <row r="657" s="90" customFormat="1" ht="14.4"/>
    <row r="658" s="90" customFormat="1" ht="14.4"/>
    <row r="659" s="90" customFormat="1" ht="14.4"/>
    <row r="660" s="90" customFormat="1" ht="14.4"/>
    <row r="661" s="90" customFormat="1" ht="14.4"/>
    <row r="662" s="90" customFormat="1" ht="14.4"/>
    <row r="663" s="90" customFormat="1" ht="14.4"/>
    <row r="664" s="90" customFormat="1" ht="14.4"/>
    <row r="665" s="90" customFormat="1" ht="14.4"/>
    <row r="666" s="90" customFormat="1" ht="14.4"/>
    <row r="667" s="90" customFormat="1" ht="14.4"/>
    <row r="668" s="90" customFormat="1" ht="14.4"/>
    <row r="669" s="90" customFormat="1" ht="14.4"/>
    <row r="670" s="90" customFormat="1" ht="14.4"/>
    <row r="671" s="90" customFormat="1" ht="14.4"/>
    <row r="672" s="90" customFormat="1" ht="14.4"/>
    <row r="673" s="90" customFormat="1" ht="14.4"/>
    <row r="674" s="90" customFormat="1" ht="14.4"/>
    <row r="675" s="90" customFormat="1" ht="14.4"/>
    <row r="676" s="90" customFormat="1" ht="14.4"/>
    <row r="677" s="90" customFormat="1" ht="14.4"/>
    <row r="678" s="90" customFormat="1" ht="14.4"/>
    <row r="679" s="90" customFormat="1" ht="14.4"/>
    <row r="680" s="90" customFormat="1" ht="14.4"/>
    <row r="681" s="90" customFormat="1" ht="14.4"/>
    <row r="682" s="90" customFormat="1" ht="14.4"/>
    <row r="683" s="90" customFormat="1" ht="14.4"/>
    <row r="684" s="90" customFormat="1" ht="14.4"/>
    <row r="685" s="90" customFormat="1" ht="14.4"/>
    <row r="686" s="90" customFormat="1" ht="14.4"/>
    <row r="687" s="90" customFormat="1" ht="14.4"/>
    <row r="688" s="90" customFormat="1" ht="14.4"/>
    <row r="689" s="90" customFormat="1" ht="14.4"/>
    <row r="690" s="90" customFormat="1" ht="14.4"/>
    <row r="691" s="90" customFormat="1" ht="14.4"/>
    <row r="692" s="90" customFormat="1" ht="14.4"/>
    <row r="693" s="90" customFormat="1" ht="14.4"/>
    <row r="694" s="90" customFormat="1" ht="14.4"/>
    <row r="695" s="90" customFormat="1" ht="14.4"/>
    <row r="696" s="90" customFormat="1" ht="14.4"/>
    <row r="697" s="90" customFormat="1" ht="14.4"/>
    <row r="698" s="90" customFormat="1" ht="14.4"/>
    <row r="699" s="90" customFormat="1" ht="14.4"/>
    <row r="700" s="90" customFormat="1" ht="14.4"/>
    <row r="701" s="90" customFormat="1" ht="14.4"/>
    <row r="702" s="90" customFormat="1" ht="14.4"/>
    <row r="703" s="90" customFormat="1" ht="14.4"/>
    <row r="704" s="90" customFormat="1" ht="14.4"/>
    <row r="705" s="90" customFormat="1" ht="14.4"/>
    <row r="706" s="90" customFormat="1" ht="14.4"/>
    <row r="707" s="90" customFormat="1" ht="14.4"/>
    <row r="708" s="90" customFormat="1" ht="14.4"/>
    <row r="709" s="90" customFormat="1" ht="14.4"/>
    <row r="710" s="90" customFormat="1" ht="14.4"/>
    <row r="711" s="90" customFormat="1" ht="14.4"/>
    <row r="712" s="90" customFormat="1" ht="14.4"/>
    <row r="713" s="90" customFormat="1" ht="14.4"/>
    <row r="714" s="90" customFormat="1" ht="14.4"/>
    <row r="715" s="90" customFormat="1" ht="14.4"/>
    <row r="716" s="90" customFormat="1" ht="14.4"/>
    <row r="717" s="90" customFormat="1" ht="14.4"/>
    <row r="718" s="90" customFormat="1" ht="14.4"/>
    <row r="719" s="90" customFormat="1" ht="14.4"/>
    <row r="720" s="90" customFormat="1" ht="14.4"/>
    <row r="721" s="90" customFormat="1" ht="14.4"/>
    <row r="722" s="90" customFormat="1" ht="14.4"/>
    <row r="723" s="90" customFormat="1" ht="14.4"/>
    <row r="724" s="90" customFormat="1" ht="14.4"/>
    <row r="725" s="90" customFormat="1" ht="14.4"/>
    <row r="726" s="90" customFormat="1" ht="14.4"/>
    <row r="727" s="90" customFormat="1" ht="14.4"/>
    <row r="728" s="90" customFormat="1" ht="14.4"/>
    <row r="729" s="90" customFormat="1" ht="14.4"/>
    <row r="730" s="90" customFormat="1" ht="14.4"/>
    <row r="731" s="90" customFormat="1" ht="14.4"/>
    <row r="732" s="90" customFormat="1" ht="14.4"/>
    <row r="733" s="90" customFormat="1" ht="14.4"/>
    <row r="734" s="90" customFormat="1" ht="14.4"/>
    <row r="735" s="90" customFormat="1" ht="14.4"/>
    <row r="736" s="90" customFormat="1" ht="14.4"/>
    <row r="737" s="90" customFormat="1" ht="14.4"/>
    <row r="738" s="90" customFormat="1" ht="14.4"/>
    <row r="739" s="90" customFormat="1" ht="14.4"/>
    <row r="740" s="90" customFormat="1" ht="14.4"/>
    <row r="741" s="90" customFormat="1" ht="14.4"/>
    <row r="742" s="90" customFormat="1" ht="14.4"/>
    <row r="743" s="90" customFormat="1" ht="14.4"/>
    <row r="744" s="90" customFormat="1" ht="14.4"/>
    <row r="745" s="90" customFormat="1" ht="14.4"/>
    <row r="746" s="90" customFormat="1" ht="14.4"/>
    <row r="747" s="90" customFormat="1" ht="14.4"/>
    <row r="748" s="90" customFormat="1" ht="14.4"/>
    <row r="749" s="90" customFormat="1" ht="14.4"/>
    <row r="750" s="90" customFormat="1" ht="14.4"/>
    <row r="751" s="90" customFormat="1" ht="14.4"/>
    <row r="752" s="90" customFormat="1" ht="14.4"/>
    <row r="753" s="90" customFormat="1" ht="14.4"/>
    <row r="754" s="90" customFormat="1" ht="14.4"/>
    <row r="755" s="90" customFormat="1" ht="14.4"/>
    <row r="756" s="90" customFormat="1" ht="14.4"/>
    <row r="757" s="90" customFormat="1" ht="14.4"/>
    <row r="758" s="90" customFormat="1" ht="14.4"/>
    <row r="759" s="90" customFormat="1" ht="14.4"/>
    <row r="760" s="90" customFormat="1" ht="14.4"/>
    <row r="761" s="90" customFormat="1" ht="14.4"/>
    <row r="762" s="90" customFormat="1" ht="14.4"/>
    <row r="763" s="90" customFormat="1" ht="14.4"/>
    <row r="764" s="90" customFormat="1" ht="14.4"/>
    <row r="765" s="90" customFormat="1" ht="14.4"/>
    <row r="766" s="90" customFormat="1" ht="14.4"/>
    <row r="767" s="90" customFormat="1" ht="14.4"/>
    <row r="768" s="90" customFormat="1" ht="14.4"/>
    <row r="769" s="90" customFormat="1" ht="14.4"/>
    <row r="770" s="90" customFormat="1" ht="14.4"/>
    <row r="771" s="90" customFormat="1" ht="14.4"/>
    <row r="772" s="90" customFormat="1" ht="14.4"/>
    <row r="773" s="90" customFormat="1" ht="14.4"/>
    <row r="774" s="90" customFormat="1" ht="14.4"/>
    <row r="775" s="90" customFormat="1" ht="14.4"/>
    <row r="776" s="90" customFormat="1" ht="14.4"/>
    <row r="777" s="90" customFormat="1" ht="14.4"/>
    <row r="778" s="90" customFormat="1" ht="14.4"/>
    <row r="779" s="90" customFormat="1" ht="14.4"/>
    <row r="780" s="90" customFormat="1" ht="14.4"/>
    <row r="781" s="90" customFormat="1" ht="14.4"/>
    <row r="782" s="90" customFormat="1" ht="14.4"/>
    <row r="783" s="90" customFormat="1" ht="14.4"/>
    <row r="784" s="90" customFormat="1" ht="14.4"/>
    <row r="785" s="90" customFormat="1" ht="14.4"/>
    <row r="786" s="90" customFormat="1" ht="14.4"/>
    <row r="787" s="90" customFormat="1" ht="14.4"/>
    <row r="788" s="90" customFormat="1" ht="14.4"/>
    <row r="789" s="90" customFormat="1" ht="14.4"/>
    <row r="790" s="90" customFormat="1" ht="14.4"/>
    <row r="791" s="90" customFormat="1" ht="14.4"/>
    <row r="792" s="90" customFormat="1" ht="14.4"/>
    <row r="793" s="90" customFormat="1" ht="14.4"/>
    <row r="794" s="90" customFormat="1" ht="14.4"/>
    <row r="795" s="90" customFormat="1" ht="14.4"/>
    <row r="796" s="90" customFormat="1" ht="14.4"/>
    <row r="797" s="90" customFormat="1" ht="14.4"/>
    <row r="798" s="90" customFormat="1" ht="14.4"/>
    <row r="799" s="90" customFormat="1" ht="14.4"/>
    <row r="800" s="90" customFormat="1" ht="14.4"/>
    <row r="801" s="90" customFormat="1" ht="14.4"/>
    <row r="802" s="90" customFormat="1" ht="14.4"/>
    <row r="803" s="90" customFormat="1" ht="14.4"/>
    <row r="804" s="90" customFormat="1" ht="14.4"/>
    <row r="805" s="90" customFormat="1" ht="14.4"/>
    <row r="806" s="90" customFormat="1" ht="14.4"/>
    <row r="807" s="90" customFormat="1" ht="14.4"/>
    <row r="808" s="90" customFormat="1" ht="14.4"/>
    <row r="809" s="90" customFormat="1" ht="14.4"/>
    <row r="810" s="90" customFormat="1" ht="14.4"/>
    <row r="811" s="90" customFormat="1" ht="14.4"/>
    <row r="812" s="90" customFormat="1" ht="14.4"/>
    <row r="813" s="90" customFormat="1" ht="14.4"/>
    <row r="814" s="90" customFormat="1" ht="14.4"/>
    <row r="815" s="90" customFormat="1" ht="14.4"/>
    <row r="816" s="90" customFormat="1" ht="14.4"/>
    <row r="817" s="90" customFormat="1" ht="14.4"/>
    <row r="818" s="90" customFormat="1" ht="14.4"/>
    <row r="819" s="90" customFormat="1" ht="14.4"/>
    <row r="820" s="90" customFormat="1" ht="14.4"/>
    <row r="821" s="90" customFormat="1" ht="14.4"/>
    <row r="822" s="90" customFormat="1" ht="14.4"/>
    <row r="823" s="90" customFormat="1" ht="14.4"/>
    <row r="824" s="90" customFormat="1" ht="14.4"/>
    <row r="825" s="90" customFormat="1" ht="14.4"/>
    <row r="826" s="90" customFormat="1" ht="14.4"/>
    <row r="827" s="90" customFormat="1" ht="14.4"/>
    <row r="828" s="90" customFormat="1" ht="14.4"/>
    <row r="829" s="90" customFormat="1" ht="14.4"/>
    <row r="830" s="90" customFormat="1" ht="14.4"/>
    <row r="831" s="90" customFormat="1" ht="14.4"/>
    <row r="832" s="90" customFormat="1" ht="14.4"/>
    <row r="833" s="90" customFormat="1" ht="14.4"/>
    <row r="834" s="90" customFormat="1" ht="14.4"/>
    <row r="835" s="90" customFormat="1" ht="14.4"/>
    <row r="836" s="90" customFormat="1" ht="14.4"/>
    <row r="837" s="90" customFormat="1" ht="14.4"/>
    <row r="838" s="90" customFormat="1" ht="14.4"/>
    <row r="839" s="90" customFormat="1" ht="14.4"/>
    <row r="840" s="90" customFormat="1" ht="14.4"/>
    <row r="841" s="90" customFormat="1" ht="14.4"/>
    <row r="842" s="90" customFormat="1" ht="14.4"/>
    <row r="843" s="90" customFormat="1" ht="14.4"/>
    <row r="844" s="90" customFormat="1" ht="14.4"/>
    <row r="845" s="90" customFormat="1" ht="14.4"/>
    <row r="846" s="90" customFormat="1" ht="14.4"/>
    <row r="847" s="90" customFormat="1" ht="14.4"/>
    <row r="848" s="90" customFormat="1" ht="14.4"/>
    <row r="849" s="90" customFormat="1" ht="14.4"/>
    <row r="850" s="90" customFormat="1" ht="14.4"/>
    <row r="851" s="90" customFormat="1" ht="14.4"/>
    <row r="852" s="90" customFormat="1" ht="14.4"/>
    <row r="853" s="90" customFormat="1" ht="14.4"/>
    <row r="854" s="90" customFormat="1" ht="14.4"/>
    <row r="855" s="90" customFormat="1" ht="14.4"/>
    <row r="856" s="90" customFormat="1" ht="14.4"/>
    <row r="857" s="90" customFormat="1" ht="14.4"/>
    <row r="858" s="90" customFormat="1" ht="14.4"/>
    <row r="859" s="90" customFormat="1" ht="14.4"/>
    <row r="860" s="90" customFormat="1" ht="14.4"/>
    <row r="861" s="90" customFormat="1" ht="14.4"/>
    <row r="862" s="90" customFormat="1" ht="14.4"/>
    <row r="863" s="90" customFormat="1" ht="14.4"/>
    <row r="864" s="90" customFormat="1" ht="14.4"/>
    <row r="865" s="90" customFormat="1" ht="14.4"/>
    <row r="866" s="90" customFormat="1" ht="14.4"/>
    <row r="867" s="90" customFormat="1" ht="14.4"/>
    <row r="868" s="90" customFormat="1" ht="14.4"/>
    <row r="869" s="90" customFormat="1" ht="14.4"/>
    <row r="870" s="90" customFormat="1" ht="14.4"/>
    <row r="871" s="90" customFormat="1" ht="14.4"/>
    <row r="872" s="90" customFormat="1" ht="14.4"/>
    <row r="873" s="90" customFormat="1" ht="14.4"/>
    <row r="874" s="90" customFormat="1" ht="14.4"/>
    <row r="875" s="90" customFormat="1" ht="14.4"/>
    <row r="876" s="90" customFormat="1" ht="14.4"/>
    <row r="877" s="90" customFormat="1" ht="14.4"/>
    <row r="878" s="90" customFormat="1" ht="14.4"/>
    <row r="879" s="90" customFormat="1" ht="14.4"/>
    <row r="880" s="90" customFormat="1" ht="14.4"/>
    <row r="881" s="90" customFormat="1" ht="14.4"/>
    <row r="882" s="90" customFormat="1" ht="14.4"/>
    <row r="883" s="90" customFormat="1" ht="14.4"/>
    <row r="884" s="90" customFormat="1" ht="14.4"/>
    <row r="885" s="90" customFormat="1" ht="14.4"/>
    <row r="886" s="90" customFormat="1" ht="14.4"/>
    <row r="887" s="90" customFormat="1" ht="14.4"/>
    <row r="888" s="90" customFormat="1" ht="14.4"/>
    <row r="889" s="90" customFormat="1" ht="14.4"/>
    <row r="890" s="90" customFormat="1" ht="14.4"/>
    <row r="891" s="90" customFormat="1" ht="14.4"/>
    <row r="892" s="90" customFormat="1" ht="14.4"/>
    <row r="893" s="90" customFormat="1" ht="14.4"/>
    <row r="894" s="90" customFormat="1" ht="14.4"/>
    <row r="895" s="90" customFormat="1" ht="14.4"/>
    <row r="896" s="90" customFormat="1" ht="14.4"/>
    <row r="897" s="90" customFormat="1" ht="14.4"/>
    <row r="898" s="90" customFormat="1" ht="14.4"/>
    <row r="899" s="90" customFormat="1" ht="14.4"/>
    <row r="900" s="90" customFormat="1" ht="14.4"/>
    <row r="901" s="90" customFormat="1" ht="14.4"/>
    <row r="902" s="90" customFormat="1" ht="14.4"/>
    <row r="903" s="90" customFormat="1" ht="14.4"/>
    <row r="904" s="90" customFormat="1" ht="14.4"/>
    <row r="905" s="90" customFormat="1" ht="14.4"/>
    <row r="906" s="90" customFormat="1" ht="14.4"/>
    <row r="907" s="90" customFormat="1" ht="14.4"/>
    <row r="908" s="90" customFormat="1" ht="14.4"/>
    <row r="909" s="90" customFormat="1" ht="14.4"/>
    <row r="910" s="90" customFormat="1" ht="14.4"/>
    <row r="911" s="90" customFormat="1" ht="14.4"/>
    <row r="912" s="90" customFormat="1" ht="14.4"/>
    <row r="913" s="90" customFormat="1" ht="14.4"/>
    <row r="914" s="90" customFormat="1" ht="14.4"/>
    <row r="915" s="90" customFormat="1" ht="14.4"/>
    <row r="916" s="90" customFormat="1" ht="14.4"/>
    <row r="917" s="90" customFormat="1" ht="14.4"/>
    <row r="918" s="90" customFormat="1" ht="14.4"/>
    <row r="919" s="90" customFormat="1" ht="14.4"/>
    <row r="920" s="90" customFormat="1" ht="14.4"/>
    <row r="921" s="90" customFormat="1" ht="14.4"/>
    <row r="922" s="90" customFormat="1" ht="14.4"/>
    <row r="923" s="90" customFormat="1" ht="14.4"/>
    <row r="924" s="90" customFormat="1" ht="14.4"/>
    <row r="925" s="90" customFormat="1" ht="14.4"/>
    <row r="926" s="90" customFormat="1" ht="14.4"/>
    <row r="927" s="90" customFormat="1" ht="14.4"/>
    <row r="928" s="90" customFormat="1" ht="14.4"/>
    <row r="929" s="90" customFormat="1" ht="14.4"/>
    <row r="930" s="90" customFormat="1" ht="14.4"/>
    <row r="931" s="90" customFormat="1" ht="14.4"/>
    <row r="932" s="90" customFormat="1" ht="14.4"/>
    <row r="933" s="90" customFormat="1" ht="14.4"/>
    <row r="934" s="90" customFormat="1" ht="14.4"/>
    <row r="935" s="90" customFormat="1" ht="14.4"/>
    <row r="936" s="90" customFormat="1" ht="14.4"/>
    <row r="937" s="90" customFormat="1" ht="14.4"/>
    <row r="938" s="90" customFormat="1" ht="14.4"/>
    <row r="939" s="90" customFormat="1" ht="14.4"/>
    <row r="940" s="90" customFormat="1" ht="14.4"/>
    <row r="941" s="90" customFormat="1" ht="14.4"/>
    <row r="942" s="90" customFormat="1" ht="14.4"/>
    <row r="943" s="90" customFormat="1" ht="14.4"/>
    <row r="944" s="90" customFormat="1" ht="14.4"/>
    <row r="945" s="90" customFormat="1" ht="14.4"/>
    <row r="946" s="90" customFormat="1" ht="14.4"/>
    <row r="947" s="90" customFormat="1" ht="14.4"/>
    <row r="948" s="90" customFormat="1" ht="14.4"/>
    <row r="949" s="90" customFormat="1" ht="14.4"/>
    <row r="950" s="90" customFormat="1" ht="14.4"/>
    <row r="951" s="90" customFormat="1" ht="14.4"/>
    <row r="952" s="90" customFormat="1" ht="14.4"/>
    <row r="953" s="90" customFormat="1" ht="14.4"/>
    <row r="954" s="90" customFormat="1" ht="14.4"/>
    <row r="955" s="90" customFormat="1" ht="14.4"/>
    <row r="956" s="90" customFormat="1" ht="14.4"/>
    <row r="957" s="90" customFormat="1" ht="14.4"/>
    <row r="958" s="90" customFormat="1" ht="14.4"/>
    <row r="959" s="90" customFormat="1" ht="14.4"/>
    <row r="960" s="90" customFormat="1" ht="14.4"/>
    <row r="961" s="90" customFormat="1" ht="14.4"/>
    <row r="962" s="90" customFormat="1" ht="14.4"/>
    <row r="963" s="90" customFormat="1" ht="14.4"/>
    <row r="964" s="90" customFormat="1" ht="14.4"/>
    <row r="965" s="90" customFormat="1" ht="14.4"/>
    <row r="966" s="90" customFormat="1" ht="14.4"/>
    <row r="967" s="90" customFormat="1" ht="14.4"/>
    <row r="968" s="90" customFormat="1" ht="14.4"/>
    <row r="969" s="90" customFormat="1" ht="14.4"/>
    <row r="970" s="90" customFormat="1" ht="14.4"/>
    <row r="971" s="90" customFormat="1" ht="14.4"/>
    <row r="972" s="90" customFormat="1" ht="14.4"/>
    <row r="973" s="90" customFormat="1" ht="14.4"/>
    <row r="974" s="90" customFormat="1" ht="14.4"/>
    <row r="975" s="90" customFormat="1" ht="14.4"/>
    <row r="976" s="90" customFormat="1" ht="14.4"/>
    <row r="977" s="90" customFormat="1" ht="14.4"/>
    <row r="978" s="90" customFormat="1" ht="14.4"/>
    <row r="979" s="90" customFormat="1" ht="14.4"/>
    <row r="980" s="90" customFormat="1" ht="14.4"/>
    <row r="981" s="90" customFormat="1" ht="14.4"/>
    <row r="982" s="90" customFormat="1" ht="14.4"/>
    <row r="983" s="90" customFormat="1" ht="14.4"/>
    <row r="984" s="90" customFormat="1" ht="14.4"/>
    <row r="985" s="90" customFormat="1" ht="14.4"/>
    <row r="986" s="90" customFormat="1" ht="14.4"/>
    <row r="987" s="90" customFormat="1" ht="14.4"/>
    <row r="988" s="90" customFormat="1" ht="14.4"/>
    <row r="989" s="90" customFormat="1" ht="14.4"/>
    <row r="990" s="90" customFormat="1" ht="14.4"/>
    <row r="991" s="90" customFormat="1" ht="14.4"/>
    <row r="992" s="90" customFormat="1" ht="14.4"/>
    <row r="993" s="90" customFormat="1" ht="14.4"/>
    <row r="994" s="90" customFormat="1" ht="14.4"/>
    <row r="995" s="90" customFormat="1" ht="14.4"/>
    <row r="996" s="90" customFormat="1" ht="14.4"/>
    <row r="997" s="90" customFormat="1" ht="14.4"/>
    <row r="998" s="90" customFormat="1" ht="14.4"/>
    <row r="999" s="90" customFormat="1" ht="14.4"/>
    <row r="1000" s="90" customFormat="1" ht="14.4"/>
    <row r="1001" s="90" customFormat="1" ht="14.4"/>
    <row r="1002" s="90" customFormat="1" ht="14.4"/>
    <row r="1003" s="90" customFormat="1" ht="14.4"/>
    <row r="1004" s="90" customFormat="1" ht="14.4"/>
    <row r="1005" s="90" customFormat="1" ht="14.4"/>
    <row r="1006" s="90" customFormat="1" ht="14.4"/>
    <row r="1007" s="90" customFormat="1" ht="14.4"/>
    <row r="1008" s="90" customFormat="1" ht="14.4"/>
    <row r="1009" s="90" customFormat="1" ht="14.4"/>
    <row r="1010" s="90" customFormat="1" ht="14.4"/>
    <row r="1011" s="90" customFormat="1" ht="14.4"/>
    <row r="1012" s="90" customFormat="1" ht="14.4"/>
    <row r="1013" s="90" customFormat="1" ht="14.4"/>
    <row r="1014" s="90" customFormat="1" ht="14.4"/>
    <row r="1015" s="90" customFormat="1" ht="14.4"/>
    <row r="1016" s="90" customFormat="1" ht="14.4"/>
    <row r="1017" s="90" customFormat="1" ht="14.4"/>
    <row r="1018" s="90" customFormat="1" ht="14.4"/>
    <row r="1019" s="90" customFormat="1" ht="14.4"/>
    <row r="1020" s="90" customFormat="1" ht="14.4"/>
    <row r="1021" s="90" customFormat="1" ht="14.4"/>
    <row r="1022" s="90" customFormat="1" ht="14.4"/>
    <row r="1023" s="90" customFormat="1" ht="14.4"/>
    <row r="1024" s="90" customFormat="1" ht="14.4"/>
    <row r="1025" s="90" customFormat="1" ht="14.4"/>
    <row r="1026" s="90" customFormat="1" ht="14.4"/>
    <row r="1027" s="90" customFormat="1" ht="14.4"/>
    <row r="1028" s="90" customFormat="1" ht="14.4"/>
    <row r="1029" s="90" customFormat="1" ht="14.4"/>
    <row r="1030" s="90" customFormat="1" ht="14.4"/>
    <row r="1031" s="90" customFormat="1" ht="14.4"/>
    <row r="1032" s="90" customFormat="1" ht="14.4"/>
    <row r="1033" s="90" customFormat="1" ht="14.4"/>
    <row r="1034" s="90" customFormat="1" ht="14.4"/>
    <row r="1035" s="90" customFormat="1" ht="14.4"/>
    <row r="1036" s="90" customFormat="1" ht="14.4"/>
    <row r="1037" s="90" customFormat="1" ht="14.4"/>
    <row r="1038" s="90" customFormat="1" ht="14.4"/>
    <row r="1039" s="90" customFormat="1" ht="14.4"/>
    <row r="1040" s="90" customFormat="1" ht="14.4"/>
    <row r="1041" s="90" customFormat="1" ht="14.4"/>
    <row r="1042" s="90" customFormat="1" ht="14.4"/>
    <row r="1043" s="90" customFormat="1" ht="14.4"/>
    <row r="1044" s="90" customFormat="1" ht="14.4"/>
    <row r="1045" s="90" customFormat="1" ht="14.4"/>
    <row r="1046" s="90" customFormat="1" ht="14.4"/>
    <row r="1047" s="90" customFormat="1" ht="14.4"/>
    <row r="1048" s="90" customFormat="1" ht="14.4"/>
    <row r="1049" s="90" customFormat="1" ht="14.4"/>
    <row r="1050" s="90" customFormat="1" ht="14.4"/>
    <row r="1051" s="90" customFormat="1" ht="14.4"/>
    <row r="1052" s="90" customFormat="1" ht="14.4"/>
    <row r="1053" s="90" customFormat="1" ht="14.4"/>
    <row r="1054" s="90" customFormat="1" ht="14.4"/>
    <row r="1055" s="90" customFormat="1" ht="14.4"/>
    <row r="1056" s="90" customFormat="1" ht="14.4"/>
    <row r="1057" s="90" customFormat="1" ht="14.4"/>
    <row r="1058" s="90" customFormat="1" ht="14.4"/>
    <row r="1059" s="90" customFormat="1" ht="14.4"/>
    <row r="1060" s="90" customFormat="1" ht="14.4"/>
    <row r="1061" s="90" customFormat="1" ht="14.4"/>
    <row r="1062" s="90" customFormat="1" ht="14.4"/>
    <row r="1063" s="90" customFormat="1" ht="14.4"/>
    <row r="1064" s="90" customFormat="1" ht="14.4"/>
    <row r="1065" s="90" customFormat="1" ht="14.4"/>
    <row r="1066" s="90" customFormat="1" ht="14.4"/>
    <row r="1067" s="90" customFormat="1" ht="14.4"/>
    <row r="1068" s="90" customFormat="1" ht="14.4"/>
    <row r="1069" s="90" customFormat="1" ht="14.4"/>
    <row r="1070" s="90" customFormat="1" ht="14.4"/>
    <row r="1071" s="90" customFormat="1" ht="14.4"/>
    <row r="1072" s="90" customFormat="1" ht="14.4"/>
    <row r="1073" s="90" customFormat="1" ht="14.4"/>
    <row r="1074" s="90" customFormat="1" ht="14.4"/>
    <row r="1075" s="90" customFormat="1" ht="14.4"/>
    <row r="1076" s="90" customFormat="1" ht="14.4"/>
    <row r="1077" s="90" customFormat="1" ht="14.4"/>
    <row r="1078" s="90" customFormat="1" ht="14.4"/>
    <row r="1079" s="90" customFormat="1" ht="14.4"/>
    <row r="1080" s="90" customFormat="1" ht="14.4"/>
    <row r="1081" s="90" customFormat="1" ht="14.4"/>
    <row r="1082" s="90" customFormat="1" ht="14.4"/>
    <row r="1083" s="90" customFormat="1" ht="14.4"/>
    <row r="1084" s="90" customFormat="1" ht="14.4"/>
    <row r="1085" s="90" customFormat="1" ht="14.4"/>
    <row r="1086" s="90" customFormat="1" ht="14.4"/>
    <row r="1087" s="90" customFormat="1" ht="14.4"/>
    <row r="1088" s="90" customFormat="1" ht="14.4"/>
    <row r="1089" s="90" customFormat="1" ht="14.4"/>
    <row r="1090" s="90" customFormat="1" ht="14.4"/>
    <row r="1091" s="90" customFormat="1" ht="14.4"/>
    <row r="1092" s="90" customFormat="1" ht="14.4"/>
    <row r="1093" s="90" customFormat="1" ht="14.4"/>
    <row r="1094" s="90" customFormat="1" ht="14.4"/>
    <row r="1095" s="90" customFormat="1" ht="14.4"/>
    <row r="1096" s="90" customFormat="1" ht="14.4"/>
    <row r="1097" s="90" customFormat="1" ht="14.4"/>
    <row r="1098" s="90" customFormat="1" ht="14.4"/>
    <row r="1099" s="90" customFormat="1" ht="14.4"/>
    <row r="1100" s="90" customFormat="1" ht="14.4"/>
    <row r="1101" s="90" customFormat="1" ht="14.4"/>
    <row r="1102" s="90" customFormat="1" ht="14.4"/>
    <row r="1103" s="90" customFormat="1" ht="14.4"/>
    <row r="1104" s="90" customFormat="1" ht="14.4"/>
    <row r="1105" s="90" customFormat="1" ht="14.4"/>
    <row r="1106" s="90" customFormat="1" ht="14.4"/>
    <row r="1107" s="90" customFormat="1" ht="14.4"/>
    <row r="1108" s="90" customFormat="1" ht="14.4"/>
    <row r="1109" s="90" customFormat="1" ht="14.4"/>
    <row r="1110" s="90" customFormat="1" ht="14.4"/>
    <row r="1111" s="90" customFormat="1" ht="14.4"/>
    <row r="1112" s="90" customFormat="1" ht="14.4"/>
    <row r="1113" s="90" customFormat="1" ht="14.4"/>
    <row r="1114" s="90" customFormat="1" ht="14.4"/>
    <row r="1115" s="90" customFormat="1" ht="14.4"/>
    <row r="1116" s="90" customFormat="1" ht="14.4"/>
    <row r="1117" s="90" customFormat="1" ht="14.4"/>
    <row r="1118" s="90" customFormat="1" ht="14.4"/>
    <row r="1119" s="90" customFormat="1" ht="14.4"/>
    <row r="1120" s="90" customFormat="1" ht="14.4"/>
    <row r="1121" s="90" customFormat="1" ht="14.4"/>
    <row r="1122" s="90" customFormat="1" ht="14.4"/>
    <row r="1123" s="90" customFormat="1" ht="14.4"/>
    <row r="1124" s="90" customFormat="1" ht="14.4"/>
    <row r="1125" s="90" customFormat="1" ht="14.4"/>
    <row r="1126" s="90" customFormat="1" ht="14.4"/>
    <row r="1127" s="90" customFormat="1" ht="14.4"/>
    <row r="1128" s="90" customFormat="1" ht="14.4"/>
    <row r="1129" s="90" customFormat="1" ht="14.4"/>
    <row r="1130" s="90" customFormat="1" ht="14.4"/>
    <row r="1131" s="90" customFormat="1" ht="14.4"/>
    <row r="1132" s="90" customFormat="1" ht="14.4"/>
    <row r="1133" s="90" customFormat="1" ht="14.4"/>
    <row r="1134" s="90" customFormat="1" ht="14.4"/>
    <row r="1135" s="90" customFormat="1" ht="14.4"/>
    <row r="1136" s="90" customFormat="1" ht="14.4"/>
    <row r="1137" s="90" customFormat="1" ht="14.4"/>
    <row r="1138" s="90" customFormat="1" ht="14.4"/>
    <row r="1139" s="90" customFormat="1" ht="14.4"/>
    <row r="1140" s="90" customFormat="1" ht="14.4"/>
    <row r="1141" s="90" customFormat="1" ht="14.4"/>
    <row r="1142" s="90" customFormat="1" ht="14.4"/>
    <row r="1143" s="90" customFormat="1" ht="14.4"/>
    <row r="1144" s="90" customFormat="1" ht="14.4"/>
    <row r="1145" s="90" customFormat="1" ht="14.4"/>
    <row r="1146" s="90" customFormat="1" ht="14.4"/>
    <row r="1147" s="90" customFormat="1" ht="14.4"/>
    <row r="1148" s="90" customFormat="1" ht="14.4"/>
    <row r="1149" s="90" customFormat="1" ht="14.4"/>
    <row r="1150" s="90" customFormat="1" ht="14.4"/>
    <row r="1151" s="90" customFormat="1" ht="14.4"/>
    <row r="1152" s="90" customFormat="1" ht="14.4"/>
    <row r="1153" s="90" customFormat="1" ht="14.4"/>
    <row r="1154" s="90" customFormat="1" ht="14.4"/>
    <row r="1155" s="90" customFormat="1" ht="14.4"/>
    <row r="1156" s="90" customFormat="1" ht="14.4"/>
    <row r="1157" s="90" customFormat="1" ht="14.4"/>
    <row r="1158" s="90" customFormat="1" ht="14.4"/>
    <row r="1159" s="90" customFormat="1" ht="14.4"/>
    <row r="1160" s="90" customFormat="1" ht="14.4"/>
    <row r="1161" s="90" customFormat="1" ht="14.4"/>
    <row r="1162" s="90" customFormat="1" ht="14.4"/>
    <row r="1163" s="90" customFormat="1" ht="14.4"/>
    <row r="1164" s="90" customFormat="1" ht="14.4"/>
    <row r="1165" s="90" customFormat="1" ht="14.4"/>
    <row r="1166" s="90" customFormat="1" ht="14.4"/>
    <row r="1167" s="90" customFormat="1" ht="14.4"/>
    <row r="1168" s="90" customFormat="1" ht="14.4"/>
    <row r="1169" s="90" customFormat="1" ht="14.4"/>
    <row r="1170" s="90" customFormat="1" ht="14.4"/>
    <row r="1171" s="90" customFormat="1" ht="14.4"/>
    <row r="1172" s="90" customFormat="1" ht="14.4"/>
    <row r="1173" s="90" customFormat="1" ht="14.4"/>
    <row r="1174" s="90" customFormat="1" ht="14.4"/>
    <row r="1175" s="90" customFormat="1" ht="14.4"/>
    <row r="1176" s="90" customFormat="1" ht="14.4"/>
    <row r="1177" s="90" customFormat="1" ht="14.4"/>
    <row r="1178" s="90" customFormat="1" ht="14.4"/>
    <row r="1179" s="90" customFormat="1" ht="14.4"/>
    <row r="1180" s="90" customFormat="1" ht="14.4"/>
    <row r="1181" s="90" customFormat="1" ht="14.4"/>
    <row r="1182" s="90" customFormat="1" ht="14.4"/>
    <row r="1183" s="90" customFormat="1" ht="14.4"/>
    <row r="1184" s="90" customFormat="1" ht="14.4"/>
    <row r="1185" s="90" customFormat="1" ht="14.4"/>
    <row r="1186" s="90" customFormat="1" ht="14.4"/>
    <row r="1187" s="90" customFormat="1" ht="14.4"/>
    <row r="1188" s="90" customFormat="1" ht="14.4"/>
    <row r="1189" s="90" customFormat="1" ht="14.4"/>
    <row r="1190" s="90" customFormat="1" ht="14.4"/>
    <row r="1191" s="90" customFormat="1" ht="14.4"/>
    <row r="1192" s="90" customFormat="1" ht="14.4"/>
    <row r="1193" s="90" customFormat="1" ht="14.4"/>
    <row r="1194" s="90" customFormat="1" ht="14.4"/>
    <row r="1195" s="90" customFormat="1" ht="14.4"/>
    <row r="1196" s="90" customFormat="1" ht="14.4"/>
    <row r="1197" s="90" customFormat="1" ht="14.4"/>
    <row r="1198" s="90" customFormat="1" ht="14.4"/>
    <row r="1199" s="90" customFormat="1" ht="14.4"/>
    <row r="1200" s="90" customFormat="1" ht="14.4"/>
    <row r="1201" s="90" customFormat="1" ht="14.4"/>
    <row r="1202" s="90" customFormat="1" ht="14.4"/>
    <row r="1203" s="90" customFormat="1" ht="14.4"/>
    <row r="1204" s="90" customFormat="1" ht="14.4"/>
    <row r="1205" s="90" customFormat="1" ht="14.4"/>
    <row r="1206" s="90" customFormat="1" ht="14.4"/>
    <row r="1207" s="90" customFormat="1" ht="14.4"/>
    <row r="1208" s="90" customFormat="1" ht="14.4"/>
    <row r="1209" s="90" customFormat="1" ht="14.4"/>
    <row r="1210" s="90" customFormat="1" ht="14.4"/>
    <row r="1211" s="90" customFormat="1" ht="14.4"/>
    <row r="1212" s="90" customFormat="1" ht="14.4"/>
    <row r="1213" s="90" customFormat="1" ht="14.4"/>
    <row r="1214" s="90" customFormat="1" ht="14.4"/>
    <row r="1215" s="90" customFormat="1" ht="14.4"/>
    <row r="1216" s="90" customFormat="1" ht="14.4"/>
    <row r="1217" s="90" customFormat="1" ht="14.4"/>
    <row r="1218" s="90" customFormat="1" ht="14.4"/>
    <row r="1219" s="90" customFormat="1" ht="14.4"/>
    <row r="1220" s="90" customFormat="1" ht="14.4"/>
    <row r="1221" s="90" customFormat="1" ht="14.4"/>
    <row r="1222" s="90" customFormat="1" ht="14.4"/>
    <row r="1223" s="90" customFormat="1" ht="14.4"/>
    <row r="1224" s="90" customFormat="1" ht="14.4"/>
    <row r="1225" s="90" customFormat="1" ht="14.4"/>
    <row r="1226" s="90" customFormat="1" ht="14.4"/>
    <row r="1227" s="90" customFormat="1" ht="14.4"/>
    <row r="1228" s="90" customFormat="1" ht="14.4"/>
    <row r="1229" s="90" customFormat="1" ht="14.4"/>
    <row r="1230" s="90" customFormat="1" ht="14.4"/>
    <row r="1231" s="90" customFormat="1" ht="14.4"/>
    <row r="1232" s="90" customFormat="1" ht="14.4"/>
    <row r="1233" s="90" customFormat="1" ht="14.4"/>
    <row r="1234" s="90" customFormat="1" ht="14.4"/>
    <row r="1235" s="90" customFormat="1" ht="14.4"/>
    <row r="1236" s="90" customFormat="1" ht="14.4"/>
    <row r="1237" s="90" customFormat="1" ht="14.4"/>
    <row r="1238" s="90" customFormat="1" ht="14.4"/>
    <row r="1239" s="90" customFormat="1" ht="14.4"/>
    <row r="1240" s="90" customFormat="1" ht="14.4"/>
    <row r="1241" s="90" customFormat="1" ht="14.4"/>
    <row r="1242" s="90" customFormat="1" ht="14.4"/>
    <row r="1243" s="90" customFormat="1" ht="14.4"/>
    <row r="1244" s="90" customFormat="1" ht="14.4"/>
    <row r="1245" s="90" customFormat="1" ht="14.4"/>
    <row r="1246" s="90" customFormat="1" ht="14.4"/>
    <row r="1247" s="90" customFormat="1" ht="14.4"/>
    <row r="1248" s="90" customFormat="1" ht="14.4"/>
    <row r="1249" s="90" customFormat="1" ht="14.4"/>
    <row r="1250" s="90" customFormat="1" ht="14.4"/>
    <row r="1251" s="90" customFormat="1" ht="14.4"/>
    <row r="1252" s="90" customFormat="1" ht="14.4"/>
    <row r="1253" s="90" customFormat="1" ht="14.4"/>
    <row r="1254" s="90" customFormat="1" ht="14.4"/>
    <row r="1255" s="90" customFormat="1" ht="14.4"/>
    <row r="1256" s="90" customFormat="1" ht="14.4"/>
    <row r="1257" s="90" customFormat="1" ht="14.4"/>
    <row r="1258" s="90" customFormat="1" ht="14.4"/>
    <row r="1259" s="90" customFormat="1" ht="14.4"/>
    <row r="1260" s="90" customFormat="1" ht="14.4"/>
    <row r="1261" s="90" customFormat="1" ht="14.4"/>
    <row r="1262" s="90" customFormat="1" ht="14.4"/>
    <row r="1263" s="90" customFormat="1" ht="14.4"/>
    <row r="1264" s="90" customFormat="1" ht="14.4"/>
    <row r="1265" s="90" customFormat="1" ht="14.4"/>
    <row r="1266" s="90" customFormat="1" ht="14.4"/>
    <row r="1267" s="90" customFormat="1" ht="14.4"/>
    <row r="1268" s="90" customFormat="1" ht="14.4"/>
    <row r="1269" s="90" customFormat="1" ht="14.4"/>
    <row r="1270" s="90" customFormat="1" ht="14.4"/>
    <row r="1271" s="90" customFormat="1" ht="14.4"/>
    <row r="1272" s="90" customFormat="1" ht="14.4"/>
    <row r="1273" s="90" customFormat="1" ht="14.4"/>
    <row r="1274" s="90" customFormat="1" ht="14.4"/>
    <row r="1275" s="90" customFormat="1" ht="14.4"/>
    <row r="1276" s="90" customFormat="1" ht="14.4"/>
    <row r="1277" s="90" customFormat="1" ht="14.4"/>
    <row r="1278" s="90" customFormat="1" ht="14.4"/>
    <row r="1279" s="90" customFormat="1" ht="14.4"/>
    <row r="1280" s="90" customFormat="1" ht="14.4"/>
    <row r="1281" s="90" customFormat="1" ht="14.4"/>
    <row r="1282" s="90" customFormat="1" ht="14.4"/>
    <row r="1283" s="90" customFormat="1" ht="14.4"/>
    <row r="1284" s="90" customFormat="1" ht="14.4"/>
    <row r="1285" s="90" customFormat="1" ht="14.4"/>
    <row r="1286" s="90" customFormat="1" ht="14.4"/>
    <row r="1287" s="90" customFormat="1" ht="14.4"/>
    <row r="1288" s="90" customFormat="1" ht="14.4"/>
    <row r="1289" s="90" customFormat="1" ht="14.4"/>
    <row r="1290" s="90" customFormat="1" ht="14.4"/>
    <row r="1291" s="90" customFormat="1" ht="14.4"/>
    <row r="1292" s="90" customFormat="1" ht="14.4"/>
    <row r="1293" s="90" customFormat="1" ht="14.4"/>
    <row r="1294" s="90" customFormat="1" ht="14.4"/>
    <row r="1295" s="90" customFormat="1" ht="14.4"/>
    <row r="1296" s="90" customFormat="1" ht="14.4"/>
    <row r="1297" s="90" customFormat="1" ht="14.4"/>
    <row r="1298" s="90" customFormat="1" ht="14.4"/>
    <row r="1299" s="90" customFormat="1" ht="14.4"/>
    <row r="1300" s="90" customFormat="1" ht="14.4"/>
    <row r="1301" s="90" customFormat="1" ht="14.4"/>
    <row r="1302" s="90" customFormat="1" ht="14.4"/>
    <row r="1303" s="90" customFormat="1" ht="14.4"/>
    <row r="1304" s="90" customFormat="1" ht="14.4"/>
    <row r="1305" s="90" customFormat="1" ht="14.4"/>
    <row r="1306" s="90" customFormat="1" ht="14.4"/>
    <row r="1307" s="90" customFormat="1" ht="14.4"/>
    <row r="1308" s="90" customFormat="1" ht="14.4"/>
    <row r="1309" s="90" customFormat="1" ht="14.4"/>
    <row r="1310" s="90" customFormat="1" ht="14.4"/>
    <row r="1311" s="90" customFormat="1" ht="14.4"/>
    <row r="1312" s="90" customFormat="1" ht="14.4"/>
    <row r="1313" s="90" customFormat="1" ht="14.4"/>
    <row r="1314" s="90" customFormat="1" ht="14.4"/>
    <row r="1315" s="90" customFormat="1" ht="14.4"/>
    <row r="1316" s="90" customFormat="1" ht="14.4"/>
    <row r="1317" s="90" customFormat="1" ht="14.4"/>
    <row r="1318" s="90" customFormat="1" ht="14.4"/>
    <row r="1319" s="90" customFormat="1" ht="14.4"/>
    <row r="1320" s="90" customFormat="1" ht="14.4"/>
    <row r="1321" s="90" customFormat="1" ht="14.4"/>
    <row r="1322" s="90" customFormat="1" ht="14.4"/>
    <row r="1323" s="90" customFormat="1" ht="14.4"/>
    <row r="1324" s="90" customFormat="1" ht="14.4"/>
    <row r="1325" s="90" customFormat="1" ht="14.4"/>
    <row r="1326" s="90" customFormat="1" ht="14.4"/>
    <row r="1327" s="90" customFormat="1" ht="14.4"/>
    <row r="1328" s="90" customFormat="1" ht="14.4"/>
    <row r="1329" s="90" customFormat="1" ht="14.4"/>
    <row r="1330" s="90" customFormat="1" ht="14.4"/>
    <row r="1331" s="90" customFormat="1" ht="14.4"/>
    <row r="1332" s="90" customFormat="1" ht="14.4"/>
    <row r="1333" s="90" customFormat="1" ht="14.4"/>
    <row r="1334" s="90" customFormat="1" ht="14.4"/>
    <row r="1335" s="90" customFormat="1" ht="14.4"/>
    <row r="1336" s="90" customFormat="1" ht="14.4"/>
    <row r="1337" s="90" customFormat="1" ht="14.4"/>
    <row r="1338" s="90" customFormat="1" ht="14.4"/>
    <row r="1339" s="90" customFormat="1" ht="14.4"/>
    <row r="1340" s="90" customFormat="1" ht="14.4"/>
    <row r="1341" s="90" customFormat="1" ht="14.4"/>
    <row r="1342" s="90" customFormat="1" ht="14.4"/>
    <row r="1343" s="90" customFormat="1" ht="14.4"/>
    <row r="1344" s="90" customFormat="1" ht="14.4"/>
    <row r="1345" s="90" customFormat="1" ht="14.4"/>
    <row r="1346" s="90" customFormat="1" ht="14.4"/>
    <row r="1347" s="90" customFormat="1" ht="14.4"/>
    <row r="1348" s="90" customFormat="1" ht="14.4"/>
    <row r="1349" s="90" customFormat="1" ht="14.4"/>
    <row r="1350" s="90" customFormat="1" ht="14.4"/>
    <row r="1351" s="90" customFormat="1" ht="14.4"/>
    <row r="1352" s="90" customFormat="1" ht="14.4"/>
    <row r="1353" s="90" customFormat="1" ht="14.4"/>
    <row r="1354" s="90" customFormat="1" ht="14.4"/>
    <row r="1355" s="90" customFormat="1" ht="14.4"/>
    <row r="1356" s="90" customFormat="1" ht="14.4"/>
    <row r="1357" s="90" customFormat="1" ht="14.4"/>
    <row r="1358" s="90" customFormat="1" ht="14.4"/>
    <row r="1359" s="90" customFormat="1" ht="14.4"/>
    <row r="1360" s="90" customFormat="1" ht="14.4"/>
    <row r="1361" s="90" customFormat="1" ht="14.4"/>
    <row r="1362" s="90" customFormat="1" ht="14.4"/>
    <row r="1363" s="90" customFormat="1" ht="14.4"/>
    <row r="1364" s="90" customFormat="1" ht="14.4"/>
    <row r="1365" s="90" customFormat="1" ht="14.4"/>
    <row r="1366" s="90" customFormat="1" ht="14.4"/>
    <row r="1367" s="90" customFormat="1" ht="14.4"/>
    <row r="1368" s="90" customFormat="1" ht="14.4"/>
    <row r="1369" s="90" customFormat="1" ht="14.4"/>
    <row r="1370" s="90" customFormat="1" ht="14.4"/>
    <row r="1371" s="90" customFormat="1" ht="14.4"/>
    <row r="1372" s="90" customFormat="1" ht="14.4"/>
    <row r="1373" s="90" customFormat="1" ht="14.4"/>
    <row r="1374" s="90" customFormat="1" ht="14.4"/>
    <row r="1375" s="90" customFormat="1" ht="14.4"/>
    <row r="1376" s="90" customFormat="1" ht="14.4"/>
    <row r="1377" s="90" customFormat="1" ht="14.4"/>
    <row r="1378" s="90" customFormat="1" ht="14.4"/>
    <row r="1379" s="90" customFormat="1" ht="14.4"/>
    <row r="1380" s="90" customFormat="1" ht="14.4"/>
    <row r="1381" s="90" customFormat="1" ht="14.4"/>
    <row r="1382" s="90" customFormat="1" ht="14.4"/>
    <row r="1383" s="90" customFormat="1" ht="14.4"/>
    <row r="1384" s="90" customFormat="1" ht="14.4"/>
    <row r="1385" s="90" customFormat="1" ht="14.4"/>
    <row r="1386" s="90" customFormat="1" ht="14.4"/>
    <row r="1387" s="90" customFormat="1" ht="14.4"/>
    <row r="1388" s="90" customFormat="1" ht="14.4"/>
    <row r="1389" s="90" customFormat="1" ht="14.4"/>
    <row r="1390" s="90" customFormat="1" ht="14.4"/>
    <row r="1391" s="90" customFormat="1" ht="14.4"/>
    <row r="1392" s="90" customFormat="1" ht="14.4"/>
    <row r="1393" s="90" customFormat="1" ht="14.4"/>
    <row r="1394" s="90" customFormat="1" ht="14.4"/>
    <row r="1395" s="90" customFormat="1" ht="14.4"/>
    <row r="1396" s="90" customFormat="1" ht="14.4"/>
    <row r="1397" s="90" customFormat="1" ht="14.4"/>
    <row r="1398" s="90" customFormat="1" ht="14.4"/>
    <row r="1399" s="90" customFormat="1" ht="14.4"/>
    <row r="1400" s="90" customFormat="1" ht="14.4"/>
    <row r="1401" s="90" customFormat="1" ht="14.4"/>
    <row r="1402" s="90" customFormat="1" ht="14.4"/>
    <row r="1403" s="90" customFormat="1" ht="14.4"/>
    <row r="1404" s="90" customFormat="1" ht="14.4"/>
    <row r="1405" s="90" customFormat="1" ht="14.4"/>
    <row r="1406" s="90" customFormat="1" ht="14.4"/>
    <row r="1407" s="90" customFormat="1" ht="14.4"/>
    <row r="1408" s="90" customFormat="1" ht="14.4"/>
    <row r="1409" s="90" customFormat="1" ht="14.4"/>
    <row r="1410" s="90" customFormat="1" ht="14.4"/>
    <row r="1411" s="90" customFormat="1" ht="14.4"/>
    <row r="1412" s="90" customFormat="1" ht="14.4"/>
    <row r="1413" s="90" customFormat="1" ht="14.4"/>
    <row r="1414" s="90" customFormat="1" ht="14.4"/>
    <row r="1415" s="90" customFormat="1" ht="14.4"/>
    <row r="1416" s="90" customFormat="1" ht="14.4"/>
    <row r="1417" s="90" customFormat="1" ht="14.4"/>
    <row r="1418" s="90" customFormat="1" ht="14.4"/>
    <row r="1419" s="90" customFormat="1" ht="14.4"/>
    <row r="1420" s="90" customFormat="1" ht="14.4"/>
    <row r="1421" s="90" customFormat="1" ht="14.4"/>
    <row r="1422" s="90" customFormat="1" ht="14.4"/>
    <row r="1423" s="90" customFormat="1" ht="14.4"/>
    <row r="1424" s="90" customFormat="1" ht="14.4"/>
    <row r="1425" s="90" customFormat="1" ht="14.4"/>
    <row r="1426" s="90" customFormat="1" ht="14.4"/>
    <row r="1427" s="90" customFormat="1" ht="14.4"/>
    <row r="1428" s="90" customFormat="1" ht="14.4"/>
    <row r="1429" s="90" customFormat="1" ht="14.4"/>
    <row r="1430" s="90" customFormat="1" ht="14.4"/>
    <row r="1431" s="90" customFormat="1" ht="14.4"/>
    <row r="1432" s="90" customFormat="1" ht="14.4"/>
    <row r="1433" s="90" customFormat="1" ht="14.4"/>
    <row r="1434" s="90" customFormat="1" ht="14.4"/>
    <row r="1435" s="90" customFormat="1" ht="14.4"/>
    <row r="1436" s="90" customFormat="1" ht="14.4"/>
    <row r="1437" s="90" customFormat="1" ht="14.4"/>
    <row r="1438" s="90" customFormat="1" ht="14.4"/>
    <row r="1439" s="90" customFormat="1" ht="14.4"/>
    <row r="1440" s="90" customFormat="1" ht="14.4"/>
    <row r="1441" s="90" customFormat="1" ht="14.4"/>
    <row r="1442" s="90" customFormat="1" ht="14.4"/>
    <row r="1443" s="90" customFormat="1" ht="14.4"/>
    <row r="1444" s="90" customFormat="1" ht="14.4"/>
    <row r="1445" s="90" customFormat="1" ht="14.4"/>
    <row r="1446" s="90" customFormat="1" ht="14.4"/>
    <row r="1447" s="90" customFormat="1" ht="14.4"/>
    <row r="1448" s="90" customFormat="1" ht="14.4"/>
    <row r="1449" s="90" customFormat="1" ht="14.4"/>
    <row r="1450" s="90" customFormat="1" ht="14.4"/>
    <row r="1451" s="90" customFormat="1" ht="14.4"/>
    <row r="1452" s="90" customFormat="1" ht="14.4"/>
    <row r="1453" s="90" customFormat="1" ht="14.4"/>
    <row r="1454" s="90" customFormat="1" ht="14.4"/>
    <row r="1455" s="90" customFormat="1" ht="14.4"/>
    <row r="1456" s="90" customFormat="1" ht="14.4"/>
    <row r="1457" s="90" customFormat="1" ht="14.4"/>
    <row r="1458" s="90" customFormat="1" ht="14.4"/>
    <row r="1459" s="90" customFormat="1" ht="14.4"/>
    <row r="1460" s="90" customFormat="1" ht="14.4"/>
    <row r="1461" s="90" customFormat="1" ht="14.4"/>
    <row r="1462" s="90" customFormat="1" ht="14.4"/>
    <row r="1463" s="90" customFormat="1" ht="14.4"/>
    <row r="1464" s="90" customFormat="1" ht="14.4"/>
    <row r="1465" s="90" customFormat="1" ht="14.4"/>
    <row r="1466" s="90" customFormat="1" ht="14.4"/>
    <row r="1467" s="90" customFormat="1" ht="14.4"/>
    <row r="1468" s="90" customFormat="1" ht="14.4"/>
    <row r="1469" s="90" customFormat="1" ht="14.4"/>
    <row r="1470" s="90" customFormat="1" ht="14.4"/>
    <row r="1471" s="90" customFormat="1" ht="14.4"/>
    <row r="1472" s="90" customFormat="1" ht="14.4"/>
    <row r="1473" s="90" customFormat="1" ht="14.4"/>
    <row r="1474" s="90" customFormat="1" ht="14.4"/>
    <row r="1475" s="90" customFormat="1" ht="14.4"/>
    <row r="1476" s="90" customFormat="1" ht="14.4"/>
    <row r="1477" s="90" customFormat="1" ht="14.4"/>
    <row r="1478" s="90" customFormat="1" ht="14.4"/>
    <row r="1479" s="90" customFormat="1" ht="14.4"/>
    <row r="1480" s="90" customFormat="1" ht="14.4"/>
    <row r="1481" s="90" customFormat="1" ht="14.4"/>
    <row r="1482" s="90" customFormat="1" ht="14.4"/>
    <row r="1483" s="90" customFormat="1" ht="14.4"/>
    <row r="1484" s="90" customFormat="1" ht="14.4"/>
    <row r="1485" s="90" customFormat="1" ht="14.4"/>
    <row r="1486" s="90" customFormat="1" ht="14.4"/>
    <row r="1487" s="90" customFormat="1" ht="14.4"/>
    <row r="1488" s="90" customFormat="1" ht="14.4"/>
    <row r="1489" s="90" customFormat="1" ht="14.4"/>
    <row r="1490" s="90" customFormat="1" ht="14.4"/>
    <row r="1491" s="90" customFormat="1" ht="14.4"/>
    <row r="1492" s="90" customFormat="1" ht="14.4"/>
    <row r="1493" s="90" customFormat="1" ht="14.4"/>
    <row r="1494" s="90" customFormat="1" ht="14.4"/>
    <row r="1495" s="90" customFormat="1" ht="14.4"/>
    <row r="1496" s="90" customFormat="1" ht="14.4"/>
    <row r="1497" s="90" customFormat="1" ht="14.4"/>
    <row r="1498" s="90" customFormat="1" ht="14.4"/>
    <row r="1499" s="90" customFormat="1" ht="14.4"/>
    <row r="1500" s="90" customFormat="1" ht="14.4"/>
    <row r="1501" s="90" customFormat="1" ht="14.4"/>
    <row r="1502" s="90" customFormat="1" ht="14.4"/>
    <row r="1503" s="90" customFormat="1" ht="14.4"/>
    <row r="1504" s="90" customFormat="1" ht="14.4"/>
    <row r="1505" s="90" customFormat="1" ht="14.4"/>
    <row r="1506" s="90" customFormat="1" ht="14.4"/>
    <row r="1507" s="90" customFormat="1" ht="14.4"/>
    <row r="1508" s="90" customFormat="1" ht="14.4"/>
    <row r="1509" s="90" customFormat="1" ht="14.4"/>
    <row r="1510" s="90" customFormat="1" ht="14.4"/>
    <row r="1511" s="90" customFormat="1" ht="14.4"/>
    <row r="1512" s="90" customFormat="1" ht="14.4"/>
    <row r="1513" s="90" customFormat="1" ht="14.4"/>
    <row r="1514" s="90" customFormat="1" ht="14.4"/>
    <row r="1515" s="90" customFormat="1" ht="14.4"/>
    <row r="1516" s="90" customFormat="1" ht="14.4"/>
    <row r="1517" s="90" customFormat="1" ht="14.4"/>
    <row r="1518" s="90" customFormat="1" ht="14.4"/>
    <row r="1519" s="90" customFormat="1" ht="14.4"/>
    <row r="1520" s="90" customFormat="1" ht="14.4"/>
    <row r="1521" s="90" customFormat="1" ht="14.4"/>
    <row r="1522" s="90" customFormat="1" ht="14.4"/>
    <row r="1523" s="90" customFormat="1" ht="14.4"/>
    <row r="1524" s="90" customFormat="1" ht="14.4"/>
    <row r="1525" s="90" customFormat="1" ht="14.4"/>
    <row r="1526" s="90" customFormat="1" ht="14.4"/>
    <row r="1527" s="90" customFormat="1" ht="14.4"/>
    <row r="1528" s="90" customFormat="1" ht="14.4"/>
    <row r="1529" s="90" customFormat="1" ht="14.4"/>
    <row r="1530" s="90" customFormat="1" ht="14.4"/>
    <row r="1531" s="90" customFormat="1" ht="14.4"/>
    <row r="1532" s="90" customFormat="1" ht="14.4"/>
    <row r="1533" s="90" customFormat="1" ht="14.4"/>
    <row r="1534" s="90" customFormat="1" ht="14.4"/>
    <row r="1535" s="90" customFormat="1" ht="14.4"/>
    <row r="1536" s="90" customFormat="1" ht="14.4"/>
    <row r="1537" s="90" customFormat="1" ht="14.4"/>
    <row r="1538" s="90" customFormat="1" ht="14.4"/>
    <row r="1539" s="90" customFormat="1" ht="14.4"/>
    <row r="1540" s="90" customFormat="1" ht="14.4"/>
    <row r="1541" s="90" customFormat="1" ht="14.4"/>
    <row r="1542" s="90" customFormat="1" ht="14.4"/>
    <row r="1543" s="90" customFormat="1" ht="14.4"/>
    <row r="1544" s="90" customFormat="1" ht="14.4"/>
    <row r="1545" s="90" customFormat="1" ht="14.4"/>
    <row r="1546" s="90" customFormat="1" ht="14.4"/>
    <row r="1547" s="90" customFormat="1" ht="14.4"/>
    <row r="1548" s="90" customFormat="1" ht="14.4"/>
    <row r="1549" s="90" customFormat="1" ht="14.4"/>
    <row r="1550" s="90" customFormat="1" ht="14.4"/>
    <row r="1551" s="90" customFormat="1" ht="14.4"/>
    <row r="1552" s="90" customFormat="1" ht="14.4"/>
    <row r="1553" s="90" customFormat="1" ht="14.4"/>
    <row r="1554" s="90" customFormat="1" ht="14.4"/>
    <row r="1555" s="90" customFormat="1" ht="14.4"/>
    <row r="1556" s="90" customFormat="1" ht="14.4"/>
    <row r="1557" s="90" customFormat="1" ht="14.4"/>
    <row r="1558" s="90" customFormat="1" ht="14.4"/>
    <row r="1559" s="90" customFormat="1" ht="14.4"/>
    <row r="1560" s="90" customFormat="1" ht="14.4"/>
    <row r="1561" s="90" customFormat="1" ht="14.4"/>
    <row r="1562" s="90" customFormat="1" ht="14.4"/>
    <row r="1563" s="90" customFormat="1" ht="14.4"/>
    <row r="1564" s="90" customFormat="1" ht="14.4"/>
    <row r="1565" s="90" customFormat="1" ht="14.4"/>
    <row r="1566" s="90" customFormat="1" ht="14.4"/>
    <row r="1567" s="90" customFormat="1" ht="14.4"/>
    <row r="1568" s="90" customFormat="1" ht="14.4"/>
    <row r="1569" s="90" customFormat="1" ht="14.4"/>
    <row r="1570" s="90" customFormat="1" ht="14.4"/>
    <row r="1571" s="90" customFormat="1" ht="14.4"/>
    <row r="1572" s="90" customFormat="1" ht="14.4"/>
    <row r="1573" s="90" customFormat="1" ht="14.4"/>
    <row r="1574" s="90" customFormat="1" ht="14.4"/>
    <row r="1575" s="90" customFormat="1" ht="14.4"/>
    <row r="1576" s="90" customFormat="1" ht="14.4"/>
    <row r="1577" s="90" customFormat="1" ht="14.4"/>
    <row r="1578" s="90" customFormat="1" ht="14.4"/>
    <row r="1579" s="90" customFormat="1" ht="14.4"/>
    <row r="1580" s="90" customFormat="1" ht="14.4"/>
    <row r="1581" s="90" customFormat="1" ht="14.4"/>
    <row r="1582" s="90" customFormat="1" ht="14.4"/>
    <row r="1583" s="90" customFormat="1" ht="14.4"/>
    <row r="1584" s="90" customFormat="1" ht="14.4"/>
    <row r="1585" s="90" customFormat="1" ht="14.4"/>
    <row r="1586" s="90" customFormat="1" ht="14.4"/>
    <row r="1587" s="90" customFormat="1" ht="14.4"/>
    <row r="1588" s="90" customFormat="1" ht="14.4"/>
    <row r="1589" s="90" customFormat="1" ht="14.4"/>
    <row r="1590" s="90" customFormat="1" ht="14.4"/>
    <row r="1591" s="90" customFormat="1" ht="14.4"/>
    <row r="1592" s="90" customFormat="1" ht="14.4"/>
    <row r="1593" s="90" customFormat="1" ht="14.4"/>
    <row r="1594" s="90" customFormat="1" ht="14.4"/>
    <row r="1595" s="90" customFormat="1" ht="14.4"/>
    <row r="1596" s="90" customFormat="1" ht="14.4"/>
    <row r="1597" s="90" customFormat="1" ht="14.4"/>
    <row r="1598" s="90" customFormat="1" ht="14.4"/>
    <row r="1599" s="90" customFormat="1" ht="14.4"/>
    <row r="1600" s="90" customFormat="1" ht="14.4"/>
    <row r="1601" s="90" customFormat="1" ht="14.4"/>
    <row r="1602" s="90" customFormat="1" ht="14.4"/>
    <row r="1603" s="90" customFormat="1" ht="14.4"/>
    <row r="1604" s="90" customFormat="1" ht="14.4"/>
    <row r="1605" s="90" customFormat="1" ht="14.4"/>
    <row r="1606" s="90" customFormat="1" ht="14.4"/>
    <row r="1607" s="90" customFormat="1" ht="14.4"/>
    <row r="1608" s="90" customFormat="1" ht="14.4"/>
    <row r="1609" s="90" customFormat="1" ht="14.4"/>
    <row r="1610" s="90" customFormat="1" ht="14.4"/>
    <row r="1611" s="90" customFormat="1" ht="14.4"/>
    <row r="1612" s="90" customFormat="1" ht="14.4"/>
    <row r="1613" s="90" customFormat="1" ht="14.4"/>
    <row r="1614" s="90" customFormat="1" ht="14.4"/>
    <row r="1615" s="90" customFormat="1" ht="14.4"/>
    <row r="1616" s="90" customFormat="1" ht="14.4"/>
    <row r="1617" s="90" customFormat="1" ht="14.4"/>
    <row r="1618" s="90" customFormat="1" ht="14.4"/>
    <row r="1619" s="90" customFormat="1" ht="14.4"/>
    <row r="1620" s="90" customFormat="1" ht="14.4"/>
    <row r="1621" s="90" customFormat="1" ht="14.4"/>
    <row r="1622" s="90" customFormat="1" ht="14.4"/>
    <row r="1623" s="90" customFormat="1" ht="14.4"/>
    <row r="1624" s="90" customFormat="1" ht="14.4"/>
    <row r="1625" s="90" customFormat="1" ht="14.4"/>
    <row r="1626" s="90" customFormat="1" ht="14.4"/>
    <row r="1627" s="90" customFormat="1" ht="14.4"/>
    <row r="1628" s="90" customFormat="1" ht="14.4"/>
    <row r="1629" s="90" customFormat="1" ht="14.4"/>
    <row r="1630" s="90" customFormat="1" ht="14.4"/>
    <row r="1631" s="90" customFormat="1" ht="14.4"/>
    <row r="1632" s="90" customFormat="1" ht="14.4"/>
    <row r="1633" s="90" customFormat="1" ht="14.4"/>
    <row r="1634" s="90" customFormat="1" ht="14.4"/>
    <row r="1635" s="90" customFormat="1" ht="14.4"/>
    <row r="1636" s="90" customFormat="1" ht="14.4"/>
    <row r="1637" s="90" customFormat="1" ht="14.4"/>
    <row r="1638" s="90" customFormat="1" ht="14.4"/>
    <row r="1639" s="90" customFormat="1" ht="14.4"/>
    <row r="1640" s="90" customFormat="1" ht="14.4"/>
    <row r="1641" s="90" customFormat="1" ht="14.4"/>
    <row r="1642" s="90" customFormat="1" ht="14.4"/>
    <row r="1643" s="90" customFormat="1" ht="14.4"/>
    <row r="1644" s="90" customFormat="1" ht="14.4"/>
    <row r="1645" s="90" customFormat="1" ht="14.4"/>
    <row r="1646" s="90" customFormat="1" ht="14.4"/>
    <row r="1647" s="90" customFormat="1" ht="14.4"/>
    <row r="1648" s="90" customFormat="1" ht="14.4"/>
    <row r="1649" s="90" customFormat="1" ht="14.4"/>
    <row r="1650" s="90" customFormat="1" ht="14.4"/>
    <row r="1651" s="90" customFormat="1" ht="14.4"/>
    <row r="1652" s="90" customFormat="1" ht="14.4"/>
    <row r="1653" s="90" customFormat="1" ht="14.4"/>
    <row r="1654" s="90" customFormat="1" ht="14.4"/>
    <row r="1655" s="90" customFormat="1" ht="14.4"/>
    <row r="1656" s="90" customFormat="1" ht="14.4"/>
    <row r="1657" s="90" customFormat="1" ht="14.4"/>
    <row r="1658" s="90" customFormat="1" ht="14.4"/>
    <row r="1659" s="90" customFormat="1" ht="14.4"/>
    <row r="1660" s="90" customFormat="1" ht="14.4"/>
    <row r="1661" s="90" customFormat="1" ht="14.4"/>
    <row r="1662" s="90" customFormat="1" ht="14.4"/>
    <row r="1663" s="90" customFormat="1" ht="14.4"/>
    <row r="1664" s="90" customFormat="1" ht="14.4"/>
    <row r="1665" s="90" customFormat="1" ht="14.4"/>
    <row r="1666" s="90" customFormat="1" ht="14.4"/>
    <row r="1667" s="90" customFormat="1" ht="14.4"/>
    <row r="1668" s="90" customFormat="1" ht="14.4"/>
    <row r="1669" s="90" customFormat="1" ht="14.4"/>
    <row r="1670" s="90" customFormat="1" ht="14.4"/>
    <row r="1671" s="90" customFormat="1" ht="14.4"/>
    <row r="1672" s="90" customFormat="1" ht="14.4"/>
    <row r="1673" s="90" customFormat="1" ht="14.4"/>
    <row r="1674" s="90" customFormat="1" ht="14.4"/>
    <row r="1675" s="90" customFormat="1" ht="14.4"/>
    <row r="1676" s="90" customFormat="1" ht="14.4"/>
    <row r="1677" s="90" customFormat="1" ht="14.4"/>
    <row r="1678" s="90" customFormat="1" ht="14.4"/>
    <row r="1679" s="90" customFormat="1" ht="14.4"/>
    <row r="1680" s="90" customFormat="1" ht="14.4"/>
    <row r="1681" s="90" customFormat="1" ht="14.4"/>
    <row r="1682" s="90" customFormat="1" ht="14.4"/>
    <row r="1683" s="90" customFormat="1" ht="14.4"/>
    <row r="1684" s="90" customFormat="1" ht="14.4"/>
    <row r="1685" s="90" customFormat="1" ht="14.4"/>
    <row r="1686" s="90" customFormat="1" ht="14.4"/>
    <row r="1687" s="90" customFormat="1" ht="14.4"/>
    <row r="1688" s="90" customFormat="1" ht="14.4"/>
    <row r="1689" s="90" customFormat="1" ht="14.4"/>
    <row r="1690" s="90" customFormat="1" ht="14.4"/>
    <row r="1691" s="90" customFormat="1" ht="14.4"/>
    <row r="1692" s="90" customFormat="1" ht="14.4"/>
    <row r="1693" s="90" customFormat="1" ht="14.4"/>
    <row r="1694" s="90" customFormat="1" ht="14.4"/>
    <row r="1695" s="90" customFormat="1" ht="14.4"/>
    <row r="1696" s="90" customFormat="1" ht="14.4"/>
    <row r="1697" s="90" customFormat="1" ht="14.4"/>
    <row r="1698" s="90" customFormat="1" ht="14.4"/>
    <row r="1699" s="90" customFormat="1" ht="14.4"/>
    <row r="1700" s="90" customFormat="1" ht="14.4"/>
    <row r="1701" s="90" customFormat="1" ht="14.4"/>
    <row r="1702" s="90" customFormat="1" ht="14.4"/>
    <row r="1703" s="90" customFormat="1" ht="14.4"/>
    <row r="1704" s="90" customFormat="1" ht="14.4"/>
    <row r="1705" s="90" customFormat="1" ht="14.4"/>
    <row r="1706" s="90" customFormat="1" ht="14.4"/>
    <row r="1707" s="90" customFormat="1" ht="14.4"/>
    <row r="1708" s="90" customFormat="1" ht="14.4"/>
    <row r="1709" s="90" customFormat="1" ht="14.4"/>
    <row r="1710" s="90" customFormat="1" ht="14.4"/>
    <row r="1711" s="90" customFormat="1" ht="14.4"/>
    <row r="1712" s="90" customFormat="1" ht="14.4"/>
    <row r="1713" s="90" customFormat="1" ht="14.4"/>
    <row r="1714" s="90" customFormat="1" ht="14.4"/>
    <row r="1715" s="90" customFormat="1" ht="14.4"/>
    <row r="1716" s="90" customFormat="1" ht="14.4"/>
    <row r="1717" s="90" customFormat="1" ht="14.4"/>
    <row r="1718" s="90" customFormat="1" ht="14.4"/>
    <row r="1719" s="90" customFormat="1" ht="14.4"/>
    <row r="1720" s="90" customFormat="1" ht="14.4"/>
    <row r="1721" s="90" customFormat="1" ht="14.4"/>
    <row r="1722" s="90" customFormat="1" ht="14.4"/>
    <row r="1723" s="90" customFormat="1" ht="14.4"/>
    <row r="1724" s="90" customFormat="1" ht="14.4"/>
    <row r="1725" s="90" customFormat="1" ht="14.4"/>
    <row r="1726" s="90" customFormat="1" ht="14.4"/>
    <row r="1727" s="90" customFormat="1" ht="14.4"/>
    <row r="1728" s="90" customFormat="1" ht="14.4"/>
    <row r="1729" s="90" customFormat="1" ht="14.4"/>
    <row r="1730" s="90" customFormat="1" ht="14.4"/>
    <row r="1731" s="90" customFormat="1" ht="14.4"/>
    <row r="1732" s="90" customFormat="1" ht="14.4"/>
    <row r="1733" s="90" customFormat="1" ht="14.4"/>
    <row r="1734" s="90" customFormat="1" ht="14.4"/>
    <row r="1735" s="90" customFormat="1" ht="14.4"/>
    <row r="1736" s="90" customFormat="1" ht="14.4"/>
    <row r="1737" s="90" customFormat="1" ht="14.4"/>
    <row r="1738" s="90" customFormat="1" ht="14.4"/>
    <row r="1739" s="90" customFormat="1" ht="14.4"/>
    <row r="1740" s="90" customFormat="1" ht="14.4"/>
    <row r="1741" s="90" customFormat="1" ht="14.4"/>
    <row r="1742" s="90" customFormat="1" ht="14.4"/>
    <row r="1743" s="90" customFormat="1" ht="14.4"/>
    <row r="1744" s="90" customFormat="1" ht="14.4"/>
    <row r="1745" s="90" customFormat="1" ht="14.4"/>
    <row r="1746" s="90" customFormat="1" ht="14.4"/>
    <row r="1747" s="90" customFormat="1" ht="14.4"/>
    <row r="1748" s="90" customFormat="1" ht="14.4"/>
    <row r="1749" s="90" customFormat="1" ht="14.4"/>
    <row r="1750" s="90" customFormat="1" ht="14.4"/>
    <row r="1751" s="90" customFormat="1" ht="14.4"/>
    <row r="1752" s="90" customFormat="1" ht="14.4"/>
    <row r="1753" s="90" customFormat="1" ht="14.4"/>
    <row r="1754" s="90" customFormat="1" ht="14.4"/>
    <row r="1755" s="90" customFormat="1" ht="14.4"/>
    <row r="1756" s="90" customFormat="1" ht="14.4"/>
    <row r="1757" s="90" customFormat="1" ht="14.4"/>
    <row r="1758" s="90" customFormat="1" ht="14.4"/>
    <row r="1759" s="90" customFormat="1" ht="14.4"/>
    <row r="1760" s="90" customFormat="1" ht="14.4"/>
    <row r="1761" s="90" customFormat="1" ht="14.4"/>
    <row r="1762" s="90" customFormat="1" ht="14.4"/>
    <row r="1763" s="90" customFormat="1" ht="14.4"/>
    <row r="1764" s="90" customFormat="1" ht="14.4"/>
    <row r="1765" s="90" customFormat="1" ht="14.4"/>
    <row r="1766" s="90" customFormat="1" ht="14.4"/>
    <row r="1767" s="90" customFormat="1" ht="14.4"/>
    <row r="1768" s="90" customFormat="1" ht="14.4"/>
    <row r="1769" s="90" customFormat="1" ht="14.4"/>
    <row r="1770" s="90" customFormat="1" ht="14.4"/>
    <row r="1771" s="90" customFormat="1" ht="14.4"/>
    <row r="1772" s="90" customFormat="1" ht="14.4"/>
    <row r="1773" s="90" customFormat="1" ht="14.4"/>
    <row r="1774" s="90" customFormat="1" ht="14.4"/>
    <row r="1775" s="90" customFormat="1" ht="14.4"/>
    <row r="1776" s="90" customFormat="1" ht="14.4"/>
    <row r="1777" s="90" customFormat="1" ht="14.4"/>
    <row r="1778" s="90" customFormat="1" ht="14.4"/>
    <row r="1779" s="90" customFormat="1" ht="14.4"/>
    <row r="1780" s="90" customFormat="1" ht="14.4"/>
    <row r="1781" s="90" customFormat="1" ht="14.4"/>
    <row r="1782" s="90" customFormat="1" ht="14.4"/>
    <row r="1783" s="90" customFormat="1" ht="14.4"/>
    <row r="1784" s="90" customFormat="1" ht="14.4"/>
    <row r="1785" s="90" customFormat="1" ht="14.4"/>
    <row r="1786" s="90" customFormat="1" ht="14.4"/>
    <row r="1787" s="90" customFormat="1" ht="14.4"/>
    <row r="1788" s="90" customFormat="1" ht="14.4"/>
    <row r="1789" s="90" customFormat="1" ht="14.4"/>
    <row r="1790" s="90" customFormat="1" ht="14.4"/>
    <row r="1791" s="90" customFormat="1" ht="14.4"/>
    <row r="1792" s="90" customFormat="1" ht="14.4"/>
    <row r="1793" s="90" customFormat="1" ht="14.4"/>
    <row r="1794" s="90" customFormat="1" ht="14.4"/>
    <row r="1795" s="90" customFormat="1" ht="14.4"/>
    <row r="1796" s="90" customFormat="1" ht="14.4"/>
    <row r="1797" s="90" customFormat="1" ht="14.4"/>
    <row r="1798" s="90" customFormat="1" ht="14.4"/>
    <row r="1799" s="90" customFormat="1" ht="14.4"/>
    <row r="1800" s="90" customFormat="1" ht="14.4"/>
    <row r="1801" s="90" customFormat="1" ht="14.4"/>
    <row r="1802" s="90" customFormat="1" ht="14.4"/>
    <row r="1803" s="90" customFormat="1" ht="14.4"/>
    <row r="1804" s="90" customFormat="1" ht="14.4"/>
    <row r="1805" s="90" customFormat="1" ht="14.4"/>
    <row r="1806" s="90" customFormat="1" ht="14.4"/>
    <row r="1807" s="90" customFormat="1" ht="14.4"/>
    <row r="1808" s="90" customFormat="1" ht="14.4"/>
    <row r="1809" s="90" customFormat="1" ht="14.4"/>
    <row r="1810" s="90" customFormat="1" ht="14.4"/>
    <row r="1811" s="90" customFormat="1" ht="14.4"/>
    <row r="1812" s="90" customFormat="1" ht="14.4"/>
    <row r="1813" s="90" customFormat="1" ht="14.4"/>
    <row r="1814" s="90" customFormat="1" ht="14.4"/>
    <row r="1815" s="90" customFormat="1" ht="14.4"/>
    <row r="1816" s="90" customFormat="1" ht="14.4"/>
    <row r="1817" s="90" customFormat="1" ht="14.4"/>
    <row r="1818" s="90" customFormat="1" ht="14.4"/>
    <row r="1819" s="90" customFormat="1" ht="14.4"/>
    <row r="1820" s="90" customFormat="1" ht="14.4"/>
    <row r="1821" s="90" customFormat="1" ht="14.4"/>
    <row r="1822" s="90" customFormat="1" ht="14.4"/>
    <row r="1823" s="90" customFormat="1" ht="14.4"/>
    <row r="1824" s="90" customFormat="1" ht="14.4"/>
    <row r="1825" s="90" customFormat="1" ht="14.4"/>
    <row r="1826" s="90" customFormat="1" ht="14.4"/>
    <row r="1827" s="90" customFormat="1" ht="14.4"/>
    <row r="1828" s="90" customFormat="1" ht="14.4"/>
    <row r="1829" s="90" customFormat="1" ht="14.4"/>
    <row r="1830" s="90" customFormat="1" ht="14.4"/>
    <row r="1831" s="90" customFormat="1" ht="14.4"/>
    <row r="1832" s="90" customFormat="1" ht="14.4"/>
    <row r="1833" s="90" customFormat="1" ht="14.4"/>
    <row r="1834" s="90" customFormat="1" ht="14.4"/>
    <row r="1835" s="90" customFormat="1" ht="14.4"/>
    <row r="1836" s="90" customFormat="1" ht="14.4"/>
    <row r="1837" s="90" customFormat="1" ht="14.4"/>
    <row r="1838" s="90" customFormat="1" ht="14.4"/>
    <row r="1839" s="90" customFormat="1" ht="14.4"/>
    <row r="1840" s="90" customFormat="1" ht="14.4"/>
    <row r="1841" s="90" customFormat="1" ht="14.4"/>
    <row r="1842" s="90" customFormat="1" ht="14.4"/>
    <row r="1843" s="90" customFormat="1" ht="14.4"/>
    <row r="1844" s="90" customFormat="1" ht="14.4"/>
    <row r="1845" s="90" customFormat="1" ht="14.4"/>
    <row r="1846" s="90" customFormat="1" ht="14.4"/>
    <row r="1847" s="90" customFormat="1" ht="14.4"/>
    <row r="1848" s="90" customFormat="1" ht="14.4"/>
    <row r="1849" s="90" customFormat="1" ht="14.4"/>
    <row r="1850" s="90" customFormat="1" ht="14.4"/>
    <row r="1851" s="90" customFormat="1" ht="14.4"/>
    <row r="1852" s="90" customFormat="1" ht="14.4"/>
    <row r="1853" s="90" customFormat="1" ht="14.4"/>
    <row r="1854" s="90" customFormat="1" ht="14.4"/>
    <row r="1855" s="90" customFormat="1" ht="14.4"/>
    <row r="1856" s="90" customFormat="1" ht="14.4"/>
    <row r="1857" s="90" customFormat="1" ht="14.4"/>
    <row r="1858" s="90" customFormat="1" ht="14.4"/>
    <row r="1859" s="90" customFormat="1" ht="14.4"/>
    <row r="1860" s="90" customFormat="1" ht="14.4"/>
    <row r="1861" s="90" customFormat="1" ht="14.4"/>
    <row r="1862" s="90" customFormat="1" ht="14.4"/>
    <row r="1863" s="90" customFormat="1" ht="14.4"/>
    <row r="1864" s="90" customFormat="1" ht="14.4"/>
    <row r="1865" s="90" customFormat="1" ht="14.4"/>
    <row r="1866" s="90" customFormat="1" ht="14.4"/>
    <row r="1867" s="90" customFormat="1" ht="14.4"/>
    <row r="1868" s="90" customFormat="1" ht="14.4"/>
    <row r="1869" s="90" customFormat="1" ht="14.4"/>
    <row r="1870" s="90" customFormat="1" ht="14.4"/>
    <row r="1871" s="90" customFormat="1" ht="14.4"/>
    <row r="1872" s="90" customFormat="1" ht="14.4"/>
    <row r="1873" s="90" customFormat="1" ht="14.4"/>
    <row r="1874" s="90" customFormat="1" ht="14.4"/>
    <row r="1875" s="90" customFormat="1" ht="14.4"/>
    <row r="1876" s="90" customFormat="1" ht="14.4"/>
    <row r="1877" s="90" customFormat="1" ht="14.4"/>
    <row r="1878" s="90" customFormat="1" ht="14.4"/>
    <row r="1879" s="90" customFormat="1" ht="14.4"/>
    <row r="1880" s="90" customFormat="1" ht="14.4"/>
    <row r="1881" s="90" customFormat="1" ht="14.4"/>
    <row r="1882" s="90" customFormat="1" ht="14.4"/>
    <row r="1883" s="90" customFormat="1" ht="14.4"/>
    <row r="1884" s="90" customFormat="1" ht="14.4"/>
    <row r="1885" s="90" customFormat="1" ht="14.4"/>
    <row r="1886" s="90" customFormat="1" ht="14.4"/>
    <row r="1887" s="90" customFormat="1" ht="14.4"/>
    <row r="1888" s="90" customFormat="1" ht="14.4"/>
    <row r="1889" s="90" customFormat="1" ht="14.4"/>
    <row r="1890" s="90" customFormat="1" ht="14.4"/>
    <row r="1891" s="90" customFormat="1" ht="14.4"/>
    <row r="1892" s="90" customFormat="1" ht="14.4"/>
    <row r="1893" s="90" customFormat="1" ht="14.4"/>
    <row r="1894" s="90" customFormat="1" ht="14.4"/>
    <row r="1895" s="90" customFormat="1" ht="14.4"/>
    <row r="1896" s="90" customFormat="1" ht="14.4"/>
    <row r="1897" s="90" customFormat="1" ht="14.4"/>
    <row r="1898" s="90" customFormat="1" ht="14.4"/>
    <row r="1899" s="90" customFormat="1" ht="14.4"/>
    <row r="1900" s="90" customFormat="1" ht="14.4"/>
    <row r="1901" s="90" customFormat="1" ht="14.4"/>
    <row r="1902" s="90" customFormat="1" ht="14.4"/>
    <row r="1903" s="90" customFormat="1" ht="14.4"/>
    <row r="1904" s="90" customFormat="1" ht="14.4"/>
    <row r="1905" s="90" customFormat="1" ht="14.4"/>
    <row r="1906" s="90" customFormat="1" ht="14.4"/>
    <row r="1907" s="90" customFormat="1" ht="14.4"/>
    <row r="1908" s="90" customFormat="1" ht="14.4"/>
    <row r="1909" s="90" customFormat="1" ht="14.4"/>
    <row r="1910" s="90" customFormat="1" ht="14.4"/>
    <row r="1911" s="90" customFormat="1" ht="14.4"/>
    <row r="1912" s="90" customFormat="1" ht="14.4"/>
    <row r="1913" s="90" customFormat="1" ht="14.4"/>
    <row r="1914" s="90" customFormat="1" ht="14.4"/>
    <row r="1915" s="90" customFormat="1" ht="14.4"/>
    <row r="1916" s="90" customFormat="1" ht="14.4"/>
    <row r="1917" s="90" customFormat="1" ht="14.4"/>
    <row r="1918" s="90" customFormat="1" ht="14.4"/>
    <row r="1919" s="90" customFormat="1" ht="14.4"/>
    <row r="1920" s="90" customFormat="1" ht="14.4"/>
    <row r="1921" s="90" customFormat="1" ht="14.4"/>
    <row r="1922" s="90" customFormat="1" ht="14.4"/>
    <row r="1923" s="90" customFormat="1" ht="14.4"/>
    <row r="1924" s="90" customFormat="1" ht="14.4"/>
    <row r="1925" s="90" customFormat="1" ht="14.4"/>
    <row r="1926" s="90" customFormat="1" ht="14.4"/>
    <row r="1927" s="90" customFormat="1" ht="14.4"/>
    <row r="1928" s="90" customFormat="1" ht="14.4"/>
    <row r="1929" s="90" customFormat="1" ht="14.4"/>
    <row r="1930" s="90" customFormat="1" ht="14.4"/>
    <row r="1931" s="90" customFormat="1" ht="14.4"/>
    <row r="1932" s="90" customFormat="1" ht="14.4"/>
    <row r="1933" s="90" customFormat="1" ht="14.4"/>
    <row r="1934" s="90" customFormat="1" ht="14.4"/>
    <row r="1935" s="90" customFormat="1" ht="14.4"/>
    <row r="1936" s="90" customFormat="1" ht="14.4"/>
    <row r="1937" s="90" customFormat="1" ht="14.4"/>
    <row r="1938" s="90" customFormat="1" ht="14.4"/>
    <row r="1939" s="90" customFormat="1" ht="14.4"/>
    <row r="1940" s="90" customFormat="1" ht="14.4"/>
    <row r="1941" s="90" customFormat="1" ht="14.4"/>
    <row r="1942" s="90" customFormat="1" ht="14.4"/>
    <row r="1943" s="90" customFormat="1" ht="14.4"/>
    <row r="1944" s="90" customFormat="1" ht="14.4"/>
    <row r="1945" s="90" customFormat="1" ht="14.4"/>
    <row r="1946" s="90" customFormat="1" ht="14.4"/>
    <row r="1947" s="90" customFormat="1" ht="14.4"/>
    <row r="1948" s="90" customFormat="1" ht="14.4"/>
    <row r="1949" s="90" customFormat="1" ht="14.4"/>
    <row r="1950" s="90" customFormat="1" ht="14.4"/>
    <row r="1951" s="90" customFormat="1" ht="14.4"/>
    <row r="1952" s="90" customFormat="1" ht="14.4"/>
    <row r="1953" s="90" customFormat="1" ht="14.4"/>
    <row r="1954" s="90" customFormat="1" ht="14.4"/>
    <row r="1955" s="90" customFormat="1" ht="14.4"/>
    <row r="1956" s="90" customFormat="1" ht="14.4"/>
    <row r="1957" s="90" customFormat="1" ht="14.4"/>
    <row r="1958" s="90" customFormat="1" ht="14.4"/>
    <row r="1959" s="90" customFormat="1" ht="14.4"/>
    <row r="1960" s="90" customFormat="1" ht="14.4"/>
    <row r="1961" s="90" customFormat="1" ht="14.4"/>
    <row r="1962" s="90" customFormat="1" ht="14.4"/>
    <row r="1963" s="90" customFormat="1" ht="14.4"/>
    <row r="1964" s="90" customFormat="1" ht="14.4"/>
    <row r="1965" s="90" customFormat="1" ht="14.4"/>
    <row r="1966" s="90" customFormat="1" ht="14.4"/>
    <row r="1967" s="90" customFormat="1" ht="14.4"/>
    <row r="1968" s="90" customFormat="1" ht="14.4"/>
    <row r="1969" s="90" customFormat="1" ht="14.4"/>
    <row r="1970" s="90" customFormat="1" ht="14.4"/>
    <row r="1971" s="90" customFormat="1" ht="14.4"/>
    <row r="1972" s="90" customFormat="1" ht="14.4"/>
    <row r="1973" s="90" customFormat="1" ht="14.4"/>
    <row r="1974" s="90" customFormat="1" ht="14.4"/>
    <row r="1975" s="90" customFormat="1" ht="14.4"/>
    <row r="1976" s="90" customFormat="1" ht="14.4"/>
    <row r="1977" s="90" customFormat="1" ht="14.4"/>
    <row r="1978" s="90" customFormat="1" ht="14.4"/>
    <row r="1979" s="90" customFormat="1" ht="14.4"/>
    <row r="1980" s="90" customFormat="1" ht="14.4"/>
    <row r="1981" s="90" customFormat="1" ht="14.4"/>
    <row r="1982" s="90" customFormat="1" ht="14.4"/>
    <row r="1983" s="90" customFormat="1" ht="14.4"/>
    <row r="1984" s="90" customFormat="1" ht="14.4"/>
    <row r="1985" s="90" customFormat="1" ht="14.4"/>
    <row r="1986" s="90" customFormat="1" ht="14.4"/>
    <row r="1987" s="90" customFormat="1" ht="14.4"/>
    <row r="1988" s="90" customFormat="1" ht="14.4"/>
    <row r="1989" s="90" customFormat="1" ht="14.4"/>
    <row r="1990" s="90" customFormat="1" ht="14.4"/>
    <row r="1991" s="90" customFormat="1" ht="14.4"/>
    <row r="1992" s="90" customFormat="1" ht="14.4"/>
    <row r="1993" s="90" customFormat="1" ht="14.4"/>
    <row r="1994" s="90" customFormat="1" ht="14.4"/>
    <row r="1995" s="90" customFormat="1" ht="14.4"/>
    <row r="1996" s="90" customFormat="1" ht="14.4"/>
    <row r="1997" s="90" customFormat="1" ht="14.4"/>
    <row r="1998" s="90" customFormat="1" ht="14.4"/>
    <row r="1999" s="90" customFormat="1" ht="14.4"/>
    <row r="2000" s="90" customFormat="1" ht="14.4"/>
    <row r="2001" s="90" customFormat="1" ht="14.4"/>
    <row r="2002" s="90" customFormat="1" ht="14.4"/>
    <row r="2003" s="90" customFormat="1" ht="14.4"/>
    <row r="2004" s="90" customFormat="1" ht="14.4"/>
    <row r="2005" s="90" customFormat="1" ht="14.4"/>
    <row r="2006" s="90" customFormat="1" ht="14.4"/>
    <row r="2007" s="90" customFormat="1" ht="14.4"/>
    <row r="2008" s="90" customFormat="1" ht="14.4"/>
    <row r="2009" s="90" customFormat="1" ht="14.4"/>
    <row r="2010" s="90" customFormat="1" ht="14.4"/>
    <row r="2011" s="90" customFormat="1" ht="14.4"/>
    <row r="2012" s="90" customFormat="1" ht="14.4"/>
    <row r="2013" s="90" customFormat="1" ht="14.4"/>
    <row r="2014" s="90" customFormat="1" ht="14.4"/>
    <row r="2015" s="90" customFormat="1" ht="14.4"/>
    <row r="2016" s="90" customFormat="1" ht="14.4"/>
    <row r="2017" s="90" customFormat="1" ht="14.4"/>
    <row r="2018" s="90" customFormat="1" ht="14.4"/>
    <row r="2019" s="90" customFormat="1" ht="14.4"/>
    <row r="2020" s="90" customFormat="1" ht="14.4"/>
    <row r="2021" s="90" customFormat="1" ht="14.4"/>
    <row r="2022" s="90" customFormat="1" ht="14.4"/>
    <row r="2023" s="90" customFormat="1" ht="14.4"/>
    <row r="2024" s="90" customFormat="1" ht="14.4"/>
    <row r="2025" s="90" customFormat="1" ht="14.4"/>
    <row r="2026" s="90" customFormat="1" ht="14.4"/>
    <row r="2027" s="90" customFormat="1" ht="14.4"/>
    <row r="2028" s="90" customFormat="1" ht="14.4"/>
    <row r="2029" s="90" customFormat="1" ht="14.4"/>
    <row r="2030" s="90" customFormat="1" ht="14.4"/>
    <row r="2031" s="90" customFormat="1" ht="14.4"/>
    <row r="2032" s="90" customFormat="1" ht="14.4"/>
    <row r="2033" s="90" customFormat="1" ht="14.4"/>
    <row r="2034" s="90" customFormat="1" ht="14.4"/>
    <row r="2035" s="90" customFormat="1" ht="14.4"/>
    <row r="2036" s="90" customFormat="1" ht="14.4"/>
    <row r="2037" s="90" customFormat="1" ht="14.4"/>
    <row r="2038" s="90" customFormat="1" ht="14.4"/>
    <row r="2039" s="90" customFormat="1" ht="14.4"/>
    <row r="2040" s="90" customFormat="1" ht="14.4"/>
    <row r="2041" s="90" customFormat="1" ht="14.4"/>
    <row r="2042" s="90" customFormat="1" ht="14.4"/>
    <row r="2043" s="90" customFormat="1" ht="14.4"/>
    <row r="2044" s="90" customFormat="1" ht="14.4"/>
    <row r="2045" s="90" customFormat="1" ht="14.4"/>
    <row r="2046" s="90" customFormat="1" ht="14.4"/>
    <row r="2047" s="90" customFormat="1" ht="14.4"/>
    <row r="2048" s="90" customFormat="1" ht="14.4"/>
    <row r="2049" s="90" customFormat="1" ht="14.4"/>
    <row r="2050" s="90" customFormat="1" ht="14.4"/>
    <row r="2051" s="90" customFormat="1" ht="14.4"/>
    <row r="2052" s="90" customFormat="1" ht="14.4"/>
    <row r="2053" s="90" customFormat="1" ht="14.4"/>
    <row r="2054" s="90" customFormat="1" ht="14.4"/>
    <row r="2055" s="90" customFormat="1" ht="14.4"/>
    <row r="2056" s="90" customFormat="1" ht="14.4"/>
    <row r="2057" s="90" customFormat="1" ht="14.4"/>
    <row r="2058" s="90" customFormat="1" ht="14.4"/>
    <row r="2059" s="90" customFormat="1" ht="14.4"/>
    <row r="2060" s="90" customFormat="1" ht="14.4"/>
    <row r="2061" s="90" customFormat="1" ht="14.4"/>
    <row r="2062" s="90" customFormat="1" ht="14.4"/>
    <row r="2063" s="90" customFormat="1" ht="14.4"/>
    <row r="2064" s="90" customFormat="1" ht="14.4"/>
    <row r="2065" s="90" customFormat="1" ht="14.4"/>
    <row r="2066" s="90" customFormat="1" ht="14.4"/>
    <row r="2067" s="90" customFormat="1" ht="14.4"/>
    <row r="2068" s="90" customFormat="1" ht="14.4"/>
    <row r="2069" s="90" customFormat="1" ht="14.4"/>
    <row r="2070" s="90" customFormat="1" ht="14.4"/>
    <row r="2071" s="90" customFormat="1" ht="14.4"/>
    <row r="2072" s="90" customFormat="1" ht="14.4"/>
    <row r="2073" s="90" customFormat="1" ht="14.4"/>
    <row r="2074" s="90" customFormat="1" ht="14.4"/>
    <row r="2075" s="90" customFormat="1" ht="14.4"/>
    <row r="2076" s="90" customFormat="1" ht="14.4"/>
    <row r="2077" s="90" customFormat="1" ht="14.4"/>
    <row r="2078" s="90" customFormat="1" ht="14.4"/>
    <row r="2079" s="90" customFormat="1" ht="14.4"/>
    <row r="2080" s="90" customFormat="1" ht="14.4"/>
    <row r="2081" s="90" customFormat="1" ht="14.4"/>
    <row r="2082" s="90" customFormat="1" ht="14.4"/>
    <row r="2083" s="90" customFormat="1" ht="14.4"/>
    <row r="2084" s="90" customFormat="1" ht="14.4"/>
    <row r="2085" s="90" customFormat="1" ht="14.4"/>
    <row r="2086" s="90" customFormat="1" ht="14.4"/>
    <row r="2087" s="90" customFormat="1" ht="14.4"/>
    <row r="2088" s="90" customFormat="1" ht="14.4"/>
    <row r="2089" s="90" customFormat="1" ht="14.4"/>
    <row r="2090" s="90" customFormat="1" ht="14.4"/>
    <row r="2091" s="90" customFormat="1" ht="14.4"/>
    <row r="2092" s="90" customFormat="1" ht="14.4"/>
    <row r="2093" s="90" customFormat="1" ht="14.4"/>
    <row r="2094" s="90" customFormat="1" ht="14.4"/>
    <row r="2095" s="90" customFormat="1" ht="14.4"/>
    <row r="2096" s="90" customFormat="1" ht="14.4"/>
    <row r="2097" s="90" customFormat="1" ht="14.4"/>
    <row r="2098" s="90" customFormat="1" ht="14.4"/>
    <row r="2099" s="90" customFormat="1" ht="14.4"/>
    <row r="2100" s="90" customFormat="1" ht="14.4"/>
    <row r="2101" s="90" customFormat="1" ht="14.4"/>
    <row r="2102" s="90" customFormat="1" ht="14.4"/>
    <row r="2103" s="90" customFormat="1" ht="14.4"/>
    <row r="2104" s="90" customFormat="1" ht="14.4"/>
    <row r="2105" s="90" customFormat="1" ht="14.4"/>
    <row r="2106" s="90" customFormat="1" ht="14.4"/>
    <row r="2107" s="90" customFormat="1" ht="14.4"/>
    <row r="2108" s="90" customFormat="1" ht="14.4"/>
    <row r="2109" s="90" customFormat="1" ht="14.4"/>
    <row r="2110" s="90" customFormat="1" ht="14.4"/>
    <row r="2111" s="90" customFormat="1" ht="14.4"/>
    <row r="2112" s="90" customFormat="1" ht="14.4"/>
    <row r="2113" s="90" customFormat="1" ht="14.4"/>
    <row r="2114" s="90" customFormat="1" ht="14.4"/>
    <row r="2115" s="90" customFormat="1" ht="14.4"/>
    <row r="2116" s="90" customFormat="1" ht="14.4"/>
    <row r="2117" s="90" customFormat="1" ht="14.4"/>
    <row r="2118" s="90" customFormat="1" ht="14.4"/>
    <row r="2119" s="90" customFormat="1" ht="14.4"/>
    <row r="2120" s="90" customFormat="1" ht="14.4"/>
    <row r="2121" s="90" customFormat="1" ht="14.4"/>
    <row r="2122" s="90" customFormat="1" ht="14.4"/>
    <row r="2123" s="90" customFormat="1" ht="14.4"/>
    <row r="2124" s="90" customFormat="1" ht="14.4"/>
    <row r="2125" s="90" customFormat="1" ht="14.4"/>
    <row r="2126" s="90" customFormat="1" ht="14.4"/>
    <row r="2127" s="90" customFormat="1" ht="14.4"/>
    <row r="2128" s="90" customFormat="1" ht="14.4"/>
    <row r="2129" s="90" customFormat="1" ht="14.4"/>
    <row r="2130" s="90" customFormat="1" ht="14.4"/>
    <row r="2131" s="90" customFormat="1" ht="14.4"/>
    <row r="2132" s="90" customFormat="1" ht="14.4"/>
    <row r="2133" s="90" customFormat="1" ht="14.4"/>
    <row r="2134" s="90" customFormat="1" ht="14.4"/>
    <row r="2135" s="90" customFormat="1" ht="14.4"/>
    <row r="2136" s="90" customFormat="1" ht="14.4"/>
    <row r="2137" s="90" customFormat="1" ht="14.4"/>
    <row r="2138" s="90" customFormat="1" ht="14.4"/>
    <row r="2139" s="90" customFormat="1" ht="14.4"/>
    <row r="2140" s="90" customFormat="1" ht="14.4"/>
    <row r="2141" s="90" customFormat="1" ht="14.4"/>
    <row r="2142" s="90" customFormat="1" ht="14.4"/>
    <row r="2143" s="90" customFormat="1" ht="14.4"/>
    <row r="2144" s="90" customFormat="1" ht="14.4"/>
    <row r="2145" s="90" customFormat="1" ht="14.4"/>
    <row r="2146" s="90" customFormat="1" ht="14.4"/>
    <row r="2147" s="90" customFormat="1" ht="14.4"/>
    <row r="2148" s="90" customFormat="1" ht="14.4"/>
    <row r="2149" s="90" customFormat="1" ht="14.4"/>
    <row r="2150" s="90" customFormat="1" ht="14.4"/>
    <row r="2151" s="90" customFormat="1" ht="14.4"/>
    <row r="2152" s="90" customFormat="1" ht="14.4"/>
    <row r="2153" s="90" customFormat="1" ht="14.4"/>
    <row r="2154" s="90" customFormat="1" ht="14.4"/>
    <row r="2155" s="90" customFormat="1" ht="14.4"/>
    <row r="2156" s="90" customFormat="1" ht="14.4"/>
    <row r="2157" s="90" customFormat="1" ht="14.4"/>
    <row r="2158" s="90" customFormat="1" ht="14.4"/>
    <row r="2159" s="90" customFormat="1" ht="14.4"/>
    <row r="2160" s="90" customFormat="1" ht="14.4"/>
    <row r="2161" s="90" customFormat="1" ht="14.4"/>
    <row r="2162" s="90" customFormat="1" ht="14.4"/>
    <row r="2163" s="90" customFormat="1" ht="14.4"/>
    <row r="2164" s="90" customFormat="1" ht="14.4"/>
    <row r="2165" s="90" customFormat="1" ht="14.4"/>
    <row r="2166" s="90" customFormat="1" ht="14.4"/>
    <row r="2167" s="90" customFormat="1" ht="14.4"/>
    <row r="2168" s="90" customFormat="1" ht="14.4"/>
    <row r="2169" s="90" customFormat="1" ht="14.4"/>
    <row r="2170" s="90" customFormat="1" ht="14.4"/>
    <row r="2171" s="90" customFormat="1" ht="14.4"/>
    <row r="2172" s="90" customFormat="1" ht="14.4"/>
    <row r="2173" s="90" customFormat="1" ht="14.4"/>
    <row r="2174" s="90" customFormat="1" ht="14.4"/>
    <row r="2175" s="90" customFormat="1" ht="14.4"/>
    <row r="2176" s="90" customFormat="1" ht="14.4"/>
    <row r="2177" s="90" customFormat="1" ht="14.4"/>
    <row r="2178" s="90" customFormat="1" ht="14.4"/>
    <row r="2179" s="90" customFormat="1" ht="14.4"/>
    <row r="2180" s="90" customFormat="1" ht="14.4"/>
    <row r="2181" s="90" customFormat="1" ht="14.4"/>
    <row r="2182" s="90" customFormat="1" ht="14.4"/>
    <row r="2183" s="90" customFormat="1" ht="14.4"/>
    <row r="2184" s="90" customFormat="1" ht="14.4"/>
    <row r="2185" s="90" customFormat="1" ht="14.4"/>
    <row r="2186" s="90" customFormat="1" ht="14.4"/>
    <row r="2187" s="90" customFormat="1" ht="14.4"/>
    <row r="2188" s="90" customFormat="1" ht="14.4"/>
    <row r="2189" s="90" customFormat="1" ht="14.4"/>
    <row r="2190" s="90" customFormat="1" ht="14.4"/>
    <row r="2191" s="90" customFormat="1" ht="14.4"/>
    <row r="2192" s="90" customFormat="1" ht="14.4"/>
    <row r="2193" s="90" customFormat="1" ht="14.4"/>
    <row r="2194" s="90" customFormat="1" ht="14.4"/>
    <row r="2195" s="90" customFormat="1" ht="14.4"/>
    <row r="2196" s="90" customFormat="1" ht="14.4"/>
    <row r="2197" s="90" customFormat="1" ht="14.4"/>
    <row r="2198" s="90" customFormat="1" ht="14.4"/>
    <row r="2199" s="90" customFormat="1" ht="14.4"/>
    <row r="2200" s="90" customFormat="1" ht="14.4"/>
    <row r="2201" s="90" customFormat="1" ht="14.4"/>
    <row r="2202" s="90" customFormat="1" ht="14.4"/>
    <row r="2203" s="90" customFormat="1" ht="14.4"/>
    <row r="2204" s="90" customFormat="1" ht="14.4"/>
    <row r="2205" s="90" customFormat="1" ht="14.4"/>
    <row r="2206" s="90" customFormat="1" ht="14.4"/>
    <row r="2207" s="90" customFormat="1" ht="14.4"/>
    <row r="2208" s="90" customFormat="1" ht="14.4"/>
    <row r="2209" s="90" customFormat="1" ht="14.4"/>
    <row r="2210" s="90" customFormat="1" ht="14.4"/>
    <row r="2211" s="90" customFormat="1" ht="14.4"/>
    <row r="2212" s="90" customFormat="1" ht="14.4"/>
    <row r="2213" s="90" customFormat="1" ht="14.4"/>
    <row r="2214" s="90" customFormat="1" ht="14.4"/>
    <row r="2215" s="90" customFormat="1" ht="14.4"/>
    <row r="2216" s="90" customFormat="1" ht="14.4"/>
    <row r="2217" s="90" customFormat="1" ht="14.4"/>
    <row r="2218" s="90" customFormat="1" ht="14.4"/>
    <row r="2219" s="90" customFormat="1" ht="14.4"/>
    <row r="2220" s="90" customFormat="1" ht="14.4"/>
    <row r="2221" s="90" customFormat="1" ht="14.4"/>
    <row r="2222" s="90" customFormat="1" ht="14.4"/>
    <row r="2223" s="90" customFormat="1" ht="14.4"/>
    <row r="2224" s="90" customFormat="1" ht="14.4"/>
    <row r="2225" s="90" customFormat="1" ht="14.4"/>
    <row r="2226" s="90" customFormat="1" ht="14.4"/>
    <row r="2227" s="90" customFormat="1" ht="14.4"/>
    <row r="2228" s="90" customFormat="1" ht="14.4"/>
    <row r="2229" s="90" customFormat="1" ht="14.4"/>
    <row r="2230" s="90" customFormat="1" ht="14.4"/>
    <row r="2231" s="90" customFormat="1" ht="14.4"/>
    <row r="2232" s="90" customFormat="1" ht="14.4"/>
    <row r="2233" s="90" customFormat="1" ht="14.4"/>
    <row r="2234" s="90" customFormat="1" ht="14.4"/>
    <row r="2235" s="90" customFormat="1" ht="14.4"/>
    <row r="2236" s="90" customFormat="1" ht="14.4"/>
    <row r="2237" s="90" customFormat="1" ht="14.4"/>
    <row r="2238" s="90" customFormat="1" ht="14.4"/>
    <row r="2239" s="90" customFormat="1" ht="14.4"/>
    <row r="2240" s="90" customFormat="1" ht="14.4"/>
    <row r="2241" s="90" customFormat="1" ht="14.4"/>
    <row r="2242" s="90" customFormat="1" ht="14.4"/>
    <row r="2243" s="90" customFormat="1" ht="14.4"/>
    <row r="2244" s="90" customFormat="1" ht="14.4"/>
    <row r="2245" s="90" customFormat="1" ht="14.4"/>
    <row r="2246" s="90" customFormat="1" ht="14.4"/>
    <row r="2247" s="90" customFormat="1" ht="14.4"/>
    <row r="2248" s="90" customFormat="1" ht="14.4"/>
    <row r="2249" s="90" customFormat="1" ht="14.4"/>
    <row r="2250" s="90" customFormat="1" ht="14.4"/>
    <row r="2251" s="90" customFormat="1" ht="14.4"/>
    <row r="2252" s="90" customFormat="1" ht="14.4"/>
    <row r="2253" s="90" customFormat="1" ht="14.4"/>
    <row r="2254" s="90" customFormat="1" ht="14.4"/>
    <row r="2255" s="90" customFormat="1" ht="14.4"/>
    <row r="2256" s="90" customFormat="1" ht="14.4"/>
    <row r="2257" s="90" customFormat="1" ht="14.4"/>
    <row r="2258" s="90" customFormat="1" ht="14.4"/>
    <row r="2259" s="90" customFormat="1" ht="14.4"/>
    <row r="2260" s="90" customFormat="1" ht="14.4"/>
    <row r="2261" s="90" customFormat="1" ht="14.4"/>
    <row r="2262" s="90" customFormat="1" ht="14.4"/>
    <row r="2263" s="90" customFormat="1" ht="14.4"/>
    <row r="2264" s="90" customFormat="1" ht="14.4"/>
    <row r="2265" s="90" customFormat="1" ht="14.4"/>
    <row r="2266" s="90" customFormat="1" ht="14.4"/>
    <row r="2267" s="90" customFormat="1" ht="14.4"/>
    <row r="2268" s="90" customFormat="1" ht="14.4"/>
    <row r="2269" s="90" customFormat="1" ht="14.4"/>
    <row r="2270" s="90" customFormat="1" ht="14.4"/>
    <row r="2271" s="90" customFormat="1" ht="14.4"/>
    <row r="2272" s="90" customFormat="1" ht="14.4"/>
    <row r="2273" s="90" customFormat="1" ht="14.4"/>
    <row r="2274" s="90" customFormat="1" ht="14.4"/>
    <row r="2275" s="90" customFormat="1" ht="14.4"/>
    <row r="2276" s="90" customFormat="1" ht="14.4"/>
    <row r="2277" s="90" customFormat="1" ht="14.4"/>
    <row r="2278" s="90" customFormat="1" ht="14.4"/>
    <row r="2279" s="90" customFormat="1" ht="14.4"/>
    <row r="2280" s="90" customFormat="1" ht="14.4"/>
    <row r="2281" s="90" customFormat="1" ht="14.4"/>
    <row r="2282" s="90" customFormat="1" ht="14.4"/>
    <row r="2283" s="90" customFormat="1" ht="14.4"/>
    <row r="2284" s="90" customFormat="1" ht="14.4"/>
    <row r="2285" s="90" customFormat="1" ht="14.4"/>
    <row r="2286" s="90" customFormat="1" ht="14.4"/>
    <row r="2287" s="90" customFormat="1" ht="14.4"/>
    <row r="2288" s="90" customFormat="1" ht="14.4"/>
    <row r="2289" s="90" customFormat="1" ht="14.4"/>
    <row r="2290" s="90" customFormat="1" ht="14.4"/>
    <row r="2291" s="90" customFormat="1" ht="14.4"/>
    <row r="2292" s="90" customFormat="1" ht="14.4"/>
    <row r="2293" s="90" customFormat="1" ht="14.4"/>
    <row r="2294" s="90" customFormat="1" ht="14.4"/>
    <row r="2295" s="90" customFormat="1" ht="14.4"/>
    <row r="2296" s="90" customFormat="1" ht="14.4"/>
    <row r="2297" s="90" customFormat="1" ht="14.4"/>
    <row r="2298" s="90" customFormat="1" ht="14.4"/>
    <row r="2299" s="90" customFormat="1" ht="14.4"/>
    <row r="2300" s="90" customFormat="1" ht="14.4"/>
    <row r="2301" s="90" customFormat="1" ht="14.4"/>
    <row r="2302" s="90" customFormat="1" ht="14.4"/>
    <row r="2303" s="90" customFormat="1" ht="14.4"/>
    <row r="2304" s="90" customFormat="1" ht="14.4"/>
    <row r="2305" s="90" customFormat="1" ht="14.4"/>
    <row r="2306" s="90" customFormat="1" ht="14.4"/>
    <row r="2307" s="90" customFormat="1" ht="14.4"/>
    <row r="2308" s="90" customFormat="1" ht="14.4"/>
    <row r="2309" s="90" customFormat="1" ht="14.4"/>
    <row r="2310" s="90" customFormat="1" ht="14.4"/>
    <row r="2311" s="90" customFormat="1" ht="14.4"/>
    <row r="2312" s="90" customFormat="1" ht="14.4"/>
    <row r="2313" s="90" customFormat="1" ht="14.4"/>
    <row r="2314" s="90" customFormat="1" ht="14.4"/>
    <row r="2315" s="90" customFormat="1" ht="14.4"/>
    <row r="2316" s="90" customFormat="1" ht="14.4"/>
    <row r="2317" s="90" customFormat="1" ht="14.4"/>
    <row r="2318" s="90" customFormat="1" ht="14.4"/>
    <row r="2319" s="90" customFormat="1" ht="14.4"/>
    <row r="2320" s="90" customFormat="1" ht="14.4"/>
    <row r="2321" s="90" customFormat="1" ht="14.4"/>
    <row r="2322" s="90" customFormat="1" ht="14.4"/>
    <row r="2323" s="90" customFormat="1" ht="14.4"/>
    <row r="2324" s="90" customFormat="1" ht="14.4"/>
    <row r="2325" s="90" customFormat="1" ht="14.4"/>
    <row r="2326" s="90" customFormat="1" ht="14.4"/>
    <row r="2327" s="90" customFormat="1" ht="14.4"/>
    <row r="2328" s="90" customFormat="1" ht="14.4"/>
    <row r="2329" s="90" customFormat="1" ht="14.4"/>
    <row r="2330" s="90" customFormat="1" ht="14.4"/>
    <row r="2331" s="90" customFormat="1" ht="14.4"/>
    <row r="2332" s="90" customFormat="1" ht="14.4"/>
    <row r="2333" s="90" customFormat="1" ht="14.4"/>
    <row r="2334" s="90" customFormat="1" ht="14.4"/>
    <row r="2335" s="90" customFormat="1" ht="14.4"/>
    <row r="2336" s="90" customFormat="1" ht="14.4"/>
    <row r="2337" s="90" customFormat="1" ht="14.4"/>
    <row r="2338" s="90" customFormat="1" ht="14.4"/>
    <row r="2339" s="90" customFormat="1" ht="14.4"/>
    <row r="2340" s="90" customFormat="1" ht="14.4"/>
    <row r="2341" s="90" customFormat="1" ht="14.4"/>
    <row r="2342" s="90" customFormat="1" ht="14.4"/>
    <row r="2343" s="90" customFormat="1" ht="14.4"/>
    <row r="2344" s="90" customFormat="1" ht="14.4"/>
    <row r="2345" s="90" customFormat="1" ht="14.4"/>
    <row r="2346" s="90" customFormat="1" ht="14.4"/>
    <row r="2347" s="90" customFormat="1" ht="14.4"/>
    <row r="2348" s="90" customFormat="1" ht="14.4"/>
    <row r="2349" s="90" customFormat="1" ht="14.4"/>
    <row r="2350" s="90" customFormat="1" ht="14.4"/>
    <row r="2351" s="90" customFormat="1" ht="14.4"/>
    <row r="2352" s="90" customFormat="1" ht="14.4"/>
    <row r="2353" s="90" customFormat="1" ht="14.4"/>
    <row r="2354" s="90" customFormat="1" ht="14.4"/>
    <row r="2355" s="90" customFormat="1" ht="14.4"/>
    <row r="2356" s="90" customFormat="1" ht="14.4"/>
    <row r="2357" s="90" customFormat="1" ht="14.4"/>
    <row r="2358" s="90" customFormat="1" ht="14.4"/>
    <row r="2359" s="90" customFormat="1" ht="14.4"/>
    <row r="2360" s="90" customFormat="1" ht="14.4"/>
    <row r="2361" s="90" customFormat="1" ht="14.4"/>
    <row r="2362" s="90" customFormat="1" ht="14.4"/>
    <row r="2363" s="90" customFormat="1" ht="14.4"/>
    <row r="2364" s="90" customFormat="1" ht="14.4"/>
    <row r="2365" s="90" customFormat="1" ht="14.4"/>
    <row r="2366" s="90" customFormat="1" ht="14.4"/>
    <row r="2367" s="90" customFormat="1" ht="14.4"/>
    <row r="2368" s="90" customFormat="1" ht="14.4"/>
    <row r="2369" s="90" customFormat="1" ht="14.4"/>
    <row r="2370" s="90" customFormat="1" ht="14.4"/>
    <row r="2371" s="90" customFormat="1" ht="14.4"/>
    <row r="2372" s="90" customFormat="1" ht="14.4"/>
    <row r="2373" s="90" customFormat="1" ht="14.4"/>
    <row r="2374" s="90" customFormat="1" ht="14.4"/>
    <row r="2375" s="90" customFormat="1" ht="14.4"/>
    <row r="2376" s="90" customFormat="1" ht="14.4"/>
    <row r="2377" s="90" customFormat="1" ht="14.4"/>
    <row r="2378" s="90" customFormat="1" ht="14.4"/>
    <row r="2379" s="90" customFormat="1" ht="14.4"/>
    <row r="2380" s="90" customFormat="1" ht="14.4"/>
    <row r="2381" s="90" customFormat="1" ht="14.4"/>
    <row r="2382" s="90" customFormat="1" ht="14.4"/>
    <row r="2383" s="90" customFormat="1" ht="14.4"/>
    <row r="2384" s="90" customFormat="1" ht="14.4"/>
    <row r="2385" s="90" customFormat="1" ht="14.4"/>
    <row r="2386" s="90" customFormat="1" ht="14.4"/>
    <row r="2387" s="90" customFormat="1" ht="14.4"/>
    <row r="2388" s="90" customFormat="1" ht="14.4"/>
    <row r="2389" s="90" customFormat="1" ht="14.4"/>
    <row r="2390" s="90" customFormat="1" ht="14.4"/>
    <row r="2391" s="90" customFormat="1" ht="14.4"/>
    <row r="2392" s="90" customFormat="1" ht="14.4"/>
    <row r="2393" s="90" customFormat="1" ht="14.4"/>
    <row r="2394" s="90" customFormat="1" ht="14.4"/>
    <row r="2395" s="90" customFormat="1" ht="14.4"/>
    <row r="2396" s="90" customFormat="1" ht="14.4"/>
    <row r="2397" s="90" customFormat="1" ht="14.4"/>
    <row r="2398" s="90" customFormat="1" ht="14.4"/>
    <row r="2399" s="90" customFormat="1" ht="14.4"/>
    <row r="2400" s="90" customFormat="1" ht="14.4"/>
    <row r="2401" s="90" customFormat="1" ht="14.4"/>
    <row r="2402" s="90" customFormat="1" ht="14.4"/>
    <row r="2403" s="90" customFormat="1" ht="14.4"/>
    <row r="2404" s="90" customFormat="1" ht="14.4"/>
    <row r="2405" s="90" customFormat="1" ht="14.4"/>
    <row r="2406" s="90" customFormat="1" ht="14.4"/>
    <row r="2407" s="90" customFormat="1" ht="14.4"/>
    <row r="2408" s="90" customFormat="1" ht="14.4"/>
    <row r="2409" s="90" customFormat="1" ht="14.4"/>
    <row r="2410" s="90" customFormat="1" ht="14.4"/>
    <row r="2411" s="90" customFormat="1" ht="14.4"/>
    <row r="2412" s="90" customFormat="1" ht="14.4"/>
    <row r="2413" s="90" customFormat="1" ht="14.4"/>
    <row r="2414" s="90" customFormat="1" ht="14.4"/>
    <row r="2415" s="90" customFormat="1" ht="14.4"/>
    <row r="2416" s="90" customFormat="1" ht="14.4"/>
    <row r="2417" s="90" customFormat="1" ht="14.4"/>
    <row r="2418" s="90" customFormat="1" ht="14.4"/>
    <row r="2419" s="90" customFormat="1" ht="14.4"/>
    <row r="2420" s="90" customFormat="1" ht="14.4"/>
    <row r="2421" s="90" customFormat="1" ht="14.4"/>
    <row r="2422" s="90" customFormat="1" ht="14.4"/>
    <row r="2423" s="90" customFormat="1" ht="14.4"/>
    <row r="2424" s="90" customFormat="1" ht="14.4"/>
    <row r="2425" s="90" customFormat="1" ht="14.4"/>
    <row r="2426" s="90" customFormat="1" ht="14.4"/>
    <row r="2427" s="90" customFormat="1" ht="14.4"/>
    <row r="2428" s="90" customFormat="1" ht="14.4"/>
    <row r="2429" s="90" customFormat="1" ht="14.4"/>
    <row r="2430" s="90" customFormat="1" ht="14.4"/>
    <row r="2431" s="90" customFormat="1" ht="14.4"/>
    <row r="2432" s="90" customFormat="1" ht="14.4"/>
    <row r="2433" s="90" customFormat="1" ht="14.4"/>
    <row r="2434" s="90" customFormat="1" ht="14.4"/>
    <row r="2435" s="90" customFormat="1" ht="14.4"/>
    <row r="2436" s="90" customFormat="1" ht="14.4"/>
    <row r="2437" s="90" customFormat="1" ht="14.4"/>
    <row r="2438" s="90" customFormat="1" ht="14.4"/>
    <row r="2439" s="90" customFormat="1" ht="14.4"/>
    <row r="2440" s="90" customFormat="1" ht="14.4"/>
    <row r="2441" s="90" customFormat="1" ht="14.4"/>
    <row r="2442" s="90" customFormat="1" ht="14.4"/>
    <row r="2443" s="90" customFormat="1" ht="14.4"/>
    <row r="2444" s="90" customFormat="1" ht="14.4"/>
    <row r="2445" s="90" customFormat="1" ht="14.4"/>
    <row r="2446" s="90" customFormat="1" ht="14.4"/>
    <row r="2447" s="90" customFormat="1" ht="14.4"/>
    <row r="2448" s="90" customFormat="1" ht="14.4"/>
    <row r="2449" s="90" customFormat="1" ht="14.4"/>
    <row r="2450" s="90" customFormat="1" ht="14.4"/>
    <row r="2451" s="90" customFormat="1" ht="14.4"/>
    <row r="2452" s="90" customFormat="1" ht="14.4"/>
    <row r="2453" s="90" customFormat="1" ht="14.4"/>
    <row r="2454" s="90" customFormat="1" ht="14.4"/>
    <row r="2455" s="90" customFormat="1" ht="14.4"/>
    <row r="2456" s="90" customFormat="1" ht="14.4"/>
    <row r="2457" s="90" customFormat="1" ht="14.4"/>
    <row r="2458" s="90" customFormat="1" ht="14.4"/>
    <row r="2459" s="90" customFormat="1" ht="14.4"/>
    <row r="2460" s="90" customFormat="1" ht="14.4"/>
    <row r="2461" s="90" customFormat="1" ht="14.4"/>
    <row r="2462" s="90" customFormat="1" ht="14.4"/>
    <row r="2463" s="90" customFormat="1" ht="14.4"/>
    <row r="2464" s="90" customFormat="1" ht="14.4"/>
    <row r="2465" s="90" customFormat="1" ht="14.4"/>
    <row r="2466" s="90" customFormat="1" ht="14.4"/>
    <row r="2467" s="90" customFormat="1" ht="14.4"/>
    <row r="2468" s="90" customFormat="1" ht="14.4"/>
    <row r="2469" s="90" customFormat="1" ht="14.4"/>
    <row r="2470" s="90" customFormat="1" ht="14.4"/>
    <row r="2471" s="90" customFormat="1" ht="14.4"/>
    <row r="2472" s="90" customFormat="1" ht="14.4"/>
    <row r="2473" s="90" customFormat="1" ht="14.4"/>
    <row r="2474" s="90" customFormat="1" ht="14.4"/>
    <row r="2475" s="90" customFormat="1" ht="14.4"/>
    <row r="2476" s="90" customFormat="1" ht="14.4"/>
    <row r="2477" s="90" customFormat="1" ht="14.4"/>
    <row r="2478" s="90" customFormat="1" ht="14.4"/>
    <row r="2479" s="90" customFormat="1" ht="14.4"/>
    <row r="2480" s="90" customFormat="1" ht="14.4"/>
    <row r="2481" s="90" customFormat="1" ht="14.4"/>
    <row r="2482" s="90" customFormat="1" ht="14.4"/>
    <row r="2483" s="90" customFormat="1" ht="14.4"/>
    <row r="2484" s="90" customFormat="1" ht="14.4"/>
    <row r="2485" s="90" customFormat="1" ht="14.4"/>
    <row r="2486" s="90" customFormat="1" ht="14.4"/>
    <row r="2487" s="90" customFormat="1" ht="14.4"/>
    <row r="2488" s="90" customFormat="1" ht="14.4"/>
    <row r="2489" s="90" customFormat="1" ht="14.4"/>
    <row r="2490" s="90" customFormat="1" ht="14.4"/>
    <row r="2491" s="90" customFormat="1" ht="14.4"/>
    <row r="2492" s="90" customFormat="1" ht="14.4"/>
    <row r="2493" s="90" customFormat="1" ht="14.4"/>
    <row r="2494" s="90" customFormat="1" ht="14.4"/>
    <row r="2495" s="90" customFormat="1" ht="14.4"/>
    <row r="2496" s="90" customFormat="1" ht="14.4"/>
    <row r="2497" s="90" customFormat="1" ht="14.4"/>
    <row r="2498" s="90" customFormat="1" ht="14.4"/>
    <row r="2499" s="90" customFormat="1" ht="14.4"/>
    <row r="2500" s="90" customFormat="1" ht="14.4"/>
    <row r="2501" s="90" customFormat="1" ht="14.4"/>
    <row r="2502" s="90" customFormat="1" ht="14.4"/>
    <row r="2503" s="90" customFormat="1" ht="14.4"/>
    <row r="2504" s="90" customFormat="1" ht="14.4"/>
    <row r="2505" s="90" customFormat="1" ht="14.4"/>
    <row r="2506" s="90" customFormat="1" ht="14.4"/>
    <row r="2507" s="90" customFormat="1" ht="14.4"/>
    <row r="2508" s="90" customFormat="1" ht="14.4"/>
    <row r="2509" s="90" customFormat="1" ht="14.4"/>
    <row r="2510" s="90" customFormat="1" ht="14.4"/>
    <row r="2511" s="90" customFormat="1" ht="14.4"/>
    <row r="2512" s="90" customFormat="1" ht="14.4"/>
    <row r="2513" s="90" customFormat="1" ht="14.4"/>
    <row r="2514" s="90" customFormat="1" ht="14.4"/>
    <row r="2515" s="90" customFormat="1" ht="14.4"/>
    <row r="2516" s="90" customFormat="1" ht="14.4"/>
    <row r="2517" s="90" customFormat="1" ht="14.4"/>
    <row r="2518" s="90" customFormat="1" ht="14.4"/>
    <row r="2519" s="90" customFormat="1" ht="14.4"/>
    <row r="2520" s="90" customFormat="1" ht="14.4"/>
    <row r="2521" s="90" customFormat="1" ht="14.4"/>
    <row r="2522" s="90" customFormat="1" ht="14.4"/>
    <row r="2523" s="90" customFormat="1" ht="14.4"/>
    <row r="2524" s="90" customFormat="1" ht="14.4"/>
    <row r="2525" s="90" customFormat="1" ht="14.4"/>
    <row r="2526" s="90" customFormat="1" ht="14.4"/>
    <row r="2527" s="90" customFormat="1" ht="14.4"/>
    <row r="2528" s="90" customFormat="1" ht="14.4"/>
    <row r="2529" s="90" customFormat="1" ht="14.4"/>
    <row r="2530" s="90" customFormat="1" ht="14.4"/>
    <row r="2531" s="90" customFormat="1" ht="14.4"/>
    <row r="2532" s="90" customFormat="1" ht="14.4"/>
    <row r="2533" s="90" customFormat="1" ht="14.4"/>
    <row r="2534" s="90" customFormat="1" ht="14.4"/>
    <row r="2535" s="90" customFormat="1" ht="14.4"/>
    <row r="2536" s="90" customFormat="1" ht="14.4"/>
    <row r="2537" s="90" customFormat="1" ht="14.4"/>
    <row r="2538" s="90" customFormat="1" ht="14.4"/>
    <row r="2539" s="90" customFormat="1" ht="14.4"/>
    <row r="2540" s="90" customFormat="1" ht="14.4"/>
    <row r="2541" s="90" customFormat="1" ht="14.4"/>
    <row r="2542" s="90" customFormat="1" ht="14.4"/>
    <row r="2543" s="90" customFormat="1" ht="14.4"/>
    <row r="2544" s="90" customFormat="1" ht="14.4"/>
    <row r="2545" s="90" customFormat="1" ht="14.4"/>
    <row r="2546" s="90" customFormat="1" ht="14.4"/>
    <row r="2547" s="90" customFormat="1" ht="14.4"/>
    <row r="2548" s="90" customFormat="1" ht="14.4"/>
    <row r="2549" s="90" customFormat="1" ht="14.4"/>
    <row r="2550" s="90" customFormat="1" ht="14.4"/>
    <row r="2551" s="90" customFormat="1" ht="14.4"/>
    <row r="2552" s="90" customFormat="1" ht="14.4"/>
    <row r="2553" s="90" customFormat="1" ht="14.4"/>
    <row r="2554" s="90" customFormat="1" ht="14.4"/>
    <row r="2555" s="90" customFormat="1" ht="14.4"/>
    <row r="2556" s="90" customFormat="1" ht="14.4"/>
    <row r="2557" s="90" customFormat="1" ht="14.4"/>
    <row r="2558" s="90" customFormat="1" ht="14.4"/>
    <row r="2559" s="90" customFormat="1" ht="14.4"/>
    <row r="2560" s="90" customFormat="1" ht="14.4"/>
    <row r="2561" s="90" customFormat="1" ht="14.4"/>
    <row r="2562" s="90" customFormat="1" ht="14.4"/>
    <row r="2563" s="90" customFormat="1" ht="14.4"/>
    <row r="2564" s="90" customFormat="1" ht="14.4"/>
    <row r="2565" s="90" customFormat="1" ht="14.4"/>
    <row r="2566" s="90" customFormat="1" ht="14.4"/>
    <row r="2567" s="90" customFormat="1" ht="14.4"/>
    <row r="2568" s="90" customFormat="1" ht="14.4"/>
    <row r="2569" s="90" customFormat="1" ht="14.4"/>
    <row r="2570" s="90" customFormat="1" ht="14.4"/>
    <row r="2571" s="90" customFormat="1" ht="14.4"/>
    <row r="2572" s="90" customFormat="1" ht="14.4"/>
    <row r="2573" s="90" customFormat="1" ht="14.4"/>
    <row r="2574" s="90" customFormat="1" ht="14.4"/>
    <row r="2575" s="90" customFormat="1" ht="14.4"/>
    <row r="2576" s="90" customFormat="1" ht="14.4"/>
    <row r="2577" s="90" customFormat="1" ht="14.4"/>
    <row r="2578" s="90" customFormat="1" ht="14.4"/>
    <row r="2579" s="90" customFormat="1" ht="14.4"/>
    <row r="2580" s="90" customFormat="1" ht="14.4"/>
    <row r="2581" s="90" customFormat="1" ht="14.4"/>
    <row r="2582" s="90" customFormat="1" ht="14.4"/>
    <row r="2583" s="90" customFormat="1" ht="14.4"/>
    <row r="2584" s="90" customFormat="1" ht="14.4"/>
    <row r="2585" s="90" customFormat="1" ht="14.4"/>
    <row r="2586" s="90" customFormat="1" ht="14.4"/>
    <row r="2587" s="90" customFormat="1" ht="14.4"/>
    <row r="2588" s="90" customFormat="1" ht="14.4"/>
    <row r="2589" s="90" customFormat="1" ht="14.4"/>
    <row r="2590" s="90" customFormat="1" ht="14.4"/>
    <row r="2591" s="90" customFormat="1" ht="14.4"/>
    <row r="2592" s="90" customFormat="1" ht="14.4"/>
    <row r="2593" s="90" customFormat="1" ht="14.4"/>
    <row r="2594" s="90" customFormat="1" ht="14.4"/>
    <row r="2595" s="90" customFormat="1" ht="14.4"/>
    <row r="2596" s="90" customFormat="1" ht="14.4"/>
    <row r="2597" s="90" customFormat="1" ht="14.4"/>
    <row r="2598" s="90" customFormat="1" ht="14.4"/>
    <row r="2599" s="90" customFormat="1" ht="14.4"/>
    <row r="2600" s="90" customFormat="1" ht="14.4"/>
    <row r="2601" s="90" customFormat="1" ht="14.4"/>
    <row r="2602" s="90" customFormat="1" ht="14.4"/>
    <row r="2603" s="90" customFormat="1" ht="14.4"/>
    <row r="2604" s="90" customFormat="1" ht="14.4"/>
    <row r="2605" s="90" customFormat="1" ht="14.4"/>
    <row r="2606" s="90" customFormat="1" ht="14.4"/>
    <row r="2607" s="90" customFormat="1" ht="14.4"/>
    <row r="2608" s="90" customFormat="1" ht="14.4"/>
    <row r="2609" s="90" customFormat="1" ht="14.4"/>
    <row r="2610" s="90" customFormat="1" ht="14.4"/>
    <row r="2611" s="90" customFormat="1" ht="14.4"/>
    <row r="2612" s="90" customFormat="1" ht="14.4"/>
    <row r="2613" s="90" customFormat="1" ht="14.4"/>
    <row r="2614" s="90" customFormat="1" ht="14.4"/>
    <row r="2615" s="90" customFormat="1" ht="14.4"/>
    <row r="2616" s="90" customFormat="1" ht="14.4"/>
    <row r="2617" s="90" customFormat="1" ht="14.4"/>
    <row r="2618" s="90" customFormat="1" ht="14.4"/>
    <row r="2619" s="90" customFormat="1" ht="14.4"/>
    <row r="2620" s="90" customFormat="1" ht="14.4"/>
    <row r="2621" s="90" customFormat="1" ht="14.4"/>
    <row r="2622" s="90" customFormat="1" ht="14.4"/>
    <row r="2623" s="90" customFormat="1" ht="14.4"/>
    <row r="2624" s="90" customFormat="1" ht="14.4"/>
    <row r="2625" s="90" customFormat="1" ht="14.4"/>
    <row r="2626" s="90" customFormat="1" ht="14.4"/>
    <row r="2627" s="90" customFormat="1" ht="14.4"/>
    <row r="2628" s="90" customFormat="1" ht="14.4"/>
    <row r="2629" s="90" customFormat="1" ht="14.4"/>
    <row r="2630" s="90" customFormat="1" ht="14.4"/>
    <row r="2631" s="90" customFormat="1" ht="14.4"/>
  </sheetData>
  <sheetProtection algorithmName="SHA-512" hashValue="dcLL4IqM9ywwoi+6bivrXMw3of6T4pfkTb6LZ+9dgfDrRk8D9b4e51H+VO38HykB+Chw5eR7jVst/i+jtQdq0A==" saltValue="rEVd//8djfZejVQGXEaKBg==" spinCount="100000" sheet="1" formatCells="0" formatColumns="0" formatRows="0" insertRows="0" insertColumns="0" autoFilter="0" objects="1" scenarios="1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08"/>
  <sheetViews>
    <sheetView workbookViewId="0">
      <selection activeCell="H16" sqref="H16"/>
    </sheetView>
  </sheetViews>
  <sheetFormatPr defaultColWidth="9" defaultRowHeight="15.6" outlineLevelCol="6"/>
  <cols>
    <col min="1" max="1" width="8.88888888888889" style="74"/>
    <col min="2" max="3" width="11.6666666666667" style="74" customWidth="1"/>
    <col min="4" max="5" width="13.8888888888889" style="74" customWidth="1"/>
    <col min="6" max="6" width="14.2222222222222" style="74" customWidth="1"/>
    <col min="7" max="7" width="13.8888888888889" style="90" customWidth="1"/>
    <col min="8" max="16384" width="8.88888888888889" style="90"/>
  </cols>
  <sheetData>
    <row r="1" spans="1:7">
      <c r="A1" s="78" t="s">
        <v>100</v>
      </c>
      <c r="B1" s="79"/>
      <c r="C1" s="79"/>
      <c r="D1" s="79"/>
      <c r="E1" s="79"/>
      <c r="F1" s="79"/>
      <c r="G1" s="91"/>
    </row>
    <row r="2" spans="1:7">
      <c r="A2" s="78" t="s">
        <v>101</v>
      </c>
      <c r="B2" s="79"/>
      <c r="C2" s="79"/>
      <c r="D2" s="79"/>
      <c r="E2" s="79"/>
      <c r="F2" s="79"/>
      <c r="G2" s="91"/>
    </row>
    <row r="3" spans="1:7">
      <c r="A3" s="92" t="s">
        <v>102</v>
      </c>
      <c r="B3" s="85" t="s">
        <v>105</v>
      </c>
      <c r="C3" s="85" t="s">
        <v>106</v>
      </c>
      <c r="D3" s="85" t="s">
        <v>317</v>
      </c>
      <c r="E3" s="85" t="s">
        <v>318</v>
      </c>
      <c r="F3" s="85" t="s">
        <v>310</v>
      </c>
      <c r="G3" s="85" t="s">
        <v>315</v>
      </c>
    </row>
    <row r="4" spans="1:7">
      <c r="A4" s="74" t="s">
        <v>113</v>
      </c>
      <c r="B4" s="74" t="s">
        <v>86</v>
      </c>
      <c r="C4" s="74" t="s">
        <v>90</v>
      </c>
      <c r="D4" s="74" t="s">
        <v>319</v>
      </c>
      <c r="F4" s="87">
        <v>44227</v>
      </c>
      <c r="G4" s="94">
        <v>149800</v>
      </c>
    </row>
    <row r="5" spans="1:7">
      <c r="A5" s="74" t="s">
        <v>309</v>
      </c>
      <c r="B5" s="74" t="s">
        <v>86</v>
      </c>
      <c r="C5" s="74" t="s">
        <v>90</v>
      </c>
      <c r="D5" s="74" t="s">
        <v>319</v>
      </c>
      <c r="F5" s="87">
        <v>44865</v>
      </c>
      <c r="G5" s="94">
        <v>298000</v>
      </c>
    </row>
    <row r="6" spans="1:7">
      <c r="A6" s="74" t="s">
        <v>113</v>
      </c>
      <c r="B6" s="74" t="s">
        <v>86</v>
      </c>
      <c r="C6" s="74" t="s">
        <v>90</v>
      </c>
      <c r="D6" s="74" t="s">
        <v>319</v>
      </c>
      <c r="F6" s="87">
        <v>43861</v>
      </c>
      <c r="G6" s="94">
        <v>29800</v>
      </c>
    </row>
    <row r="7" spans="1:7">
      <c r="A7" s="74" t="s">
        <v>308</v>
      </c>
      <c r="B7" s="74" t="s">
        <v>86</v>
      </c>
      <c r="C7" s="74" t="s">
        <v>90</v>
      </c>
      <c r="D7" s="74" t="s">
        <v>319</v>
      </c>
      <c r="F7" s="87">
        <v>44530</v>
      </c>
      <c r="G7" s="94">
        <v>69800</v>
      </c>
    </row>
    <row r="8" ht="14.4" spans="1:6">
      <c r="A8" s="90"/>
      <c r="B8" s="90"/>
      <c r="C8" s="90"/>
      <c r="D8" s="90"/>
      <c r="E8" s="90"/>
      <c r="F8" s="90"/>
    </row>
    <row r="9" ht="14.4" spans="1:6">
      <c r="A9" s="90"/>
      <c r="B9" s="90"/>
      <c r="C9" s="90"/>
      <c r="D9" s="90"/>
      <c r="E9" s="90"/>
      <c r="F9" s="90"/>
    </row>
    <row r="10" ht="14.4" spans="1:6">
      <c r="A10" s="90"/>
      <c r="B10" s="90"/>
      <c r="C10" s="90"/>
      <c r="D10" s="90"/>
      <c r="E10" s="90"/>
      <c r="F10" s="90"/>
    </row>
    <row r="11" ht="14.4" spans="1:6">
      <c r="A11" s="90"/>
      <c r="B11" s="90"/>
      <c r="C11" s="90"/>
      <c r="D11" s="90"/>
      <c r="E11" s="90"/>
      <c r="F11" s="90"/>
    </row>
    <row r="12" ht="14.4" spans="1:6">
      <c r="A12" s="90"/>
      <c r="B12" s="90"/>
      <c r="C12" s="90"/>
      <c r="D12" s="90"/>
      <c r="E12" s="90"/>
      <c r="F12" s="90"/>
    </row>
    <row r="13" ht="14.4" spans="1:6">
      <c r="A13" s="90"/>
      <c r="B13" s="90"/>
      <c r="C13" s="90"/>
      <c r="D13" s="90"/>
      <c r="E13" s="90"/>
      <c r="F13" s="90"/>
    </row>
    <row r="14" ht="14.4" spans="1:6">
      <c r="A14" s="90"/>
      <c r="B14" s="90"/>
      <c r="C14" s="90"/>
      <c r="D14" s="90"/>
      <c r="E14" s="90"/>
      <c r="F14" s="90"/>
    </row>
    <row r="15" ht="14.4" spans="1:6">
      <c r="A15" s="90"/>
      <c r="B15" s="90"/>
      <c r="C15" s="90"/>
      <c r="D15" s="90"/>
      <c r="E15" s="90"/>
      <c r="F15" s="90"/>
    </row>
    <row r="16" ht="14.4" spans="1:6">
      <c r="A16" s="90"/>
      <c r="B16" s="90"/>
      <c r="C16" s="90"/>
      <c r="D16" s="90"/>
      <c r="E16" s="90"/>
      <c r="F16" s="90"/>
    </row>
    <row r="17" s="90" customFormat="1" ht="14.4"/>
    <row r="18" s="90" customFormat="1" ht="14.4"/>
    <row r="19" s="90" customFormat="1" ht="14.4"/>
    <row r="20" s="90" customFormat="1" ht="14.4"/>
    <row r="21" s="90" customFormat="1" ht="14.4"/>
    <row r="22" s="90" customFormat="1" ht="14.4"/>
    <row r="23" s="90" customFormat="1" ht="14.4"/>
    <row r="24" s="90" customFormat="1" ht="14.4"/>
    <row r="25" s="90" customFormat="1" ht="14.4"/>
    <row r="26" s="90" customFormat="1" ht="14.4"/>
    <row r="27" s="90" customFormat="1" ht="14.4"/>
    <row r="28" s="90" customFormat="1" ht="14.4"/>
    <row r="29" s="90" customFormat="1" ht="14.4"/>
    <row r="30" s="90" customFormat="1" ht="14.4"/>
    <row r="31" s="90" customFormat="1" ht="14.4"/>
    <row r="32" s="90" customFormat="1" ht="14.4"/>
    <row r="33" s="90" customFormat="1" ht="14.4"/>
    <row r="34" s="90" customFormat="1" ht="14.4"/>
    <row r="35" s="90" customFormat="1" ht="14.4"/>
    <row r="36" s="90" customFormat="1" ht="14.4"/>
    <row r="37" s="90" customFormat="1" ht="14.4"/>
    <row r="38" s="90" customFormat="1" ht="14.4"/>
    <row r="39" s="90" customFormat="1" ht="14.4"/>
    <row r="40" s="90" customFormat="1" ht="14.4"/>
    <row r="41" s="90" customFormat="1" ht="14.4"/>
    <row r="42" s="90" customFormat="1" ht="14.4"/>
    <row r="43" s="90" customFormat="1" ht="14.4"/>
    <row r="44" s="90" customFormat="1" ht="14.4"/>
    <row r="45" s="90" customFormat="1" ht="14.4"/>
    <row r="46" s="90" customFormat="1" ht="14.4"/>
    <row r="47" s="90" customFormat="1" ht="14.4"/>
    <row r="48" s="90" customFormat="1" ht="14.4"/>
    <row r="49" s="90" customFormat="1" ht="14.4"/>
    <row r="50" s="90" customFormat="1" ht="14.4"/>
    <row r="51" s="90" customFormat="1" ht="14.4"/>
    <row r="52" s="90" customFormat="1" ht="14.4"/>
    <row r="53" s="90" customFormat="1" ht="14.4"/>
    <row r="54" s="90" customFormat="1" ht="14.4"/>
    <row r="55" s="90" customFormat="1" ht="14.4"/>
    <row r="56" s="90" customFormat="1" ht="14.4"/>
    <row r="57" s="90" customFormat="1" ht="14.4"/>
    <row r="58" s="90" customFormat="1" ht="14.4"/>
    <row r="59" s="90" customFormat="1" ht="14.4"/>
    <row r="60" s="90" customFormat="1" ht="14.4"/>
    <row r="61" s="90" customFormat="1" ht="14.4"/>
    <row r="62" s="90" customFormat="1" ht="14.4"/>
    <row r="63" s="90" customFormat="1" ht="14.4"/>
    <row r="64" s="90" customFormat="1" ht="14.4"/>
    <row r="65" s="90" customFormat="1" ht="14.4"/>
    <row r="66" s="90" customFormat="1" ht="14.4"/>
    <row r="67" s="90" customFormat="1" ht="14.4"/>
    <row r="68" s="90" customFormat="1" ht="14.4"/>
    <row r="69" s="90" customFormat="1" ht="14.4"/>
    <row r="70" s="90" customFormat="1" ht="14.4"/>
    <row r="71" s="90" customFormat="1" ht="14.4"/>
    <row r="72" s="90" customFormat="1" ht="14.4"/>
    <row r="73" s="90" customFormat="1" ht="14.4"/>
    <row r="74" s="90" customFormat="1" ht="14.4"/>
    <row r="75" s="90" customFormat="1" ht="14.4"/>
    <row r="76" s="90" customFormat="1" ht="14.4"/>
    <row r="77" s="90" customFormat="1" ht="14.4"/>
    <row r="78" s="90" customFormat="1" ht="14.4"/>
    <row r="79" s="90" customFormat="1" ht="14.4"/>
    <row r="80" s="90" customFormat="1" ht="14.4"/>
    <row r="81" s="90" customFormat="1" ht="14.4"/>
    <row r="82" s="90" customFormat="1" ht="14.4"/>
    <row r="83" s="90" customFormat="1" ht="14.4"/>
    <row r="84" s="90" customFormat="1" ht="14.4"/>
    <row r="85" s="90" customFormat="1" ht="14.4"/>
    <row r="86" s="90" customFormat="1" ht="14.4"/>
    <row r="87" s="90" customFormat="1" ht="14.4"/>
    <row r="88" s="90" customFormat="1" ht="14.4"/>
    <row r="89" s="90" customFormat="1" ht="14.4"/>
    <row r="90" s="90" customFormat="1" ht="14.4"/>
    <row r="91" s="90" customFormat="1" ht="14.4"/>
    <row r="92" s="90" customFormat="1" ht="14.4"/>
    <row r="93" s="90" customFormat="1" ht="14.4"/>
    <row r="94" s="90" customFormat="1" ht="14.4"/>
    <row r="95" s="90" customFormat="1" ht="14.4"/>
    <row r="96" s="90" customFormat="1" ht="14.4"/>
    <row r="97" s="90" customFormat="1" ht="14.4"/>
    <row r="98" s="90" customFormat="1" ht="14.4"/>
    <row r="99" s="90" customFormat="1" ht="14.4"/>
    <row r="100" s="90" customFormat="1" ht="14.4"/>
    <row r="101" s="90" customFormat="1" ht="14.4"/>
    <row r="102" s="90" customFormat="1" ht="14.4"/>
    <row r="103" s="90" customFormat="1" ht="14.4"/>
    <row r="104" s="90" customFormat="1" ht="14.4"/>
    <row r="105" s="90" customFormat="1" ht="14.4"/>
    <row r="106" s="90" customFormat="1" ht="14.4"/>
    <row r="107" s="90" customFormat="1" ht="14.4"/>
    <row r="108" s="90" customFormat="1" ht="14.4"/>
    <row r="109" s="90" customFormat="1" ht="14.4"/>
    <row r="110" s="90" customFormat="1" ht="14.4"/>
    <row r="111" s="90" customFormat="1" ht="14.4"/>
    <row r="112" s="90" customFormat="1" ht="14.4"/>
    <row r="113" s="90" customFormat="1" ht="14.4"/>
    <row r="114" s="90" customFormat="1" ht="14.4"/>
    <row r="115" s="90" customFormat="1" ht="14.4"/>
    <row r="116" s="90" customFormat="1" ht="14.4"/>
    <row r="117" s="90" customFormat="1" ht="14.4"/>
    <row r="118" s="90" customFormat="1" ht="14.4"/>
    <row r="119" s="90" customFormat="1" ht="14.4"/>
    <row r="120" s="90" customFormat="1" ht="14.4"/>
    <row r="121" s="90" customFormat="1" ht="14.4"/>
    <row r="122" s="90" customFormat="1" ht="14.4"/>
    <row r="123" s="90" customFormat="1" ht="14.4"/>
    <row r="124" s="90" customFormat="1" ht="14.4"/>
    <row r="125" s="90" customFormat="1" ht="14.4"/>
    <row r="126" s="90" customFormat="1" ht="14.4"/>
    <row r="127" s="90" customFormat="1" ht="14.4"/>
    <row r="128" s="90" customFormat="1" ht="14.4"/>
    <row r="129" s="90" customFormat="1" ht="14.4"/>
    <row r="130" s="90" customFormat="1" ht="14.4"/>
    <row r="131" s="90" customFormat="1" ht="14.4"/>
    <row r="132" s="90" customFormat="1" ht="14.4"/>
    <row r="133" s="90" customFormat="1" ht="14.4"/>
    <row r="134" s="90" customFormat="1" ht="14.4"/>
    <row r="135" s="90" customFormat="1" ht="14.4"/>
    <row r="136" s="90" customFormat="1" ht="14.4"/>
    <row r="137" s="90" customFormat="1" ht="14.4"/>
    <row r="138" s="90" customFormat="1" ht="14.4"/>
    <row r="139" s="90" customFormat="1" ht="14.4"/>
    <row r="140" s="90" customFormat="1" ht="14.4"/>
    <row r="141" s="90" customFormat="1" ht="14.4"/>
    <row r="142" s="90" customFormat="1" ht="14.4"/>
    <row r="143" s="90" customFormat="1" ht="14.4"/>
    <row r="144" s="90" customFormat="1" ht="14.4"/>
    <row r="145" s="90" customFormat="1" ht="14.4"/>
    <row r="146" s="90" customFormat="1" ht="14.4"/>
    <row r="147" s="90" customFormat="1" ht="14.4"/>
    <row r="148" s="90" customFormat="1" ht="14.4"/>
    <row r="149" s="90" customFormat="1" ht="14.4"/>
    <row r="150" s="90" customFormat="1" ht="14.4"/>
    <row r="151" s="90" customFormat="1" ht="14.4"/>
    <row r="152" s="90" customFormat="1" ht="14.4"/>
    <row r="153" s="90" customFormat="1" ht="14.4"/>
    <row r="154" s="90" customFormat="1" ht="14.4"/>
    <row r="155" s="90" customFormat="1" ht="14.4"/>
    <row r="156" s="90" customFormat="1" ht="14.4"/>
    <row r="157" s="90" customFormat="1" ht="14.4"/>
    <row r="158" s="90" customFormat="1" ht="14.4"/>
    <row r="159" s="90" customFormat="1" ht="14.4"/>
    <row r="160" s="90" customFormat="1" ht="14.4"/>
    <row r="161" s="90" customFormat="1" ht="14.4"/>
    <row r="162" s="90" customFormat="1" ht="14.4"/>
    <row r="163" s="90" customFormat="1" ht="14.4"/>
    <row r="164" s="90" customFormat="1" ht="14.4"/>
    <row r="165" s="90" customFormat="1" ht="14.4"/>
    <row r="166" s="90" customFormat="1" ht="14.4"/>
    <row r="167" s="90" customFormat="1" ht="14.4"/>
    <row r="168" s="90" customFormat="1" ht="14.4"/>
    <row r="169" s="90" customFormat="1" ht="14.4"/>
    <row r="170" s="90" customFormat="1" ht="14.4"/>
    <row r="171" s="90" customFormat="1" ht="14.4"/>
    <row r="172" s="90" customFormat="1" ht="14.4"/>
    <row r="173" s="90" customFormat="1" ht="14.4"/>
    <row r="174" s="90" customFormat="1" ht="14.4"/>
    <row r="175" s="90" customFormat="1" ht="14.4"/>
    <row r="176" s="90" customFormat="1" ht="14.4"/>
    <row r="177" s="90" customFormat="1" ht="14.4"/>
    <row r="178" s="90" customFormat="1" ht="14.4"/>
    <row r="179" s="90" customFormat="1" ht="14.4"/>
    <row r="180" s="90" customFormat="1" ht="14.4"/>
    <row r="181" s="90" customFormat="1" ht="14.4"/>
    <row r="182" s="90" customFormat="1" ht="14.4"/>
    <row r="183" s="90" customFormat="1" ht="14.4"/>
    <row r="184" s="90" customFormat="1" ht="14.4"/>
    <row r="185" s="90" customFormat="1" ht="14.4"/>
    <row r="186" s="90" customFormat="1" ht="14.4"/>
    <row r="187" s="90" customFormat="1" ht="14.4"/>
    <row r="188" s="90" customFormat="1" ht="14.4"/>
    <row r="189" s="90" customFormat="1" ht="14.4"/>
    <row r="190" s="90" customFormat="1" ht="14.4"/>
    <row r="191" s="90" customFormat="1" ht="14.4"/>
    <row r="192" s="90" customFormat="1" ht="14.4"/>
    <row r="193" s="90" customFormat="1" ht="14.4"/>
    <row r="194" s="90" customFormat="1" ht="14.4"/>
    <row r="195" s="90" customFormat="1" ht="14.4"/>
    <row r="196" s="90" customFormat="1" ht="14.4"/>
    <row r="197" s="90" customFormat="1" ht="14.4"/>
    <row r="198" s="90" customFormat="1" ht="14.4"/>
    <row r="199" s="90" customFormat="1" ht="14.4"/>
    <row r="200" s="90" customFormat="1" ht="14.4"/>
    <row r="201" s="90" customFormat="1" ht="14.4"/>
    <row r="202" s="90" customFormat="1" ht="14.4"/>
    <row r="203" s="90" customFormat="1" ht="14.4"/>
    <row r="204" s="90" customFormat="1" ht="14.4"/>
    <row r="205" s="90" customFormat="1" ht="14.4"/>
    <row r="206" s="90" customFormat="1" ht="14.4"/>
    <row r="207" s="90" customFormat="1" ht="14.4"/>
    <row r="208" s="90" customFormat="1" ht="14.4"/>
    <row r="209" s="90" customFormat="1" ht="14.4"/>
    <row r="210" s="90" customFormat="1" ht="14.4"/>
    <row r="211" s="90" customFormat="1" ht="14.4"/>
    <row r="212" s="90" customFormat="1" ht="14.4"/>
    <row r="213" s="90" customFormat="1" ht="14.4"/>
    <row r="214" s="90" customFormat="1" ht="14.4"/>
    <row r="215" s="90" customFormat="1" ht="14.4"/>
    <row r="216" s="90" customFormat="1" ht="14.4"/>
    <row r="217" s="90" customFormat="1" ht="14.4"/>
    <row r="218" s="90" customFormat="1" ht="14.4"/>
    <row r="219" s="90" customFormat="1" ht="14.4"/>
    <row r="220" s="90" customFormat="1" ht="14.4"/>
    <row r="221" s="90" customFormat="1" ht="14.4"/>
    <row r="222" s="90" customFormat="1" ht="14.4"/>
    <row r="223" s="90" customFormat="1" ht="14.4"/>
    <row r="224" s="90" customFormat="1" ht="14.4"/>
    <row r="225" s="90" customFormat="1" ht="14.4"/>
    <row r="226" s="90" customFormat="1" ht="14.4"/>
    <row r="227" s="90" customFormat="1" ht="14.4"/>
    <row r="228" s="90" customFormat="1" ht="14.4"/>
    <row r="229" s="90" customFormat="1" ht="14.4"/>
    <row r="230" s="90" customFormat="1" ht="14.4"/>
    <row r="231" s="90" customFormat="1" ht="14.4"/>
    <row r="232" s="90" customFormat="1" ht="14.4"/>
    <row r="233" s="90" customFormat="1" ht="14.4"/>
    <row r="234" s="90" customFormat="1" ht="14.4"/>
    <row r="235" s="90" customFormat="1" ht="14.4"/>
    <row r="236" s="90" customFormat="1" ht="14.4"/>
    <row r="237" s="90" customFormat="1" ht="14.4"/>
    <row r="238" s="90" customFormat="1" ht="14.4"/>
    <row r="239" s="90" customFormat="1" ht="14.4"/>
    <row r="240" s="90" customFormat="1" ht="14.4"/>
    <row r="241" s="90" customFormat="1" ht="14.4"/>
    <row r="242" s="90" customFormat="1" ht="14.4"/>
    <row r="243" s="90" customFormat="1" ht="14.4"/>
    <row r="244" s="90" customFormat="1" ht="14.4"/>
    <row r="245" s="90" customFormat="1" ht="14.4"/>
    <row r="246" s="90" customFormat="1" ht="14.4"/>
    <row r="247" s="90" customFormat="1" ht="14.4"/>
    <row r="248" s="90" customFormat="1" ht="14.4"/>
    <row r="249" s="90" customFormat="1" ht="14.4"/>
    <row r="250" s="90" customFormat="1" ht="14.4"/>
    <row r="251" s="90" customFormat="1" ht="14.4"/>
    <row r="252" s="90" customFormat="1" ht="14.4"/>
    <row r="253" s="90" customFormat="1" ht="14.4"/>
    <row r="254" s="90" customFormat="1" ht="14.4"/>
    <row r="255" s="90" customFormat="1" ht="14.4"/>
    <row r="256" s="90" customFormat="1" ht="14.4"/>
    <row r="257" s="90" customFormat="1" ht="14.4"/>
    <row r="258" s="90" customFormat="1" ht="14.4"/>
    <row r="259" s="90" customFormat="1" ht="14.4"/>
    <row r="260" s="90" customFormat="1" ht="14.4"/>
    <row r="261" s="90" customFormat="1" ht="14.4"/>
    <row r="262" s="90" customFormat="1" ht="14.4"/>
    <row r="263" s="90" customFormat="1" ht="14.4"/>
    <row r="264" s="90" customFormat="1" ht="14.4"/>
    <row r="265" s="90" customFormat="1" ht="14.4"/>
    <row r="266" s="90" customFormat="1" ht="14.4"/>
    <row r="267" s="90" customFormat="1" ht="14.4"/>
    <row r="268" s="90" customFormat="1" ht="14.4"/>
    <row r="269" s="90" customFormat="1" ht="14.4"/>
    <row r="270" s="90" customFormat="1" ht="14.4"/>
    <row r="271" s="90" customFormat="1" ht="14.4"/>
    <row r="272" s="90" customFormat="1" ht="14.4"/>
    <row r="273" s="90" customFormat="1" ht="14.4"/>
    <row r="274" s="90" customFormat="1" ht="14.4"/>
    <row r="275" s="90" customFormat="1" ht="14.4"/>
    <row r="276" s="90" customFormat="1" ht="14.4"/>
    <row r="277" s="90" customFormat="1" ht="14.4"/>
    <row r="278" s="90" customFormat="1" ht="14.4"/>
    <row r="279" s="90" customFormat="1" ht="14.4"/>
    <row r="280" s="90" customFormat="1" ht="14.4"/>
    <row r="281" s="90" customFormat="1" ht="14.4"/>
    <row r="282" s="90" customFormat="1" ht="14.4"/>
    <row r="283" s="90" customFormat="1" ht="14.4"/>
    <row r="284" s="90" customFormat="1" ht="14.4"/>
    <row r="285" s="90" customFormat="1" ht="14.4"/>
    <row r="286" s="90" customFormat="1" ht="14.4"/>
    <row r="287" s="90" customFormat="1" ht="14.4"/>
    <row r="288" s="90" customFormat="1" ht="14.4"/>
    <row r="289" s="90" customFormat="1" ht="14.4"/>
    <row r="290" s="90" customFormat="1" ht="14.4"/>
    <row r="291" s="90" customFormat="1" ht="14.4"/>
    <row r="292" s="90" customFormat="1" ht="14.4"/>
    <row r="293" s="90" customFormat="1" ht="14.4"/>
    <row r="294" s="90" customFormat="1" ht="14.4"/>
    <row r="295" s="90" customFormat="1" ht="14.4"/>
    <row r="296" s="90" customFormat="1" ht="14.4"/>
    <row r="297" s="90" customFormat="1" ht="14.4"/>
    <row r="298" s="90" customFormat="1" ht="14.4"/>
    <row r="299" s="90" customFormat="1" ht="14.4"/>
    <row r="300" s="90" customFormat="1" ht="14.4"/>
    <row r="301" s="90" customFormat="1" ht="14.4"/>
    <row r="302" s="90" customFormat="1" ht="14.4"/>
    <row r="303" s="90" customFormat="1" ht="14.4"/>
    <row r="304" s="90" customFormat="1" ht="14.4"/>
    <row r="305" s="90" customFormat="1" ht="14.4"/>
    <row r="306" s="90" customFormat="1" ht="14.4"/>
    <row r="307" s="90" customFormat="1" ht="14.4"/>
    <row r="308" s="90" customFormat="1" ht="14.4"/>
    <row r="309" s="90" customFormat="1" ht="14.4"/>
    <row r="310" s="90" customFormat="1" ht="14.4"/>
    <row r="311" s="90" customFormat="1" ht="14.4"/>
    <row r="312" s="90" customFormat="1" ht="14.4"/>
    <row r="313" s="90" customFormat="1" ht="14.4"/>
    <row r="314" s="90" customFormat="1" ht="14.4"/>
    <row r="315" s="90" customFormat="1" ht="14.4"/>
    <row r="316" s="90" customFormat="1" ht="14.4"/>
    <row r="317" s="90" customFormat="1" ht="14.4"/>
    <row r="318" s="90" customFormat="1" ht="14.4"/>
    <row r="319" s="90" customFormat="1" ht="14.4"/>
    <row r="320" s="90" customFormat="1" ht="14.4"/>
    <row r="321" s="90" customFormat="1" ht="14.4"/>
    <row r="322" s="90" customFormat="1" ht="14.4"/>
    <row r="323" s="90" customFormat="1" ht="14.4"/>
    <row r="324" s="90" customFormat="1" ht="14.4"/>
    <row r="325" s="90" customFormat="1" ht="14.4"/>
    <row r="326" s="90" customFormat="1" ht="14.4"/>
    <row r="327" s="90" customFormat="1" ht="14.4"/>
    <row r="328" s="90" customFormat="1" ht="14.4"/>
    <row r="329" s="90" customFormat="1" ht="14.4"/>
    <row r="330" s="90" customFormat="1" ht="14.4"/>
    <row r="331" s="90" customFormat="1" ht="14.4"/>
    <row r="332" s="90" customFormat="1" ht="14.4"/>
    <row r="333" s="90" customFormat="1" ht="14.4"/>
    <row r="334" s="90" customFormat="1" ht="14.4"/>
    <row r="335" s="90" customFormat="1" ht="14.4"/>
    <row r="336" s="90" customFormat="1" ht="14.4"/>
    <row r="337" s="90" customFormat="1" ht="14.4"/>
    <row r="338" s="90" customFormat="1" ht="14.4"/>
    <row r="339" s="90" customFormat="1" ht="14.4"/>
    <row r="340" s="90" customFormat="1" ht="14.4"/>
    <row r="341" s="90" customFormat="1" ht="14.4"/>
    <row r="342" s="90" customFormat="1" ht="14.4"/>
    <row r="343" s="90" customFormat="1" ht="14.4"/>
    <row r="344" s="90" customFormat="1" ht="14.4"/>
    <row r="345" s="90" customFormat="1" ht="14.4"/>
    <row r="346" s="90" customFormat="1" ht="14.4"/>
    <row r="347" s="90" customFormat="1" ht="14.4"/>
    <row r="348" s="90" customFormat="1" ht="14.4"/>
    <row r="349" s="90" customFormat="1" ht="14.4"/>
    <row r="350" s="90" customFormat="1" ht="14.4"/>
    <row r="351" s="90" customFormat="1" ht="14.4"/>
    <row r="352" s="90" customFormat="1" ht="14.4"/>
    <row r="353" s="90" customFormat="1" ht="14.4"/>
    <row r="354" s="90" customFormat="1" ht="14.4"/>
    <row r="355" s="90" customFormat="1" ht="14.4"/>
    <row r="356" s="90" customFormat="1" ht="14.4"/>
    <row r="357" s="90" customFormat="1" ht="14.4"/>
    <row r="358" s="90" customFormat="1" ht="14.4"/>
    <row r="359" s="90" customFormat="1" ht="14.4"/>
    <row r="360" s="90" customFormat="1" ht="14.4"/>
    <row r="361" s="90" customFormat="1" ht="14.4"/>
    <row r="362" s="90" customFormat="1" ht="14.4"/>
    <row r="363" s="90" customFormat="1" ht="14.4"/>
    <row r="364" s="90" customFormat="1" ht="14.4"/>
    <row r="365" s="90" customFormat="1" ht="14.4"/>
    <row r="366" s="90" customFormat="1" ht="14.4"/>
    <row r="367" s="90" customFormat="1" ht="14.4"/>
    <row r="368" s="90" customFormat="1" ht="14.4"/>
    <row r="369" s="90" customFormat="1" ht="14.4"/>
    <row r="370" s="90" customFormat="1" ht="14.4"/>
    <row r="371" s="90" customFormat="1" ht="14.4"/>
    <row r="372" s="90" customFormat="1" ht="14.4"/>
    <row r="373" s="90" customFormat="1" ht="14.4"/>
    <row r="374" s="90" customFormat="1" ht="14.4"/>
    <row r="375" s="90" customFormat="1" ht="14.4"/>
    <row r="376" s="90" customFormat="1" ht="14.4"/>
    <row r="377" s="90" customFormat="1" ht="14.4"/>
    <row r="378" s="90" customFormat="1" ht="14.4"/>
    <row r="379" s="90" customFormat="1" ht="14.4"/>
    <row r="380" s="90" customFormat="1" ht="14.4"/>
    <row r="381" s="90" customFormat="1" ht="14.4"/>
    <row r="382" s="90" customFormat="1" ht="14.4"/>
    <row r="383" s="90" customFormat="1" ht="14.4"/>
    <row r="384" s="90" customFormat="1" ht="14.4"/>
    <row r="385" s="90" customFormat="1" ht="14.4"/>
    <row r="386" s="90" customFormat="1" ht="14.4"/>
    <row r="387" s="90" customFormat="1" ht="14.4"/>
    <row r="388" s="90" customFormat="1" ht="14.4"/>
    <row r="389" s="90" customFormat="1" ht="14.4"/>
    <row r="390" s="90" customFormat="1" ht="14.4"/>
    <row r="391" s="90" customFormat="1" ht="14.4"/>
    <row r="392" s="90" customFormat="1" ht="14.4"/>
    <row r="393" s="90" customFormat="1" ht="14.4"/>
    <row r="394" s="90" customFormat="1" ht="14.4"/>
    <row r="395" s="90" customFormat="1" ht="14.4"/>
    <row r="396" s="90" customFormat="1" ht="14.4"/>
    <row r="397" s="90" customFormat="1" ht="14.4"/>
    <row r="398" s="90" customFormat="1" ht="14.4"/>
    <row r="399" s="90" customFormat="1" ht="14.4"/>
    <row r="400" s="90" customFormat="1" ht="14.4"/>
    <row r="401" s="90" customFormat="1" ht="14.4"/>
    <row r="402" s="90" customFormat="1" ht="14.4"/>
    <row r="403" s="90" customFormat="1" ht="14.4"/>
    <row r="404" s="90" customFormat="1" ht="14.4"/>
    <row r="405" s="90" customFormat="1" ht="14.4"/>
    <row r="406" s="90" customFormat="1" ht="14.4"/>
    <row r="407" s="90" customFormat="1" ht="14.4"/>
    <row r="408" s="90" customFormat="1" ht="14.4"/>
    <row r="409" s="90" customFormat="1" ht="14.4"/>
    <row r="410" s="90" customFormat="1" ht="14.4"/>
    <row r="411" s="90" customFormat="1" ht="14.4"/>
    <row r="412" s="90" customFormat="1" ht="14.4"/>
    <row r="413" s="90" customFormat="1" ht="14.4"/>
    <row r="414" s="90" customFormat="1" ht="14.4"/>
    <row r="415" s="90" customFormat="1" ht="14.4"/>
    <row r="416" s="90" customFormat="1" ht="14.4"/>
    <row r="417" s="90" customFormat="1" ht="14.4"/>
    <row r="418" s="90" customFormat="1" ht="14.4"/>
    <row r="419" s="90" customFormat="1" ht="14.4"/>
    <row r="420" s="90" customFormat="1" ht="14.4"/>
    <row r="421" s="90" customFormat="1" ht="14.4"/>
    <row r="422" s="90" customFormat="1" ht="14.4"/>
    <row r="423" s="90" customFormat="1" ht="14.4"/>
    <row r="424" s="90" customFormat="1" ht="14.4"/>
    <row r="425" s="90" customFormat="1" ht="14.4"/>
    <row r="426" s="90" customFormat="1" ht="14.4"/>
    <row r="427" s="90" customFormat="1" ht="14.4"/>
    <row r="428" s="90" customFormat="1" ht="14.4"/>
    <row r="429" s="90" customFormat="1" ht="14.4"/>
    <row r="430" s="90" customFormat="1" ht="14.4"/>
    <row r="431" s="90" customFormat="1" ht="14.4"/>
    <row r="432" s="90" customFormat="1" ht="14.4"/>
    <row r="433" s="90" customFormat="1" ht="14.4"/>
    <row r="434" s="90" customFormat="1" ht="14.4"/>
    <row r="435" s="90" customFormat="1" ht="14.4"/>
    <row r="436" s="90" customFormat="1" ht="14.4"/>
    <row r="437" s="90" customFormat="1" ht="14.4"/>
    <row r="438" s="90" customFormat="1" ht="14.4"/>
    <row r="439" s="90" customFormat="1" ht="14.4"/>
    <row r="440" s="90" customFormat="1" ht="14.4"/>
    <row r="441" s="90" customFormat="1" ht="14.4"/>
    <row r="442" s="90" customFormat="1" ht="14.4"/>
    <row r="443" s="90" customFormat="1" ht="14.4"/>
    <row r="444" s="90" customFormat="1" ht="14.4"/>
    <row r="445" s="90" customFormat="1" ht="14.4"/>
    <row r="446" s="90" customFormat="1" ht="14.4"/>
    <row r="447" s="90" customFormat="1" ht="14.4"/>
    <row r="448" s="90" customFormat="1" ht="14.4"/>
    <row r="449" s="90" customFormat="1" ht="14.4"/>
    <row r="450" s="90" customFormat="1" ht="14.4"/>
    <row r="451" s="90" customFormat="1" ht="14.4"/>
    <row r="452" s="90" customFormat="1" ht="14.4"/>
    <row r="453" s="90" customFormat="1" ht="14.4"/>
    <row r="454" s="90" customFormat="1" ht="14.4"/>
    <row r="455" s="90" customFormat="1" ht="14.4"/>
    <row r="456" s="90" customFormat="1" ht="14.4"/>
    <row r="457" s="90" customFormat="1" ht="14.4"/>
    <row r="458" s="90" customFormat="1" ht="14.4"/>
    <row r="459" s="90" customFormat="1" ht="14.4"/>
    <row r="460" s="90" customFormat="1" ht="14.4"/>
    <row r="461" s="90" customFormat="1" ht="14.4"/>
    <row r="462" s="90" customFormat="1" ht="14.4"/>
    <row r="463" s="90" customFormat="1" ht="14.4"/>
    <row r="464" s="90" customFormat="1" ht="14.4"/>
    <row r="465" s="90" customFormat="1" ht="14.4"/>
    <row r="466" s="90" customFormat="1" ht="14.4"/>
    <row r="467" s="90" customFormat="1" ht="14.4"/>
    <row r="468" s="90" customFormat="1" ht="14.4"/>
    <row r="469" s="90" customFormat="1" ht="14.4"/>
    <row r="470" s="90" customFormat="1" ht="14.4"/>
    <row r="471" s="90" customFormat="1" ht="14.4"/>
    <row r="472" s="90" customFormat="1" ht="14.4"/>
    <row r="473" s="90" customFormat="1" ht="14.4"/>
    <row r="474" s="90" customFormat="1" ht="14.4"/>
    <row r="475" s="90" customFormat="1" ht="14.4"/>
    <row r="476" s="90" customFormat="1" ht="14.4"/>
    <row r="477" s="90" customFormat="1" ht="14.4"/>
    <row r="478" s="90" customFormat="1" ht="14.4"/>
    <row r="479" s="90" customFormat="1" ht="14.4"/>
    <row r="480" s="90" customFormat="1" ht="14.4"/>
    <row r="481" s="90" customFormat="1" ht="14.4"/>
    <row r="482" s="90" customFormat="1" ht="14.4"/>
    <row r="483" s="90" customFormat="1" ht="14.4"/>
    <row r="484" s="90" customFormat="1" ht="14.4"/>
    <row r="485" s="90" customFormat="1" ht="14.4"/>
    <row r="486" s="90" customFormat="1" ht="14.4"/>
    <row r="487" s="90" customFormat="1" ht="14.4"/>
    <row r="488" s="90" customFormat="1" ht="14.4"/>
    <row r="489" s="90" customFormat="1" ht="14.4"/>
    <row r="490" s="90" customFormat="1" ht="14.4"/>
    <row r="491" s="90" customFormat="1" ht="14.4"/>
    <row r="492" s="90" customFormat="1" ht="14.4"/>
    <row r="493" s="90" customFormat="1" ht="14.4"/>
    <row r="494" s="90" customFormat="1" ht="14.4"/>
    <row r="495" s="90" customFormat="1" ht="14.4"/>
    <row r="496" s="90" customFormat="1" ht="14.4"/>
    <row r="497" s="90" customFormat="1" ht="14.4"/>
    <row r="498" s="90" customFormat="1" ht="14.4"/>
    <row r="499" s="90" customFormat="1" ht="14.4"/>
    <row r="500" s="90" customFormat="1" ht="14.4"/>
    <row r="501" s="90" customFormat="1" ht="14.4"/>
    <row r="502" s="90" customFormat="1" ht="14.4"/>
    <row r="503" s="90" customFormat="1" ht="14.4"/>
    <row r="504" s="90" customFormat="1" ht="14.4"/>
    <row r="505" s="90" customFormat="1" ht="14.4"/>
    <row r="506" s="90" customFormat="1" ht="14.4"/>
    <row r="507" s="90" customFormat="1" ht="14.4"/>
    <row r="508" s="90" customFormat="1" ht="14.4"/>
    <row r="509" s="90" customFormat="1" ht="14.4"/>
    <row r="510" s="90" customFormat="1" ht="14.4"/>
    <row r="511" s="90" customFormat="1" ht="14.4"/>
    <row r="512" s="90" customFormat="1" ht="14.4"/>
    <row r="513" s="90" customFormat="1" ht="14.4"/>
    <row r="514" s="90" customFormat="1" ht="14.4"/>
    <row r="515" s="90" customFormat="1" ht="14.4"/>
    <row r="516" s="90" customFormat="1" ht="14.4"/>
    <row r="517" s="90" customFormat="1" ht="14.4"/>
    <row r="518" s="90" customFormat="1" ht="14.4"/>
    <row r="519" s="90" customFormat="1" ht="14.4"/>
    <row r="520" s="90" customFormat="1" ht="14.4"/>
    <row r="521" s="90" customFormat="1" ht="14.4"/>
    <row r="522" s="90" customFormat="1" ht="14.4"/>
    <row r="523" s="90" customFormat="1" ht="14.4"/>
    <row r="524" s="90" customFormat="1" ht="14.4"/>
    <row r="525" s="90" customFormat="1" ht="14.4"/>
    <row r="526" s="90" customFormat="1" ht="14.4"/>
    <row r="527" s="90" customFormat="1" ht="14.4"/>
    <row r="528" s="90" customFormat="1" ht="14.4"/>
    <row r="529" s="90" customFormat="1" ht="14.4"/>
    <row r="530" s="90" customFormat="1" ht="14.4"/>
    <row r="531" s="90" customFormat="1" ht="14.4"/>
    <row r="532" s="90" customFormat="1" ht="14.4"/>
    <row r="533" s="90" customFormat="1" ht="14.4"/>
    <row r="534" s="90" customFormat="1" ht="14.4"/>
    <row r="535" s="90" customFormat="1" ht="14.4"/>
    <row r="536" s="90" customFormat="1" ht="14.4"/>
    <row r="537" s="90" customFormat="1" ht="14.4"/>
    <row r="538" s="90" customFormat="1" ht="14.4"/>
    <row r="539" s="90" customFormat="1" ht="14.4"/>
    <row r="540" s="90" customFormat="1" ht="14.4"/>
    <row r="541" s="90" customFormat="1" ht="14.4"/>
    <row r="542" s="90" customFormat="1" ht="14.4"/>
    <row r="543" s="90" customFormat="1" ht="14.4"/>
    <row r="544" s="90" customFormat="1" ht="14.4"/>
    <row r="545" s="90" customFormat="1" ht="14.4"/>
    <row r="546" s="90" customFormat="1" ht="14.4"/>
    <row r="547" s="90" customFormat="1" ht="14.4"/>
    <row r="548" s="90" customFormat="1" ht="14.4"/>
    <row r="549" s="90" customFormat="1" ht="14.4"/>
    <row r="550" s="90" customFormat="1" ht="14.4"/>
    <row r="551" s="90" customFormat="1" ht="14.4"/>
    <row r="552" s="90" customFormat="1" ht="14.4"/>
    <row r="553" s="90" customFormat="1" ht="14.4"/>
    <row r="554" s="90" customFormat="1" ht="14.4"/>
    <row r="555" s="90" customFormat="1" ht="14.4"/>
    <row r="556" s="90" customFormat="1" ht="14.4"/>
    <row r="557" s="90" customFormat="1" ht="14.4"/>
    <row r="558" s="90" customFormat="1" ht="14.4"/>
    <row r="559" s="90" customFormat="1" ht="14.4"/>
    <row r="560" s="90" customFormat="1" ht="14.4"/>
    <row r="561" s="90" customFormat="1" ht="14.4"/>
    <row r="562" s="90" customFormat="1" ht="14.4"/>
    <row r="563" s="90" customFormat="1" ht="14.4"/>
    <row r="564" s="90" customFormat="1" ht="14.4"/>
    <row r="565" s="90" customFormat="1" ht="14.4"/>
    <row r="566" s="90" customFormat="1" ht="14.4"/>
    <row r="567" s="90" customFormat="1" ht="14.4"/>
    <row r="568" s="90" customFormat="1" ht="14.4"/>
    <row r="569" s="90" customFormat="1" ht="14.4"/>
    <row r="570" s="90" customFormat="1" ht="14.4"/>
    <row r="571" s="90" customFormat="1" ht="14.4"/>
    <row r="572" s="90" customFormat="1" ht="14.4"/>
    <row r="573" s="90" customFormat="1" ht="14.4"/>
    <row r="574" s="90" customFormat="1" ht="14.4"/>
    <row r="575" s="90" customFormat="1" ht="14.4"/>
    <row r="576" s="90" customFormat="1" ht="14.4"/>
    <row r="577" s="90" customFormat="1" ht="14.4"/>
    <row r="578" s="90" customFormat="1" ht="14.4"/>
    <row r="579" s="90" customFormat="1" ht="14.4"/>
    <row r="580" s="90" customFormat="1" ht="14.4"/>
    <row r="581" s="90" customFormat="1" ht="14.4"/>
    <row r="582" s="90" customFormat="1" ht="14.4"/>
    <row r="583" s="90" customFormat="1" ht="14.4"/>
    <row r="584" s="90" customFormat="1" ht="14.4"/>
    <row r="585" s="90" customFormat="1" ht="14.4"/>
    <row r="586" s="90" customFormat="1" ht="14.4"/>
    <row r="587" s="90" customFormat="1" ht="14.4"/>
    <row r="588" s="90" customFormat="1" ht="14.4"/>
    <row r="589" s="90" customFormat="1" ht="14.4"/>
    <row r="590" s="90" customFormat="1" ht="14.4"/>
    <row r="591" s="90" customFormat="1" ht="14.4"/>
    <row r="592" s="90" customFormat="1" ht="14.4"/>
    <row r="593" s="90" customFormat="1" ht="14.4"/>
    <row r="594" s="90" customFormat="1" ht="14.4"/>
    <row r="595" s="90" customFormat="1" ht="14.4"/>
    <row r="596" s="90" customFormat="1" ht="14.4"/>
    <row r="597" s="90" customFormat="1" ht="14.4"/>
    <row r="598" s="90" customFormat="1" ht="14.4"/>
    <row r="599" s="90" customFormat="1" ht="14.4"/>
    <row r="600" s="90" customFormat="1" ht="14.4"/>
    <row r="601" s="90" customFormat="1" ht="14.4"/>
    <row r="602" s="90" customFormat="1" ht="14.4"/>
    <row r="603" s="90" customFormat="1" ht="14.4"/>
    <row r="604" s="90" customFormat="1" ht="14.4"/>
    <row r="605" s="90" customFormat="1" ht="14.4"/>
    <row r="606" s="90" customFormat="1" ht="14.4"/>
    <row r="607" s="90" customFormat="1" ht="14.4"/>
    <row r="608" s="90" customFormat="1" ht="14.4"/>
    <row r="609" s="90" customFormat="1" ht="14.4"/>
    <row r="610" s="90" customFormat="1" ht="14.4"/>
    <row r="611" s="90" customFormat="1" ht="14.4"/>
    <row r="612" s="90" customFormat="1" ht="14.4"/>
    <row r="613" s="90" customFormat="1" ht="14.4"/>
    <row r="614" s="90" customFormat="1" ht="14.4"/>
    <row r="615" s="90" customFormat="1" ht="14.4"/>
    <row r="616" s="90" customFormat="1" ht="14.4"/>
    <row r="617" s="90" customFormat="1" ht="14.4"/>
    <row r="618" s="90" customFormat="1" ht="14.4"/>
    <row r="619" s="90" customFormat="1" ht="14.4"/>
    <row r="620" s="90" customFormat="1" ht="14.4"/>
    <row r="621" s="90" customFormat="1" ht="14.4"/>
    <row r="622" s="90" customFormat="1" ht="14.4"/>
    <row r="623" s="90" customFormat="1" ht="14.4"/>
    <row r="624" s="90" customFormat="1" ht="14.4"/>
    <row r="625" s="90" customFormat="1" ht="14.4"/>
    <row r="626" s="90" customFormat="1" ht="14.4"/>
    <row r="627" s="90" customFormat="1" ht="14.4"/>
    <row r="628" s="90" customFormat="1" ht="14.4"/>
    <row r="629" s="90" customFormat="1" ht="14.4"/>
    <row r="630" s="90" customFormat="1" ht="14.4"/>
    <row r="631" s="90" customFormat="1" ht="14.4"/>
    <row r="632" s="90" customFormat="1" ht="14.4"/>
    <row r="633" s="90" customFormat="1" ht="14.4"/>
    <row r="634" s="90" customFormat="1" ht="14.4"/>
    <row r="635" s="90" customFormat="1" ht="14.4"/>
    <row r="636" s="90" customFormat="1" ht="14.4"/>
    <row r="637" s="90" customFormat="1" ht="14.4"/>
    <row r="638" s="90" customFormat="1" ht="14.4"/>
    <row r="639" s="90" customFormat="1" ht="14.4"/>
    <row r="640" s="90" customFormat="1" ht="14.4"/>
    <row r="641" s="90" customFormat="1" ht="14.4"/>
    <row r="642" s="90" customFormat="1" ht="14.4"/>
    <row r="643" s="90" customFormat="1" ht="14.4"/>
    <row r="644" s="90" customFormat="1" ht="14.4"/>
    <row r="645" s="90" customFormat="1" ht="14.4"/>
    <row r="646" s="90" customFormat="1" ht="14.4"/>
    <row r="647" s="90" customFormat="1" ht="14.4"/>
    <row r="648" s="90" customFormat="1" ht="14.4"/>
    <row r="649" s="90" customFormat="1" ht="14.4"/>
    <row r="650" s="90" customFormat="1" ht="14.4"/>
    <row r="651" s="90" customFormat="1" ht="14.4"/>
    <row r="652" s="90" customFormat="1" ht="14.4"/>
    <row r="653" s="90" customFormat="1" ht="14.4"/>
    <row r="654" s="90" customFormat="1" ht="14.4"/>
    <row r="655" s="90" customFormat="1" ht="14.4"/>
    <row r="656" s="90" customFormat="1" ht="14.4"/>
    <row r="657" s="90" customFormat="1" ht="14.4"/>
    <row r="658" s="90" customFormat="1" ht="14.4"/>
    <row r="659" s="90" customFormat="1" ht="14.4"/>
    <row r="660" s="90" customFormat="1" ht="14.4"/>
    <row r="661" s="90" customFormat="1" ht="14.4"/>
    <row r="662" s="90" customFormat="1" ht="14.4"/>
    <row r="663" s="90" customFormat="1" ht="14.4"/>
    <row r="664" s="90" customFormat="1" ht="14.4"/>
    <row r="665" s="90" customFormat="1" ht="14.4"/>
    <row r="666" s="90" customFormat="1" ht="14.4"/>
    <row r="667" s="90" customFormat="1" ht="14.4"/>
    <row r="668" s="90" customFormat="1" ht="14.4"/>
    <row r="669" s="90" customFormat="1" ht="14.4"/>
    <row r="670" s="90" customFormat="1" ht="14.4"/>
    <row r="671" s="90" customFormat="1" ht="14.4"/>
    <row r="672" s="90" customFormat="1" ht="14.4"/>
    <row r="673" s="90" customFormat="1" ht="14.4"/>
    <row r="674" s="90" customFormat="1" ht="14.4"/>
    <row r="675" s="90" customFormat="1" ht="14.4"/>
    <row r="676" s="90" customFormat="1" ht="14.4"/>
    <row r="677" s="90" customFormat="1" ht="14.4"/>
    <row r="678" s="90" customFormat="1" ht="14.4"/>
    <row r="679" s="90" customFormat="1" ht="14.4"/>
    <row r="680" s="90" customFormat="1" ht="14.4"/>
    <row r="681" s="90" customFormat="1" ht="14.4"/>
    <row r="682" s="90" customFormat="1" ht="14.4"/>
    <row r="683" s="90" customFormat="1" ht="14.4"/>
    <row r="684" s="90" customFormat="1" ht="14.4"/>
    <row r="685" s="90" customFormat="1" ht="14.4"/>
    <row r="686" s="90" customFormat="1" ht="14.4"/>
    <row r="687" s="90" customFormat="1" ht="14.4"/>
    <row r="688" s="90" customFormat="1" ht="14.4"/>
    <row r="689" s="90" customFormat="1" ht="14.4"/>
    <row r="690" s="90" customFormat="1" ht="14.4"/>
    <row r="691" s="90" customFormat="1" ht="14.4"/>
    <row r="692" s="90" customFormat="1" ht="14.4"/>
    <row r="693" s="90" customFormat="1" ht="14.4"/>
    <row r="694" s="90" customFormat="1" ht="14.4"/>
    <row r="695" s="90" customFormat="1" ht="14.4"/>
    <row r="696" s="90" customFormat="1" ht="14.4"/>
    <row r="697" s="90" customFormat="1" ht="14.4"/>
    <row r="698" s="90" customFormat="1" ht="14.4"/>
    <row r="699" s="90" customFormat="1" ht="14.4"/>
    <row r="700" s="90" customFormat="1" ht="14.4"/>
    <row r="701" s="90" customFormat="1" ht="14.4"/>
    <row r="702" s="90" customFormat="1" ht="14.4"/>
    <row r="703" s="90" customFormat="1" ht="14.4"/>
    <row r="704" s="90" customFormat="1" ht="14.4"/>
    <row r="705" s="90" customFormat="1" ht="14.4"/>
    <row r="706" s="90" customFormat="1" ht="14.4"/>
    <row r="707" s="90" customFormat="1" ht="14.4"/>
    <row r="708" s="90" customFormat="1" ht="14.4"/>
    <row r="709" s="90" customFormat="1" ht="14.4"/>
    <row r="710" s="90" customFormat="1" ht="14.4"/>
    <row r="711" s="90" customFormat="1" ht="14.4"/>
    <row r="712" s="90" customFormat="1" ht="14.4"/>
    <row r="713" s="90" customFormat="1" ht="14.4"/>
    <row r="714" s="90" customFormat="1" ht="14.4"/>
    <row r="715" s="90" customFormat="1" ht="14.4"/>
    <row r="716" s="90" customFormat="1" ht="14.4"/>
    <row r="717" s="90" customFormat="1" ht="14.4"/>
    <row r="718" s="90" customFormat="1" ht="14.4"/>
    <row r="719" s="90" customFormat="1" ht="14.4"/>
    <row r="720" s="90" customFormat="1" ht="14.4"/>
    <row r="721" s="90" customFormat="1" ht="14.4"/>
    <row r="722" s="90" customFormat="1" ht="14.4"/>
    <row r="723" s="90" customFormat="1" ht="14.4"/>
    <row r="724" s="90" customFormat="1" ht="14.4"/>
    <row r="725" s="90" customFormat="1" ht="14.4"/>
    <row r="726" s="90" customFormat="1" ht="14.4"/>
    <row r="727" s="90" customFormat="1" ht="14.4"/>
    <row r="728" s="90" customFormat="1" ht="14.4"/>
    <row r="729" s="90" customFormat="1" ht="14.4"/>
    <row r="730" s="90" customFormat="1" ht="14.4"/>
    <row r="731" s="90" customFormat="1" ht="14.4"/>
    <row r="732" s="90" customFormat="1" ht="14.4"/>
    <row r="733" s="90" customFormat="1" ht="14.4"/>
    <row r="734" s="90" customFormat="1" ht="14.4"/>
    <row r="735" s="90" customFormat="1" ht="14.4"/>
    <row r="736" s="90" customFormat="1" ht="14.4"/>
    <row r="737" s="90" customFormat="1" ht="14.4"/>
    <row r="738" s="90" customFormat="1" ht="14.4"/>
    <row r="739" s="90" customFormat="1" ht="14.4"/>
    <row r="740" s="90" customFormat="1" ht="14.4"/>
    <row r="741" s="90" customFormat="1" ht="14.4"/>
    <row r="742" s="90" customFormat="1" ht="14.4"/>
    <row r="743" s="90" customFormat="1" ht="14.4"/>
    <row r="744" s="90" customFormat="1" ht="14.4"/>
    <row r="745" s="90" customFormat="1" ht="14.4"/>
    <row r="746" s="90" customFormat="1" ht="14.4"/>
    <row r="747" s="90" customFormat="1" ht="14.4"/>
    <row r="748" s="90" customFormat="1" ht="14.4"/>
    <row r="749" s="90" customFormat="1" ht="14.4"/>
    <row r="750" s="90" customFormat="1" ht="14.4"/>
    <row r="751" s="90" customFormat="1" ht="14.4"/>
    <row r="752" s="90" customFormat="1" ht="14.4"/>
    <row r="753" s="90" customFormat="1" ht="14.4"/>
    <row r="754" s="90" customFormat="1" ht="14.4"/>
    <row r="755" s="90" customFormat="1" ht="14.4"/>
    <row r="756" s="90" customFormat="1" ht="14.4"/>
    <row r="757" s="90" customFormat="1" ht="14.4"/>
    <row r="758" s="90" customFormat="1" ht="14.4"/>
    <row r="759" s="90" customFormat="1" ht="14.4"/>
    <row r="760" s="90" customFormat="1" ht="14.4"/>
    <row r="761" s="90" customFormat="1" ht="14.4"/>
    <row r="762" s="90" customFormat="1" ht="14.4"/>
    <row r="763" s="90" customFormat="1" ht="14.4"/>
    <row r="764" s="90" customFormat="1" ht="14.4"/>
    <row r="765" s="90" customFormat="1" ht="14.4"/>
    <row r="766" s="90" customFormat="1" ht="14.4"/>
    <row r="767" s="90" customFormat="1" ht="14.4"/>
    <row r="768" s="90" customFormat="1" ht="14.4"/>
    <row r="769" s="90" customFormat="1" ht="14.4"/>
    <row r="770" s="90" customFormat="1" ht="14.4"/>
    <row r="771" s="90" customFormat="1" ht="14.4"/>
    <row r="772" s="90" customFormat="1" ht="14.4"/>
    <row r="773" s="90" customFormat="1" ht="14.4"/>
    <row r="774" s="90" customFormat="1" ht="14.4"/>
    <row r="775" s="90" customFormat="1" ht="14.4"/>
    <row r="776" s="90" customFormat="1" ht="14.4"/>
    <row r="777" s="90" customFormat="1" ht="14.4"/>
    <row r="778" s="90" customFormat="1" ht="14.4"/>
    <row r="779" s="90" customFormat="1" ht="14.4"/>
    <row r="780" s="90" customFormat="1" ht="14.4"/>
    <row r="781" s="90" customFormat="1" ht="14.4"/>
    <row r="782" s="90" customFormat="1" ht="14.4"/>
    <row r="783" s="90" customFormat="1" ht="14.4"/>
    <row r="784" s="90" customFormat="1" ht="14.4"/>
    <row r="785" s="90" customFormat="1" ht="14.4"/>
    <row r="786" s="90" customFormat="1" ht="14.4"/>
    <row r="787" s="90" customFormat="1" ht="14.4"/>
    <row r="788" s="90" customFormat="1" ht="14.4"/>
    <row r="789" s="90" customFormat="1" ht="14.4"/>
    <row r="790" s="90" customFormat="1" ht="14.4"/>
    <row r="791" s="90" customFormat="1" ht="14.4"/>
    <row r="792" s="90" customFormat="1" ht="14.4"/>
    <row r="793" s="90" customFormat="1" ht="14.4"/>
    <row r="794" s="90" customFormat="1" ht="14.4"/>
    <row r="795" s="90" customFormat="1" ht="14.4"/>
    <row r="796" s="90" customFormat="1" ht="14.4"/>
    <row r="797" s="90" customFormat="1" ht="14.4"/>
    <row r="798" s="90" customFormat="1" ht="14.4"/>
    <row r="799" s="90" customFormat="1" ht="14.4"/>
    <row r="800" s="90" customFormat="1" ht="14.4"/>
    <row r="801" s="90" customFormat="1" ht="14.4"/>
    <row r="802" s="90" customFormat="1" ht="14.4"/>
    <row r="803" s="90" customFormat="1" ht="14.4"/>
    <row r="804" s="90" customFormat="1" ht="14.4"/>
    <row r="805" s="90" customFormat="1" ht="14.4"/>
    <row r="806" s="90" customFormat="1" ht="14.4"/>
    <row r="807" s="90" customFormat="1" ht="14.4"/>
    <row r="808" s="90" customFormat="1" ht="14.4"/>
    <row r="809" s="90" customFormat="1" ht="14.4"/>
    <row r="810" s="90" customFormat="1" ht="14.4"/>
    <row r="811" s="90" customFormat="1" ht="14.4"/>
    <row r="812" s="90" customFormat="1" ht="14.4"/>
    <row r="813" s="90" customFormat="1" ht="14.4"/>
    <row r="814" s="90" customFormat="1" ht="14.4"/>
    <row r="815" s="90" customFormat="1" ht="14.4"/>
    <row r="816" s="90" customFormat="1" ht="14.4"/>
    <row r="817" s="90" customFormat="1" ht="14.4"/>
    <row r="818" s="90" customFormat="1" ht="14.4"/>
    <row r="819" s="90" customFormat="1" ht="14.4"/>
    <row r="820" s="90" customFormat="1" ht="14.4"/>
    <row r="821" s="90" customFormat="1" ht="14.4"/>
    <row r="822" s="90" customFormat="1" ht="14.4"/>
    <row r="823" s="90" customFormat="1" ht="14.4"/>
    <row r="824" s="90" customFormat="1" ht="14.4"/>
    <row r="825" s="90" customFormat="1" ht="14.4"/>
    <row r="826" s="90" customFormat="1" ht="14.4"/>
    <row r="827" s="90" customFormat="1" ht="14.4"/>
    <row r="828" s="90" customFormat="1" ht="14.4"/>
    <row r="829" s="90" customFormat="1" ht="14.4"/>
    <row r="830" s="90" customFormat="1" ht="14.4"/>
    <row r="831" s="90" customFormat="1" ht="14.4"/>
    <row r="832" s="90" customFormat="1" ht="14.4"/>
    <row r="833" s="90" customFormat="1" ht="14.4"/>
    <row r="834" s="90" customFormat="1" ht="14.4"/>
    <row r="835" s="90" customFormat="1" ht="14.4"/>
    <row r="836" s="90" customFormat="1" ht="14.4"/>
    <row r="837" s="90" customFormat="1" ht="14.4"/>
    <row r="838" s="90" customFormat="1" ht="14.4"/>
    <row r="839" s="90" customFormat="1" ht="14.4"/>
    <row r="840" s="90" customFormat="1" ht="14.4"/>
    <row r="841" s="90" customFormat="1" ht="14.4"/>
    <row r="842" s="90" customFormat="1" ht="14.4"/>
    <row r="843" s="90" customFormat="1" ht="14.4"/>
    <row r="844" s="90" customFormat="1" ht="14.4"/>
    <row r="845" s="90" customFormat="1" ht="14.4"/>
    <row r="846" s="90" customFormat="1" ht="14.4"/>
    <row r="847" s="90" customFormat="1" ht="14.4"/>
    <row r="848" s="90" customFormat="1" ht="14.4"/>
    <row r="849" s="90" customFormat="1" ht="14.4"/>
    <row r="850" s="90" customFormat="1" ht="14.4"/>
    <row r="851" s="90" customFormat="1" ht="14.4"/>
    <row r="852" s="90" customFormat="1" ht="14.4"/>
    <row r="853" s="90" customFormat="1" ht="14.4"/>
    <row r="854" s="90" customFormat="1" ht="14.4"/>
    <row r="855" s="90" customFormat="1" ht="14.4"/>
    <row r="856" s="90" customFormat="1" ht="14.4"/>
    <row r="857" s="90" customFormat="1" ht="14.4"/>
    <row r="858" s="90" customFormat="1" ht="14.4"/>
    <row r="859" s="90" customFormat="1" ht="14.4"/>
    <row r="860" s="90" customFormat="1" ht="14.4"/>
    <row r="861" s="90" customFormat="1" ht="14.4"/>
    <row r="862" s="90" customFormat="1" ht="14.4"/>
    <row r="863" s="90" customFormat="1" ht="14.4"/>
    <row r="864" s="90" customFormat="1" ht="14.4"/>
    <row r="865" s="90" customFormat="1" ht="14.4"/>
    <row r="866" s="90" customFormat="1" ht="14.4"/>
    <row r="867" s="90" customFormat="1" ht="14.4"/>
    <row r="868" s="90" customFormat="1" ht="14.4"/>
    <row r="869" s="90" customFormat="1" ht="14.4"/>
    <row r="870" s="90" customFormat="1" ht="14.4"/>
    <row r="871" s="90" customFormat="1" ht="14.4"/>
    <row r="872" s="90" customFormat="1" ht="14.4"/>
    <row r="873" s="90" customFormat="1" ht="14.4"/>
    <row r="874" s="90" customFormat="1" ht="14.4"/>
    <row r="875" s="90" customFormat="1" ht="14.4"/>
    <row r="876" s="90" customFormat="1" ht="14.4"/>
    <row r="877" s="90" customFormat="1" ht="14.4"/>
    <row r="878" s="90" customFormat="1" ht="14.4"/>
    <row r="879" s="90" customFormat="1" ht="14.4"/>
    <row r="880" s="90" customFormat="1" ht="14.4"/>
    <row r="881" s="90" customFormat="1" ht="14.4"/>
    <row r="882" s="90" customFormat="1" ht="14.4"/>
    <row r="883" s="90" customFormat="1" ht="14.4"/>
    <row r="884" s="90" customFormat="1" ht="14.4"/>
    <row r="885" s="90" customFormat="1" ht="14.4"/>
    <row r="886" s="90" customFormat="1" ht="14.4"/>
    <row r="887" s="90" customFormat="1" ht="14.4"/>
    <row r="888" s="90" customFormat="1" ht="14.4"/>
    <row r="889" s="90" customFormat="1" ht="14.4"/>
    <row r="890" s="90" customFormat="1" ht="14.4"/>
    <row r="891" s="90" customFormat="1" ht="14.4"/>
    <row r="892" s="90" customFormat="1" ht="14.4"/>
    <row r="893" s="90" customFormat="1" ht="14.4"/>
    <row r="894" s="90" customFormat="1" ht="14.4"/>
    <row r="895" s="90" customFormat="1" ht="14.4"/>
    <row r="896" s="90" customFormat="1" ht="14.4"/>
    <row r="897" s="90" customFormat="1" ht="14.4"/>
    <row r="898" s="90" customFormat="1" ht="14.4"/>
    <row r="899" s="90" customFormat="1" ht="14.4"/>
    <row r="900" s="90" customFormat="1" ht="14.4"/>
    <row r="901" s="90" customFormat="1" ht="14.4"/>
    <row r="902" s="90" customFormat="1" ht="14.4"/>
    <row r="903" s="90" customFormat="1" ht="14.4"/>
    <row r="904" s="90" customFormat="1" ht="14.4"/>
    <row r="905" s="90" customFormat="1" ht="14.4"/>
    <row r="906" s="90" customFormat="1" ht="14.4"/>
    <row r="907" s="90" customFormat="1" ht="14.4"/>
    <row r="908" s="90" customFormat="1" ht="14.4"/>
    <row r="909" s="90" customFormat="1" ht="14.4"/>
    <row r="910" s="90" customFormat="1" ht="14.4"/>
    <row r="911" s="90" customFormat="1" ht="14.4"/>
    <row r="912" s="90" customFormat="1" ht="14.4"/>
    <row r="913" s="90" customFormat="1" ht="14.4"/>
    <row r="914" s="90" customFormat="1" ht="14.4"/>
    <row r="915" s="90" customFormat="1" ht="14.4"/>
    <row r="916" s="90" customFormat="1" ht="14.4"/>
    <row r="917" s="90" customFormat="1" ht="14.4"/>
    <row r="918" s="90" customFormat="1" ht="14.4"/>
    <row r="919" s="90" customFormat="1" ht="14.4"/>
    <row r="920" s="90" customFormat="1" ht="14.4"/>
    <row r="921" s="90" customFormat="1" ht="14.4"/>
    <row r="922" s="90" customFormat="1" ht="14.4"/>
    <row r="923" s="90" customFormat="1" ht="14.4"/>
    <row r="924" s="90" customFormat="1" ht="14.4"/>
    <row r="925" s="90" customFormat="1" ht="14.4"/>
    <row r="926" s="90" customFormat="1" ht="14.4"/>
    <row r="927" s="90" customFormat="1" ht="14.4"/>
    <row r="928" s="90" customFormat="1" ht="14.4"/>
    <row r="929" s="90" customFormat="1" ht="14.4"/>
    <row r="930" s="90" customFormat="1" ht="14.4"/>
    <row r="931" s="90" customFormat="1" ht="14.4"/>
    <row r="932" s="90" customFormat="1" ht="14.4"/>
    <row r="933" s="90" customFormat="1" ht="14.4"/>
    <row r="934" s="90" customFormat="1" ht="14.4"/>
    <row r="935" s="90" customFormat="1" ht="14.4"/>
    <row r="936" s="90" customFormat="1" ht="14.4"/>
    <row r="937" s="90" customFormat="1" ht="14.4"/>
    <row r="938" s="90" customFormat="1" ht="14.4"/>
    <row r="939" s="90" customFormat="1" ht="14.4"/>
    <row r="940" s="90" customFormat="1" ht="14.4"/>
    <row r="941" s="90" customFormat="1" ht="14.4"/>
    <row r="942" s="90" customFormat="1" ht="14.4"/>
    <row r="943" s="90" customFormat="1" ht="14.4"/>
    <row r="944" s="90" customFormat="1" ht="14.4"/>
    <row r="945" s="90" customFormat="1" ht="14.4"/>
    <row r="946" s="90" customFormat="1" ht="14.4"/>
    <row r="947" s="90" customFormat="1" ht="14.4"/>
    <row r="948" s="90" customFormat="1" ht="14.4"/>
    <row r="949" s="90" customFormat="1" ht="14.4"/>
    <row r="950" s="90" customFormat="1" ht="14.4"/>
    <row r="951" s="90" customFormat="1" ht="14.4"/>
    <row r="952" s="90" customFormat="1" ht="14.4"/>
    <row r="953" s="90" customFormat="1" ht="14.4"/>
    <row r="954" s="90" customFormat="1" ht="14.4"/>
    <row r="955" s="90" customFormat="1" ht="14.4"/>
    <row r="956" s="90" customFormat="1" ht="14.4"/>
    <row r="957" s="90" customFormat="1" ht="14.4"/>
    <row r="958" s="90" customFormat="1" ht="14.4"/>
    <row r="959" s="90" customFormat="1" ht="14.4"/>
    <row r="960" s="90" customFormat="1" ht="14.4"/>
    <row r="961" s="90" customFormat="1" ht="14.4"/>
    <row r="962" s="90" customFormat="1" ht="14.4"/>
    <row r="963" s="90" customFormat="1" ht="14.4"/>
    <row r="964" s="90" customFormat="1" ht="14.4"/>
    <row r="965" s="90" customFormat="1" ht="14.4"/>
    <row r="966" s="90" customFormat="1" ht="14.4"/>
    <row r="967" s="90" customFormat="1" ht="14.4"/>
    <row r="968" s="90" customFormat="1" ht="14.4"/>
    <row r="969" s="90" customFormat="1" ht="14.4"/>
    <row r="970" s="90" customFormat="1" ht="14.4"/>
    <row r="971" s="90" customFormat="1" ht="14.4"/>
    <row r="972" s="90" customFormat="1" ht="14.4"/>
    <row r="973" s="90" customFormat="1" ht="14.4"/>
    <row r="974" s="90" customFormat="1" ht="14.4"/>
    <row r="975" s="90" customFormat="1" ht="14.4"/>
    <row r="976" s="90" customFormat="1" ht="14.4"/>
    <row r="977" s="90" customFormat="1" ht="14.4"/>
    <row r="978" s="90" customFormat="1" ht="14.4"/>
    <row r="979" s="90" customFormat="1" ht="14.4"/>
    <row r="980" s="90" customFormat="1" ht="14.4"/>
    <row r="981" s="90" customFormat="1" ht="14.4"/>
    <row r="982" s="90" customFormat="1" ht="14.4"/>
    <row r="983" s="90" customFormat="1" ht="14.4"/>
    <row r="984" s="90" customFormat="1" ht="14.4"/>
    <row r="985" s="90" customFormat="1" ht="14.4"/>
    <row r="986" s="90" customFormat="1" ht="14.4"/>
    <row r="987" s="90" customFormat="1" ht="14.4"/>
    <row r="988" s="90" customFormat="1" ht="14.4"/>
    <row r="989" s="90" customFormat="1" ht="14.4"/>
    <row r="990" s="90" customFormat="1" ht="14.4"/>
    <row r="991" s="90" customFormat="1" ht="14.4"/>
    <row r="992" s="90" customFormat="1" ht="14.4"/>
    <row r="993" s="90" customFormat="1" ht="14.4"/>
    <row r="994" s="90" customFormat="1" ht="14.4"/>
    <row r="995" s="90" customFormat="1" ht="14.4"/>
    <row r="996" s="90" customFormat="1" ht="14.4"/>
    <row r="997" s="90" customFormat="1" ht="14.4"/>
    <row r="998" s="90" customFormat="1" ht="14.4"/>
    <row r="999" s="90" customFormat="1" ht="14.4"/>
    <row r="1000" s="90" customFormat="1" ht="14.4"/>
    <row r="1001" s="90" customFormat="1" ht="14.4"/>
    <row r="1002" s="90" customFormat="1" ht="14.4"/>
    <row r="1003" s="90" customFormat="1" ht="14.4"/>
    <row r="1004" s="90" customFormat="1" ht="14.4"/>
    <row r="1005" s="90" customFormat="1" ht="14.4"/>
    <row r="1006" s="90" customFormat="1" ht="14.4"/>
    <row r="1007" s="90" customFormat="1" ht="14.4"/>
    <row r="1008" s="90" customFormat="1" ht="14.4"/>
    <row r="1009" s="90" customFormat="1" ht="14.4"/>
    <row r="1010" s="90" customFormat="1" ht="14.4"/>
    <row r="1011" s="90" customFormat="1" ht="14.4"/>
    <row r="1012" s="90" customFormat="1" ht="14.4"/>
    <row r="1013" s="90" customFormat="1" ht="14.4"/>
    <row r="1014" s="90" customFormat="1" ht="14.4"/>
    <row r="1015" s="90" customFormat="1" ht="14.4"/>
    <row r="1016" s="90" customFormat="1" ht="14.4"/>
    <row r="1017" s="90" customFormat="1" ht="14.4"/>
    <row r="1018" s="90" customFormat="1" ht="14.4"/>
    <row r="1019" s="90" customFormat="1" ht="14.4"/>
    <row r="1020" s="90" customFormat="1" ht="14.4"/>
    <row r="1021" s="90" customFormat="1" ht="14.4"/>
    <row r="1022" s="90" customFormat="1" ht="14.4"/>
    <row r="1023" s="90" customFormat="1" ht="14.4"/>
    <row r="1024" s="90" customFormat="1" ht="14.4"/>
    <row r="1025" s="90" customFormat="1" ht="14.4"/>
    <row r="1026" s="90" customFormat="1" ht="14.4"/>
    <row r="1027" s="90" customFormat="1" ht="14.4"/>
    <row r="1028" s="90" customFormat="1" ht="14.4"/>
    <row r="1029" s="90" customFormat="1" ht="14.4"/>
    <row r="1030" s="90" customFormat="1" ht="14.4"/>
    <row r="1031" s="90" customFormat="1" ht="14.4"/>
    <row r="1032" s="90" customFormat="1" ht="14.4"/>
    <row r="1033" s="90" customFormat="1" ht="14.4"/>
    <row r="1034" s="90" customFormat="1" ht="14.4"/>
    <row r="1035" s="90" customFormat="1" ht="14.4"/>
    <row r="1036" s="90" customFormat="1" ht="14.4"/>
    <row r="1037" s="90" customFormat="1" ht="14.4"/>
    <row r="1038" s="90" customFormat="1" ht="14.4"/>
    <row r="1039" s="90" customFormat="1" ht="14.4"/>
    <row r="1040" s="90" customFormat="1" ht="14.4"/>
    <row r="1041" s="90" customFormat="1" ht="14.4"/>
    <row r="1042" s="90" customFormat="1" ht="14.4"/>
    <row r="1043" s="90" customFormat="1" ht="14.4"/>
    <row r="1044" s="90" customFormat="1" ht="14.4"/>
    <row r="1045" s="90" customFormat="1" ht="14.4"/>
    <row r="1046" s="90" customFormat="1" ht="14.4"/>
    <row r="1047" s="90" customFormat="1" ht="14.4"/>
    <row r="1048" s="90" customFormat="1" ht="14.4"/>
    <row r="1049" s="90" customFormat="1" ht="14.4"/>
    <row r="1050" s="90" customFormat="1" ht="14.4"/>
    <row r="1051" s="90" customFormat="1" ht="14.4"/>
    <row r="1052" s="90" customFormat="1" ht="14.4"/>
    <row r="1053" s="90" customFormat="1" ht="14.4"/>
    <row r="1054" s="90" customFormat="1" ht="14.4"/>
    <row r="1055" s="90" customFormat="1" ht="14.4"/>
    <row r="1056" s="90" customFormat="1" ht="14.4"/>
    <row r="1057" s="90" customFormat="1" ht="14.4"/>
    <row r="1058" s="90" customFormat="1" ht="14.4"/>
    <row r="1059" s="90" customFormat="1" ht="14.4"/>
    <row r="1060" s="90" customFormat="1" ht="14.4"/>
    <row r="1061" s="90" customFormat="1" ht="14.4"/>
    <row r="1062" s="90" customFormat="1" ht="14.4"/>
    <row r="1063" s="90" customFormat="1" ht="14.4"/>
    <row r="1064" s="90" customFormat="1" ht="14.4"/>
    <row r="1065" s="90" customFormat="1" ht="14.4"/>
    <row r="1066" s="90" customFormat="1" ht="14.4"/>
    <row r="1067" s="90" customFormat="1" ht="14.4"/>
    <row r="1068" s="90" customFormat="1" ht="14.4"/>
    <row r="1069" s="90" customFormat="1" ht="14.4"/>
    <row r="1070" s="90" customFormat="1" ht="14.4"/>
    <row r="1071" s="90" customFormat="1" ht="14.4"/>
    <row r="1072" s="90" customFormat="1" ht="14.4"/>
    <row r="1073" s="90" customFormat="1" ht="14.4"/>
    <row r="1074" s="90" customFormat="1" ht="14.4"/>
    <row r="1075" s="90" customFormat="1" ht="14.4"/>
    <row r="1076" s="90" customFormat="1" ht="14.4"/>
    <row r="1077" s="90" customFormat="1" ht="14.4"/>
    <row r="1078" s="90" customFormat="1" ht="14.4"/>
    <row r="1079" s="90" customFormat="1" ht="14.4"/>
    <row r="1080" s="90" customFormat="1" ht="14.4"/>
    <row r="1081" s="90" customFormat="1" ht="14.4"/>
    <row r="1082" s="90" customFormat="1" ht="14.4"/>
    <row r="1083" s="90" customFormat="1" ht="14.4"/>
    <row r="1084" s="90" customFormat="1" ht="14.4"/>
    <row r="1085" s="90" customFormat="1" ht="14.4"/>
    <row r="1086" s="90" customFormat="1" ht="14.4"/>
    <row r="1087" s="90" customFormat="1" ht="14.4"/>
    <row r="1088" s="90" customFormat="1" ht="14.4"/>
    <row r="1089" s="90" customFormat="1" ht="14.4"/>
    <row r="1090" s="90" customFormat="1" ht="14.4"/>
    <row r="1091" s="90" customFormat="1" ht="14.4"/>
    <row r="1092" s="90" customFormat="1" ht="14.4"/>
    <row r="1093" s="90" customFormat="1" ht="14.4"/>
    <row r="1094" s="90" customFormat="1" ht="14.4"/>
    <row r="1095" s="90" customFormat="1" ht="14.4"/>
    <row r="1096" s="90" customFormat="1" ht="14.4"/>
    <row r="1097" s="90" customFormat="1" ht="14.4"/>
    <row r="1098" s="90" customFormat="1" ht="14.4"/>
    <row r="1099" s="90" customFormat="1" ht="14.4"/>
    <row r="1100" s="90" customFormat="1" ht="14.4"/>
    <row r="1101" s="90" customFormat="1" ht="14.4"/>
    <row r="1102" s="90" customFormat="1" ht="14.4"/>
    <row r="1103" s="90" customFormat="1" ht="14.4"/>
    <row r="1104" s="90" customFormat="1" ht="14.4"/>
    <row r="1105" s="90" customFormat="1" ht="14.4"/>
    <row r="1106" s="90" customFormat="1" ht="14.4"/>
    <row r="1107" s="90" customFormat="1" ht="14.4"/>
    <row r="1108" s="90" customFormat="1" ht="14.4"/>
    <row r="1109" s="90" customFormat="1" ht="14.4"/>
    <row r="1110" s="90" customFormat="1" ht="14.4"/>
    <row r="1111" s="90" customFormat="1" ht="14.4"/>
    <row r="1112" s="90" customFormat="1" ht="14.4"/>
    <row r="1113" s="90" customFormat="1" ht="14.4"/>
    <row r="1114" s="90" customFormat="1" ht="14.4"/>
    <row r="1115" s="90" customFormat="1" ht="14.4"/>
    <row r="1116" s="90" customFormat="1" ht="14.4"/>
    <row r="1117" s="90" customFormat="1" ht="14.4"/>
    <row r="1118" s="90" customFormat="1" ht="14.4"/>
    <row r="1119" s="90" customFormat="1" ht="14.4"/>
    <row r="1120" s="90" customFormat="1" ht="14.4"/>
    <row r="1121" s="90" customFormat="1" ht="14.4"/>
    <row r="1122" s="90" customFormat="1" ht="14.4"/>
    <row r="1123" s="90" customFormat="1" ht="14.4"/>
    <row r="1124" s="90" customFormat="1" ht="14.4"/>
    <row r="1125" s="90" customFormat="1" ht="14.4"/>
    <row r="1126" s="90" customFormat="1" ht="14.4"/>
    <row r="1127" s="90" customFormat="1" ht="14.4"/>
    <row r="1128" s="90" customFormat="1" ht="14.4"/>
    <row r="1129" s="90" customFormat="1" ht="14.4"/>
    <row r="1130" s="90" customFormat="1" ht="14.4"/>
    <row r="1131" s="90" customFormat="1" ht="14.4"/>
    <row r="1132" s="90" customFormat="1" ht="14.4"/>
    <row r="1133" s="90" customFormat="1" ht="14.4"/>
    <row r="1134" s="90" customFormat="1" ht="14.4"/>
    <row r="1135" s="90" customFormat="1" ht="14.4"/>
    <row r="1136" s="90" customFormat="1" ht="14.4"/>
    <row r="1137" s="90" customFormat="1" ht="14.4"/>
    <row r="1138" s="90" customFormat="1" ht="14.4"/>
    <row r="1139" s="90" customFormat="1" ht="14.4"/>
    <row r="1140" s="90" customFormat="1" ht="14.4"/>
    <row r="1141" s="90" customFormat="1" ht="14.4"/>
    <row r="1142" s="90" customFormat="1" ht="14.4"/>
    <row r="1143" s="90" customFormat="1" ht="14.4"/>
    <row r="1144" s="90" customFormat="1" ht="14.4"/>
    <row r="1145" s="90" customFormat="1" ht="14.4"/>
    <row r="1146" s="90" customFormat="1" ht="14.4"/>
    <row r="1147" s="90" customFormat="1" ht="14.4"/>
    <row r="1148" s="90" customFormat="1" ht="14.4"/>
    <row r="1149" s="90" customFormat="1" ht="14.4"/>
    <row r="1150" s="90" customFormat="1" ht="14.4"/>
    <row r="1151" s="90" customFormat="1" ht="14.4"/>
    <row r="1152" s="90" customFormat="1" ht="14.4"/>
    <row r="1153" s="90" customFormat="1" ht="14.4"/>
    <row r="1154" s="90" customFormat="1" ht="14.4"/>
    <row r="1155" s="90" customFormat="1" ht="14.4"/>
    <row r="1156" s="90" customFormat="1" ht="14.4"/>
    <row r="1157" s="90" customFormat="1" ht="14.4"/>
    <row r="1158" s="90" customFormat="1" ht="14.4"/>
    <row r="1159" s="90" customFormat="1" ht="14.4"/>
    <row r="1160" s="90" customFormat="1" ht="14.4"/>
    <row r="1161" s="90" customFormat="1" ht="14.4"/>
    <row r="1162" s="90" customFormat="1" ht="14.4"/>
    <row r="1163" s="90" customFormat="1" ht="14.4"/>
    <row r="1164" s="90" customFormat="1" ht="14.4"/>
    <row r="1165" s="90" customFormat="1" ht="14.4"/>
    <row r="1166" s="90" customFormat="1" ht="14.4"/>
    <row r="1167" s="90" customFormat="1" ht="14.4"/>
    <row r="1168" s="90" customFormat="1" ht="14.4"/>
    <row r="1169" s="90" customFormat="1" ht="14.4"/>
    <row r="1170" s="90" customFormat="1" ht="14.4"/>
    <row r="1171" s="90" customFormat="1" ht="14.4"/>
    <row r="1172" s="90" customFormat="1" ht="14.4"/>
    <row r="1173" s="90" customFormat="1" ht="14.4"/>
    <row r="1174" s="90" customFormat="1" ht="14.4"/>
    <row r="1175" s="90" customFormat="1" ht="14.4"/>
    <row r="1176" s="90" customFormat="1" ht="14.4"/>
    <row r="1177" s="90" customFormat="1" ht="14.4"/>
    <row r="1178" s="90" customFormat="1" ht="14.4"/>
    <row r="1179" s="90" customFormat="1" ht="14.4"/>
    <row r="1180" s="90" customFormat="1" ht="14.4"/>
    <row r="1181" s="90" customFormat="1" ht="14.4"/>
    <row r="1182" s="90" customFormat="1" ht="14.4"/>
    <row r="1183" s="90" customFormat="1" ht="14.4"/>
    <row r="1184" s="90" customFormat="1" ht="14.4"/>
    <row r="1185" s="90" customFormat="1" ht="14.4"/>
    <row r="1186" s="90" customFormat="1" ht="14.4"/>
    <row r="1187" s="90" customFormat="1" ht="14.4"/>
    <row r="1188" s="90" customFormat="1" ht="14.4"/>
    <row r="1189" s="90" customFormat="1" ht="14.4"/>
    <row r="1190" s="90" customFormat="1" ht="14.4"/>
    <row r="1191" s="90" customFormat="1" ht="14.4"/>
    <row r="1192" s="90" customFormat="1" ht="14.4"/>
    <row r="1193" s="90" customFormat="1" ht="14.4"/>
    <row r="1194" s="90" customFormat="1" ht="14.4"/>
    <row r="1195" s="90" customFormat="1" ht="14.4"/>
    <row r="1196" s="90" customFormat="1" ht="14.4"/>
    <row r="1197" s="90" customFormat="1" ht="14.4"/>
    <row r="1198" s="90" customFormat="1" ht="14.4"/>
    <row r="1199" s="90" customFormat="1" ht="14.4"/>
    <row r="1200" s="90" customFormat="1" ht="14.4"/>
    <row r="1201" s="90" customFormat="1" ht="14.4"/>
    <row r="1202" s="90" customFormat="1" ht="14.4"/>
    <row r="1203" s="90" customFormat="1" ht="14.4"/>
    <row r="1204" s="90" customFormat="1" ht="14.4"/>
    <row r="1205" s="90" customFormat="1" ht="14.4"/>
    <row r="1206" s="90" customFormat="1" ht="14.4"/>
    <row r="1207" s="90" customFormat="1" ht="14.4"/>
    <row r="1208" s="90" customFormat="1" ht="14.4"/>
    <row r="1209" s="90" customFormat="1" ht="14.4"/>
    <row r="1210" s="90" customFormat="1" ht="14.4"/>
    <row r="1211" s="90" customFormat="1" ht="14.4"/>
    <row r="1212" s="90" customFormat="1" ht="14.4"/>
    <row r="1213" s="90" customFormat="1" ht="14.4"/>
    <row r="1214" s="90" customFormat="1" ht="14.4"/>
    <row r="1215" s="90" customFormat="1" ht="14.4"/>
    <row r="1216" s="90" customFormat="1" ht="14.4"/>
    <row r="1217" s="90" customFormat="1" ht="14.4"/>
    <row r="1218" s="90" customFormat="1" ht="14.4"/>
    <row r="1219" s="90" customFormat="1" ht="14.4"/>
    <row r="1220" s="90" customFormat="1" ht="14.4"/>
    <row r="1221" s="90" customFormat="1" ht="14.4"/>
    <row r="1222" s="90" customFormat="1" ht="14.4"/>
    <row r="1223" s="90" customFormat="1" ht="14.4"/>
    <row r="1224" s="90" customFormat="1" ht="14.4"/>
    <row r="1225" s="90" customFormat="1" ht="14.4"/>
    <row r="1226" s="90" customFormat="1" ht="14.4"/>
    <row r="1227" s="90" customFormat="1" ht="14.4"/>
    <row r="1228" s="90" customFormat="1" ht="14.4"/>
    <row r="1229" s="90" customFormat="1" ht="14.4"/>
    <row r="1230" s="90" customFormat="1" ht="14.4"/>
    <row r="1231" s="90" customFormat="1" ht="14.4"/>
    <row r="1232" s="90" customFormat="1" ht="14.4"/>
    <row r="1233" s="90" customFormat="1" ht="14.4"/>
    <row r="1234" s="90" customFormat="1" ht="14.4"/>
    <row r="1235" s="90" customFormat="1" ht="14.4"/>
    <row r="1236" s="90" customFormat="1" ht="14.4"/>
    <row r="1237" s="90" customFormat="1" ht="14.4"/>
    <row r="1238" s="90" customFormat="1" ht="14.4"/>
    <row r="1239" s="90" customFormat="1" ht="14.4"/>
    <row r="1240" s="90" customFormat="1" ht="14.4"/>
    <row r="1241" s="90" customFormat="1" ht="14.4"/>
    <row r="1242" s="90" customFormat="1" ht="14.4"/>
    <row r="1243" s="90" customFormat="1" ht="14.4"/>
    <row r="1244" s="90" customFormat="1" ht="14.4"/>
    <row r="1245" s="90" customFormat="1" ht="14.4"/>
    <row r="1246" s="90" customFormat="1" ht="14.4"/>
    <row r="1247" s="90" customFormat="1" ht="14.4"/>
    <row r="1248" s="90" customFormat="1" ht="14.4"/>
    <row r="1249" s="90" customFormat="1" ht="14.4"/>
    <row r="1250" s="90" customFormat="1" ht="14.4"/>
    <row r="1251" s="90" customFormat="1" ht="14.4"/>
    <row r="1252" s="90" customFormat="1" ht="14.4"/>
    <row r="1253" s="90" customFormat="1" ht="14.4"/>
    <row r="1254" s="90" customFormat="1" ht="14.4"/>
    <row r="1255" s="90" customFormat="1" ht="14.4"/>
    <row r="1256" s="90" customFormat="1" ht="14.4"/>
    <row r="1257" s="90" customFormat="1" ht="14.4"/>
    <row r="1258" s="90" customFormat="1" ht="14.4"/>
    <row r="1259" s="90" customFormat="1" ht="14.4"/>
    <row r="1260" s="90" customFormat="1" ht="14.4"/>
    <row r="1261" s="90" customFormat="1" ht="14.4"/>
    <row r="1262" s="90" customFormat="1" ht="14.4"/>
    <row r="1263" s="90" customFormat="1" ht="14.4"/>
    <row r="1264" s="90" customFormat="1" ht="14.4"/>
    <row r="1265" s="90" customFormat="1" ht="14.4"/>
    <row r="1266" s="90" customFormat="1" ht="14.4"/>
    <row r="1267" s="90" customFormat="1" ht="14.4"/>
    <row r="1268" s="90" customFormat="1" ht="14.4"/>
    <row r="1269" s="90" customFormat="1" ht="14.4"/>
    <row r="1270" s="90" customFormat="1" ht="14.4"/>
    <row r="1271" s="90" customFormat="1" ht="14.4"/>
    <row r="1272" s="90" customFormat="1" ht="14.4"/>
    <row r="1273" s="90" customFormat="1" ht="14.4"/>
    <row r="1274" s="90" customFormat="1" ht="14.4"/>
    <row r="1275" s="90" customFormat="1" ht="14.4"/>
    <row r="1276" s="90" customFormat="1" ht="14.4"/>
    <row r="1277" s="90" customFormat="1" ht="14.4"/>
    <row r="1278" s="90" customFormat="1" ht="14.4"/>
    <row r="1279" s="90" customFormat="1" ht="14.4"/>
    <row r="1280" s="90" customFormat="1" ht="14.4"/>
    <row r="1281" s="90" customFormat="1" ht="14.4"/>
    <row r="1282" s="90" customFormat="1" ht="14.4"/>
    <row r="1283" s="90" customFormat="1" ht="14.4"/>
    <row r="1284" s="90" customFormat="1" ht="14.4"/>
    <row r="1285" s="90" customFormat="1" ht="14.4"/>
    <row r="1286" s="90" customFormat="1" ht="14.4"/>
    <row r="1287" s="90" customFormat="1" ht="14.4"/>
    <row r="1288" s="90" customFormat="1" ht="14.4"/>
    <row r="1289" s="90" customFormat="1" ht="14.4"/>
    <row r="1290" s="90" customFormat="1" ht="14.4"/>
    <row r="1291" s="90" customFormat="1" ht="14.4"/>
    <row r="1292" s="90" customFormat="1" ht="14.4"/>
    <row r="1293" s="90" customFormat="1" ht="14.4"/>
    <row r="1294" s="90" customFormat="1" ht="14.4"/>
    <row r="1295" s="90" customFormat="1" ht="14.4"/>
    <row r="1296" s="90" customFormat="1" ht="14.4"/>
    <row r="1297" s="90" customFormat="1" ht="14.4"/>
    <row r="1298" s="90" customFormat="1" ht="14.4"/>
    <row r="1299" s="90" customFormat="1" ht="14.4"/>
    <row r="1300" s="90" customFormat="1" ht="14.4"/>
    <row r="1301" s="90" customFormat="1" ht="14.4"/>
    <row r="1302" s="90" customFormat="1" ht="14.4"/>
    <row r="1303" s="90" customFormat="1" ht="14.4"/>
    <row r="1304" s="90" customFormat="1" ht="14.4"/>
    <row r="1305" s="90" customFormat="1" ht="14.4"/>
    <row r="1306" s="90" customFormat="1" ht="14.4"/>
    <row r="1307" s="90" customFormat="1" ht="14.4"/>
    <row r="1308" s="90" customFormat="1" ht="14.4"/>
    <row r="1309" s="90" customFormat="1" ht="14.4"/>
    <row r="1310" s="90" customFormat="1" ht="14.4"/>
    <row r="1311" s="90" customFormat="1" ht="14.4"/>
    <row r="1312" s="90" customFormat="1" ht="14.4"/>
    <row r="1313" s="90" customFormat="1" ht="14.4"/>
    <row r="1314" s="90" customFormat="1" ht="14.4"/>
    <row r="1315" s="90" customFormat="1" ht="14.4"/>
    <row r="1316" s="90" customFormat="1" ht="14.4"/>
    <row r="1317" s="90" customFormat="1" ht="14.4"/>
    <row r="1318" s="90" customFormat="1" ht="14.4"/>
    <row r="1319" s="90" customFormat="1" ht="14.4"/>
    <row r="1320" s="90" customFormat="1" ht="14.4"/>
    <row r="1321" s="90" customFormat="1" ht="14.4"/>
    <row r="1322" s="90" customFormat="1" ht="14.4"/>
    <row r="1323" s="90" customFormat="1" ht="14.4"/>
    <row r="1324" s="90" customFormat="1" ht="14.4"/>
    <row r="1325" s="90" customFormat="1" ht="14.4"/>
    <row r="1326" s="90" customFormat="1" ht="14.4"/>
    <row r="1327" s="90" customFormat="1" ht="14.4"/>
    <row r="1328" s="90" customFormat="1" ht="14.4"/>
    <row r="1329" s="90" customFormat="1" ht="14.4"/>
    <row r="1330" s="90" customFormat="1" ht="14.4"/>
    <row r="1331" s="90" customFormat="1" ht="14.4"/>
    <row r="1332" s="90" customFormat="1" ht="14.4"/>
    <row r="1333" s="90" customFormat="1" ht="14.4"/>
    <row r="1334" s="90" customFormat="1" ht="14.4"/>
    <row r="1335" s="90" customFormat="1" ht="14.4"/>
    <row r="1336" s="90" customFormat="1" ht="14.4"/>
    <row r="1337" s="90" customFormat="1" ht="14.4"/>
    <row r="1338" s="90" customFormat="1" ht="14.4"/>
    <row r="1339" s="90" customFormat="1" ht="14.4"/>
    <row r="1340" s="90" customFormat="1" ht="14.4"/>
    <row r="1341" s="90" customFormat="1" ht="14.4"/>
    <row r="1342" s="90" customFormat="1" ht="14.4"/>
    <row r="1343" s="90" customFormat="1" ht="14.4"/>
    <row r="1344" s="90" customFormat="1" ht="14.4"/>
    <row r="1345" s="90" customFormat="1" ht="14.4"/>
    <row r="1346" s="90" customFormat="1" ht="14.4"/>
    <row r="1347" s="90" customFormat="1" ht="14.4"/>
    <row r="1348" s="90" customFormat="1" ht="14.4"/>
    <row r="1349" s="90" customFormat="1" ht="14.4"/>
    <row r="1350" s="90" customFormat="1" ht="14.4"/>
    <row r="1351" s="90" customFormat="1" ht="14.4"/>
    <row r="1352" s="90" customFormat="1" ht="14.4"/>
    <row r="1353" s="90" customFormat="1" ht="14.4"/>
    <row r="1354" s="90" customFormat="1" ht="14.4"/>
    <row r="1355" s="90" customFormat="1" ht="14.4"/>
    <row r="1356" s="90" customFormat="1" ht="14.4"/>
    <row r="1357" s="90" customFormat="1" ht="14.4"/>
    <row r="1358" s="90" customFormat="1" ht="14.4"/>
    <row r="1359" s="90" customFormat="1" ht="14.4"/>
    <row r="1360" s="90" customFormat="1" ht="14.4"/>
    <row r="1361" s="90" customFormat="1" ht="14.4"/>
    <row r="1362" s="90" customFormat="1" ht="14.4"/>
    <row r="1363" s="90" customFormat="1" ht="14.4"/>
    <row r="1364" s="90" customFormat="1" ht="14.4"/>
    <row r="1365" s="90" customFormat="1" ht="14.4"/>
    <row r="1366" s="90" customFormat="1" ht="14.4"/>
    <row r="1367" s="90" customFormat="1" ht="14.4"/>
    <row r="1368" s="90" customFormat="1" ht="14.4"/>
    <row r="1369" s="90" customFormat="1" ht="14.4"/>
    <row r="1370" s="90" customFormat="1" ht="14.4"/>
    <row r="1371" s="90" customFormat="1" ht="14.4"/>
    <row r="1372" s="90" customFormat="1" ht="14.4"/>
    <row r="1373" s="90" customFormat="1" ht="14.4"/>
    <row r="1374" s="90" customFormat="1" ht="14.4"/>
    <row r="1375" s="90" customFormat="1" ht="14.4"/>
    <row r="1376" s="90" customFormat="1" ht="14.4"/>
    <row r="1377" s="90" customFormat="1" ht="14.4"/>
    <row r="1378" s="90" customFormat="1" ht="14.4"/>
    <row r="1379" s="90" customFormat="1" ht="14.4"/>
    <row r="1380" s="90" customFormat="1" ht="14.4"/>
    <row r="1381" s="90" customFormat="1" ht="14.4"/>
    <row r="1382" s="90" customFormat="1" ht="14.4"/>
    <row r="1383" s="90" customFormat="1" ht="14.4"/>
    <row r="1384" s="90" customFormat="1" ht="14.4"/>
    <row r="1385" s="90" customFormat="1" ht="14.4"/>
    <row r="1386" s="90" customFormat="1" ht="14.4"/>
    <row r="1387" s="90" customFormat="1" ht="14.4"/>
    <row r="1388" s="90" customFormat="1" ht="14.4"/>
    <row r="1389" s="90" customFormat="1" ht="14.4"/>
    <row r="1390" s="90" customFormat="1" ht="14.4"/>
    <row r="1391" s="90" customFormat="1" ht="14.4"/>
    <row r="1392" s="90" customFormat="1" ht="14.4"/>
    <row r="1393" s="90" customFormat="1" ht="14.4"/>
    <row r="1394" s="90" customFormat="1" ht="14.4"/>
    <row r="1395" s="90" customFormat="1" ht="14.4"/>
    <row r="1396" s="90" customFormat="1" ht="14.4"/>
    <row r="1397" s="90" customFormat="1" ht="14.4"/>
    <row r="1398" s="90" customFormat="1" ht="14.4"/>
    <row r="1399" s="90" customFormat="1" ht="14.4"/>
    <row r="1400" s="90" customFormat="1" ht="14.4"/>
    <row r="1401" s="90" customFormat="1" ht="14.4"/>
    <row r="1402" s="90" customFormat="1" ht="14.4"/>
    <row r="1403" s="90" customFormat="1" ht="14.4"/>
    <row r="1404" s="90" customFormat="1" ht="14.4"/>
    <row r="1405" s="90" customFormat="1" ht="14.4"/>
    <row r="1406" s="90" customFormat="1" ht="14.4"/>
    <row r="1407" s="90" customFormat="1" ht="14.4"/>
    <row r="1408" s="90" customFormat="1" ht="14.4"/>
    <row r="1409" s="90" customFormat="1" ht="14.4"/>
    <row r="1410" s="90" customFormat="1" ht="14.4"/>
    <row r="1411" s="90" customFormat="1" ht="14.4"/>
    <row r="1412" s="90" customFormat="1" ht="14.4"/>
    <row r="1413" s="90" customFormat="1" ht="14.4"/>
    <row r="1414" s="90" customFormat="1" ht="14.4"/>
    <row r="1415" s="90" customFormat="1" ht="14.4"/>
    <row r="1416" s="90" customFormat="1" ht="14.4"/>
    <row r="1417" s="90" customFormat="1" ht="14.4"/>
    <row r="1418" s="90" customFormat="1" ht="14.4"/>
    <row r="1419" s="90" customFormat="1" ht="14.4"/>
    <row r="1420" s="90" customFormat="1" ht="14.4"/>
    <row r="1421" s="90" customFormat="1" ht="14.4"/>
    <row r="1422" s="90" customFormat="1" ht="14.4"/>
    <row r="1423" s="90" customFormat="1" ht="14.4"/>
    <row r="1424" s="90" customFormat="1" ht="14.4"/>
    <row r="1425" s="90" customFormat="1" ht="14.4"/>
    <row r="1426" s="90" customFormat="1" ht="14.4"/>
    <row r="1427" s="90" customFormat="1" ht="14.4"/>
    <row r="1428" s="90" customFormat="1" ht="14.4"/>
    <row r="1429" s="90" customFormat="1" ht="14.4"/>
    <row r="1430" s="90" customFormat="1" ht="14.4"/>
    <row r="1431" s="90" customFormat="1" ht="14.4"/>
    <row r="1432" s="90" customFormat="1" ht="14.4"/>
    <row r="1433" s="90" customFormat="1" ht="14.4"/>
    <row r="1434" s="90" customFormat="1" ht="14.4"/>
    <row r="1435" s="90" customFormat="1" ht="14.4"/>
    <row r="1436" s="90" customFormat="1" ht="14.4"/>
    <row r="1437" s="90" customFormat="1" ht="14.4"/>
    <row r="1438" s="90" customFormat="1" ht="14.4"/>
    <row r="1439" s="90" customFormat="1" ht="14.4"/>
    <row r="1440" s="90" customFormat="1" ht="14.4"/>
    <row r="1441" s="90" customFormat="1" ht="14.4"/>
    <row r="1442" s="90" customFormat="1" ht="14.4"/>
    <row r="1443" s="90" customFormat="1" ht="14.4"/>
    <row r="1444" s="90" customFormat="1" ht="14.4"/>
    <row r="1445" s="90" customFormat="1" ht="14.4"/>
    <row r="1446" s="90" customFormat="1" ht="14.4"/>
    <row r="1447" s="90" customFormat="1" ht="14.4"/>
    <row r="1448" s="90" customFormat="1" ht="14.4"/>
    <row r="1449" s="90" customFormat="1" ht="14.4"/>
    <row r="1450" s="90" customFormat="1" ht="14.4"/>
    <row r="1451" s="90" customFormat="1" ht="14.4"/>
    <row r="1452" s="90" customFormat="1" ht="14.4"/>
    <row r="1453" s="90" customFormat="1" ht="14.4"/>
    <row r="1454" s="90" customFormat="1" ht="14.4"/>
    <row r="1455" s="90" customFormat="1" ht="14.4"/>
    <row r="1456" s="90" customFormat="1" ht="14.4"/>
    <row r="1457" s="90" customFormat="1" ht="14.4"/>
    <row r="1458" s="90" customFormat="1" ht="14.4"/>
    <row r="1459" s="90" customFormat="1" ht="14.4"/>
    <row r="1460" s="90" customFormat="1" ht="14.4"/>
    <row r="1461" s="90" customFormat="1" ht="14.4"/>
    <row r="1462" s="90" customFormat="1" ht="14.4"/>
    <row r="1463" s="90" customFormat="1" ht="14.4"/>
    <row r="1464" s="90" customFormat="1" ht="14.4"/>
    <row r="1465" s="90" customFormat="1" ht="14.4"/>
    <row r="1466" s="90" customFormat="1" ht="14.4"/>
    <row r="1467" s="90" customFormat="1" ht="14.4"/>
    <row r="1468" s="90" customFormat="1" ht="14.4"/>
    <row r="1469" s="90" customFormat="1" ht="14.4"/>
    <row r="1470" s="90" customFormat="1" ht="14.4"/>
    <row r="1471" s="90" customFormat="1" ht="14.4"/>
    <row r="1472" s="90" customFormat="1" ht="14.4"/>
    <row r="1473" s="90" customFormat="1" ht="14.4"/>
    <row r="1474" s="90" customFormat="1" ht="14.4"/>
    <row r="1475" s="90" customFormat="1" ht="14.4"/>
    <row r="1476" s="90" customFormat="1" ht="14.4"/>
    <row r="1477" s="90" customFormat="1" ht="14.4"/>
    <row r="1478" s="90" customFormat="1" ht="14.4"/>
    <row r="1479" s="90" customFormat="1" ht="14.4"/>
    <row r="1480" s="90" customFormat="1" ht="14.4"/>
    <row r="1481" s="90" customFormat="1" ht="14.4"/>
    <row r="1482" s="90" customFormat="1" ht="14.4"/>
    <row r="1483" s="90" customFormat="1" ht="14.4"/>
    <row r="1484" s="90" customFormat="1" ht="14.4"/>
    <row r="1485" s="90" customFormat="1" ht="14.4"/>
    <row r="1486" s="90" customFormat="1" ht="14.4"/>
    <row r="1487" s="90" customFormat="1" ht="14.4"/>
    <row r="1488" s="90" customFormat="1" ht="14.4"/>
    <row r="1489" s="90" customFormat="1" ht="14.4"/>
    <row r="1490" s="90" customFormat="1" ht="14.4"/>
    <row r="1491" s="90" customFormat="1" ht="14.4"/>
    <row r="1492" s="90" customFormat="1" ht="14.4"/>
    <row r="1493" s="90" customFormat="1" ht="14.4"/>
    <row r="1494" s="90" customFormat="1" ht="14.4"/>
    <row r="1495" s="90" customFormat="1" ht="14.4"/>
    <row r="1496" s="90" customFormat="1" ht="14.4"/>
    <row r="1497" s="90" customFormat="1" ht="14.4"/>
    <row r="1498" s="90" customFormat="1" ht="14.4"/>
    <row r="1499" s="90" customFormat="1" ht="14.4"/>
    <row r="1500" s="90" customFormat="1" ht="14.4"/>
    <row r="1501" s="90" customFormat="1" ht="14.4"/>
    <row r="1502" s="90" customFormat="1" ht="14.4"/>
    <row r="1503" s="90" customFormat="1" ht="14.4"/>
    <row r="1504" s="90" customFormat="1" ht="14.4"/>
    <row r="1505" s="90" customFormat="1" ht="14.4"/>
    <row r="1506" s="90" customFormat="1" ht="14.4"/>
    <row r="1507" s="90" customFormat="1" ht="14.4"/>
    <row r="1508" s="90" customFormat="1" ht="14.4"/>
    <row r="1509" s="90" customFormat="1" ht="14.4"/>
    <row r="1510" s="90" customFormat="1" ht="14.4"/>
    <row r="1511" s="90" customFormat="1" ht="14.4"/>
    <row r="1512" s="90" customFormat="1" ht="14.4"/>
    <row r="1513" s="90" customFormat="1" ht="14.4"/>
    <row r="1514" s="90" customFormat="1" ht="14.4"/>
    <row r="1515" s="90" customFormat="1" ht="14.4"/>
    <row r="1516" s="90" customFormat="1" ht="14.4"/>
    <row r="1517" s="90" customFormat="1" ht="14.4"/>
    <row r="1518" s="90" customFormat="1" ht="14.4"/>
    <row r="1519" s="90" customFormat="1" ht="14.4"/>
    <row r="1520" s="90" customFormat="1" ht="14.4"/>
    <row r="1521" s="90" customFormat="1" ht="14.4"/>
    <row r="1522" s="90" customFormat="1" ht="14.4"/>
    <row r="1523" s="90" customFormat="1" ht="14.4"/>
    <row r="1524" s="90" customFormat="1" ht="14.4"/>
    <row r="1525" s="90" customFormat="1" ht="14.4"/>
    <row r="1526" s="90" customFormat="1" ht="14.4"/>
    <row r="1527" s="90" customFormat="1" ht="14.4"/>
    <row r="1528" s="90" customFormat="1" ht="14.4"/>
    <row r="1529" s="90" customFormat="1" ht="14.4"/>
    <row r="1530" s="90" customFormat="1" ht="14.4"/>
    <row r="1531" s="90" customFormat="1" ht="14.4"/>
    <row r="1532" s="90" customFormat="1" ht="14.4"/>
    <row r="1533" s="90" customFormat="1" ht="14.4"/>
    <row r="1534" s="90" customFormat="1" ht="14.4"/>
    <row r="1535" s="90" customFormat="1" ht="14.4"/>
    <row r="1536" s="90" customFormat="1" ht="14.4"/>
    <row r="1537" s="90" customFormat="1" ht="14.4"/>
    <row r="1538" s="90" customFormat="1" ht="14.4"/>
    <row r="1539" s="90" customFormat="1" ht="14.4"/>
    <row r="1540" s="90" customFormat="1" ht="14.4"/>
    <row r="1541" s="90" customFormat="1" ht="14.4"/>
    <row r="1542" s="90" customFormat="1" ht="14.4"/>
    <row r="1543" s="90" customFormat="1" ht="14.4"/>
    <row r="1544" s="90" customFormat="1" ht="14.4"/>
    <row r="1545" s="90" customFormat="1" ht="14.4"/>
    <row r="1546" s="90" customFormat="1" ht="14.4"/>
    <row r="1547" s="90" customFormat="1" ht="14.4"/>
    <row r="1548" s="90" customFormat="1" ht="14.4"/>
    <row r="1549" s="90" customFormat="1" ht="14.4"/>
    <row r="1550" s="90" customFormat="1" ht="14.4"/>
    <row r="1551" s="90" customFormat="1" ht="14.4"/>
    <row r="1552" s="90" customFormat="1" ht="14.4"/>
    <row r="1553" s="90" customFormat="1" ht="14.4"/>
    <row r="1554" s="90" customFormat="1" ht="14.4"/>
    <row r="1555" s="90" customFormat="1" ht="14.4"/>
    <row r="1556" s="90" customFormat="1" ht="14.4"/>
    <row r="1557" s="90" customFormat="1" ht="14.4"/>
    <row r="1558" s="90" customFormat="1" ht="14.4"/>
    <row r="1559" s="90" customFormat="1" ht="14.4"/>
    <row r="1560" s="90" customFormat="1" ht="14.4"/>
    <row r="1561" s="90" customFormat="1" ht="14.4"/>
    <row r="1562" s="90" customFormat="1" ht="14.4"/>
    <row r="1563" s="90" customFormat="1" ht="14.4"/>
    <row r="1564" s="90" customFormat="1" ht="14.4"/>
    <row r="1565" s="90" customFormat="1" ht="14.4"/>
    <row r="1566" s="90" customFormat="1" ht="14.4"/>
    <row r="1567" s="90" customFormat="1" ht="14.4"/>
    <row r="1568" s="90" customFormat="1" ht="14.4"/>
    <row r="1569" s="90" customFormat="1" ht="14.4"/>
    <row r="1570" s="90" customFormat="1" ht="14.4"/>
    <row r="1571" s="90" customFormat="1" ht="14.4"/>
    <row r="1572" s="90" customFormat="1" ht="14.4"/>
    <row r="1573" s="90" customFormat="1" ht="14.4"/>
    <row r="1574" s="90" customFormat="1" ht="14.4"/>
    <row r="1575" s="90" customFormat="1" ht="14.4"/>
    <row r="1576" s="90" customFormat="1" ht="14.4"/>
    <row r="1577" s="90" customFormat="1" ht="14.4"/>
    <row r="1578" s="90" customFormat="1" ht="14.4"/>
    <row r="1579" s="90" customFormat="1" ht="14.4"/>
    <row r="1580" s="90" customFormat="1" ht="14.4"/>
    <row r="1581" s="90" customFormat="1" ht="14.4"/>
    <row r="1582" s="90" customFormat="1" ht="14.4"/>
    <row r="1583" s="90" customFormat="1" ht="14.4"/>
    <row r="1584" s="90" customFormat="1" ht="14.4"/>
    <row r="1585" s="90" customFormat="1" ht="14.4"/>
    <row r="1586" s="90" customFormat="1" ht="14.4"/>
    <row r="1587" s="90" customFormat="1" ht="14.4"/>
    <row r="1588" s="90" customFormat="1" ht="14.4"/>
    <row r="1589" s="90" customFormat="1" ht="14.4"/>
    <row r="1590" s="90" customFormat="1" ht="14.4"/>
    <row r="1591" s="90" customFormat="1" ht="14.4"/>
    <row r="1592" s="90" customFormat="1" ht="14.4"/>
    <row r="1593" s="90" customFormat="1" ht="14.4"/>
    <row r="1594" s="90" customFormat="1" ht="14.4"/>
    <row r="1595" s="90" customFormat="1" ht="14.4"/>
    <row r="1596" s="90" customFormat="1" ht="14.4"/>
    <row r="1597" s="90" customFormat="1" ht="14.4"/>
    <row r="1598" s="90" customFormat="1" ht="14.4"/>
    <row r="1599" s="90" customFormat="1" ht="14.4"/>
    <row r="1600" s="90" customFormat="1" ht="14.4"/>
    <row r="1601" s="90" customFormat="1" ht="14.4"/>
    <row r="1602" s="90" customFormat="1" ht="14.4"/>
    <row r="1603" s="90" customFormat="1" ht="14.4"/>
    <row r="1604" s="90" customFormat="1" ht="14.4"/>
    <row r="1605" s="90" customFormat="1" ht="14.4"/>
    <row r="1606" s="90" customFormat="1" ht="14.4"/>
    <row r="1607" s="90" customFormat="1" ht="14.4"/>
    <row r="1608" s="90" customFormat="1" ht="14.4"/>
    <row r="1609" s="90" customFormat="1" ht="14.4"/>
    <row r="1610" s="90" customFormat="1" ht="14.4"/>
    <row r="1611" s="90" customFormat="1" ht="14.4"/>
    <row r="1612" s="90" customFormat="1" ht="14.4"/>
    <row r="1613" s="90" customFormat="1" ht="14.4"/>
    <row r="1614" s="90" customFormat="1" ht="14.4"/>
    <row r="1615" s="90" customFormat="1" ht="14.4"/>
    <row r="1616" s="90" customFormat="1" ht="14.4"/>
    <row r="1617" s="90" customFormat="1" ht="14.4"/>
    <row r="1618" s="90" customFormat="1" ht="14.4"/>
    <row r="1619" s="90" customFormat="1" ht="14.4"/>
    <row r="1620" s="90" customFormat="1" ht="14.4"/>
    <row r="1621" s="90" customFormat="1" ht="14.4"/>
    <row r="1622" s="90" customFormat="1" ht="14.4"/>
    <row r="1623" s="90" customFormat="1" ht="14.4"/>
    <row r="1624" s="90" customFormat="1" ht="14.4"/>
    <row r="1625" s="90" customFormat="1" ht="14.4"/>
    <row r="1626" s="90" customFormat="1" ht="14.4"/>
    <row r="1627" s="90" customFormat="1" ht="14.4"/>
    <row r="1628" s="90" customFormat="1" ht="14.4"/>
    <row r="1629" s="90" customFormat="1" ht="14.4"/>
    <row r="1630" s="90" customFormat="1" ht="14.4"/>
    <row r="1631" s="90" customFormat="1" ht="14.4"/>
    <row r="1632" s="90" customFormat="1" ht="14.4"/>
    <row r="1633" s="90" customFormat="1" ht="14.4"/>
    <row r="1634" s="90" customFormat="1" ht="14.4"/>
    <row r="1635" s="90" customFormat="1" ht="14.4"/>
    <row r="1636" s="90" customFormat="1" ht="14.4"/>
    <row r="1637" s="90" customFormat="1" ht="14.4"/>
    <row r="1638" s="90" customFormat="1" ht="14.4"/>
    <row r="1639" s="90" customFormat="1" ht="14.4"/>
    <row r="1640" s="90" customFormat="1" ht="14.4"/>
    <row r="1641" s="90" customFormat="1" ht="14.4"/>
    <row r="1642" s="90" customFormat="1" ht="14.4"/>
    <row r="1643" s="90" customFormat="1" ht="14.4"/>
    <row r="1644" s="90" customFormat="1" ht="14.4"/>
    <row r="1645" s="90" customFormat="1" ht="14.4"/>
    <row r="1646" s="90" customFormat="1" ht="14.4"/>
    <row r="1647" s="90" customFormat="1" ht="14.4"/>
    <row r="1648" s="90" customFormat="1" ht="14.4"/>
    <row r="1649" s="90" customFormat="1" ht="14.4"/>
    <row r="1650" s="90" customFormat="1" ht="14.4"/>
    <row r="1651" s="90" customFormat="1" ht="14.4"/>
    <row r="1652" s="90" customFormat="1" ht="14.4"/>
    <row r="1653" s="90" customFormat="1" ht="14.4"/>
    <row r="1654" s="90" customFormat="1" ht="14.4"/>
    <row r="1655" s="90" customFormat="1" ht="14.4"/>
    <row r="1656" s="90" customFormat="1" ht="14.4"/>
    <row r="1657" s="90" customFormat="1" ht="14.4"/>
    <row r="1658" s="90" customFormat="1" ht="14.4"/>
    <row r="1659" s="90" customFormat="1" ht="14.4"/>
    <row r="1660" s="90" customFormat="1" ht="14.4"/>
    <row r="1661" s="90" customFormat="1" ht="14.4"/>
    <row r="1662" s="90" customFormat="1" ht="14.4"/>
    <row r="1663" s="90" customFormat="1" ht="14.4"/>
    <row r="1664" s="90" customFormat="1" ht="14.4"/>
    <row r="1665" s="90" customFormat="1" ht="14.4"/>
    <row r="1666" s="90" customFormat="1" ht="14.4"/>
    <row r="1667" s="90" customFormat="1" ht="14.4"/>
    <row r="1668" s="90" customFormat="1" ht="14.4"/>
    <row r="1669" s="90" customFormat="1" ht="14.4"/>
    <row r="1670" s="90" customFormat="1" ht="14.4"/>
    <row r="1671" s="90" customFormat="1" ht="14.4"/>
    <row r="1672" s="90" customFormat="1" ht="14.4"/>
    <row r="1673" s="90" customFormat="1" ht="14.4"/>
    <row r="1674" s="90" customFormat="1" ht="14.4"/>
    <row r="1675" s="90" customFormat="1" ht="14.4"/>
    <row r="1676" s="90" customFormat="1" ht="14.4"/>
    <row r="1677" s="90" customFormat="1" ht="14.4"/>
    <row r="1678" s="90" customFormat="1" ht="14.4"/>
    <row r="1679" s="90" customFormat="1" ht="14.4"/>
    <row r="1680" s="90" customFormat="1" ht="14.4"/>
    <row r="1681" s="90" customFormat="1" ht="14.4"/>
    <row r="1682" s="90" customFormat="1" ht="14.4"/>
    <row r="1683" s="90" customFormat="1" ht="14.4"/>
    <row r="1684" s="90" customFormat="1" ht="14.4"/>
    <row r="1685" s="90" customFormat="1" ht="14.4"/>
    <row r="1686" s="90" customFormat="1" ht="14.4"/>
    <row r="1687" s="90" customFormat="1" ht="14.4"/>
    <row r="1688" s="90" customFormat="1" ht="14.4"/>
    <row r="1689" s="90" customFormat="1" ht="14.4"/>
    <row r="1690" s="90" customFormat="1" ht="14.4"/>
    <row r="1691" s="90" customFormat="1" ht="14.4"/>
    <row r="1692" s="90" customFormat="1" ht="14.4"/>
    <row r="1693" s="90" customFormat="1" ht="14.4"/>
    <row r="1694" s="90" customFormat="1" ht="14.4"/>
    <row r="1695" s="90" customFormat="1" ht="14.4"/>
    <row r="1696" s="90" customFormat="1" ht="14.4"/>
    <row r="1697" s="90" customFormat="1" ht="14.4"/>
    <row r="1698" s="90" customFormat="1" ht="14.4"/>
    <row r="1699" s="90" customFormat="1" ht="14.4"/>
    <row r="1700" s="90" customFormat="1" ht="14.4"/>
    <row r="1701" s="90" customFormat="1" ht="14.4"/>
    <row r="1702" s="90" customFormat="1" ht="14.4"/>
    <row r="1703" s="90" customFormat="1" ht="14.4"/>
    <row r="1704" s="90" customFormat="1" ht="14.4"/>
    <row r="1705" s="90" customFormat="1" ht="14.4"/>
    <row r="1706" s="90" customFormat="1" ht="14.4"/>
    <row r="1707" s="90" customFormat="1" ht="14.4"/>
    <row r="1708" s="90" customFormat="1" ht="14.4"/>
    <row r="1709" s="90" customFormat="1" ht="14.4"/>
    <row r="1710" s="90" customFormat="1" ht="14.4"/>
    <row r="1711" s="90" customFormat="1" ht="14.4"/>
    <row r="1712" s="90" customFormat="1" ht="14.4"/>
    <row r="1713" s="90" customFormat="1" ht="14.4"/>
    <row r="1714" s="90" customFormat="1" ht="14.4"/>
    <row r="1715" s="90" customFormat="1" ht="14.4"/>
    <row r="1716" s="90" customFormat="1" ht="14.4"/>
    <row r="1717" s="90" customFormat="1" ht="14.4"/>
    <row r="1718" s="90" customFormat="1" ht="14.4"/>
    <row r="1719" s="90" customFormat="1" ht="14.4"/>
    <row r="1720" s="90" customFormat="1" ht="14.4"/>
    <row r="1721" s="90" customFormat="1" ht="14.4"/>
    <row r="1722" s="90" customFormat="1" ht="14.4"/>
    <row r="1723" s="90" customFormat="1" ht="14.4"/>
    <row r="1724" s="90" customFormat="1" ht="14.4"/>
    <row r="1725" s="90" customFormat="1" ht="14.4"/>
    <row r="1726" s="90" customFormat="1" ht="14.4"/>
    <row r="1727" s="90" customFormat="1" ht="14.4"/>
    <row r="1728" s="90" customFormat="1" ht="14.4"/>
    <row r="1729" s="90" customFormat="1" ht="14.4"/>
    <row r="1730" s="90" customFormat="1" ht="14.4"/>
    <row r="1731" s="90" customFormat="1" ht="14.4"/>
    <row r="1732" s="90" customFormat="1" ht="14.4"/>
    <row r="1733" s="90" customFormat="1" ht="14.4"/>
    <row r="1734" s="90" customFormat="1" ht="14.4"/>
    <row r="1735" s="90" customFormat="1" ht="14.4"/>
    <row r="1736" s="90" customFormat="1" ht="14.4"/>
    <row r="1737" s="90" customFormat="1" ht="14.4"/>
    <row r="1738" s="90" customFormat="1" ht="14.4"/>
    <row r="1739" s="90" customFormat="1" ht="14.4"/>
    <row r="1740" s="90" customFormat="1" ht="14.4"/>
    <row r="1741" s="90" customFormat="1" ht="14.4"/>
    <row r="1742" s="90" customFormat="1" ht="14.4"/>
    <row r="1743" s="90" customFormat="1" ht="14.4"/>
    <row r="1744" s="90" customFormat="1" ht="14.4"/>
    <row r="1745" s="90" customFormat="1" ht="14.4"/>
    <row r="1746" s="90" customFormat="1" ht="14.4"/>
    <row r="1747" s="90" customFormat="1" ht="14.4"/>
    <row r="1748" s="90" customFormat="1" ht="14.4"/>
    <row r="1749" s="90" customFormat="1" ht="14.4"/>
    <row r="1750" s="90" customFormat="1" ht="14.4"/>
    <row r="1751" s="90" customFormat="1" ht="14.4"/>
    <row r="1752" s="90" customFormat="1" ht="14.4"/>
    <row r="1753" s="90" customFormat="1" ht="14.4"/>
    <row r="1754" s="90" customFormat="1" ht="14.4"/>
    <row r="1755" s="90" customFormat="1" ht="14.4"/>
    <row r="1756" s="90" customFormat="1" ht="14.4"/>
    <row r="1757" s="90" customFormat="1" ht="14.4"/>
    <row r="1758" s="90" customFormat="1" ht="14.4"/>
    <row r="1759" s="90" customFormat="1" ht="14.4"/>
    <row r="1760" s="90" customFormat="1" ht="14.4"/>
    <row r="1761" s="90" customFormat="1" ht="14.4"/>
    <row r="1762" s="90" customFormat="1" ht="14.4"/>
    <row r="1763" s="90" customFormat="1" ht="14.4"/>
    <row r="1764" s="90" customFormat="1" ht="14.4"/>
    <row r="1765" s="90" customFormat="1" ht="14.4"/>
    <row r="1766" s="90" customFormat="1" ht="14.4"/>
    <row r="1767" s="90" customFormat="1" ht="14.4"/>
    <row r="1768" s="90" customFormat="1" ht="14.4"/>
    <row r="1769" s="90" customFormat="1" ht="14.4"/>
    <row r="1770" s="90" customFormat="1" ht="14.4"/>
    <row r="1771" s="90" customFormat="1" ht="14.4"/>
    <row r="1772" s="90" customFormat="1" ht="14.4"/>
    <row r="1773" s="90" customFormat="1" ht="14.4"/>
    <row r="1774" s="90" customFormat="1" ht="14.4"/>
    <row r="1775" s="90" customFormat="1" ht="14.4"/>
    <row r="1776" s="90" customFormat="1" ht="14.4"/>
    <row r="1777" s="90" customFormat="1" ht="14.4"/>
    <row r="1778" s="90" customFormat="1" ht="14.4"/>
    <row r="1779" s="90" customFormat="1" ht="14.4"/>
    <row r="1780" s="90" customFormat="1" ht="14.4"/>
    <row r="1781" s="90" customFormat="1" ht="14.4"/>
    <row r="1782" s="90" customFormat="1" ht="14.4"/>
    <row r="1783" s="90" customFormat="1" ht="14.4"/>
    <row r="1784" s="90" customFormat="1" ht="14.4"/>
    <row r="1785" s="90" customFormat="1" ht="14.4"/>
    <row r="1786" s="90" customFormat="1" ht="14.4"/>
    <row r="1787" s="90" customFormat="1" ht="14.4"/>
    <row r="1788" s="90" customFormat="1" ht="14.4"/>
    <row r="1789" s="90" customFormat="1" ht="14.4"/>
    <row r="1790" s="90" customFormat="1" ht="14.4"/>
    <row r="1791" s="90" customFormat="1" ht="14.4"/>
    <row r="1792" s="90" customFormat="1" ht="14.4"/>
    <row r="1793" s="90" customFormat="1" ht="14.4"/>
    <row r="1794" s="90" customFormat="1" ht="14.4"/>
    <row r="1795" s="90" customFormat="1" ht="14.4"/>
    <row r="1796" s="90" customFormat="1" ht="14.4"/>
    <row r="1797" s="90" customFormat="1" ht="14.4"/>
    <row r="1798" s="90" customFormat="1" ht="14.4"/>
    <row r="1799" s="90" customFormat="1" ht="14.4"/>
    <row r="1800" s="90" customFormat="1" ht="14.4"/>
    <row r="1801" s="90" customFormat="1" ht="14.4"/>
    <row r="1802" s="90" customFormat="1" ht="14.4"/>
    <row r="1803" s="90" customFormat="1" ht="14.4"/>
    <row r="1804" s="90" customFormat="1" ht="14.4"/>
    <row r="1805" s="90" customFormat="1" ht="14.4"/>
    <row r="1806" s="90" customFormat="1" ht="14.4"/>
    <row r="1807" s="90" customFormat="1" ht="14.4"/>
    <row r="1808" s="90" customFormat="1" ht="14.4"/>
    <row r="1809" s="90" customFormat="1" ht="14.4"/>
    <row r="1810" s="90" customFormat="1" ht="14.4"/>
    <row r="1811" s="90" customFormat="1" ht="14.4"/>
    <row r="1812" s="90" customFormat="1" ht="14.4"/>
    <row r="1813" s="90" customFormat="1" ht="14.4"/>
    <row r="1814" s="90" customFormat="1" ht="14.4"/>
    <row r="1815" s="90" customFormat="1" ht="14.4"/>
    <row r="1816" s="90" customFormat="1" ht="14.4"/>
    <row r="1817" s="90" customFormat="1" ht="14.4"/>
    <row r="1818" s="90" customFormat="1" ht="14.4"/>
    <row r="1819" s="90" customFormat="1" ht="14.4"/>
    <row r="1820" s="90" customFormat="1" ht="14.4"/>
    <row r="1821" s="90" customFormat="1" ht="14.4"/>
    <row r="1822" s="90" customFormat="1" ht="14.4"/>
    <row r="1823" s="90" customFormat="1" ht="14.4"/>
    <row r="1824" s="90" customFormat="1" ht="14.4"/>
    <row r="1825" s="90" customFormat="1" ht="14.4"/>
    <row r="1826" s="90" customFormat="1" ht="14.4"/>
    <row r="1827" s="90" customFormat="1" ht="14.4"/>
    <row r="1828" s="90" customFormat="1" ht="14.4"/>
    <row r="1829" s="90" customFormat="1" ht="14.4"/>
    <row r="1830" s="90" customFormat="1" ht="14.4"/>
    <row r="1831" s="90" customFormat="1" ht="14.4"/>
    <row r="1832" s="90" customFormat="1" ht="14.4"/>
    <row r="1833" s="90" customFormat="1" ht="14.4"/>
    <row r="1834" s="90" customFormat="1" ht="14.4"/>
    <row r="1835" s="90" customFormat="1" ht="14.4"/>
    <row r="1836" s="90" customFormat="1" ht="14.4"/>
    <row r="1837" s="90" customFormat="1" ht="14.4"/>
    <row r="1838" s="90" customFormat="1" ht="14.4"/>
    <row r="1839" s="90" customFormat="1" ht="14.4"/>
    <row r="1840" s="90" customFormat="1" ht="14.4"/>
    <row r="1841" s="90" customFormat="1" ht="14.4"/>
    <row r="1842" s="90" customFormat="1" ht="14.4"/>
    <row r="1843" s="90" customFormat="1" ht="14.4"/>
    <row r="1844" s="90" customFormat="1" ht="14.4"/>
    <row r="1845" s="90" customFormat="1" ht="14.4"/>
    <row r="1846" s="90" customFormat="1" ht="14.4"/>
    <row r="1847" s="90" customFormat="1" ht="14.4"/>
    <row r="1848" s="90" customFormat="1" ht="14.4"/>
    <row r="1849" s="90" customFormat="1" ht="14.4"/>
    <row r="1850" s="90" customFormat="1" ht="14.4"/>
    <row r="1851" s="90" customFormat="1" ht="14.4"/>
    <row r="1852" s="90" customFormat="1" ht="14.4"/>
    <row r="1853" s="90" customFormat="1" ht="14.4"/>
    <row r="1854" s="90" customFormat="1" ht="14.4"/>
    <row r="1855" s="90" customFormat="1" ht="14.4"/>
    <row r="1856" s="90" customFormat="1" ht="14.4"/>
    <row r="1857" s="90" customFormat="1" ht="14.4"/>
    <row r="1858" s="90" customFormat="1" ht="14.4"/>
    <row r="1859" s="90" customFormat="1" ht="14.4"/>
    <row r="1860" s="90" customFormat="1" ht="14.4"/>
    <row r="1861" s="90" customFormat="1" ht="14.4"/>
    <row r="1862" s="90" customFormat="1" ht="14.4"/>
    <row r="1863" s="90" customFormat="1" ht="14.4"/>
    <row r="1864" s="90" customFormat="1" ht="14.4"/>
    <row r="1865" s="90" customFormat="1" ht="14.4"/>
    <row r="1866" s="90" customFormat="1" ht="14.4"/>
    <row r="1867" s="90" customFormat="1" ht="14.4"/>
    <row r="1868" s="90" customFormat="1" ht="14.4"/>
    <row r="1869" s="90" customFormat="1" ht="14.4"/>
    <row r="1870" s="90" customFormat="1" ht="14.4"/>
    <row r="1871" s="90" customFormat="1" ht="14.4"/>
    <row r="1872" s="90" customFormat="1" ht="14.4"/>
    <row r="1873" s="90" customFormat="1" ht="14.4"/>
    <row r="1874" s="90" customFormat="1" ht="14.4"/>
    <row r="1875" s="90" customFormat="1" ht="14.4"/>
    <row r="1876" s="90" customFormat="1" ht="14.4"/>
    <row r="1877" s="90" customFormat="1" ht="14.4"/>
    <row r="1878" s="90" customFormat="1" ht="14.4"/>
    <row r="1879" s="90" customFormat="1" ht="14.4"/>
    <row r="1880" s="90" customFormat="1" ht="14.4"/>
    <row r="1881" s="90" customFormat="1" ht="14.4"/>
    <row r="1882" s="90" customFormat="1" ht="14.4"/>
    <row r="1883" s="90" customFormat="1" ht="14.4"/>
    <row r="1884" s="90" customFormat="1" ht="14.4"/>
    <row r="1885" s="90" customFormat="1" ht="14.4"/>
    <row r="1886" s="90" customFormat="1" ht="14.4"/>
    <row r="1887" s="90" customFormat="1" ht="14.4"/>
    <row r="1888" s="90" customFormat="1" ht="14.4"/>
    <row r="1889" s="90" customFormat="1" ht="14.4"/>
    <row r="1890" s="90" customFormat="1" ht="14.4"/>
    <row r="1891" s="90" customFormat="1" ht="14.4"/>
    <row r="1892" s="90" customFormat="1" ht="14.4"/>
    <row r="1893" s="90" customFormat="1" ht="14.4"/>
    <row r="1894" s="90" customFormat="1" ht="14.4"/>
    <row r="1895" s="90" customFormat="1" ht="14.4"/>
    <row r="1896" s="90" customFormat="1" ht="14.4"/>
    <row r="1897" s="90" customFormat="1" ht="14.4"/>
    <row r="1898" s="90" customFormat="1" ht="14.4"/>
    <row r="1899" s="90" customFormat="1" ht="14.4"/>
    <row r="1900" s="90" customFormat="1" ht="14.4"/>
    <row r="1901" s="90" customFormat="1" ht="14.4"/>
    <row r="1902" s="90" customFormat="1" ht="14.4"/>
    <row r="1903" s="90" customFormat="1" ht="14.4"/>
    <row r="1904" s="90" customFormat="1" ht="14.4"/>
    <row r="1905" s="90" customFormat="1" ht="14.4"/>
    <row r="1906" s="90" customFormat="1" ht="14.4"/>
    <row r="1907" s="90" customFormat="1" ht="14.4"/>
    <row r="1908" s="90" customFormat="1" ht="14.4"/>
    <row r="1909" s="90" customFormat="1" ht="14.4"/>
    <row r="1910" s="90" customFormat="1" ht="14.4"/>
    <row r="1911" s="90" customFormat="1" ht="14.4"/>
    <row r="1912" s="90" customFormat="1" ht="14.4"/>
    <row r="1913" s="90" customFormat="1" ht="14.4"/>
    <row r="1914" s="90" customFormat="1" ht="14.4"/>
    <row r="1915" s="90" customFormat="1" ht="14.4"/>
    <row r="1916" s="90" customFormat="1" ht="14.4"/>
    <row r="1917" s="90" customFormat="1" ht="14.4"/>
    <row r="1918" s="90" customFormat="1" ht="14.4"/>
    <row r="1919" s="90" customFormat="1" ht="14.4"/>
    <row r="1920" s="90" customFormat="1" ht="14.4"/>
    <row r="1921" s="90" customFormat="1" ht="14.4"/>
    <row r="1922" s="90" customFormat="1" ht="14.4"/>
    <row r="1923" s="90" customFormat="1" ht="14.4"/>
    <row r="1924" s="90" customFormat="1" ht="14.4"/>
    <row r="1925" s="90" customFormat="1" ht="14.4"/>
    <row r="1926" s="90" customFormat="1" ht="14.4"/>
    <row r="1927" s="90" customFormat="1" ht="14.4"/>
    <row r="1928" s="90" customFormat="1" ht="14.4"/>
    <row r="1929" s="90" customFormat="1" ht="14.4"/>
    <row r="1930" s="90" customFormat="1" ht="14.4"/>
    <row r="1931" s="90" customFormat="1" ht="14.4"/>
    <row r="1932" s="90" customFormat="1" ht="14.4"/>
    <row r="1933" s="90" customFormat="1" ht="14.4"/>
    <row r="1934" s="90" customFormat="1" ht="14.4"/>
    <row r="1935" s="90" customFormat="1" ht="14.4"/>
    <row r="1936" s="90" customFormat="1" ht="14.4"/>
    <row r="1937" s="90" customFormat="1" ht="14.4"/>
    <row r="1938" s="90" customFormat="1" ht="14.4"/>
    <row r="1939" s="90" customFormat="1" ht="14.4"/>
    <row r="1940" s="90" customFormat="1" ht="14.4"/>
    <row r="1941" s="90" customFormat="1" ht="14.4"/>
    <row r="1942" s="90" customFormat="1" ht="14.4"/>
    <row r="1943" s="90" customFormat="1" ht="14.4"/>
    <row r="1944" s="90" customFormat="1" ht="14.4"/>
    <row r="1945" s="90" customFormat="1" ht="14.4"/>
    <row r="1946" s="90" customFormat="1" ht="14.4"/>
    <row r="1947" s="90" customFormat="1" ht="14.4"/>
    <row r="1948" s="90" customFormat="1" ht="14.4"/>
    <row r="1949" s="90" customFormat="1" ht="14.4"/>
    <row r="1950" s="90" customFormat="1" ht="14.4"/>
    <row r="1951" s="90" customFormat="1" ht="14.4"/>
    <row r="1952" s="90" customFormat="1" ht="14.4"/>
    <row r="1953" s="90" customFormat="1" ht="14.4"/>
    <row r="1954" s="90" customFormat="1" ht="14.4"/>
    <row r="1955" s="90" customFormat="1" ht="14.4"/>
    <row r="1956" s="90" customFormat="1" ht="14.4"/>
    <row r="1957" s="90" customFormat="1" ht="14.4"/>
    <row r="1958" s="90" customFormat="1" ht="14.4"/>
    <row r="1959" s="90" customFormat="1" ht="14.4"/>
    <row r="1960" s="90" customFormat="1" ht="14.4"/>
    <row r="1961" s="90" customFormat="1" ht="14.4"/>
    <row r="1962" s="90" customFormat="1" ht="14.4"/>
    <row r="1963" s="90" customFormat="1" ht="14.4"/>
    <row r="1964" s="90" customFormat="1" ht="14.4"/>
    <row r="1965" s="90" customFormat="1" ht="14.4"/>
    <row r="1966" s="90" customFormat="1" ht="14.4"/>
    <row r="1967" s="90" customFormat="1" ht="14.4"/>
    <row r="1968" s="90" customFormat="1" ht="14.4"/>
    <row r="1969" s="90" customFormat="1" ht="14.4"/>
    <row r="1970" s="90" customFormat="1" ht="14.4"/>
    <row r="1971" s="90" customFormat="1" ht="14.4"/>
    <row r="1972" s="90" customFormat="1" ht="14.4"/>
    <row r="1973" s="90" customFormat="1" ht="14.4"/>
    <row r="1974" s="90" customFormat="1" ht="14.4"/>
    <row r="1975" s="90" customFormat="1" ht="14.4"/>
    <row r="1976" s="90" customFormat="1" ht="14.4"/>
    <row r="1977" s="90" customFormat="1" ht="14.4"/>
    <row r="1978" s="90" customFormat="1" ht="14.4"/>
    <row r="1979" s="90" customFormat="1" ht="14.4"/>
    <row r="1980" s="90" customFormat="1" ht="14.4"/>
    <row r="1981" s="90" customFormat="1" ht="14.4"/>
    <row r="1982" s="90" customFormat="1" ht="14.4"/>
    <row r="1983" s="90" customFormat="1" ht="14.4"/>
    <row r="1984" s="90" customFormat="1" ht="14.4"/>
    <row r="1985" s="90" customFormat="1" ht="14.4"/>
    <row r="1986" s="90" customFormat="1" ht="14.4"/>
    <row r="1987" s="90" customFormat="1" ht="14.4"/>
    <row r="1988" s="90" customFormat="1" ht="14.4"/>
    <row r="1989" s="90" customFormat="1" ht="14.4"/>
    <row r="1990" s="90" customFormat="1" ht="14.4"/>
    <row r="1991" s="90" customFormat="1" ht="14.4"/>
    <row r="1992" s="90" customFormat="1" ht="14.4"/>
    <row r="1993" s="90" customFormat="1" ht="14.4"/>
    <row r="1994" s="90" customFormat="1" ht="14.4"/>
    <row r="1995" s="90" customFormat="1" ht="14.4"/>
    <row r="1996" s="90" customFormat="1" ht="14.4"/>
    <row r="1997" s="90" customFormat="1" ht="14.4"/>
    <row r="1998" s="90" customFormat="1" ht="14.4"/>
    <row r="1999" s="90" customFormat="1" ht="14.4"/>
    <row r="2000" s="90" customFormat="1" ht="14.4"/>
    <row r="2001" s="90" customFormat="1" ht="14.4"/>
    <row r="2002" s="90" customFormat="1" ht="14.4"/>
    <row r="2003" s="90" customFormat="1" ht="14.4"/>
    <row r="2004" s="90" customFormat="1" ht="14.4"/>
    <row r="2005" s="90" customFormat="1" ht="14.4"/>
    <row r="2006" s="90" customFormat="1" ht="14.4"/>
    <row r="2007" s="90" customFormat="1" ht="14.4"/>
    <row r="2008" s="90" customFormat="1" ht="14.4"/>
    <row r="2009" s="90" customFormat="1" ht="14.4"/>
    <row r="2010" s="90" customFormat="1" ht="14.4"/>
    <row r="2011" s="90" customFormat="1" ht="14.4"/>
    <row r="2012" s="90" customFormat="1" ht="14.4"/>
    <row r="2013" s="90" customFormat="1" ht="14.4"/>
    <row r="2014" s="90" customFormat="1" ht="14.4"/>
    <row r="2015" s="90" customFormat="1" ht="14.4"/>
    <row r="2016" s="90" customFormat="1" ht="14.4"/>
    <row r="2017" s="90" customFormat="1" ht="14.4"/>
    <row r="2018" s="90" customFormat="1" ht="14.4"/>
    <row r="2019" s="90" customFormat="1" ht="14.4"/>
    <row r="2020" s="90" customFormat="1" ht="14.4"/>
    <row r="2021" s="90" customFormat="1" ht="14.4"/>
    <row r="2022" s="90" customFormat="1" ht="14.4"/>
    <row r="2023" s="90" customFormat="1" ht="14.4"/>
    <row r="2024" s="90" customFormat="1" ht="14.4"/>
    <row r="2025" s="90" customFormat="1" ht="14.4"/>
    <row r="2026" s="90" customFormat="1" ht="14.4"/>
    <row r="2027" s="90" customFormat="1" ht="14.4"/>
    <row r="2028" s="90" customFormat="1" ht="14.4"/>
    <row r="2029" s="90" customFormat="1" ht="14.4"/>
    <row r="2030" s="90" customFormat="1" ht="14.4"/>
    <row r="2031" s="90" customFormat="1" ht="14.4"/>
    <row r="2032" s="90" customFormat="1" ht="14.4"/>
    <row r="2033" s="90" customFormat="1" ht="14.4"/>
    <row r="2034" s="90" customFormat="1" ht="14.4"/>
    <row r="2035" s="90" customFormat="1" ht="14.4"/>
    <row r="2036" s="90" customFormat="1" ht="14.4"/>
    <row r="2037" s="90" customFormat="1" ht="14.4"/>
    <row r="2038" s="90" customFormat="1" ht="14.4"/>
    <row r="2039" s="90" customFormat="1" ht="14.4"/>
    <row r="2040" s="90" customFormat="1" ht="14.4"/>
    <row r="2041" s="90" customFormat="1" ht="14.4"/>
    <row r="2042" s="90" customFormat="1" ht="14.4"/>
    <row r="2043" s="90" customFormat="1" ht="14.4"/>
    <row r="2044" s="90" customFormat="1" ht="14.4"/>
    <row r="2045" s="90" customFormat="1" ht="14.4"/>
    <row r="2046" s="90" customFormat="1" ht="14.4"/>
    <row r="2047" s="90" customFormat="1" ht="14.4"/>
    <row r="2048" s="90" customFormat="1" ht="14.4"/>
    <row r="2049" s="90" customFormat="1" ht="14.4"/>
    <row r="2050" s="90" customFormat="1" ht="14.4"/>
    <row r="2051" s="90" customFormat="1" ht="14.4"/>
    <row r="2052" s="90" customFormat="1" ht="14.4"/>
    <row r="2053" s="90" customFormat="1" ht="14.4"/>
    <row r="2054" s="90" customFormat="1" ht="14.4"/>
    <row r="2055" s="90" customFormat="1" ht="14.4"/>
    <row r="2056" s="90" customFormat="1" ht="14.4"/>
    <row r="2057" s="90" customFormat="1" ht="14.4"/>
    <row r="2058" s="90" customFormat="1" ht="14.4"/>
    <row r="2059" s="90" customFormat="1" ht="14.4"/>
    <row r="2060" s="90" customFormat="1" ht="14.4"/>
    <row r="2061" s="90" customFormat="1" ht="14.4"/>
    <row r="2062" s="90" customFormat="1" ht="14.4"/>
    <row r="2063" s="90" customFormat="1" ht="14.4"/>
    <row r="2064" s="90" customFormat="1" ht="14.4"/>
    <row r="2065" s="90" customFormat="1" ht="14.4"/>
    <row r="2066" s="90" customFormat="1" ht="14.4"/>
    <row r="2067" s="90" customFormat="1" ht="14.4"/>
    <row r="2068" s="90" customFormat="1" ht="14.4"/>
    <row r="2069" s="90" customFormat="1" ht="14.4"/>
    <row r="2070" s="90" customFormat="1" ht="14.4"/>
    <row r="2071" s="90" customFormat="1" ht="14.4"/>
    <row r="2072" s="90" customFormat="1" ht="14.4"/>
    <row r="2073" s="90" customFormat="1" ht="14.4"/>
    <row r="2074" s="90" customFormat="1" ht="14.4"/>
    <row r="2075" s="90" customFormat="1" ht="14.4"/>
    <row r="2076" s="90" customFormat="1" ht="14.4"/>
    <row r="2077" s="90" customFormat="1" ht="14.4"/>
    <row r="2078" s="90" customFormat="1" ht="14.4"/>
    <row r="2079" s="90" customFormat="1" ht="14.4"/>
    <row r="2080" s="90" customFormat="1" ht="14.4"/>
    <row r="2081" s="90" customFormat="1" ht="14.4"/>
    <row r="2082" s="90" customFormat="1" ht="14.4"/>
    <row r="2083" s="90" customFormat="1" ht="14.4"/>
    <row r="2084" s="90" customFormat="1" ht="14.4"/>
    <row r="2085" s="90" customFormat="1" ht="14.4"/>
    <row r="2086" s="90" customFormat="1" ht="14.4"/>
    <row r="2087" s="90" customFormat="1" ht="14.4"/>
    <row r="2088" s="90" customFormat="1" ht="14.4"/>
    <row r="2089" s="90" customFormat="1" ht="14.4"/>
    <row r="2090" s="90" customFormat="1" ht="14.4"/>
    <row r="2091" s="90" customFormat="1" ht="14.4"/>
    <row r="2092" s="90" customFormat="1" ht="14.4"/>
    <row r="2093" s="90" customFormat="1" ht="14.4"/>
    <row r="2094" s="90" customFormat="1" ht="14.4"/>
    <row r="2095" s="90" customFormat="1" ht="14.4"/>
    <row r="2096" s="90" customFormat="1" ht="14.4"/>
    <row r="2097" s="90" customFormat="1" ht="14.4"/>
    <row r="2098" s="90" customFormat="1" ht="14.4"/>
    <row r="2099" s="90" customFormat="1" ht="14.4"/>
    <row r="2100" s="90" customFormat="1" ht="14.4"/>
    <row r="2101" s="90" customFormat="1" ht="14.4"/>
    <row r="2102" s="90" customFormat="1" ht="14.4"/>
    <row r="2103" s="90" customFormat="1" ht="14.4"/>
    <row r="2104" s="90" customFormat="1" ht="14.4"/>
    <row r="2105" s="90" customFormat="1" ht="14.4"/>
    <row r="2106" s="90" customFormat="1" ht="14.4"/>
    <row r="2107" s="90" customFormat="1" ht="14.4"/>
    <row r="2108" s="90" customFormat="1" ht="14.4"/>
    <row r="2109" s="90" customFormat="1" ht="14.4"/>
    <row r="2110" s="90" customFormat="1" ht="14.4"/>
    <row r="2111" s="90" customFormat="1" ht="14.4"/>
    <row r="2112" s="90" customFormat="1" ht="14.4"/>
    <row r="2113" s="90" customFormat="1" ht="14.4"/>
    <row r="2114" s="90" customFormat="1" ht="14.4"/>
    <row r="2115" s="90" customFormat="1" ht="14.4"/>
    <row r="2116" s="90" customFormat="1" ht="14.4"/>
    <row r="2117" s="90" customFormat="1" ht="14.4"/>
    <row r="2118" s="90" customFormat="1" ht="14.4"/>
    <row r="2119" s="90" customFormat="1" ht="14.4"/>
    <row r="2120" s="90" customFormat="1" ht="14.4"/>
    <row r="2121" s="90" customFormat="1" ht="14.4"/>
    <row r="2122" s="90" customFormat="1" ht="14.4"/>
    <row r="2123" s="90" customFormat="1" ht="14.4"/>
    <row r="2124" s="90" customFormat="1" ht="14.4"/>
    <row r="2125" s="90" customFormat="1" ht="14.4"/>
    <row r="2126" s="90" customFormat="1" ht="14.4"/>
    <row r="2127" s="90" customFormat="1" ht="14.4"/>
    <row r="2128" s="90" customFormat="1" ht="14.4"/>
    <row r="2129" s="90" customFormat="1" ht="14.4"/>
    <row r="2130" s="90" customFormat="1" ht="14.4"/>
    <row r="2131" s="90" customFormat="1" ht="14.4"/>
    <row r="2132" s="90" customFormat="1" ht="14.4"/>
    <row r="2133" s="90" customFormat="1" ht="14.4"/>
    <row r="2134" s="90" customFormat="1" ht="14.4"/>
    <row r="2135" s="90" customFormat="1" ht="14.4"/>
    <row r="2136" s="90" customFormat="1" ht="14.4"/>
    <row r="2137" s="90" customFormat="1" ht="14.4"/>
    <row r="2138" s="90" customFormat="1" ht="14.4"/>
    <row r="2139" s="90" customFormat="1" ht="14.4"/>
    <row r="2140" s="90" customFormat="1" ht="14.4"/>
    <row r="2141" s="90" customFormat="1" ht="14.4"/>
    <row r="2142" s="90" customFormat="1" ht="14.4"/>
    <row r="2143" s="90" customFormat="1" ht="14.4"/>
    <row r="2144" s="90" customFormat="1" ht="14.4"/>
    <row r="2145" s="90" customFormat="1" ht="14.4"/>
    <row r="2146" s="90" customFormat="1" ht="14.4"/>
    <row r="2147" s="90" customFormat="1" ht="14.4"/>
    <row r="2148" s="90" customFormat="1" ht="14.4"/>
    <row r="2149" s="90" customFormat="1" ht="14.4"/>
    <row r="2150" s="90" customFormat="1" ht="14.4"/>
    <row r="2151" s="90" customFormat="1" ht="14.4"/>
    <row r="2152" s="90" customFormat="1" ht="14.4"/>
    <row r="2153" s="90" customFormat="1" ht="14.4"/>
    <row r="2154" s="90" customFormat="1" ht="14.4"/>
    <row r="2155" s="90" customFormat="1" ht="14.4"/>
    <row r="2156" s="90" customFormat="1" ht="14.4"/>
    <row r="2157" s="90" customFormat="1" ht="14.4"/>
    <row r="2158" s="90" customFormat="1" ht="14.4"/>
    <row r="2159" s="90" customFormat="1" ht="14.4"/>
    <row r="2160" s="90" customFormat="1" ht="14.4"/>
    <row r="2161" s="90" customFormat="1" ht="14.4"/>
    <row r="2162" s="90" customFormat="1" ht="14.4"/>
    <row r="2163" s="90" customFormat="1" ht="14.4"/>
    <row r="2164" s="90" customFormat="1" ht="14.4"/>
    <row r="2165" s="90" customFormat="1" ht="14.4"/>
    <row r="2166" s="90" customFormat="1" ht="14.4"/>
    <row r="2167" s="90" customFormat="1" ht="14.4"/>
    <row r="2168" s="90" customFormat="1" ht="14.4"/>
    <row r="2169" s="90" customFormat="1" ht="14.4"/>
    <row r="2170" s="90" customFormat="1" ht="14.4"/>
    <row r="2171" s="90" customFormat="1" ht="14.4"/>
    <row r="2172" s="90" customFormat="1" ht="14.4"/>
    <row r="2173" s="90" customFormat="1" ht="14.4"/>
    <row r="2174" s="90" customFormat="1" ht="14.4"/>
    <row r="2175" s="90" customFormat="1" ht="14.4"/>
    <row r="2176" s="90" customFormat="1" ht="14.4"/>
    <row r="2177" s="90" customFormat="1" ht="14.4"/>
    <row r="2178" s="90" customFormat="1" ht="14.4"/>
    <row r="2179" s="90" customFormat="1" ht="14.4"/>
    <row r="2180" s="90" customFormat="1" ht="14.4"/>
    <row r="2181" s="90" customFormat="1" ht="14.4"/>
    <row r="2182" s="90" customFormat="1" ht="14.4"/>
    <row r="2183" s="90" customFormat="1" ht="14.4"/>
    <row r="2184" s="90" customFormat="1" ht="14.4"/>
    <row r="2185" s="90" customFormat="1" ht="14.4"/>
    <row r="2186" s="90" customFormat="1" ht="14.4"/>
    <row r="2187" s="90" customFormat="1" ht="14.4"/>
    <row r="2188" s="90" customFormat="1" ht="14.4"/>
    <row r="2189" s="90" customFormat="1" ht="14.4"/>
    <row r="2190" s="90" customFormat="1" ht="14.4"/>
    <row r="2191" s="90" customFormat="1" ht="14.4"/>
    <row r="2192" s="90" customFormat="1" ht="14.4"/>
    <row r="2193" s="90" customFormat="1" ht="14.4"/>
    <row r="2194" s="90" customFormat="1" ht="14.4"/>
    <row r="2195" s="90" customFormat="1" ht="14.4"/>
    <row r="2196" s="90" customFormat="1" ht="14.4"/>
    <row r="2197" s="90" customFormat="1" ht="14.4"/>
    <row r="2198" s="90" customFormat="1" ht="14.4"/>
    <row r="2199" s="90" customFormat="1" ht="14.4"/>
    <row r="2200" s="90" customFormat="1" ht="14.4"/>
    <row r="2201" s="90" customFormat="1" ht="14.4"/>
    <row r="2202" s="90" customFormat="1" ht="14.4"/>
    <row r="2203" s="90" customFormat="1" ht="14.4"/>
    <row r="2204" s="90" customFormat="1" ht="14.4"/>
    <row r="2205" s="90" customFormat="1" ht="14.4"/>
    <row r="2206" s="90" customFormat="1" ht="14.4"/>
    <row r="2207" s="90" customFormat="1" ht="14.4"/>
    <row r="2208" s="90" customFormat="1" ht="14.4"/>
    <row r="2209" s="90" customFormat="1" ht="14.4"/>
    <row r="2210" s="90" customFormat="1" ht="14.4"/>
    <row r="2211" s="90" customFormat="1" ht="14.4"/>
    <row r="2212" s="90" customFormat="1" ht="14.4"/>
    <row r="2213" s="90" customFormat="1" ht="14.4"/>
    <row r="2214" s="90" customFormat="1" ht="14.4"/>
    <row r="2215" s="90" customFormat="1" ht="14.4"/>
    <row r="2216" s="90" customFormat="1" ht="14.4"/>
    <row r="2217" s="90" customFormat="1" ht="14.4"/>
    <row r="2218" s="90" customFormat="1" ht="14.4"/>
    <row r="2219" s="90" customFormat="1" ht="14.4"/>
    <row r="2220" s="90" customFormat="1" ht="14.4"/>
    <row r="2221" s="90" customFormat="1" ht="14.4"/>
    <row r="2222" s="90" customFormat="1" ht="14.4"/>
    <row r="2223" s="90" customFormat="1" ht="14.4"/>
    <row r="2224" s="90" customFormat="1" ht="14.4"/>
    <row r="2225" s="90" customFormat="1" ht="14.4"/>
    <row r="2226" s="90" customFormat="1" ht="14.4"/>
    <row r="2227" s="90" customFormat="1" ht="14.4"/>
    <row r="2228" s="90" customFormat="1" ht="14.4"/>
    <row r="2229" s="90" customFormat="1" ht="14.4"/>
    <row r="2230" s="90" customFormat="1" ht="14.4"/>
    <row r="2231" s="90" customFormat="1" ht="14.4"/>
    <row r="2232" s="90" customFormat="1" ht="14.4"/>
    <row r="2233" s="90" customFormat="1" ht="14.4"/>
    <row r="2234" s="90" customFormat="1" ht="14.4"/>
    <row r="2235" s="90" customFormat="1" ht="14.4"/>
    <row r="2236" s="90" customFormat="1" ht="14.4"/>
    <row r="2237" s="90" customFormat="1" ht="14.4"/>
    <row r="2238" s="90" customFormat="1" ht="14.4"/>
    <row r="2239" s="90" customFormat="1" ht="14.4"/>
    <row r="2240" s="90" customFormat="1" ht="14.4"/>
    <row r="2241" s="90" customFormat="1" ht="14.4"/>
    <row r="2242" s="90" customFormat="1" ht="14.4"/>
    <row r="2243" s="90" customFormat="1" ht="14.4"/>
    <row r="2244" s="90" customFormat="1" ht="14.4"/>
    <row r="2245" s="90" customFormat="1" ht="14.4"/>
    <row r="2246" s="90" customFormat="1" ht="14.4"/>
    <row r="2247" s="90" customFormat="1" ht="14.4"/>
    <row r="2248" s="90" customFormat="1" ht="14.4"/>
    <row r="2249" s="90" customFormat="1" ht="14.4"/>
    <row r="2250" s="90" customFormat="1" ht="14.4"/>
    <row r="2251" s="90" customFormat="1" ht="14.4"/>
    <row r="2252" s="90" customFormat="1" ht="14.4"/>
    <row r="2253" s="90" customFormat="1" ht="14.4"/>
    <row r="2254" s="90" customFormat="1" ht="14.4"/>
    <row r="2255" s="90" customFormat="1" ht="14.4"/>
    <row r="2256" s="90" customFormat="1" ht="14.4"/>
    <row r="2257" s="90" customFormat="1" ht="14.4"/>
    <row r="2258" s="90" customFormat="1" ht="14.4"/>
    <row r="2259" s="90" customFormat="1" ht="14.4"/>
    <row r="2260" s="90" customFormat="1" ht="14.4"/>
    <row r="2261" s="90" customFormat="1" ht="14.4"/>
    <row r="2262" s="90" customFormat="1" ht="14.4"/>
    <row r="2263" s="90" customFormat="1" ht="14.4"/>
    <row r="2264" s="90" customFormat="1" ht="14.4"/>
    <row r="2265" s="90" customFormat="1" ht="14.4"/>
    <row r="2266" s="90" customFormat="1" ht="14.4"/>
    <row r="2267" s="90" customFormat="1" ht="14.4"/>
    <row r="2268" s="90" customFormat="1" ht="14.4"/>
    <row r="2269" s="90" customFormat="1" ht="14.4"/>
    <row r="2270" s="90" customFormat="1" ht="14.4"/>
    <row r="2271" s="90" customFormat="1" ht="14.4"/>
    <row r="2272" s="90" customFormat="1" ht="14.4"/>
    <row r="2273" s="90" customFormat="1" ht="14.4"/>
    <row r="2274" s="90" customFormat="1" ht="14.4"/>
    <row r="2275" s="90" customFormat="1" ht="14.4"/>
    <row r="2276" s="90" customFormat="1" ht="14.4"/>
    <row r="2277" s="90" customFormat="1" ht="14.4"/>
    <row r="2278" s="90" customFormat="1" ht="14.4"/>
    <row r="2279" s="90" customFormat="1" ht="14.4"/>
    <row r="2280" s="90" customFormat="1" ht="14.4"/>
    <row r="2281" s="90" customFormat="1" ht="14.4"/>
    <row r="2282" s="90" customFormat="1" ht="14.4"/>
    <row r="2283" s="90" customFormat="1" ht="14.4"/>
    <row r="2284" s="90" customFormat="1" ht="14.4"/>
    <row r="2285" s="90" customFormat="1" ht="14.4"/>
    <row r="2286" s="90" customFormat="1" ht="14.4"/>
    <row r="2287" s="90" customFormat="1" ht="14.4"/>
    <row r="2288" s="90" customFormat="1" ht="14.4"/>
    <row r="2289" s="90" customFormat="1" ht="14.4"/>
    <row r="2290" s="90" customFormat="1" ht="14.4"/>
    <row r="2291" s="90" customFormat="1" ht="14.4"/>
    <row r="2292" s="90" customFormat="1" ht="14.4"/>
    <row r="2293" s="90" customFormat="1" ht="14.4"/>
    <row r="2294" s="90" customFormat="1" ht="14.4"/>
    <row r="2295" s="90" customFormat="1" ht="14.4"/>
    <row r="2296" s="90" customFormat="1" ht="14.4"/>
    <row r="2297" s="90" customFormat="1" ht="14.4"/>
    <row r="2298" s="90" customFormat="1" ht="14.4"/>
    <row r="2299" s="90" customFormat="1" ht="14.4"/>
    <row r="2300" s="90" customFormat="1" ht="14.4"/>
    <row r="2301" s="90" customFormat="1" ht="14.4"/>
    <row r="2302" s="90" customFormat="1" ht="14.4"/>
    <row r="2303" s="90" customFormat="1" ht="14.4"/>
    <row r="2304" s="90" customFormat="1" ht="14.4"/>
    <row r="2305" s="90" customFormat="1" ht="14.4"/>
    <row r="2306" s="90" customFormat="1" ht="14.4"/>
    <row r="2307" s="90" customFormat="1" ht="14.4"/>
    <row r="2308" s="90" customFormat="1" ht="14.4"/>
  </sheetData>
  <sheetProtection algorithmName="SHA-512" hashValue="mZ1gcZ5VCjEbdN5tgucl1EgihBa8R0Za1hLv4UxZZUQkgghRTk//IIirr+j2yri/QE1pIohnaYClsGp+qSubMQ==" saltValue="L8mWvuXYe8ev4uwefdUS7w==" spinCount="100000" sheet="1" formatCells="0" formatColumns="0" formatRows="0" insertRows="0" insertColumns="0" autoFilter="0" objects="1" scenarios="1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04"/>
  <sheetViews>
    <sheetView workbookViewId="0">
      <selection activeCell="J31" sqref="J31"/>
    </sheetView>
  </sheetViews>
  <sheetFormatPr defaultColWidth="9" defaultRowHeight="15.6" outlineLevelCol="6"/>
  <cols>
    <col min="1" max="1" width="8.88888888888889" style="74"/>
    <col min="2" max="3" width="11.6666666666667" style="74" customWidth="1"/>
    <col min="4" max="5" width="13.8888888888889" style="74" customWidth="1"/>
    <col min="6" max="6" width="14.2222222222222" style="74" customWidth="1"/>
    <col min="7" max="7" width="13.8888888888889" style="90" customWidth="1"/>
    <col min="8" max="16384" width="8.88888888888889" style="90"/>
  </cols>
  <sheetData>
    <row r="1" spans="1:7">
      <c r="A1" s="78" t="s">
        <v>100</v>
      </c>
      <c r="B1" s="79"/>
      <c r="C1" s="79"/>
      <c r="D1" s="79"/>
      <c r="E1" s="79"/>
      <c r="F1" s="79"/>
      <c r="G1" s="91"/>
    </row>
    <row r="2" spans="1:7">
      <c r="A2" s="78" t="s">
        <v>101</v>
      </c>
      <c r="B2" s="79"/>
      <c r="C2" s="79"/>
      <c r="D2" s="79"/>
      <c r="E2" s="79"/>
      <c r="F2" s="79"/>
      <c r="G2" s="91"/>
    </row>
    <row r="3" spans="1:7">
      <c r="A3" s="92" t="s">
        <v>102</v>
      </c>
      <c r="B3" s="85" t="s">
        <v>105</v>
      </c>
      <c r="C3" s="85" t="s">
        <v>106</v>
      </c>
      <c r="D3" s="85" t="s">
        <v>320</v>
      </c>
      <c r="E3" s="85" t="s">
        <v>318</v>
      </c>
      <c r="F3" s="85" t="s">
        <v>310</v>
      </c>
      <c r="G3" s="85" t="s">
        <v>315</v>
      </c>
    </row>
    <row r="4" spans="1:7">
      <c r="A4" s="74" t="s">
        <v>113</v>
      </c>
      <c r="B4" s="74" t="s">
        <v>86</v>
      </c>
      <c r="C4" s="93" t="s">
        <v>88</v>
      </c>
      <c r="D4" s="74" t="s">
        <v>321</v>
      </c>
      <c r="F4" s="87">
        <v>44227</v>
      </c>
      <c r="G4" s="94">
        <v>39800</v>
      </c>
    </row>
    <row r="5" spans="1:7">
      <c r="A5" s="74" t="s">
        <v>309</v>
      </c>
      <c r="B5" s="74" t="s">
        <v>86</v>
      </c>
      <c r="C5" s="93" t="s">
        <v>88</v>
      </c>
      <c r="D5" s="74" t="s">
        <v>322</v>
      </c>
      <c r="F5" s="87">
        <v>44865</v>
      </c>
      <c r="G5" s="94">
        <v>120000</v>
      </c>
    </row>
    <row r="6" spans="1:7">
      <c r="A6" s="74" t="s">
        <v>113</v>
      </c>
      <c r="B6" s="74" t="s">
        <v>86</v>
      </c>
      <c r="C6" s="93" t="s">
        <v>88</v>
      </c>
      <c r="D6" s="74" t="s">
        <v>323</v>
      </c>
      <c r="F6" s="87">
        <v>43861</v>
      </c>
      <c r="G6" s="94">
        <v>80000</v>
      </c>
    </row>
    <row r="7" spans="1:7">
      <c r="A7" s="74" t="s">
        <v>113</v>
      </c>
      <c r="B7" s="74" t="s">
        <v>86</v>
      </c>
      <c r="C7" s="93" t="s">
        <v>88</v>
      </c>
      <c r="D7" s="74" t="s">
        <v>324</v>
      </c>
      <c r="F7" s="87">
        <v>43862</v>
      </c>
      <c r="G7" s="94">
        <v>30000</v>
      </c>
    </row>
    <row r="8" spans="1:7">
      <c r="A8" s="74" t="s">
        <v>308</v>
      </c>
      <c r="B8" s="74" t="s">
        <v>86</v>
      </c>
      <c r="C8" s="93" t="s">
        <v>88</v>
      </c>
      <c r="D8" s="74" t="s">
        <v>321</v>
      </c>
      <c r="F8" s="87">
        <v>44561</v>
      </c>
      <c r="G8" s="94">
        <v>29800</v>
      </c>
    </row>
    <row r="9" ht="14.4" spans="1:6">
      <c r="A9" s="90"/>
      <c r="B9" s="90"/>
      <c r="C9" s="90"/>
      <c r="D9" s="90"/>
      <c r="E9" s="90"/>
      <c r="F9" s="90"/>
    </row>
    <row r="10" ht="14.4" spans="1:6">
      <c r="A10" s="90"/>
      <c r="B10" s="90"/>
      <c r="C10" s="90"/>
      <c r="D10" s="90"/>
      <c r="E10" s="90"/>
      <c r="F10" s="90"/>
    </row>
    <row r="11" ht="14.4" spans="1:6">
      <c r="A11" s="90"/>
      <c r="B11" s="90"/>
      <c r="C11" s="90"/>
      <c r="D11" s="90"/>
      <c r="E11" s="90"/>
      <c r="F11" s="90"/>
    </row>
    <row r="12" ht="14.4" spans="1:6">
      <c r="A12" s="90"/>
      <c r="B12" s="90"/>
      <c r="C12" s="90"/>
      <c r="D12" s="90"/>
      <c r="E12" s="90"/>
      <c r="F12" s="90"/>
    </row>
    <row r="13" ht="14.4" spans="1:6">
      <c r="A13" s="90"/>
      <c r="B13" s="90"/>
      <c r="C13" s="90"/>
      <c r="D13" s="90"/>
      <c r="E13" s="90"/>
      <c r="F13" s="90"/>
    </row>
    <row r="14" ht="14.4" spans="1:6">
      <c r="A14" s="90"/>
      <c r="B14" s="90"/>
      <c r="C14" s="90"/>
      <c r="D14" s="90"/>
      <c r="E14" s="90"/>
      <c r="F14" s="90"/>
    </row>
    <row r="15" ht="14.4" spans="1:6">
      <c r="A15" s="90"/>
      <c r="B15" s="90"/>
      <c r="C15" s="90"/>
      <c r="D15" s="90"/>
      <c r="E15" s="90"/>
      <c r="F15" s="90"/>
    </row>
    <row r="16" ht="14.4" spans="1:6">
      <c r="A16" s="90"/>
      <c r="B16" s="90"/>
      <c r="C16" s="90"/>
      <c r="D16" s="90"/>
      <c r="E16" s="90"/>
      <c r="F16" s="90"/>
    </row>
    <row r="17" s="90" customFormat="1" ht="14.4"/>
    <row r="18" s="90" customFormat="1" ht="14.4"/>
    <row r="19" s="90" customFormat="1" ht="14.4"/>
    <row r="20" s="90" customFormat="1" ht="14.4"/>
    <row r="21" s="90" customFormat="1" ht="14.4"/>
    <row r="22" s="90" customFormat="1" ht="14.4"/>
    <row r="23" s="90" customFormat="1" ht="14.4"/>
    <row r="24" s="90" customFormat="1" ht="14.4"/>
    <row r="25" s="90" customFormat="1" ht="14.4"/>
    <row r="26" s="90" customFormat="1" ht="14.4"/>
    <row r="27" s="90" customFormat="1" ht="14.4"/>
    <row r="28" s="90" customFormat="1" ht="14.4"/>
    <row r="29" s="90" customFormat="1" ht="14.4"/>
    <row r="30" s="90" customFormat="1" ht="14.4"/>
    <row r="31" s="90" customFormat="1" ht="14.4"/>
    <row r="32" s="90" customFormat="1" ht="14.4"/>
    <row r="33" s="90" customFormat="1" ht="14.4"/>
    <row r="34" s="90" customFormat="1" ht="14.4"/>
    <row r="35" s="90" customFormat="1" ht="14.4"/>
    <row r="36" s="90" customFormat="1" ht="14.4"/>
    <row r="37" s="90" customFormat="1" ht="14.4"/>
    <row r="38" s="90" customFormat="1" ht="14.4"/>
    <row r="39" s="90" customFormat="1" ht="14.4"/>
    <row r="40" s="90" customFormat="1" ht="14.4"/>
    <row r="41" s="90" customFormat="1" ht="14.4"/>
    <row r="42" s="90" customFormat="1" ht="14.4"/>
    <row r="43" s="90" customFormat="1" ht="14.4"/>
    <row r="44" s="90" customFormat="1" ht="14.4"/>
    <row r="45" s="90" customFormat="1" ht="14.4"/>
    <row r="46" s="90" customFormat="1" ht="14.4"/>
    <row r="47" s="90" customFormat="1" ht="14.4"/>
    <row r="48" s="90" customFormat="1" ht="14.4"/>
    <row r="49" s="90" customFormat="1" ht="14.4"/>
    <row r="50" s="90" customFormat="1" ht="14.4"/>
    <row r="51" s="90" customFormat="1" ht="14.4"/>
    <row r="52" s="90" customFormat="1" ht="14.4"/>
    <row r="53" s="90" customFormat="1" ht="14.4"/>
    <row r="54" s="90" customFormat="1" ht="14.4"/>
    <row r="55" s="90" customFormat="1" ht="14.4"/>
    <row r="56" s="90" customFormat="1" ht="14.4"/>
    <row r="57" s="90" customFormat="1" ht="14.4"/>
    <row r="58" s="90" customFormat="1" ht="14.4"/>
    <row r="59" s="90" customFormat="1" ht="14.4"/>
    <row r="60" s="90" customFormat="1" ht="14.4"/>
    <row r="61" s="90" customFormat="1" ht="14.4"/>
    <row r="62" s="90" customFormat="1" ht="14.4"/>
    <row r="63" s="90" customFormat="1" ht="14.4"/>
    <row r="64" s="90" customFormat="1" ht="14.4"/>
    <row r="65" s="90" customFormat="1" ht="14.4"/>
    <row r="66" s="90" customFormat="1" ht="14.4"/>
    <row r="67" s="90" customFormat="1" ht="14.4"/>
    <row r="68" s="90" customFormat="1" ht="14.4"/>
    <row r="69" s="90" customFormat="1" ht="14.4"/>
    <row r="70" s="90" customFormat="1" ht="14.4"/>
    <row r="71" s="90" customFormat="1" ht="14.4"/>
    <row r="72" s="90" customFormat="1" ht="14.4"/>
    <row r="73" s="90" customFormat="1" ht="14.4"/>
    <row r="74" s="90" customFormat="1" ht="14.4"/>
    <row r="75" s="90" customFormat="1" ht="14.4"/>
    <row r="76" s="90" customFormat="1" ht="14.4"/>
    <row r="77" s="90" customFormat="1" ht="14.4"/>
    <row r="78" s="90" customFormat="1" ht="14.4"/>
    <row r="79" s="90" customFormat="1" ht="14.4"/>
    <row r="80" s="90" customFormat="1" ht="14.4"/>
    <row r="81" s="90" customFormat="1" ht="14.4"/>
    <row r="82" s="90" customFormat="1" ht="14.4"/>
    <row r="83" s="90" customFormat="1" ht="14.4"/>
    <row r="84" s="90" customFormat="1" ht="14.4"/>
    <row r="85" s="90" customFormat="1" ht="14.4"/>
    <row r="86" s="90" customFormat="1" ht="14.4"/>
    <row r="87" s="90" customFormat="1" ht="14.4"/>
    <row r="88" s="90" customFormat="1" ht="14.4"/>
    <row r="89" s="90" customFormat="1" ht="14.4"/>
    <row r="90" s="90" customFormat="1" ht="14.4"/>
    <row r="91" s="90" customFormat="1" ht="14.4"/>
    <row r="92" s="90" customFormat="1" ht="14.4"/>
    <row r="93" s="90" customFormat="1" ht="14.4"/>
    <row r="94" s="90" customFormat="1" ht="14.4"/>
    <row r="95" s="90" customFormat="1" ht="14.4"/>
    <row r="96" s="90" customFormat="1" ht="14.4"/>
    <row r="97" s="90" customFormat="1" ht="14.4"/>
    <row r="98" s="90" customFormat="1" ht="14.4"/>
    <row r="99" s="90" customFormat="1" ht="14.4"/>
    <row r="100" s="90" customFormat="1" ht="14.4"/>
    <row r="101" s="90" customFormat="1" ht="14.4"/>
    <row r="102" s="90" customFormat="1" ht="14.4"/>
    <row r="103" s="90" customFormat="1" ht="14.4"/>
    <row r="104" s="90" customFormat="1" ht="14.4"/>
    <row r="105" s="90" customFormat="1" ht="14.4"/>
    <row r="106" s="90" customFormat="1" ht="14.4"/>
    <row r="107" s="90" customFormat="1" ht="14.4"/>
    <row r="108" s="90" customFormat="1" ht="14.4"/>
    <row r="109" s="90" customFormat="1" ht="14.4"/>
    <row r="110" s="90" customFormat="1" ht="14.4"/>
    <row r="111" s="90" customFormat="1" ht="14.4"/>
    <row r="112" s="90" customFormat="1" ht="14.4"/>
    <row r="113" s="90" customFormat="1" ht="14.4"/>
    <row r="114" s="90" customFormat="1" ht="14.4"/>
    <row r="115" s="90" customFormat="1" ht="14.4"/>
    <row r="116" s="90" customFormat="1" ht="14.4"/>
    <row r="117" s="90" customFormat="1" ht="14.4"/>
    <row r="118" s="90" customFormat="1" ht="14.4"/>
    <row r="119" s="90" customFormat="1" ht="14.4"/>
    <row r="120" s="90" customFormat="1" ht="14.4"/>
    <row r="121" s="90" customFormat="1" ht="14.4"/>
    <row r="122" s="90" customFormat="1" ht="14.4"/>
    <row r="123" s="90" customFormat="1" ht="14.4"/>
    <row r="124" s="90" customFormat="1" ht="14.4"/>
    <row r="125" s="90" customFormat="1" ht="14.4"/>
    <row r="126" s="90" customFormat="1" ht="14.4"/>
    <row r="127" s="90" customFormat="1" ht="14.4"/>
    <row r="128" s="90" customFormat="1" ht="14.4"/>
    <row r="129" s="90" customFormat="1" ht="14.4"/>
    <row r="130" s="90" customFormat="1" ht="14.4"/>
    <row r="131" s="90" customFormat="1" ht="14.4"/>
    <row r="132" s="90" customFormat="1" ht="14.4"/>
    <row r="133" s="90" customFormat="1" ht="14.4"/>
    <row r="134" s="90" customFormat="1" ht="14.4"/>
    <row r="135" s="90" customFormat="1" ht="14.4"/>
    <row r="136" s="90" customFormat="1" ht="14.4"/>
    <row r="137" s="90" customFormat="1" ht="14.4"/>
    <row r="138" s="90" customFormat="1" ht="14.4"/>
    <row r="139" s="90" customFormat="1" ht="14.4"/>
    <row r="140" s="90" customFormat="1" ht="14.4"/>
    <row r="141" s="90" customFormat="1" ht="14.4"/>
    <row r="142" s="90" customFormat="1" ht="14.4"/>
    <row r="143" s="90" customFormat="1" ht="14.4"/>
    <row r="144" s="90" customFormat="1" ht="14.4"/>
    <row r="145" s="90" customFormat="1" ht="14.4"/>
    <row r="146" s="90" customFormat="1" ht="14.4"/>
    <row r="147" s="90" customFormat="1" ht="14.4"/>
    <row r="148" s="90" customFormat="1" ht="14.4"/>
    <row r="149" s="90" customFormat="1" ht="14.4"/>
    <row r="150" s="90" customFormat="1" ht="14.4"/>
    <row r="151" s="90" customFormat="1" ht="14.4"/>
    <row r="152" s="90" customFormat="1" ht="14.4"/>
    <row r="153" s="90" customFormat="1" ht="14.4"/>
    <row r="154" s="90" customFormat="1" ht="14.4"/>
    <row r="155" s="90" customFormat="1" ht="14.4"/>
    <row r="156" s="90" customFormat="1" ht="14.4"/>
    <row r="157" s="90" customFormat="1" ht="14.4"/>
    <row r="158" s="90" customFormat="1" ht="14.4"/>
    <row r="159" s="90" customFormat="1" ht="14.4"/>
    <row r="160" s="90" customFormat="1" ht="14.4"/>
    <row r="161" s="90" customFormat="1" ht="14.4"/>
    <row r="162" s="90" customFormat="1" ht="14.4"/>
    <row r="163" s="90" customFormat="1" ht="14.4"/>
    <row r="164" s="90" customFormat="1" ht="14.4"/>
    <row r="165" s="90" customFormat="1" ht="14.4"/>
    <row r="166" s="90" customFormat="1" ht="14.4"/>
    <row r="167" s="90" customFormat="1" ht="14.4"/>
    <row r="168" s="90" customFormat="1" ht="14.4"/>
    <row r="169" s="90" customFormat="1" ht="14.4"/>
    <row r="170" s="90" customFormat="1" ht="14.4"/>
    <row r="171" s="90" customFormat="1" ht="14.4"/>
    <row r="172" s="90" customFormat="1" ht="14.4"/>
    <row r="173" s="90" customFormat="1" ht="14.4"/>
    <row r="174" s="90" customFormat="1" ht="14.4"/>
    <row r="175" s="90" customFormat="1" ht="14.4"/>
    <row r="176" s="90" customFormat="1" ht="14.4"/>
    <row r="177" s="90" customFormat="1" ht="14.4"/>
    <row r="178" s="90" customFormat="1" ht="14.4"/>
    <row r="179" s="90" customFormat="1" ht="14.4"/>
    <row r="180" s="90" customFormat="1" ht="14.4"/>
    <row r="181" s="90" customFormat="1" ht="14.4"/>
    <row r="182" s="90" customFormat="1" ht="14.4"/>
    <row r="183" s="90" customFormat="1" ht="14.4"/>
    <row r="184" s="90" customFormat="1" ht="14.4"/>
    <row r="185" s="90" customFormat="1" ht="14.4"/>
    <row r="186" s="90" customFormat="1" ht="14.4"/>
    <row r="187" s="90" customFormat="1" ht="14.4"/>
    <row r="188" s="90" customFormat="1" ht="14.4"/>
    <row r="189" s="90" customFormat="1" ht="14.4"/>
    <row r="190" s="90" customFormat="1" ht="14.4"/>
    <row r="191" s="90" customFormat="1" ht="14.4"/>
    <row r="192" s="90" customFormat="1" ht="14.4"/>
    <row r="193" s="90" customFormat="1" ht="14.4"/>
    <row r="194" s="90" customFormat="1" ht="14.4"/>
    <row r="195" s="90" customFormat="1" ht="14.4"/>
    <row r="196" s="90" customFormat="1" ht="14.4"/>
    <row r="197" s="90" customFormat="1" ht="14.4"/>
    <row r="198" s="90" customFormat="1" ht="14.4"/>
    <row r="199" s="90" customFormat="1" ht="14.4"/>
    <row r="200" s="90" customFormat="1" ht="14.4"/>
    <row r="201" s="90" customFormat="1" ht="14.4"/>
    <row r="202" s="90" customFormat="1" ht="14.4"/>
    <row r="203" s="90" customFormat="1" ht="14.4"/>
    <row r="204" s="90" customFormat="1" ht="14.4"/>
    <row r="205" s="90" customFormat="1" ht="14.4"/>
    <row r="206" s="90" customFormat="1" ht="14.4"/>
    <row r="207" s="90" customFormat="1" ht="14.4"/>
    <row r="208" s="90" customFormat="1" ht="14.4"/>
    <row r="209" s="90" customFormat="1" ht="14.4"/>
    <row r="210" s="90" customFormat="1" ht="14.4"/>
    <row r="211" s="90" customFormat="1" ht="14.4"/>
    <row r="212" s="90" customFormat="1" ht="14.4"/>
    <row r="213" s="90" customFormat="1" ht="14.4"/>
    <row r="214" s="90" customFormat="1" ht="14.4"/>
    <row r="215" s="90" customFormat="1" ht="14.4"/>
    <row r="216" s="90" customFormat="1" ht="14.4"/>
    <row r="217" s="90" customFormat="1" ht="14.4"/>
    <row r="218" s="90" customFormat="1" ht="14.4"/>
    <row r="219" s="90" customFormat="1" ht="14.4"/>
    <row r="220" s="90" customFormat="1" ht="14.4"/>
    <row r="221" s="90" customFormat="1" ht="14.4"/>
    <row r="222" s="90" customFormat="1" ht="14.4"/>
    <row r="223" s="90" customFormat="1" ht="14.4"/>
    <row r="224" s="90" customFormat="1" ht="14.4"/>
    <row r="225" s="90" customFormat="1" ht="14.4"/>
    <row r="226" s="90" customFormat="1" ht="14.4"/>
    <row r="227" s="90" customFormat="1" ht="14.4"/>
    <row r="228" s="90" customFormat="1" ht="14.4"/>
    <row r="229" s="90" customFormat="1" ht="14.4"/>
    <row r="230" s="90" customFormat="1" ht="14.4"/>
    <row r="231" s="90" customFormat="1" ht="14.4"/>
    <row r="232" s="90" customFormat="1" ht="14.4"/>
    <row r="233" s="90" customFormat="1" ht="14.4"/>
    <row r="234" s="90" customFormat="1" ht="14.4"/>
    <row r="235" s="90" customFormat="1" ht="14.4"/>
    <row r="236" s="90" customFormat="1" ht="14.4"/>
    <row r="237" s="90" customFormat="1" ht="14.4"/>
    <row r="238" s="90" customFormat="1" ht="14.4"/>
    <row r="239" s="90" customFormat="1" ht="14.4"/>
    <row r="240" s="90" customFormat="1" ht="14.4"/>
    <row r="241" s="90" customFormat="1" ht="14.4"/>
    <row r="242" s="90" customFormat="1" ht="14.4"/>
    <row r="243" s="90" customFormat="1" ht="14.4"/>
    <row r="244" s="90" customFormat="1" ht="14.4"/>
    <row r="245" s="90" customFormat="1" ht="14.4"/>
    <row r="246" s="90" customFormat="1" ht="14.4"/>
    <row r="247" s="90" customFormat="1" ht="14.4"/>
    <row r="248" s="90" customFormat="1" ht="14.4"/>
    <row r="249" s="90" customFormat="1" ht="14.4"/>
    <row r="250" s="90" customFormat="1" ht="14.4"/>
    <row r="251" s="90" customFormat="1" ht="14.4"/>
    <row r="252" s="90" customFormat="1" ht="14.4"/>
    <row r="253" s="90" customFormat="1" ht="14.4"/>
    <row r="254" s="90" customFormat="1" ht="14.4"/>
    <row r="255" s="90" customFormat="1" ht="14.4"/>
    <row r="256" s="90" customFormat="1" ht="14.4"/>
    <row r="257" s="90" customFormat="1" ht="14.4"/>
    <row r="258" s="90" customFormat="1" ht="14.4"/>
    <row r="259" s="90" customFormat="1" ht="14.4"/>
    <row r="260" s="90" customFormat="1" ht="14.4"/>
    <row r="261" s="90" customFormat="1" ht="14.4"/>
    <row r="262" s="90" customFormat="1" ht="14.4"/>
    <row r="263" s="90" customFormat="1" ht="14.4"/>
    <row r="264" s="90" customFormat="1" ht="14.4"/>
    <row r="265" s="90" customFormat="1" ht="14.4"/>
    <row r="266" s="90" customFormat="1" ht="14.4"/>
    <row r="267" s="90" customFormat="1" ht="14.4"/>
    <row r="268" s="90" customFormat="1" ht="14.4"/>
    <row r="269" s="90" customFormat="1" ht="14.4"/>
    <row r="270" s="90" customFormat="1" ht="14.4"/>
    <row r="271" s="90" customFormat="1" ht="14.4"/>
    <row r="272" s="90" customFormat="1" ht="14.4"/>
    <row r="273" s="90" customFormat="1" ht="14.4"/>
    <row r="274" s="90" customFormat="1" ht="14.4"/>
    <row r="275" s="90" customFormat="1" ht="14.4"/>
    <row r="276" s="90" customFormat="1" ht="14.4"/>
    <row r="277" s="90" customFormat="1" ht="14.4"/>
    <row r="278" s="90" customFormat="1" ht="14.4"/>
    <row r="279" s="90" customFormat="1" ht="14.4"/>
    <row r="280" s="90" customFormat="1" ht="14.4"/>
    <row r="281" s="90" customFormat="1" ht="14.4"/>
    <row r="282" s="90" customFormat="1" ht="14.4"/>
    <row r="283" s="90" customFormat="1" ht="14.4"/>
    <row r="284" s="90" customFormat="1" ht="14.4"/>
    <row r="285" s="90" customFormat="1" ht="14.4"/>
    <row r="286" s="90" customFormat="1" ht="14.4"/>
    <row r="287" s="90" customFormat="1" ht="14.4"/>
    <row r="288" s="90" customFormat="1" ht="14.4"/>
    <row r="289" s="90" customFormat="1" ht="14.4"/>
    <row r="290" s="90" customFormat="1" ht="14.4"/>
    <row r="291" s="90" customFormat="1" ht="14.4"/>
    <row r="292" s="90" customFormat="1" ht="14.4"/>
    <row r="293" s="90" customFormat="1" ht="14.4"/>
    <row r="294" s="90" customFormat="1" ht="14.4"/>
    <row r="295" s="90" customFormat="1" ht="14.4"/>
    <row r="296" s="90" customFormat="1" ht="14.4"/>
    <row r="297" s="90" customFormat="1" ht="14.4"/>
    <row r="298" s="90" customFormat="1" ht="14.4"/>
    <row r="299" s="90" customFormat="1" ht="14.4"/>
    <row r="300" s="90" customFormat="1" ht="14.4"/>
    <row r="301" s="90" customFormat="1" ht="14.4"/>
    <row r="302" s="90" customFormat="1" ht="14.4"/>
    <row r="303" s="90" customFormat="1" ht="14.4"/>
    <row r="304" s="90" customFormat="1" ht="14.4"/>
    <row r="305" s="90" customFormat="1" ht="14.4"/>
    <row r="306" s="90" customFormat="1" ht="14.4"/>
    <row r="307" s="90" customFormat="1" ht="14.4"/>
    <row r="308" s="90" customFormat="1" ht="14.4"/>
    <row r="309" s="90" customFormat="1" ht="14.4"/>
    <row r="310" s="90" customFormat="1" ht="14.4"/>
    <row r="311" s="90" customFormat="1" ht="14.4"/>
    <row r="312" s="90" customFormat="1" ht="14.4"/>
    <row r="313" s="90" customFormat="1" ht="14.4"/>
    <row r="314" s="90" customFormat="1" ht="14.4"/>
    <row r="315" s="90" customFormat="1" ht="14.4"/>
    <row r="316" s="90" customFormat="1" ht="14.4"/>
    <row r="317" s="90" customFormat="1" ht="14.4"/>
    <row r="318" s="90" customFormat="1" ht="14.4"/>
    <row r="319" s="90" customFormat="1" ht="14.4"/>
    <row r="320" s="90" customFormat="1" ht="14.4"/>
    <row r="321" s="90" customFormat="1" ht="14.4"/>
    <row r="322" s="90" customFormat="1" ht="14.4"/>
    <row r="323" s="90" customFormat="1" ht="14.4"/>
    <row r="324" s="90" customFormat="1" ht="14.4"/>
    <row r="325" s="90" customFormat="1" ht="14.4"/>
    <row r="326" s="90" customFormat="1" ht="14.4"/>
    <row r="327" s="90" customFormat="1" ht="14.4"/>
    <row r="328" s="90" customFormat="1" ht="14.4"/>
    <row r="329" s="90" customFormat="1" ht="14.4"/>
    <row r="330" s="90" customFormat="1" ht="14.4"/>
    <row r="331" s="90" customFormat="1" ht="14.4"/>
    <row r="332" s="90" customFormat="1" ht="14.4"/>
    <row r="333" s="90" customFormat="1" ht="14.4"/>
    <row r="334" s="90" customFormat="1" ht="14.4"/>
    <row r="335" s="90" customFormat="1" ht="14.4"/>
    <row r="336" s="90" customFormat="1" ht="14.4"/>
    <row r="337" s="90" customFormat="1" ht="14.4"/>
    <row r="338" s="90" customFormat="1" ht="14.4"/>
    <row r="339" s="90" customFormat="1" ht="14.4"/>
    <row r="340" s="90" customFormat="1" ht="14.4"/>
    <row r="341" s="90" customFormat="1" ht="14.4"/>
    <row r="342" s="90" customFormat="1" ht="14.4"/>
    <row r="343" s="90" customFormat="1" ht="14.4"/>
    <row r="344" s="90" customFormat="1" ht="14.4"/>
    <row r="345" s="90" customFormat="1" ht="14.4"/>
    <row r="346" s="90" customFormat="1" ht="14.4"/>
    <row r="347" s="90" customFormat="1" ht="14.4"/>
    <row r="348" s="90" customFormat="1" ht="14.4"/>
    <row r="349" s="90" customFormat="1" ht="14.4"/>
    <row r="350" s="90" customFormat="1" ht="14.4"/>
    <row r="351" s="90" customFormat="1" ht="14.4"/>
    <row r="352" s="90" customFormat="1" ht="14.4"/>
    <row r="353" s="90" customFormat="1" ht="14.4"/>
    <row r="354" s="90" customFormat="1" ht="14.4"/>
    <row r="355" s="90" customFormat="1" ht="14.4"/>
    <row r="356" s="90" customFormat="1" ht="14.4"/>
    <row r="357" s="90" customFormat="1" ht="14.4"/>
    <row r="358" s="90" customFormat="1" ht="14.4"/>
    <row r="359" s="90" customFormat="1" ht="14.4"/>
    <row r="360" s="90" customFormat="1" ht="14.4"/>
    <row r="361" s="90" customFormat="1" ht="14.4"/>
    <row r="362" s="90" customFormat="1" ht="14.4"/>
    <row r="363" s="90" customFormat="1" ht="14.4"/>
    <row r="364" s="90" customFormat="1" ht="14.4"/>
    <row r="365" s="90" customFormat="1" ht="14.4"/>
    <row r="366" s="90" customFormat="1" ht="14.4"/>
    <row r="367" s="90" customFormat="1" ht="14.4"/>
    <row r="368" s="90" customFormat="1" ht="14.4"/>
    <row r="369" s="90" customFormat="1" ht="14.4"/>
    <row r="370" s="90" customFormat="1" ht="14.4"/>
    <row r="371" s="90" customFormat="1" ht="14.4"/>
    <row r="372" s="90" customFormat="1" ht="14.4"/>
    <row r="373" s="90" customFormat="1" ht="14.4"/>
    <row r="374" s="90" customFormat="1" ht="14.4"/>
    <row r="375" s="90" customFormat="1" ht="14.4"/>
    <row r="376" s="90" customFormat="1" ht="14.4"/>
    <row r="377" s="90" customFormat="1" ht="14.4"/>
    <row r="378" s="90" customFormat="1" ht="14.4"/>
    <row r="379" s="90" customFormat="1" ht="14.4"/>
    <row r="380" s="90" customFormat="1" ht="14.4"/>
    <row r="381" s="90" customFormat="1" ht="14.4"/>
    <row r="382" s="90" customFormat="1" ht="14.4"/>
    <row r="383" s="90" customFormat="1" ht="14.4"/>
    <row r="384" s="90" customFormat="1" ht="14.4"/>
    <row r="385" s="90" customFormat="1" ht="14.4"/>
    <row r="386" s="90" customFormat="1" ht="14.4"/>
    <row r="387" s="90" customFormat="1" ht="14.4"/>
    <row r="388" s="90" customFormat="1" ht="14.4"/>
    <row r="389" s="90" customFormat="1" ht="14.4"/>
    <row r="390" s="90" customFormat="1" ht="14.4"/>
    <row r="391" s="90" customFormat="1" ht="14.4"/>
    <row r="392" s="90" customFormat="1" ht="14.4"/>
    <row r="393" s="90" customFormat="1" ht="14.4"/>
    <row r="394" s="90" customFormat="1" ht="14.4"/>
    <row r="395" s="90" customFormat="1" ht="14.4"/>
    <row r="396" s="90" customFormat="1" ht="14.4"/>
    <row r="397" s="90" customFormat="1" ht="14.4"/>
    <row r="398" s="90" customFormat="1" ht="14.4"/>
    <row r="399" s="90" customFormat="1" ht="14.4"/>
    <row r="400" s="90" customFormat="1" ht="14.4"/>
    <row r="401" s="90" customFormat="1" ht="14.4"/>
    <row r="402" s="90" customFormat="1" ht="14.4"/>
    <row r="403" s="90" customFormat="1" ht="14.4"/>
    <row r="404" s="90" customFormat="1" ht="14.4"/>
    <row r="405" s="90" customFormat="1" ht="14.4"/>
    <row r="406" s="90" customFormat="1" ht="14.4"/>
    <row r="407" s="90" customFormat="1" ht="14.4"/>
    <row r="408" s="90" customFormat="1" ht="14.4"/>
    <row r="409" s="90" customFormat="1" ht="14.4"/>
    <row r="410" s="90" customFormat="1" ht="14.4"/>
    <row r="411" s="90" customFormat="1" ht="14.4"/>
    <row r="412" s="90" customFormat="1" ht="14.4"/>
    <row r="413" s="90" customFormat="1" ht="14.4"/>
    <row r="414" s="90" customFormat="1" ht="14.4"/>
    <row r="415" s="90" customFormat="1" ht="14.4"/>
    <row r="416" s="90" customFormat="1" ht="14.4"/>
    <row r="417" s="90" customFormat="1" ht="14.4"/>
    <row r="418" s="90" customFormat="1" ht="14.4"/>
    <row r="419" s="90" customFormat="1" ht="14.4"/>
    <row r="420" s="90" customFormat="1" ht="14.4"/>
    <row r="421" s="90" customFormat="1" ht="14.4"/>
    <row r="422" s="90" customFormat="1" ht="14.4"/>
    <row r="423" s="90" customFormat="1" ht="14.4"/>
    <row r="424" s="90" customFormat="1" ht="14.4"/>
    <row r="425" s="90" customFormat="1" ht="14.4"/>
    <row r="426" s="90" customFormat="1" ht="14.4"/>
    <row r="427" s="90" customFormat="1" ht="14.4"/>
    <row r="428" s="90" customFormat="1" ht="14.4"/>
    <row r="429" s="90" customFormat="1" ht="14.4"/>
    <row r="430" s="90" customFormat="1" ht="14.4"/>
    <row r="431" s="90" customFormat="1" ht="14.4"/>
    <row r="432" s="90" customFormat="1" ht="14.4"/>
    <row r="433" s="90" customFormat="1" ht="14.4"/>
    <row r="434" s="90" customFormat="1" ht="14.4"/>
    <row r="435" s="90" customFormat="1" ht="14.4"/>
    <row r="436" s="90" customFormat="1" ht="14.4"/>
    <row r="437" s="90" customFormat="1" ht="14.4"/>
    <row r="438" s="90" customFormat="1" ht="14.4"/>
    <row r="439" s="90" customFormat="1" ht="14.4"/>
    <row r="440" s="90" customFormat="1" ht="14.4"/>
    <row r="441" s="90" customFormat="1" ht="14.4"/>
    <row r="442" s="90" customFormat="1" ht="14.4"/>
    <row r="443" s="90" customFormat="1" ht="14.4"/>
    <row r="444" s="90" customFormat="1" ht="14.4"/>
    <row r="445" s="90" customFormat="1" ht="14.4"/>
    <row r="446" s="90" customFormat="1" ht="14.4"/>
    <row r="447" s="90" customFormat="1" ht="14.4"/>
    <row r="448" s="90" customFormat="1" ht="14.4"/>
    <row r="449" s="90" customFormat="1" ht="14.4"/>
    <row r="450" s="90" customFormat="1" ht="14.4"/>
    <row r="451" s="90" customFormat="1" ht="14.4"/>
    <row r="452" s="90" customFormat="1" ht="14.4"/>
    <row r="453" s="90" customFormat="1" ht="14.4"/>
    <row r="454" s="90" customFormat="1" ht="14.4"/>
    <row r="455" s="90" customFormat="1" ht="14.4"/>
    <row r="456" s="90" customFormat="1" ht="14.4"/>
    <row r="457" s="90" customFormat="1" ht="14.4"/>
    <row r="458" s="90" customFormat="1" ht="14.4"/>
    <row r="459" s="90" customFormat="1" ht="14.4"/>
    <row r="460" s="90" customFormat="1" ht="14.4"/>
    <row r="461" s="90" customFormat="1" ht="14.4"/>
    <row r="462" s="90" customFormat="1" ht="14.4"/>
    <row r="463" s="90" customFormat="1" ht="14.4"/>
    <row r="464" s="90" customFormat="1" ht="14.4"/>
    <row r="465" s="90" customFormat="1" ht="14.4"/>
    <row r="466" s="90" customFormat="1" ht="14.4"/>
    <row r="467" s="90" customFormat="1" ht="14.4"/>
    <row r="468" s="90" customFormat="1" ht="14.4"/>
    <row r="469" s="90" customFormat="1" ht="14.4"/>
    <row r="470" s="90" customFormat="1" ht="14.4"/>
    <row r="471" s="90" customFormat="1" ht="14.4"/>
    <row r="472" s="90" customFormat="1" ht="14.4"/>
    <row r="473" s="90" customFormat="1" ht="14.4"/>
    <row r="474" s="90" customFormat="1" ht="14.4"/>
    <row r="475" s="90" customFormat="1" ht="14.4"/>
    <row r="476" s="90" customFormat="1" ht="14.4"/>
    <row r="477" s="90" customFormat="1" ht="14.4"/>
    <row r="478" s="90" customFormat="1" ht="14.4"/>
    <row r="479" s="90" customFormat="1" ht="14.4"/>
    <row r="480" s="90" customFormat="1" ht="14.4"/>
    <row r="481" s="90" customFormat="1" ht="14.4"/>
    <row r="482" s="90" customFormat="1" ht="14.4"/>
    <row r="483" s="90" customFormat="1" ht="14.4"/>
    <row r="484" s="90" customFormat="1" ht="14.4"/>
    <row r="485" s="90" customFormat="1" ht="14.4"/>
    <row r="486" s="90" customFormat="1" ht="14.4"/>
    <row r="487" s="90" customFormat="1" ht="14.4"/>
    <row r="488" s="90" customFormat="1" ht="14.4"/>
    <row r="489" s="90" customFormat="1" ht="14.4"/>
    <row r="490" s="90" customFormat="1" ht="14.4"/>
    <row r="491" s="90" customFormat="1" ht="14.4"/>
    <row r="492" s="90" customFormat="1" ht="14.4"/>
    <row r="493" s="90" customFormat="1" ht="14.4"/>
    <row r="494" s="90" customFormat="1" ht="14.4"/>
    <row r="495" s="90" customFormat="1" ht="14.4"/>
    <row r="496" s="90" customFormat="1" ht="14.4"/>
    <row r="497" s="90" customFormat="1" ht="14.4"/>
    <row r="498" s="90" customFormat="1" ht="14.4"/>
    <row r="499" s="90" customFormat="1" ht="14.4"/>
    <row r="500" s="90" customFormat="1" ht="14.4"/>
    <row r="501" s="90" customFormat="1" ht="14.4"/>
    <row r="502" s="90" customFormat="1" ht="14.4"/>
    <row r="503" s="90" customFormat="1" ht="14.4"/>
    <row r="504" s="90" customFormat="1" ht="14.4"/>
    <row r="505" s="90" customFormat="1" ht="14.4"/>
    <row r="506" s="90" customFormat="1" ht="14.4"/>
    <row r="507" s="90" customFormat="1" ht="14.4"/>
    <row r="508" s="90" customFormat="1" ht="14.4"/>
    <row r="509" s="90" customFormat="1" ht="14.4"/>
    <row r="510" s="90" customFormat="1" ht="14.4"/>
    <row r="511" s="90" customFormat="1" ht="14.4"/>
    <row r="512" s="90" customFormat="1" ht="14.4"/>
    <row r="513" s="90" customFormat="1" ht="14.4"/>
    <row r="514" s="90" customFormat="1" ht="14.4"/>
    <row r="515" s="90" customFormat="1" ht="14.4"/>
    <row r="516" s="90" customFormat="1" ht="14.4"/>
    <row r="517" s="90" customFormat="1" ht="14.4"/>
    <row r="518" s="90" customFormat="1" ht="14.4"/>
    <row r="519" s="90" customFormat="1" ht="14.4"/>
    <row r="520" s="90" customFormat="1" ht="14.4"/>
    <row r="521" s="90" customFormat="1" ht="14.4"/>
    <row r="522" s="90" customFormat="1" ht="14.4"/>
    <row r="523" s="90" customFormat="1" ht="14.4"/>
    <row r="524" s="90" customFormat="1" ht="14.4"/>
    <row r="525" s="90" customFormat="1" ht="14.4"/>
    <row r="526" s="90" customFormat="1" ht="14.4"/>
    <row r="527" s="90" customFormat="1" ht="14.4"/>
    <row r="528" s="90" customFormat="1" ht="14.4"/>
    <row r="529" s="90" customFormat="1" ht="14.4"/>
    <row r="530" s="90" customFormat="1" ht="14.4"/>
    <row r="531" s="90" customFormat="1" ht="14.4"/>
    <row r="532" s="90" customFormat="1" ht="14.4"/>
    <row r="533" s="90" customFormat="1" ht="14.4"/>
    <row r="534" s="90" customFormat="1" ht="14.4"/>
    <row r="535" s="90" customFormat="1" ht="14.4"/>
    <row r="536" s="90" customFormat="1" ht="14.4"/>
    <row r="537" s="90" customFormat="1" ht="14.4"/>
    <row r="538" s="90" customFormat="1" ht="14.4"/>
    <row r="539" s="90" customFormat="1" ht="14.4"/>
    <row r="540" s="90" customFormat="1" ht="14.4"/>
    <row r="541" s="90" customFormat="1" ht="14.4"/>
    <row r="542" s="90" customFormat="1" ht="14.4"/>
    <row r="543" s="90" customFormat="1" ht="14.4"/>
    <row r="544" s="90" customFormat="1" ht="14.4"/>
    <row r="545" s="90" customFormat="1" ht="14.4"/>
    <row r="546" s="90" customFormat="1" ht="14.4"/>
    <row r="547" s="90" customFormat="1" ht="14.4"/>
    <row r="548" s="90" customFormat="1" ht="14.4"/>
    <row r="549" s="90" customFormat="1" ht="14.4"/>
    <row r="550" s="90" customFormat="1" ht="14.4"/>
    <row r="551" s="90" customFormat="1" ht="14.4"/>
    <row r="552" s="90" customFormat="1" ht="14.4"/>
    <row r="553" s="90" customFormat="1" ht="14.4"/>
    <row r="554" s="90" customFormat="1" ht="14.4"/>
    <row r="555" s="90" customFormat="1" ht="14.4"/>
    <row r="556" s="90" customFormat="1" ht="14.4"/>
    <row r="557" s="90" customFormat="1" ht="14.4"/>
    <row r="558" s="90" customFormat="1" ht="14.4"/>
    <row r="559" s="90" customFormat="1" ht="14.4"/>
    <row r="560" s="90" customFormat="1" ht="14.4"/>
    <row r="561" s="90" customFormat="1" ht="14.4"/>
    <row r="562" s="90" customFormat="1" ht="14.4"/>
    <row r="563" s="90" customFormat="1" ht="14.4"/>
    <row r="564" s="90" customFormat="1" ht="14.4"/>
    <row r="565" s="90" customFormat="1" ht="14.4"/>
    <row r="566" s="90" customFormat="1" ht="14.4"/>
    <row r="567" s="90" customFormat="1" ht="14.4"/>
    <row r="568" s="90" customFormat="1" ht="14.4"/>
    <row r="569" s="90" customFormat="1" ht="14.4"/>
    <row r="570" s="90" customFormat="1" ht="14.4"/>
    <row r="571" s="90" customFormat="1" ht="14.4"/>
    <row r="572" s="90" customFormat="1" ht="14.4"/>
    <row r="573" s="90" customFormat="1" ht="14.4"/>
    <row r="574" s="90" customFormat="1" ht="14.4"/>
    <row r="575" s="90" customFormat="1" ht="14.4"/>
    <row r="576" s="90" customFormat="1" ht="14.4"/>
    <row r="577" s="90" customFormat="1" ht="14.4"/>
    <row r="578" s="90" customFormat="1" ht="14.4"/>
    <row r="579" s="90" customFormat="1" ht="14.4"/>
    <row r="580" s="90" customFormat="1" ht="14.4"/>
    <row r="581" s="90" customFormat="1" ht="14.4"/>
    <row r="582" s="90" customFormat="1" ht="14.4"/>
    <row r="583" s="90" customFormat="1" ht="14.4"/>
    <row r="584" s="90" customFormat="1" ht="14.4"/>
    <row r="585" s="90" customFormat="1" ht="14.4"/>
    <row r="586" s="90" customFormat="1" ht="14.4"/>
    <row r="587" s="90" customFormat="1" ht="14.4"/>
    <row r="588" s="90" customFormat="1" ht="14.4"/>
    <row r="589" s="90" customFormat="1" ht="14.4"/>
    <row r="590" s="90" customFormat="1" ht="14.4"/>
    <row r="591" s="90" customFormat="1" ht="14.4"/>
    <row r="592" s="90" customFormat="1" ht="14.4"/>
    <row r="593" s="90" customFormat="1" ht="14.4"/>
    <row r="594" s="90" customFormat="1" ht="14.4"/>
    <row r="595" s="90" customFormat="1" ht="14.4"/>
    <row r="596" s="90" customFormat="1" ht="14.4"/>
    <row r="597" s="90" customFormat="1" ht="14.4"/>
    <row r="598" s="90" customFormat="1" ht="14.4"/>
    <row r="599" s="90" customFormat="1" ht="14.4"/>
    <row r="600" s="90" customFormat="1" ht="14.4"/>
    <row r="601" s="90" customFormat="1" ht="14.4"/>
    <row r="602" s="90" customFormat="1" ht="14.4"/>
    <row r="603" s="90" customFormat="1" ht="14.4"/>
    <row r="604" s="90" customFormat="1" ht="14.4"/>
    <row r="605" s="90" customFormat="1" ht="14.4"/>
    <row r="606" s="90" customFormat="1" ht="14.4"/>
    <row r="607" s="90" customFormat="1" ht="14.4"/>
    <row r="608" s="90" customFormat="1" ht="14.4"/>
    <row r="609" s="90" customFormat="1" ht="14.4"/>
    <row r="610" s="90" customFormat="1" ht="14.4"/>
    <row r="611" s="90" customFormat="1" ht="14.4"/>
    <row r="612" s="90" customFormat="1" ht="14.4"/>
    <row r="613" s="90" customFormat="1" ht="14.4"/>
    <row r="614" s="90" customFormat="1" ht="14.4"/>
    <row r="615" s="90" customFormat="1" ht="14.4"/>
    <row r="616" s="90" customFormat="1" ht="14.4"/>
    <row r="617" s="90" customFormat="1" ht="14.4"/>
    <row r="618" s="90" customFormat="1" ht="14.4"/>
    <row r="619" s="90" customFormat="1" ht="14.4"/>
    <row r="620" s="90" customFormat="1" ht="14.4"/>
    <row r="621" s="90" customFormat="1" ht="14.4"/>
    <row r="622" s="90" customFormat="1" ht="14.4"/>
    <row r="623" s="90" customFormat="1" ht="14.4"/>
    <row r="624" s="90" customFormat="1" ht="14.4"/>
    <row r="625" s="90" customFormat="1" ht="14.4"/>
    <row r="626" s="90" customFormat="1" ht="14.4"/>
    <row r="627" s="90" customFormat="1" ht="14.4"/>
    <row r="628" s="90" customFormat="1" ht="14.4"/>
    <row r="629" s="90" customFormat="1" ht="14.4"/>
    <row r="630" s="90" customFormat="1" ht="14.4"/>
    <row r="631" s="90" customFormat="1" ht="14.4"/>
    <row r="632" s="90" customFormat="1" ht="14.4"/>
    <row r="633" s="90" customFormat="1" ht="14.4"/>
    <row r="634" s="90" customFormat="1" ht="14.4"/>
    <row r="635" s="90" customFormat="1" ht="14.4"/>
    <row r="636" s="90" customFormat="1" ht="14.4"/>
    <row r="637" s="90" customFormat="1" ht="14.4"/>
    <row r="638" s="90" customFormat="1" ht="14.4"/>
    <row r="639" s="90" customFormat="1" ht="14.4"/>
    <row r="640" s="90" customFormat="1" ht="14.4"/>
    <row r="641" s="90" customFormat="1" ht="14.4"/>
    <row r="642" s="90" customFormat="1" ht="14.4"/>
    <row r="643" s="90" customFormat="1" ht="14.4"/>
    <row r="644" s="90" customFormat="1" ht="14.4"/>
    <row r="645" s="90" customFormat="1" ht="14.4"/>
    <row r="646" s="90" customFormat="1" ht="14.4"/>
    <row r="647" s="90" customFormat="1" ht="14.4"/>
    <row r="648" s="90" customFormat="1" ht="14.4"/>
    <row r="649" s="90" customFormat="1" ht="14.4"/>
    <row r="650" s="90" customFormat="1" ht="14.4"/>
    <row r="651" s="90" customFormat="1" ht="14.4"/>
    <row r="652" s="90" customFormat="1" ht="14.4"/>
    <row r="653" s="90" customFormat="1" ht="14.4"/>
    <row r="654" s="90" customFormat="1" ht="14.4"/>
    <row r="655" s="90" customFormat="1" ht="14.4"/>
    <row r="656" s="90" customFormat="1" ht="14.4"/>
    <row r="657" s="90" customFormat="1" ht="14.4"/>
    <row r="658" s="90" customFormat="1" ht="14.4"/>
    <row r="659" s="90" customFormat="1" ht="14.4"/>
    <row r="660" s="90" customFormat="1" ht="14.4"/>
    <row r="661" s="90" customFormat="1" ht="14.4"/>
    <row r="662" s="90" customFormat="1" ht="14.4"/>
    <row r="663" s="90" customFormat="1" ht="14.4"/>
    <row r="664" s="90" customFormat="1" ht="14.4"/>
    <row r="665" s="90" customFormat="1" ht="14.4"/>
    <row r="666" s="90" customFormat="1" ht="14.4"/>
    <row r="667" s="90" customFormat="1" ht="14.4"/>
    <row r="668" s="90" customFormat="1" ht="14.4"/>
    <row r="669" s="90" customFormat="1" ht="14.4"/>
    <row r="670" s="90" customFormat="1" ht="14.4"/>
    <row r="671" s="90" customFormat="1" ht="14.4"/>
    <row r="672" s="90" customFormat="1" ht="14.4"/>
    <row r="673" s="90" customFormat="1" ht="14.4"/>
    <row r="674" s="90" customFormat="1" ht="14.4"/>
    <row r="675" s="90" customFormat="1" ht="14.4"/>
    <row r="676" s="90" customFormat="1" ht="14.4"/>
    <row r="677" s="90" customFormat="1" ht="14.4"/>
    <row r="678" s="90" customFormat="1" ht="14.4"/>
    <row r="679" s="90" customFormat="1" ht="14.4"/>
    <row r="680" s="90" customFormat="1" ht="14.4"/>
    <row r="681" s="90" customFormat="1" ht="14.4"/>
    <row r="682" s="90" customFormat="1" ht="14.4"/>
    <row r="683" s="90" customFormat="1" ht="14.4"/>
    <row r="684" s="90" customFormat="1" ht="14.4"/>
    <row r="685" s="90" customFormat="1" ht="14.4"/>
    <row r="686" s="90" customFormat="1" ht="14.4"/>
    <row r="687" s="90" customFormat="1" ht="14.4"/>
    <row r="688" s="90" customFormat="1" ht="14.4"/>
    <row r="689" s="90" customFormat="1" ht="14.4"/>
    <row r="690" s="90" customFormat="1" ht="14.4"/>
    <row r="691" s="90" customFormat="1" ht="14.4"/>
    <row r="692" s="90" customFormat="1" ht="14.4"/>
    <row r="693" s="90" customFormat="1" ht="14.4"/>
    <row r="694" s="90" customFormat="1" ht="14.4"/>
    <row r="695" s="90" customFormat="1" ht="14.4"/>
    <row r="696" s="90" customFormat="1" ht="14.4"/>
    <row r="697" s="90" customFormat="1" ht="14.4"/>
    <row r="698" s="90" customFormat="1" ht="14.4"/>
    <row r="699" s="90" customFormat="1" ht="14.4"/>
    <row r="700" s="90" customFormat="1" ht="14.4"/>
    <row r="701" s="90" customFormat="1" ht="14.4"/>
    <row r="702" s="90" customFormat="1" ht="14.4"/>
    <row r="703" s="90" customFormat="1" ht="14.4"/>
    <row r="704" s="90" customFormat="1" ht="14.4"/>
    <row r="705" s="90" customFormat="1" ht="14.4"/>
    <row r="706" s="90" customFormat="1" ht="14.4"/>
    <row r="707" s="90" customFormat="1" ht="14.4"/>
    <row r="708" s="90" customFormat="1" ht="14.4"/>
    <row r="709" s="90" customFormat="1" ht="14.4"/>
    <row r="710" s="90" customFormat="1" ht="14.4"/>
    <row r="711" s="90" customFormat="1" ht="14.4"/>
    <row r="712" s="90" customFormat="1" ht="14.4"/>
    <row r="713" s="90" customFormat="1" ht="14.4"/>
    <row r="714" s="90" customFormat="1" ht="14.4"/>
    <row r="715" s="90" customFormat="1" ht="14.4"/>
    <row r="716" s="90" customFormat="1" ht="14.4"/>
    <row r="717" s="90" customFormat="1" ht="14.4"/>
    <row r="718" s="90" customFormat="1" ht="14.4"/>
    <row r="719" s="90" customFormat="1" ht="14.4"/>
    <row r="720" s="90" customFormat="1" ht="14.4"/>
    <row r="721" s="90" customFormat="1" ht="14.4"/>
    <row r="722" s="90" customFormat="1" ht="14.4"/>
    <row r="723" s="90" customFormat="1" ht="14.4"/>
    <row r="724" s="90" customFormat="1" ht="14.4"/>
    <row r="725" s="90" customFormat="1" ht="14.4"/>
    <row r="726" s="90" customFormat="1" ht="14.4"/>
    <row r="727" s="90" customFormat="1" ht="14.4"/>
    <row r="728" s="90" customFormat="1" ht="14.4"/>
    <row r="729" s="90" customFormat="1" ht="14.4"/>
    <row r="730" s="90" customFormat="1" ht="14.4"/>
    <row r="731" s="90" customFormat="1" ht="14.4"/>
    <row r="732" s="90" customFormat="1" ht="14.4"/>
    <row r="733" s="90" customFormat="1" ht="14.4"/>
    <row r="734" s="90" customFormat="1" ht="14.4"/>
    <row r="735" s="90" customFormat="1" ht="14.4"/>
    <row r="736" s="90" customFormat="1" ht="14.4"/>
    <row r="737" s="90" customFormat="1" ht="14.4"/>
    <row r="738" s="90" customFormat="1" ht="14.4"/>
    <row r="739" s="90" customFormat="1" ht="14.4"/>
    <row r="740" s="90" customFormat="1" ht="14.4"/>
    <row r="741" s="90" customFormat="1" ht="14.4"/>
    <row r="742" s="90" customFormat="1" ht="14.4"/>
    <row r="743" s="90" customFormat="1" ht="14.4"/>
    <row r="744" s="90" customFormat="1" ht="14.4"/>
    <row r="745" s="90" customFormat="1" ht="14.4"/>
    <row r="746" s="90" customFormat="1" ht="14.4"/>
    <row r="747" s="90" customFormat="1" ht="14.4"/>
    <row r="748" s="90" customFormat="1" ht="14.4"/>
    <row r="749" s="90" customFormat="1" ht="14.4"/>
    <row r="750" s="90" customFormat="1" ht="14.4"/>
    <row r="751" s="90" customFormat="1" ht="14.4"/>
    <row r="752" s="90" customFormat="1" ht="14.4"/>
    <row r="753" s="90" customFormat="1" ht="14.4"/>
    <row r="754" s="90" customFormat="1" ht="14.4"/>
    <row r="755" s="90" customFormat="1" ht="14.4"/>
    <row r="756" s="90" customFormat="1" ht="14.4"/>
    <row r="757" s="90" customFormat="1" ht="14.4"/>
    <row r="758" s="90" customFormat="1" ht="14.4"/>
    <row r="759" s="90" customFormat="1" ht="14.4"/>
    <row r="760" s="90" customFormat="1" ht="14.4"/>
    <row r="761" s="90" customFormat="1" ht="14.4"/>
    <row r="762" s="90" customFormat="1" ht="14.4"/>
    <row r="763" s="90" customFormat="1" ht="14.4"/>
    <row r="764" s="90" customFormat="1" ht="14.4"/>
    <row r="765" s="90" customFormat="1" ht="14.4"/>
    <row r="766" s="90" customFormat="1" ht="14.4"/>
    <row r="767" s="90" customFormat="1" ht="14.4"/>
    <row r="768" s="90" customFormat="1" ht="14.4"/>
    <row r="769" s="90" customFormat="1" ht="14.4"/>
    <row r="770" s="90" customFormat="1" ht="14.4"/>
    <row r="771" s="90" customFormat="1" ht="14.4"/>
    <row r="772" s="90" customFormat="1" ht="14.4"/>
    <row r="773" s="90" customFormat="1" ht="14.4"/>
    <row r="774" s="90" customFormat="1" ht="14.4"/>
    <row r="775" s="90" customFormat="1" ht="14.4"/>
    <row r="776" s="90" customFormat="1" ht="14.4"/>
    <row r="777" s="90" customFormat="1" ht="14.4"/>
    <row r="778" s="90" customFormat="1" ht="14.4"/>
    <row r="779" s="90" customFormat="1" ht="14.4"/>
    <row r="780" s="90" customFormat="1" ht="14.4"/>
    <row r="781" s="90" customFormat="1" ht="14.4"/>
    <row r="782" s="90" customFormat="1" ht="14.4"/>
    <row r="783" s="90" customFormat="1" ht="14.4"/>
    <row r="784" s="90" customFormat="1" ht="14.4"/>
    <row r="785" s="90" customFormat="1" ht="14.4"/>
    <row r="786" s="90" customFormat="1" ht="14.4"/>
    <row r="787" s="90" customFormat="1" ht="14.4"/>
    <row r="788" s="90" customFormat="1" ht="14.4"/>
    <row r="789" s="90" customFormat="1" ht="14.4"/>
    <row r="790" s="90" customFormat="1" ht="14.4"/>
    <row r="791" s="90" customFormat="1" ht="14.4"/>
    <row r="792" s="90" customFormat="1" ht="14.4"/>
    <row r="793" s="90" customFormat="1" ht="14.4"/>
    <row r="794" s="90" customFormat="1" ht="14.4"/>
    <row r="795" s="90" customFormat="1" ht="14.4"/>
    <row r="796" s="90" customFormat="1" ht="14.4"/>
    <row r="797" s="90" customFormat="1" ht="14.4"/>
    <row r="798" s="90" customFormat="1" ht="14.4"/>
    <row r="799" s="90" customFormat="1" ht="14.4"/>
    <row r="800" s="90" customFormat="1" ht="14.4"/>
    <row r="801" s="90" customFormat="1" ht="14.4"/>
    <row r="802" s="90" customFormat="1" ht="14.4"/>
    <row r="803" s="90" customFormat="1" ht="14.4"/>
    <row r="804" s="90" customFormat="1" ht="14.4"/>
    <row r="805" s="90" customFormat="1" ht="14.4"/>
    <row r="806" s="90" customFormat="1" ht="14.4"/>
    <row r="807" s="90" customFormat="1" ht="14.4"/>
    <row r="808" s="90" customFormat="1" ht="14.4"/>
    <row r="809" s="90" customFormat="1" ht="14.4"/>
    <row r="810" s="90" customFormat="1" ht="14.4"/>
    <row r="811" s="90" customFormat="1" ht="14.4"/>
    <row r="812" s="90" customFormat="1" ht="14.4"/>
    <row r="813" s="90" customFormat="1" ht="14.4"/>
    <row r="814" s="90" customFormat="1" ht="14.4"/>
    <row r="815" s="90" customFormat="1" ht="14.4"/>
    <row r="816" s="90" customFormat="1" ht="14.4"/>
    <row r="817" s="90" customFormat="1" ht="14.4"/>
    <row r="818" s="90" customFormat="1" ht="14.4"/>
    <row r="819" s="90" customFormat="1" ht="14.4"/>
    <row r="820" s="90" customFormat="1" ht="14.4"/>
    <row r="821" s="90" customFormat="1" ht="14.4"/>
    <row r="822" s="90" customFormat="1" ht="14.4"/>
    <row r="823" s="90" customFormat="1" ht="14.4"/>
    <row r="824" s="90" customFormat="1" ht="14.4"/>
    <row r="825" s="90" customFormat="1" ht="14.4"/>
    <row r="826" s="90" customFormat="1" ht="14.4"/>
    <row r="827" s="90" customFormat="1" ht="14.4"/>
    <row r="828" s="90" customFormat="1" ht="14.4"/>
    <row r="829" s="90" customFormat="1" ht="14.4"/>
    <row r="830" s="90" customFormat="1" ht="14.4"/>
    <row r="831" s="90" customFormat="1" ht="14.4"/>
    <row r="832" s="90" customFormat="1" ht="14.4"/>
    <row r="833" s="90" customFormat="1" ht="14.4"/>
    <row r="834" s="90" customFormat="1" ht="14.4"/>
    <row r="835" s="90" customFormat="1" ht="14.4"/>
    <row r="836" s="90" customFormat="1" ht="14.4"/>
    <row r="837" s="90" customFormat="1" ht="14.4"/>
    <row r="838" s="90" customFormat="1" ht="14.4"/>
    <row r="839" s="90" customFormat="1" ht="14.4"/>
    <row r="840" s="90" customFormat="1" ht="14.4"/>
    <row r="841" s="90" customFormat="1" ht="14.4"/>
    <row r="842" s="90" customFormat="1" ht="14.4"/>
    <row r="843" s="90" customFormat="1" ht="14.4"/>
    <row r="844" s="90" customFormat="1" ht="14.4"/>
    <row r="845" s="90" customFormat="1" ht="14.4"/>
    <row r="846" s="90" customFormat="1" ht="14.4"/>
    <row r="847" s="90" customFormat="1" ht="14.4"/>
    <row r="848" s="90" customFormat="1" ht="14.4"/>
    <row r="849" s="90" customFormat="1" ht="14.4"/>
    <row r="850" s="90" customFormat="1" ht="14.4"/>
    <row r="851" s="90" customFormat="1" ht="14.4"/>
    <row r="852" s="90" customFormat="1" ht="14.4"/>
    <row r="853" s="90" customFormat="1" ht="14.4"/>
    <row r="854" s="90" customFormat="1" ht="14.4"/>
    <row r="855" s="90" customFormat="1" ht="14.4"/>
    <row r="856" s="90" customFormat="1" ht="14.4"/>
    <row r="857" s="90" customFormat="1" ht="14.4"/>
    <row r="858" s="90" customFormat="1" ht="14.4"/>
    <row r="859" s="90" customFormat="1" ht="14.4"/>
    <row r="860" s="90" customFormat="1" ht="14.4"/>
    <row r="861" s="90" customFormat="1" ht="14.4"/>
    <row r="862" s="90" customFormat="1" ht="14.4"/>
    <row r="863" s="90" customFormat="1" ht="14.4"/>
    <row r="864" s="90" customFormat="1" ht="14.4"/>
    <row r="865" s="90" customFormat="1" ht="14.4"/>
    <row r="866" s="90" customFormat="1" ht="14.4"/>
    <row r="867" s="90" customFormat="1" ht="14.4"/>
    <row r="868" s="90" customFormat="1" ht="14.4"/>
    <row r="869" s="90" customFormat="1" ht="14.4"/>
    <row r="870" s="90" customFormat="1" ht="14.4"/>
    <row r="871" s="90" customFormat="1" ht="14.4"/>
    <row r="872" s="90" customFormat="1" ht="14.4"/>
    <row r="873" s="90" customFormat="1" ht="14.4"/>
    <row r="874" s="90" customFormat="1" ht="14.4"/>
    <row r="875" s="90" customFormat="1" ht="14.4"/>
    <row r="876" s="90" customFormat="1" ht="14.4"/>
    <row r="877" s="90" customFormat="1" ht="14.4"/>
    <row r="878" s="90" customFormat="1" ht="14.4"/>
    <row r="879" s="90" customFormat="1" ht="14.4"/>
    <row r="880" s="90" customFormat="1" ht="14.4"/>
    <row r="881" s="90" customFormat="1" ht="14.4"/>
    <row r="882" s="90" customFormat="1" ht="14.4"/>
    <row r="883" s="90" customFormat="1" ht="14.4"/>
    <row r="884" s="90" customFormat="1" ht="14.4"/>
    <row r="885" s="90" customFormat="1" ht="14.4"/>
    <row r="886" s="90" customFormat="1" ht="14.4"/>
    <row r="887" s="90" customFormat="1" ht="14.4"/>
    <row r="888" s="90" customFormat="1" ht="14.4"/>
    <row r="889" s="90" customFormat="1" ht="14.4"/>
    <row r="890" s="90" customFormat="1" ht="14.4"/>
    <row r="891" s="90" customFormat="1" ht="14.4"/>
    <row r="892" s="90" customFormat="1" ht="14.4"/>
    <row r="893" s="90" customFormat="1" ht="14.4"/>
    <row r="894" s="90" customFormat="1" ht="14.4"/>
    <row r="895" s="90" customFormat="1" ht="14.4"/>
    <row r="896" s="90" customFormat="1" ht="14.4"/>
    <row r="897" s="90" customFormat="1" ht="14.4"/>
    <row r="898" s="90" customFormat="1" ht="14.4"/>
    <row r="899" s="90" customFormat="1" ht="14.4"/>
    <row r="900" s="90" customFormat="1" ht="14.4"/>
    <row r="901" s="90" customFormat="1" ht="14.4"/>
    <row r="902" s="90" customFormat="1" ht="14.4"/>
    <row r="903" s="90" customFormat="1" ht="14.4"/>
    <row r="904" s="90" customFormat="1" ht="14.4"/>
    <row r="905" s="90" customFormat="1" ht="14.4"/>
    <row r="906" s="90" customFormat="1" ht="14.4"/>
    <row r="907" s="90" customFormat="1" ht="14.4"/>
    <row r="908" s="90" customFormat="1" ht="14.4"/>
    <row r="909" s="90" customFormat="1" ht="14.4"/>
    <row r="910" s="90" customFormat="1" ht="14.4"/>
    <row r="911" s="90" customFormat="1" ht="14.4"/>
    <row r="912" s="90" customFormat="1" ht="14.4"/>
    <row r="913" s="90" customFormat="1" ht="14.4"/>
    <row r="914" s="90" customFormat="1" ht="14.4"/>
    <row r="915" s="90" customFormat="1" ht="14.4"/>
    <row r="916" s="90" customFormat="1" ht="14.4"/>
    <row r="917" s="90" customFormat="1" ht="14.4"/>
    <row r="918" s="90" customFormat="1" ht="14.4"/>
    <row r="919" s="90" customFormat="1" ht="14.4"/>
    <row r="920" s="90" customFormat="1" ht="14.4"/>
    <row r="921" s="90" customFormat="1" ht="14.4"/>
    <row r="922" s="90" customFormat="1" ht="14.4"/>
    <row r="923" s="90" customFormat="1" ht="14.4"/>
    <row r="924" s="90" customFormat="1" ht="14.4"/>
    <row r="925" s="90" customFormat="1" ht="14.4"/>
    <row r="926" s="90" customFormat="1" ht="14.4"/>
    <row r="927" s="90" customFormat="1" ht="14.4"/>
    <row r="928" s="90" customFormat="1" ht="14.4"/>
    <row r="929" s="90" customFormat="1" ht="14.4"/>
    <row r="930" s="90" customFormat="1" ht="14.4"/>
    <row r="931" s="90" customFormat="1" ht="14.4"/>
    <row r="932" s="90" customFormat="1" ht="14.4"/>
    <row r="933" s="90" customFormat="1" ht="14.4"/>
    <row r="934" s="90" customFormat="1" ht="14.4"/>
    <row r="935" s="90" customFormat="1" ht="14.4"/>
    <row r="936" s="90" customFormat="1" ht="14.4"/>
    <row r="937" s="90" customFormat="1" ht="14.4"/>
    <row r="938" s="90" customFormat="1" ht="14.4"/>
    <row r="939" s="90" customFormat="1" ht="14.4"/>
    <row r="940" s="90" customFormat="1" ht="14.4"/>
    <row r="941" s="90" customFormat="1" ht="14.4"/>
    <row r="942" s="90" customFormat="1" ht="14.4"/>
    <row r="943" s="90" customFormat="1" ht="14.4"/>
    <row r="944" s="90" customFormat="1" ht="14.4"/>
    <row r="945" s="90" customFormat="1" ht="14.4"/>
    <row r="946" s="90" customFormat="1" ht="14.4"/>
    <row r="947" s="90" customFormat="1" ht="14.4"/>
    <row r="948" s="90" customFormat="1" ht="14.4"/>
    <row r="949" s="90" customFormat="1" ht="14.4"/>
    <row r="950" s="90" customFormat="1" ht="14.4"/>
    <row r="951" s="90" customFormat="1" ht="14.4"/>
    <row r="952" s="90" customFormat="1" ht="14.4"/>
    <row r="953" s="90" customFormat="1" ht="14.4"/>
    <row r="954" s="90" customFormat="1" ht="14.4"/>
    <row r="955" s="90" customFormat="1" ht="14.4"/>
    <row r="956" s="90" customFormat="1" ht="14.4"/>
    <row r="957" s="90" customFormat="1" ht="14.4"/>
    <row r="958" s="90" customFormat="1" ht="14.4"/>
    <row r="959" s="90" customFormat="1" ht="14.4"/>
    <row r="960" s="90" customFormat="1" ht="14.4"/>
    <row r="961" s="90" customFormat="1" ht="14.4"/>
    <row r="962" s="90" customFormat="1" ht="14.4"/>
    <row r="963" s="90" customFormat="1" ht="14.4"/>
    <row r="964" s="90" customFormat="1" ht="14.4"/>
    <row r="965" s="90" customFormat="1" ht="14.4"/>
    <row r="966" s="90" customFormat="1" ht="14.4"/>
    <row r="967" s="90" customFormat="1" ht="14.4"/>
    <row r="968" s="90" customFormat="1" ht="14.4"/>
    <row r="969" s="90" customFormat="1" ht="14.4"/>
    <row r="970" s="90" customFormat="1" ht="14.4"/>
    <row r="971" s="90" customFormat="1" ht="14.4"/>
    <row r="972" s="90" customFormat="1" ht="14.4"/>
    <row r="973" s="90" customFormat="1" ht="14.4"/>
    <row r="974" s="90" customFormat="1" ht="14.4"/>
    <row r="975" s="90" customFormat="1" ht="14.4"/>
    <row r="976" s="90" customFormat="1" ht="14.4"/>
    <row r="977" s="90" customFormat="1" ht="14.4"/>
    <row r="978" s="90" customFormat="1" ht="14.4"/>
    <row r="979" s="90" customFormat="1" ht="14.4"/>
    <row r="980" s="90" customFormat="1" ht="14.4"/>
    <row r="981" s="90" customFormat="1" ht="14.4"/>
    <row r="982" s="90" customFormat="1" ht="14.4"/>
    <row r="983" s="90" customFormat="1" ht="14.4"/>
    <row r="984" s="90" customFormat="1" ht="14.4"/>
    <row r="985" s="90" customFormat="1" ht="14.4"/>
    <row r="986" s="90" customFormat="1" ht="14.4"/>
    <row r="987" s="90" customFormat="1" ht="14.4"/>
    <row r="988" s="90" customFormat="1" ht="14.4"/>
    <row r="989" s="90" customFormat="1" ht="14.4"/>
    <row r="990" s="90" customFormat="1" ht="14.4"/>
    <row r="991" s="90" customFormat="1" ht="14.4"/>
    <row r="992" s="90" customFormat="1" ht="14.4"/>
    <row r="993" s="90" customFormat="1" ht="14.4"/>
    <row r="994" s="90" customFormat="1" ht="14.4"/>
    <row r="995" s="90" customFormat="1" ht="14.4"/>
    <row r="996" s="90" customFormat="1" ht="14.4"/>
    <row r="997" s="90" customFormat="1" ht="14.4"/>
    <row r="998" s="90" customFormat="1" ht="14.4"/>
    <row r="999" s="90" customFormat="1" ht="14.4"/>
    <row r="1000" s="90" customFormat="1" ht="14.4"/>
    <row r="1001" s="90" customFormat="1" ht="14.4"/>
    <row r="1002" s="90" customFormat="1" ht="14.4"/>
    <row r="1003" s="90" customFormat="1" ht="14.4"/>
    <row r="1004" s="90" customFormat="1" ht="14.4"/>
    <row r="1005" s="90" customFormat="1" ht="14.4"/>
    <row r="1006" s="90" customFormat="1" ht="14.4"/>
    <row r="1007" s="90" customFormat="1" ht="14.4"/>
    <row r="1008" s="90" customFormat="1" ht="14.4"/>
    <row r="1009" s="90" customFormat="1" ht="14.4"/>
    <row r="1010" s="90" customFormat="1" ht="14.4"/>
    <row r="1011" s="90" customFormat="1" ht="14.4"/>
    <row r="1012" s="90" customFormat="1" ht="14.4"/>
    <row r="1013" s="90" customFormat="1" ht="14.4"/>
    <row r="1014" s="90" customFormat="1" ht="14.4"/>
    <row r="1015" s="90" customFormat="1" ht="14.4"/>
    <row r="1016" s="90" customFormat="1" ht="14.4"/>
    <row r="1017" s="90" customFormat="1" ht="14.4"/>
    <row r="1018" s="90" customFormat="1" ht="14.4"/>
    <row r="1019" s="90" customFormat="1" ht="14.4"/>
    <row r="1020" s="90" customFormat="1" ht="14.4"/>
    <row r="1021" s="90" customFormat="1" ht="14.4"/>
    <row r="1022" s="90" customFormat="1" ht="14.4"/>
    <row r="1023" s="90" customFormat="1" ht="14.4"/>
    <row r="1024" s="90" customFormat="1" ht="14.4"/>
    <row r="1025" s="90" customFormat="1" ht="14.4"/>
    <row r="1026" s="90" customFormat="1" ht="14.4"/>
    <row r="1027" s="90" customFormat="1" ht="14.4"/>
    <row r="1028" s="90" customFormat="1" ht="14.4"/>
    <row r="1029" s="90" customFormat="1" ht="14.4"/>
    <row r="1030" s="90" customFormat="1" ht="14.4"/>
    <row r="1031" s="90" customFormat="1" ht="14.4"/>
    <row r="1032" s="90" customFormat="1" ht="14.4"/>
    <row r="1033" s="90" customFormat="1" ht="14.4"/>
    <row r="1034" s="90" customFormat="1" ht="14.4"/>
    <row r="1035" s="90" customFormat="1" ht="14.4"/>
    <row r="1036" s="90" customFormat="1" ht="14.4"/>
    <row r="1037" s="90" customFormat="1" ht="14.4"/>
    <row r="1038" s="90" customFormat="1" ht="14.4"/>
    <row r="1039" s="90" customFormat="1" ht="14.4"/>
    <row r="1040" s="90" customFormat="1" ht="14.4"/>
    <row r="1041" s="90" customFormat="1" ht="14.4"/>
    <row r="1042" s="90" customFormat="1" ht="14.4"/>
    <row r="1043" s="90" customFormat="1" ht="14.4"/>
    <row r="1044" s="90" customFormat="1" ht="14.4"/>
    <row r="1045" s="90" customFormat="1" ht="14.4"/>
    <row r="1046" s="90" customFormat="1" ht="14.4"/>
    <row r="1047" s="90" customFormat="1" ht="14.4"/>
    <row r="1048" s="90" customFormat="1" ht="14.4"/>
    <row r="1049" s="90" customFormat="1" ht="14.4"/>
    <row r="1050" s="90" customFormat="1" ht="14.4"/>
    <row r="1051" s="90" customFormat="1" ht="14.4"/>
    <row r="1052" s="90" customFormat="1" ht="14.4"/>
    <row r="1053" s="90" customFormat="1" ht="14.4"/>
    <row r="1054" s="90" customFormat="1" ht="14.4"/>
    <row r="1055" s="90" customFormat="1" ht="14.4"/>
    <row r="1056" s="90" customFormat="1" ht="14.4"/>
    <row r="1057" s="90" customFormat="1" ht="14.4"/>
    <row r="1058" s="90" customFormat="1" ht="14.4"/>
    <row r="1059" s="90" customFormat="1" ht="14.4"/>
    <row r="1060" s="90" customFormat="1" ht="14.4"/>
    <row r="1061" s="90" customFormat="1" ht="14.4"/>
    <row r="1062" s="90" customFormat="1" ht="14.4"/>
    <row r="1063" s="90" customFormat="1" ht="14.4"/>
    <row r="1064" s="90" customFormat="1" ht="14.4"/>
    <row r="1065" s="90" customFormat="1" ht="14.4"/>
    <row r="1066" s="90" customFormat="1" ht="14.4"/>
    <row r="1067" s="90" customFormat="1" ht="14.4"/>
    <row r="1068" s="90" customFormat="1" ht="14.4"/>
    <row r="1069" s="90" customFormat="1" ht="14.4"/>
    <row r="1070" s="90" customFormat="1" ht="14.4"/>
    <row r="1071" s="90" customFormat="1" ht="14.4"/>
    <row r="1072" s="90" customFormat="1" ht="14.4"/>
    <row r="1073" s="90" customFormat="1" ht="14.4"/>
    <row r="1074" s="90" customFormat="1" ht="14.4"/>
    <row r="1075" s="90" customFormat="1" ht="14.4"/>
    <row r="1076" s="90" customFormat="1" ht="14.4"/>
    <row r="1077" s="90" customFormat="1" ht="14.4"/>
    <row r="1078" s="90" customFormat="1" ht="14.4"/>
    <row r="1079" s="90" customFormat="1" ht="14.4"/>
    <row r="1080" s="90" customFormat="1" ht="14.4"/>
    <row r="1081" s="90" customFormat="1" ht="14.4"/>
    <row r="1082" s="90" customFormat="1" ht="14.4"/>
    <row r="1083" s="90" customFormat="1" ht="14.4"/>
    <row r="1084" s="90" customFormat="1" ht="14.4"/>
    <row r="1085" s="90" customFormat="1" ht="14.4"/>
    <row r="1086" s="90" customFormat="1" ht="14.4"/>
    <row r="1087" s="90" customFormat="1" ht="14.4"/>
    <row r="1088" s="90" customFormat="1" ht="14.4"/>
    <row r="1089" s="90" customFormat="1" ht="14.4"/>
    <row r="1090" s="90" customFormat="1" ht="14.4"/>
    <row r="1091" s="90" customFormat="1" ht="14.4"/>
    <row r="1092" s="90" customFormat="1" ht="14.4"/>
    <row r="1093" s="90" customFormat="1" ht="14.4"/>
    <row r="1094" s="90" customFormat="1" ht="14.4"/>
    <row r="1095" s="90" customFormat="1" ht="14.4"/>
    <row r="1096" s="90" customFormat="1" ht="14.4"/>
    <row r="1097" s="90" customFormat="1" ht="14.4"/>
    <row r="1098" s="90" customFormat="1" ht="14.4"/>
    <row r="1099" s="90" customFormat="1" ht="14.4"/>
    <row r="1100" s="90" customFormat="1" ht="14.4"/>
    <row r="1101" s="90" customFormat="1" ht="14.4"/>
    <row r="1102" s="90" customFormat="1" ht="14.4"/>
    <row r="1103" s="90" customFormat="1" ht="14.4"/>
    <row r="1104" s="90" customFormat="1" ht="14.4"/>
    <row r="1105" s="90" customFormat="1" ht="14.4"/>
    <row r="1106" s="90" customFormat="1" ht="14.4"/>
    <row r="1107" s="90" customFormat="1" ht="14.4"/>
    <row r="1108" s="90" customFormat="1" ht="14.4"/>
    <row r="1109" s="90" customFormat="1" ht="14.4"/>
    <row r="1110" s="90" customFormat="1" ht="14.4"/>
    <row r="1111" s="90" customFormat="1" ht="14.4"/>
    <row r="1112" s="90" customFormat="1" ht="14.4"/>
    <row r="1113" s="90" customFormat="1" ht="14.4"/>
    <row r="1114" s="90" customFormat="1" ht="14.4"/>
    <row r="1115" s="90" customFormat="1" ht="14.4"/>
    <row r="1116" s="90" customFormat="1" ht="14.4"/>
    <row r="1117" s="90" customFormat="1" ht="14.4"/>
    <row r="1118" s="90" customFormat="1" ht="14.4"/>
    <row r="1119" s="90" customFormat="1" ht="14.4"/>
    <row r="1120" s="90" customFormat="1" ht="14.4"/>
    <row r="1121" s="90" customFormat="1" ht="14.4"/>
    <row r="1122" s="90" customFormat="1" ht="14.4"/>
    <row r="1123" s="90" customFormat="1" ht="14.4"/>
    <row r="1124" s="90" customFormat="1" ht="14.4"/>
    <row r="1125" s="90" customFormat="1" ht="14.4"/>
    <row r="1126" s="90" customFormat="1" ht="14.4"/>
    <row r="1127" s="90" customFormat="1" ht="14.4"/>
    <row r="1128" s="90" customFormat="1" ht="14.4"/>
    <row r="1129" s="90" customFormat="1" ht="14.4"/>
    <row r="1130" s="90" customFormat="1" ht="14.4"/>
    <row r="1131" s="90" customFormat="1" ht="14.4"/>
    <row r="1132" s="90" customFormat="1" ht="14.4"/>
    <row r="1133" s="90" customFormat="1" ht="14.4"/>
    <row r="1134" s="90" customFormat="1" ht="14.4"/>
    <row r="1135" s="90" customFormat="1" ht="14.4"/>
    <row r="1136" s="90" customFormat="1" ht="14.4"/>
    <row r="1137" s="90" customFormat="1" ht="14.4"/>
    <row r="1138" s="90" customFormat="1" ht="14.4"/>
    <row r="1139" s="90" customFormat="1" ht="14.4"/>
    <row r="1140" s="90" customFormat="1" ht="14.4"/>
    <row r="1141" s="90" customFormat="1" ht="14.4"/>
    <row r="1142" s="90" customFormat="1" ht="14.4"/>
    <row r="1143" s="90" customFormat="1" ht="14.4"/>
    <row r="1144" s="90" customFormat="1" ht="14.4"/>
    <row r="1145" s="90" customFormat="1" ht="14.4"/>
    <row r="1146" s="90" customFormat="1" ht="14.4"/>
    <row r="1147" s="90" customFormat="1" ht="14.4"/>
    <row r="1148" s="90" customFormat="1" ht="14.4"/>
    <row r="1149" s="90" customFormat="1" ht="14.4"/>
    <row r="1150" s="90" customFormat="1" ht="14.4"/>
    <row r="1151" s="90" customFormat="1" ht="14.4"/>
    <row r="1152" s="90" customFormat="1" ht="14.4"/>
    <row r="1153" s="90" customFormat="1" ht="14.4"/>
    <row r="1154" s="90" customFormat="1" ht="14.4"/>
    <row r="1155" s="90" customFormat="1" ht="14.4"/>
    <row r="1156" s="90" customFormat="1" ht="14.4"/>
    <row r="1157" s="90" customFormat="1" ht="14.4"/>
    <row r="1158" s="90" customFormat="1" ht="14.4"/>
    <row r="1159" s="90" customFormat="1" ht="14.4"/>
    <row r="1160" s="90" customFormat="1" ht="14.4"/>
    <row r="1161" s="90" customFormat="1" ht="14.4"/>
    <row r="1162" s="90" customFormat="1" ht="14.4"/>
    <row r="1163" s="90" customFormat="1" ht="14.4"/>
    <row r="1164" s="90" customFormat="1" ht="14.4"/>
    <row r="1165" s="90" customFormat="1" ht="14.4"/>
    <row r="1166" s="90" customFormat="1" ht="14.4"/>
    <row r="1167" s="90" customFormat="1" ht="14.4"/>
    <row r="1168" s="90" customFormat="1" ht="14.4"/>
    <row r="1169" s="90" customFormat="1" ht="14.4"/>
    <row r="1170" s="90" customFormat="1" ht="14.4"/>
    <row r="1171" s="90" customFormat="1" ht="14.4"/>
    <row r="1172" s="90" customFormat="1" ht="14.4"/>
    <row r="1173" s="90" customFormat="1" ht="14.4"/>
    <row r="1174" s="90" customFormat="1" ht="14.4"/>
    <row r="1175" s="90" customFormat="1" ht="14.4"/>
    <row r="1176" s="90" customFormat="1" ht="14.4"/>
    <row r="1177" s="90" customFormat="1" ht="14.4"/>
    <row r="1178" s="90" customFormat="1" ht="14.4"/>
    <row r="1179" s="90" customFormat="1" ht="14.4"/>
    <row r="1180" s="90" customFormat="1" ht="14.4"/>
    <row r="1181" s="90" customFormat="1" ht="14.4"/>
    <row r="1182" s="90" customFormat="1" ht="14.4"/>
    <row r="1183" s="90" customFormat="1" ht="14.4"/>
    <row r="1184" s="90" customFormat="1" ht="14.4"/>
    <row r="1185" s="90" customFormat="1" ht="14.4"/>
    <row r="1186" s="90" customFormat="1" ht="14.4"/>
    <row r="1187" s="90" customFormat="1" ht="14.4"/>
    <row r="1188" s="90" customFormat="1" ht="14.4"/>
    <row r="1189" s="90" customFormat="1" ht="14.4"/>
    <row r="1190" s="90" customFormat="1" ht="14.4"/>
    <row r="1191" s="90" customFormat="1" ht="14.4"/>
    <row r="1192" s="90" customFormat="1" ht="14.4"/>
    <row r="1193" s="90" customFormat="1" ht="14.4"/>
    <row r="1194" s="90" customFormat="1" ht="14.4"/>
    <row r="1195" s="90" customFormat="1" ht="14.4"/>
    <row r="1196" s="90" customFormat="1" ht="14.4"/>
    <row r="1197" s="90" customFormat="1" ht="14.4"/>
    <row r="1198" s="90" customFormat="1" ht="14.4"/>
    <row r="1199" s="90" customFormat="1" ht="14.4"/>
    <row r="1200" s="90" customFormat="1" ht="14.4"/>
    <row r="1201" s="90" customFormat="1" ht="14.4"/>
    <row r="1202" s="90" customFormat="1" ht="14.4"/>
    <row r="1203" s="90" customFormat="1" ht="14.4"/>
    <row r="1204" s="90" customFormat="1" ht="14.4"/>
    <row r="1205" s="90" customFormat="1" ht="14.4"/>
    <row r="1206" s="90" customFormat="1" ht="14.4"/>
    <row r="1207" s="90" customFormat="1" ht="14.4"/>
    <row r="1208" s="90" customFormat="1" ht="14.4"/>
    <row r="1209" s="90" customFormat="1" ht="14.4"/>
    <row r="1210" s="90" customFormat="1" ht="14.4"/>
    <row r="1211" s="90" customFormat="1" ht="14.4"/>
    <row r="1212" s="90" customFormat="1" ht="14.4"/>
    <row r="1213" s="90" customFormat="1" ht="14.4"/>
    <row r="1214" s="90" customFormat="1" ht="14.4"/>
    <row r="1215" s="90" customFormat="1" ht="14.4"/>
    <row r="1216" s="90" customFormat="1" ht="14.4"/>
    <row r="1217" s="90" customFormat="1" ht="14.4"/>
    <row r="1218" s="90" customFormat="1" ht="14.4"/>
    <row r="1219" s="90" customFormat="1" ht="14.4"/>
    <row r="1220" s="90" customFormat="1" ht="14.4"/>
    <row r="1221" s="90" customFormat="1" ht="14.4"/>
    <row r="1222" s="90" customFormat="1" ht="14.4"/>
    <row r="1223" s="90" customFormat="1" ht="14.4"/>
    <row r="1224" s="90" customFormat="1" ht="14.4"/>
    <row r="1225" s="90" customFormat="1" ht="14.4"/>
    <row r="1226" s="90" customFormat="1" ht="14.4"/>
    <row r="1227" s="90" customFormat="1" ht="14.4"/>
    <row r="1228" s="90" customFormat="1" ht="14.4"/>
    <row r="1229" s="90" customFormat="1" ht="14.4"/>
    <row r="1230" s="90" customFormat="1" ht="14.4"/>
    <row r="1231" s="90" customFormat="1" ht="14.4"/>
    <row r="1232" s="90" customFormat="1" ht="14.4"/>
    <row r="1233" s="90" customFormat="1" ht="14.4"/>
    <row r="1234" s="90" customFormat="1" ht="14.4"/>
    <row r="1235" s="90" customFormat="1" ht="14.4"/>
    <row r="1236" s="90" customFormat="1" ht="14.4"/>
    <row r="1237" s="90" customFormat="1" ht="14.4"/>
    <row r="1238" s="90" customFormat="1" ht="14.4"/>
    <row r="1239" s="90" customFormat="1" ht="14.4"/>
    <row r="1240" s="90" customFormat="1" ht="14.4"/>
    <row r="1241" s="90" customFormat="1" ht="14.4"/>
    <row r="1242" s="90" customFormat="1" ht="14.4"/>
    <row r="1243" s="90" customFormat="1" ht="14.4"/>
    <row r="1244" s="90" customFormat="1" ht="14.4"/>
    <row r="1245" s="90" customFormat="1" ht="14.4"/>
    <row r="1246" s="90" customFormat="1" ht="14.4"/>
    <row r="1247" s="90" customFormat="1" ht="14.4"/>
    <row r="1248" s="90" customFormat="1" ht="14.4"/>
    <row r="1249" s="90" customFormat="1" ht="14.4"/>
    <row r="1250" s="90" customFormat="1" ht="14.4"/>
    <row r="1251" s="90" customFormat="1" ht="14.4"/>
    <row r="1252" s="90" customFormat="1" ht="14.4"/>
    <row r="1253" s="90" customFormat="1" ht="14.4"/>
    <row r="1254" s="90" customFormat="1" ht="14.4"/>
    <row r="1255" s="90" customFormat="1" ht="14.4"/>
    <row r="1256" s="90" customFormat="1" ht="14.4"/>
    <row r="1257" s="90" customFormat="1" ht="14.4"/>
    <row r="1258" s="90" customFormat="1" ht="14.4"/>
    <row r="1259" s="90" customFormat="1" ht="14.4"/>
    <row r="1260" s="90" customFormat="1" ht="14.4"/>
    <row r="1261" s="90" customFormat="1" ht="14.4"/>
    <row r="1262" s="90" customFormat="1" ht="14.4"/>
    <row r="1263" s="90" customFormat="1" ht="14.4"/>
    <row r="1264" s="90" customFormat="1" ht="14.4"/>
    <row r="1265" s="90" customFormat="1" ht="14.4"/>
    <row r="1266" s="90" customFormat="1" ht="14.4"/>
    <row r="1267" s="90" customFormat="1" ht="14.4"/>
    <row r="1268" s="90" customFormat="1" ht="14.4"/>
    <row r="1269" s="90" customFormat="1" ht="14.4"/>
    <row r="1270" s="90" customFormat="1" ht="14.4"/>
    <row r="1271" s="90" customFormat="1" ht="14.4"/>
    <row r="1272" s="90" customFormat="1" ht="14.4"/>
    <row r="1273" s="90" customFormat="1" ht="14.4"/>
    <row r="1274" s="90" customFormat="1" ht="14.4"/>
    <row r="1275" s="90" customFormat="1" ht="14.4"/>
    <row r="1276" s="90" customFormat="1" ht="14.4"/>
    <row r="1277" s="90" customFormat="1" ht="14.4"/>
    <row r="1278" s="90" customFormat="1" ht="14.4"/>
    <row r="1279" s="90" customFormat="1" ht="14.4"/>
    <row r="1280" s="90" customFormat="1" ht="14.4"/>
    <row r="1281" s="90" customFormat="1" ht="14.4"/>
    <row r="1282" s="90" customFormat="1" ht="14.4"/>
    <row r="1283" s="90" customFormat="1" ht="14.4"/>
    <row r="1284" s="90" customFormat="1" ht="14.4"/>
    <row r="1285" s="90" customFormat="1" ht="14.4"/>
    <row r="1286" s="90" customFormat="1" ht="14.4"/>
    <row r="1287" s="90" customFormat="1" ht="14.4"/>
    <row r="1288" s="90" customFormat="1" ht="14.4"/>
    <row r="1289" s="90" customFormat="1" ht="14.4"/>
    <row r="1290" s="90" customFormat="1" ht="14.4"/>
    <row r="1291" s="90" customFormat="1" ht="14.4"/>
    <row r="1292" s="90" customFormat="1" ht="14.4"/>
    <row r="1293" s="90" customFormat="1" ht="14.4"/>
    <row r="1294" s="90" customFormat="1" ht="14.4"/>
    <row r="1295" s="90" customFormat="1" ht="14.4"/>
    <row r="1296" s="90" customFormat="1" ht="14.4"/>
    <row r="1297" s="90" customFormat="1" ht="14.4"/>
    <row r="1298" s="90" customFormat="1" ht="14.4"/>
    <row r="1299" s="90" customFormat="1" ht="14.4"/>
    <row r="1300" s="90" customFormat="1" ht="14.4"/>
    <row r="1301" s="90" customFormat="1" ht="14.4"/>
    <row r="1302" s="90" customFormat="1" ht="14.4"/>
    <row r="1303" s="90" customFormat="1" ht="14.4"/>
    <row r="1304" s="90" customFormat="1" ht="14.4"/>
    <row r="1305" s="90" customFormat="1" ht="14.4"/>
    <row r="1306" s="90" customFormat="1" ht="14.4"/>
    <row r="1307" s="90" customFormat="1" ht="14.4"/>
    <row r="1308" s="90" customFormat="1" ht="14.4"/>
    <row r="1309" s="90" customFormat="1" ht="14.4"/>
    <row r="1310" s="90" customFormat="1" ht="14.4"/>
    <row r="1311" s="90" customFormat="1" ht="14.4"/>
    <row r="1312" s="90" customFormat="1" ht="14.4"/>
    <row r="1313" s="90" customFormat="1" ht="14.4"/>
    <row r="1314" s="90" customFormat="1" ht="14.4"/>
    <row r="1315" s="90" customFormat="1" ht="14.4"/>
    <row r="1316" s="90" customFormat="1" ht="14.4"/>
    <row r="1317" s="90" customFormat="1" ht="14.4"/>
    <row r="1318" s="90" customFormat="1" ht="14.4"/>
    <row r="1319" s="90" customFormat="1" ht="14.4"/>
    <row r="1320" s="90" customFormat="1" ht="14.4"/>
    <row r="1321" s="90" customFormat="1" ht="14.4"/>
    <row r="1322" s="90" customFormat="1" ht="14.4"/>
    <row r="1323" s="90" customFormat="1" ht="14.4"/>
    <row r="1324" s="90" customFormat="1" ht="14.4"/>
    <row r="1325" s="90" customFormat="1" ht="14.4"/>
    <row r="1326" s="90" customFormat="1" ht="14.4"/>
    <row r="1327" s="90" customFormat="1" ht="14.4"/>
    <row r="1328" s="90" customFormat="1" ht="14.4"/>
    <row r="1329" s="90" customFormat="1" ht="14.4"/>
    <row r="1330" s="90" customFormat="1" ht="14.4"/>
    <row r="1331" s="90" customFormat="1" ht="14.4"/>
    <row r="1332" s="90" customFormat="1" ht="14.4"/>
    <row r="1333" s="90" customFormat="1" ht="14.4"/>
    <row r="1334" s="90" customFormat="1" ht="14.4"/>
    <row r="1335" s="90" customFormat="1" ht="14.4"/>
    <row r="1336" s="90" customFormat="1" ht="14.4"/>
    <row r="1337" s="90" customFormat="1" ht="14.4"/>
    <row r="1338" s="90" customFormat="1" ht="14.4"/>
    <row r="1339" s="90" customFormat="1" ht="14.4"/>
    <row r="1340" s="90" customFormat="1" ht="14.4"/>
    <row r="1341" s="90" customFormat="1" ht="14.4"/>
    <row r="1342" s="90" customFormat="1" ht="14.4"/>
    <row r="1343" s="90" customFormat="1" ht="14.4"/>
    <row r="1344" s="90" customFormat="1" ht="14.4"/>
    <row r="1345" s="90" customFormat="1" ht="14.4"/>
    <row r="1346" s="90" customFormat="1" ht="14.4"/>
    <row r="1347" s="90" customFormat="1" ht="14.4"/>
    <row r="1348" s="90" customFormat="1" ht="14.4"/>
    <row r="1349" s="90" customFormat="1" ht="14.4"/>
    <row r="1350" s="90" customFormat="1" ht="14.4"/>
    <row r="1351" s="90" customFormat="1" ht="14.4"/>
    <row r="1352" s="90" customFormat="1" ht="14.4"/>
    <row r="1353" s="90" customFormat="1" ht="14.4"/>
    <row r="1354" s="90" customFormat="1" ht="14.4"/>
    <row r="1355" s="90" customFormat="1" ht="14.4"/>
    <row r="1356" s="90" customFormat="1" ht="14.4"/>
    <row r="1357" s="90" customFormat="1" ht="14.4"/>
    <row r="1358" s="90" customFormat="1" ht="14.4"/>
    <row r="1359" s="90" customFormat="1" ht="14.4"/>
    <row r="1360" s="90" customFormat="1" ht="14.4"/>
    <row r="1361" s="90" customFormat="1" ht="14.4"/>
    <row r="1362" s="90" customFormat="1" ht="14.4"/>
    <row r="1363" s="90" customFormat="1" ht="14.4"/>
    <row r="1364" s="90" customFormat="1" ht="14.4"/>
    <row r="1365" s="90" customFormat="1" ht="14.4"/>
    <row r="1366" s="90" customFormat="1" ht="14.4"/>
    <row r="1367" s="90" customFormat="1" ht="14.4"/>
    <row r="1368" s="90" customFormat="1" ht="14.4"/>
    <row r="1369" s="90" customFormat="1" ht="14.4"/>
    <row r="1370" s="90" customFormat="1" ht="14.4"/>
    <row r="1371" s="90" customFormat="1" ht="14.4"/>
    <row r="1372" s="90" customFormat="1" ht="14.4"/>
    <row r="1373" s="90" customFormat="1" ht="14.4"/>
    <row r="1374" s="90" customFormat="1" ht="14.4"/>
    <row r="1375" s="90" customFormat="1" ht="14.4"/>
    <row r="1376" s="90" customFormat="1" ht="14.4"/>
    <row r="1377" s="90" customFormat="1" ht="14.4"/>
    <row r="1378" s="90" customFormat="1" ht="14.4"/>
    <row r="1379" s="90" customFormat="1" ht="14.4"/>
    <row r="1380" s="90" customFormat="1" ht="14.4"/>
    <row r="1381" s="90" customFormat="1" ht="14.4"/>
    <row r="1382" s="90" customFormat="1" ht="14.4"/>
    <row r="1383" s="90" customFormat="1" ht="14.4"/>
    <row r="1384" s="90" customFormat="1" ht="14.4"/>
    <row r="1385" s="90" customFormat="1" ht="14.4"/>
    <row r="1386" s="90" customFormat="1" ht="14.4"/>
    <row r="1387" s="90" customFormat="1" ht="14.4"/>
    <row r="1388" s="90" customFormat="1" ht="14.4"/>
    <row r="1389" s="90" customFormat="1" ht="14.4"/>
    <row r="1390" s="90" customFormat="1" ht="14.4"/>
    <row r="1391" s="90" customFormat="1" ht="14.4"/>
    <row r="1392" s="90" customFormat="1" ht="14.4"/>
    <row r="1393" s="90" customFormat="1" ht="14.4"/>
    <row r="1394" s="90" customFormat="1" ht="14.4"/>
    <row r="1395" s="90" customFormat="1" ht="14.4"/>
    <row r="1396" s="90" customFormat="1" ht="14.4"/>
    <row r="1397" s="90" customFormat="1" ht="14.4"/>
    <row r="1398" s="90" customFormat="1" ht="14.4"/>
    <row r="1399" s="90" customFormat="1" ht="14.4"/>
    <row r="1400" s="90" customFormat="1" ht="14.4"/>
    <row r="1401" s="90" customFormat="1" ht="14.4"/>
    <row r="1402" s="90" customFormat="1" ht="14.4"/>
    <row r="1403" s="90" customFormat="1" ht="14.4"/>
    <row r="1404" s="90" customFormat="1" ht="14.4"/>
    <row r="1405" s="90" customFormat="1" ht="14.4"/>
    <row r="1406" s="90" customFormat="1" ht="14.4"/>
    <row r="1407" s="90" customFormat="1" ht="14.4"/>
    <row r="1408" s="90" customFormat="1" ht="14.4"/>
    <row r="1409" s="90" customFormat="1" ht="14.4"/>
    <row r="1410" s="90" customFormat="1" ht="14.4"/>
    <row r="1411" s="90" customFormat="1" ht="14.4"/>
    <row r="1412" s="90" customFormat="1" ht="14.4"/>
    <row r="1413" s="90" customFormat="1" ht="14.4"/>
    <row r="1414" s="90" customFormat="1" ht="14.4"/>
    <row r="1415" s="90" customFormat="1" ht="14.4"/>
    <row r="1416" s="90" customFormat="1" ht="14.4"/>
    <row r="1417" s="90" customFormat="1" ht="14.4"/>
    <row r="1418" s="90" customFormat="1" ht="14.4"/>
    <row r="1419" s="90" customFormat="1" ht="14.4"/>
    <row r="1420" s="90" customFormat="1" ht="14.4"/>
    <row r="1421" s="90" customFormat="1" ht="14.4"/>
    <row r="1422" s="90" customFormat="1" ht="14.4"/>
    <row r="1423" s="90" customFormat="1" ht="14.4"/>
    <row r="1424" s="90" customFormat="1" ht="14.4"/>
    <row r="1425" s="90" customFormat="1" ht="14.4"/>
    <row r="1426" s="90" customFormat="1" ht="14.4"/>
    <row r="1427" s="90" customFormat="1" ht="14.4"/>
    <row r="1428" s="90" customFormat="1" ht="14.4"/>
    <row r="1429" s="90" customFormat="1" ht="14.4"/>
    <row r="1430" s="90" customFormat="1" ht="14.4"/>
    <row r="1431" s="90" customFormat="1" ht="14.4"/>
    <row r="1432" s="90" customFormat="1" ht="14.4"/>
    <row r="1433" s="90" customFormat="1" ht="14.4"/>
    <row r="1434" s="90" customFormat="1" ht="14.4"/>
    <row r="1435" s="90" customFormat="1" ht="14.4"/>
    <row r="1436" s="90" customFormat="1" ht="14.4"/>
    <row r="1437" s="90" customFormat="1" ht="14.4"/>
    <row r="1438" s="90" customFormat="1" ht="14.4"/>
    <row r="1439" s="90" customFormat="1" ht="14.4"/>
    <row r="1440" s="90" customFormat="1" ht="14.4"/>
    <row r="1441" s="90" customFormat="1" ht="14.4"/>
    <row r="1442" s="90" customFormat="1" ht="14.4"/>
    <row r="1443" s="90" customFormat="1" ht="14.4"/>
    <row r="1444" s="90" customFormat="1" ht="14.4"/>
    <row r="1445" s="90" customFormat="1" ht="14.4"/>
    <row r="1446" s="90" customFormat="1" ht="14.4"/>
    <row r="1447" s="90" customFormat="1" ht="14.4"/>
    <row r="1448" s="90" customFormat="1" ht="14.4"/>
    <row r="1449" s="90" customFormat="1" ht="14.4"/>
    <row r="1450" s="90" customFormat="1" ht="14.4"/>
    <row r="1451" s="90" customFormat="1" ht="14.4"/>
    <row r="1452" s="90" customFormat="1" ht="14.4"/>
    <row r="1453" s="90" customFormat="1" ht="14.4"/>
    <row r="1454" s="90" customFormat="1" ht="14.4"/>
    <row r="1455" s="90" customFormat="1" ht="14.4"/>
    <row r="1456" s="90" customFormat="1" ht="14.4"/>
    <row r="1457" s="90" customFormat="1" ht="14.4"/>
    <row r="1458" s="90" customFormat="1" ht="14.4"/>
    <row r="1459" s="90" customFormat="1" ht="14.4"/>
    <row r="1460" s="90" customFormat="1" ht="14.4"/>
    <row r="1461" s="90" customFormat="1" ht="14.4"/>
    <row r="1462" s="90" customFormat="1" ht="14.4"/>
    <row r="1463" s="90" customFormat="1" ht="14.4"/>
    <row r="1464" s="90" customFormat="1" ht="14.4"/>
    <row r="1465" s="90" customFormat="1" ht="14.4"/>
    <row r="1466" s="90" customFormat="1" ht="14.4"/>
    <row r="1467" s="90" customFormat="1" ht="14.4"/>
    <row r="1468" s="90" customFormat="1" ht="14.4"/>
    <row r="1469" s="90" customFormat="1" ht="14.4"/>
    <row r="1470" s="90" customFormat="1" ht="14.4"/>
    <row r="1471" s="90" customFormat="1" ht="14.4"/>
    <row r="1472" s="90" customFormat="1" ht="14.4"/>
    <row r="1473" s="90" customFormat="1" ht="14.4"/>
    <row r="1474" s="90" customFormat="1" ht="14.4"/>
    <row r="1475" s="90" customFormat="1" ht="14.4"/>
    <row r="1476" s="90" customFormat="1" ht="14.4"/>
    <row r="1477" s="90" customFormat="1" ht="14.4"/>
    <row r="1478" s="90" customFormat="1" ht="14.4"/>
    <row r="1479" s="90" customFormat="1" ht="14.4"/>
    <row r="1480" s="90" customFormat="1" ht="14.4"/>
    <row r="1481" s="90" customFormat="1" ht="14.4"/>
    <row r="1482" s="90" customFormat="1" ht="14.4"/>
    <row r="1483" s="90" customFormat="1" ht="14.4"/>
    <row r="1484" s="90" customFormat="1" ht="14.4"/>
    <row r="1485" s="90" customFormat="1" ht="14.4"/>
    <row r="1486" s="90" customFormat="1" ht="14.4"/>
    <row r="1487" s="90" customFormat="1" ht="14.4"/>
    <row r="1488" s="90" customFormat="1" ht="14.4"/>
    <row r="1489" s="90" customFormat="1" ht="14.4"/>
    <row r="1490" s="90" customFormat="1" ht="14.4"/>
    <row r="1491" s="90" customFormat="1" ht="14.4"/>
    <row r="1492" s="90" customFormat="1" ht="14.4"/>
    <row r="1493" s="90" customFormat="1" ht="14.4"/>
    <row r="1494" s="90" customFormat="1" ht="14.4"/>
    <row r="1495" s="90" customFormat="1" ht="14.4"/>
    <row r="1496" s="90" customFormat="1" ht="14.4"/>
    <row r="1497" s="90" customFormat="1" ht="14.4"/>
    <row r="1498" s="90" customFormat="1" ht="14.4"/>
    <row r="1499" s="90" customFormat="1" ht="14.4"/>
    <row r="1500" s="90" customFormat="1" ht="14.4"/>
    <row r="1501" s="90" customFormat="1" ht="14.4"/>
    <row r="1502" s="90" customFormat="1" ht="14.4"/>
    <row r="1503" s="90" customFormat="1" ht="14.4"/>
    <row r="1504" s="90" customFormat="1" ht="14.4"/>
    <row r="1505" s="90" customFormat="1" ht="14.4"/>
    <row r="1506" s="90" customFormat="1" ht="14.4"/>
    <row r="1507" s="90" customFormat="1" ht="14.4"/>
    <row r="1508" s="90" customFormat="1" ht="14.4"/>
    <row r="1509" s="90" customFormat="1" ht="14.4"/>
    <row r="1510" s="90" customFormat="1" ht="14.4"/>
    <row r="1511" s="90" customFormat="1" ht="14.4"/>
    <row r="1512" s="90" customFormat="1" ht="14.4"/>
    <row r="1513" s="90" customFormat="1" ht="14.4"/>
    <row r="1514" s="90" customFormat="1" ht="14.4"/>
    <row r="1515" s="90" customFormat="1" ht="14.4"/>
    <row r="1516" s="90" customFormat="1" ht="14.4"/>
    <row r="1517" s="90" customFormat="1" ht="14.4"/>
    <row r="1518" s="90" customFormat="1" ht="14.4"/>
    <row r="1519" s="90" customFormat="1" ht="14.4"/>
    <row r="1520" s="90" customFormat="1" ht="14.4"/>
    <row r="1521" s="90" customFormat="1" ht="14.4"/>
    <row r="1522" s="90" customFormat="1" ht="14.4"/>
    <row r="1523" s="90" customFormat="1" ht="14.4"/>
    <row r="1524" s="90" customFormat="1" ht="14.4"/>
    <row r="1525" s="90" customFormat="1" ht="14.4"/>
    <row r="1526" s="90" customFormat="1" ht="14.4"/>
    <row r="1527" s="90" customFormat="1" ht="14.4"/>
    <row r="1528" s="90" customFormat="1" ht="14.4"/>
    <row r="1529" s="90" customFormat="1" ht="14.4"/>
    <row r="1530" s="90" customFormat="1" ht="14.4"/>
    <row r="1531" s="90" customFormat="1" ht="14.4"/>
    <row r="1532" s="90" customFormat="1" ht="14.4"/>
    <row r="1533" s="90" customFormat="1" ht="14.4"/>
    <row r="1534" s="90" customFormat="1" ht="14.4"/>
    <row r="1535" s="90" customFormat="1" ht="14.4"/>
    <row r="1536" s="90" customFormat="1" ht="14.4"/>
    <row r="1537" s="90" customFormat="1" ht="14.4"/>
    <row r="1538" s="90" customFormat="1" ht="14.4"/>
    <row r="1539" s="90" customFormat="1" ht="14.4"/>
    <row r="1540" s="90" customFormat="1" ht="14.4"/>
    <row r="1541" s="90" customFormat="1" ht="14.4"/>
    <row r="1542" s="90" customFormat="1" ht="14.4"/>
    <row r="1543" s="90" customFormat="1" ht="14.4"/>
    <row r="1544" s="90" customFormat="1" ht="14.4"/>
    <row r="1545" s="90" customFormat="1" ht="14.4"/>
    <row r="1546" s="90" customFormat="1" ht="14.4"/>
    <row r="1547" s="90" customFormat="1" ht="14.4"/>
    <row r="1548" s="90" customFormat="1" ht="14.4"/>
    <row r="1549" s="90" customFormat="1" ht="14.4"/>
    <row r="1550" s="90" customFormat="1" ht="14.4"/>
    <row r="1551" s="90" customFormat="1" ht="14.4"/>
    <row r="1552" s="90" customFormat="1" ht="14.4"/>
    <row r="1553" s="90" customFormat="1" ht="14.4"/>
    <row r="1554" s="90" customFormat="1" ht="14.4"/>
    <row r="1555" s="90" customFormat="1" ht="14.4"/>
    <row r="1556" s="90" customFormat="1" ht="14.4"/>
    <row r="1557" s="90" customFormat="1" ht="14.4"/>
    <row r="1558" s="90" customFormat="1" ht="14.4"/>
    <row r="1559" s="90" customFormat="1" ht="14.4"/>
    <row r="1560" s="90" customFormat="1" ht="14.4"/>
    <row r="1561" s="90" customFormat="1" ht="14.4"/>
    <row r="1562" s="90" customFormat="1" ht="14.4"/>
    <row r="1563" s="90" customFormat="1" ht="14.4"/>
    <row r="1564" s="90" customFormat="1" ht="14.4"/>
    <row r="1565" s="90" customFormat="1" ht="14.4"/>
    <row r="1566" s="90" customFormat="1" ht="14.4"/>
    <row r="1567" s="90" customFormat="1" ht="14.4"/>
    <row r="1568" s="90" customFormat="1" ht="14.4"/>
    <row r="1569" s="90" customFormat="1" ht="14.4"/>
    <row r="1570" s="90" customFormat="1" ht="14.4"/>
    <row r="1571" s="90" customFormat="1" ht="14.4"/>
    <row r="1572" s="90" customFormat="1" ht="14.4"/>
    <row r="1573" s="90" customFormat="1" ht="14.4"/>
    <row r="1574" s="90" customFormat="1" ht="14.4"/>
    <row r="1575" s="90" customFormat="1" ht="14.4"/>
    <row r="1576" s="90" customFormat="1" ht="14.4"/>
    <row r="1577" s="90" customFormat="1" ht="14.4"/>
    <row r="1578" s="90" customFormat="1" ht="14.4"/>
    <row r="1579" s="90" customFormat="1" ht="14.4"/>
    <row r="1580" s="90" customFormat="1" ht="14.4"/>
    <row r="1581" s="90" customFormat="1" ht="14.4"/>
    <row r="1582" s="90" customFormat="1" ht="14.4"/>
    <row r="1583" s="90" customFormat="1" ht="14.4"/>
    <row r="1584" s="90" customFormat="1" ht="14.4"/>
    <row r="1585" s="90" customFormat="1" ht="14.4"/>
    <row r="1586" s="90" customFormat="1" ht="14.4"/>
    <row r="1587" s="90" customFormat="1" ht="14.4"/>
    <row r="1588" s="90" customFormat="1" ht="14.4"/>
    <row r="1589" s="90" customFormat="1" ht="14.4"/>
    <row r="1590" s="90" customFormat="1" ht="14.4"/>
    <row r="1591" s="90" customFormat="1" ht="14.4"/>
    <row r="1592" s="90" customFormat="1" ht="14.4"/>
    <row r="1593" s="90" customFormat="1" ht="14.4"/>
    <row r="1594" s="90" customFormat="1" ht="14.4"/>
    <row r="1595" s="90" customFormat="1" ht="14.4"/>
    <row r="1596" s="90" customFormat="1" ht="14.4"/>
    <row r="1597" s="90" customFormat="1" ht="14.4"/>
    <row r="1598" s="90" customFormat="1" ht="14.4"/>
    <row r="1599" s="90" customFormat="1" ht="14.4"/>
    <row r="1600" s="90" customFormat="1" ht="14.4"/>
    <row r="1601" s="90" customFormat="1" ht="14.4"/>
    <row r="1602" s="90" customFormat="1" ht="14.4"/>
    <row r="1603" s="90" customFormat="1" ht="14.4"/>
    <row r="1604" s="90" customFormat="1" ht="14.4"/>
    <row r="1605" s="90" customFormat="1" ht="14.4"/>
    <row r="1606" s="90" customFormat="1" ht="14.4"/>
    <row r="1607" s="90" customFormat="1" ht="14.4"/>
    <row r="1608" s="90" customFormat="1" ht="14.4"/>
    <row r="1609" s="90" customFormat="1" ht="14.4"/>
    <row r="1610" s="90" customFormat="1" ht="14.4"/>
    <row r="1611" s="90" customFormat="1" ht="14.4"/>
    <row r="1612" s="90" customFormat="1" ht="14.4"/>
    <row r="1613" s="90" customFormat="1" ht="14.4"/>
    <row r="1614" s="90" customFormat="1" ht="14.4"/>
    <row r="1615" s="90" customFormat="1" ht="14.4"/>
    <row r="1616" s="90" customFormat="1" ht="14.4"/>
    <row r="1617" s="90" customFormat="1" ht="14.4"/>
    <row r="1618" s="90" customFormat="1" ht="14.4"/>
    <row r="1619" s="90" customFormat="1" ht="14.4"/>
    <row r="1620" s="90" customFormat="1" ht="14.4"/>
    <row r="1621" s="90" customFormat="1" ht="14.4"/>
    <row r="1622" s="90" customFormat="1" ht="14.4"/>
    <row r="1623" s="90" customFormat="1" ht="14.4"/>
    <row r="1624" s="90" customFormat="1" ht="14.4"/>
    <row r="1625" s="90" customFormat="1" ht="14.4"/>
    <row r="1626" s="90" customFormat="1" ht="14.4"/>
    <row r="1627" s="90" customFormat="1" ht="14.4"/>
    <row r="1628" s="90" customFormat="1" ht="14.4"/>
    <row r="1629" s="90" customFormat="1" ht="14.4"/>
    <row r="1630" s="90" customFormat="1" ht="14.4"/>
    <row r="1631" s="90" customFormat="1" ht="14.4"/>
    <row r="1632" s="90" customFormat="1" ht="14.4"/>
    <row r="1633" s="90" customFormat="1" ht="14.4"/>
    <row r="1634" s="90" customFormat="1" ht="14.4"/>
    <row r="1635" s="90" customFormat="1" ht="14.4"/>
    <row r="1636" s="90" customFormat="1" ht="14.4"/>
    <row r="1637" s="90" customFormat="1" ht="14.4"/>
    <row r="1638" s="90" customFormat="1" ht="14.4"/>
    <row r="1639" s="90" customFormat="1" ht="14.4"/>
    <row r="1640" s="90" customFormat="1" ht="14.4"/>
    <row r="1641" s="90" customFormat="1" ht="14.4"/>
    <row r="1642" s="90" customFormat="1" ht="14.4"/>
    <row r="1643" s="90" customFormat="1" ht="14.4"/>
    <row r="1644" s="90" customFormat="1" ht="14.4"/>
    <row r="1645" s="90" customFormat="1" ht="14.4"/>
    <row r="1646" s="90" customFormat="1" ht="14.4"/>
    <row r="1647" s="90" customFormat="1" ht="14.4"/>
    <row r="1648" s="90" customFormat="1" ht="14.4"/>
    <row r="1649" s="90" customFormat="1" ht="14.4"/>
    <row r="1650" s="90" customFormat="1" ht="14.4"/>
    <row r="1651" s="90" customFormat="1" ht="14.4"/>
    <row r="1652" s="90" customFormat="1" ht="14.4"/>
    <row r="1653" s="90" customFormat="1" ht="14.4"/>
    <row r="1654" s="90" customFormat="1" ht="14.4"/>
    <row r="1655" s="90" customFormat="1" ht="14.4"/>
    <row r="1656" s="90" customFormat="1" ht="14.4"/>
    <row r="1657" s="90" customFormat="1" ht="14.4"/>
    <row r="1658" s="90" customFormat="1" ht="14.4"/>
    <row r="1659" s="90" customFormat="1" ht="14.4"/>
    <row r="1660" s="90" customFormat="1" ht="14.4"/>
    <row r="1661" s="90" customFormat="1" ht="14.4"/>
    <row r="1662" s="90" customFormat="1" ht="14.4"/>
    <row r="1663" s="90" customFormat="1" ht="14.4"/>
    <row r="1664" s="90" customFormat="1" ht="14.4"/>
    <row r="1665" s="90" customFormat="1" ht="14.4"/>
    <row r="1666" s="90" customFormat="1" ht="14.4"/>
    <row r="1667" s="90" customFormat="1" ht="14.4"/>
    <row r="1668" s="90" customFormat="1" ht="14.4"/>
    <row r="1669" s="90" customFormat="1" ht="14.4"/>
    <row r="1670" s="90" customFormat="1" ht="14.4"/>
    <row r="1671" s="90" customFormat="1" ht="14.4"/>
    <row r="1672" s="90" customFormat="1" ht="14.4"/>
    <row r="1673" s="90" customFormat="1" ht="14.4"/>
    <row r="1674" s="90" customFormat="1" ht="14.4"/>
    <row r="1675" s="90" customFormat="1" ht="14.4"/>
    <row r="1676" s="90" customFormat="1" ht="14.4"/>
    <row r="1677" s="90" customFormat="1" ht="14.4"/>
    <row r="1678" s="90" customFormat="1" ht="14.4"/>
    <row r="1679" s="90" customFormat="1" ht="14.4"/>
    <row r="1680" s="90" customFormat="1" ht="14.4"/>
    <row r="1681" s="90" customFormat="1" ht="14.4"/>
    <row r="1682" s="90" customFormat="1" ht="14.4"/>
    <row r="1683" s="90" customFormat="1" ht="14.4"/>
    <row r="1684" s="90" customFormat="1" ht="14.4"/>
    <row r="1685" s="90" customFormat="1" ht="14.4"/>
    <row r="1686" s="90" customFormat="1" ht="14.4"/>
    <row r="1687" s="90" customFormat="1" ht="14.4"/>
    <row r="1688" s="90" customFormat="1" ht="14.4"/>
    <row r="1689" s="90" customFormat="1" ht="14.4"/>
    <row r="1690" s="90" customFormat="1" ht="14.4"/>
    <row r="1691" s="90" customFormat="1" ht="14.4"/>
    <row r="1692" s="90" customFormat="1" ht="14.4"/>
    <row r="1693" s="90" customFormat="1" ht="14.4"/>
    <row r="1694" s="90" customFormat="1" ht="14.4"/>
    <row r="1695" s="90" customFormat="1" ht="14.4"/>
    <row r="1696" s="90" customFormat="1" ht="14.4"/>
    <row r="1697" s="90" customFormat="1" ht="14.4"/>
    <row r="1698" s="90" customFormat="1" ht="14.4"/>
    <row r="1699" s="90" customFormat="1" ht="14.4"/>
    <row r="1700" s="90" customFormat="1" ht="14.4"/>
    <row r="1701" s="90" customFormat="1" ht="14.4"/>
    <row r="1702" s="90" customFormat="1" ht="14.4"/>
    <row r="1703" s="90" customFormat="1" ht="14.4"/>
    <row r="1704" s="90" customFormat="1" ht="14.4"/>
    <row r="1705" s="90" customFormat="1" ht="14.4"/>
    <row r="1706" s="90" customFormat="1" ht="14.4"/>
    <row r="1707" s="90" customFormat="1" ht="14.4"/>
    <row r="1708" s="90" customFormat="1" ht="14.4"/>
    <row r="1709" s="90" customFormat="1" ht="14.4"/>
    <row r="1710" s="90" customFormat="1" ht="14.4"/>
    <row r="1711" s="90" customFormat="1" ht="14.4"/>
    <row r="1712" s="90" customFormat="1" ht="14.4"/>
    <row r="1713" s="90" customFormat="1" ht="14.4"/>
    <row r="1714" s="90" customFormat="1" ht="14.4"/>
    <row r="1715" s="90" customFormat="1" ht="14.4"/>
    <row r="1716" s="90" customFormat="1" ht="14.4"/>
    <row r="1717" s="90" customFormat="1" ht="14.4"/>
    <row r="1718" s="90" customFormat="1" ht="14.4"/>
    <row r="1719" s="90" customFormat="1" ht="14.4"/>
    <row r="1720" s="90" customFormat="1" ht="14.4"/>
    <row r="1721" s="90" customFormat="1" ht="14.4"/>
    <row r="1722" s="90" customFormat="1" ht="14.4"/>
    <row r="1723" s="90" customFormat="1" ht="14.4"/>
    <row r="1724" s="90" customFormat="1" ht="14.4"/>
    <row r="1725" s="90" customFormat="1" ht="14.4"/>
    <row r="1726" s="90" customFormat="1" ht="14.4"/>
    <row r="1727" s="90" customFormat="1" ht="14.4"/>
    <row r="1728" s="90" customFormat="1" ht="14.4"/>
    <row r="1729" s="90" customFormat="1" ht="14.4"/>
    <row r="1730" s="90" customFormat="1" ht="14.4"/>
    <row r="1731" s="90" customFormat="1" ht="14.4"/>
    <row r="1732" s="90" customFormat="1" ht="14.4"/>
    <row r="1733" s="90" customFormat="1" ht="14.4"/>
    <row r="1734" s="90" customFormat="1" ht="14.4"/>
    <row r="1735" s="90" customFormat="1" ht="14.4"/>
    <row r="1736" s="90" customFormat="1" ht="14.4"/>
    <row r="1737" s="90" customFormat="1" ht="14.4"/>
    <row r="1738" s="90" customFormat="1" ht="14.4"/>
    <row r="1739" s="90" customFormat="1" ht="14.4"/>
    <row r="1740" s="90" customFormat="1" ht="14.4"/>
    <row r="1741" s="90" customFormat="1" ht="14.4"/>
    <row r="1742" s="90" customFormat="1" ht="14.4"/>
    <row r="1743" s="90" customFormat="1" ht="14.4"/>
    <row r="1744" s="90" customFormat="1" ht="14.4"/>
    <row r="1745" s="90" customFormat="1" ht="14.4"/>
    <row r="1746" s="90" customFormat="1" ht="14.4"/>
    <row r="1747" s="90" customFormat="1" ht="14.4"/>
    <row r="1748" s="90" customFormat="1" ht="14.4"/>
    <row r="1749" s="90" customFormat="1" ht="14.4"/>
    <row r="1750" s="90" customFormat="1" ht="14.4"/>
    <row r="1751" s="90" customFormat="1" ht="14.4"/>
    <row r="1752" s="90" customFormat="1" ht="14.4"/>
    <row r="1753" s="90" customFormat="1" ht="14.4"/>
    <row r="1754" s="90" customFormat="1" ht="14.4"/>
    <row r="1755" s="90" customFormat="1" ht="14.4"/>
    <row r="1756" s="90" customFormat="1" ht="14.4"/>
    <row r="1757" s="90" customFormat="1" ht="14.4"/>
    <row r="1758" s="90" customFormat="1" ht="14.4"/>
    <row r="1759" s="90" customFormat="1" ht="14.4"/>
    <row r="1760" s="90" customFormat="1" ht="14.4"/>
    <row r="1761" s="90" customFormat="1" ht="14.4"/>
    <row r="1762" s="90" customFormat="1" ht="14.4"/>
    <row r="1763" s="90" customFormat="1" ht="14.4"/>
    <row r="1764" s="90" customFormat="1" ht="14.4"/>
    <row r="1765" s="90" customFormat="1" ht="14.4"/>
    <row r="1766" s="90" customFormat="1" ht="14.4"/>
    <row r="1767" s="90" customFormat="1" ht="14.4"/>
    <row r="1768" s="90" customFormat="1" ht="14.4"/>
    <row r="1769" s="90" customFormat="1" ht="14.4"/>
    <row r="1770" s="90" customFormat="1" ht="14.4"/>
    <row r="1771" s="90" customFormat="1" ht="14.4"/>
    <row r="1772" s="90" customFormat="1" ht="14.4"/>
    <row r="1773" s="90" customFormat="1" ht="14.4"/>
    <row r="1774" s="90" customFormat="1" ht="14.4"/>
    <row r="1775" s="90" customFormat="1" ht="14.4"/>
    <row r="1776" s="90" customFormat="1" ht="14.4"/>
    <row r="1777" s="90" customFormat="1" ht="14.4"/>
    <row r="1778" s="90" customFormat="1" ht="14.4"/>
    <row r="1779" s="90" customFormat="1" ht="14.4"/>
    <row r="1780" s="90" customFormat="1" ht="14.4"/>
    <row r="1781" s="90" customFormat="1" ht="14.4"/>
    <row r="1782" s="90" customFormat="1" ht="14.4"/>
    <row r="1783" s="90" customFormat="1" ht="14.4"/>
    <row r="1784" s="90" customFormat="1" ht="14.4"/>
    <row r="1785" s="90" customFormat="1" ht="14.4"/>
    <row r="1786" s="90" customFormat="1" ht="14.4"/>
    <row r="1787" s="90" customFormat="1" ht="14.4"/>
    <row r="1788" s="90" customFormat="1" ht="14.4"/>
    <row r="1789" s="90" customFormat="1" ht="14.4"/>
    <row r="1790" s="90" customFormat="1" ht="14.4"/>
    <row r="1791" s="90" customFormat="1" ht="14.4"/>
    <row r="1792" s="90" customFormat="1" ht="14.4"/>
    <row r="1793" s="90" customFormat="1" ht="14.4"/>
    <row r="1794" s="90" customFormat="1" ht="14.4"/>
    <row r="1795" s="90" customFormat="1" ht="14.4"/>
    <row r="1796" s="90" customFormat="1" ht="14.4"/>
    <row r="1797" s="90" customFormat="1" ht="14.4"/>
    <row r="1798" s="90" customFormat="1" ht="14.4"/>
    <row r="1799" s="90" customFormat="1" ht="14.4"/>
    <row r="1800" s="90" customFormat="1" ht="14.4"/>
    <row r="1801" s="90" customFormat="1" ht="14.4"/>
    <row r="1802" s="90" customFormat="1" ht="14.4"/>
    <row r="1803" s="90" customFormat="1" ht="14.4"/>
    <row r="1804" s="90" customFormat="1" ht="14.4"/>
    <row r="1805" s="90" customFormat="1" ht="14.4"/>
    <row r="1806" s="90" customFormat="1" ht="14.4"/>
    <row r="1807" s="90" customFormat="1" ht="14.4"/>
    <row r="1808" s="90" customFormat="1" ht="14.4"/>
    <row r="1809" s="90" customFormat="1" ht="14.4"/>
    <row r="1810" s="90" customFormat="1" ht="14.4"/>
    <row r="1811" s="90" customFormat="1" ht="14.4"/>
    <row r="1812" s="90" customFormat="1" ht="14.4"/>
    <row r="1813" s="90" customFormat="1" ht="14.4"/>
    <row r="1814" s="90" customFormat="1" ht="14.4"/>
    <row r="1815" s="90" customFormat="1" ht="14.4"/>
    <row r="1816" s="90" customFormat="1" ht="14.4"/>
    <row r="1817" s="90" customFormat="1" ht="14.4"/>
    <row r="1818" s="90" customFormat="1" ht="14.4"/>
    <row r="1819" s="90" customFormat="1" ht="14.4"/>
    <row r="1820" s="90" customFormat="1" ht="14.4"/>
    <row r="1821" s="90" customFormat="1" ht="14.4"/>
    <row r="1822" s="90" customFormat="1" ht="14.4"/>
    <row r="1823" s="90" customFormat="1" ht="14.4"/>
    <row r="1824" s="90" customFormat="1" ht="14.4"/>
    <row r="1825" s="90" customFormat="1" ht="14.4"/>
    <row r="1826" s="90" customFormat="1" ht="14.4"/>
    <row r="1827" s="90" customFormat="1" ht="14.4"/>
    <row r="1828" s="90" customFormat="1" ht="14.4"/>
    <row r="1829" s="90" customFormat="1" ht="14.4"/>
    <row r="1830" s="90" customFormat="1" ht="14.4"/>
    <row r="1831" s="90" customFormat="1" ht="14.4"/>
    <row r="1832" s="90" customFormat="1" ht="14.4"/>
    <row r="1833" s="90" customFormat="1" ht="14.4"/>
    <row r="1834" s="90" customFormat="1" ht="14.4"/>
    <row r="1835" s="90" customFormat="1" ht="14.4"/>
    <row r="1836" s="90" customFormat="1" ht="14.4"/>
    <row r="1837" s="90" customFormat="1" ht="14.4"/>
    <row r="1838" s="90" customFormat="1" ht="14.4"/>
    <row r="1839" s="90" customFormat="1" ht="14.4"/>
    <row r="1840" s="90" customFormat="1" ht="14.4"/>
    <row r="1841" s="90" customFormat="1" ht="14.4"/>
    <row r="1842" s="90" customFormat="1" ht="14.4"/>
    <row r="1843" s="90" customFormat="1" ht="14.4"/>
    <row r="1844" s="90" customFormat="1" ht="14.4"/>
    <row r="1845" s="90" customFormat="1" ht="14.4"/>
    <row r="1846" s="90" customFormat="1" ht="14.4"/>
    <row r="1847" s="90" customFormat="1" ht="14.4"/>
    <row r="1848" s="90" customFormat="1" ht="14.4"/>
    <row r="1849" s="90" customFormat="1" ht="14.4"/>
    <row r="1850" s="90" customFormat="1" ht="14.4"/>
    <row r="1851" s="90" customFormat="1" ht="14.4"/>
    <row r="1852" s="90" customFormat="1" ht="14.4"/>
    <row r="1853" s="90" customFormat="1" ht="14.4"/>
    <row r="1854" s="90" customFormat="1" ht="14.4"/>
    <row r="1855" s="90" customFormat="1" ht="14.4"/>
    <row r="1856" s="90" customFormat="1" ht="14.4"/>
    <row r="1857" s="90" customFormat="1" ht="14.4"/>
    <row r="1858" s="90" customFormat="1" ht="14.4"/>
    <row r="1859" s="90" customFormat="1" ht="14.4"/>
    <row r="1860" s="90" customFormat="1" ht="14.4"/>
    <row r="1861" s="90" customFormat="1" ht="14.4"/>
    <row r="1862" s="90" customFormat="1" ht="14.4"/>
    <row r="1863" s="90" customFormat="1" ht="14.4"/>
    <row r="1864" s="90" customFormat="1" ht="14.4"/>
    <row r="1865" s="90" customFormat="1" ht="14.4"/>
    <row r="1866" s="90" customFormat="1" ht="14.4"/>
    <row r="1867" s="90" customFormat="1" ht="14.4"/>
    <row r="1868" s="90" customFormat="1" ht="14.4"/>
    <row r="1869" s="90" customFormat="1" ht="14.4"/>
    <row r="1870" s="90" customFormat="1" ht="14.4"/>
    <row r="1871" s="90" customFormat="1" ht="14.4"/>
    <row r="1872" s="90" customFormat="1" ht="14.4"/>
    <row r="1873" s="90" customFormat="1" ht="14.4"/>
    <row r="1874" s="90" customFormat="1" ht="14.4"/>
    <row r="1875" s="90" customFormat="1" ht="14.4"/>
    <row r="1876" s="90" customFormat="1" ht="14.4"/>
    <row r="1877" s="90" customFormat="1" ht="14.4"/>
    <row r="1878" s="90" customFormat="1" ht="14.4"/>
    <row r="1879" s="90" customFormat="1" ht="14.4"/>
    <row r="1880" s="90" customFormat="1" ht="14.4"/>
    <row r="1881" s="90" customFormat="1" ht="14.4"/>
    <row r="1882" s="90" customFormat="1" ht="14.4"/>
    <row r="1883" s="90" customFormat="1" ht="14.4"/>
    <row r="1884" s="90" customFormat="1" ht="14.4"/>
    <row r="1885" s="90" customFormat="1" ht="14.4"/>
    <row r="1886" s="90" customFormat="1" ht="14.4"/>
    <row r="1887" s="90" customFormat="1" ht="14.4"/>
    <row r="1888" s="90" customFormat="1" ht="14.4"/>
    <row r="1889" s="90" customFormat="1" ht="14.4"/>
    <row r="1890" s="90" customFormat="1" ht="14.4"/>
    <row r="1891" s="90" customFormat="1" ht="14.4"/>
    <row r="1892" s="90" customFormat="1" ht="14.4"/>
    <row r="1893" s="90" customFormat="1" ht="14.4"/>
    <row r="1894" s="90" customFormat="1" ht="14.4"/>
    <row r="1895" s="90" customFormat="1" ht="14.4"/>
    <row r="1896" s="90" customFormat="1" ht="14.4"/>
    <row r="1897" s="90" customFormat="1" ht="14.4"/>
    <row r="1898" s="90" customFormat="1" ht="14.4"/>
    <row r="1899" s="90" customFormat="1" ht="14.4"/>
    <row r="1900" s="90" customFormat="1" ht="14.4"/>
    <row r="1901" s="90" customFormat="1" ht="14.4"/>
    <row r="1902" s="90" customFormat="1" ht="14.4"/>
    <row r="1903" s="90" customFormat="1" ht="14.4"/>
    <row r="1904" s="90" customFormat="1" ht="14.4"/>
    <row r="1905" s="90" customFormat="1" ht="14.4"/>
    <row r="1906" s="90" customFormat="1" ht="14.4"/>
    <row r="1907" s="90" customFormat="1" ht="14.4"/>
    <row r="1908" s="90" customFormat="1" ht="14.4"/>
    <row r="1909" s="90" customFormat="1" ht="14.4"/>
    <row r="1910" s="90" customFormat="1" ht="14.4"/>
    <row r="1911" s="90" customFormat="1" ht="14.4"/>
    <row r="1912" s="90" customFormat="1" ht="14.4"/>
    <row r="1913" s="90" customFormat="1" ht="14.4"/>
    <row r="1914" s="90" customFormat="1" ht="14.4"/>
    <row r="1915" s="90" customFormat="1" ht="14.4"/>
    <row r="1916" s="90" customFormat="1" ht="14.4"/>
    <row r="1917" s="90" customFormat="1" ht="14.4"/>
    <row r="1918" s="90" customFormat="1" ht="14.4"/>
    <row r="1919" s="90" customFormat="1" ht="14.4"/>
    <row r="1920" s="90" customFormat="1" ht="14.4"/>
    <row r="1921" s="90" customFormat="1" ht="14.4"/>
    <row r="1922" s="90" customFormat="1" ht="14.4"/>
    <row r="1923" s="90" customFormat="1" ht="14.4"/>
    <row r="1924" s="90" customFormat="1" ht="14.4"/>
    <row r="1925" s="90" customFormat="1" ht="14.4"/>
    <row r="1926" s="90" customFormat="1" ht="14.4"/>
    <row r="1927" s="90" customFormat="1" ht="14.4"/>
    <row r="1928" s="90" customFormat="1" ht="14.4"/>
    <row r="1929" s="90" customFormat="1" ht="14.4"/>
    <row r="1930" s="90" customFormat="1" ht="14.4"/>
    <row r="1931" s="90" customFormat="1" ht="14.4"/>
    <row r="1932" s="90" customFormat="1" ht="14.4"/>
    <row r="1933" s="90" customFormat="1" ht="14.4"/>
    <row r="1934" s="90" customFormat="1" ht="14.4"/>
    <row r="1935" s="90" customFormat="1" ht="14.4"/>
    <row r="1936" s="90" customFormat="1" ht="14.4"/>
    <row r="1937" s="90" customFormat="1" ht="14.4"/>
    <row r="1938" s="90" customFormat="1" ht="14.4"/>
    <row r="1939" s="90" customFormat="1" ht="14.4"/>
    <row r="1940" s="90" customFormat="1" ht="14.4"/>
    <row r="1941" s="90" customFormat="1" ht="14.4"/>
    <row r="1942" s="90" customFormat="1" ht="14.4"/>
    <row r="1943" s="90" customFormat="1" ht="14.4"/>
    <row r="1944" s="90" customFormat="1" ht="14.4"/>
    <row r="1945" s="90" customFormat="1" ht="14.4"/>
    <row r="1946" s="90" customFormat="1" ht="14.4"/>
    <row r="1947" s="90" customFormat="1" ht="14.4"/>
    <row r="1948" s="90" customFormat="1" ht="14.4"/>
    <row r="1949" s="90" customFormat="1" ht="14.4"/>
    <row r="1950" s="90" customFormat="1" ht="14.4"/>
    <row r="1951" s="90" customFormat="1" ht="14.4"/>
    <row r="1952" s="90" customFormat="1" ht="14.4"/>
    <row r="1953" s="90" customFormat="1" ht="14.4"/>
    <row r="1954" s="90" customFormat="1" ht="14.4"/>
    <row r="1955" s="90" customFormat="1" ht="14.4"/>
    <row r="1956" s="90" customFormat="1" ht="14.4"/>
    <row r="1957" s="90" customFormat="1" ht="14.4"/>
    <row r="1958" s="90" customFormat="1" ht="14.4"/>
    <row r="1959" s="90" customFormat="1" ht="14.4"/>
    <row r="1960" s="90" customFormat="1" ht="14.4"/>
    <row r="1961" s="90" customFormat="1" ht="14.4"/>
    <row r="1962" s="90" customFormat="1" ht="14.4"/>
    <row r="1963" s="90" customFormat="1" ht="14.4"/>
    <row r="1964" s="90" customFormat="1" ht="14.4"/>
    <row r="1965" s="90" customFormat="1" ht="14.4"/>
    <row r="1966" s="90" customFormat="1" ht="14.4"/>
    <row r="1967" s="90" customFormat="1" ht="14.4"/>
    <row r="1968" s="90" customFormat="1" ht="14.4"/>
    <row r="1969" s="90" customFormat="1" ht="14.4"/>
    <row r="1970" s="90" customFormat="1" ht="14.4"/>
    <row r="1971" s="90" customFormat="1" ht="14.4"/>
    <row r="1972" s="90" customFormat="1" ht="14.4"/>
    <row r="1973" s="90" customFormat="1" ht="14.4"/>
    <row r="1974" s="90" customFormat="1" ht="14.4"/>
    <row r="1975" s="90" customFormat="1" ht="14.4"/>
    <row r="1976" s="90" customFormat="1" ht="14.4"/>
    <row r="1977" s="90" customFormat="1" ht="14.4"/>
    <row r="1978" s="90" customFormat="1" ht="14.4"/>
    <row r="1979" s="90" customFormat="1" ht="14.4"/>
    <row r="1980" s="90" customFormat="1" ht="14.4"/>
    <row r="1981" s="90" customFormat="1" ht="14.4"/>
    <row r="1982" s="90" customFormat="1" ht="14.4"/>
    <row r="1983" s="90" customFormat="1" ht="14.4"/>
    <row r="1984" s="90" customFormat="1" ht="14.4"/>
    <row r="1985" s="90" customFormat="1" ht="14.4"/>
    <row r="1986" s="90" customFormat="1" ht="14.4"/>
    <row r="1987" s="90" customFormat="1" ht="14.4"/>
    <row r="1988" s="90" customFormat="1" ht="14.4"/>
    <row r="1989" s="90" customFormat="1" ht="14.4"/>
    <row r="1990" s="90" customFormat="1" ht="14.4"/>
    <row r="1991" s="90" customFormat="1" ht="14.4"/>
    <row r="1992" s="90" customFormat="1" ht="14.4"/>
    <row r="1993" s="90" customFormat="1" ht="14.4"/>
    <row r="1994" s="90" customFormat="1" ht="14.4"/>
    <row r="1995" s="90" customFormat="1" ht="14.4"/>
    <row r="1996" s="90" customFormat="1" ht="14.4"/>
    <row r="1997" s="90" customFormat="1" ht="14.4"/>
    <row r="1998" s="90" customFormat="1" ht="14.4"/>
    <row r="1999" s="90" customFormat="1" ht="14.4"/>
    <row r="2000" s="90" customFormat="1" ht="14.4"/>
    <row r="2001" s="90" customFormat="1" ht="14.4"/>
    <row r="2002" s="90" customFormat="1" ht="14.4"/>
    <row r="2003" s="90" customFormat="1" ht="14.4"/>
    <row r="2004" s="90" customFormat="1" ht="14.4"/>
    <row r="2005" s="90" customFormat="1" ht="14.4"/>
    <row r="2006" s="90" customFormat="1" ht="14.4"/>
    <row r="2007" s="90" customFormat="1" ht="14.4"/>
    <row r="2008" s="90" customFormat="1" ht="14.4"/>
    <row r="2009" s="90" customFormat="1" ht="14.4"/>
    <row r="2010" s="90" customFormat="1" ht="14.4"/>
    <row r="2011" s="90" customFormat="1" ht="14.4"/>
    <row r="2012" s="90" customFormat="1" ht="14.4"/>
    <row r="2013" s="90" customFormat="1" ht="14.4"/>
    <row r="2014" s="90" customFormat="1" ht="14.4"/>
    <row r="2015" s="90" customFormat="1" ht="14.4"/>
    <row r="2016" s="90" customFormat="1" ht="14.4"/>
    <row r="2017" s="90" customFormat="1" ht="14.4"/>
    <row r="2018" s="90" customFormat="1" ht="14.4"/>
    <row r="2019" s="90" customFormat="1" ht="14.4"/>
    <row r="2020" s="90" customFormat="1" ht="14.4"/>
    <row r="2021" s="90" customFormat="1" ht="14.4"/>
    <row r="2022" s="90" customFormat="1" ht="14.4"/>
    <row r="2023" s="90" customFormat="1" ht="14.4"/>
    <row r="2024" s="90" customFormat="1" ht="14.4"/>
    <row r="2025" s="90" customFormat="1" ht="14.4"/>
    <row r="2026" s="90" customFormat="1" ht="14.4"/>
    <row r="2027" s="90" customFormat="1" ht="14.4"/>
    <row r="2028" s="90" customFormat="1" ht="14.4"/>
    <row r="2029" s="90" customFormat="1" ht="14.4"/>
    <row r="2030" s="90" customFormat="1" ht="14.4"/>
    <row r="2031" s="90" customFormat="1" ht="14.4"/>
    <row r="2032" s="90" customFormat="1" ht="14.4"/>
    <row r="2033" s="90" customFormat="1" ht="14.4"/>
    <row r="2034" s="90" customFormat="1" ht="14.4"/>
    <row r="2035" s="90" customFormat="1" ht="14.4"/>
    <row r="2036" s="90" customFormat="1" ht="14.4"/>
    <row r="2037" s="90" customFormat="1" ht="14.4"/>
    <row r="2038" s="90" customFormat="1" ht="14.4"/>
    <row r="2039" s="90" customFormat="1" ht="14.4"/>
    <row r="2040" s="90" customFormat="1" ht="14.4"/>
    <row r="2041" s="90" customFormat="1" ht="14.4"/>
    <row r="2042" s="90" customFormat="1" ht="14.4"/>
    <row r="2043" s="90" customFormat="1" ht="14.4"/>
    <row r="2044" s="90" customFormat="1" ht="14.4"/>
    <row r="2045" s="90" customFormat="1" ht="14.4"/>
    <row r="2046" s="90" customFormat="1" ht="14.4"/>
    <row r="2047" s="90" customFormat="1" ht="14.4"/>
    <row r="2048" s="90" customFormat="1" ht="14.4"/>
    <row r="2049" s="90" customFormat="1" ht="14.4"/>
    <row r="2050" s="90" customFormat="1" ht="14.4"/>
    <row r="2051" s="90" customFormat="1" ht="14.4"/>
    <row r="2052" s="90" customFormat="1" ht="14.4"/>
    <row r="2053" s="90" customFormat="1" ht="14.4"/>
    <row r="2054" s="90" customFormat="1" ht="14.4"/>
    <row r="2055" s="90" customFormat="1" ht="14.4"/>
    <row r="2056" s="90" customFormat="1" ht="14.4"/>
    <row r="2057" s="90" customFormat="1" ht="14.4"/>
    <row r="2058" s="90" customFormat="1" ht="14.4"/>
    <row r="2059" s="90" customFormat="1" ht="14.4"/>
    <row r="2060" s="90" customFormat="1" ht="14.4"/>
    <row r="2061" s="90" customFormat="1" ht="14.4"/>
    <row r="2062" s="90" customFormat="1" ht="14.4"/>
    <row r="2063" s="90" customFormat="1" ht="14.4"/>
    <row r="2064" s="90" customFormat="1" ht="14.4"/>
    <row r="2065" s="90" customFormat="1" ht="14.4"/>
    <row r="2066" s="90" customFormat="1" ht="14.4"/>
    <row r="2067" s="90" customFormat="1" ht="14.4"/>
    <row r="2068" s="90" customFormat="1" ht="14.4"/>
    <row r="2069" s="90" customFormat="1" ht="14.4"/>
    <row r="2070" s="90" customFormat="1" ht="14.4"/>
    <row r="2071" s="90" customFormat="1" ht="14.4"/>
    <row r="2072" s="90" customFormat="1" ht="14.4"/>
    <row r="2073" s="90" customFormat="1" ht="14.4"/>
    <row r="2074" s="90" customFormat="1" ht="14.4"/>
    <row r="2075" s="90" customFormat="1" ht="14.4"/>
    <row r="2076" s="90" customFormat="1" ht="14.4"/>
    <row r="2077" s="90" customFormat="1" ht="14.4"/>
    <row r="2078" s="90" customFormat="1" ht="14.4"/>
    <row r="2079" s="90" customFormat="1" ht="14.4"/>
    <row r="2080" s="90" customFormat="1" ht="14.4"/>
    <row r="2081" s="90" customFormat="1" ht="14.4"/>
    <row r="2082" s="90" customFormat="1" ht="14.4"/>
    <row r="2083" s="90" customFormat="1" ht="14.4"/>
    <row r="2084" s="90" customFormat="1" ht="14.4"/>
    <row r="2085" s="90" customFormat="1" ht="14.4"/>
    <row r="2086" s="90" customFormat="1" ht="14.4"/>
    <row r="2087" s="90" customFormat="1" ht="14.4"/>
    <row r="2088" s="90" customFormat="1" ht="14.4"/>
    <row r="2089" s="90" customFormat="1" ht="14.4"/>
    <row r="2090" s="90" customFormat="1" ht="14.4"/>
    <row r="2091" s="90" customFormat="1" ht="14.4"/>
    <row r="2092" s="90" customFormat="1" ht="14.4"/>
    <row r="2093" s="90" customFormat="1" ht="14.4"/>
    <row r="2094" s="90" customFormat="1" ht="14.4"/>
    <row r="2095" s="90" customFormat="1" ht="14.4"/>
    <row r="2096" s="90" customFormat="1" ht="14.4"/>
    <row r="2097" s="90" customFormat="1" ht="14.4"/>
    <row r="2098" s="90" customFormat="1" ht="14.4"/>
    <row r="2099" s="90" customFormat="1" ht="14.4"/>
    <row r="2100" s="90" customFormat="1" ht="14.4"/>
    <row r="2101" s="90" customFormat="1" ht="14.4"/>
    <row r="2102" s="90" customFormat="1" ht="14.4"/>
    <row r="2103" s="90" customFormat="1" ht="14.4"/>
    <row r="2104" s="90" customFormat="1" ht="14.4"/>
    <row r="2105" s="90" customFormat="1" ht="14.4"/>
    <row r="2106" s="90" customFormat="1" ht="14.4"/>
    <row r="2107" s="90" customFormat="1" ht="14.4"/>
    <row r="2108" s="90" customFormat="1" ht="14.4"/>
    <row r="2109" s="90" customFormat="1" ht="14.4"/>
    <row r="2110" s="90" customFormat="1" ht="14.4"/>
    <row r="2111" s="90" customFormat="1" ht="14.4"/>
    <row r="2112" s="90" customFormat="1" ht="14.4"/>
    <row r="2113" s="90" customFormat="1" ht="14.4"/>
    <row r="2114" s="90" customFormat="1" ht="14.4"/>
    <row r="2115" s="90" customFormat="1" ht="14.4"/>
    <row r="2116" s="90" customFormat="1" ht="14.4"/>
    <row r="2117" s="90" customFormat="1" ht="14.4"/>
    <row r="2118" s="90" customFormat="1" ht="14.4"/>
    <row r="2119" s="90" customFormat="1" ht="14.4"/>
    <row r="2120" s="90" customFormat="1" ht="14.4"/>
    <row r="2121" s="90" customFormat="1" ht="14.4"/>
    <row r="2122" s="90" customFormat="1" ht="14.4"/>
    <row r="2123" s="90" customFormat="1" ht="14.4"/>
    <row r="2124" s="90" customFormat="1" ht="14.4"/>
    <row r="2125" s="90" customFormat="1" ht="14.4"/>
    <row r="2126" s="90" customFormat="1" ht="14.4"/>
    <row r="2127" s="90" customFormat="1" ht="14.4"/>
    <row r="2128" s="90" customFormat="1" ht="14.4"/>
    <row r="2129" s="90" customFormat="1" ht="14.4"/>
    <row r="2130" s="90" customFormat="1" ht="14.4"/>
    <row r="2131" s="90" customFormat="1" ht="14.4"/>
    <row r="2132" s="90" customFormat="1" ht="14.4"/>
    <row r="2133" s="90" customFormat="1" ht="14.4"/>
    <row r="2134" s="90" customFormat="1" ht="14.4"/>
    <row r="2135" s="90" customFormat="1" ht="14.4"/>
    <row r="2136" s="90" customFormat="1" ht="14.4"/>
    <row r="2137" s="90" customFormat="1" ht="14.4"/>
    <row r="2138" s="90" customFormat="1" ht="14.4"/>
    <row r="2139" s="90" customFormat="1" ht="14.4"/>
    <row r="2140" s="90" customFormat="1" ht="14.4"/>
    <row r="2141" s="90" customFormat="1" ht="14.4"/>
    <row r="2142" s="90" customFormat="1" ht="14.4"/>
    <row r="2143" s="90" customFormat="1" ht="14.4"/>
    <row r="2144" s="90" customFormat="1" ht="14.4"/>
    <row r="2145" s="90" customFormat="1" ht="14.4"/>
    <row r="2146" s="90" customFormat="1" ht="14.4"/>
    <row r="2147" s="90" customFormat="1" ht="14.4"/>
    <row r="2148" s="90" customFormat="1" ht="14.4"/>
    <row r="2149" s="90" customFormat="1" ht="14.4"/>
    <row r="2150" s="90" customFormat="1" ht="14.4"/>
    <row r="2151" s="90" customFormat="1" ht="14.4"/>
    <row r="2152" s="90" customFormat="1" ht="14.4"/>
    <row r="2153" s="90" customFormat="1" ht="14.4"/>
    <row r="2154" s="90" customFormat="1" ht="14.4"/>
    <row r="2155" s="90" customFormat="1" ht="14.4"/>
    <row r="2156" s="90" customFormat="1" ht="14.4"/>
    <row r="2157" s="90" customFormat="1" ht="14.4"/>
    <row r="2158" s="90" customFormat="1" ht="14.4"/>
    <row r="2159" s="90" customFormat="1" ht="14.4"/>
    <row r="2160" s="90" customFormat="1" ht="14.4"/>
    <row r="2161" s="90" customFormat="1" ht="14.4"/>
    <row r="2162" s="90" customFormat="1" ht="14.4"/>
    <row r="2163" s="90" customFormat="1" ht="14.4"/>
    <row r="2164" s="90" customFormat="1" ht="14.4"/>
    <row r="2165" s="90" customFormat="1" ht="14.4"/>
    <row r="2166" s="90" customFormat="1" ht="14.4"/>
    <row r="2167" s="90" customFormat="1" ht="14.4"/>
    <row r="2168" s="90" customFormat="1" ht="14.4"/>
    <row r="2169" s="90" customFormat="1" ht="14.4"/>
    <row r="2170" s="90" customFormat="1" ht="14.4"/>
    <row r="2171" s="90" customFormat="1" ht="14.4"/>
    <row r="2172" s="90" customFormat="1" ht="14.4"/>
    <row r="2173" s="90" customFormat="1" ht="14.4"/>
    <row r="2174" s="90" customFormat="1" ht="14.4"/>
    <row r="2175" s="90" customFormat="1" ht="14.4"/>
    <row r="2176" s="90" customFormat="1" ht="14.4"/>
    <row r="2177" s="90" customFormat="1" ht="14.4"/>
    <row r="2178" s="90" customFormat="1" ht="14.4"/>
    <row r="2179" s="90" customFormat="1" ht="14.4"/>
    <row r="2180" s="90" customFormat="1" ht="14.4"/>
    <row r="2181" s="90" customFormat="1" ht="14.4"/>
    <row r="2182" s="90" customFormat="1" ht="14.4"/>
    <row r="2183" s="90" customFormat="1" ht="14.4"/>
    <row r="2184" s="90" customFormat="1" ht="14.4"/>
    <row r="2185" s="90" customFormat="1" ht="14.4"/>
    <row r="2186" s="90" customFormat="1" ht="14.4"/>
    <row r="2187" s="90" customFormat="1" ht="14.4"/>
    <row r="2188" s="90" customFormat="1" ht="14.4"/>
    <row r="2189" s="90" customFormat="1" ht="14.4"/>
    <row r="2190" s="90" customFormat="1" ht="14.4"/>
    <row r="2191" s="90" customFormat="1" ht="14.4"/>
    <row r="2192" s="90" customFormat="1" ht="14.4"/>
    <row r="2193" s="90" customFormat="1" ht="14.4"/>
    <row r="2194" s="90" customFormat="1" ht="14.4"/>
    <row r="2195" s="90" customFormat="1" ht="14.4"/>
    <row r="2196" s="90" customFormat="1" ht="14.4"/>
    <row r="2197" s="90" customFormat="1" ht="14.4"/>
    <row r="2198" s="90" customFormat="1" ht="14.4"/>
    <row r="2199" s="90" customFormat="1" ht="14.4"/>
    <row r="2200" s="90" customFormat="1" ht="14.4"/>
    <row r="2201" s="90" customFormat="1" ht="14.4"/>
    <row r="2202" s="90" customFormat="1" ht="14.4"/>
    <row r="2203" s="90" customFormat="1" ht="14.4"/>
    <row r="2204" s="90" customFormat="1" ht="14.4"/>
    <row r="2205" s="90" customFormat="1" ht="14.4"/>
    <row r="2206" s="90" customFormat="1" ht="14.4"/>
    <row r="2207" s="90" customFormat="1" ht="14.4"/>
    <row r="2208" s="90" customFormat="1" ht="14.4"/>
    <row r="2209" s="90" customFormat="1" ht="14.4"/>
    <row r="2210" s="90" customFormat="1" ht="14.4"/>
    <row r="2211" s="90" customFormat="1" ht="14.4"/>
    <row r="2212" s="90" customFormat="1" ht="14.4"/>
    <row r="2213" s="90" customFormat="1" ht="14.4"/>
    <row r="2214" s="90" customFormat="1" ht="14.4"/>
    <row r="2215" s="90" customFormat="1" ht="14.4"/>
    <row r="2216" s="90" customFormat="1" ht="14.4"/>
    <row r="2217" s="90" customFormat="1" ht="14.4"/>
    <row r="2218" s="90" customFormat="1" ht="14.4"/>
    <row r="2219" s="90" customFormat="1" ht="14.4"/>
    <row r="2220" s="90" customFormat="1" ht="14.4"/>
    <row r="2221" s="90" customFormat="1" ht="14.4"/>
    <row r="2222" s="90" customFormat="1" ht="14.4"/>
    <row r="2223" s="90" customFormat="1" ht="14.4"/>
    <row r="2224" s="90" customFormat="1" ht="14.4"/>
    <row r="2225" s="90" customFormat="1" ht="14.4"/>
    <row r="2226" s="90" customFormat="1" ht="14.4"/>
    <row r="2227" s="90" customFormat="1" ht="14.4"/>
    <row r="2228" s="90" customFormat="1" ht="14.4"/>
    <row r="2229" s="90" customFormat="1" ht="14.4"/>
    <row r="2230" s="90" customFormat="1" ht="14.4"/>
    <row r="2231" s="90" customFormat="1" ht="14.4"/>
    <row r="2232" s="90" customFormat="1" ht="14.4"/>
    <row r="2233" s="90" customFormat="1" ht="14.4"/>
    <row r="2234" s="90" customFormat="1" ht="14.4"/>
    <row r="2235" s="90" customFormat="1" ht="14.4"/>
    <row r="2236" s="90" customFormat="1" ht="14.4"/>
    <row r="2237" s="90" customFormat="1" ht="14.4"/>
    <row r="2238" s="90" customFormat="1" ht="14.4"/>
    <row r="2239" s="90" customFormat="1" ht="14.4"/>
    <row r="2240" s="90" customFormat="1" ht="14.4"/>
    <row r="2241" s="90" customFormat="1" ht="14.4"/>
    <row r="2242" s="90" customFormat="1" ht="14.4"/>
    <row r="2243" s="90" customFormat="1" ht="14.4"/>
    <row r="2244" s="90" customFormat="1" ht="14.4"/>
    <row r="2245" s="90" customFormat="1" ht="14.4"/>
    <row r="2246" s="90" customFormat="1" ht="14.4"/>
    <row r="2247" s="90" customFormat="1" ht="14.4"/>
    <row r="2248" s="90" customFormat="1" ht="14.4"/>
    <row r="2249" s="90" customFormat="1" ht="14.4"/>
    <row r="2250" s="90" customFormat="1" ht="14.4"/>
    <row r="2251" s="90" customFormat="1" ht="14.4"/>
    <row r="2252" s="90" customFormat="1" ht="14.4"/>
    <row r="2253" s="90" customFormat="1" ht="14.4"/>
    <row r="2254" s="90" customFormat="1" ht="14.4"/>
    <row r="2255" s="90" customFormat="1" ht="14.4"/>
    <row r="2256" s="90" customFormat="1" ht="14.4"/>
    <row r="2257" s="90" customFormat="1" ht="14.4"/>
    <row r="2258" s="90" customFormat="1" ht="14.4"/>
    <row r="2259" s="90" customFormat="1" ht="14.4"/>
    <row r="2260" s="90" customFormat="1" ht="14.4"/>
    <row r="2261" s="90" customFormat="1" ht="14.4"/>
    <row r="2262" s="90" customFormat="1" ht="14.4"/>
    <row r="2263" s="90" customFormat="1" ht="14.4"/>
    <row r="2264" s="90" customFormat="1" ht="14.4"/>
    <row r="2265" s="90" customFormat="1" ht="14.4"/>
    <row r="2266" s="90" customFormat="1" ht="14.4"/>
    <row r="2267" s="90" customFormat="1" ht="14.4"/>
    <row r="2268" s="90" customFormat="1" ht="14.4"/>
    <row r="2269" s="90" customFormat="1" ht="14.4"/>
    <row r="2270" s="90" customFormat="1" ht="14.4"/>
    <row r="2271" s="90" customFormat="1" ht="14.4"/>
    <row r="2272" s="90" customFormat="1" ht="14.4"/>
    <row r="2273" s="90" customFormat="1" ht="14.4"/>
    <row r="2274" s="90" customFormat="1" ht="14.4"/>
    <row r="2275" s="90" customFormat="1" ht="14.4"/>
    <row r="2276" s="90" customFormat="1" ht="14.4"/>
    <row r="2277" s="90" customFormat="1" ht="14.4"/>
    <row r="2278" s="90" customFormat="1" ht="14.4"/>
    <row r="2279" s="90" customFormat="1" ht="14.4"/>
    <row r="2280" s="90" customFormat="1" ht="14.4"/>
    <row r="2281" s="90" customFormat="1" ht="14.4"/>
    <row r="2282" s="90" customFormat="1" ht="14.4"/>
    <row r="2283" s="90" customFormat="1" ht="14.4"/>
    <row r="2284" s="90" customFormat="1" ht="14.4"/>
    <row r="2285" s="90" customFormat="1" ht="14.4"/>
    <row r="2286" s="90" customFormat="1" ht="14.4"/>
    <row r="2287" s="90" customFormat="1" ht="14.4"/>
    <row r="2288" s="90" customFormat="1" ht="14.4"/>
    <row r="2289" s="90" customFormat="1" ht="14.4"/>
    <row r="2290" s="90" customFormat="1" ht="14.4"/>
    <row r="2291" s="90" customFormat="1" ht="14.4"/>
    <row r="2292" s="90" customFormat="1" ht="14.4"/>
    <row r="2293" s="90" customFormat="1" ht="14.4"/>
    <row r="2294" s="90" customFormat="1" ht="14.4"/>
    <row r="2295" s="90" customFormat="1" ht="14.4"/>
    <row r="2296" s="90" customFormat="1" ht="14.4"/>
    <row r="2297" s="90" customFormat="1" ht="14.4"/>
    <row r="2298" s="90" customFormat="1" ht="14.4"/>
    <row r="2299" s="90" customFormat="1" ht="14.4"/>
    <row r="2300" s="90" customFormat="1" ht="14.4"/>
    <row r="2301" s="90" customFormat="1" ht="14.4"/>
    <row r="2302" s="90" customFormat="1" ht="14.4"/>
    <row r="2303" s="90" customFormat="1" ht="14.4"/>
    <row r="2304" s="90" customFormat="1" ht="14.4"/>
  </sheetData>
  <sheetProtection algorithmName="SHA-512" hashValue="Prr4epzfMjOckJGXJh9EZxZ3FgJFM/Htu3cTJuqRAUZ/eXXyjyIbG9FQEO27fw8opm+D37ditNgtIxxhKXcU/Q==" saltValue="Bw1DxNOJSdc0EX4k+ZTEFw==" spinCount="100000" sheet="1" formatCells="0" formatColumns="0" formatRows="0" insertRows="0" insertColumns="0" autoFilter="0" objects="1" scenarios="1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"/>
  <sheetViews>
    <sheetView workbookViewId="0">
      <selection activeCell="A2" sqref="$A2:$XFD2"/>
    </sheetView>
  </sheetViews>
  <sheetFormatPr defaultColWidth="9" defaultRowHeight="15.6"/>
  <cols>
    <col min="1" max="2" width="8.88888888888889" style="74"/>
    <col min="3" max="4" width="11.6666666666667" style="74" customWidth="1"/>
    <col min="5" max="5" width="8.88888888888889" style="74"/>
    <col min="6" max="6" width="13.8888888888889" style="74" customWidth="1"/>
    <col min="7" max="7" width="14.2222222222222" style="74" customWidth="1"/>
    <col min="8" max="8" width="19.6666666666667" style="74" customWidth="1"/>
    <col min="9" max="9" width="13.5555555555556" style="74" customWidth="1"/>
    <col min="10" max="16384" width="8.88888888888889" style="74"/>
  </cols>
  <sheetData>
    <row r="1" spans="1:10">
      <c r="A1" s="79"/>
      <c r="B1" s="79"/>
      <c r="C1" s="79"/>
      <c r="D1" s="79"/>
      <c r="E1" s="79"/>
      <c r="F1" s="79"/>
      <c r="G1" s="79"/>
      <c r="H1" s="79"/>
      <c r="I1" s="79"/>
      <c r="J1" s="79"/>
    </row>
    <row r="2" spans="1:10">
      <c r="A2" s="78" t="s">
        <v>101</v>
      </c>
      <c r="B2" s="79"/>
      <c r="C2" s="79"/>
      <c r="D2" s="79"/>
      <c r="E2" s="79"/>
      <c r="F2" s="79"/>
      <c r="G2" s="79"/>
      <c r="H2" s="79"/>
      <c r="I2" s="79"/>
      <c r="J2" s="79"/>
    </row>
    <row r="3" ht="15" spans="1:10">
      <c r="A3" s="85" t="s">
        <v>103</v>
      </c>
      <c r="B3" s="85" t="s">
        <v>104</v>
      </c>
      <c r="C3" s="85" t="s">
        <v>105</v>
      </c>
      <c r="D3" s="85" t="s">
        <v>106</v>
      </c>
      <c r="E3" s="85" t="s">
        <v>107</v>
      </c>
      <c r="F3" s="85" t="s">
        <v>108</v>
      </c>
      <c r="G3" s="85" t="s">
        <v>325</v>
      </c>
      <c r="H3" s="85" t="s">
        <v>326</v>
      </c>
      <c r="I3" s="85" t="s">
        <v>327</v>
      </c>
      <c r="J3" s="85" t="s">
        <v>4</v>
      </c>
    </row>
    <row r="4" spans="1:9">
      <c r="A4" s="74" t="s">
        <v>114</v>
      </c>
      <c r="B4" s="74" t="s">
        <v>115</v>
      </c>
      <c r="C4" s="74" t="s">
        <v>79</v>
      </c>
      <c r="D4" s="74" t="s">
        <v>80</v>
      </c>
      <c r="E4" s="86" t="s">
        <v>116</v>
      </c>
      <c r="F4" s="74" t="s">
        <v>117</v>
      </c>
      <c r="G4" s="87">
        <v>42067</v>
      </c>
      <c r="H4" s="87">
        <v>2958465</v>
      </c>
      <c r="I4" s="89">
        <v>96000</v>
      </c>
    </row>
    <row r="5" spans="1:9">
      <c r="A5" s="74" t="s">
        <v>118</v>
      </c>
      <c r="B5" s="74" t="s">
        <v>119</v>
      </c>
      <c r="C5" s="74" t="s">
        <v>79</v>
      </c>
      <c r="D5" s="74" t="s">
        <v>80</v>
      </c>
      <c r="E5" s="86" t="s">
        <v>120</v>
      </c>
      <c r="F5" s="74" t="s">
        <v>117</v>
      </c>
      <c r="G5" s="87">
        <v>42068</v>
      </c>
      <c r="H5" s="87">
        <v>2958465</v>
      </c>
      <c r="I5" s="89">
        <v>84000</v>
      </c>
    </row>
    <row r="6" spans="1:9">
      <c r="A6" s="74" t="s">
        <v>121</v>
      </c>
      <c r="B6" s="74" t="s">
        <v>122</v>
      </c>
      <c r="C6" s="74" t="s">
        <v>79</v>
      </c>
      <c r="D6" s="74" t="s">
        <v>80</v>
      </c>
      <c r="E6" s="86" t="s">
        <v>123</v>
      </c>
      <c r="F6" s="74" t="s">
        <v>117</v>
      </c>
      <c r="G6" s="87">
        <v>42069</v>
      </c>
      <c r="H6" s="87">
        <v>2958465</v>
      </c>
      <c r="I6" s="89">
        <v>72000</v>
      </c>
    </row>
    <row r="7" spans="1:9">
      <c r="A7" s="74" t="s">
        <v>124</v>
      </c>
      <c r="B7" s="74" t="s">
        <v>125</v>
      </c>
      <c r="C7" s="74" t="s">
        <v>79</v>
      </c>
      <c r="D7" s="74" t="s">
        <v>80</v>
      </c>
      <c r="E7" s="86" t="s">
        <v>116</v>
      </c>
      <c r="F7" s="74" t="s">
        <v>117</v>
      </c>
      <c r="G7" s="87">
        <v>44317</v>
      </c>
      <c r="H7" s="87">
        <v>2958465</v>
      </c>
      <c r="I7" s="89">
        <v>96000</v>
      </c>
    </row>
    <row r="8" spans="1:9">
      <c r="A8" s="74" t="s">
        <v>126</v>
      </c>
      <c r="B8" s="74" t="s">
        <v>127</v>
      </c>
      <c r="C8" s="74" t="s">
        <v>79</v>
      </c>
      <c r="D8" s="74" t="s">
        <v>80</v>
      </c>
      <c r="E8" s="86" t="s">
        <v>120</v>
      </c>
      <c r="F8" s="74" t="s">
        <v>117</v>
      </c>
      <c r="G8" s="87">
        <v>42071</v>
      </c>
      <c r="H8" s="87">
        <v>2958465</v>
      </c>
      <c r="I8" s="89">
        <v>84000</v>
      </c>
    </row>
    <row r="9" spans="1:9">
      <c r="A9" s="74" t="s">
        <v>128</v>
      </c>
      <c r="B9" s="74" t="s">
        <v>129</v>
      </c>
      <c r="C9" s="74" t="s">
        <v>79</v>
      </c>
      <c r="D9" s="74" t="s">
        <v>80</v>
      </c>
      <c r="E9" s="86" t="s">
        <v>123</v>
      </c>
      <c r="F9" s="74" t="s">
        <v>117</v>
      </c>
      <c r="G9" s="87">
        <v>42072</v>
      </c>
      <c r="H9" s="87">
        <v>2958465</v>
      </c>
      <c r="I9" s="89">
        <v>72000</v>
      </c>
    </row>
    <row r="10" spans="1:9">
      <c r="A10" s="74" t="s">
        <v>130</v>
      </c>
      <c r="B10" s="74" t="s">
        <v>131</v>
      </c>
      <c r="C10" s="74" t="s">
        <v>79</v>
      </c>
      <c r="D10" s="74" t="s">
        <v>80</v>
      </c>
      <c r="E10" s="86" t="s">
        <v>116</v>
      </c>
      <c r="F10" s="74" t="s">
        <v>117</v>
      </c>
      <c r="G10" s="87">
        <v>42073</v>
      </c>
      <c r="H10" s="87">
        <v>2958465</v>
      </c>
      <c r="I10" s="89">
        <v>96000</v>
      </c>
    </row>
    <row r="11" spans="1:9">
      <c r="A11" s="74" t="s">
        <v>132</v>
      </c>
      <c r="B11" s="74" t="s">
        <v>133</v>
      </c>
      <c r="C11" s="74" t="s">
        <v>79</v>
      </c>
      <c r="D11" s="74" t="s">
        <v>80</v>
      </c>
      <c r="E11" s="86" t="s">
        <v>120</v>
      </c>
      <c r="F11" s="74" t="s">
        <v>117</v>
      </c>
      <c r="G11" s="87">
        <v>42074</v>
      </c>
      <c r="H11" s="87">
        <v>44438</v>
      </c>
      <c r="I11" s="89">
        <v>84000</v>
      </c>
    </row>
    <row r="12" spans="1:9">
      <c r="A12" s="74" t="s">
        <v>134</v>
      </c>
      <c r="B12" s="74" t="s">
        <v>135</v>
      </c>
      <c r="C12" s="74" t="s">
        <v>79</v>
      </c>
      <c r="D12" s="74" t="s">
        <v>80</v>
      </c>
      <c r="E12" s="86" t="s">
        <v>123</v>
      </c>
      <c r="F12" s="74" t="s">
        <v>117</v>
      </c>
      <c r="G12" s="87">
        <v>42075</v>
      </c>
      <c r="H12" s="87">
        <v>2958465</v>
      </c>
      <c r="I12" s="89">
        <v>72000</v>
      </c>
    </row>
    <row r="13" spans="1:9">
      <c r="A13" s="74" t="s">
        <v>136</v>
      </c>
      <c r="B13" s="74" t="s">
        <v>137</v>
      </c>
      <c r="C13" s="74" t="s">
        <v>79</v>
      </c>
      <c r="D13" s="74" t="s">
        <v>80</v>
      </c>
      <c r="E13" s="86" t="s">
        <v>116</v>
      </c>
      <c r="F13" s="74" t="s">
        <v>138</v>
      </c>
      <c r="G13" s="87">
        <v>42076</v>
      </c>
      <c r="H13" s="87">
        <v>2958465</v>
      </c>
      <c r="I13" s="89">
        <v>96000</v>
      </c>
    </row>
    <row r="14" spans="1:9">
      <c r="A14" s="74" t="s">
        <v>139</v>
      </c>
      <c r="B14" s="74" t="s">
        <v>140</v>
      </c>
      <c r="C14" s="74" t="s">
        <v>79</v>
      </c>
      <c r="D14" s="74" t="s">
        <v>80</v>
      </c>
      <c r="E14" s="86" t="s">
        <v>120</v>
      </c>
      <c r="F14" s="74" t="s">
        <v>138</v>
      </c>
      <c r="G14" s="87">
        <v>42077</v>
      </c>
      <c r="H14" s="87">
        <v>2958465</v>
      </c>
      <c r="I14" s="89">
        <v>84000</v>
      </c>
    </row>
    <row r="15" spans="1:9">
      <c r="A15" s="74" t="s">
        <v>141</v>
      </c>
      <c r="B15" s="74" t="s">
        <v>142</v>
      </c>
      <c r="C15" s="74" t="s">
        <v>79</v>
      </c>
      <c r="D15" s="74" t="s">
        <v>80</v>
      </c>
      <c r="E15" s="86" t="s">
        <v>123</v>
      </c>
      <c r="F15" s="74" t="s">
        <v>138</v>
      </c>
      <c r="G15" s="87">
        <v>42078</v>
      </c>
      <c r="H15" s="87">
        <v>2958465</v>
      </c>
      <c r="I15" s="89">
        <v>72000</v>
      </c>
    </row>
    <row r="16" spans="1:9">
      <c r="A16" s="74" t="s">
        <v>143</v>
      </c>
      <c r="B16" s="74" t="s">
        <v>144</v>
      </c>
      <c r="C16" s="74" t="s">
        <v>79</v>
      </c>
      <c r="D16" s="74" t="s">
        <v>80</v>
      </c>
      <c r="E16" s="86" t="s">
        <v>145</v>
      </c>
      <c r="F16" s="74" t="s">
        <v>146</v>
      </c>
      <c r="G16" s="87">
        <v>42079</v>
      </c>
      <c r="H16" s="87">
        <v>2958465</v>
      </c>
      <c r="I16" s="89">
        <v>228000</v>
      </c>
    </row>
    <row r="17" spans="1:9">
      <c r="A17" s="74" t="s">
        <v>147</v>
      </c>
      <c r="B17" s="74" t="s">
        <v>148</v>
      </c>
      <c r="C17" s="74" t="s">
        <v>79</v>
      </c>
      <c r="D17" s="74" t="s">
        <v>80</v>
      </c>
      <c r="E17" s="86" t="s">
        <v>149</v>
      </c>
      <c r="F17" s="74" t="s">
        <v>150</v>
      </c>
      <c r="G17" s="87">
        <v>42080</v>
      </c>
      <c r="H17" s="87">
        <v>2958465</v>
      </c>
      <c r="I17" s="89">
        <v>204000</v>
      </c>
    </row>
    <row r="18" spans="1:9">
      <c r="A18" s="74" t="s">
        <v>151</v>
      </c>
      <c r="B18" s="74" t="s">
        <v>152</v>
      </c>
      <c r="C18" s="74" t="s">
        <v>79</v>
      </c>
      <c r="D18" s="74" t="s">
        <v>81</v>
      </c>
      <c r="E18" s="86" t="s">
        <v>123</v>
      </c>
      <c r="F18" s="74" t="s">
        <v>153</v>
      </c>
      <c r="G18" s="87">
        <v>42081</v>
      </c>
      <c r="H18" s="87">
        <v>44165</v>
      </c>
      <c r="I18" s="89">
        <v>72000</v>
      </c>
    </row>
    <row r="19" spans="1:9">
      <c r="A19" s="74" t="s">
        <v>154</v>
      </c>
      <c r="B19" s="74" t="s">
        <v>155</v>
      </c>
      <c r="C19" s="74" t="s">
        <v>79</v>
      </c>
      <c r="D19" s="74" t="s">
        <v>81</v>
      </c>
      <c r="E19" s="86" t="s">
        <v>156</v>
      </c>
      <c r="F19" s="74" t="s">
        <v>157</v>
      </c>
      <c r="G19" s="87">
        <v>42082</v>
      </c>
      <c r="H19" s="87">
        <v>2958465</v>
      </c>
      <c r="I19" s="89">
        <v>60000</v>
      </c>
    </row>
    <row r="20" spans="1:9">
      <c r="A20" s="74" t="s">
        <v>158</v>
      </c>
      <c r="B20" s="74" t="s">
        <v>159</v>
      </c>
      <c r="C20" s="74" t="s">
        <v>79</v>
      </c>
      <c r="D20" s="74" t="s">
        <v>81</v>
      </c>
      <c r="E20" s="86" t="s">
        <v>160</v>
      </c>
      <c r="F20" s="74" t="s">
        <v>161</v>
      </c>
      <c r="G20" s="87">
        <v>42083</v>
      </c>
      <c r="H20" s="87">
        <v>2958465</v>
      </c>
      <c r="I20" s="89">
        <v>48000</v>
      </c>
    </row>
    <row r="21" spans="1:9">
      <c r="A21" s="74" t="s">
        <v>162</v>
      </c>
      <c r="B21" s="74" t="s">
        <v>163</v>
      </c>
      <c r="C21" s="74" t="s">
        <v>79</v>
      </c>
      <c r="D21" s="74" t="s">
        <v>81</v>
      </c>
      <c r="E21" s="86" t="s">
        <v>123</v>
      </c>
      <c r="F21" s="74" t="s">
        <v>153</v>
      </c>
      <c r="G21" s="87">
        <v>42084</v>
      </c>
      <c r="H21" s="87">
        <v>2958465</v>
      </c>
      <c r="I21" s="89">
        <v>72000</v>
      </c>
    </row>
    <row r="22" spans="1:9">
      <c r="A22" s="74" t="s">
        <v>164</v>
      </c>
      <c r="B22" s="74" t="s">
        <v>165</v>
      </c>
      <c r="C22" s="74" t="s">
        <v>79</v>
      </c>
      <c r="D22" s="74" t="s">
        <v>81</v>
      </c>
      <c r="E22" s="86" t="s">
        <v>156</v>
      </c>
      <c r="F22" s="74" t="s">
        <v>157</v>
      </c>
      <c r="G22" s="87">
        <v>42085</v>
      </c>
      <c r="H22" s="87">
        <v>2958465</v>
      </c>
      <c r="I22" s="89">
        <v>60000</v>
      </c>
    </row>
    <row r="23" spans="1:9">
      <c r="A23" s="74" t="s">
        <v>166</v>
      </c>
      <c r="B23" s="74" t="s">
        <v>167</v>
      </c>
      <c r="C23" s="74" t="s">
        <v>79</v>
      </c>
      <c r="D23" s="74" t="s">
        <v>81</v>
      </c>
      <c r="E23" s="86" t="s">
        <v>160</v>
      </c>
      <c r="F23" s="74" t="s">
        <v>161</v>
      </c>
      <c r="G23" s="87">
        <v>42086</v>
      </c>
      <c r="H23" s="87">
        <v>2958465</v>
      </c>
      <c r="I23" s="89">
        <v>48000</v>
      </c>
    </row>
    <row r="24" spans="1:9">
      <c r="A24" s="74" t="s">
        <v>168</v>
      </c>
      <c r="B24" s="74" t="s">
        <v>169</v>
      </c>
      <c r="C24" s="74" t="s">
        <v>79</v>
      </c>
      <c r="D24" s="74" t="s">
        <v>81</v>
      </c>
      <c r="E24" s="86" t="s">
        <v>123</v>
      </c>
      <c r="F24" s="74" t="s">
        <v>153</v>
      </c>
      <c r="G24" s="87">
        <v>42087</v>
      </c>
      <c r="H24" s="87">
        <v>2958465</v>
      </c>
      <c r="I24" s="89">
        <v>72000</v>
      </c>
    </row>
    <row r="25" spans="1:9">
      <c r="A25" s="74" t="s">
        <v>170</v>
      </c>
      <c r="B25" s="74" t="s">
        <v>171</v>
      </c>
      <c r="C25" s="74" t="s">
        <v>79</v>
      </c>
      <c r="D25" s="74" t="s">
        <v>81</v>
      </c>
      <c r="E25" s="86" t="s">
        <v>156</v>
      </c>
      <c r="F25" s="74" t="s">
        <v>157</v>
      </c>
      <c r="G25" s="87">
        <v>42088</v>
      </c>
      <c r="H25" s="87">
        <v>2958465</v>
      </c>
      <c r="I25" s="89">
        <v>60000</v>
      </c>
    </row>
    <row r="26" spans="1:9">
      <c r="A26" s="74" t="s">
        <v>172</v>
      </c>
      <c r="B26" s="74" t="s">
        <v>173</v>
      </c>
      <c r="C26" s="74" t="s">
        <v>79</v>
      </c>
      <c r="D26" s="74" t="s">
        <v>81</v>
      </c>
      <c r="E26" s="86" t="s">
        <v>160</v>
      </c>
      <c r="F26" s="74" t="s">
        <v>161</v>
      </c>
      <c r="G26" s="87">
        <v>42089</v>
      </c>
      <c r="H26" s="87">
        <v>2958465</v>
      </c>
      <c r="I26" s="89">
        <v>48000</v>
      </c>
    </row>
    <row r="27" spans="1:9">
      <c r="A27" s="74" t="s">
        <v>174</v>
      </c>
      <c r="B27" s="74" t="s">
        <v>175</v>
      </c>
      <c r="C27" s="74" t="s">
        <v>79</v>
      </c>
      <c r="D27" s="74" t="s">
        <v>81</v>
      </c>
      <c r="E27" s="86" t="s">
        <v>176</v>
      </c>
      <c r="F27" s="74" t="s">
        <v>177</v>
      </c>
      <c r="G27" s="87">
        <v>43617</v>
      </c>
      <c r="H27" s="87">
        <v>44316</v>
      </c>
      <c r="I27" s="89">
        <v>36000</v>
      </c>
    </row>
    <row r="28" spans="1:9">
      <c r="A28" s="74" t="s">
        <v>178</v>
      </c>
      <c r="B28" s="74" t="s">
        <v>179</v>
      </c>
      <c r="C28" s="74" t="s">
        <v>79</v>
      </c>
      <c r="D28" s="74" t="s">
        <v>81</v>
      </c>
      <c r="E28" s="86" t="s">
        <v>180</v>
      </c>
      <c r="F28" s="74" t="s">
        <v>177</v>
      </c>
      <c r="G28" s="87">
        <v>43618</v>
      </c>
      <c r="H28" s="87">
        <v>2958465</v>
      </c>
      <c r="I28" s="89">
        <v>24000</v>
      </c>
    </row>
    <row r="29" spans="1:9">
      <c r="A29" s="74" t="s">
        <v>181</v>
      </c>
      <c r="B29" s="74" t="s">
        <v>182</v>
      </c>
      <c r="C29" s="74" t="s">
        <v>79</v>
      </c>
      <c r="D29" s="74" t="s">
        <v>81</v>
      </c>
      <c r="E29" s="86" t="s">
        <v>183</v>
      </c>
      <c r="F29" s="74" t="s">
        <v>177</v>
      </c>
      <c r="G29" s="87">
        <v>43619</v>
      </c>
      <c r="H29" s="87">
        <v>2958465</v>
      </c>
      <c r="I29" s="89">
        <v>12000</v>
      </c>
    </row>
    <row r="30" spans="1:9">
      <c r="A30" s="74" t="s">
        <v>184</v>
      </c>
      <c r="B30" s="74" t="s">
        <v>185</v>
      </c>
      <c r="C30" s="74" t="s">
        <v>79</v>
      </c>
      <c r="D30" s="74" t="s">
        <v>81</v>
      </c>
      <c r="E30" s="86" t="s">
        <v>176</v>
      </c>
      <c r="F30" s="74" t="s">
        <v>177</v>
      </c>
      <c r="G30" s="87">
        <v>43620</v>
      </c>
      <c r="H30" s="87">
        <v>2958465</v>
      </c>
      <c r="I30" s="89">
        <v>36000</v>
      </c>
    </row>
    <row r="31" spans="1:9">
      <c r="A31" s="74" t="s">
        <v>186</v>
      </c>
      <c r="B31" s="74" t="s">
        <v>187</v>
      </c>
      <c r="C31" s="74" t="s">
        <v>79</v>
      </c>
      <c r="D31" s="74" t="s">
        <v>81</v>
      </c>
      <c r="E31" s="86" t="s">
        <v>180</v>
      </c>
      <c r="F31" s="74" t="s">
        <v>177</v>
      </c>
      <c r="G31" s="87">
        <v>43621</v>
      </c>
      <c r="H31" s="87">
        <v>2958465</v>
      </c>
      <c r="I31" s="89">
        <v>24000</v>
      </c>
    </row>
    <row r="32" spans="1:9">
      <c r="A32" s="74" t="s">
        <v>188</v>
      </c>
      <c r="B32" s="74" t="s">
        <v>189</v>
      </c>
      <c r="C32" s="74" t="s">
        <v>79</v>
      </c>
      <c r="D32" s="74" t="s">
        <v>81</v>
      </c>
      <c r="E32" s="86" t="s">
        <v>183</v>
      </c>
      <c r="F32" s="74" t="s">
        <v>177</v>
      </c>
      <c r="G32" s="87">
        <v>43622</v>
      </c>
      <c r="H32" s="87">
        <v>44316</v>
      </c>
      <c r="I32" s="89">
        <v>12000</v>
      </c>
    </row>
    <row r="33" spans="1:9">
      <c r="A33" s="74" t="s">
        <v>190</v>
      </c>
      <c r="B33" s="74" t="s">
        <v>191</v>
      </c>
      <c r="C33" s="74" t="s">
        <v>79</v>
      </c>
      <c r="D33" s="74" t="s">
        <v>81</v>
      </c>
      <c r="E33" s="86" t="s">
        <v>176</v>
      </c>
      <c r="F33" s="74" t="s">
        <v>177</v>
      </c>
      <c r="G33" s="87">
        <v>43623</v>
      </c>
      <c r="H33" s="87">
        <v>2958465</v>
      </c>
      <c r="I33" s="89">
        <v>36000</v>
      </c>
    </row>
    <row r="34" spans="1:9">
      <c r="A34" s="74" t="s">
        <v>192</v>
      </c>
      <c r="B34" s="74" t="s">
        <v>193</v>
      </c>
      <c r="C34" s="74" t="s">
        <v>79</v>
      </c>
      <c r="D34" s="74" t="s">
        <v>81</v>
      </c>
      <c r="E34" s="86" t="s">
        <v>180</v>
      </c>
      <c r="F34" s="74" t="s">
        <v>177</v>
      </c>
      <c r="G34" s="87">
        <v>43624</v>
      </c>
      <c r="H34" s="87">
        <v>2958465</v>
      </c>
      <c r="I34" s="89">
        <v>24000</v>
      </c>
    </row>
    <row r="35" spans="1:9">
      <c r="A35" s="74" t="s">
        <v>194</v>
      </c>
      <c r="B35" s="74" t="s">
        <v>195</v>
      </c>
      <c r="C35" s="74" t="s">
        <v>79</v>
      </c>
      <c r="D35" s="74" t="s">
        <v>81</v>
      </c>
      <c r="E35" s="86" t="s">
        <v>183</v>
      </c>
      <c r="F35" s="74" t="s">
        <v>177</v>
      </c>
      <c r="G35" s="87">
        <v>43625</v>
      </c>
      <c r="H35" s="87">
        <v>2958465</v>
      </c>
      <c r="I35" s="89">
        <v>12000</v>
      </c>
    </row>
    <row r="36" spans="1:9">
      <c r="A36" s="74" t="s">
        <v>196</v>
      </c>
      <c r="B36" s="74" t="s">
        <v>197</v>
      </c>
      <c r="C36" s="74" t="s">
        <v>79</v>
      </c>
      <c r="D36" s="74" t="s">
        <v>81</v>
      </c>
      <c r="E36" s="86" t="s">
        <v>176</v>
      </c>
      <c r="F36" s="74" t="s">
        <v>177</v>
      </c>
      <c r="G36" s="87">
        <v>43626</v>
      </c>
      <c r="H36" s="87">
        <v>2958465</v>
      </c>
      <c r="I36" s="89">
        <v>36000</v>
      </c>
    </row>
    <row r="37" spans="1:9">
      <c r="A37" s="74" t="s">
        <v>198</v>
      </c>
      <c r="B37" s="74" t="s">
        <v>199</v>
      </c>
      <c r="C37" s="74" t="s">
        <v>79</v>
      </c>
      <c r="D37" s="74" t="s">
        <v>81</v>
      </c>
      <c r="E37" s="86" t="s">
        <v>180</v>
      </c>
      <c r="F37" s="74" t="s">
        <v>177</v>
      </c>
      <c r="G37" s="87">
        <v>42100</v>
      </c>
      <c r="H37" s="87">
        <v>2958465</v>
      </c>
      <c r="I37" s="89">
        <v>24000</v>
      </c>
    </row>
    <row r="38" spans="1:9">
      <c r="A38" s="74" t="s">
        <v>200</v>
      </c>
      <c r="B38" s="74" t="s">
        <v>201</v>
      </c>
      <c r="C38" s="74" t="s">
        <v>79</v>
      </c>
      <c r="D38" s="74" t="s">
        <v>81</v>
      </c>
      <c r="E38" s="86" t="s">
        <v>183</v>
      </c>
      <c r="F38" s="74" t="s">
        <v>177</v>
      </c>
      <c r="G38" s="87">
        <v>42101</v>
      </c>
      <c r="H38" s="87">
        <v>2958465</v>
      </c>
      <c r="I38" s="89">
        <v>12000</v>
      </c>
    </row>
    <row r="39" spans="1:9">
      <c r="A39" s="74" t="s">
        <v>202</v>
      </c>
      <c r="B39" s="74" t="s">
        <v>203</v>
      </c>
      <c r="C39" s="74" t="s">
        <v>79</v>
      </c>
      <c r="D39" s="74" t="s">
        <v>81</v>
      </c>
      <c r="E39" s="86" t="s">
        <v>204</v>
      </c>
      <c r="F39" s="74" t="s">
        <v>205</v>
      </c>
      <c r="G39" s="87">
        <v>42102</v>
      </c>
      <c r="H39" s="87">
        <v>2958465</v>
      </c>
      <c r="I39" s="89">
        <v>216000</v>
      </c>
    </row>
    <row r="40" spans="1:9">
      <c r="A40" s="74" t="s">
        <v>206</v>
      </c>
      <c r="B40" s="74" t="s">
        <v>207</v>
      </c>
      <c r="C40" s="88" t="s">
        <v>82</v>
      </c>
      <c r="D40" s="88" t="s">
        <v>84</v>
      </c>
      <c r="E40" s="86" t="s">
        <v>208</v>
      </c>
      <c r="F40" s="74" t="s">
        <v>209</v>
      </c>
      <c r="G40" s="87">
        <v>42103</v>
      </c>
      <c r="H40" s="87">
        <v>2958465</v>
      </c>
      <c r="I40" s="89">
        <v>108000</v>
      </c>
    </row>
    <row r="41" spans="1:9">
      <c r="A41" s="74" t="s">
        <v>210</v>
      </c>
      <c r="B41" s="74" t="s">
        <v>211</v>
      </c>
      <c r="C41" s="88" t="s">
        <v>82</v>
      </c>
      <c r="D41" s="88" t="s">
        <v>84</v>
      </c>
      <c r="E41" s="86" t="s">
        <v>116</v>
      </c>
      <c r="F41" s="74" t="s">
        <v>209</v>
      </c>
      <c r="G41" s="87">
        <v>42104</v>
      </c>
      <c r="H41" s="87">
        <v>2958465</v>
      </c>
      <c r="I41" s="89">
        <v>96000</v>
      </c>
    </row>
    <row r="42" spans="1:9">
      <c r="A42" s="74" t="s">
        <v>212</v>
      </c>
      <c r="B42" s="74" t="s">
        <v>213</v>
      </c>
      <c r="C42" s="88" t="s">
        <v>82</v>
      </c>
      <c r="D42" s="88" t="s">
        <v>84</v>
      </c>
      <c r="E42" s="86" t="s">
        <v>208</v>
      </c>
      <c r="F42" s="74" t="s">
        <v>209</v>
      </c>
      <c r="G42" s="87">
        <v>42105</v>
      </c>
      <c r="H42" s="87">
        <v>2958465</v>
      </c>
      <c r="I42" s="89">
        <v>108000</v>
      </c>
    </row>
    <row r="43" spans="1:9">
      <c r="A43" s="74" t="s">
        <v>214</v>
      </c>
      <c r="B43" s="74" t="s">
        <v>215</v>
      </c>
      <c r="C43" s="88" t="s">
        <v>82</v>
      </c>
      <c r="D43" s="88" t="s">
        <v>84</v>
      </c>
      <c r="E43" s="86" t="s">
        <v>116</v>
      </c>
      <c r="F43" s="74" t="s">
        <v>209</v>
      </c>
      <c r="G43" s="87">
        <v>42106</v>
      </c>
      <c r="H43" s="87">
        <v>2958465</v>
      </c>
      <c r="I43" s="89">
        <v>96000</v>
      </c>
    </row>
    <row r="44" spans="1:9">
      <c r="A44" s="74" t="s">
        <v>216</v>
      </c>
      <c r="B44" s="74" t="s">
        <v>217</v>
      </c>
      <c r="C44" s="88" t="s">
        <v>82</v>
      </c>
      <c r="D44" s="88" t="s">
        <v>84</v>
      </c>
      <c r="E44" s="86" t="s">
        <v>218</v>
      </c>
      <c r="F44" s="74" t="s">
        <v>219</v>
      </c>
      <c r="G44" s="87">
        <v>42107</v>
      </c>
      <c r="H44" s="87">
        <v>2958465</v>
      </c>
      <c r="I44" s="89">
        <v>132000</v>
      </c>
    </row>
    <row r="45" spans="1:9">
      <c r="A45" s="74" t="s">
        <v>220</v>
      </c>
      <c r="B45" s="74" t="s">
        <v>221</v>
      </c>
      <c r="C45" s="88" t="s">
        <v>82</v>
      </c>
      <c r="D45" s="74" t="s">
        <v>83</v>
      </c>
      <c r="E45" s="86" t="s">
        <v>218</v>
      </c>
      <c r="F45" s="74" t="s">
        <v>222</v>
      </c>
      <c r="G45" s="87">
        <v>42108</v>
      </c>
      <c r="H45" s="87">
        <v>2958465</v>
      </c>
      <c r="I45" s="89">
        <v>132000</v>
      </c>
    </row>
    <row r="46" spans="1:9">
      <c r="A46" s="74" t="s">
        <v>223</v>
      </c>
      <c r="B46" s="74" t="s">
        <v>224</v>
      </c>
      <c r="C46" s="88" t="s">
        <v>82</v>
      </c>
      <c r="D46" s="74" t="s">
        <v>83</v>
      </c>
      <c r="E46" s="86" t="s">
        <v>225</v>
      </c>
      <c r="F46" s="74" t="s">
        <v>209</v>
      </c>
      <c r="G46" s="87">
        <v>42109</v>
      </c>
      <c r="H46" s="87">
        <v>2958465</v>
      </c>
      <c r="I46" s="89">
        <v>120000</v>
      </c>
    </row>
    <row r="47" spans="1:9">
      <c r="A47" s="74" t="s">
        <v>226</v>
      </c>
      <c r="B47" s="74" t="s">
        <v>227</v>
      </c>
      <c r="C47" s="88" t="s">
        <v>82</v>
      </c>
      <c r="D47" s="74" t="s">
        <v>83</v>
      </c>
      <c r="E47" s="86" t="s">
        <v>208</v>
      </c>
      <c r="F47" s="74" t="s">
        <v>209</v>
      </c>
      <c r="G47" s="87">
        <v>42110</v>
      </c>
      <c r="H47" s="87">
        <v>2958465</v>
      </c>
      <c r="I47" s="89">
        <v>108000</v>
      </c>
    </row>
    <row r="48" spans="1:9">
      <c r="A48" s="74" t="s">
        <v>228</v>
      </c>
      <c r="B48" s="74" t="s">
        <v>229</v>
      </c>
      <c r="C48" s="88" t="s">
        <v>82</v>
      </c>
      <c r="D48" s="74" t="s">
        <v>83</v>
      </c>
      <c r="E48" s="86" t="s">
        <v>116</v>
      </c>
      <c r="F48" s="74" t="s">
        <v>209</v>
      </c>
      <c r="G48" s="87">
        <v>42111</v>
      </c>
      <c r="H48" s="87">
        <v>2958465</v>
      </c>
      <c r="I48" s="89">
        <v>96000</v>
      </c>
    </row>
    <row r="49" spans="1:9">
      <c r="A49" s="74" t="s">
        <v>230</v>
      </c>
      <c r="B49" s="74" t="s">
        <v>231</v>
      </c>
      <c r="C49" s="88" t="s">
        <v>82</v>
      </c>
      <c r="D49" s="74" t="s">
        <v>83</v>
      </c>
      <c r="E49" s="86" t="s">
        <v>120</v>
      </c>
      <c r="F49" s="74" t="s">
        <v>209</v>
      </c>
      <c r="G49" s="87">
        <v>42112</v>
      </c>
      <c r="H49" s="87">
        <v>2958465</v>
      </c>
      <c r="I49" s="89">
        <v>84000</v>
      </c>
    </row>
    <row r="50" spans="1:9">
      <c r="A50" s="74" t="s">
        <v>232</v>
      </c>
      <c r="B50" s="74" t="s">
        <v>233</v>
      </c>
      <c r="C50" s="88" t="s">
        <v>82</v>
      </c>
      <c r="D50" s="74" t="s">
        <v>83</v>
      </c>
      <c r="E50" s="86" t="s">
        <v>123</v>
      </c>
      <c r="F50" s="74" t="s">
        <v>209</v>
      </c>
      <c r="G50" s="87">
        <v>42113</v>
      </c>
      <c r="H50" s="87">
        <v>2958465</v>
      </c>
      <c r="I50" s="89">
        <v>72000</v>
      </c>
    </row>
    <row r="51" spans="1:9">
      <c r="A51" s="74" t="s">
        <v>234</v>
      </c>
      <c r="B51" s="74" t="s">
        <v>235</v>
      </c>
      <c r="C51" s="88" t="s">
        <v>82</v>
      </c>
      <c r="D51" s="74" t="s">
        <v>83</v>
      </c>
      <c r="E51" s="86" t="s">
        <v>116</v>
      </c>
      <c r="F51" s="74" t="s">
        <v>209</v>
      </c>
      <c r="G51" s="87">
        <v>42114</v>
      </c>
      <c r="H51" s="87">
        <v>2958465</v>
      </c>
      <c r="I51" s="89">
        <v>96000</v>
      </c>
    </row>
    <row r="52" spans="1:9">
      <c r="A52" s="74" t="s">
        <v>236</v>
      </c>
      <c r="B52" s="74" t="s">
        <v>237</v>
      </c>
      <c r="C52" s="88" t="s">
        <v>82</v>
      </c>
      <c r="D52" s="74" t="s">
        <v>83</v>
      </c>
      <c r="E52" s="86" t="s">
        <v>120</v>
      </c>
      <c r="F52" s="74" t="s">
        <v>209</v>
      </c>
      <c r="G52" s="87">
        <v>42115</v>
      </c>
      <c r="H52" s="87">
        <v>2958465</v>
      </c>
      <c r="I52" s="89">
        <v>84000</v>
      </c>
    </row>
    <row r="53" spans="1:9">
      <c r="A53" s="74" t="s">
        <v>238</v>
      </c>
      <c r="B53" s="74" t="s">
        <v>239</v>
      </c>
      <c r="C53" s="74" t="s">
        <v>86</v>
      </c>
      <c r="D53" s="74" t="s">
        <v>87</v>
      </c>
      <c r="E53" s="86" t="s">
        <v>204</v>
      </c>
      <c r="F53" s="74" t="s">
        <v>240</v>
      </c>
      <c r="G53" s="87">
        <v>42116</v>
      </c>
      <c r="H53" s="87">
        <v>2958465</v>
      </c>
      <c r="I53" s="89">
        <v>216000</v>
      </c>
    </row>
    <row r="54" spans="1:9">
      <c r="A54" s="74" t="s">
        <v>241</v>
      </c>
      <c r="B54" s="74" t="s">
        <v>242</v>
      </c>
      <c r="C54" s="74" t="s">
        <v>86</v>
      </c>
      <c r="D54" s="74" t="s">
        <v>87</v>
      </c>
      <c r="E54" s="86" t="s">
        <v>243</v>
      </c>
      <c r="F54" s="74" t="s">
        <v>244</v>
      </c>
      <c r="G54" s="87">
        <v>42117</v>
      </c>
      <c r="H54" s="87">
        <v>2958465</v>
      </c>
      <c r="I54" s="89">
        <v>156000</v>
      </c>
    </row>
    <row r="55" spans="1:9">
      <c r="A55" s="74" t="s">
        <v>245</v>
      </c>
      <c r="B55" s="74" t="s">
        <v>246</v>
      </c>
      <c r="C55" s="74" t="s">
        <v>86</v>
      </c>
      <c r="D55" s="74" t="s">
        <v>87</v>
      </c>
      <c r="E55" s="86" t="s">
        <v>247</v>
      </c>
      <c r="F55" s="74" t="s">
        <v>248</v>
      </c>
      <c r="G55" s="87">
        <v>42118</v>
      </c>
      <c r="H55" s="87">
        <v>2958465</v>
      </c>
      <c r="I55" s="89">
        <v>144000</v>
      </c>
    </row>
    <row r="56" spans="1:9">
      <c r="A56" s="74" t="s">
        <v>249</v>
      </c>
      <c r="B56" s="74" t="s">
        <v>250</v>
      </c>
      <c r="C56" s="74" t="s">
        <v>86</v>
      </c>
      <c r="D56" s="74" t="s">
        <v>87</v>
      </c>
      <c r="E56" s="86" t="s">
        <v>251</v>
      </c>
      <c r="F56" s="74" t="s">
        <v>252</v>
      </c>
      <c r="G56" s="87">
        <v>42119</v>
      </c>
      <c r="H56" s="87">
        <v>2958465</v>
      </c>
      <c r="I56" s="89">
        <v>132000</v>
      </c>
    </row>
    <row r="57" spans="1:9">
      <c r="A57" s="74" t="s">
        <v>253</v>
      </c>
      <c r="B57" s="74" t="s">
        <v>254</v>
      </c>
      <c r="C57" s="74" t="s">
        <v>86</v>
      </c>
      <c r="D57" s="74" t="s">
        <v>87</v>
      </c>
      <c r="E57" s="86" t="s">
        <v>255</v>
      </c>
      <c r="F57" s="74" t="s">
        <v>252</v>
      </c>
      <c r="G57" s="87">
        <v>42120</v>
      </c>
      <c r="H57" s="87">
        <v>2958465</v>
      </c>
      <c r="I57" s="89">
        <v>120000</v>
      </c>
    </row>
    <row r="58" spans="1:9">
      <c r="A58" s="74" t="s">
        <v>256</v>
      </c>
      <c r="B58" s="74" t="s">
        <v>257</v>
      </c>
      <c r="C58" s="74" t="s">
        <v>86</v>
      </c>
      <c r="D58" s="74" t="s">
        <v>87</v>
      </c>
      <c r="E58" s="86" t="s">
        <v>258</v>
      </c>
      <c r="F58" s="74" t="s">
        <v>252</v>
      </c>
      <c r="G58" s="87">
        <v>42121</v>
      </c>
      <c r="H58" s="87">
        <v>2958465</v>
      </c>
      <c r="I58" s="89">
        <v>108000</v>
      </c>
    </row>
    <row r="59" spans="1:9">
      <c r="A59" s="74" t="s">
        <v>259</v>
      </c>
      <c r="B59" s="74" t="s">
        <v>260</v>
      </c>
      <c r="C59" s="74" t="s">
        <v>86</v>
      </c>
      <c r="D59" s="74" t="s">
        <v>87</v>
      </c>
      <c r="E59" s="86" t="s">
        <v>261</v>
      </c>
      <c r="F59" s="74" t="s">
        <v>262</v>
      </c>
      <c r="G59" s="87">
        <v>42122</v>
      </c>
      <c r="H59" s="87">
        <v>2958465</v>
      </c>
      <c r="I59" s="89">
        <v>96000</v>
      </c>
    </row>
    <row r="60" spans="1:9">
      <c r="A60" s="74" t="s">
        <v>263</v>
      </c>
      <c r="B60" s="74" t="s">
        <v>264</v>
      </c>
      <c r="C60" s="74" t="s">
        <v>86</v>
      </c>
      <c r="D60" s="74" t="s">
        <v>88</v>
      </c>
      <c r="E60" s="86" t="s">
        <v>149</v>
      </c>
      <c r="F60" s="74" t="s">
        <v>265</v>
      </c>
      <c r="G60" s="87">
        <v>42123</v>
      </c>
      <c r="H60" s="87">
        <v>2958465</v>
      </c>
      <c r="I60" s="89">
        <v>204000</v>
      </c>
    </row>
    <row r="61" spans="1:9">
      <c r="A61" s="74" t="s">
        <v>266</v>
      </c>
      <c r="B61" s="74" t="s">
        <v>267</v>
      </c>
      <c r="C61" s="74" t="s">
        <v>86</v>
      </c>
      <c r="D61" s="74" t="s">
        <v>88</v>
      </c>
      <c r="E61" s="86" t="s">
        <v>243</v>
      </c>
      <c r="F61" s="74" t="s">
        <v>268</v>
      </c>
      <c r="G61" s="87">
        <v>42124</v>
      </c>
      <c r="H61" s="87">
        <v>2958465</v>
      </c>
      <c r="I61" s="89">
        <v>156000</v>
      </c>
    </row>
    <row r="62" spans="1:9">
      <c r="A62" s="74" t="s">
        <v>269</v>
      </c>
      <c r="B62" s="74" t="s">
        <v>270</v>
      </c>
      <c r="C62" s="74" t="s">
        <v>86</v>
      </c>
      <c r="D62" s="74" t="s">
        <v>88</v>
      </c>
      <c r="E62" s="86" t="s">
        <v>247</v>
      </c>
      <c r="F62" s="74" t="s">
        <v>268</v>
      </c>
      <c r="G62" s="87">
        <v>42125</v>
      </c>
      <c r="H62" s="87">
        <v>2958465</v>
      </c>
      <c r="I62" s="89">
        <v>144000</v>
      </c>
    </row>
    <row r="63" spans="1:9">
      <c r="A63" s="74" t="s">
        <v>271</v>
      </c>
      <c r="B63" s="74" t="s">
        <v>272</v>
      </c>
      <c r="C63" s="74" t="s">
        <v>86</v>
      </c>
      <c r="D63" s="74" t="s">
        <v>88</v>
      </c>
      <c r="E63" s="86" t="s">
        <v>251</v>
      </c>
      <c r="F63" s="74" t="s">
        <v>268</v>
      </c>
      <c r="G63" s="87">
        <v>42126</v>
      </c>
      <c r="H63" s="87">
        <v>2958465</v>
      </c>
      <c r="I63" s="89">
        <v>132000</v>
      </c>
    </row>
    <row r="64" spans="1:9">
      <c r="A64" s="74" t="s">
        <v>273</v>
      </c>
      <c r="B64" s="74" t="s">
        <v>274</v>
      </c>
      <c r="C64" s="74" t="s">
        <v>86</v>
      </c>
      <c r="D64" s="74" t="s">
        <v>88</v>
      </c>
      <c r="E64" s="86" t="s">
        <v>255</v>
      </c>
      <c r="F64" s="74" t="s">
        <v>268</v>
      </c>
      <c r="G64" s="87">
        <v>42127</v>
      </c>
      <c r="H64" s="87">
        <v>2958465</v>
      </c>
      <c r="I64" s="89">
        <v>120000</v>
      </c>
    </row>
    <row r="65" spans="1:9">
      <c r="A65" s="74" t="s">
        <v>275</v>
      </c>
      <c r="B65" s="74" t="s">
        <v>276</v>
      </c>
      <c r="C65" s="74" t="s">
        <v>86</v>
      </c>
      <c r="D65" s="74" t="s">
        <v>88</v>
      </c>
      <c r="E65" s="86" t="s">
        <v>258</v>
      </c>
      <c r="F65" s="74" t="s">
        <v>268</v>
      </c>
      <c r="G65" s="87">
        <v>42128</v>
      </c>
      <c r="H65" s="87">
        <v>2958465</v>
      </c>
      <c r="I65" s="89">
        <v>108000</v>
      </c>
    </row>
    <row r="66" spans="1:9">
      <c r="A66" s="74" t="s">
        <v>277</v>
      </c>
      <c r="B66" s="74" t="s">
        <v>278</v>
      </c>
      <c r="C66" s="74" t="s">
        <v>86</v>
      </c>
      <c r="D66" s="74" t="s">
        <v>89</v>
      </c>
      <c r="E66" s="86" t="s">
        <v>279</v>
      </c>
      <c r="F66" s="74" t="s">
        <v>280</v>
      </c>
      <c r="G66" s="87">
        <v>42129</v>
      </c>
      <c r="H66" s="87">
        <v>2958465</v>
      </c>
      <c r="I66" s="89">
        <v>180000</v>
      </c>
    </row>
    <row r="67" spans="1:9">
      <c r="A67" s="74" t="s">
        <v>281</v>
      </c>
      <c r="B67" s="74" t="s">
        <v>282</v>
      </c>
      <c r="C67" s="74" t="s">
        <v>86</v>
      </c>
      <c r="D67" s="74" t="s">
        <v>89</v>
      </c>
      <c r="E67" s="86" t="s">
        <v>225</v>
      </c>
      <c r="F67" s="74" t="s">
        <v>283</v>
      </c>
      <c r="G67" s="87">
        <v>42130</v>
      </c>
      <c r="H67" s="87">
        <v>2958465</v>
      </c>
      <c r="I67" s="89">
        <v>120000</v>
      </c>
    </row>
    <row r="68" spans="1:9">
      <c r="A68" s="74" t="s">
        <v>284</v>
      </c>
      <c r="B68" s="74" t="s">
        <v>285</v>
      </c>
      <c r="C68" s="74" t="s">
        <v>86</v>
      </c>
      <c r="D68" s="74" t="s">
        <v>89</v>
      </c>
      <c r="E68" s="86" t="s">
        <v>208</v>
      </c>
      <c r="F68" s="74" t="s">
        <v>283</v>
      </c>
      <c r="G68" s="87">
        <v>42131</v>
      </c>
      <c r="H68" s="87">
        <v>2958465</v>
      </c>
      <c r="I68" s="89">
        <v>108000</v>
      </c>
    </row>
    <row r="69" spans="1:9">
      <c r="A69" s="74" t="s">
        <v>286</v>
      </c>
      <c r="B69" s="74" t="s">
        <v>287</v>
      </c>
      <c r="C69" s="74" t="s">
        <v>82</v>
      </c>
      <c r="D69" s="88" t="s">
        <v>85</v>
      </c>
      <c r="E69" s="86" t="s">
        <v>288</v>
      </c>
      <c r="F69" s="74" t="s">
        <v>289</v>
      </c>
      <c r="G69" s="87">
        <v>42132</v>
      </c>
      <c r="H69" s="87">
        <v>2958465</v>
      </c>
      <c r="I69" s="89">
        <v>144000</v>
      </c>
    </row>
    <row r="70" spans="1:9">
      <c r="A70" s="74" t="s">
        <v>290</v>
      </c>
      <c r="B70" s="74" t="s">
        <v>291</v>
      </c>
      <c r="C70" s="74" t="s">
        <v>82</v>
      </c>
      <c r="D70" s="88" t="s">
        <v>85</v>
      </c>
      <c r="E70" s="86" t="s">
        <v>218</v>
      </c>
      <c r="F70" s="74" t="s">
        <v>289</v>
      </c>
      <c r="G70" s="87">
        <v>42133</v>
      </c>
      <c r="H70" s="87">
        <v>2958465</v>
      </c>
      <c r="I70" s="89">
        <v>132000</v>
      </c>
    </row>
    <row r="71" spans="1:9">
      <c r="A71" s="74" t="s">
        <v>292</v>
      </c>
      <c r="B71" s="74" t="s">
        <v>293</v>
      </c>
      <c r="C71" s="74" t="s">
        <v>82</v>
      </c>
      <c r="D71" s="88" t="s">
        <v>85</v>
      </c>
      <c r="E71" s="86" t="s">
        <v>225</v>
      </c>
      <c r="F71" s="74" t="s">
        <v>289</v>
      </c>
      <c r="G71" s="87">
        <v>44378</v>
      </c>
      <c r="H71" s="87">
        <v>2958465</v>
      </c>
      <c r="I71" s="89">
        <v>120000</v>
      </c>
    </row>
    <row r="72" spans="1:9">
      <c r="A72" s="74" t="s">
        <v>294</v>
      </c>
      <c r="B72" s="74" t="s">
        <v>295</v>
      </c>
      <c r="C72" s="74" t="s">
        <v>82</v>
      </c>
      <c r="D72" s="88" t="s">
        <v>85</v>
      </c>
      <c r="E72" s="86" t="s">
        <v>208</v>
      </c>
      <c r="F72" s="74" t="s">
        <v>289</v>
      </c>
      <c r="G72" s="87">
        <v>42135</v>
      </c>
      <c r="H72" s="87">
        <v>2958465</v>
      </c>
      <c r="I72" s="89">
        <v>108000</v>
      </c>
    </row>
    <row r="73" spans="1:9">
      <c r="A73" s="74" t="s">
        <v>296</v>
      </c>
      <c r="B73" s="74" t="s">
        <v>297</v>
      </c>
      <c r="C73" s="74" t="s">
        <v>82</v>
      </c>
      <c r="D73" s="88" t="s">
        <v>85</v>
      </c>
      <c r="E73" s="86" t="s">
        <v>116</v>
      </c>
      <c r="F73" s="74" t="s">
        <v>289</v>
      </c>
      <c r="G73" s="87">
        <v>42136</v>
      </c>
      <c r="H73" s="87">
        <v>2958465</v>
      </c>
      <c r="I73" s="89">
        <v>96000</v>
      </c>
    </row>
    <row r="74" spans="1:9">
      <c r="A74" s="74" t="s">
        <v>298</v>
      </c>
      <c r="B74" s="74" t="s">
        <v>299</v>
      </c>
      <c r="C74" s="74" t="s">
        <v>82</v>
      </c>
      <c r="D74" s="88" t="s">
        <v>85</v>
      </c>
      <c r="E74" s="86" t="s">
        <v>279</v>
      </c>
      <c r="F74" s="74" t="s">
        <v>300</v>
      </c>
      <c r="G74" s="87">
        <v>42137</v>
      </c>
      <c r="H74" s="87">
        <v>2958465</v>
      </c>
      <c r="I74" s="89">
        <v>180000</v>
      </c>
    </row>
    <row r="75" spans="1:9">
      <c r="A75" s="74" t="s">
        <v>301</v>
      </c>
      <c r="B75" s="74" t="s">
        <v>302</v>
      </c>
      <c r="C75" s="74" t="s">
        <v>82</v>
      </c>
      <c r="D75" s="88" t="s">
        <v>85</v>
      </c>
      <c r="E75" s="86" t="s">
        <v>279</v>
      </c>
      <c r="F75" s="74" t="s">
        <v>303</v>
      </c>
      <c r="G75" s="87">
        <v>42138</v>
      </c>
      <c r="H75" s="87">
        <v>2958465</v>
      </c>
      <c r="I75" s="89">
        <v>180000</v>
      </c>
    </row>
    <row r="76" spans="1:9">
      <c r="A76" s="74" t="s">
        <v>304</v>
      </c>
      <c r="B76" s="74" t="s">
        <v>305</v>
      </c>
      <c r="C76" s="74" t="s">
        <v>86</v>
      </c>
      <c r="D76" s="74" t="s">
        <v>90</v>
      </c>
      <c r="E76" s="86" t="s">
        <v>306</v>
      </c>
      <c r="F76" s="74" t="s">
        <v>307</v>
      </c>
      <c r="G76" s="87">
        <v>42139</v>
      </c>
      <c r="H76" s="87">
        <v>2958465</v>
      </c>
      <c r="I76" s="89">
        <v>240000</v>
      </c>
    </row>
  </sheetData>
  <sheetProtection algorithmName="SHA-512" hashValue="vFPrn96KBVaJMP5lBN7RVdsENjDufNYROKYx0r/jb47hA9MR6l+hV17nID/BJcE5xBURnuivOz9tb6bq/UcZ9w==" saltValue="99t/ODkmRMI72bCkIE6sqA==" spinCount="100000" sheet="1" formatCells="0" formatColumns="0" formatRows="0" insertRows="0" insertColumns="0" autoFilter="0" objects="1" scenarios="1"/>
  <autoFilter ref="A3:J76">
    <extLst/>
  </autoFilter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workbookViewId="0">
      <pane xSplit="9" ySplit="3" topLeftCell="J4" activePane="bottomRight" state="frozen"/>
      <selection/>
      <selection pane="topRight"/>
      <selection pane="bottomLeft"/>
      <selection pane="bottomRight" activeCell="J17" sqref="J17"/>
    </sheetView>
  </sheetViews>
  <sheetFormatPr defaultColWidth="8.77777777777778" defaultRowHeight="15"/>
  <cols>
    <col min="1" max="1" width="9.55555555555556" style="75" customWidth="1"/>
    <col min="2" max="2" width="9.11111111111111" style="75" customWidth="1"/>
    <col min="3" max="3" width="8.33333333333333" style="75" customWidth="1"/>
    <col min="4" max="4" width="11.6666666666667" style="75" customWidth="1"/>
    <col min="5" max="5" width="10" style="75" customWidth="1"/>
    <col min="6" max="8" width="15.5555555555556" style="75" customWidth="1"/>
    <col min="9" max="9" width="16.3333333333333" style="76" customWidth="1"/>
    <col min="10" max="10" width="18.1111111111111" style="75" customWidth="1"/>
    <col min="11" max="11" width="8.77777777777778" style="75"/>
    <col min="12" max="12" width="11.4444444444444" style="75" customWidth="1"/>
    <col min="13" max="16384" width="8.77777777777778" style="75"/>
  </cols>
  <sheetData>
    <row r="1" spans="1:10">
      <c r="A1" s="77"/>
      <c r="B1" s="77"/>
      <c r="C1" s="77"/>
      <c r="D1" s="77"/>
      <c r="E1" s="77"/>
      <c r="F1" s="77"/>
      <c r="G1" s="77"/>
      <c r="H1" s="77"/>
      <c r="I1" s="82"/>
      <c r="J1" s="77"/>
    </row>
    <row r="2" s="74" customFormat="1" ht="15.6" spans="1:10">
      <c r="A2" s="78" t="s">
        <v>101</v>
      </c>
      <c r="B2" s="79"/>
      <c r="C2" s="79"/>
      <c r="D2" s="79"/>
      <c r="E2" s="79"/>
      <c r="F2" s="79"/>
      <c r="G2" s="79"/>
      <c r="H2" s="79"/>
      <c r="I2" s="79"/>
      <c r="J2" s="79"/>
    </row>
    <row r="3" ht="25.95" customHeight="1" spans="1:10">
      <c r="A3" s="80" t="s">
        <v>105</v>
      </c>
      <c r="B3" s="80" t="s">
        <v>106</v>
      </c>
      <c r="C3" s="80" t="s">
        <v>107</v>
      </c>
      <c r="D3" s="80" t="s">
        <v>108</v>
      </c>
      <c r="E3" s="80" t="s">
        <v>328</v>
      </c>
      <c r="F3" s="80" t="s">
        <v>329</v>
      </c>
      <c r="G3" s="81" t="s">
        <v>327</v>
      </c>
      <c r="H3" s="81" t="s">
        <v>330</v>
      </c>
      <c r="I3" s="83" t="s">
        <v>331</v>
      </c>
      <c r="J3" s="80" t="s">
        <v>332</v>
      </c>
    </row>
    <row r="4" ht="19.95" customHeight="1" spans="1:10">
      <c r="A4" s="75" t="s">
        <v>79</v>
      </c>
      <c r="B4" s="75" t="s">
        <v>81</v>
      </c>
      <c r="C4" s="75" t="s">
        <v>156</v>
      </c>
      <c r="D4" s="75" t="s">
        <v>153</v>
      </c>
      <c r="E4" s="75" t="s">
        <v>333</v>
      </c>
      <c r="F4" s="75">
        <v>1</v>
      </c>
      <c r="G4" s="75">
        <v>60000</v>
      </c>
      <c r="H4" s="75">
        <f>F4*G4</f>
        <v>60000</v>
      </c>
      <c r="I4" s="76">
        <v>44530</v>
      </c>
      <c r="J4" s="75" t="s">
        <v>334</v>
      </c>
    </row>
    <row r="5" ht="19.95" customHeight="1" spans="1:12">
      <c r="A5" s="75" t="s">
        <v>79</v>
      </c>
      <c r="B5" s="75" t="s">
        <v>81</v>
      </c>
      <c r="C5" s="75" t="s">
        <v>176</v>
      </c>
      <c r="D5" s="75" t="s">
        <v>177</v>
      </c>
      <c r="E5" s="75" t="s">
        <v>333</v>
      </c>
      <c r="F5" s="75">
        <v>5</v>
      </c>
      <c r="G5" s="75">
        <v>36000</v>
      </c>
      <c r="H5" s="75">
        <f t="shared" ref="H5:H10" si="0">F5*G5</f>
        <v>180000</v>
      </c>
      <c r="I5" s="76">
        <v>44651</v>
      </c>
      <c r="J5" s="75" t="s">
        <v>334</v>
      </c>
      <c r="L5" s="84"/>
    </row>
    <row r="6" ht="19.95" customHeight="1" spans="1:10">
      <c r="A6" s="75" t="s">
        <v>79</v>
      </c>
      <c r="B6" s="75" t="s">
        <v>80</v>
      </c>
      <c r="C6" s="75" t="s">
        <v>120</v>
      </c>
      <c r="D6" s="75" t="s">
        <v>117</v>
      </c>
      <c r="E6" s="75" t="s">
        <v>333</v>
      </c>
      <c r="F6" s="75">
        <v>3</v>
      </c>
      <c r="G6" s="75">
        <v>84000</v>
      </c>
      <c r="H6" s="75">
        <f t="shared" si="0"/>
        <v>252000</v>
      </c>
      <c r="I6" s="76">
        <v>44712</v>
      </c>
      <c r="J6" s="75" t="s">
        <v>334</v>
      </c>
    </row>
    <row r="7" ht="19.95" customHeight="1" spans="1:10">
      <c r="A7" s="75" t="s">
        <v>79</v>
      </c>
      <c r="B7" s="75" t="s">
        <v>81</v>
      </c>
      <c r="C7" s="75" t="s">
        <v>160</v>
      </c>
      <c r="D7" s="75" t="s">
        <v>177</v>
      </c>
      <c r="E7" s="75" t="s">
        <v>335</v>
      </c>
      <c r="F7" s="75">
        <v>-2</v>
      </c>
      <c r="G7" s="75">
        <v>48000</v>
      </c>
      <c r="H7" s="75">
        <f t="shared" si="0"/>
        <v>-96000</v>
      </c>
      <c r="I7" s="76">
        <v>44545</v>
      </c>
      <c r="J7" s="75" t="s">
        <v>336</v>
      </c>
    </row>
    <row r="8" ht="19.95" customHeight="1" spans="1:10">
      <c r="A8" s="75" t="s">
        <v>79</v>
      </c>
      <c r="B8" s="75" t="s">
        <v>80</v>
      </c>
      <c r="C8" s="75" t="s">
        <v>116</v>
      </c>
      <c r="D8" s="75" t="s">
        <v>117</v>
      </c>
      <c r="E8" s="75" t="s">
        <v>335</v>
      </c>
      <c r="F8" s="75">
        <v>-2</v>
      </c>
      <c r="G8" s="75">
        <v>96000</v>
      </c>
      <c r="H8" s="75">
        <f t="shared" si="0"/>
        <v>-192000</v>
      </c>
      <c r="I8" s="76">
        <v>44712</v>
      </c>
      <c r="J8" s="75" t="s">
        <v>336</v>
      </c>
    </row>
    <row r="9" ht="19.95" customHeight="1" spans="1:10">
      <c r="A9" s="75" t="s">
        <v>79</v>
      </c>
      <c r="B9" s="75" t="s">
        <v>80</v>
      </c>
      <c r="C9" s="75" t="s">
        <v>116</v>
      </c>
      <c r="D9" s="75" t="s">
        <v>117</v>
      </c>
      <c r="E9" s="75" t="s">
        <v>337</v>
      </c>
      <c r="F9" s="75">
        <v>2</v>
      </c>
      <c r="G9" s="75">
        <v>96000</v>
      </c>
      <c r="H9" s="75">
        <f t="shared" si="0"/>
        <v>192000</v>
      </c>
      <c r="I9" s="76">
        <v>44712</v>
      </c>
      <c r="J9" s="75" t="s">
        <v>338</v>
      </c>
    </row>
    <row r="10" ht="19.95" customHeight="1" spans="1:10">
      <c r="A10" s="75" t="s">
        <v>79</v>
      </c>
      <c r="B10" s="75" t="s">
        <v>80</v>
      </c>
      <c r="C10" s="75" t="s">
        <v>120</v>
      </c>
      <c r="D10" s="75" t="s">
        <v>117</v>
      </c>
      <c r="E10" s="75" t="s">
        <v>337</v>
      </c>
      <c r="F10" s="75">
        <v>-2</v>
      </c>
      <c r="G10" s="75">
        <v>84000</v>
      </c>
      <c r="H10" s="75">
        <f t="shared" si="0"/>
        <v>-168000</v>
      </c>
      <c r="I10" s="76">
        <v>44712</v>
      </c>
      <c r="J10" s="75" t="s">
        <v>338</v>
      </c>
    </row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</sheetData>
  <sheetProtection algorithmName="SHA-512" hashValue="qSTHzz0uuq9vg1JZT+YcNkveFZfVBmtpa4bXA5ePFaeIMDhF1y5FQT8ZBUZSE78L0RftnmKT0pmTXIa4q4sllA==" saltValue="TaypjPkcmD9ZWwGiE98tNQ==" spinCount="100000" sheet="1" formatCells="0" formatColumns="0" formatRows="0" insertRows="0" insertColumns="0" autoFilter="0" objects="1" scenarios="1"/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Right="0"/>
    <pageSetUpPr fitToPage="1"/>
  </sheetPr>
  <dimension ref="B1:AZ36"/>
  <sheetViews>
    <sheetView showGridLines="0" workbookViewId="0">
      <pane xSplit="2" ySplit="7" topLeftCell="C8" activePane="bottomRight" state="frozen"/>
      <selection/>
      <selection pane="topRight"/>
      <selection pane="bottomLeft"/>
      <selection pane="bottomRight" activeCell="BG15" sqref="BG15"/>
    </sheetView>
  </sheetViews>
  <sheetFormatPr defaultColWidth="8.77777777777778" defaultRowHeight="15"/>
  <cols>
    <col min="1" max="1" width="3.88888888888889" style="50" customWidth="1"/>
    <col min="2" max="2" width="17.5555555555556" style="50" customWidth="1"/>
    <col min="3" max="3" width="12.4444444444444" style="50" customWidth="1" collapsed="1"/>
    <col min="4" max="4" width="9.11111111111111" style="50" hidden="1" customWidth="1" outlineLevel="1"/>
    <col min="5" max="5" width="8.66666666666667" style="50" hidden="1" customWidth="1" outlineLevel="1"/>
    <col min="6" max="7" width="7.22222222222222" style="50" hidden="1" customWidth="1" outlineLevel="1"/>
    <col min="8" max="8" width="9.11111111111111" style="50" hidden="1" customWidth="1" outlineLevel="1"/>
    <col min="9" max="11" width="7.11111111111111" style="50" hidden="1" customWidth="1" outlineLevel="1"/>
    <col min="12" max="12" width="7.22222222222222" style="50" hidden="1" customWidth="1" outlineLevel="1"/>
    <col min="13" max="13" width="12.2222222222222" style="50" customWidth="1" collapsed="1"/>
    <col min="14" max="14" width="9.11111111111111" style="50" hidden="1" customWidth="1" outlineLevel="1"/>
    <col min="15" max="15" width="8.66666666666667" style="50" hidden="1" customWidth="1" outlineLevel="1"/>
    <col min="16" max="17" width="7.22222222222222" style="50" hidden="1" customWidth="1" outlineLevel="1"/>
    <col min="18" max="18" width="9.11111111111111" style="50" hidden="1" customWidth="1" outlineLevel="1"/>
    <col min="19" max="21" width="7.11111111111111" style="50" hidden="1" customWidth="1" outlineLevel="1"/>
    <col min="22" max="22" width="7.22222222222222" style="50" hidden="1" customWidth="1" outlineLevel="1"/>
    <col min="23" max="23" width="13.7777777777778" style="50" customWidth="1" collapsed="1"/>
    <col min="24" max="24" width="9.11111111111111" style="50" hidden="1" customWidth="1" outlineLevel="1"/>
    <col min="25" max="25" width="8.66666666666667" style="50" hidden="1" customWidth="1" outlineLevel="1"/>
    <col min="26" max="27" width="7.22222222222222" style="50" hidden="1" customWidth="1" outlineLevel="1"/>
    <col min="28" max="28" width="9.11111111111111" style="50" hidden="1" customWidth="1" outlineLevel="1"/>
    <col min="29" max="31" width="7.11111111111111" style="50" hidden="1" customWidth="1" outlineLevel="1"/>
    <col min="32" max="32" width="7.22222222222222" style="50" hidden="1" customWidth="1" outlineLevel="1"/>
    <col min="33" max="33" width="13" style="50" customWidth="1" collapsed="1"/>
    <col min="34" max="34" width="9.11111111111111" style="50" hidden="1" customWidth="1" outlineLevel="1"/>
    <col min="35" max="35" width="8.66666666666667" style="50" hidden="1" customWidth="1" outlineLevel="1"/>
    <col min="36" max="37" width="7.22222222222222" style="50" hidden="1" customWidth="1" outlineLevel="1"/>
    <col min="38" max="38" width="9.11111111111111" style="50" hidden="1" customWidth="1" outlineLevel="1"/>
    <col min="39" max="41" width="7.11111111111111" style="50" hidden="1" customWidth="1" outlineLevel="1"/>
    <col min="42" max="42" width="7.22222222222222" style="50" hidden="1" customWidth="1" outlineLevel="1"/>
    <col min="43" max="43" width="11.3333333333333" style="50" customWidth="1" collapsed="1"/>
    <col min="44" max="44" width="9.11111111111111" style="50" hidden="1" customWidth="1" outlineLevel="1"/>
    <col min="45" max="45" width="8.66666666666667" style="50" hidden="1" customWidth="1" outlineLevel="1"/>
    <col min="46" max="47" width="7.22222222222222" style="50" hidden="1" customWidth="1" outlineLevel="1"/>
    <col min="48" max="48" width="9.11111111111111" style="50" hidden="1" customWidth="1" outlineLevel="1"/>
    <col min="49" max="51" width="7.11111111111111" style="50" hidden="1" customWidth="1" outlineLevel="1"/>
    <col min="52" max="52" width="7.22222222222222" style="50" hidden="1" customWidth="1" outlineLevel="1"/>
    <col min="53" max="16384" width="8.77777777777778" style="50"/>
  </cols>
  <sheetData>
    <row r="1" ht="4.95" customHeight="1"/>
    <row r="2" ht="10.5" customHeight="1" spans="2:2">
      <c r="B2" s="51"/>
    </row>
    <row r="3" ht="22.8" customHeight="1" spans="2:52">
      <c r="B3" s="52" t="s">
        <v>339</v>
      </c>
      <c r="D3" s="53"/>
      <c r="E3" s="53"/>
      <c r="F3" s="53"/>
      <c r="G3" s="53"/>
      <c r="H3" s="53"/>
      <c r="I3" s="53"/>
      <c r="J3" s="53"/>
      <c r="K3" s="53"/>
      <c r="L3" s="53"/>
      <c r="N3" s="53"/>
      <c r="O3" s="53"/>
      <c r="P3" s="53"/>
      <c r="Q3" s="53"/>
      <c r="R3" s="53"/>
      <c r="S3" s="53"/>
      <c r="T3" s="53"/>
      <c r="U3" s="53"/>
      <c r="V3" s="53"/>
      <c r="X3" s="53"/>
      <c r="Y3" s="53"/>
      <c r="Z3" s="53"/>
      <c r="AA3" s="53"/>
      <c r="AB3" s="53"/>
      <c r="AC3" s="53"/>
      <c r="AD3" s="53"/>
      <c r="AE3" s="53"/>
      <c r="AF3" s="53"/>
      <c r="AH3" s="53"/>
      <c r="AI3" s="53"/>
      <c r="AJ3" s="53"/>
      <c r="AK3" s="53"/>
      <c r="AL3" s="53"/>
      <c r="AM3" s="53"/>
      <c r="AN3" s="53"/>
      <c r="AO3" s="53"/>
      <c r="AP3" s="53"/>
      <c r="AR3" s="53"/>
      <c r="AS3" s="53"/>
      <c r="AT3" s="53"/>
      <c r="AU3" s="53"/>
      <c r="AV3" s="53"/>
      <c r="AW3" s="53"/>
      <c r="AX3" s="53"/>
      <c r="AY3" s="53"/>
      <c r="AZ3" s="53"/>
    </row>
    <row r="4" ht="24" customHeight="1" spans="2:52">
      <c r="B4" s="51" t="s">
        <v>1</v>
      </c>
      <c r="C4" s="54">
        <v>44469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3"/>
      <c r="Y4" s="53"/>
      <c r="Z4" s="53"/>
      <c r="AA4" s="53"/>
      <c r="AB4" s="53"/>
      <c r="AC4" s="53"/>
      <c r="AD4" s="53"/>
      <c r="AE4" s="53"/>
      <c r="AF4" s="53"/>
      <c r="AH4" s="53"/>
      <c r="AI4" s="53"/>
      <c r="AJ4" s="53"/>
      <c r="AK4" s="53"/>
      <c r="AL4" s="53"/>
      <c r="AM4" s="53"/>
      <c r="AN4" s="53"/>
      <c r="AO4" s="53"/>
      <c r="AP4" s="53"/>
      <c r="AR4" s="53"/>
      <c r="AS4" s="53"/>
      <c r="AT4" s="53"/>
      <c r="AU4" s="53"/>
      <c r="AV4" s="53"/>
      <c r="AW4" s="53"/>
      <c r="AX4" s="53"/>
      <c r="AY4" s="53"/>
      <c r="AZ4" s="53"/>
    </row>
    <row r="5" ht="25.2" customHeight="1" spans="2:52">
      <c r="B5" s="55" t="s">
        <v>107</v>
      </c>
      <c r="C5" s="56" t="str">
        <f>YEAR($C$4)-2&amp;TEXT(12,"00")&amp;"实际"</f>
        <v>201912实际</v>
      </c>
      <c r="D5" s="57" t="s">
        <v>75</v>
      </c>
      <c r="E5" s="58"/>
      <c r="F5" s="58"/>
      <c r="G5" s="58"/>
      <c r="H5" s="58"/>
      <c r="I5" s="58"/>
      <c r="J5" s="58"/>
      <c r="K5" s="58"/>
      <c r="L5" s="70"/>
      <c r="M5" s="56" t="str">
        <f>YEAR($C$4)-1&amp;TEXT(12,"00")&amp;"实际"</f>
        <v>202012实际</v>
      </c>
      <c r="N5" s="57" t="s">
        <v>75</v>
      </c>
      <c r="O5" s="58"/>
      <c r="P5" s="58"/>
      <c r="Q5" s="58"/>
      <c r="R5" s="58"/>
      <c r="S5" s="58"/>
      <c r="T5" s="58"/>
      <c r="U5" s="58"/>
      <c r="V5" s="70"/>
      <c r="W5" s="56" t="str">
        <f>YEAR($C$4)&amp;TEXT(MONTH($C$4),"00")&amp;"实际"</f>
        <v>202109实际</v>
      </c>
      <c r="X5" s="57" t="s">
        <v>75</v>
      </c>
      <c r="Y5" s="58"/>
      <c r="Z5" s="58"/>
      <c r="AA5" s="58"/>
      <c r="AB5" s="58"/>
      <c r="AC5" s="58"/>
      <c r="AD5" s="58"/>
      <c r="AE5" s="58"/>
      <c r="AF5" s="70"/>
      <c r="AG5" s="56" t="str">
        <f>YEAR($C$4)&amp;TEXT(12,"00")&amp;"估计"</f>
        <v>202112估计</v>
      </c>
      <c r="AH5" s="57" t="s">
        <v>75</v>
      </c>
      <c r="AI5" s="58"/>
      <c r="AJ5" s="58"/>
      <c r="AK5" s="58"/>
      <c r="AL5" s="58"/>
      <c r="AM5" s="58"/>
      <c r="AN5" s="58"/>
      <c r="AO5" s="58"/>
      <c r="AP5" s="70"/>
      <c r="AQ5" s="56" t="str">
        <f>YEAR($C$4)+1&amp;TEXT(12,"00")&amp;"预算"</f>
        <v>202212预算</v>
      </c>
      <c r="AR5" s="57" t="s">
        <v>75</v>
      </c>
      <c r="AS5" s="58"/>
      <c r="AT5" s="58"/>
      <c r="AU5" s="58"/>
      <c r="AV5" s="58"/>
      <c r="AW5" s="58"/>
      <c r="AX5" s="58"/>
      <c r="AY5" s="58"/>
      <c r="AZ5" s="70"/>
    </row>
    <row r="6" s="48" customFormat="1" ht="31.2" customHeight="1" spans="2:52">
      <c r="B6" s="55"/>
      <c r="C6" s="59" t="s">
        <v>76</v>
      </c>
      <c r="D6" s="60" t="s">
        <v>79</v>
      </c>
      <c r="E6" s="60"/>
      <c r="F6" s="60" t="s">
        <v>82</v>
      </c>
      <c r="G6" s="60"/>
      <c r="H6" s="60"/>
      <c r="I6" s="60" t="s">
        <v>86</v>
      </c>
      <c r="J6" s="60"/>
      <c r="K6" s="60"/>
      <c r="L6" s="60"/>
      <c r="M6" s="59" t="s">
        <v>76</v>
      </c>
      <c r="N6" s="60" t="s">
        <v>79</v>
      </c>
      <c r="O6" s="60"/>
      <c r="P6" s="60" t="s">
        <v>82</v>
      </c>
      <c r="Q6" s="60"/>
      <c r="R6" s="60"/>
      <c r="S6" s="60" t="s">
        <v>86</v>
      </c>
      <c r="T6" s="60"/>
      <c r="U6" s="60"/>
      <c r="V6" s="60"/>
      <c r="W6" s="71" t="s">
        <v>76</v>
      </c>
      <c r="X6" s="60" t="s">
        <v>79</v>
      </c>
      <c r="Y6" s="60"/>
      <c r="Z6" s="60" t="s">
        <v>82</v>
      </c>
      <c r="AA6" s="60"/>
      <c r="AB6" s="60"/>
      <c r="AC6" s="60" t="s">
        <v>86</v>
      </c>
      <c r="AD6" s="60"/>
      <c r="AE6" s="60"/>
      <c r="AF6" s="60"/>
      <c r="AG6" s="71" t="s">
        <v>76</v>
      </c>
      <c r="AH6" s="60" t="s">
        <v>79</v>
      </c>
      <c r="AI6" s="60"/>
      <c r="AJ6" s="60" t="s">
        <v>82</v>
      </c>
      <c r="AK6" s="60"/>
      <c r="AL6" s="60"/>
      <c r="AM6" s="60" t="s">
        <v>86</v>
      </c>
      <c r="AN6" s="60"/>
      <c r="AO6" s="60"/>
      <c r="AP6" s="60"/>
      <c r="AQ6" s="71" t="s">
        <v>76</v>
      </c>
      <c r="AR6" s="60" t="s">
        <v>79</v>
      </c>
      <c r="AS6" s="60"/>
      <c r="AT6" s="60" t="s">
        <v>82</v>
      </c>
      <c r="AU6" s="60"/>
      <c r="AV6" s="60"/>
      <c r="AW6" s="60" t="s">
        <v>86</v>
      </c>
      <c r="AX6" s="60"/>
      <c r="AY6" s="60"/>
      <c r="AZ6" s="60"/>
    </row>
    <row r="7" s="48" customFormat="1" ht="31.2" spans="2:52">
      <c r="B7" s="61"/>
      <c r="C7" s="62"/>
      <c r="D7" s="63" t="s">
        <v>80</v>
      </c>
      <c r="E7" s="60" t="s">
        <v>81</v>
      </c>
      <c r="F7" s="64" t="s">
        <v>83</v>
      </c>
      <c r="G7" s="64" t="s">
        <v>84</v>
      </c>
      <c r="H7" s="64" t="s">
        <v>85</v>
      </c>
      <c r="I7" s="64" t="s">
        <v>87</v>
      </c>
      <c r="J7" s="64" t="s">
        <v>88</v>
      </c>
      <c r="K7" s="64" t="s">
        <v>89</v>
      </c>
      <c r="L7" s="64" t="s">
        <v>90</v>
      </c>
      <c r="M7" s="62"/>
      <c r="N7" s="63" t="s">
        <v>80</v>
      </c>
      <c r="O7" s="60" t="s">
        <v>81</v>
      </c>
      <c r="P7" s="64" t="s">
        <v>83</v>
      </c>
      <c r="Q7" s="64" t="s">
        <v>84</v>
      </c>
      <c r="R7" s="64" t="s">
        <v>85</v>
      </c>
      <c r="S7" s="64" t="s">
        <v>87</v>
      </c>
      <c r="T7" s="64" t="s">
        <v>88</v>
      </c>
      <c r="U7" s="64" t="s">
        <v>89</v>
      </c>
      <c r="V7" s="64" t="s">
        <v>90</v>
      </c>
      <c r="W7" s="62"/>
      <c r="X7" s="63" t="s">
        <v>80</v>
      </c>
      <c r="Y7" s="60" t="s">
        <v>81</v>
      </c>
      <c r="Z7" s="64" t="s">
        <v>83</v>
      </c>
      <c r="AA7" s="64" t="s">
        <v>84</v>
      </c>
      <c r="AB7" s="64" t="s">
        <v>85</v>
      </c>
      <c r="AC7" s="64" t="s">
        <v>87</v>
      </c>
      <c r="AD7" s="64" t="s">
        <v>88</v>
      </c>
      <c r="AE7" s="64" t="s">
        <v>89</v>
      </c>
      <c r="AF7" s="64" t="s">
        <v>90</v>
      </c>
      <c r="AG7" s="62"/>
      <c r="AH7" s="63" t="s">
        <v>80</v>
      </c>
      <c r="AI7" s="60" t="s">
        <v>81</v>
      </c>
      <c r="AJ7" s="64" t="s">
        <v>83</v>
      </c>
      <c r="AK7" s="64" t="s">
        <v>84</v>
      </c>
      <c r="AL7" s="64" t="s">
        <v>85</v>
      </c>
      <c r="AM7" s="64" t="s">
        <v>87</v>
      </c>
      <c r="AN7" s="64" t="s">
        <v>88</v>
      </c>
      <c r="AO7" s="64" t="s">
        <v>89</v>
      </c>
      <c r="AP7" s="64" t="s">
        <v>90</v>
      </c>
      <c r="AQ7" s="62"/>
      <c r="AR7" s="63" t="s">
        <v>80</v>
      </c>
      <c r="AS7" s="60" t="s">
        <v>81</v>
      </c>
      <c r="AT7" s="64" t="s">
        <v>83</v>
      </c>
      <c r="AU7" s="64" t="s">
        <v>84</v>
      </c>
      <c r="AV7" s="64" t="s">
        <v>85</v>
      </c>
      <c r="AW7" s="64" t="s">
        <v>87</v>
      </c>
      <c r="AX7" s="64" t="s">
        <v>88</v>
      </c>
      <c r="AY7" s="64" t="s">
        <v>89</v>
      </c>
      <c r="AZ7" s="64" t="s">
        <v>90</v>
      </c>
    </row>
    <row r="8" spans="2:52">
      <c r="B8" s="65" t="s">
        <v>76</v>
      </c>
      <c r="C8" s="66">
        <f>COUNTIFS(人员状况!$G:$G,"&lt;="&amp;DATE(YEAR($C$4)-1,12,31),人员状况!$H:$H,"&gt;="&amp;DATE(YEAR($C$4)-2,12,31)+1)</f>
        <v>71</v>
      </c>
      <c r="D8" s="66">
        <f>COUNTIFS(人员状况!$D:$D,D$7,人员状况!$G:$G,"&lt;="&amp;DATE(YEAR($C$4)-2,12,31),人员状况!$H:$H,"&gt;="&amp;DATE(YEAR($C$4)-2,12,31)+1)</f>
        <v>13</v>
      </c>
      <c r="E8" s="66">
        <f>COUNTIFS(人员状况!$D:$D,E$7,人员状况!$G:$G,"&lt;="&amp;DATE(YEAR($C$4)-2,12,31),人员状况!$H:$H,"&gt;="&amp;DATE(YEAR($C$4)-2,12,31)+1)</f>
        <v>22</v>
      </c>
      <c r="F8" s="66">
        <f>COUNTIFS(人员状况!$D:$D,F$7,人员状况!$G:$G,"&lt;="&amp;DATE(YEAR($C$4)-2,12,31),人员状况!$H:$H,"&gt;="&amp;DATE(YEAR($C$4)-2,12,31)+1)</f>
        <v>8</v>
      </c>
      <c r="G8" s="66">
        <f>COUNTIFS(人员状况!$D:$D,G$7,人员状况!$G:$G,"&lt;="&amp;DATE(YEAR($C$4)-2,12,31),人员状况!$H:$H,"&gt;="&amp;DATE(YEAR($C$4)-2,12,31)+1)</f>
        <v>5</v>
      </c>
      <c r="H8" s="66">
        <f>COUNTIFS(人员状况!$D:$D,H$7,人员状况!$G:$G,"&lt;="&amp;DATE(YEAR($C$4)-2,12,31),人员状况!$H:$H,"&gt;="&amp;DATE(YEAR($C$4)-2,12,31)+1)</f>
        <v>6</v>
      </c>
      <c r="I8" s="66">
        <f>COUNTIFS(人员状况!$D:$D,I$7,人员状况!$G:$G,"&lt;="&amp;DATE(YEAR($C$4)-2,12,31),人员状况!$H:$H,"&gt;="&amp;DATE(YEAR($C$4)-2,12,31)+1)</f>
        <v>7</v>
      </c>
      <c r="J8" s="66">
        <f>COUNTIFS(人员状况!$D:$D,J$7,人员状况!$G:$G,"&lt;="&amp;DATE(YEAR($C$4)-2,12,31),人员状况!$H:$H,"&gt;="&amp;DATE(YEAR($C$4)-2,12,31)+1)</f>
        <v>6</v>
      </c>
      <c r="K8" s="66">
        <f>COUNTIFS(人员状况!$D:$D,K$7,人员状况!$G:$G,"&lt;="&amp;DATE(YEAR($C$4)-2,12,31),人员状况!$H:$H,"&gt;="&amp;DATE(YEAR($C$4)-2,12,31)+1)</f>
        <v>3</v>
      </c>
      <c r="L8" s="66">
        <f>COUNTIFS(人员状况!$D:$D,L$7,人员状况!$G:$G,"&lt;="&amp;DATE(YEAR($C$4)-2,12,31),人员状况!$H:$H,"&gt;="&amp;DATE(YEAR($C$4)-2,12,31)+1)</f>
        <v>1</v>
      </c>
      <c r="M8" s="66">
        <f>COUNTIFS(人员状况!$G:$G,"&lt;="&amp;DATE(YEAR($C$4)-1,12,31),人员状况!$H:$H,"&gt;="&amp;DATE(YEAR($C$4)-1,12,31)+1)</f>
        <v>70</v>
      </c>
      <c r="N8" s="66">
        <f>COUNTIFS(人员状况!$D:$D,N$7,人员状况!$G:$G,"&lt;="&amp;DATE(YEAR($C$4)-1,12,31),人员状况!$H:$H,"&gt;="&amp;DATE(YEAR($C$4)-1,12,31)+1)</f>
        <v>13</v>
      </c>
      <c r="O8" s="66">
        <f>COUNTIFS(人员状况!$D:$D,O$7,人员状况!$G:$G,"&lt;="&amp;DATE(YEAR($C$4)-1,12,31),人员状况!$H:$H,"&gt;="&amp;DATE(YEAR($C$4)-1,12,31)+1)</f>
        <v>21</v>
      </c>
      <c r="P8" s="66">
        <f>COUNTIFS(人员状况!$D:$D,P$7,人员状况!$G:$G,"&lt;="&amp;DATE(YEAR($C$4)-1,12,31),人员状况!$H:$H,"&gt;="&amp;DATE(YEAR($C$4)-1,12,31)+1)</f>
        <v>8</v>
      </c>
      <c r="Q8" s="66">
        <f>COUNTIFS(人员状况!$D:$D,Q$7,人员状况!$G:$G,"&lt;="&amp;DATE(YEAR($C$4)-1,12,31),人员状况!$H:$H,"&gt;="&amp;DATE(YEAR($C$4)-1,12,31)+1)</f>
        <v>5</v>
      </c>
      <c r="R8" s="66">
        <f>COUNTIFS(人员状况!$D:$D,R$7,人员状况!$G:$G,"&lt;="&amp;DATE(YEAR($C$4)-1,12,31),人员状况!$H:$H,"&gt;="&amp;DATE(YEAR($C$4)-1,12,31)+1)</f>
        <v>6</v>
      </c>
      <c r="S8" s="66">
        <f>COUNTIFS(人员状况!$D:$D,S$7,人员状况!$G:$G,"&lt;="&amp;DATE(YEAR($C$4)-1,12,31),人员状况!$H:$H,"&gt;="&amp;DATE(YEAR($C$4)-1,12,31)+1)</f>
        <v>7</v>
      </c>
      <c r="T8" s="66">
        <f>COUNTIFS(人员状况!$D:$D,T$7,人员状况!$G:$G,"&lt;="&amp;DATE(YEAR($C$4)-1,12,31),人员状况!$H:$H,"&gt;="&amp;DATE(YEAR($C$4)-1,12,31)+1)</f>
        <v>6</v>
      </c>
      <c r="U8" s="66">
        <f>COUNTIFS(人员状况!$D:$D,U$7,人员状况!$G:$G,"&lt;="&amp;DATE(YEAR($C$4)-1,12,31),人员状况!$H:$H,"&gt;="&amp;DATE(YEAR($C$4)-1,12,31)+1)</f>
        <v>3</v>
      </c>
      <c r="V8" s="66">
        <f>COUNTIFS(人员状况!$D:$D,V$7,人员状况!$G:$G,"&lt;="&amp;DATE(YEAR($C$4)-1,12,31),人员状况!$H:$H,"&gt;="&amp;DATE(YEAR($C$4)-1,12,31)+1)</f>
        <v>1</v>
      </c>
      <c r="W8" s="66">
        <f>COUNTIFS(人员状况!$G:$G,"&lt;="&amp;EOMONTH(DATE(YEAR($C$4)-1,MONTH($C$4),1),0),人员状况!$H:$H,"&gt;="&amp;EOMONTH(DATE(YEAR($C$4)-1,MONTH($C$4),1),0)+1)</f>
        <v>71</v>
      </c>
      <c r="X8" s="66">
        <f>COUNTIFS(人员状况!$D:$D,X$7,人员状况!$E:$E,"*",人员状况!$G:$G,"&lt;="&amp;EOMONTH(DATE(YEAR($C$4)-1,MONTH($C$4),1),0),人员状况!$H:$H,"&gt;="&amp;EOMONTH(DATE(YEAR($C$4)-1,MONTH($C$4),1),0)+1)</f>
        <v>13</v>
      </c>
      <c r="Y8" s="66">
        <f>COUNTIFS(人员状况!$D:$D,Y$7,人员状况!$E:$E,"*",人员状况!$G:$G,"&lt;="&amp;EOMONTH(DATE(YEAR($C$4)-1,MONTH($C$4),1),0),人员状况!$H:$H,"&gt;="&amp;EOMONTH(DATE(YEAR($C$4)-1,MONTH($C$4),1),0)+1)</f>
        <v>22</v>
      </c>
      <c r="Z8" s="66">
        <f>COUNTIFS(人员状况!$D:$D,Z$7,人员状况!$E:$E,"*",人员状况!$G:$G,"&lt;="&amp;EOMONTH(DATE(YEAR($C$4)-1,MONTH($C$4),1),0),人员状况!$H:$H,"&gt;="&amp;EOMONTH(DATE(YEAR($C$4)-1,MONTH($C$4),1),0)+1)</f>
        <v>8</v>
      </c>
      <c r="AA8" s="66">
        <f>COUNTIFS(人员状况!$D:$D,AA$7,人员状况!$E:$E,"*",人员状况!$G:$G,"&lt;="&amp;EOMONTH(DATE(YEAR($C$4)-1,MONTH($C$4),1),0),人员状况!$H:$H,"&gt;="&amp;EOMONTH(DATE(YEAR($C$4)-1,MONTH($C$4),1),0)+1)</f>
        <v>5</v>
      </c>
      <c r="AB8" s="66">
        <f>COUNTIFS(人员状况!$D:$D,AB$7,人员状况!$E:$E,"*",人员状况!$G:$G,"&lt;="&amp;EOMONTH(DATE(YEAR($C$4)-1,MONTH($C$4),1),0),人员状况!$H:$H,"&gt;="&amp;EOMONTH(DATE(YEAR($C$4)-1,MONTH($C$4),1),0)+1)</f>
        <v>6</v>
      </c>
      <c r="AC8" s="66">
        <f>COUNTIFS(人员状况!$D:$D,AC$7,人员状况!$E:$E,"*",人员状况!$G:$G,"&lt;="&amp;EOMONTH(DATE(YEAR($C$4)-1,MONTH($C$4),1),0),人员状况!$H:$H,"&gt;="&amp;EOMONTH(DATE(YEAR($C$4)-1,MONTH($C$4),1),0)+1)</f>
        <v>7</v>
      </c>
      <c r="AD8" s="66">
        <f>COUNTIFS(人员状况!$D:$D,AD$7,人员状况!$E:$E,"*",人员状况!$G:$G,"&lt;="&amp;EOMONTH(DATE(YEAR($C$4)-1,MONTH($C$4),1),0),人员状况!$H:$H,"&gt;="&amp;EOMONTH(DATE(YEAR($C$4)-1,MONTH($C$4),1),0)+1)</f>
        <v>6</v>
      </c>
      <c r="AE8" s="66">
        <f>COUNTIFS(人员状况!$D:$D,AE$7,人员状况!$E:$E,"*",人员状况!$G:$G,"&lt;="&amp;EOMONTH(DATE(YEAR($C$4)-1,MONTH($C$4),1),0),人员状况!$H:$H,"&gt;="&amp;EOMONTH(DATE(YEAR($C$4)-1,MONTH($C$4),1),0)+1)</f>
        <v>3</v>
      </c>
      <c r="AF8" s="66">
        <f>COUNTIFS(人员状况!$D:$D,AF$7,人员状况!$E:$E,"*",人员状况!$G:$G,"&lt;="&amp;EOMONTH(DATE(YEAR($C$4)-1,MONTH($C$4),1),0),人员状况!$H:$H,"&gt;="&amp;EOMONTH(DATE(YEAR($C$4)-1,MONTH($C$4),1),0)+1)</f>
        <v>1</v>
      </c>
      <c r="AG8" s="66">
        <f>W8+SUMIFS(预计变动!$F:$F,预计变动!$I:$I,"&gt;"&amp;EOMONTH(DATE(YEAR($C$4),MONTH($C$4),1),0),预计变动!$I:$I,"&lt;="&amp;DATE(YEAR($C$4),12,31))</f>
        <v>70</v>
      </c>
      <c r="AH8" s="66">
        <f>X8+SUMIFS(预计变动!$F:$F,预计变动!$B:$B,AH$7,预计变动!$I:$I,"&gt;"&amp;EOMONTH(DATE(YEAR($C$4),MONTH($C$4),1),0),预计变动!$I:$I,"&lt;="&amp;DATE(YEAR($C$4),12,31))</f>
        <v>13</v>
      </c>
      <c r="AI8" s="66">
        <f>Y8+SUMIFS(预计变动!$F:$F,预计变动!$B:$B,AI$7,预计变动!$I:$I,"&gt;"&amp;EOMONTH(DATE(YEAR($C$4),MONTH($C$4),1),0),预计变动!$I:$I,"&lt;="&amp;DATE(YEAR($C$4),12,31))</f>
        <v>21</v>
      </c>
      <c r="AJ8" s="66">
        <f>Z8+SUMIFS(预计变动!$F:$F,预计变动!$B:$B,AJ$7,预计变动!$I:$I,"&gt;"&amp;EOMONTH(DATE(YEAR($C$4),MONTH($C$4),1),0),预计变动!$I:$I,"&lt;="&amp;DATE(YEAR($C$4),12,31))</f>
        <v>8</v>
      </c>
      <c r="AK8" s="66">
        <f>AA8+SUMIFS(预计变动!$F:$F,预计变动!$B:$B,AK$7,预计变动!$I:$I,"&gt;"&amp;EOMONTH(DATE(YEAR($C$4),MONTH($C$4),1),0),预计变动!$I:$I,"&lt;="&amp;DATE(YEAR($C$4),12,31))</f>
        <v>5</v>
      </c>
      <c r="AL8" s="66">
        <f>AB8+SUMIFS(预计变动!$F:$F,预计变动!$B:$B,AL$7,预计变动!$I:$I,"&gt;"&amp;EOMONTH(DATE(YEAR($C$4),MONTH($C$4),1),0),预计变动!$I:$I,"&lt;="&amp;DATE(YEAR($C$4),12,31))</f>
        <v>6</v>
      </c>
      <c r="AM8" s="66">
        <f>AC8+SUMIFS(预计变动!$F:$F,预计变动!$B:$B,AM$7,预计变动!$I:$I,"&gt;"&amp;EOMONTH(DATE(YEAR($C$4),MONTH($C$4),1),0),预计变动!$I:$I,"&lt;="&amp;DATE(YEAR($C$4),12,31))</f>
        <v>7</v>
      </c>
      <c r="AN8" s="66">
        <f>AD8+SUMIFS(预计变动!$F:$F,预计变动!$B:$B,AN$7,预计变动!$I:$I,"&gt;"&amp;EOMONTH(DATE(YEAR($C$4),MONTH($C$4),1),0),预计变动!$I:$I,"&lt;="&amp;DATE(YEAR($C$4),12,31))</f>
        <v>6</v>
      </c>
      <c r="AO8" s="66">
        <f>AE8+SUMIFS(预计变动!$F:$F,预计变动!$B:$B,AO$7,预计变动!$I:$I,"&gt;"&amp;EOMONTH(DATE(YEAR($C$4),MONTH($C$4),1),0),预计变动!$I:$I,"&lt;="&amp;DATE(YEAR($C$4),12,31))</f>
        <v>3</v>
      </c>
      <c r="AP8" s="66">
        <f>AF8+SUMIFS(预计变动!$F:$F,预计变动!$B:$B,AP$7,预计变动!$I:$I,"&gt;"&amp;EOMONTH(DATE(YEAR($C$4),MONTH($C$4),1),0),预计变动!$I:$I,"&lt;="&amp;DATE(YEAR($C$4),12,31))</f>
        <v>1</v>
      </c>
      <c r="AQ8" s="66">
        <f>AG8+SUMIFS(预计变动!$F:$F,预计变动!$I:$I,"&gt;="&amp;DATE(YEAR($C$4)+1,1,1),预计变动!$I:$I,"&lt;="&amp;DATE(YEAR($C$4)+1,12,31))</f>
        <v>76</v>
      </c>
      <c r="AR8" s="66">
        <f>AH8+SUMIFS(预计变动!$F:$F,预计变动!$B:$B,AR$7,预计变动!$I:$I,"&gt;="&amp;DATE(YEAR($C$4)+1,1,1),预计变动!$I:$I,"&lt;="&amp;DATE(YEAR($C$4)+1,12,31))</f>
        <v>14</v>
      </c>
      <c r="AS8" s="66">
        <f>AI8+SUMIFS(预计变动!$F:$F,预计变动!$B:$B,AS$7,预计变动!$I:$I,"&gt;="&amp;DATE(YEAR($C$4)+1,1,1),预计变动!$I:$I,"&lt;="&amp;DATE(YEAR($C$4)+1,12,31))</f>
        <v>26</v>
      </c>
      <c r="AT8" s="66">
        <f>AJ8+SUMIFS(预计变动!$F:$F,预计变动!$B:$B,AT$7,预计变动!$I:$I,"&gt;="&amp;DATE(YEAR($C$4)+1,1,1),预计变动!$I:$I,"&lt;="&amp;DATE(YEAR($C$4)+1,12,31))</f>
        <v>8</v>
      </c>
      <c r="AU8" s="66">
        <f>AK8+SUMIFS(预计变动!$F:$F,预计变动!$B:$B,AU$7,预计变动!$I:$I,"&gt;="&amp;DATE(YEAR($C$4)+1,1,1),预计变动!$I:$I,"&lt;="&amp;DATE(YEAR($C$4)+1,12,31))</f>
        <v>5</v>
      </c>
      <c r="AV8" s="66">
        <f>AL8+SUMIFS(预计变动!$F:$F,预计变动!$B:$B,AV$7,预计变动!$I:$I,"&gt;="&amp;DATE(YEAR($C$4)+1,1,1),预计变动!$I:$I,"&lt;="&amp;DATE(YEAR($C$4)+1,12,31))</f>
        <v>6</v>
      </c>
      <c r="AW8" s="66">
        <f>AM8+SUMIFS(预计变动!$F:$F,预计变动!$B:$B,AW$7,预计变动!$I:$I,"&gt;="&amp;DATE(YEAR($C$4)+1,1,1),预计变动!$I:$I,"&lt;="&amp;DATE(YEAR($C$4)+1,12,31))</f>
        <v>7</v>
      </c>
      <c r="AX8" s="66">
        <f>AN8+SUMIFS(预计变动!$F:$F,预计变动!$B:$B,AX$7,预计变动!$I:$I,"&gt;="&amp;DATE(YEAR($C$4)+1,1,1),预计变动!$I:$I,"&lt;="&amp;DATE(YEAR($C$4)+1,12,31))</f>
        <v>6</v>
      </c>
      <c r="AY8" s="66">
        <f>AO8+SUMIFS(预计变动!$F:$F,预计变动!$B:$B,AY$7,预计变动!$I:$I,"&gt;="&amp;DATE(YEAR($C$4)+1,1,1),预计变动!$I:$I,"&lt;="&amp;DATE(YEAR($C$4)+1,12,31))</f>
        <v>3</v>
      </c>
      <c r="AZ8" s="66">
        <f>AP8+SUMIFS(预计变动!$F:$F,预计变动!$B:$B,AZ$7,预计变动!$I:$I,"&gt;="&amp;DATE(YEAR($C$4)+1,1,1),预计变动!$I:$I,"&lt;="&amp;DATE(YEAR($C$4)+1,12,31))</f>
        <v>1</v>
      </c>
    </row>
    <row r="9" s="49" customFormat="1" spans="2:52">
      <c r="B9" s="67" t="s">
        <v>340</v>
      </c>
      <c r="C9" s="68">
        <f>SUM(C10:C60000)-C8</f>
        <v>0</v>
      </c>
      <c r="D9" s="68">
        <f t="shared" ref="D9:AG9" si="0">SUM(D10:D60000)-D8</f>
        <v>0</v>
      </c>
      <c r="E9" s="68">
        <f t="shared" ref="E9" si="1">SUM(E10:E60000)-E8</f>
        <v>0</v>
      </c>
      <c r="F9" s="68">
        <f t="shared" ref="F9" si="2">SUM(F10:F60000)-F8</f>
        <v>0</v>
      </c>
      <c r="G9" s="68">
        <f t="shared" ref="G9" si="3">SUM(G10:G60000)-G8</f>
        <v>0</v>
      </c>
      <c r="H9" s="68">
        <f t="shared" ref="H9" si="4">SUM(H10:H60000)-H8</f>
        <v>0</v>
      </c>
      <c r="I9" s="68">
        <f t="shared" ref="I9" si="5">SUM(I10:I60000)-I8</f>
        <v>0</v>
      </c>
      <c r="J9" s="68">
        <f t="shared" ref="J9" si="6">SUM(J10:J60000)-J8</f>
        <v>0</v>
      </c>
      <c r="K9" s="68">
        <f t="shared" ref="K9" si="7">SUM(K10:K60000)-K8</f>
        <v>0</v>
      </c>
      <c r="L9" s="68">
        <f t="shared" ref="L9" si="8">SUM(L10:L60000)-L8</f>
        <v>0</v>
      </c>
      <c r="M9" s="68">
        <f t="shared" si="0"/>
        <v>0</v>
      </c>
      <c r="N9" s="68">
        <f t="shared" ref="N9:V9" si="9">SUM(N10:N60000)-N8</f>
        <v>0</v>
      </c>
      <c r="O9" s="68">
        <f t="shared" si="9"/>
        <v>0</v>
      </c>
      <c r="P9" s="68">
        <f t="shared" si="9"/>
        <v>0</v>
      </c>
      <c r="Q9" s="68">
        <f t="shared" si="9"/>
        <v>0</v>
      </c>
      <c r="R9" s="68">
        <f t="shared" si="9"/>
        <v>0</v>
      </c>
      <c r="S9" s="68">
        <f t="shared" si="9"/>
        <v>0</v>
      </c>
      <c r="T9" s="68">
        <f t="shared" si="9"/>
        <v>0</v>
      </c>
      <c r="U9" s="68">
        <f t="shared" si="9"/>
        <v>0</v>
      </c>
      <c r="V9" s="68">
        <f t="shared" si="9"/>
        <v>0</v>
      </c>
      <c r="W9" s="68">
        <f t="shared" si="0"/>
        <v>0</v>
      </c>
      <c r="X9" s="68">
        <f t="shared" si="0"/>
        <v>0</v>
      </c>
      <c r="Y9" s="68">
        <f t="shared" si="0"/>
        <v>0</v>
      </c>
      <c r="Z9" s="68">
        <f t="shared" si="0"/>
        <v>0</v>
      </c>
      <c r="AA9" s="68">
        <f t="shared" si="0"/>
        <v>0</v>
      </c>
      <c r="AB9" s="68">
        <f t="shared" si="0"/>
        <v>0</v>
      </c>
      <c r="AC9" s="68">
        <f t="shared" si="0"/>
        <v>0</v>
      </c>
      <c r="AD9" s="68">
        <f t="shared" si="0"/>
        <v>0</v>
      </c>
      <c r="AE9" s="68">
        <f t="shared" si="0"/>
        <v>0</v>
      </c>
      <c r="AF9" s="68">
        <f t="shared" si="0"/>
        <v>0</v>
      </c>
      <c r="AG9" s="72">
        <f t="shared" si="0"/>
        <v>0</v>
      </c>
      <c r="AH9" s="68">
        <f t="shared" ref="AH9" si="10">SUM(AH10:AH60000)-AH8</f>
        <v>0</v>
      </c>
      <c r="AI9" s="68">
        <f t="shared" ref="AI9" si="11">SUM(AI10:AI60000)-AI8</f>
        <v>0</v>
      </c>
      <c r="AJ9" s="68">
        <f t="shared" ref="AJ9" si="12">SUM(AJ10:AJ60000)-AJ8</f>
        <v>0</v>
      </c>
      <c r="AK9" s="68">
        <f t="shared" ref="AK9" si="13">SUM(AK10:AK60000)-AK8</f>
        <v>0</v>
      </c>
      <c r="AL9" s="68">
        <f t="shared" ref="AL9" si="14">SUM(AL10:AL60000)-AL8</f>
        <v>0</v>
      </c>
      <c r="AM9" s="68">
        <f t="shared" ref="AM9" si="15">SUM(AM10:AM60000)-AM8</f>
        <v>0</v>
      </c>
      <c r="AN9" s="68">
        <f t="shared" ref="AN9" si="16">SUM(AN10:AN60000)-AN8</f>
        <v>0</v>
      </c>
      <c r="AO9" s="68">
        <f t="shared" ref="AO9" si="17">SUM(AO10:AO60000)-AO8</f>
        <v>0</v>
      </c>
      <c r="AP9" s="68">
        <f t="shared" ref="AP9" si="18">SUM(AP10:AP60000)-AP8</f>
        <v>0</v>
      </c>
      <c r="AQ9" s="73"/>
      <c r="AR9" s="68">
        <f t="shared" ref="AR9" si="19">SUM(AR10:AR60000)-AR8</f>
        <v>0</v>
      </c>
      <c r="AS9" s="68">
        <f t="shared" ref="AS9" si="20">SUM(AS10:AS60000)-AS8</f>
        <v>0</v>
      </c>
      <c r="AT9" s="68">
        <f t="shared" ref="AT9" si="21">SUM(AT10:AT60000)-AT8</f>
        <v>0</v>
      </c>
      <c r="AU9" s="68">
        <f t="shared" ref="AU9" si="22">SUM(AU10:AU60000)-AU8</f>
        <v>0</v>
      </c>
      <c r="AV9" s="68">
        <f t="shared" ref="AV9" si="23">SUM(AV10:AV60000)-AV8</f>
        <v>0</v>
      </c>
      <c r="AW9" s="68">
        <f t="shared" ref="AW9" si="24">SUM(AW10:AW60000)-AW8</f>
        <v>0</v>
      </c>
      <c r="AX9" s="68">
        <f t="shared" ref="AX9" si="25">SUM(AX10:AX60000)-AX8</f>
        <v>0</v>
      </c>
      <c r="AY9" s="68">
        <f t="shared" ref="AY9" si="26">SUM(AY10:AY60000)-AY8</f>
        <v>0</v>
      </c>
      <c r="AZ9" s="68">
        <f t="shared" ref="AZ9" si="27">SUM(AZ10:AZ60000)-AZ8</f>
        <v>0</v>
      </c>
    </row>
    <row r="10" spans="2:52">
      <c r="B10" s="65" t="s">
        <v>306</v>
      </c>
      <c r="C10" s="66">
        <f>COUNTIFS(人员状况!$D:$D,"*",人员状况!$E:$E,$B10,人员状况!$G:$G,"&lt;="&amp;DATE(YEAR($C$4)-2,12,31),人员状况!$H:$H,"&gt;="&amp;DATE(YEAR($C$4)-2,12,31)+1)</f>
        <v>1</v>
      </c>
      <c r="D10" s="66">
        <f>COUNTIFS(人员状况!$D:$D,"*",人员状况!$E:$E,$B10,人员状况!$D:$D,D$7,人员状况!$G:$G,"&lt;="&amp;DATE(YEAR($C$4)-2,12,31),人员状况!$H:$H,"&gt;="&amp;DATE(YEAR($C$4)-2,12,31)+1)</f>
        <v>0</v>
      </c>
      <c r="E10" s="66">
        <f>COUNTIFS(人员状况!$D:$D,"*",人员状况!$E:$E,$B10,人员状况!$D:$D,E$7,人员状况!$G:$G,"&lt;="&amp;DATE(YEAR($C$4)-2,12,31),人员状况!$H:$H,"&gt;="&amp;DATE(YEAR($C$4)-2,12,31)+1)</f>
        <v>0</v>
      </c>
      <c r="F10" s="66">
        <f>COUNTIFS(人员状况!$D:$D,"*",人员状况!$E:$E,$B10,人员状况!$D:$D,F$7,人员状况!$G:$G,"&lt;="&amp;DATE(YEAR($C$4)-2,12,31),人员状况!$H:$H,"&gt;="&amp;DATE(YEAR($C$4)-2,12,31)+1)</f>
        <v>0</v>
      </c>
      <c r="G10" s="66">
        <f>COUNTIFS(人员状况!$D:$D,"*",人员状况!$E:$E,$B10,人员状况!$D:$D,G$7,人员状况!$G:$G,"&lt;="&amp;DATE(YEAR($C$4)-2,12,31),人员状况!$H:$H,"&gt;="&amp;DATE(YEAR($C$4)-2,12,31)+1)</f>
        <v>0</v>
      </c>
      <c r="H10" s="66">
        <f>COUNTIFS(人员状况!$D:$D,"*",人员状况!$E:$E,$B10,人员状况!$D:$D,H$7,人员状况!$G:$G,"&lt;="&amp;DATE(YEAR($C$4)-2,12,31),人员状况!$H:$H,"&gt;="&amp;DATE(YEAR($C$4)-2,12,31)+1)</f>
        <v>0</v>
      </c>
      <c r="I10" s="66">
        <f>COUNTIFS(人员状况!$D:$D,"*",人员状况!$E:$E,$B10,人员状况!$D:$D,I$7,人员状况!$G:$G,"&lt;="&amp;DATE(YEAR($C$4)-2,12,31),人员状况!$H:$H,"&gt;="&amp;DATE(YEAR($C$4)-2,12,31)+1)</f>
        <v>0</v>
      </c>
      <c r="J10" s="66">
        <f>COUNTIFS(人员状况!$D:$D,"*",人员状况!$E:$E,$B10,人员状况!$D:$D,J$7,人员状况!$G:$G,"&lt;="&amp;DATE(YEAR($C$4)-2,12,31),人员状况!$H:$H,"&gt;="&amp;DATE(YEAR($C$4)-2,12,31)+1)</f>
        <v>0</v>
      </c>
      <c r="K10" s="66">
        <f>COUNTIFS(人员状况!$D:$D,"*",人员状况!$E:$E,$B10,人员状况!$D:$D,K$7,人员状况!$G:$G,"&lt;="&amp;DATE(YEAR($C$4)-2,12,31),人员状况!$H:$H,"&gt;="&amp;DATE(YEAR($C$4)-2,12,31)+1)</f>
        <v>0</v>
      </c>
      <c r="L10" s="66">
        <f>COUNTIFS(人员状况!$D:$D,"*",人员状况!$E:$E,$B10,人员状况!$D:$D,L$7,人员状况!$G:$G,"&lt;="&amp;DATE(YEAR($C$4)-2,12,31),人员状况!$H:$H,"&gt;="&amp;DATE(YEAR($C$4)-2,12,31)+1)</f>
        <v>1</v>
      </c>
      <c r="M10" s="66">
        <f>COUNTIFS(人员状况!$D:$D,"*",人员状况!$E:$E,$B10,人员状况!$G:$G,"&lt;="&amp;DATE(YEAR($C$4)-1,12,31),人员状况!$H:$H,"&gt;="&amp;DATE(YEAR($C$4)-1,12,31)+1)</f>
        <v>1</v>
      </c>
      <c r="N10" s="66">
        <f>COUNTIFS(人员状况!$D:$D,"*",人员状况!$E:$E,$B10,人员状况!$D:$D,N$7,人员状况!$G:$G,"&lt;="&amp;DATE(YEAR($C$4)-1,12,31),人员状况!$H:$H,"&gt;="&amp;DATE(YEAR($C$4)-1,12,31)+1)</f>
        <v>0</v>
      </c>
      <c r="O10" s="66">
        <f>COUNTIFS(人员状况!$D:$D,"*",人员状况!$E:$E,$B10,人员状况!$D:$D,O$7,人员状况!$G:$G,"&lt;="&amp;DATE(YEAR($C$4)-1,12,31),人员状况!$H:$H,"&gt;="&amp;DATE(YEAR($C$4)-1,12,31)+1)</f>
        <v>0</v>
      </c>
      <c r="P10" s="66">
        <f>COUNTIFS(人员状况!$D:$D,"*",人员状况!$E:$E,$B10,人员状况!$D:$D,P$7,人员状况!$G:$G,"&lt;="&amp;DATE(YEAR($C$4)-1,12,31),人员状况!$H:$H,"&gt;="&amp;DATE(YEAR($C$4)-1,12,31)+1)</f>
        <v>0</v>
      </c>
      <c r="Q10" s="66">
        <f>COUNTIFS(人员状况!$D:$D,"*",人员状况!$E:$E,$B10,人员状况!$D:$D,Q$7,人员状况!$G:$G,"&lt;="&amp;DATE(YEAR($C$4)-1,12,31),人员状况!$H:$H,"&gt;="&amp;DATE(YEAR($C$4)-1,12,31)+1)</f>
        <v>0</v>
      </c>
      <c r="R10" s="66">
        <f>COUNTIFS(人员状况!$D:$D,"*",人员状况!$E:$E,$B10,人员状况!$D:$D,R$7,人员状况!$G:$G,"&lt;="&amp;DATE(YEAR($C$4)-1,12,31),人员状况!$H:$H,"&gt;="&amp;DATE(YEAR($C$4)-1,12,31)+1)</f>
        <v>0</v>
      </c>
      <c r="S10" s="66">
        <f>COUNTIFS(人员状况!$D:$D,"*",人员状况!$E:$E,$B10,人员状况!$D:$D,S$7,人员状况!$G:$G,"&lt;="&amp;DATE(YEAR($C$4)-1,12,31),人员状况!$H:$H,"&gt;="&amp;DATE(YEAR($C$4)-1,12,31)+1)</f>
        <v>0</v>
      </c>
      <c r="T10" s="66">
        <f>COUNTIFS(人员状况!$D:$D,"*",人员状况!$E:$E,$B10,人员状况!$D:$D,T$7,人员状况!$G:$G,"&lt;="&amp;DATE(YEAR($C$4)-1,12,31),人员状况!$H:$H,"&gt;="&amp;DATE(YEAR($C$4)-1,12,31)+1)</f>
        <v>0</v>
      </c>
      <c r="U10" s="66">
        <f>COUNTIFS(人员状况!$D:$D,"*",人员状况!$E:$E,$B10,人员状况!$D:$D,U$7,人员状况!$G:$G,"&lt;="&amp;DATE(YEAR($C$4)-1,12,31),人员状况!$H:$H,"&gt;="&amp;DATE(YEAR($C$4)-1,12,31)+1)</f>
        <v>0</v>
      </c>
      <c r="V10" s="66">
        <f>COUNTIFS(人员状况!$D:$D,"*",人员状况!$E:$E,$B10,人员状况!$D:$D,V$7,人员状况!$G:$G,"&lt;="&amp;DATE(YEAR($C$4)-1,12,31),人员状况!$H:$H,"&gt;="&amp;DATE(YEAR($C$4)-1,12,31)+1)</f>
        <v>1</v>
      </c>
      <c r="W10" s="66">
        <f>COUNTIFS(人员状况!$D:$D,"*",人员状况!$E:$E,$B10,人员状况!$G:$G,"&lt;="&amp;EOMONTH(DATE(YEAR($C$4)-1,MONTH($C$4),1),0),人员状况!$H:$H,"&gt;="&amp;EOMONTH(DATE(YEAR($C$4)-1,MONTH($C$4),1),0)+1)</f>
        <v>1</v>
      </c>
      <c r="X10" s="66">
        <f>COUNTIFS(人员状况!$D:$D,X$7,人员状况!$E:$E,$B10,人员状况!$G:$G,"&lt;="&amp;EOMONTH(DATE(YEAR($C$4)-1,MONTH($C$4),1),0),人员状况!$H:$H,"&gt;="&amp;EOMONTH(DATE(YEAR($C$4)-1,MONTH($C$4),1),0)+1)</f>
        <v>0</v>
      </c>
      <c r="Y10" s="66">
        <f>COUNTIFS(人员状况!$D:$D,Y$7,人员状况!$E:$E,$B10,人员状况!$G:$G,"&lt;="&amp;EOMONTH(DATE(YEAR($C$4)-1,MONTH($C$4),1),0),人员状况!$H:$H,"&gt;="&amp;EOMONTH(DATE(YEAR($C$4)-1,MONTH($C$4),1),0)+1)</f>
        <v>0</v>
      </c>
      <c r="Z10" s="66">
        <f>COUNTIFS(人员状况!$D:$D,Z$7,人员状况!$E:$E,$B10,人员状况!$G:$G,"&lt;="&amp;EOMONTH(DATE(YEAR($C$4)-1,MONTH($C$4),1),0),人员状况!$H:$H,"&gt;="&amp;EOMONTH(DATE(YEAR($C$4)-1,MONTH($C$4),1),0)+1)</f>
        <v>0</v>
      </c>
      <c r="AA10" s="66">
        <f>COUNTIFS(人员状况!$D:$D,AA$7,人员状况!$E:$E,$B10,人员状况!$G:$G,"&lt;="&amp;EOMONTH(DATE(YEAR($C$4)-1,MONTH($C$4),1),0),人员状况!$H:$H,"&gt;="&amp;EOMONTH(DATE(YEAR($C$4)-1,MONTH($C$4),1),0)+1)</f>
        <v>0</v>
      </c>
      <c r="AB10" s="66">
        <f>COUNTIFS(人员状况!$D:$D,AB$7,人员状况!$E:$E,$B10,人员状况!$G:$G,"&lt;="&amp;EOMONTH(DATE(YEAR($C$4)-1,MONTH($C$4),1),0),人员状况!$H:$H,"&gt;="&amp;EOMONTH(DATE(YEAR($C$4)-1,MONTH($C$4),1),0)+1)</f>
        <v>0</v>
      </c>
      <c r="AC10" s="66">
        <f>COUNTIFS(人员状况!$D:$D,AC$7,人员状况!$E:$E,$B10,人员状况!$G:$G,"&lt;="&amp;EOMONTH(DATE(YEAR($C$4)-1,MONTH($C$4),1),0),人员状况!$H:$H,"&gt;="&amp;EOMONTH(DATE(YEAR($C$4)-1,MONTH($C$4),1),0)+1)</f>
        <v>0</v>
      </c>
      <c r="AD10" s="66">
        <f>COUNTIFS(人员状况!$D:$D,AD$7,人员状况!$E:$E,$B10,人员状况!$G:$G,"&lt;="&amp;EOMONTH(DATE(YEAR($C$4)-1,MONTH($C$4),1),0),人员状况!$H:$H,"&gt;="&amp;EOMONTH(DATE(YEAR($C$4)-1,MONTH($C$4),1),0)+1)</f>
        <v>0</v>
      </c>
      <c r="AE10" s="66">
        <f>COUNTIFS(人员状况!$D:$D,AE$7,人员状况!$E:$E,$B10,人员状况!$G:$G,"&lt;="&amp;EOMONTH(DATE(YEAR($C$4)-1,MONTH($C$4),1),0),人员状况!$H:$H,"&gt;="&amp;EOMONTH(DATE(YEAR($C$4)-1,MONTH($C$4),1),0)+1)</f>
        <v>0</v>
      </c>
      <c r="AF10" s="66">
        <f>COUNTIFS(人员状况!$D:$D,AF$7,人员状况!$E:$E,$B10,人员状况!$G:$G,"&lt;="&amp;EOMONTH(DATE(YEAR($C$4)-1,MONTH($C$4),1),0),人员状况!$H:$H,"&gt;="&amp;EOMONTH(DATE(YEAR($C$4)-1,MONTH($C$4),1),0)+1)</f>
        <v>1</v>
      </c>
      <c r="AG10" s="66">
        <f>W10+SUMIFS(预计变动!$F:$F,预计变动!$C:$C,$B10,预计变动!$I:$I,"&gt;"&amp;EOMONTH(DATE(YEAR($C$4),MONTH($C$4),1),0),预计变动!$I:$I,"&lt;="&amp;DATE(YEAR($C$4),12,31))</f>
        <v>1</v>
      </c>
      <c r="AH10" s="66">
        <f>X10+SUMIFS(预计变动!$F:$F,预计变动!$B:$B,AH$7,预计变动!$C:$C,$B10,预计变动!$I:$I,"&gt;"&amp;EOMONTH(DATE(YEAR($C$4),MONTH($C$4),1),0),预计变动!$I:$I,"&lt;="&amp;DATE(YEAR($C$4),12,31))</f>
        <v>0</v>
      </c>
      <c r="AI10" s="66">
        <f>Y10+SUMIFS(预计变动!$F:$F,预计变动!$B:$B,AI$7,预计变动!$C:$C,$B10,预计变动!$I:$I,"&gt;"&amp;EOMONTH(DATE(YEAR($C$4),MONTH($C$4),1),0),预计变动!$I:$I,"&lt;="&amp;DATE(YEAR($C$4),12,31))</f>
        <v>0</v>
      </c>
      <c r="AJ10" s="66">
        <f>Z10+SUMIFS(预计变动!$F:$F,预计变动!$B:$B,AJ$7,预计变动!$C:$C,$B10,预计变动!$I:$I,"&gt;"&amp;EOMONTH(DATE(YEAR($C$4),MONTH($C$4),1),0),预计变动!$I:$I,"&lt;="&amp;DATE(YEAR($C$4),12,31))</f>
        <v>0</v>
      </c>
      <c r="AK10" s="66">
        <f>AA10+SUMIFS(预计变动!$F:$F,预计变动!$B:$B,AK$7,预计变动!$C:$C,$B10,预计变动!$I:$I,"&gt;"&amp;EOMONTH(DATE(YEAR($C$4),MONTH($C$4),1),0),预计变动!$I:$I,"&lt;="&amp;DATE(YEAR($C$4),12,31))</f>
        <v>0</v>
      </c>
      <c r="AL10" s="66">
        <f>AB10+SUMIFS(预计变动!$F:$F,预计变动!$B:$B,AL$7,预计变动!$C:$C,$B10,预计变动!$I:$I,"&gt;"&amp;EOMONTH(DATE(YEAR($C$4),MONTH($C$4),1),0),预计变动!$I:$I,"&lt;="&amp;DATE(YEAR($C$4),12,31))</f>
        <v>0</v>
      </c>
      <c r="AM10" s="66">
        <f>AC10+SUMIFS(预计变动!$F:$F,预计变动!$B:$B,AM$7,预计变动!$C:$C,$B10,预计变动!$I:$I,"&gt;"&amp;EOMONTH(DATE(YEAR($C$4),MONTH($C$4),1),0),预计变动!$I:$I,"&lt;="&amp;DATE(YEAR($C$4),12,31))</f>
        <v>0</v>
      </c>
      <c r="AN10" s="66">
        <f>AD10+SUMIFS(预计变动!$F:$F,预计变动!$B:$B,AN$7,预计变动!$C:$C,$B10,预计变动!$I:$I,"&gt;"&amp;EOMONTH(DATE(YEAR($C$4),MONTH($C$4),1),0),预计变动!$I:$I,"&lt;="&amp;DATE(YEAR($C$4),12,31))</f>
        <v>0</v>
      </c>
      <c r="AO10" s="66">
        <f>AE10+SUMIFS(预计变动!$F:$F,预计变动!$B:$B,AO$7,预计变动!$C:$C,$B10,预计变动!$I:$I,"&gt;"&amp;EOMONTH(DATE(YEAR($C$4),MONTH($C$4),1),0),预计变动!$I:$I,"&lt;="&amp;DATE(YEAR($C$4),12,31))</f>
        <v>0</v>
      </c>
      <c r="AP10" s="66">
        <f>AF10+SUMIFS(预计变动!$F:$F,预计变动!$B:$B,AP$7,预计变动!$C:$C,$B10,预计变动!$I:$I,"&gt;"&amp;EOMONTH(DATE(YEAR($C$4),MONTH($C$4),1),0),预计变动!$I:$I,"&lt;="&amp;DATE(YEAR($C$4),12,31))</f>
        <v>1</v>
      </c>
      <c r="AQ10" s="66">
        <f>AG10+SUMIFS(预计变动!$F:$F,预计变动!$C:$C,$B10,预计变动!$I:$I,"&gt;="&amp;DATE(YEAR($C$4)+1,1,1),预计变动!$I:$I,"&lt;="&amp;DATE(YEAR($C$4)+1,12,31))</f>
        <v>1</v>
      </c>
      <c r="AR10" s="66">
        <f>AH10+SUMIFS(预计变动!$F:$F,预计变动!$B:$B,AR$7,预计变动!$C:$C,$B10,预计变动!$I:$I,"&gt;="&amp;DATE(YEAR($C$4)+1,1,1),预计变动!$I:$I,"&lt;="&amp;DATE(YEAR($C$4)+1,12,31))</f>
        <v>0</v>
      </c>
      <c r="AS10" s="66">
        <f>AI10+SUMIFS(预计变动!$F:$F,预计变动!$B:$B,AS$7,预计变动!$C:$C,$B10,预计变动!$I:$I,"&gt;="&amp;DATE(YEAR($C$4)+1,1,1),预计变动!$I:$I,"&lt;="&amp;DATE(YEAR($C$4)+1,12,31))</f>
        <v>0</v>
      </c>
      <c r="AT10" s="66">
        <f>AJ10+SUMIFS(预计变动!$F:$F,预计变动!$B:$B,AT$7,预计变动!$C:$C,$B10,预计变动!$I:$I,"&gt;="&amp;DATE(YEAR($C$4)+1,1,1),预计变动!$I:$I,"&lt;="&amp;DATE(YEAR($C$4)+1,12,31))</f>
        <v>0</v>
      </c>
      <c r="AU10" s="66">
        <f>AK10+SUMIFS(预计变动!$F:$F,预计变动!$B:$B,AU$7,预计变动!$C:$C,$B10,预计变动!$I:$I,"&gt;="&amp;DATE(YEAR($C$4)+1,1,1),预计变动!$I:$I,"&lt;="&amp;DATE(YEAR($C$4)+1,12,31))</f>
        <v>0</v>
      </c>
      <c r="AV10" s="66">
        <f>AL10+SUMIFS(预计变动!$F:$F,预计变动!$B:$B,AV$7,预计变动!$C:$C,$B10,预计变动!$I:$I,"&gt;="&amp;DATE(YEAR($C$4)+1,1,1),预计变动!$I:$I,"&lt;="&amp;DATE(YEAR($C$4)+1,12,31))</f>
        <v>0</v>
      </c>
      <c r="AW10" s="66">
        <f>AM10+SUMIFS(预计变动!$F:$F,预计变动!$B:$B,AW$7,预计变动!$C:$C,$B10,预计变动!$I:$I,"&gt;="&amp;DATE(YEAR($C$4)+1,1,1),预计变动!$I:$I,"&lt;="&amp;DATE(YEAR($C$4)+1,12,31))</f>
        <v>0</v>
      </c>
      <c r="AX10" s="66">
        <f>AN10+SUMIFS(预计变动!$F:$F,预计变动!$B:$B,AX$7,预计变动!$C:$C,$B10,预计变动!$I:$I,"&gt;="&amp;DATE(YEAR($C$4)+1,1,1),预计变动!$I:$I,"&lt;="&amp;DATE(YEAR($C$4)+1,12,31))</f>
        <v>0</v>
      </c>
      <c r="AY10" s="66">
        <f>AO10+SUMIFS(预计变动!$F:$F,预计变动!$B:$B,AY$7,预计变动!$C:$C,$B10,预计变动!$I:$I,"&gt;="&amp;DATE(YEAR($C$4)+1,1,1),预计变动!$I:$I,"&lt;="&amp;DATE(YEAR($C$4)+1,12,31))</f>
        <v>0</v>
      </c>
      <c r="AZ10" s="66">
        <f>AP10+SUMIFS(预计变动!$F:$F,预计变动!$B:$B,AZ$7,预计变动!$C:$C,$B10,预计变动!$I:$I,"&gt;="&amp;DATE(YEAR($C$4)+1,1,1),预计变动!$I:$I,"&lt;="&amp;DATE(YEAR($C$4)+1,12,31))</f>
        <v>1</v>
      </c>
    </row>
    <row r="11" spans="2:52">
      <c r="B11" s="65" t="s">
        <v>145</v>
      </c>
      <c r="C11" s="66">
        <f>COUNTIFS(人员状况!$D:$D,"*",人员状况!$E:$E,$B11,人员状况!$G:$G,"&lt;="&amp;DATE(YEAR($C$4)-2,12,31),人员状况!$H:$H,"&gt;="&amp;DATE(YEAR($C$4)-2,12,31)+1)</f>
        <v>1</v>
      </c>
      <c r="D11" s="66">
        <f>COUNTIFS(人员状况!$D:$D,"*",人员状况!$E:$E,$B11,人员状况!$D:$D,D$7,人员状况!$G:$G,"&lt;="&amp;DATE(YEAR($C$4)-2,12,31),人员状况!$H:$H,"&gt;="&amp;DATE(YEAR($C$4)-2,12,31)+1)</f>
        <v>1</v>
      </c>
      <c r="E11" s="66">
        <f>COUNTIFS(人员状况!$D:$D,"*",人员状况!$E:$E,$B11,人员状况!$D:$D,E$7,人员状况!$G:$G,"&lt;="&amp;DATE(YEAR($C$4)-2,12,31),人员状况!$H:$H,"&gt;="&amp;DATE(YEAR($C$4)-2,12,31)+1)</f>
        <v>0</v>
      </c>
      <c r="F11" s="66">
        <f>COUNTIFS(人员状况!$D:$D,"*",人员状况!$E:$E,$B11,人员状况!$D:$D,F$7,人员状况!$G:$G,"&lt;="&amp;DATE(YEAR($C$4)-2,12,31),人员状况!$H:$H,"&gt;="&amp;DATE(YEAR($C$4)-2,12,31)+1)</f>
        <v>0</v>
      </c>
      <c r="G11" s="66">
        <f>COUNTIFS(人员状况!$D:$D,"*",人员状况!$E:$E,$B11,人员状况!$D:$D,G$7,人员状况!$G:$G,"&lt;="&amp;DATE(YEAR($C$4)-2,12,31),人员状况!$H:$H,"&gt;="&amp;DATE(YEAR($C$4)-2,12,31)+1)</f>
        <v>0</v>
      </c>
      <c r="H11" s="66">
        <f>COUNTIFS(人员状况!$D:$D,"*",人员状况!$E:$E,$B11,人员状况!$D:$D,H$7,人员状况!$G:$G,"&lt;="&amp;DATE(YEAR($C$4)-2,12,31),人员状况!$H:$H,"&gt;="&amp;DATE(YEAR($C$4)-2,12,31)+1)</f>
        <v>0</v>
      </c>
      <c r="I11" s="66">
        <f>COUNTIFS(人员状况!$D:$D,"*",人员状况!$E:$E,$B11,人员状况!$D:$D,I$7,人员状况!$G:$G,"&lt;="&amp;DATE(YEAR($C$4)-2,12,31),人员状况!$H:$H,"&gt;="&amp;DATE(YEAR($C$4)-2,12,31)+1)</f>
        <v>0</v>
      </c>
      <c r="J11" s="66">
        <f>COUNTIFS(人员状况!$D:$D,"*",人员状况!$E:$E,$B11,人员状况!$D:$D,J$7,人员状况!$G:$G,"&lt;="&amp;DATE(YEAR($C$4)-2,12,31),人员状况!$H:$H,"&gt;="&amp;DATE(YEAR($C$4)-2,12,31)+1)</f>
        <v>0</v>
      </c>
      <c r="K11" s="66">
        <f>COUNTIFS(人员状况!$D:$D,"*",人员状况!$E:$E,$B11,人员状况!$D:$D,K$7,人员状况!$G:$G,"&lt;="&amp;DATE(YEAR($C$4)-2,12,31),人员状况!$H:$H,"&gt;="&amp;DATE(YEAR($C$4)-2,12,31)+1)</f>
        <v>0</v>
      </c>
      <c r="L11" s="66">
        <f>COUNTIFS(人员状况!$D:$D,"*",人员状况!$E:$E,$B11,人员状况!$D:$D,L$7,人员状况!$G:$G,"&lt;="&amp;DATE(YEAR($C$4)-2,12,31),人员状况!$H:$H,"&gt;="&amp;DATE(YEAR($C$4)-2,12,31)+1)</f>
        <v>0</v>
      </c>
      <c r="M11" s="66">
        <f>COUNTIFS(人员状况!$D:$D,"*",人员状况!$E:$E,$B11,人员状况!$G:$G,"&lt;="&amp;DATE(YEAR($C$4)-1,12,31),人员状况!$H:$H,"&gt;="&amp;DATE(YEAR($C$4)-1,12,31)+1)</f>
        <v>1</v>
      </c>
      <c r="N11" s="66">
        <f>COUNTIFS(人员状况!$D:$D,"*",人员状况!$E:$E,$B11,人员状况!$D:$D,N$7,人员状况!$G:$G,"&lt;="&amp;DATE(YEAR($C$4)-1,12,31),人员状况!$H:$H,"&gt;="&amp;DATE(YEAR($C$4)-1,12,31)+1)</f>
        <v>1</v>
      </c>
      <c r="O11" s="66">
        <f>COUNTIFS(人员状况!$D:$D,"*",人员状况!$E:$E,$B11,人员状况!$D:$D,O$7,人员状况!$G:$G,"&lt;="&amp;DATE(YEAR($C$4)-1,12,31),人员状况!$H:$H,"&gt;="&amp;DATE(YEAR($C$4)-1,12,31)+1)</f>
        <v>0</v>
      </c>
      <c r="P11" s="66">
        <f>COUNTIFS(人员状况!$D:$D,"*",人员状况!$E:$E,$B11,人员状况!$D:$D,P$7,人员状况!$G:$G,"&lt;="&amp;DATE(YEAR($C$4)-1,12,31),人员状况!$H:$H,"&gt;="&amp;DATE(YEAR($C$4)-1,12,31)+1)</f>
        <v>0</v>
      </c>
      <c r="Q11" s="66">
        <f>COUNTIFS(人员状况!$D:$D,"*",人员状况!$E:$E,$B11,人员状况!$D:$D,Q$7,人员状况!$G:$G,"&lt;="&amp;DATE(YEAR($C$4)-1,12,31),人员状况!$H:$H,"&gt;="&amp;DATE(YEAR($C$4)-1,12,31)+1)</f>
        <v>0</v>
      </c>
      <c r="R11" s="66">
        <f>COUNTIFS(人员状况!$D:$D,"*",人员状况!$E:$E,$B11,人员状况!$D:$D,R$7,人员状况!$G:$G,"&lt;="&amp;DATE(YEAR($C$4)-1,12,31),人员状况!$H:$H,"&gt;="&amp;DATE(YEAR($C$4)-1,12,31)+1)</f>
        <v>0</v>
      </c>
      <c r="S11" s="66">
        <f>COUNTIFS(人员状况!$D:$D,"*",人员状况!$E:$E,$B11,人员状况!$D:$D,S$7,人员状况!$G:$G,"&lt;="&amp;DATE(YEAR($C$4)-1,12,31),人员状况!$H:$H,"&gt;="&amp;DATE(YEAR($C$4)-1,12,31)+1)</f>
        <v>0</v>
      </c>
      <c r="T11" s="66">
        <f>COUNTIFS(人员状况!$D:$D,"*",人员状况!$E:$E,$B11,人员状况!$D:$D,T$7,人员状况!$G:$G,"&lt;="&amp;DATE(YEAR($C$4)-1,12,31),人员状况!$H:$H,"&gt;="&amp;DATE(YEAR($C$4)-1,12,31)+1)</f>
        <v>0</v>
      </c>
      <c r="U11" s="66">
        <f>COUNTIFS(人员状况!$D:$D,"*",人员状况!$E:$E,$B11,人员状况!$D:$D,U$7,人员状况!$G:$G,"&lt;="&amp;DATE(YEAR($C$4)-1,12,31),人员状况!$H:$H,"&gt;="&amp;DATE(YEAR($C$4)-1,12,31)+1)</f>
        <v>0</v>
      </c>
      <c r="V11" s="66">
        <f>COUNTIFS(人员状况!$D:$D,"*",人员状况!$E:$E,$B11,人员状况!$D:$D,V$7,人员状况!$G:$G,"&lt;="&amp;DATE(YEAR($C$4)-1,12,31),人员状况!$H:$H,"&gt;="&amp;DATE(YEAR($C$4)-1,12,31)+1)</f>
        <v>0</v>
      </c>
      <c r="W11" s="66">
        <f>COUNTIFS(人员状况!$D:$D,"*",人员状况!$E:$E,$B11,人员状况!$G:$G,"&lt;="&amp;EOMONTH(DATE(YEAR($C$4)-1,MONTH($C$4),1),0),人员状况!$H:$H,"&gt;="&amp;EOMONTH(DATE(YEAR($C$4)-1,MONTH($C$4),1),0)+1)</f>
        <v>1</v>
      </c>
      <c r="X11" s="66">
        <f>COUNTIFS(人员状况!$D:$D,X$7,人员状况!$E:$E,$B11,人员状况!$G:$G,"&lt;="&amp;EOMONTH(DATE(YEAR($C$4)-1,MONTH($C$4),1),0),人员状况!$H:$H,"&gt;="&amp;EOMONTH(DATE(YEAR($C$4)-1,MONTH($C$4),1),0)+1)</f>
        <v>1</v>
      </c>
      <c r="Y11" s="66">
        <f>COUNTIFS(人员状况!$D:$D,Y$7,人员状况!$E:$E,$B11,人员状况!$G:$G,"&lt;="&amp;EOMONTH(DATE(YEAR($C$4)-1,MONTH($C$4),1),0),人员状况!$H:$H,"&gt;="&amp;EOMONTH(DATE(YEAR($C$4)-1,MONTH($C$4),1),0)+1)</f>
        <v>0</v>
      </c>
      <c r="Z11" s="66">
        <f>COUNTIFS(人员状况!$D:$D,Z$7,人员状况!$E:$E,$B11,人员状况!$G:$G,"&lt;="&amp;EOMONTH(DATE(YEAR($C$4)-1,MONTH($C$4),1),0),人员状况!$H:$H,"&gt;="&amp;EOMONTH(DATE(YEAR($C$4)-1,MONTH($C$4),1),0)+1)</f>
        <v>0</v>
      </c>
      <c r="AA11" s="66">
        <f>COUNTIFS(人员状况!$D:$D,AA$7,人员状况!$E:$E,$B11,人员状况!$G:$G,"&lt;="&amp;EOMONTH(DATE(YEAR($C$4)-1,MONTH($C$4),1),0),人员状况!$H:$H,"&gt;="&amp;EOMONTH(DATE(YEAR($C$4)-1,MONTH($C$4),1),0)+1)</f>
        <v>0</v>
      </c>
      <c r="AB11" s="66">
        <f>COUNTIFS(人员状况!$D:$D,AB$7,人员状况!$E:$E,$B11,人员状况!$G:$G,"&lt;="&amp;EOMONTH(DATE(YEAR($C$4)-1,MONTH($C$4),1),0),人员状况!$H:$H,"&gt;="&amp;EOMONTH(DATE(YEAR($C$4)-1,MONTH($C$4),1),0)+1)</f>
        <v>0</v>
      </c>
      <c r="AC11" s="66">
        <f>COUNTIFS(人员状况!$D:$D,AC$7,人员状况!$E:$E,$B11,人员状况!$G:$G,"&lt;="&amp;EOMONTH(DATE(YEAR($C$4)-1,MONTH($C$4),1),0),人员状况!$H:$H,"&gt;="&amp;EOMONTH(DATE(YEAR($C$4)-1,MONTH($C$4),1),0)+1)</f>
        <v>0</v>
      </c>
      <c r="AD11" s="66">
        <f>COUNTIFS(人员状况!$D:$D,AD$7,人员状况!$E:$E,$B11,人员状况!$G:$G,"&lt;="&amp;EOMONTH(DATE(YEAR($C$4)-1,MONTH($C$4),1),0),人员状况!$H:$H,"&gt;="&amp;EOMONTH(DATE(YEAR($C$4)-1,MONTH($C$4),1),0)+1)</f>
        <v>0</v>
      </c>
      <c r="AE11" s="66">
        <f>COUNTIFS(人员状况!$D:$D,AE$7,人员状况!$E:$E,$B11,人员状况!$G:$G,"&lt;="&amp;EOMONTH(DATE(YEAR($C$4)-1,MONTH($C$4),1),0),人员状况!$H:$H,"&gt;="&amp;EOMONTH(DATE(YEAR($C$4)-1,MONTH($C$4),1),0)+1)</f>
        <v>0</v>
      </c>
      <c r="AF11" s="66">
        <f>COUNTIFS(人员状况!$D:$D,AF$7,人员状况!$E:$E,$B11,人员状况!$G:$G,"&lt;="&amp;EOMONTH(DATE(YEAR($C$4)-1,MONTH($C$4),1),0),人员状况!$H:$H,"&gt;="&amp;EOMONTH(DATE(YEAR($C$4)-1,MONTH($C$4),1),0)+1)</f>
        <v>0</v>
      </c>
      <c r="AG11" s="66">
        <f>W11+SUMIFS(预计变动!$F:$F,预计变动!$C:$C,$B11,预计变动!$I:$I,"&gt;"&amp;EOMONTH(DATE(YEAR($C$4),MONTH($C$4),1),0),预计变动!$I:$I,"&lt;="&amp;DATE(YEAR($C$4),12,31))</f>
        <v>1</v>
      </c>
      <c r="AH11" s="66">
        <f>X11+SUMIFS(预计变动!$F:$F,预计变动!$B:$B,AH$7,预计变动!$C:$C,$B11,预计变动!$I:$I,"&gt;"&amp;EOMONTH(DATE(YEAR($C$4),MONTH($C$4),1),0),预计变动!$I:$I,"&lt;="&amp;DATE(YEAR($C$4),12,31))</f>
        <v>1</v>
      </c>
      <c r="AI11" s="66">
        <f>Y11+SUMIFS(预计变动!$F:$F,预计变动!$B:$B,AI$7,预计变动!$C:$C,$B11,预计变动!$I:$I,"&gt;"&amp;EOMONTH(DATE(YEAR($C$4),MONTH($C$4),1),0),预计变动!$I:$I,"&lt;="&amp;DATE(YEAR($C$4),12,31))</f>
        <v>0</v>
      </c>
      <c r="AJ11" s="66">
        <f>Z11+SUMIFS(预计变动!$F:$F,预计变动!$B:$B,AJ$7,预计变动!$C:$C,$B11,预计变动!$I:$I,"&gt;"&amp;EOMONTH(DATE(YEAR($C$4),MONTH($C$4),1),0),预计变动!$I:$I,"&lt;="&amp;DATE(YEAR($C$4),12,31))</f>
        <v>0</v>
      </c>
      <c r="AK11" s="66">
        <f>AA11+SUMIFS(预计变动!$F:$F,预计变动!$B:$B,AK$7,预计变动!$C:$C,$B11,预计变动!$I:$I,"&gt;"&amp;EOMONTH(DATE(YEAR($C$4),MONTH($C$4),1),0),预计变动!$I:$I,"&lt;="&amp;DATE(YEAR($C$4),12,31))</f>
        <v>0</v>
      </c>
      <c r="AL11" s="66">
        <f>AB11+SUMIFS(预计变动!$F:$F,预计变动!$B:$B,AL$7,预计变动!$C:$C,$B11,预计变动!$I:$I,"&gt;"&amp;EOMONTH(DATE(YEAR($C$4),MONTH($C$4),1),0),预计变动!$I:$I,"&lt;="&amp;DATE(YEAR($C$4),12,31))</f>
        <v>0</v>
      </c>
      <c r="AM11" s="66">
        <f>AC11+SUMIFS(预计变动!$F:$F,预计变动!$B:$B,AM$7,预计变动!$C:$C,$B11,预计变动!$I:$I,"&gt;"&amp;EOMONTH(DATE(YEAR($C$4),MONTH($C$4),1),0),预计变动!$I:$I,"&lt;="&amp;DATE(YEAR($C$4),12,31))</f>
        <v>0</v>
      </c>
      <c r="AN11" s="66">
        <f>AD11+SUMIFS(预计变动!$F:$F,预计变动!$B:$B,AN$7,预计变动!$C:$C,$B11,预计变动!$I:$I,"&gt;"&amp;EOMONTH(DATE(YEAR($C$4),MONTH($C$4),1),0),预计变动!$I:$I,"&lt;="&amp;DATE(YEAR($C$4),12,31))</f>
        <v>0</v>
      </c>
      <c r="AO11" s="66">
        <f>AE11+SUMIFS(预计变动!$F:$F,预计变动!$B:$B,AO$7,预计变动!$C:$C,$B11,预计变动!$I:$I,"&gt;"&amp;EOMONTH(DATE(YEAR($C$4),MONTH($C$4),1),0),预计变动!$I:$I,"&lt;="&amp;DATE(YEAR($C$4),12,31))</f>
        <v>0</v>
      </c>
      <c r="AP11" s="66">
        <f>AF11+SUMIFS(预计变动!$F:$F,预计变动!$B:$B,AP$7,预计变动!$C:$C,$B11,预计变动!$I:$I,"&gt;"&amp;EOMONTH(DATE(YEAR($C$4),MONTH($C$4),1),0),预计变动!$I:$I,"&lt;="&amp;DATE(YEAR($C$4),12,31))</f>
        <v>0</v>
      </c>
      <c r="AQ11" s="66">
        <f>AG11+SUMIFS(预计变动!$F:$F,预计变动!$C:$C,$B11,预计变动!$I:$I,"&gt;="&amp;DATE(YEAR($C$4)+1,1,1),预计变动!$I:$I,"&lt;="&amp;DATE(YEAR($C$4)+1,12,31))</f>
        <v>1</v>
      </c>
      <c r="AR11" s="66">
        <f>AH11+SUMIFS(预计变动!$F:$F,预计变动!$B:$B,AR$7,预计变动!$C:$C,$B11,预计变动!$I:$I,"&gt;="&amp;DATE(YEAR($C$4)+1,1,1),预计变动!$I:$I,"&lt;="&amp;DATE(YEAR($C$4)+1,12,31))</f>
        <v>1</v>
      </c>
      <c r="AS11" s="66">
        <f>AI11+SUMIFS(预计变动!$F:$F,预计变动!$B:$B,AS$7,预计变动!$C:$C,$B11,预计变动!$I:$I,"&gt;="&amp;DATE(YEAR($C$4)+1,1,1),预计变动!$I:$I,"&lt;="&amp;DATE(YEAR($C$4)+1,12,31))</f>
        <v>0</v>
      </c>
      <c r="AT11" s="66">
        <f>AJ11+SUMIFS(预计变动!$F:$F,预计变动!$B:$B,AT$7,预计变动!$C:$C,$B11,预计变动!$I:$I,"&gt;="&amp;DATE(YEAR($C$4)+1,1,1),预计变动!$I:$I,"&lt;="&amp;DATE(YEAR($C$4)+1,12,31))</f>
        <v>0</v>
      </c>
      <c r="AU11" s="66">
        <f>AK11+SUMIFS(预计变动!$F:$F,预计变动!$B:$B,AU$7,预计变动!$C:$C,$B11,预计变动!$I:$I,"&gt;="&amp;DATE(YEAR($C$4)+1,1,1),预计变动!$I:$I,"&lt;="&amp;DATE(YEAR($C$4)+1,12,31))</f>
        <v>0</v>
      </c>
      <c r="AV11" s="66">
        <f>AL11+SUMIFS(预计变动!$F:$F,预计变动!$B:$B,AV$7,预计变动!$C:$C,$B11,预计变动!$I:$I,"&gt;="&amp;DATE(YEAR($C$4)+1,1,1),预计变动!$I:$I,"&lt;="&amp;DATE(YEAR($C$4)+1,12,31))</f>
        <v>0</v>
      </c>
      <c r="AW11" s="66">
        <f>AM11+SUMIFS(预计变动!$F:$F,预计变动!$B:$B,AW$7,预计变动!$C:$C,$B11,预计变动!$I:$I,"&gt;="&amp;DATE(YEAR($C$4)+1,1,1),预计变动!$I:$I,"&lt;="&amp;DATE(YEAR($C$4)+1,12,31))</f>
        <v>0</v>
      </c>
      <c r="AX11" s="66">
        <f>AN11+SUMIFS(预计变动!$F:$F,预计变动!$B:$B,AX$7,预计变动!$C:$C,$B11,预计变动!$I:$I,"&gt;="&amp;DATE(YEAR($C$4)+1,1,1),预计变动!$I:$I,"&lt;="&amp;DATE(YEAR($C$4)+1,12,31))</f>
        <v>0</v>
      </c>
      <c r="AY11" s="66">
        <f>AO11+SUMIFS(预计变动!$F:$F,预计变动!$B:$B,AY$7,预计变动!$C:$C,$B11,预计变动!$I:$I,"&gt;="&amp;DATE(YEAR($C$4)+1,1,1),预计变动!$I:$I,"&lt;="&amp;DATE(YEAR($C$4)+1,12,31))</f>
        <v>0</v>
      </c>
      <c r="AZ11" s="66">
        <f>AP11+SUMIFS(预计变动!$F:$F,预计变动!$B:$B,AZ$7,预计变动!$C:$C,$B11,预计变动!$I:$I,"&gt;="&amp;DATE(YEAR($C$4)+1,1,1),预计变动!$I:$I,"&lt;="&amp;DATE(YEAR($C$4)+1,12,31))</f>
        <v>0</v>
      </c>
    </row>
    <row r="12" spans="2:52">
      <c r="B12" s="65" t="s">
        <v>204</v>
      </c>
      <c r="C12" s="66">
        <f>COUNTIFS(人员状况!$D:$D,"*",人员状况!$E:$E,$B12,人员状况!$G:$G,"&lt;="&amp;DATE(YEAR($C$4)-2,12,31),人员状况!$H:$H,"&gt;="&amp;DATE(YEAR($C$4)-2,12,31)+1)</f>
        <v>2</v>
      </c>
      <c r="D12" s="66">
        <f>COUNTIFS(人员状况!$D:$D,"*",人员状况!$E:$E,$B12,人员状况!$D:$D,D$7,人员状况!$G:$G,"&lt;="&amp;DATE(YEAR($C$4)-2,12,31),人员状况!$H:$H,"&gt;="&amp;DATE(YEAR($C$4)-2,12,31)+1)</f>
        <v>0</v>
      </c>
      <c r="E12" s="66">
        <f>COUNTIFS(人员状况!$D:$D,"*",人员状况!$E:$E,$B12,人员状况!$D:$D,E$7,人员状况!$G:$G,"&lt;="&amp;DATE(YEAR($C$4)-2,12,31),人员状况!$H:$H,"&gt;="&amp;DATE(YEAR($C$4)-2,12,31)+1)</f>
        <v>1</v>
      </c>
      <c r="F12" s="66">
        <f>COUNTIFS(人员状况!$D:$D,"*",人员状况!$E:$E,$B12,人员状况!$D:$D,F$7,人员状况!$G:$G,"&lt;="&amp;DATE(YEAR($C$4)-2,12,31),人员状况!$H:$H,"&gt;="&amp;DATE(YEAR($C$4)-2,12,31)+1)</f>
        <v>0</v>
      </c>
      <c r="G12" s="66">
        <f>COUNTIFS(人员状况!$D:$D,"*",人员状况!$E:$E,$B12,人员状况!$D:$D,G$7,人员状况!$G:$G,"&lt;="&amp;DATE(YEAR($C$4)-2,12,31),人员状况!$H:$H,"&gt;="&amp;DATE(YEAR($C$4)-2,12,31)+1)</f>
        <v>0</v>
      </c>
      <c r="H12" s="66">
        <f>COUNTIFS(人员状况!$D:$D,"*",人员状况!$E:$E,$B12,人员状况!$D:$D,H$7,人员状况!$G:$G,"&lt;="&amp;DATE(YEAR($C$4)-2,12,31),人员状况!$H:$H,"&gt;="&amp;DATE(YEAR($C$4)-2,12,31)+1)</f>
        <v>0</v>
      </c>
      <c r="I12" s="66">
        <f>COUNTIFS(人员状况!$D:$D,"*",人员状况!$E:$E,$B12,人员状况!$D:$D,I$7,人员状况!$G:$G,"&lt;="&amp;DATE(YEAR($C$4)-2,12,31),人员状况!$H:$H,"&gt;="&amp;DATE(YEAR($C$4)-2,12,31)+1)</f>
        <v>1</v>
      </c>
      <c r="J12" s="66">
        <f>COUNTIFS(人员状况!$D:$D,"*",人员状况!$E:$E,$B12,人员状况!$D:$D,J$7,人员状况!$G:$G,"&lt;="&amp;DATE(YEAR($C$4)-2,12,31),人员状况!$H:$H,"&gt;="&amp;DATE(YEAR($C$4)-2,12,31)+1)</f>
        <v>0</v>
      </c>
      <c r="K12" s="66">
        <f>COUNTIFS(人员状况!$D:$D,"*",人员状况!$E:$E,$B12,人员状况!$D:$D,K$7,人员状况!$G:$G,"&lt;="&amp;DATE(YEAR($C$4)-2,12,31),人员状况!$H:$H,"&gt;="&amp;DATE(YEAR($C$4)-2,12,31)+1)</f>
        <v>0</v>
      </c>
      <c r="L12" s="66">
        <f>COUNTIFS(人员状况!$D:$D,"*",人员状况!$E:$E,$B12,人员状况!$D:$D,L$7,人员状况!$G:$G,"&lt;="&amp;DATE(YEAR($C$4)-2,12,31),人员状况!$H:$H,"&gt;="&amp;DATE(YEAR($C$4)-2,12,31)+1)</f>
        <v>0</v>
      </c>
      <c r="M12" s="66">
        <f>COUNTIFS(人员状况!$D:$D,"*",人员状况!$E:$E,$B12,人员状况!$G:$G,"&lt;="&amp;DATE(YEAR($C$4)-1,12,31),人员状况!$H:$H,"&gt;="&amp;DATE(YEAR($C$4)-1,12,31)+1)</f>
        <v>2</v>
      </c>
      <c r="N12" s="66">
        <f>COUNTIFS(人员状况!$D:$D,"*",人员状况!$E:$E,$B12,人员状况!$D:$D,N$7,人员状况!$G:$G,"&lt;="&amp;DATE(YEAR($C$4)-1,12,31),人员状况!$H:$H,"&gt;="&amp;DATE(YEAR($C$4)-1,12,31)+1)</f>
        <v>0</v>
      </c>
      <c r="O12" s="66">
        <f>COUNTIFS(人员状况!$D:$D,"*",人员状况!$E:$E,$B12,人员状况!$D:$D,O$7,人员状况!$G:$G,"&lt;="&amp;DATE(YEAR($C$4)-1,12,31),人员状况!$H:$H,"&gt;="&amp;DATE(YEAR($C$4)-1,12,31)+1)</f>
        <v>1</v>
      </c>
      <c r="P12" s="66">
        <f>COUNTIFS(人员状况!$D:$D,"*",人员状况!$E:$E,$B12,人员状况!$D:$D,P$7,人员状况!$G:$G,"&lt;="&amp;DATE(YEAR($C$4)-1,12,31),人员状况!$H:$H,"&gt;="&amp;DATE(YEAR($C$4)-1,12,31)+1)</f>
        <v>0</v>
      </c>
      <c r="Q12" s="66">
        <f>COUNTIFS(人员状况!$D:$D,"*",人员状况!$E:$E,$B12,人员状况!$D:$D,Q$7,人员状况!$G:$G,"&lt;="&amp;DATE(YEAR($C$4)-1,12,31),人员状况!$H:$H,"&gt;="&amp;DATE(YEAR($C$4)-1,12,31)+1)</f>
        <v>0</v>
      </c>
      <c r="R12" s="66">
        <f>COUNTIFS(人员状况!$D:$D,"*",人员状况!$E:$E,$B12,人员状况!$D:$D,R$7,人员状况!$G:$G,"&lt;="&amp;DATE(YEAR($C$4)-1,12,31),人员状况!$H:$H,"&gt;="&amp;DATE(YEAR($C$4)-1,12,31)+1)</f>
        <v>0</v>
      </c>
      <c r="S12" s="66">
        <f>COUNTIFS(人员状况!$D:$D,"*",人员状况!$E:$E,$B12,人员状况!$D:$D,S$7,人员状况!$G:$G,"&lt;="&amp;DATE(YEAR($C$4)-1,12,31),人员状况!$H:$H,"&gt;="&amp;DATE(YEAR($C$4)-1,12,31)+1)</f>
        <v>1</v>
      </c>
      <c r="T12" s="66">
        <f>COUNTIFS(人员状况!$D:$D,"*",人员状况!$E:$E,$B12,人员状况!$D:$D,T$7,人员状况!$G:$G,"&lt;="&amp;DATE(YEAR($C$4)-1,12,31),人员状况!$H:$H,"&gt;="&amp;DATE(YEAR($C$4)-1,12,31)+1)</f>
        <v>0</v>
      </c>
      <c r="U12" s="66">
        <f>COUNTIFS(人员状况!$D:$D,"*",人员状况!$E:$E,$B12,人员状况!$D:$D,U$7,人员状况!$G:$G,"&lt;="&amp;DATE(YEAR($C$4)-1,12,31),人员状况!$H:$H,"&gt;="&amp;DATE(YEAR($C$4)-1,12,31)+1)</f>
        <v>0</v>
      </c>
      <c r="V12" s="66">
        <f>COUNTIFS(人员状况!$D:$D,"*",人员状况!$E:$E,$B12,人员状况!$D:$D,V$7,人员状况!$G:$G,"&lt;="&amp;DATE(YEAR($C$4)-1,12,31),人员状况!$H:$H,"&gt;="&amp;DATE(YEAR($C$4)-1,12,31)+1)</f>
        <v>0</v>
      </c>
      <c r="W12" s="66">
        <f>COUNTIFS(人员状况!$D:$D,"*",人员状况!$E:$E,$B12,人员状况!$G:$G,"&lt;="&amp;EOMONTH(DATE(YEAR($C$4)-1,MONTH($C$4),1),0),人员状况!$H:$H,"&gt;="&amp;EOMONTH(DATE(YEAR($C$4)-1,MONTH($C$4),1),0)+1)</f>
        <v>2</v>
      </c>
      <c r="X12" s="66">
        <f>COUNTIFS(人员状况!$D:$D,X$7,人员状况!$E:$E,$B12,人员状况!$G:$G,"&lt;="&amp;EOMONTH(DATE(YEAR($C$4)-1,MONTH($C$4),1),0),人员状况!$H:$H,"&gt;="&amp;EOMONTH(DATE(YEAR($C$4)-1,MONTH($C$4),1),0)+1)</f>
        <v>0</v>
      </c>
      <c r="Y12" s="66">
        <f>COUNTIFS(人员状况!$D:$D,Y$7,人员状况!$E:$E,$B12,人员状况!$G:$G,"&lt;="&amp;EOMONTH(DATE(YEAR($C$4)-1,MONTH($C$4),1),0),人员状况!$H:$H,"&gt;="&amp;EOMONTH(DATE(YEAR($C$4)-1,MONTH($C$4),1),0)+1)</f>
        <v>1</v>
      </c>
      <c r="Z12" s="66">
        <f>COUNTIFS(人员状况!$D:$D,Z$7,人员状况!$E:$E,$B12,人员状况!$G:$G,"&lt;="&amp;EOMONTH(DATE(YEAR($C$4)-1,MONTH($C$4),1),0),人员状况!$H:$H,"&gt;="&amp;EOMONTH(DATE(YEAR($C$4)-1,MONTH($C$4),1),0)+1)</f>
        <v>0</v>
      </c>
      <c r="AA12" s="66">
        <f>COUNTIFS(人员状况!$D:$D,AA$7,人员状况!$E:$E,$B12,人员状况!$G:$G,"&lt;="&amp;EOMONTH(DATE(YEAR($C$4)-1,MONTH($C$4),1),0),人员状况!$H:$H,"&gt;="&amp;EOMONTH(DATE(YEAR($C$4)-1,MONTH($C$4),1),0)+1)</f>
        <v>0</v>
      </c>
      <c r="AB12" s="66">
        <f>COUNTIFS(人员状况!$D:$D,AB$7,人员状况!$E:$E,$B12,人员状况!$G:$G,"&lt;="&amp;EOMONTH(DATE(YEAR($C$4)-1,MONTH($C$4),1),0),人员状况!$H:$H,"&gt;="&amp;EOMONTH(DATE(YEAR($C$4)-1,MONTH($C$4),1),0)+1)</f>
        <v>0</v>
      </c>
      <c r="AC12" s="66">
        <f>COUNTIFS(人员状况!$D:$D,AC$7,人员状况!$E:$E,$B12,人员状况!$G:$G,"&lt;="&amp;EOMONTH(DATE(YEAR($C$4)-1,MONTH($C$4),1),0),人员状况!$H:$H,"&gt;="&amp;EOMONTH(DATE(YEAR($C$4)-1,MONTH($C$4),1),0)+1)</f>
        <v>1</v>
      </c>
      <c r="AD12" s="66">
        <f>COUNTIFS(人员状况!$D:$D,AD$7,人员状况!$E:$E,$B12,人员状况!$G:$G,"&lt;="&amp;EOMONTH(DATE(YEAR($C$4)-1,MONTH($C$4),1),0),人员状况!$H:$H,"&gt;="&amp;EOMONTH(DATE(YEAR($C$4)-1,MONTH($C$4),1),0)+1)</f>
        <v>0</v>
      </c>
      <c r="AE12" s="66">
        <f>COUNTIFS(人员状况!$D:$D,AE$7,人员状况!$E:$E,$B12,人员状况!$G:$G,"&lt;="&amp;EOMONTH(DATE(YEAR($C$4)-1,MONTH($C$4),1),0),人员状况!$H:$H,"&gt;="&amp;EOMONTH(DATE(YEAR($C$4)-1,MONTH($C$4),1),0)+1)</f>
        <v>0</v>
      </c>
      <c r="AF12" s="66">
        <f>COUNTIFS(人员状况!$D:$D,AF$7,人员状况!$E:$E,$B12,人员状况!$G:$G,"&lt;="&amp;EOMONTH(DATE(YEAR($C$4)-1,MONTH($C$4),1),0),人员状况!$H:$H,"&gt;="&amp;EOMONTH(DATE(YEAR($C$4)-1,MONTH($C$4),1),0)+1)</f>
        <v>0</v>
      </c>
      <c r="AG12" s="66">
        <f>W12+SUMIFS(预计变动!$F:$F,预计变动!$C:$C,$B12,预计变动!$I:$I,"&gt;"&amp;EOMONTH(DATE(YEAR($C$4),MONTH($C$4),1),0),预计变动!$I:$I,"&lt;="&amp;DATE(YEAR($C$4),12,31))</f>
        <v>2</v>
      </c>
      <c r="AH12" s="66">
        <f>X12+SUMIFS(预计变动!$F:$F,预计变动!$B:$B,AH$7,预计变动!$C:$C,$B12,预计变动!$I:$I,"&gt;"&amp;EOMONTH(DATE(YEAR($C$4),MONTH($C$4),1),0),预计变动!$I:$I,"&lt;="&amp;DATE(YEAR($C$4),12,31))</f>
        <v>0</v>
      </c>
      <c r="AI12" s="66">
        <f>Y12+SUMIFS(预计变动!$F:$F,预计变动!$B:$B,AI$7,预计变动!$C:$C,$B12,预计变动!$I:$I,"&gt;"&amp;EOMONTH(DATE(YEAR($C$4),MONTH($C$4),1),0),预计变动!$I:$I,"&lt;="&amp;DATE(YEAR($C$4),12,31))</f>
        <v>1</v>
      </c>
      <c r="AJ12" s="66">
        <f>Z12+SUMIFS(预计变动!$F:$F,预计变动!$B:$B,AJ$7,预计变动!$C:$C,$B12,预计变动!$I:$I,"&gt;"&amp;EOMONTH(DATE(YEAR($C$4),MONTH($C$4),1),0),预计变动!$I:$I,"&lt;="&amp;DATE(YEAR($C$4),12,31))</f>
        <v>0</v>
      </c>
      <c r="AK12" s="66">
        <f>AA12+SUMIFS(预计变动!$F:$F,预计变动!$B:$B,AK$7,预计变动!$C:$C,$B12,预计变动!$I:$I,"&gt;"&amp;EOMONTH(DATE(YEAR($C$4),MONTH($C$4),1),0),预计变动!$I:$I,"&lt;="&amp;DATE(YEAR($C$4),12,31))</f>
        <v>0</v>
      </c>
      <c r="AL12" s="66">
        <f>AB12+SUMIFS(预计变动!$F:$F,预计变动!$B:$B,AL$7,预计变动!$C:$C,$B12,预计变动!$I:$I,"&gt;"&amp;EOMONTH(DATE(YEAR($C$4),MONTH($C$4),1),0),预计变动!$I:$I,"&lt;="&amp;DATE(YEAR($C$4),12,31))</f>
        <v>0</v>
      </c>
      <c r="AM12" s="66">
        <f>AC12+SUMIFS(预计变动!$F:$F,预计变动!$B:$B,AM$7,预计变动!$C:$C,$B12,预计变动!$I:$I,"&gt;"&amp;EOMONTH(DATE(YEAR($C$4),MONTH($C$4),1),0),预计变动!$I:$I,"&lt;="&amp;DATE(YEAR($C$4),12,31))</f>
        <v>1</v>
      </c>
      <c r="AN12" s="66">
        <f>AD12+SUMIFS(预计变动!$F:$F,预计变动!$B:$B,AN$7,预计变动!$C:$C,$B12,预计变动!$I:$I,"&gt;"&amp;EOMONTH(DATE(YEAR($C$4),MONTH($C$4),1),0),预计变动!$I:$I,"&lt;="&amp;DATE(YEAR($C$4),12,31))</f>
        <v>0</v>
      </c>
      <c r="AO12" s="66">
        <f>AE12+SUMIFS(预计变动!$F:$F,预计变动!$B:$B,AO$7,预计变动!$C:$C,$B12,预计变动!$I:$I,"&gt;"&amp;EOMONTH(DATE(YEAR($C$4),MONTH($C$4),1),0),预计变动!$I:$I,"&lt;="&amp;DATE(YEAR($C$4),12,31))</f>
        <v>0</v>
      </c>
      <c r="AP12" s="66">
        <f>AF12+SUMIFS(预计变动!$F:$F,预计变动!$B:$B,AP$7,预计变动!$C:$C,$B12,预计变动!$I:$I,"&gt;"&amp;EOMONTH(DATE(YEAR($C$4),MONTH($C$4),1),0),预计变动!$I:$I,"&lt;="&amp;DATE(YEAR($C$4),12,31))</f>
        <v>0</v>
      </c>
      <c r="AQ12" s="66">
        <f>AG12+SUMIFS(预计变动!$F:$F,预计变动!$C:$C,$B12,预计变动!$I:$I,"&gt;="&amp;DATE(YEAR($C$4)+1,1,1),预计变动!$I:$I,"&lt;="&amp;DATE(YEAR($C$4)+1,12,31))</f>
        <v>2</v>
      </c>
      <c r="AR12" s="66">
        <f>AH12+SUMIFS(预计变动!$F:$F,预计变动!$B:$B,AR$7,预计变动!$C:$C,$B12,预计变动!$I:$I,"&gt;="&amp;DATE(YEAR($C$4)+1,1,1),预计变动!$I:$I,"&lt;="&amp;DATE(YEAR($C$4)+1,12,31))</f>
        <v>0</v>
      </c>
      <c r="AS12" s="66">
        <f>AI12+SUMIFS(预计变动!$F:$F,预计变动!$B:$B,AS$7,预计变动!$C:$C,$B12,预计变动!$I:$I,"&gt;="&amp;DATE(YEAR($C$4)+1,1,1),预计变动!$I:$I,"&lt;="&amp;DATE(YEAR($C$4)+1,12,31))</f>
        <v>1</v>
      </c>
      <c r="AT12" s="66">
        <f>AJ12+SUMIFS(预计变动!$F:$F,预计变动!$B:$B,AT$7,预计变动!$C:$C,$B12,预计变动!$I:$I,"&gt;="&amp;DATE(YEAR($C$4)+1,1,1),预计变动!$I:$I,"&lt;="&amp;DATE(YEAR($C$4)+1,12,31))</f>
        <v>0</v>
      </c>
      <c r="AU12" s="66">
        <f>AK12+SUMIFS(预计变动!$F:$F,预计变动!$B:$B,AU$7,预计变动!$C:$C,$B12,预计变动!$I:$I,"&gt;="&amp;DATE(YEAR($C$4)+1,1,1),预计变动!$I:$I,"&lt;="&amp;DATE(YEAR($C$4)+1,12,31))</f>
        <v>0</v>
      </c>
      <c r="AV12" s="66">
        <f>AL12+SUMIFS(预计变动!$F:$F,预计变动!$B:$B,AV$7,预计变动!$C:$C,$B12,预计变动!$I:$I,"&gt;="&amp;DATE(YEAR($C$4)+1,1,1),预计变动!$I:$I,"&lt;="&amp;DATE(YEAR($C$4)+1,12,31))</f>
        <v>0</v>
      </c>
      <c r="AW12" s="66">
        <f>AM12+SUMIFS(预计变动!$F:$F,预计变动!$B:$B,AW$7,预计变动!$C:$C,$B12,预计变动!$I:$I,"&gt;="&amp;DATE(YEAR($C$4)+1,1,1),预计变动!$I:$I,"&lt;="&amp;DATE(YEAR($C$4)+1,12,31))</f>
        <v>1</v>
      </c>
      <c r="AX12" s="66">
        <f>AN12+SUMIFS(预计变动!$F:$F,预计变动!$B:$B,AX$7,预计变动!$C:$C,$B12,预计变动!$I:$I,"&gt;="&amp;DATE(YEAR($C$4)+1,1,1),预计变动!$I:$I,"&lt;="&amp;DATE(YEAR($C$4)+1,12,31))</f>
        <v>0</v>
      </c>
      <c r="AY12" s="66">
        <f>AO12+SUMIFS(预计变动!$F:$F,预计变动!$B:$B,AY$7,预计变动!$C:$C,$B12,预计变动!$I:$I,"&gt;="&amp;DATE(YEAR($C$4)+1,1,1),预计变动!$I:$I,"&lt;="&amp;DATE(YEAR($C$4)+1,12,31))</f>
        <v>0</v>
      </c>
      <c r="AZ12" s="66">
        <f>AP12+SUMIFS(预计变动!$F:$F,预计变动!$B:$B,AZ$7,预计变动!$C:$C,$B12,预计变动!$I:$I,"&gt;="&amp;DATE(YEAR($C$4)+1,1,1),预计变动!$I:$I,"&lt;="&amp;DATE(YEAR($C$4)+1,12,31))</f>
        <v>0</v>
      </c>
    </row>
    <row r="13" spans="2:52">
      <c r="B13" s="65" t="s">
        <v>149</v>
      </c>
      <c r="C13" s="66">
        <f>COUNTIFS(人员状况!$D:$D,"*",人员状况!$E:$E,$B13,人员状况!$G:$G,"&lt;="&amp;DATE(YEAR($C$4)-2,12,31),人员状况!$H:$H,"&gt;="&amp;DATE(YEAR($C$4)-2,12,31)+1)</f>
        <v>2</v>
      </c>
      <c r="D13" s="66">
        <f>COUNTIFS(人员状况!$D:$D,"*",人员状况!$E:$E,$B13,人员状况!$D:$D,D$7,人员状况!$G:$G,"&lt;="&amp;DATE(YEAR($C$4)-2,12,31),人员状况!$H:$H,"&gt;="&amp;DATE(YEAR($C$4)-2,12,31)+1)</f>
        <v>1</v>
      </c>
      <c r="E13" s="66">
        <f>COUNTIFS(人员状况!$D:$D,"*",人员状况!$E:$E,$B13,人员状况!$D:$D,E$7,人员状况!$G:$G,"&lt;="&amp;DATE(YEAR($C$4)-2,12,31),人员状况!$H:$H,"&gt;="&amp;DATE(YEAR($C$4)-2,12,31)+1)</f>
        <v>0</v>
      </c>
      <c r="F13" s="66">
        <f>COUNTIFS(人员状况!$D:$D,"*",人员状况!$E:$E,$B13,人员状况!$D:$D,F$7,人员状况!$G:$G,"&lt;="&amp;DATE(YEAR($C$4)-2,12,31),人员状况!$H:$H,"&gt;="&amp;DATE(YEAR($C$4)-2,12,31)+1)</f>
        <v>0</v>
      </c>
      <c r="G13" s="66">
        <f>COUNTIFS(人员状况!$D:$D,"*",人员状况!$E:$E,$B13,人员状况!$D:$D,G$7,人员状况!$G:$G,"&lt;="&amp;DATE(YEAR($C$4)-2,12,31),人员状况!$H:$H,"&gt;="&amp;DATE(YEAR($C$4)-2,12,31)+1)</f>
        <v>0</v>
      </c>
      <c r="H13" s="66">
        <f>COUNTIFS(人员状况!$D:$D,"*",人员状况!$E:$E,$B13,人员状况!$D:$D,H$7,人员状况!$G:$G,"&lt;="&amp;DATE(YEAR($C$4)-2,12,31),人员状况!$H:$H,"&gt;="&amp;DATE(YEAR($C$4)-2,12,31)+1)</f>
        <v>0</v>
      </c>
      <c r="I13" s="66">
        <f>COUNTIFS(人员状况!$D:$D,"*",人员状况!$E:$E,$B13,人员状况!$D:$D,I$7,人员状况!$G:$G,"&lt;="&amp;DATE(YEAR($C$4)-2,12,31),人员状况!$H:$H,"&gt;="&amp;DATE(YEAR($C$4)-2,12,31)+1)</f>
        <v>0</v>
      </c>
      <c r="J13" s="66">
        <f>COUNTIFS(人员状况!$D:$D,"*",人员状况!$E:$E,$B13,人员状况!$D:$D,J$7,人员状况!$G:$G,"&lt;="&amp;DATE(YEAR($C$4)-2,12,31),人员状况!$H:$H,"&gt;="&amp;DATE(YEAR($C$4)-2,12,31)+1)</f>
        <v>1</v>
      </c>
      <c r="K13" s="66">
        <f>COUNTIFS(人员状况!$D:$D,"*",人员状况!$E:$E,$B13,人员状况!$D:$D,K$7,人员状况!$G:$G,"&lt;="&amp;DATE(YEAR($C$4)-2,12,31),人员状况!$H:$H,"&gt;="&amp;DATE(YEAR($C$4)-2,12,31)+1)</f>
        <v>0</v>
      </c>
      <c r="L13" s="66">
        <f>COUNTIFS(人员状况!$D:$D,"*",人员状况!$E:$E,$B13,人员状况!$D:$D,L$7,人员状况!$G:$G,"&lt;="&amp;DATE(YEAR($C$4)-2,12,31),人员状况!$H:$H,"&gt;="&amp;DATE(YEAR($C$4)-2,12,31)+1)</f>
        <v>0</v>
      </c>
      <c r="M13" s="66">
        <f>COUNTIFS(人员状况!$D:$D,"*",人员状况!$E:$E,$B13,人员状况!$G:$G,"&lt;="&amp;DATE(YEAR($C$4)-1,12,31),人员状况!$H:$H,"&gt;="&amp;DATE(YEAR($C$4)-1,12,31)+1)</f>
        <v>2</v>
      </c>
      <c r="N13" s="66">
        <f>COUNTIFS(人员状况!$D:$D,"*",人员状况!$E:$E,$B13,人员状况!$D:$D,N$7,人员状况!$G:$G,"&lt;="&amp;DATE(YEAR($C$4)-1,12,31),人员状况!$H:$H,"&gt;="&amp;DATE(YEAR($C$4)-1,12,31)+1)</f>
        <v>1</v>
      </c>
      <c r="O13" s="66">
        <f>COUNTIFS(人员状况!$D:$D,"*",人员状况!$E:$E,$B13,人员状况!$D:$D,O$7,人员状况!$G:$G,"&lt;="&amp;DATE(YEAR($C$4)-1,12,31),人员状况!$H:$H,"&gt;="&amp;DATE(YEAR($C$4)-1,12,31)+1)</f>
        <v>0</v>
      </c>
      <c r="P13" s="66">
        <f>COUNTIFS(人员状况!$D:$D,"*",人员状况!$E:$E,$B13,人员状况!$D:$D,P$7,人员状况!$G:$G,"&lt;="&amp;DATE(YEAR($C$4)-1,12,31),人员状况!$H:$H,"&gt;="&amp;DATE(YEAR($C$4)-1,12,31)+1)</f>
        <v>0</v>
      </c>
      <c r="Q13" s="66">
        <f>COUNTIFS(人员状况!$D:$D,"*",人员状况!$E:$E,$B13,人员状况!$D:$D,Q$7,人员状况!$G:$G,"&lt;="&amp;DATE(YEAR($C$4)-1,12,31),人员状况!$H:$H,"&gt;="&amp;DATE(YEAR($C$4)-1,12,31)+1)</f>
        <v>0</v>
      </c>
      <c r="R13" s="66">
        <f>COUNTIFS(人员状况!$D:$D,"*",人员状况!$E:$E,$B13,人员状况!$D:$D,R$7,人员状况!$G:$G,"&lt;="&amp;DATE(YEAR($C$4)-1,12,31),人员状况!$H:$H,"&gt;="&amp;DATE(YEAR($C$4)-1,12,31)+1)</f>
        <v>0</v>
      </c>
      <c r="S13" s="66">
        <f>COUNTIFS(人员状况!$D:$D,"*",人员状况!$E:$E,$B13,人员状况!$D:$D,S$7,人员状况!$G:$G,"&lt;="&amp;DATE(YEAR($C$4)-1,12,31),人员状况!$H:$H,"&gt;="&amp;DATE(YEAR($C$4)-1,12,31)+1)</f>
        <v>0</v>
      </c>
      <c r="T13" s="66">
        <f>COUNTIFS(人员状况!$D:$D,"*",人员状况!$E:$E,$B13,人员状况!$D:$D,T$7,人员状况!$G:$G,"&lt;="&amp;DATE(YEAR($C$4)-1,12,31),人员状况!$H:$H,"&gt;="&amp;DATE(YEAR($C$4)-1,12,31)+1)</f>
        <v>1</v>
      </c>
      <c r="U13" s="66">
        <f>COUNTIFS(人员状况!$D:$D,"*",人员状况!$E:$E,$B13,人员状况!$D:$D,U$7,人员状况!$G:$G,"&lt;="&amp;DATE(YEAR($C$4)-1,12,31),人员状况!$H:$H,"&gt;="&amp;DATE(YEAR($C$4)-1,12,31)+1)</f>
        <v>0</v>
      </c>
      <c r="V13" s="66">
        <f>COUNTIFS(人员状况!$D:$D,"*",人员状况!$E:$E,$B13,人员状况!$D:$D,V$7,人员状况!$G:$G,"&lt;="&amp;DATE(YEAR($C$4)-1,12,31),人员状况!$H:$H,"&gt;="&amp;DATE(YEAR($C$4)-1,12,31)+1)</f>
        <v>0</v>
      </c>
      <c r="W13" s="66">
        <f>COUNTIFS(人员状况!$D:$D,"*",人员状况!$E:$E,$B13,人员状况!$G:$G,"&lt;="&amp;EOMONTH(DATE(YEAR($C$4)-1,MONTH($C$4),1),0),人员状况!$H:$H,"&gt;="&amp;EOMONTH(DATE(YEAR($C$4)-1,MONTH($C$4),1),0)+1)</f>
        <v>2</v>
      </c>
      <c r="X13" s="66">
        <f>COUNTIFS(人员状况!$D:$D,X$7,人员状况!$E:$E,$B13,人员状况!$G:$G,"&lt;="&amp;EOMONTH(DATE(YEAR($C$4)-1,MONTH($C$4),1),0),人员状况!$H:$H,"&gt;="&amp;EOMONTH(DATE(YEAR($C$4)-1,MONTH($C$4),1),0)+1)</f>
        <v>1</v>
      </c>
      <c r="Y13" s="66">
        <f>COUNTIFS(人员状况!$D:$D,Y$7,人员状况!$E:$E,$B13,人员状况!$G:$G,"&lt;="&amp;EOMONTH(DATE(YEAR($C$4)-1,MONTH($C$4),1),0),人员状况!$H:$H,"&gt;="&amp;EOMONTH(DATE(YEAR($C$4)-1,MONTH($C$4),1),0)+1)</f>
        <v>0</v>
      </c>
      <c r="Z13" s="66">
        <f>COUNTIFS(人员状况!$D:$D,Z$7,人员状况!$E:$E,$B13,人员状况!$G:$G,"&lt;="&amp;EOMONTH(DATE(YEAR($C$4)-1,MONTH($C$4),1),0),人员状况!$H:$H,"&gt;="&amp;EOMONTH(DATE(YEAR($C$4)-1,MONTH($C$4),1),0)+1)</f>
        <v>0</v>
      </c>
      <c r="AA13" s="66">
        <f>COUNTIFS(人员状况!$D:$D,AA$7,人员状况!$E:$E,$B13,人员状况!$G:$G,"&lt;="&amp;EOMONTH(DATE(YEAR($C$4)-1,MONTH($C$4),1),0),人员状况!$H:$H,"&gt;="&amp;EOMONTH(DATE(YEAR($C$4)-1,MONTH($C$4),1),0)+1)</f>
        <v>0</v>
      </c>
      <c r="AB13" s="66">
        <f>COUNTIFS(人员状况!$D:$D,AB$7,人员状况!$E:$E,$B13,人员状况!$G:$G,"&lt;="&amp;EOMONTH(DATE(YEAR($C$4)-1,MONTH($C$4),1),0),人员状况!$H:$H,"&gt;="&amp;EOMONTH(DATE(YEAR($C$4)-1,MONTH($C$4),1),0)+1)</f>
        <v>0</v>
      </c>
      <c r="AC13" s="66">
        <f>COUNTIFS(人员状况!$D:$D,AC$7,人员状况!$E:$E,$B13,人员状况!$G:$G,"&lt;="&amp;EOMONTH(DATE(YEAR($C$4)-1,MONTH($C$4),1),0),人员状况!$H:$H,"&gt;="&amp;EOMONTH(DATE(YEAR($C$4)-1,MONTH($C$4),1),0)+1)</f>
        <v>0</v>
      </c>
      <c r="AD13" s="66">
        <f>COUNTIFS(人员状况!$D:$D,AD$7,人员状况!$E:$E,$B13,人员状况!$G:$G,"&lt;="&amp;EOMONTH(DATE(YEAR($C$4)-1,MONTH($C$4),1),0),人员状况!$H:$H,"&gt;="&amp;EOMONTH(DATE(YEAR($C$4)-1,MONTH($C$4),1),0)+1)</f>
        <v>1</v>
      </c>
      <c r="AE13" s="66">
        <f>COUNTIFS(人员状况!$D:$D,AE$7,人员状况!$E:$E,$B13,人员状况!$G:$G,"&lt;="&amp;EOMONTH(DATE(YEAR($C$4)-1,MONTH($C$4),1),0),人员状况!$H:$H,"&gt;="&amp;EOMONTH(DATE(YEAR($C$4)-1,MONTH($C$4),1),0)+1)</f>
        <v>0</v>
      </c>
      <c r="AF13" s="66">
        <f>COUNTIFS(人员状况!$D:$D,AF$7,人员状况!$E:$E,$B13,人员状况!$G:$G,"&lt;="&amp;EOMONTH(DATE(YEAR($C$4)-1,MONTH($C$4),1),0),人员状况!$H:$H,"&gt;="&amp;EOMONTH(DATE(YEAR($C$4)-1,MONTH($C$4),1),0)+1)</f>
        <v>0</v>
      </c>
      <c r="AG13" s="66">
        <f>W13+SUMIFS(预计变动!$F:$F,预计变动!$C:$C,$B13,预计变动!$I:$I,"&gt;"&amp;EOMONTH(DATE(YEAR($C$4),MONTH($C$4),1),0),预计变动!$I:$I,"&lt;="&amp;DATE(YEAR($C$4),12,31))</f>
        <v>2</v>
      </c>
      <c r="AH13" s="66">
        <f>X13+SUMIFS(预计变动!$F:$F,预计变动!$B:$B,AH$7,预计变动!$C:$C,$B13,预计变动!$I:$I,"&gt;"&amp;EOMONTH(DATE(YEAR($C$4),MONTH($C$4),1),0),预计变动!$I:$I,"&lt;="&amp;DATE(YEAR($C$4),12,31))</f>
        <v>1</v>
      </c>
      <c r="AI13" s="66">
        <f>Y13+SUMIFS(预计变动!$F:$F,预计变动!$B:$B,AI$7,预计变动!$C:$C,$B13,预计变动!$I:$I,"&gt;"&amp;EOMONTH(DATE(YEAR($C$4),MONTH($C$4),1),0),预计变动!$I:$I,"&lt;="&amp;DATE(YEAR($C$4),12,31))</f>
        <v>0</v>
      </c>
      <c r="AJ13" s="66">
        <f>Z13+SUMIFS(预计变动!$F:$F,预计变动!$B:$B,AJ$7,预计变动!$C:$C,$B13,预计变动!$I:$I,"&gt;"&amp;EOMONTH(DATE(YEAR($C$4),MONTH($C$4),1),0),预计变动!$I:$I,"&lt;="&amp;DATE(YEAR($C$4),12,31))</f>
        <v>0</v>
      </c>
      <c r="AK13" s="66">
        <f>AA13+SUMIFS(预计变动!$F:$F,预计变动!$B:$B,AK$7,预计变动!$C:$C,$B13,预计变动!$I:$I,"&gt;"&amp;EOMONTH(DATE(YEAR($C$4),MONTH($C$4),1),0),预计变动!$I:$I,"&lt;="&amp;DATE(YEAR($C$4),12,31))</f>
        <v>0</v>
      </c>
      <c r="AL13" s="66">
        <f>AB13+SUMIFS(预计变动!$F:$F,预计变动!$B:$B,AL$7,预计变动!$C:$C,$B13,预计变动!$I:$I,"&gt;"&amp;EOMONTH(DATE(YEAR($C$4),MONTH($C$4),1),0),预计变动!$I:$I,"&lt;="&amp;DATE(YEAR($C$4),12,31))</f>
        <v>0</v>
      </c>
      <c r="AM13" s="66">
        <f>AC13+SUMIFS(预计变动!$F:$F,预计变动!$B:$B,AM$7,预计变动!$C:$C,$B13,预计变动!$I:$I,"&gt;"&amp;EOMONTH(DATE(YEAR($C$4),MONTH($C$4),1),0),预计变动!$I:$I,"&lt;="&amp;DATE(YEAR($C$4),12,31))</f>
        <v>0</v>
      </c>
      <c r="AN13" s="66">
        <f>AD13+SUMIFS(预计变动!$F:$F,预计变动!$B:$B,AN$7,预计变动!$C:$C,$B13,预计变动!$I:$I,"&gt;"&amp;EOMONTH(DATE(YEAR($C$4),MONTH($C$4),1),0),预计变动!$I:$I,"&lt;="&amp;DATE(YEAR($C$4),12,31))</f>
        <v>1</v>
      </c>
      <c r="AO13" s="66">
        <f>AE13+SUMIFS(预计变动!$F:$F,预计变动!$B:$B,AO$7,预计变动!$C:$C,$B13,预计变动!$I:$I,"&gt;"&amp;EOMONTH(DATE(YEAR($C$4),MONTH($C$4),1),0),预计变动!$I:$I,"&lt;="&amp;DATE(YEAR($C$4),12,31))</f>
        <v>0</v>
      </c>
      <c r="AP13" s="66">
        <f>AF13+SUMIFS(预计变动!$F:$F,预计变动!$B:$B,AP$7,预计变动!$C:$C,$B13,预计变动!$I:$I,"&gt;"&amp;EOMONTH(DATE(YEAR($C$4),MONTH($C$4),1),0),预计变动!$I:$I,"&lt;="&amp;DATE(YEAR($C$4),12,31))</f>
        <v>0</v>
      </c>
      <c r="AQ13" s="66">
        <f>AG13+SUMIFS(预计变动!$F:$F,预计变动!$C:$C,$B13,预计变动!$I:$I,"&gt;="&amp;DATE(YEAR($C$4)+1,1,1),预计变动!$I:$I,"&lt;="&amp;DATE(YEAR($C$4)+1,12,31))</f>
        <v>2</v>
      </c>
      <c r="AR13" s="66">
        <f>AH13+SUMIFS(预计变动!$F:$F,预计变动!$B:$B,AR$7,预计变动!$C:$C,$B13,预计变动!$I:$I,"&gt;="&amp;DATE(YEAR($C$4)+1,1,1),预计变动!$I:$I,"&lt;="&amp;DATE(YEAR($C$4)+1,12,31))</f>
        <v>1</v>
      </c>
      <c r="AS13" s="66">
        <f>AI13+SUMIFS(预计变动!$F:$F,预计变动!$B:$B,AS$7,预计变动!$C:$C,$B13,预计变动!$I:$I,"&gt;="&amp;DATE(YEAR($C$4)+1,1,1),预计变动!$I:$I,"&lt;="&amp;DATE(YEAR($C$4)+1,12,31))</f>
        <v>0</v>
      </c>
      <c r="AT13" s="66">
        <f>AJ13+SUMIFS(预计变动!$F:$F,预计变动!$B:$B,AT$7,预计变动!$C:$C,$B13,预计变动!$I:$I,"&gt;="&amp;DATE(YEAR($C$4)+1,1,1),预计变动!$I:$I,"&lt;="&amp;DATE(YEAR($C$4)+1,12,31))</f>
        <v>0</v>
      </c>
      <c r="AU13" s="66">
        <f>AK13+SUMIFS(预计变动!$F:$F,预计变动!$B:$B,AU$7,预计变动!$C:$C,$B13,预计变动!$I:$I,"&gt;="&amp;DATE(YEAR($C$4)+1,1,1),预计变动!$I:$I,"&lt;="&amp;DATE(YEAR($C$4)+1,12,31))</f>
        <v>0</v>
      </c>
      <c r="AV13" s="66">
        <f>AL13+SUMIFS(预计变动!$F:$F,预计变动!$B:$B,AV$7,预计变动!$C:$C,$B13,预计变动!$I:$I,"&gt;="&amp;DATE(YEAR($C$4)+1,1,1),预计变动!$I:$I,"&lt;="&amp;DATE(YEAR($C$4)+1,12,31))</f>
        <v>0</v>
      </c>
      <c r="AW13" s="66">
        <f>AM13+SUMIFS(预计变动!$F:$F,预计变动!$B:$B,AW$7,预计变动!$C:$C,$B13,预计变动!$I:$I,"&gt;="&amp;DATE(YEAR($C$4)+1,1,1),预计变动!$I:$I,"&lt;="&amp;DATE(YEAR($C$4)+1,12,31))</f>
        <v>0</v>
      </c>
      <c r="AX13" s="66">
        <f>AN13+SUMIFS(预计变动!$F:$F,预计变动!$B:$B,AX$7,预计变动!$C:$C,$B13,预计变动!$I:$I,"&gt;="&amp;DATE(YEAR($C$4)+1,1,1),预计变动!$I:$I,"&lt;="&amp;DATE(YEAR($C$4)+1,12,31))</f>
        <v>1</v>
      </c>
      <c r="AY13" s="66">
        <f>AO13+SUMIFS(预计变动!$F:$F,预计变动!$B:$B,AY$7,预计变动!$C:$C,$B13,预计变动!$I:$I,"&gt;="&amp;DATE(YEAR($C$4)+1,1,1),预计变动!$I:$I,"&lt;="&amp;DATE(YEAR($C$4)+1,12,31))</f>
        <v>0</v>
      </c>
      <c r="AZ13" s="66">
        <f>AP13+SUMIFS(预计变动!$F:$F,预计变动!$B:$B,AZ$7,预计变动!$C:$C,$B13,预计变动!$I:$I,"&gt;="&amp;DATE(YEAR($C$4)+1,1,1),预计变动!$I:$I,"&lt;="&amp;DATE(YEAR($C$4)+1,12,31))</f>
        <v>0</v>
      </c>
    </row>
    <row r="14" spans="2:52">
      <c r="B14" s="65" t="s">
        <v>341</v>
      </c>
      <c r="C14" s="66">
        <f>COUNTIFS(人员状况!$D:$D,"*",人员状况!$E:$E,$B14,人员状况!$G:$G,"&lt;="&amp;DATE(YEAR($C$4)-2,12,31),人员状况!$H:$H,"&gt;="&amp;DATE(YEAR($C$4)-2,12,31)+1)</f>
        <v>0</v>
      </c>
      <c r="D14" s="66">
        <f>COUNTIFS(人员状况!$D:$D,"*",人员状况!$E:$E,$B14,人员状况!$D:$D,D$7,人员状况!$G:$G,"&lt;="&amp;DATE(YEAR($C$4)-2,12,31),人员状况!$H:$H,"&gt;="&amp;DATE(YEAR($C$4)-2,12,31)+1)</f>
        <v>0</v>
      </c>
      <c r="E14" s="66">
        <f>COUNTIFS(人员状况!$D:$D,"*",人员状况!$E:$E,$B14,人员状况!$D:$D,E$7,人员状况!$G:$G,"&lt;="&amp;DATE(YEAR($C$4)-2,12,31),人员状况!$H:$H,"&gt;="&amp;DATE(YEAR($C$4)-2,12,31)+1)</f>
        <v>0</v>
      </c>
      <c r="F14" s="66">
        <f>COUNTIFS(人员状况!$D:$D,"*",人员状况!$E:$E,$B14,人员状况!$D:$D,F$7,人员状况!$G:$G,"&lt;="&amp;DATE(YEAR($C$4)-2,12,31),人员状况!$H:$H,"&gt;="&amp;DATE(YEAR($C$4)-2,12,31)+1)</f>
        <v>0</v>
      </c>
      <c r="G14" s="66">
        <f>COUNTIFS(人员状况!$D:$D,"*",人员状况!$E:$E,$B14,人员状况!$D:$D,G$7,人员状况!$G:$G,"&lt;="&amp;DATE(YEAR($C$4)-2,12,31),人员状况!$H:$H,"&gt;="&amp;DATE(YEAR($C$4)-2,12,31)+1)</f>
        <v>0</v>
      </c>
      <c r="H14" s="66">
        <f>COUNTIFS(人员状况!$D:$D,"*",人员状况!$E:$E,$B14,人员状况!$D:$D,H$7,人员状况!$G:$G,"&lt;="&amp;DATE(YEAR($C$4)-2,12,31),人员状况!$H:$H,"&gt;="&amp;DATE(YEAR($C$4)-2,12,31)+1)</f>
        <v>0</v>
      </c>
      <c r="I14" s="66">
        <f>COUNTIFS(人员状况!$D:$D,"*",人员状况!$E:$E,$B14,人员状况!$D:$D,I$7,人员状况!$G:$G,"&lt;="&amp;DATE(YEAR($C$4)-2,12,31),人员状况!$H:$H,"&gt;="&amp;DATE(YEAR($C$4)-2,12,31)+1)</f>
        <v>0</v>
      </c>
      <c r="J14" s="66">
        <f>COUNTIFS(人员状况!$D:$D,"*",人员状况!$E:$E,$B14,人员状况!$D:$D,J$7,人员状况!$G:$G,"&lt;="&amp;DATE(YEAR($C$4)-2,12,31),人员状况!$H:$H,"&gt;="&amp;DATE(YEAR($C$4)-2,12,31)+1)</f>
        <v>0</v>
      </c>
      <c r="K14" s="66">
        <f>COUNTIFS(人员状况!$D:$D,"*",人员状况!$E:$E,$B14,人员状况!$D:$D,K$7,人员状况!$G:$G,"&lt;="&amp;DATE(YEAR($C$4)-2,12,31),人员状况!$H:$H,"&gt;="&amp;DATE(YEAR($C$4)-2,12,31)+1)</f>
        <v>0</v>
      </c>
      <c r="L14" s="66">
        <f>COUNTIFS(人员状况!$D:$D,"*",人员状况!$E:$E,$B14,人员状况!$D:$D,L$7,人员状况!$G:$G,"&lt;="&amp;DATE(YEAR($C$4)-2,12,31),人员状况!$H:$H,"&gt;="&amp;DATE(YEAR($C$4)-2,12,31)+1)</f>
        <v>0</v>
      </c>
      <c r="M14" s="66">
        <f>COUNTIFS(人员状况!$D:$D,"*",人员状况!$E:$E,$B14,人员状况!$G:$G,"&lt;="&amp;DATE(YEAR($C$4)-1,12,31),人员状况!$H:$H,"&gt;="&amp;DATE(YEAR($C$4)-1,12,31)+1)</f>
        <v>0</v>
      </c>
      <c r="N14" s="66">
        <f>COUNTIFS(人员状况!$D:$D,"*",人员状况!$E:$E,$B14,人员状况!$D:$D,N$7,人员状况!$G:$G,"&lt;="&amp;DATE(YEAR($C$4)-1,12,31),人员状况!$H:$H,"&gt;="&amp;DATE(YEAR($C$4)-1,12,31)+1)</f>
        <v>0</v>
      </c>
      <c r="O14" s="66">
        <f>COUNTIFS(人员状况!$D:$D,"*",人员状况!$E:$E,$B14,人员状况!$D:$D,O$7,人员状况!$G:$G,"&lt;="&amp;DATE(YEAR($C$4)-1,12,31),人员状况!$H:$H,"&gt;="&amp;DATE(YEAR($C$4)-1,12,31)+1)</f>
        <v>0</v>
      </c>
      <c r="P14" s="66">
        <f>COUNTIFS(人员状况!$D:$D,"*",人员状况!$E:$E,$B14,人员状况!$D:$D,P$7,人员状况!$G:$G,"&lt;="&amp;DATE(YEAR($C$4)-1,12,31),人员状况!$H:$H,"&gt;="&amp;DATE(YEAR($C$4)-1,12,31)+1)</f>
        <v>0</v>
      </c>
      <c r="Q14" s="66">
        <f>COUNTIFS(人员状况!$D:$D,"*",人员状况!$E:$E,$B14,人员状况!$D:$D,Q$7,人员状况!$G:$G,"&lt;="&amp;DATE(YEAR($C$4)-1,12,31),人员状况!$H:$H,"&gt;="&amp;DATE(YEAR($C$4)-1,12,31)+1)</f>
        <v>0</v>
      </c>
      <c r="R14" s="66">
        <f>COUNTIFS(人员状况!$D:$D,"*",人员状况!$E:$E,$B14,人员状况!$D:$D,R$7,人员状况!$G:$G,"&lt;="&amp;DATE(YEAR($C$4)-1,12,31),人员状况!$H:$H,"&gt;="&amp;DATE(YEAR($C$4)-1,12,31)+1)</f>
        <v>0</v>
      </c>
      <c r="S14" s="66">
        <f>COUNTIFS(人员状况!$D:$D,"*",人员状况!$E:$E,$B14,人员状况!$D:$D,S$7,人员状况!$G:$G,"&lt;="&amp;DATE(YEAR($C$4)-1,12,31),人员状况!$H:$H,"&gt;="&amp;DATE(YEAR($C$4)-1,12,31)+1)</f>
        <v>0</v>
      </c>
      <c r="T14" s="66">
        <f>COUNTIFS(人员状况!$D:$D,"*",人员状况!$E:$E,$B14,人员状况!$D:$D,T$7,人员状况!$G:$G,"&lt;="&amp;DATE(YEAR($C$4)-1,12,31),人员状况!$H:$H,"&gt;="&amp;DATE(YEAR($C$4)-1,12,31)+1)</f>
        <v>0</v>
      </c>
      <c r="U14" s="66">
        <f>COUNTIFS(人员状况!$D:$D,"*",人员状况!$E:$E,$B14,人员状况!$D:$D,U$7,人员状况!$G:$G,"&lt;="&amp;DATE(YEAR($C$4)-1,12,31),人员状况!$H:$H,"&gt;="&amp;DATE(YEAR($C$4)-1,12,31)+1)</f>
        <v>0</v>
      </c>
      <c r="V14" s="66">
        <f>COUNTIFS(人员状况!$D:$D,"*",人员状况!$E:$E,$B14,人员状况!$D:$D,V$7,人员状况!$G:$G,"&lt;="&amp;DATE(YEAR($C$4)-1,12,31),人员状况!$H:$H,"&gt;="&amp;DATE(YEAR($C$4)-1,12,31)+1)</f>
        <v>0</v>
      </c>
      <c r="W14" s="66">
        <f>COUNTIFS(人员状况!$D:$D,"*",人员状况!$E:$E,$B14,人员状况!$G:$G,"&lt;="&amp;EOMONTH(DATE(YEAR($C$4)-1,MONTH($C$4),1),0),人员状况!$H:$H,"&gt;="&amp;EOMONTH(DATE(YEAR($C$4)-1,MONTH($C$4),1),0)+1)</f>
        <v>0</v>
      </c>
      <c r="X14" s="66">
        <f>COUNTIFS(人员状况!$D:$D,X$7,人员状况!$E:$E,$B14,人员状况!$G:$G,"&lt;="&amp;EOMONTH(DATE(YEAR($C$4)-1,MONTH($C$4),1),0),人员状况!$H:$H,"&gt;="&amp;EOMONTH(DATE(YEAR($C$4)-1,MONTH($C$4),1),0)+1)</f>
        <v>0</v>
      </c>
      <c r="Y14" s="66">
        <f>COUNTIFS(人员状况!$D:$D,Y$7,人员状况!$E:$E,$B14,人员状况!$G:$G,"&lt;="&amp;EOMONTH(DATE(YEAR($C$4)-1,MONTH($C$4),1),0),人员状况!$H:$H,"&gt;="&amp;EOMONTH(DATE(YEAR($C$4)-1,MONTH($C$4),1),0)+1)</f>
        <v>0</v>
      </c>
      <c r="Z14" s="66">
        <f>COUNTIFS(人员状况!$D:$D,Z$7,人员状况!$E:$E,$B14,人员状况!$G:$G,"&lt;="&amp;EOMONTH(DATE(YEAR($C$4)-1,MONTH($C$4),1),0),人员状况!$H:$H,"&gt;="&amp;EOMONTH(DATE(YEAR($C$4)-1,MONTH($C$4),1),0)+1)</f>
        <v>0</v>
      </c>
      <c r="AA14" s="66">
        <f>COUNTIFS(人员状况!$D:$D,AA$7,人员状况!$E:$E,$B14,人员状况!$G:$G,"&lt;="&amp;EOMONTH(DATE(YEAR($C$4)-1,MONTH($C$4),1),0),人员状况!$H:$H,"&gt;="&amp;EOMONTH(DATE(YEAR($C$4)-1,MONTH($C$4),1),0)+1)</f>
        <v>0</v>
      </c>
      <c r="AB14" s="66">
        <f>COUNTIFS(人员状况!$D:$D,AB$7,人员状况!$E:$E,$B14,人员状况!$G:$G,"&lt;="&amp;EOMONTH(DATE(YEAR($C$4)-1,MONTH($C$4),1),0),人员状况!$H:$H,"&gt;="&amp;EOMONTH(DATE(YEAR($C$4)-1,MONTH($C$4),1),0)+1)</f>
        <v>0</v>
      </c>
      <c r="AC14" s="66">
        <f>COUNTIFS(人员状况!$D:$D,AC$7,人员状况!$E:$E,$B14,人员状况!$G:$G,"&lt;="&amp;EOMONTH(DATE(YEAR($C$4)-1,MONTH($C$4),1),0),人员状况!$H:$H,"&gt;="&amp;EOMONTH(DATE(YEAR($C$4)-1,MONTH($C$4),1),0)+1)</f>
        <v>0</v>
      </c>
      <c r="AD14" s="66">
        <f>COUNTIFS(人员状况!$D:$D,AD$7,人员状况!$E:$E,$B14,人员状况!$G:$G,"&lt;="&amp;EOMONTH(DATE(YEAR($C$4)-1,MONTH($C$4),1),0),人员状况!$H:$H,"&gt;="&amp;EOMONTH(DATE(YEAR($C$4)-1,MONTH($C$4),1),0)+1)</f>
        <v>0</v>
      </c>
      <c r="AE14" s="66">
        <f>COUNTIFS(人员状况!$D:$D,AE$7,人员状况!$E:$E,$B14,人员状况!$G:$G,"&lt;="&amp;EOMONTH(DATE(YEAR($C$4)-1,MONTH($C$4),1),0),人员状况!$H:$H,"&gt;="&amp;EOMONTH(DATE(YEAR($C$4)-1,MONTH($C$4),1),0)+1)</f>
        <v>0</v>
      </c>
      <c r="AF14" s="66">
        <f>COUNTIFS(人员状况!$D:$D,AF$7,人员状况!$E:$E,$B14,人员状况!$G:$G,"&lt;="&amp;EOMONTH(DATE(YEAR($C$4)-1,MONTH($C$4),1),0),人员状况!$H:$H,"&gt;="&amp;EOMONTH(DATE(YEAR($C$4)-1,MONTH($C$4),1),0)+1)</f>
        <v>0</v>
      </c>
      <c r="AG14" s="66">
        <f>W14+SUMIFS(预计变动!$F:$F,预计变动!$C:$C,$B14,预计变动!$I:$I,"&gt;"&amp;EOMONTH(DATE(YEAR($C$4),MONTH($C$4),1),0),预计变动!$I:$I,"&lt;="&amp;DATE(YEAR($C$4),12,31))</f>
        <v>0</v>
      </c>
      <c r="AH14" s="66">
        <f>X14+SUMIFS(预计变动!$F:$F,预计变动!$B:$B,AH$7,预计变动!$C:$C,$B14,预计变动!$I:$I,"&gt;"&amp;EOMONTH(DATE(YEAR($C$4),MONTH($C$4),1),0),预计变动!$I:$I,"&lt;="&amp;DATE(YEAR($C$4),12,31))</f>
        <v>0</v>
      </c>
      <c r="AI14" s="66">
        <f>Y14+SUMIFS(预计变动!$F:$F,预计变动!$B:$B,AI$7,预计变动!$C:$C,$B14,预计变动!$I:$I,"&gt;"&amp;EOMONTH(DATE(YEAR($C$4),MONTH($C$4),1),0),预计变动!$I:$I,"&lt;="&amp;DATE(YEAR($C$4),12,31))</f>
        <v>0</v>
      </c>
      <c r="AJ14" s="66">
        <f>Z14+SUMIFS(预计变动!$F:$F,预计变动!$B:$B,AJ$7,预计变动!$C:$C,$B14,预计变动!$I:$I,"&gt;"&amp;EOMONTH(DATE(YEAR($C$4),MONTH($C$4),1),0),预计变动!$I:$I,"&lt;="&amp;DATE(YEAR($C$4),12,31))</f>
        <v>0</v>
      </c>
      <c r="AK14" s="66">
        <f>AA14+SUMIFS(预计变动!$F:$F,预计变动!$B:$B,AK$7,预计变动!$C:$C,$B14,预计变动!$I:$I,"&gt;"&amp;EOMONTH(DATE(YEAR($C$4),MONTH($C$4),1),0),预计变动!$I:$I,"&lt;="&amp;DATE(YEAR($C$4),12,31))</f>
        <v>0</v>
      </c>
      <c r="AL14" s="66">
        <f>AB14+SUMIFS(预计变动!$F:$F,预计变动!$B:$B,AL$7,预计变动!$C:$C,$B14,预计变动!$I:$I,"&gt;"&amp;EOMONTH(DATE(YEAR($C$4),MONTH($C$4),1),0),预计变动!$I:$I,"&lt;="&amp;DATE(YEAR($C$4),12,31))</f>
        <v>0</v>
      </c>
      <c r="AM14" s="66">
        <f>AC14+SUMIFS(预计变动!$F:$F,预计变动!$B:$B,AM$7,预计变动!$C:$C,$B14,预计变动!$I:$I,"&gt;"&amp;EOMONTH(DATE(YEAR($C$4),MONTH($C$4),1),0),预计变动!$I:$I,"&lt;="&amp;DATE(YEAR($C$4),12,31))</f>
        <v>0</v>
      </c>
      <c r="AN14" s="66">
        <f>AD14+SUMIFS(预计变动!$F:$F,预计变动!$B:$B,AN$7,预计变动!$C:$C,$B14,预计变动!$I:$I,"&gt;"&amp;EOMONTH(DATE(YEAR($C$4),MONTH($C$4),1),0),预计变动!$I:$I,"&lt;="&amp;DATE(YEAR($C$4),12,31))</f>
        <v>0</v>
      </c>
      <c r="AO14" s="66">
        <f>AE14+SUMIFS(预计变动!$F:$F,预计变动!$B:$B,AO$7,预计变动!$C:$C,$B14,预计变动!$I:$I,"&gt;"&amp;EOMONTH(DATE(YEAR($C$4),MONTH($C$4),1),0),预计变动!$I:$I,"&lt;="&amp;DATE(YEAR($C$4),12,31))</f>
        <v>0</v>
      </c>
      <c r="AP14" s="66">
        <f>AF14+SUMIFS(预计变动!$F:$F,预计变动!$B:$B,AP$7,预计变动!$C:$C,$B14,预计变动!$I:$I,"&gt;"&amp;EOMONTH(DATE(YEAR($C$4),MONTH($C$4),1),0),预计变动!$I:$I,"&lt;="&amp;DATE(YEAR($C$4),12,31))</f>
        <v>0</v>
      </c>
      <c r="AQ14" s="66">
        <f>AG14+SUMIFS(预计变动!$F:$F,预计变动!$C:$C,$B14,预计变动!$I:$I,"&gt;="&amp;DATE(YEAR($C$4)+1,1,1),预计变动!$I:$I,"&lt;="&amp;DATE(YEAR($C$4)+1,12,31))</f>
        <v>0</v>
      </c>
      <c r="AR14" s="66">
        <f>AH14+SUMIFS(预计变动!$F:$F,预计变动!$B:$B,AR$7,预计变动!$C:$C,$B14,预计变动!$I:$I,"&gt;="&amp;DATE(YEAR($C$4)+1,1,1),预计变动!$I:$I,"&lt;="&amp;DATE(YEAR($C$4)+1,12,31))</f>
        <v>0</v>
      </c>
      <c r="AS14" s="66">
        <f>AI14+SUMIFS(预计变动!$F:$F,预计变动!$B:$B,AS$7,预计变动!$C:$C,$B14,预计变动!$I:$I,"&gt;="&amp;DATE(YEAR($C$4)+1,1,1),预计变动!$I:$I,"&lt;="&amp;DATE(YEAR($C$4)+1,12,31))</f>
        <v>0</v>
      </c>
      <c r="AT14" s="66">
        <f>AJ14+SUMIFS(预计变动!$F:$F,预计变动!$B:$B,AT$7,预计变动!$C:$C,$B14,预计变动!$I:$I,"&gt;="&amp;DATE(YEAR($C$4)+1,1,1),预计变动!$I:$I,"&lt;="&amp;DATE(YEAR($C$4)+1,12,31))</f>
        <v>0</v>
      </c>
      <c r="AU14" s="66">
        <f>AK14+SUMIFS(预计变动!$F:$F,预计变动!$B:$B,AU$7,预计变动!$C:$C,$B14,预计变动!$I:$I,"&gt;="&amp;DATE(YEAR($C$4)+1,1,1),预计变动!$I:$I,"&lt;="&amp;DATE(YEAR($C$4)+1,12,31))</f>
        <v>0</v>
      </c>
      <c r="AV14" s="66">
        <f>AL14+SUMIFS(预计变动!$F:$F,预计变动!$B:$B,AV$7,预计变动!$C:$C,$B14,预计变动!$I:$I,"&gt;="&amp;DATE(YEAR($C$4)+1,1,1),预计变动!$I:$I,"&lt;="&amp;DATE(YEAR($C$4)+1,12,31))</f>
        <v>0</v>
      </c>
      <c r="AW14" s="66">
        <f>AM14+SUMIFS(预计变动!$F:$F,预计变动!$B:$B,AW$7,预计变动!$C:$C,$B14,预计变动!$I:$I,"&gt;="&amp;DATE(YEAR($C$4)+1,1,1),预计变动!$I:$I,"&lt;="&amp;DATE(YEAR($C$4)+1,12,31))</f>
        <v>0</v>
      </c>
      <c r="AX14" s="66">
        <f>AN14+SUMIFS(预计变动!$F:$F,预计变动!$B:$B,AX$7,预计变动!$C:$C,$B14,预计变动!$I:$I,"&gt;="&amp;DATE(YEAR($C$4)+1,1,1),预计变动!$I:$I,"&lt;="&amp;DATE(YEAR($C$4)+1,12,31))</f>
        <v>0</v>
      </c>
      <c r="AY14" s="66">
        <f>AO14+SUMIFS(预计变动!$F:$F,预计变动!$B:$B,AY$7,预计变动!$C:$C,$B14,预计变动!$I:$I,"&gt;="&amp;DATE(YEAR($C$4)+1,1,1),预计变动!$I:$I,"&lt;="&amp;DATE(YEAR($C$4)+1,12,31))</f>
        <v>0</v>
      </c>
      <c r="AZ14" s="66">
        <f>AP14+SUMIFS(预计变动!$F:$F,预计变动!$B:$B,AZ$7,预计变动!$C:$C,$B14,预计变动!$I:$I,"&gt;="&amp;DATE(YEAR($C$4)+1,1,1),预计变动!$I:$I,"&lt;="&amp;DATE(YEAR($C$4)+1,12,31))</f>
        <v>0</v>
      </c>
    </row>
    <row r="15" spans="2:52">
      <c r="B15" s="65" t="s">
        <v>279</v>
      </c>
      <c r="C15" s="66">
        <f>COUNTIFS(人员状况!$D:$D,"*",人员状况!$E:$E,$B15,人员状况!$G:$G,"&lt;="&amp;DATE(YEAR($C$4)-2,12,31),人员状况!$H:$H,"&gt;="&amp;DATE(YEAR($C$4)-2,12,31)+1)</f>
        <v>3</v>
      </c>
      <c r="D15" s="66">
        <f>COUNTIFS(人员状况!$D:$D,"*",人员状况!$E:$E,$B15,人员状况!$D:$D,D$7,人员状况!$G:$G,"&lt;="&amp;DATE(YEAR($C$4)-2,12,31),人员状况!$H:$H,"&gt;="&amp;DATE(YEAR($C$4)-2,12,31)+1)</f>
        <v>0</v>
      </c>
      <c r="E15" s="66">
        <f>COUNTIFS(人员状况!$D:$D,"*",人员状况!$E:$E,$B15,人员状况!$D:$D,E$7,人员状况!$G:$G,"&lt;="&amp;DATE(YEAR($C$4)-2,12,31),人员状况!$H:$H,"&gt;="&amp;DATE(YEAR($C$4)-2,12,31)+1)</f>
        <v>0</v>
      </c>
      <c r="F15" s="66">
        <f>COUNTIFS(人员状况!$D:$D,"*",人员状况!$E:$E,$B15,人员状况!$D:$D,F$7,人员状况!$G:$G,"&lt;="&amp;DATE(YEAR($C$4)-2,12,31),人员状况!$H:$H,"&gt;="&amp;DATE(YEAR($C$4)-2,12,31)+1)</f>
        <v>0</v>
      </c>
      <c r="G15" s="66">
        <f>COUNTIFS(人员状况!$D:$D,"*",人员状况!$E:$E,$B15,人员状况!$D:$D,G$7,人员状况!$G:$G,"&lt;="&amp;DATE(YEAR($C$4)-2,12,31),人员状况!$H:$H,"&gt;="&amp;DATE(YEAR($C$4)-2,12,31)+1)</f>
        <v>0</v>
      </c>
      <c r="H15" s="66">
        <f>COUNTIFS(人员状况!$D:$D,"*",人员状况!$E:$E,$B15,人员状况!$D:$D,H$7,人员状况!$G:$G,"&lt;="&amp;DATE(YEAR($C$4)-2,12,31),人员状况!$H:$H,"&gt;="&amp;DATE(YEAR($C$4)-2,12,31)+1)</f>
        <v>2</v>
      </c>
      <c r="I15" s="66">
        <f>COUNTIFS(人员状况!$D:$D,"*",人员状况!$E:$E,$B15,人员状况!$D:$D,I$7,人员状况!$G:$G,"&lt;="&amp;DATE(YEAR($C$4)-2,12,31),人员状况!$H:$H,"&gt;="&amp;DATE(YEAR($C$4)-2,12,31)+1)</f>
        <v>0</v>
      </c>
      <c r="J15" s="66">
        <f>COUNTIFS(人员状况!$D:$D,"*",人员状况!$E:$E,$B15,人员状况!$D:$D,J$7,人员状况!$G:$G,"&lt;="&amp;DATE(YEAR($C$4)-2,12,31),人员状况!$H:$H,"&gt;="&amp;DATE(YEAR($C$4)-2,12,31)+1)</f>
        <v>0</v>
      </c>
      <c r="K15" s="66">
        <f>COUNTIFS(人员状况!$D:$D,"*",人员状况!$E:$E,$B15,人员状况!$D:$D,K$7,人员状况!$G:$G,"&lt;="&amp;DATE(YEAR($C$4)-2,12,31),人员状况!$H:$H,"&gt;="&amp;DATE(YEAR($C$4)-2,12,31)+1)</f>
        <v>1</v>
      </c>
      <c r="L15" s="66">
        <f>COUNTIFS(人员状况!$D:$D,"*",人员状况!$E:$E,$B15,人员状况!$D:$D,L$7,人员状况!$G:$G,"&lt;="&amp;DATE(YEAR($C$4)-2,12,31),人员状况!$H:$H,"&gt;="&amp;DATE(YEAR($C$4)-2,12,31)+1)</f>
        <v>0</v>
      </c>
      <c r="M15" s="66">
        <f>COUNTIFS(人员状况!$D:$D,"*",人员状况!$E:$E,$B15,人员状况!$G:$G,"&lt;="&amp;DATE(YEAR($C$4)-1,12,31),人员状况!$H:$H,"&gt;="&amp;DATE(YEAR($C$4)-1,12,31)+1)</f>
        <v>3</v>
      </c>
      <c r="N15" s="66">
        <f>COUNTIFS(人员状况!$D:$D,"*",人员状况!$E:$E,$B15,人员状况!$D:$D,N$7,人员状况!$G:$G,"&lt;="&amp;DATE(YEAR($C$4)-1,12,31),人员状况!$H:$H,"&gt;="&amp;DATE(YEAR($C$4)-1,12,31)+1)</f>
        <v>0</v>
      </c>
      <c r="O15" s="66">
        <f>COUNTIFS(人员状况!$D:$D,"*",人员状况!$E:$E,$B15,人员状况!$D:$D,O$7,人员状况!$G:$G,"&lt;="&amp;DATE(YEAR($C$4)-1,12,31),人员状况!$H:$H,"&gt;="&amp;DATE(YEAR($C$4)-1,12,31)+1)</f>
        <v>0</v>
      </c>
      <c r="P15" s="66">
        <f>COUNTIFS(人员状况!$D:$D,"*",人员状况!$E:$E,$B15,人员状况!$D:$D,P$7,人员状况!$G:$G,"&lt;="&amp;DATE(YEAR($C$4)-1,12,31),人员状况!$H:$H,"&gt;="&amp;DATE(YEAR($C$4)-1,12,31)+1)</f>
        <v>0</v>
      </c>
      <c r="Q15" s="66">
        <f>COUNTIFS(人员状况!$D:$D,"*",人员状况!$E:$E,$B15,人员状况!$D:$D,Q$7,人员状况!$G:$G,"&lt;="&amp;DATE(YEAR($C$4)-1,12,31),人员状况!$H:$H,"&gt;="&amp;DATE(YEAR($C$4)-1,12,31)+1)</f>
        <v>0</v>
      </c>
      <c r="R15" s="66">
        <f>COUNTIFS(人员状况!$D:$D,"*",人员状况!$E:$E,$B15,人员状况!$D:$D,R$7,人员状况!$G:$G,"&lt;="&amp;DATE(YEAR($C$4)-1,12,31),人员状况!$H:$H,"&gt;="&amp;DATE(YEAR($C$4)-1,12,31)+1)</f>
        <v>2</v>
      </c>
      <c r="S15" s="66">
        <f>COUNTIFS(人员状况!$D:$D,"*",人员状况!$E:$E,$B15,人员状况!$D:$D,S$7,人员状况!$G:$G,"&lt;="&amp;DATE(YEAR($C$4)-1,12,31),人员状况!$H:$H,"&gt;="&amp;DATE(YEAR($C$4)-1,12,31)+1)</f>
        <v>0</v>
      </c>
      <c r="T15" s="66">
        <f>COUNTIFS(人员状况!$D:$D,"*",人员状况!$E:$E,$B15,人员状况!$D:$D,T$7,人员状况!$G:$G,"&lt;="&amp;DATE(YEAR($C$4)-1,12,31),人员状况!$H:$H,"&gt;="&amp;DATE(YEAR($C$4)-1,12,31)+1)</f>
        <v>0</v>
      </c>
      <c r="U15" s="66">
        <f>COUNTIFS(人员状况!$D:$D,"*",人员状况!$E:$E,$B15,人员状况!$D:$D,U$7,人员状况!$G:$G,"&lt;="&amp;DATE(YEAR($C$4)-1,12,31),人员状况!$H:$H,"&gt;="&amp;DATE(YEAR($C$4)-1,12,31)+1)</f>
        <v>1</v>
      </c>
      <c r="V15" s="66">
        <f>COUNTIFS(人员状况!$D:$D,"*",人员状况!$E:$E,$B15,人员状况!$D:$D,V$7,人员状况!$G:$G,"&lt;="&amp;DATE(YEAR($C$4)-1,12,31),人员状况!$H:$H,"&gt;="&amp;DATE(YEAR($C$4)-1,12,31)+1)</f>
        <v>0</v>
      </c>
      <c r="W15" s="66">
        <f>COUNTIFS(人员状况!$D:$D,"*",人员状况!$E:$E,$B15,人员状况!$G:$G,"&lt;="&amp;EOMONTH(DATE(YEAR($C$4)-1,MONTH($C$4),1),0),人员状况!$H:$H,"&gt;="&amp;EOMONTH(DATE(YEAR($C$4)-1,MONTH($C$4),1),0)+1)</f>
        <v>3</v>
      </c>
      <c r="X15" s="66">
        <f>COUNTIFS(人员状况!$D:$D,X$7,人员状况!$E:$E,$B15,人员状况!$G:$G,"&lt;="&amp;EOMONTH(DATE(YEAR($C$4)-1,MONTH($C$4),1),0),人员状况!$H:$H,"&gt;="&amp;EOMONTH(DATE(YEAR($C$4)-1,MONTH($C$4),1),0)+1)</f>
        <v>0</v>
      </c>
      <c r="Y15" s="66">
        <f>COUNTIFS(人员状况!$D:$D,Y$7,人员状况!$E:$E,$B15,人员状况!$G:$G,"&lt;="&amp;EOMONTH(DATE(YEAR($C$4)-1,MONTH($C$4),1),0),人员状况!$H:$H,"&gt;="&amp;EOMONTH(DATE(YEAR($C$4)-1,MONTH($C$4),1),0)+1)</f>
        <v>0</v>
      </c>
      <c r="Z15" s="66">
        <f>COUNTIFS(人员状况!$D:$D,Z$7,人员状况!$E:$E,$B15,人员状况!$G:$G,"&lt;="&amp;EOMONTH(DATE(YEAR($C$4)-1,MONTH($C$4),1),0),人员状况!$H:$H,"&gt;="&amp;EOMONTH(DATE(YEAR($C$4)-1,MONTH($C$4),1),0)+1)</f>
        <v>0</v>
      </c>
      <c r="AA15" s="66">
        <f>COUNTIFS(人员状况!$D:$D,AA$7,人员状况!$E:$E,$B15,人员状况!$G:$G,"&lt;="&amp;EOMONTH(DATE(YEAR($C$4)-1,MONTH($C$4),1),0),人员状况!$H:$H,"&gt;="&amp;EOMONTH(DATE(YEAR($C$4)-1,MONTH($C$4),1),0)+1)</f>
        <v>0</v>
      </c>
      <c r="AB15" s="66">
        <f>COUNTIFS(人员状况!$D:$D,AB$7,人员状况!$E:$E,$B15,人员状况!$G:$G,"&lt;="&amp;EOMONTH(DATE(YEAR($C$4)-1,MONTH($C$4),1),0),人员状况!$H:$H,"&gt;="&amp;EOMONTH(DATE(YEAR($C$4)-1,MONTH($C$4),1),0)+1)</f>
        <v>2</v>
      </c>
      <c r="AC15" s="66">
        <f>COUNTIFS(人员状况!$D:$D,AC$7,人员状况!$E:$E,$B15,人员状况!$G:$G,"&lt;="&amp;EOMONTH(DATE(YEAR($C$4)-1,MONTH($C$4),1),0),人员状况!$H:$H,"&gt;="&amp;EOMONTH(DATE(YEAR($C$4)-1,MONTH($C$4),1),0)+1)</f>
        <v>0</v>
      </c>
      <c r="AD15" s="66">
        <f>COUNTIFS(人员状况!$D:$D,AD$7,人员状况!$E:$E,$B15,人员状况!$G:$G,"&lt;="&amp;EOMONTH(DATE(YEAR($C$4)-1,MONTH($C$4),1),0),人员状况!$H:$H,"&gt;="&amp;EOMONTH(DATE(YEAR($C$4)-1,MONTH($C$4),1),0)+1)</f>
        <v>0</v>
      </c>
      <c r="AE15" s="66">
        <f>COUNTIFS(人员状况!$D:$D,AE$7,人员状况!$E:$E,$B15,人员状况!$G:$G,"&lt;="&amp;EOMONTH(DATE(YEAR($C$4)-1,MONTH($C$4),1),0),人员状况!$H:$H,"&gt;="&amp;EOMONTH(DATE(YEAR($C$4)-1,MONTH($C$4),1),0)+1)</f>
        <v>1</v>
      </c>
      <c r="AF15" s="66">
        <f>COUNTIFS(人员状况!$D:$D,AF$7,人员状况!$E:$E,$B15,人员状况!$G:$G,"&lt;="&amp;EOMONTH(DATE(YEAR($C$4)-1,MONTH($C$4),1),0),人员状况!$H:$H,"&gt;="&amp;EOMONTH(DATE(YEAR($C$4)-1,MONTH($C$4),1),0)+1)</f>
        <v>0</v>
      </c>
      <c r="AG15" s="66">
        <f>W15+SUMIFS(预计变动!$F:$F,预计变动!$C:$C,$B15,预计变动!$I:$I,"&gt;"&amp;EOMONTH(DATE(YEAR($C$4),MONTH($C$4),1),0),预计变动!$I:$I,"&lt;="&amp;DATE(YEAR($C$4),12,31))</f>
        <v>3</v>
      </c>
      <c r="AH15" s="66">
        <f>X15+SUMIFS(预计变动!$F:$F,预计变动!$B:$B,AH$7,预计变动!$C:$C,$B15,预计变动!$I:$I,"&gt;"&amp;EOMONTH(DATE(YEAR($C$4),MONTH($C$4),1),0),预计变动!$I:$I,"&lt;="&amp;DATE(YEAR($C$4),12,31))</f>
        <v>0</v>
      </c>
      <c r="AI15" s="66">
        <f>Y15+SUMIFS(预计变动!$F:$F,预计变动!$B:$B,AI$7,预计变动!$C:$C,$B15,预计变动!$I:$I,"&gt;"&amp;EOMONTH(DATE(YEAR($C$4),MONTH($C$4),1),0),预计变动!$I:$I,"&lt;="&amp;DATE(YEAR($C$4),12,31))</f>
        <v>0</v>
      </c>
      <c r="AJ15" s="66">
        <f>Z15+SUMIFS(预计变动!$F:$F,预计变动!$B:$B,AJ$7,预计变动!$C:$C,$B15,预计变动!$I:$I,"&gt;"&amp;EOMONTH(DATE(YEAR($C$4),MONTH($C$4),1),0),预计变动!$I:$I,"&lt;="&amp;DATE(YEAR($C$4),12,31))</f>
        <v>0</v>
      </c>
      <c r="AK15" s="66">
        <f>AA15+SUMIFS(预计变动!$F:$F,预计变动!$B:$B,AK$7,预计变动!$C:$C,$B15,预计变动!$I:$I,"&gt;"&amp;EOMONTH(DATE(YEAR($C$4),MONTH($C$4),1),0),预计变动!$I:$I,"&lt;="&amp;DATE(YEAR($C$4),12,31))</f>
        <v>0</v>
      </c>
      <c r="AL15" s="66">
        <f>AB15+SUMIFS(预计变动!$F:$F,预计变动!$B:$B,AL$7,预计变动!$C:$C,$B15,预计变动!$I:$I,"&gt;"&amp;EOMONTH(DATE(YEAR($C$4),MONTH($C$4),1),0),预计变动!$I:$I,"&lt;="&amp;DATE(YEAR($C$4),12,31))</f>
        <v>2</v>
      </c>
      <c r="AM15" s="66">
        <f>AC15+SUMIFS(预计变动!$F:$F,预计变动!$B:$B,AM$7,预计变动!$C:$C,$B15,预计变动!$I:$I,"&gt;"&amp;EOMONTH(DATE(YEAR($C$4),MONTH($C$4),1),0),预计变动!$I:$I,"&lt;="&amp;DATE(YEAR($C$4),12,31))</f>
        <v>0</v>
      </c>
      <c r="AN15" s="66">
        <f>AD15+SUMIFS(预计变动!$F:$F,预计变动!$B:$B,AN$7,预计变动!$C:$C,$B15,预计变动!$I:$I,"&gt;"&amp;EOMONTH(DATE(YEAR($C$4),MONTH($C$4),1),0),预计变动!$I:$I,"&lt;="&amp;DATE(YEAR($C$4),12,31))</f>
        <v>0</v>
      </c>
      <c r="AO15" s="66">
        <f>AE15+SUMIFS(预计变动!$F:$F,预计变动!$B:$B,AO$7,预计变动!$C:$C,$B15,预计变动!$I:$I,"&gt;"&amp;EOMONTH(DATE(YEAR($C$4),MONTH($C$4),1),0),预计变动!$I:$I,"&lt;="&amp;DATE(YEAR($C$4),12,31))</f>
        <v>1</v>
      </c>
      <c r="AP15" s="66">
        <f>AF15+SUMIFS(预计变动!$F:$F,预计变动!$B:$B,AP$7,预计变动!$C:$C,$B15,预计变动!$I:$I,"&gt;"&amp;EOMONTH(DATE(YEAR($C$4),MONTH($C$4),1),0),预计变动!$I:$I,"&lt;="&amp;DATE(YEAR($C$4),12,31))</f>
        <v>0</v>
      </c>
      <c r="AQ15" s="66">
        <f>AG15+SUMIFS(预计变动!$F:$F,预计变动!$C:$C,$B15,预计变动!$I:$I,"&gt;="&amp;DATE(YEAR($C$4)+1,1,1),预计变动!$I:$I,"&lt;="&amp;DATE(YEAR($C$4)+1,12,31))</f>
        <v>3</v>
      </c>
      <c r="AR15" s="66">
        <f>AH15+SUMIFS(预计变动!$F:$F,预计变动!$B:$B,AR$7,预计变动!$C:$C,$B15,预计变动!$I:$I,"&gt;="&amp;DATE(YEAR($C$4)+1,1,1),预计变动!$I:$I,"&lt;="&amp;DATE(YEAR($C$4)+1,12,31))</f>
        <v>0</v>
      </c>
      <c r="AS15" s="66">
        <f>AI15+SUMIFS(预计变动!$F:$F,预计变动!$B:$B,AS$7,预计变动!$C:$C,$B15,预计变动!$I:$I,"&gt;="&amp;DATE(YEAR($C$4)+1,1,1),预计变动!$I:$I,"&lt;="&amp;DATE(YEAR($C$4)+1,12,31))</f>
        <v>0</v>
      </c>
      <c r="AT15" s="66">
        <f>AJ15+SUMIFS(预计变动!$F:$F,预计变动!$B:$B,AT$7,预计变动!$C:$C,$B15,预计变动!$I:$I,"&gt;="&amp;DATE(YEAR($C$4)+1,1,1),预计变动!$I:$I,"&lt;="&amp;DATE(YEAR($C$4)+1,12,31))</f>
        <v>0</v>
      </c>
      <c r="AU15" s="66">
        <f>AK15+SUMIFS(预计变动!$F:$F,预计变动!$B:$B,AU$7,预计变动!$C:$C,$B15,预计变动!$I:$I,"&gt;="&amp;DATE(YEAR($C$4)+1,1,1),预计变动!$I:$I,"&lt;="&amp;DATE(YEAR($C$4)+1,12,31))</f>
        <v>0</v>
      </c>
      <c r="AV15" s="66">
        <f>AL15+SUMIFS(预计变动!$F:$F,预计变动!$B:$B,AV$7,预计变动!$C:$C,$B15,预计变动!$I:$I,"&gt;="&amp;DATE(YEAR($C$4)+1,1,1),预计变动!$I:$I,"&lt;="&amp;DATE(YEAR($C$4)+1,12,31))</f>
        <v>2</v>
      </c>
      <c r="AW15" s="66">
        <f>AM15+SUMIFS(预计变动!$F:$F,预计变动!$B:$B,AW$7,预计变动!$C:$C,$B15,预计变动!$I:$I,"&gt;="&amp;DATE(YEAR($C$4)+1,1,1),预计变动!$I:$I,"&lt;="&amp;DATE(YEAR($C$4)+1,12,31))</f>
        <v>0</v>
      </c>
      <c r="AX15" s="66">
        <f>AN15+SUMIFS(预计变动!$F:$F,预计变动!$B:$B,AX$7,预计变动!$C:$C,$B15,预计变动!$I:$I,"&gt;="&amp;DATE(YEAR($C$4)+1,1,1),预计变动!$I:$I,"&lt;="&amp;DATE(YEAR($C$4)+1,12,31))</f>
        <v>0</v>
      </c>
      <c r="AY15" s="66">
        <f>AO15+SUMIFS(预计变动!$F:$F,预计变动!$B:$B,AY$7,预计变动!$C:$C,$B15,预计变动!$I:$I,"&gt;="&amp;DATE(YEAR($C$4)+1,1,1),预计变动!$I:$I,"&lt;="&amp;DATE(YEAR($C$4)+1,12,31))</f>
        <v>1</v>
      </c>
      <c r="AZ15" s="66">
        <f>AP15+SUMIFS(预计变动!$F:$F,预计变动!$B:$B,AZ$7,预计变动!$C:$C,$B15,预计变动!$I:$I,"&gt;="&amp;DATE(YEAR($C$4)+1,1,1),预计变动!$I:$I,"&lt;="&amp;DATE(YEAR($C$4)+1,12,31))</f>
        <v>0</v>
      </c>
    </row>
    <row r="16" spans="2:52">
      <c r="B16" s="65" t="s">
        <v>342</v>
      </c>
      <c r="C16" s="66">
        <f>COUNTIFS(人员状况!$D:$D,"*",人员状况!$E:$E,$B16,人员状况!$G:$G,"&lt;="&amp;DATE(YEAR($C$4)-2,12,31),人员状况!$H:$H,"&gt;="&amp;DATE(YEAR($C$4)-2,12,31)+1)</f>
        <v>0</v>
      </c>
      <c r="D16" s="66">
        <f>COUNTIFS(人员状况!$D:$D,"*",人员状况!$E:$E,$B16,人员状况!$D:$D,D$7,人员状况!$G:$G,"&lt;="&amp;DATE(YEAR($C$4)-2,12,31),人员状况!$H:$H,"&gt;="&amp;DATE(YEAR($C$4)-2,12,31)+1)</f>
        <v>0</v>
      </c>
      <c r="E16" s="66">
        <f>COUNTIFS(人员状况!$D:$D,"*",人员状况!$E:$E,$B16,人员状况!$D:$D,E$7,人员状况!$G:$G,"&lt;="&amp;DATE(YEAR($C$4)-2,12,31),人员状况!$H:$H,"&gt;="&amp;DATE(YEAR($C$4)-2,12,31)+1)</f>
        <v>0</v>
      </c>
      <c r="F16" s="66">
        <f>COUNTIFS(人员状况!$D:$D,"*",人员状况!$E:$E,$B16,人员状况!$D:$D,F$7,人员状况!$G:$G,"&lt;="&amp;DATE(YEAR($C$4)-2,12,31),人员状况!$H:$H,"&gt;="&amp;DATE(YEAR($C$4)-2,12,31)+1)</f>
        <v>0</v>
      </c>
      <c r="G16" s="66">
        <f>COUNTIFS(人员状况!$D:$D,"*",人员状况!$E:$E,$B16,人员状况!$D:$D,G$7,人员状况!$G:$G,"&lt;="&amp;DATE(YEAR($C$4)-2,12,31),人员状况!$H:$H,"&gt;="&amp;DATE(YEAR($C$4)-2,12,31)+1)</f>
        <v>0</v>
      </c>
      <c r="H16" s="66">
        <f>COUNTIFS(人员状况!$D:$D,"*",人员状况!$E:$E,$B16,人员状况!$D:$D,H$7,人员状况!$G:$G,"&lt;="&amp;DATE(YEAR($C$4)-2,12,31),人员状况!$H:$H,"&gt;="&amp;DATE(YEAR($C$4)-2,12,31)+1)</f>
        <v>0</v>
      </c>
      <c r="I16" s="66">
        <f>COUNTIFS(人员状况!$D:$D,"*",人员状况!$E:$E,$B16,人员状况!$D:$D,I$7,人员状况!$G:$G,"&lt;="&amp;DATE(YEAR($C$4)-2,12,31),人员状况!$H:$H,"&gt;="&amp;DATE(YEAR($C$4)-2,12,31)+1)</f>
        <v>0</v>
      </c>
      <c r="J16" s="66">
        <f>COUNTIFS(人员状况!$D:$D,"*",人员状况!$E:$E,$B16,人员状况!$D:$D,J$7,人员状况!$G:$G,"&lt;="&amp;DATE(YEAR($C$4)-2,12,31),人员状况!$H:$H,"&gt;="&amp;DATE(YEAR($C$4)-2,12,31)+1)</f>
        <v>0</v>
      </c>
      <c r="K16" s="66">
        <f>COUNTIFS(人员状况!$D:$D,"*",人员状况!$E:$E,$B16,人员状况!$D:$D,K$7,人员状况!$G:$G,"&lt;="&amp;DATE(YEAR($C$4)-2,12,31),人员状况!$H:$H,"&gt;="&amp;DATE(YEAR($C$4)-2,12,31)+1)</f>
        <v>0</v>
      </c>
      <c r="L16" s="66">
        <f>COUNTIFS(人员状况!$D:$D,"*",人员状况!$E:$E,$B16,人员状况!$D:$D,L$7,人员状况!$G:$G,"&lt;="&amp;DATE(YEAR($C$4)-2,12,31),人员状况!$H:$H,"&gt;="&amp;DATE(YEAR($C$4)-2,12,31)+1)</f>
        <v>0</v>
      </c>
      <c r="M16" s="66">
        <f>COUNTIFS(人员状况!$D:$D,"*",人员状况!$E:$E,$B16,人员状况!$G:$G,"&lt;="&amp;DATE(YEAR($C$4)-1,12,31),人员状况!$H:$H,"&gt;="&amp;DATE(YEAR($C$4)-1,12,31)+1)</f>
        <v>0</v>
      </c>
      <c r="N16" s="66">
        <f>COUNTIFS(人员状况!$D:$D,"*",人员状况!$E:$E,$B16,人员状况!$D:$D,N$7,人员状况!$G:$G,"&lt;="&amp;DATE(YEAR($C$4)-1,12,31),人员状况!$H:$H,"&gt;="&amp;DATE(YEAR($C$4)-1,12,31)+1)</f>
        <v>0</v>
      </c>
      <c r="O16" s="66">
        <f>COUNTIFS(人员状况!$D:$D,"*",人员状况!$E:$E,$B16,人员状况!$D:$D,O$7,人员状况!$G:$G,"&lt;="&amp;DATE(YEAR($C$4)-1,12,31),人员状况!$H:$H,"&gt;="&amp;DATE(YEAR($C$4)-1,12,31)+1)</f>
        <v>0</v>
      </c>
      <c r="P16" s="66">
        <f>COUNTIFS(人员状况!$D:$D,"*",人员状况!$E:$E,$B16,人员状况!$D:$D,P$7,人员状况!$G:$G,"&lt;="&amp;DATE(YEAR($C$4)-1,12,31),人员状况!$H:$H,"&gt;="&amp;DATE(YEAR($C$4)-1,12,31)+1)</f>
        <v>0</v>
      </c>
      <c r="Q16" s="66">
        <f>COUNTIFS(人员状况!$D:$D,"*",人员状况!$E:$E,$B16,人员状况!$D:$D,Q$7,人员状况!$G:$G,"&lt;="&amp;DATE(YEAR($C$4)-1,12,31),人员状况!$H:$H,"&gt;="&amp;DATE(YEAR($C$4)-1,12,31)+1)</f>
        <v>0</v>
      </c>
      <c r="R16" s="66">
        <f>COUNTIFS(人员状况!$D:$D,"*",人员状况!$E:$E,$B16,人员状况!$D:$D,R$7,人员状况!$G:$G,"&lt;="&amp;DATE(YEAR($C$4)-1,12,31),人员状况!$H:$H,"&gt;="&amp;DATE(YEAR($C$4)-1,12,31)+1)</f>
        <v>0</v>
      </c>
      <c r="S16" s="66">
        <f>COUNTIFS(人员状况!$D:$D,"*",人员状况!$E:$E,$B16,人员状况!$D:$D,S$7,人员状况!$G:$G,"&lt;="&amp;DATE(YEAR($C$4)-1,12,31),人员状况!$H:$H,"&gt;="&amp;DATE(YEAR($C$4)-1,12,31)+1)</f>
        <v>0</v>
      </c>
      <c r="T16" s="66">
        <f>COUNTIFS(人员状况!$D:$D,"*",人员状况!$E:$E,$B16,人员状况!$D:$D,T$7,人员状况!$G:$G,"&lt;="&amp;DATE(YEAR($C$4)-1,12,31),人员状况!$H:$H,"&gt;="&amp;DATE(YEAR($C$4)-1,12,31)+1)</f>
        <v>0</v>
      </c>
      <c r="U16" s="66">
        <f>COUNTIFS(人员状况!$D:$D,"*",人员状况!$E:$E,$B16,人员状况!$D:$D,U$7,人员状况!$G:$G,"&lt;="&amp;DATE(YEAR($C$4)-1,12,31),人员状况!$H:$H,"&gt;="&amp;DATE(YEAR($C$4)-1,12,31)+1)</f>
        <v>0</v>
      </c>
      <c r="V16" s="66">
        <f>COUNTIFS(人员状况!$D:$D,"*",人员状况!$E:$E,$B16,人员状况!$D:$D,V$7,人员状况!$G:$G,"&lt;="&amp;DATE(YEAR($C$4)-1,12,31),人员状况!$H:$H,"&gt;="&amp;DATE(YEAR($C$4)-1,12,31)+1)</f>
        <v>0</v>
      </c>
      <c r="W16" s="66">
        <f>COUNTIFS(人员状况!$D:$D,"*",人员状况!$E:$E,$B16,人员状况!$G:$G,"&lt;="&amp;EOMONTH(DATE(YEAR($C$4)-1,MONTH($C$4),1),0),人员状况!$H:$H,"&gt;="&amp;EOMONTH(DATE(YEAR($C$4)-1,MONTH($C$4),1),0)+1)</f>
        <v>0</v>
      </c>
      <c r="X16" s="66">
        <f>COUNTIFS(人员状况!$D:$D,X$7,人员状况!$E:$E,$B16,人员状况!$G:$G,"&lt;="&amp;EOMONTH(DATE(YEAR($C$4)-1,MONTH($C$4),1),0),人员状况!$H:$H,"&gt;="&amp;EOMONTH(DATE(YEAR($C$4)-1,MONTH($C$4),1),0)+1)</f>
        <v>0</v>
      </c>
      <c r="Y16" s="66">
        <f>COUNTIFS(人员状况!$D:$D,Y$7,人员状况!$E:$E,$B16,人员状况!$G:$G,"&lt;="&amp;EOMONTH(DATE(YEAR($C$4)-1,MONTH($C$4),1),0),人员状况!$H:$H,"&gt;="&amp;EOMONTH(DATE(YEAR($C$4)-1,MONTH($C$4),1),0)+1)</f>
        <v>0</v>
      </c>
      <c r="Z16" s="66">
        <f>COUNTIFS(人员状况!$D:$D,Z$7,人员状况!$E:$E,$B16,人员状况!$G:$G,"&lt;="&amp;EOMONTH(DATE(YEAR($C$4)-1,MONTH($C$4),1),0),人员状况!$H:$H,"&gt;="&amp;EOMONTH(DATE(YEAR($C$4)-1,MONTH($C$4),1),0)+1)</f>
        <v>0</v>
      </c>
      <c r="AA16" s="66">
        <f>COUNTIFS(人员状况!$D:$D,AA$7,人员状况!$E:$E,$B16,人员状况!$G:$G,"&lt;="&amp;EOMONTH(DATE(YEAR($C$4)-1,MONTH($C$4),1),0),人员状况!$H:$H,"&gt;="&amp;EOMONTH(DATE(YEAR($C$4)-1,MONTH($C$4),1),0)+1)</f>
        <v>0</v>
      </c>
      <c r="AB16" s="66">
        <f>COUNTIFS(人员状况!$D:$D,AB$7,人员状况!$E:$E,$B16,人员状况!$G:$G,"&lt;="&amp;EOMONTH(DATE(YEAR($C$4)-1,MONTH($C$4),1),0),人员状况!$H:$H,"&gt;="&amp;EOMONTH(DATE(YEAR($C$4)-1,MONTH($C$4),1),0)+1)</f>
        <v>0</v>
      </c>
      <c r="AC16" s="66">
        <f>COUNTIFS(人员状况!$D:$D,AC$7,人员状况!$E:$E,$B16,人员状况!$G:$G,"&lt;="&amp;EOMONTH(DATE(YEAR($C$4)-1,MONTH($C$4),1),0),人员状况!$H:$H,"&gt;="&amp;EOMONTH(DATE(YEAR($C$4)-1,MONTH($C$4),1),0)+1)</f>
        <v>0</v>
      </c>
      <c r="AD16" s="66">
        <f>COUNTIFS(人员状况!$D:$D,AD$7,人员状况!$E:$E,$B16,人员状况!$G:$G,"&lt;="&amp;EOMONTH(DATE(YEAR($C$4)-1,MONTH($C$4),1),0),人员状况!$H:$H,"&gt;="&amp;EOMONTH(DATE(YEAR($C$4)-1,MONTH($C$4),1),0)+1)</f>
        <v>0</v>
      </c>
      <c r="AE16" s="66">
        <f>COUNTIFS(人员状况!$D:$D,AE$7,人员状况!$E:$E,$B16,人员状况!$G:$G,"&lt;="&amp;EOMONTH(DATE(YEAR($C$4)-1,MONTH($C$4),1),0),人员状况!$H:$H,"&gt;="&amp;EOMONTH(DATE(YEAR($C$4)-1,MONTH($C$4),1),0)+1)</f>
        <v>0</v>
      </c>
      <c r="AF16" s="66">
        <f>COUNTIFS(人员状况!$D:$D,AF$7,人员状况!$E:$E,$B16,人员状况!$G:$G,"&lt;="&amp;EOMONTH(DATE(YEAR($C$4)-1,MONTH($C$4),1),0),人员状况!$H:$H,"&gt;="&amp;EOMONTH(DATE(YEAR($C$4)-1,MONTH($C$4),1),0)+1)</f>
        <v>0</v>
      </c>
      <c r="AG16" s="66">
        <f>W16+SUMIFS(预计变动!$F:$F,预计变动!$C:$C,$B16,预计变动!$I:$I,"&gt;"&amp;EOMONTH(DATE(YEAR($C$4),MONTH($C$4),1),0),预计变动!$I:$I,"&lt;="&amp;DATE(YEAR($C$4),12,31))</f>
        <v>0</v>
      </c>
      <c r="AH16" s="66">
        <f>X16+SUMIFS(预计变动!$F:$F,预计变动!$B:$B,AH$7,预计变动!$C:$C,$B16,预计变动!$I:$I,"&gt;"&amp;EOMONTH(DATE(YEAR($C$4),MONTH($C$4),1),0),预计变动!$I:$I,"&lt;="&amp;DATE(YEAR($C$4),12,31))</f>
        <v>0</v>
      </c>
      <c r="AI16" s="66">
        <f>Y16+SUMIFS(预计变动!$F:$F,预计变动!$B:$B,AI$7,预计变动!$C:$C,$B16,预计变动!$I:$I,"&gt;"&amp;EOMONTH(DATE(YEAR($C$4),MONTH($C$4),1),0),预计变动!$I:$I,"&lt;="&amp;DATE(YEAR($C$4),12,31))</f>
        <v>0</v>
      </c>
      <c r="AJ16" s="66">
        <f>Z16+SUMIFS(预计变动!$F:$F,预计变动!$B:$B,AJ$7,预计变动!$C:$C,$B16,预计变动!$I:$I,"&gt;"&amp;EOMONTH(DATE(YEAR($C$4),MONTH($C$4),1),0),预计变动!$I:$I,"&lt;="&amp;DATE(YEAR($C$4),12,31))</f>
        <v>0</v>
      </c>
      <c r="AK16" s="66">
        <f>AA16+SUMIFS(预计变动!$F:$F,预计变动!$B:$B,AK$7,预计变动!$C:$C,$B16,预计变动!$I:$I,"&gt;"&amp;EOMONTH(DATE(YEAR($C$4),MONTH($C$4),1),0),预计变动!$I:$I,"&lt;="&amp;DATE(YEAR($C$4),12,31))</f>
        <v>0</v>
      </c>
      <c r="AL16" s="66">
        <f>AB16+SUMIFS(预计变动!$F:$F,预计变动!$B:$B,AL$7,预计变动!$C:$C,$B16,预计变动!$I:$I,"&gt;"&amp;EOMONTH(DATE(YEAR($C$4),MONTH($C$4),1),0),预计变动!$I:$I,"&lt;="&amp;DATE(YEAR($C$4),12,31))</f>
        <v>0</v>
      </c>
      <c r="AM16" s="66">
        <f>AC16+SUMIFS(预计变动!$F:$F,预计变动!$B:$B,AM$7,预计变动!$C:$C,$B16,预计变动!$I:$I,"&gt;"&amp;EOMONTH(DATE(YEAR($C$4),MONTH($C$4),1),0),预计变动!$I:$I,"&lt;="&amp;DATE(YEAR($C$4),12,31))</f>
        <v>0</v>
      </c>
      <c r="AN16" s="66">
        <f>AD16+SUMIFS(预计变动!$F:$F,预计变动!$B:$B,AN$7,预计变动!$C:$C,$B16,预计变动!$I:$I,"&gt;"&amp;EOMONTH(DATE(YEAR($C$4),MONTH($C$4),1),0),预计变动!$I:$I,"&lt;="&amp;DATE(YEAR($C$4),12,31))</f>
        <v>0</v>
      </c>
      <c r="AO16" s="66">
        <f>AE16+SUMIFS(预计变动!$F:$F,预计变动!$B:$B,AO$7,预计变动!$C:$C,$B16,预计变动!$I:$I,"&gt;"&amp;EOMONTH(DATE(YEAR($C$4),MONTH($C$4),1),0),预计变动!$I:$I,"&lt;="&amp;DATE(YEAR($C$4),12,31))</f>
        <v>0</v>
      </c>
      <c r="AP16" s="66">
        <f>AF16+SUMIFS(预计变动!$F:$F,预计变动!$B:$B,AP$7,预计变动!$C:$C,$B16,预计变动!$I:$I,"&gt;"&amp;EOMONTH(DATE(YEAR($C$4),MONTH($C$4),1),0),预计变动!$I:$I,"&lt;="&amp;DATE(YEAR($C$4),12,31))</f>
        <v>0</v>
      </c>
      <c r="AQ16" s="66">
        <f>AG16+SUMIFS(预计变动!$F:$F,预计变动!$C:$C,$B16,预计变动!$I:$I,"&gt;="&amp;DATE(YEAR($C$4)+1,1,1),预计变动!$I:$I,"&lt;="&amp;DATE(YEAR($C$4)+1,12,31))</f>
        <v>0</v>
      </c>
      <c r="AR16" s="66">
        <f>AH16+SUMIFS(预计变动!$F:$F,预计变动!$B:$B,AR$7,预计变动!$C:$C,$B16,预计变动!$I:$I,"&gt;="&amp;DATE(YEAR($C$4)+1,1,1),预计变动!$I:$I,"&lt;="&amp;DATE(YEAR($C$4)+1,12,31))</f>
        <v>0</v>
      </c>
      <c r="AS16" s="66">
        <f>AI16+SUMIFS(预计变动!$F:$F,预计变动!$B:$B,AS$7,预计变动!$C:$C,$B16,预计变动!$I:$I,"&gt;="&amp;DATE(YEAR($C$4)+1,1,1),预计变动!$I:$I,"&lt;="&amp;DATE(YEAR($C$4)+1,12,31))</f>
        <v>0</v>
      </c>
      <c r="AT16" s="66">
        <f>AJ16+SUMIFS(预计变动!$F:$F,预计变动!$B:$B,AT$7,预计变动!$C:$C,$B16,预计变动!$I:$I,"&gt;="&amp;DATE(YEAR($C$4)+1,1,1),预计变动!$I:$I,"&lt;="&amp;DATE(YEAR($C$4)+1,12,31))</f>
        <v>0</v>
      </c>
      <c r="AU16" s="66">
        <f>AK16+SUMIFS(预计变动!$F:$F,预计变动!$B:$B,AU$7,预计变动!$C:$C,$B16,预计变动!$I:$I,"&gt;="&amp;DATE(YEAR($C$4)+1,1,1),预计变动!$I:$I,"&lt;="&amp;DATE(YEAR($C$4)+1,12,31))</f>
        <v>0</v>
      </c>
      <c r="AV16" s="66">
        <f>AL16+SUMIFS(预计变动!$F:$F,预计变动!$B:$B,AV$7,预计变动!$C:$C,$B16,预计变动!$I:$I,"&gt;="&amp;DATE(YEAR($C$4)+1,1,1),预计变动!$I:$I,"&lt;="&amp;DATE(YEAR($C$4)+1,12,31))</f>
        <v>0</v>
      </c>
      <c r="AW16" s="66">
        <f>AM16+SUMIFS(预计变动!$F:$F,预计变动!$B:$B,AW$7,预计变动!$C:$C,$B16,预计变动!$I:$I,"&gt;="&amp;DATE(YEAR($C$4)+1,1,1),预计变动!$I:$I,"&lt;="&amp;DATE(YEAR($C$4)+1,12,31))</f>
        <v>0</v>
      </c>
      <c r="AX16" s="66">
        <f>AN16+SUMIFS(预计变动!$F:$F,预计变动!$B:$B,AX$7,预计变动!$C:$C,$B16,预计变动!$I:$I,"&gt;="&amp;DATE(YEAR($C$4)+1,1,1),预计变动!$I:$I,"&lt;="&amp;DATE(YEAR($C$4)+1,12,31))</f>
        <v>0</v>
      </c>
      <c r="AY16" s="66">
        <f>AO16+SUMIFS(预计变动!$F:$F,预计变动!$B:$B,AY$7,预计变动!$C:$C,$B16,预计变动!$I:$I,"&gt;="&amp;DATE(YEAR($C$4)+1,1,1),预计变动!$I:$I,"&lt;="&amp;DATE(YEAR($C$4)+1,12,31))</f>
        <v>0</v>
      </c>
      <c r="AZ16" s="66">
        <f>AP16+SUMIFS(预计变动!$F:$F,预计变动!$B:$B,AZ$7,预计变动!$C:$C,$B16,预计变动!$I:$I,"&gt;="&amp;DATE(YEAR($C$4)+1,1,1),预计变动!$I:$I,"&lt;="&amp;DATE(YEAR($C$4)+1,12,31))</f>
        <v>0</v>
      </c>
    </row>
    <row r="17" spans="2:52">
      <c r="B17" s="65" t="s">
        <v>243</v>
      </c>
      <c r="C17" s="66">
        <f>COUNTIFS(人员状况!$D:$D,"*",人员状况!$E:$E,$B17,人员状况!$G:$G,"&lt;="&amp;DATE(YEAR($C$4)-2,12,31),人员状况!$H:$H,"&gt;="&amp;DATE(YEAR($C$4)-2,12,31)+1)</f>
        <v>2</v>
      </c>
      <c r="D17" s="66">
        <f>COUNTIFS(人员状况!$D:$D,"*",人员状况!$E:$E,$B17,人员状况!$D:$D,D$7,人员状况!$G:$G,"&lt;="&amp;DATE(YEAR($C$4)-2,12,31),人员状况!$H:$H,"&gt;="&amp;DATE(YEAR($C$4)-2,12,31)+1)</f>
        <v>0</v>
      </c>
      <c r="E17" s="66">
        <f>COUNTIFS(人员状况!$D:$D,"*",人员状况!$E:$E,$B17,人员状况!$D:$D,E$7,人员状况!$G:$G,"&lt;="&amp;DATE(YEAR($C$4)-2,12,31),人员状况!$H:$H,"&gt;="&amp;DATE(YEAR($C$4)-2,12,31)+1)</f>
        <v>0</v>
      </c>
      <c r="F17" s="66">
        <f>COUNTIFS(人员状况!$D:$D,"*",人员状况!$E:$E,$B17,人员状况!$D:$D,F$7,人员状况!$G:$G,"&lt;="&amp;DATE(YEAR($C$4)-2,12,31),人员状况!$H:$H,"&gt;="&amp;DATE(YEAR($C$4)-2,12,31)+1)</f>
        <v>0</v>
      </c>
      <c r="G17" s="66">
        <f>COUNTIFS(人员状况!$D:$D,"*",人员状况!$E:$E,$B17,人员状况!$D:$D,G$7,人员状况!$G:$G,"&lt;="&amp;DATE(YEAR($C$4)-2,12,31),人员状况!$H:$H,"&gt;="&amp;DATE(YEAR($C$4)-2,12,31)+1)</f>
        <v>0</v>
      </c>
      <c r="H17" s="66">
        <f>COUNTIFS(人员状况!$D:$D,"*",人员状况!$E:$E,$B17,人员状况!$D:$D,H$7,人员状况!$G:$G,"&lt;="&amp;DATE(YEAR($C$4)-2,12,31),人员状况!$H:$H,"&gt;="&amp;DATE(YEAR($C$4)-2,12,31)+1)</f>
        <v>0</v>
      </c>
      <c r="I17" s="66">
        <f>COUNTIFS(人员状况!$D:$D,"*",人员状况!$E:$E,$B17,人员状况!$D:$D,I$7,人员状况!$G:$G,"&lt;="&amp;DATE(YEAR($C$4)-2,12,31),人员状况!$H:$H,"&gt;="&amp;DATE(YEAR($C$4)-2,12,31)+1)</f>
        <v>1</v>
      </c>
      <c r="J17" s="66">
        <f>COUNTIFS(人员状况!$D:$D,"*",人员状况!$E:$E,$B17,人员状况!$D:$D,J$7,人员状况!$G:$G,"&lt;="&amp;DATE(YEAR($C$4)-2,12,31),人员状况!$H:$H,"&gt;="&amp;DATE(YEAR($C$4)-2,12,31)+1)</f>
        <v>1</v>
      </c>
      <c r="K17" s="66">
        <f>COUNTIFS(人员状况!$D:$D,"*",人员状况!$E:$E,$B17,人员状况!$D:$D,K$7,人员状况!$G:$G,"&lt;="&amp;DATE(YEAR($C$4)-2,12,31),人员状况!$H:$H,"&gt;="&amp;DATE(YEAR($C$4)-2,12,31)+1)</f>
        <v>0</v>
      </c>
      <c r="L17" s="66">
        <f>COUNTIFS(人员状况!$D:$D,"*",人员状况!$E:$E,$B17,人员状况!$D:$D,L$7,人员状况!$G:$G,"&lt;="&amp;DATE(YEAR($C$4)-2,12,31),人员状况!$H:$H,"&gt;="&amp;DATE(YEAR($C$4)-2,12,31)+1)</f>
        <v>0</v>
      </c>
      <c r="M17" s="66">
        <f>COUNTIFS(人员状况!$D:$D,"*",人员状况!$E:$E,$B17,人员状况!$G:$G,"&lt;="&amp;DATE(YEAR($C$4)-1,12,31),人员状况!$H:$H,"&gt;="&amp;DATE(YEAR($C$4)-1,12,31)+1)</f>
        <v>2</v>
      </c>
      <c r="N17" s="66">
        <f>COUNTIFS(人员状况!$D:$D,"*",人员状况!$E:$E,$B17,人员状况!$D:$D,N$7,人员状况!$G:$G,"&lt;="&amp;DATE(YEAR($C$4)-1,12,31),人员状况!$H:$H,"&gt;="&amp;DATE(YEAR($C$4)-1,12,31)+1)</f>
        <v>0</v>
      </c>
      <c r="O17" s="66">
        <f>COUNTIFS(人员状况!$D:$D,"*",人员状况!$E:$E,$B17,人员状况!$D:$D,O$7,人员状况!$G:$G,"&lt;="&amp;DATE(YEAR($C$4)-1,12,31),人员状况!$H:$H,"&gt;="&amp;DATE(YEAR($C$4)-1,12,31)+1)</f>
        <v>0</v>
      </c>
      <c r="P17" s="66">
        <f>COUNTIFS(人员状况!$D:$D,"*",人员状况!$E:$E,$B17,人员状况!$D:$D,P$7,人员状况!$G:$G,"&lt;="&amp;DATE(YEAR($C$4)-1,12,31),人员状况!$H:$H,"&gt;="&amp;DATE(YEAR($C$4)-1,12,31)+1)</f>
        <v>0</v>
      </c>
      <c r="Q17" s="66">
        <f>COUNTIFS(人员状况!$D:$D,"*",人员状况!$E:$E,$B17,人员状况!$D:$D,Q$7,人员状况!$G:$G,"&lt;="&amp;DATE(YEAR($C$4)-1,12,31),人员状况!$H:$H,"&gt;="&amp;DATE(YEAR($C$4)-1,12,31)+1)</f>
        <v>0</v>
      </c>
      <c r="R17" s="66">
        <f>COUNTIFS(人员状况!$D:$D,"*",人员状况!$E:$E,$B17,人员状况!$D:$D,R$7,人员状况!$G:$G,"&lt;="&amp;DATE(YEAR($C$4)-1,12,31),人员状况!$H:$H,"&gt;="&amp;DATE(YEAR($C$4)-1,12,31)+1)</f>
        <v>0</v>
      </c>
      <c r="S17" s="66">
        <f>COUNTIFS(人员状况!$D:$D,"*",人员状况!$E:$E,$B17,人员状况!$D:$D,S$7,人员状况!$G:$G,"&lt;="&amp;DATE(YEAR($C$4)-1,12,31),人员状况!$H:$H,"&gt;="&amp;DATE(YEAR($C$4)-1,12,31)+1)</f>
        <v>1</v>
      </c>
      <c r="T17" s="66">
        <f>COUNTIFS(人员状况!$D:$D,"*",人员状况!$E:$E,$B17,人员状况!$D:$D,T$7,人员状况!$G:$G,"&lt;="&amp;DATE(YEAR($C$4)-1,12,31),人员状况!$H:$H,"&gt;="&amp;DATE(YEAR($C$4)-1,12,31)+1)</f>
        <v>1</v>
      </c>
      <c r="U17" s="66">
        <f>COUNTIFS(人员状况!$D:$D,"*",人员状况!$E:$E,$B17,人员状况!$D:$D,U$7,人员状况!$G:$G,"&lt;="&amp;DATE(YEAR($C$4)-1,12,31),人员状况!$H:$H,"&gt;="&amp;DATE(YEAR($C$4)-1,12,31)+1)</f>
        <v>0</v>
      </c>
      <c r="V17" s="66">
        <f>COUNTIFS(人员状况!$D:$D,"*",人员状况!$E:$E,$B17,人员状况!$D:$D,V$7,人员状况!$G:$G,"&lt;="&amp;DATE(YEAR($C$4)-1,12,31),人员状况!$H:$H,"&gt;="&amp;DATE(YEAR($C$4)-1,12,31)+1)</f>
        <v>0</v>
      </c>
      <c r="W17" s="66">
        <f>COUNTIFS(人员状况!$D:$D,"*",人员状况!$E:$E,$B17,人员状况!$G:$G,"&lt;="&amp;EOMONTH(DATE(YEAR($C$4)-1,MONTH($C$4),1),0),人员状况!$H:$H,"&gt;="&amp;EOMONTH(DATE(YEAR($C$4)-1,MONTH($C$4),1),0)+1)</f>
        <v>2</v>
      </c>
      <c r="X17" s="66">
        <f>COUNTIFS(人员状况!$D:$D,X$7,人员状况!$E:$E,$B17,人员状况!$G:$G,"&lt;="&amp;EOMONTH(DATE(YEAR($C$4)-1,MONTH($C$4),1),0),人员状况!$H:$H,"&gt;="&amp;EOMONTH(DATE(YEAR($C$4)-1,MONTH($C$4),1),0)+1)</f>
        <v>0</v>
      </c>
      <c r="Y17" s="66">
        <f>COUNTIFS(人员状况!$D:$D,Y$7,人员状况!$E:$E,$B17,人员状况!$G:$G,"&lt;="&amp;EOMONTH(DATE(YEAR($C$4)-1,MONTH($C$4),1),0),人员状况!$H:$H,"&gt;="&amp;EOMONTH(DATE(YEAR($C$4)-1,MONTH($C$4),1),0)+1)</f>
        <v>0</v>
      </c>
      <c r="Z17" s="66">
        <f>COUNTIFS(人员状况!$D:$D,Z$7,人员状况!$E:$E,$B17,人员状况!$G:$G,"&lt;="&amp;EOMONTH(DATE(YEAR($C$4)-1,MONTH($C$4),1),0),人员状况!$H:$H,"&gt;="&amp;EOMONTH(DATE(YEAR($C$4)-1,MONTH($C$4),1),0)+1)</f>
        <v>0</v>
      </c>
      <c r="AA17" s="66">
        <f>COUNTIFS(人员状况!$D:$D,AA$7,人员状况!$E:$E,$B17,人员状况!$G:$G,"&lt;="&amp;EOMONTH(DATE(YEAR($C$4)-1,MONTH($C$4),1),0),人员状况!$H:$H,"&gt;="&amp;EOMONTH(DATE(YEAR($C$4)-1,MONTH($C$4),1),0)+1)</f>
        <v>0</v>
      </c>
      <c r="AB17" s="66">
        <f>COUNTIFS(人员状况!$D:$D,AB$7,人员状况!$E:$E,$B17,人员状况!$G:$G,"&lt;="&amp;EOMONTH(DATE(YEAR($C$4)-1,MONTH($C$4),1),0),人员状况!$H:$H,"&gt;="&amp;EOMONTH(DATE(YEAR($C$4)-1,MONTH($C$4),1),0)+1)</f>
        <v>0</v>
      </c>
      <c r="AC17" s="66">
        <f>COUNTIFS(人员状况!$D:$D,AC$7,人员状况!$E:$E,$B17,人员状况!$G:$G,"&lt;="&amp;EOMONTH(DATE(YEAR($C$4)-1,MONTH($C$4),1),0),人员状况!$H:$H,"&gt;="&amp;EOMONTH(DATE(YEAR($C$4)-1,MONTH($C$4),1),0)+1)</f>
        <v>1</v>
      </c>
      <c r="AD17" s="66">
        <f>COUNTIFS(人员状况!$D:$D,AD$7,人员状况!$E:$E,$B17,人员状况!$G:$G,"&lt;="&amp;EOMONTH(DATE(YEAR($C$4)-1,MONTH($C$4),1),0),人员状况!$H:$H,"&gt;="&amp;EOMONTH(DATE(YEAR($C$4)-1,MONTH($C$4),1),0)+1)</f>
        <v>1</v>
      </c>
      <c r="AE17" s="66">
        <f>COUNTIFS(人员状况!$D:$D,AE$7,人员状况!$E:$E,$B17,人员状况!$G:$G,"&lt;="&amp;EOMONTH(DATE(YEAR($C$4)-1,MONTH($C$4),1),0),人员状况!$H:$H,"&gt;="&amp;EOMONTH(DATE(YEAR($C$4)-1,MONTH($C$4),1),0)+1)</f>
        <v>0</v>
      </c>
      <c r="AF17" s="66">
        <f>COUNTIFS(人员状况!$D:$D,AF$7,人员状况!$E:$E,$B17,人员状况!$G:$G,"&lt;="&amp;EOMONTH(DATE(YEAR($C$4)-1,MONTH($C$4),1),0),人员状况!$H:$H,"&gt;="&amp;EOMONTH(DATE(YEAR($C$4)-1,MONTH($C$4),1),0)+1)</f>
        <v>0</v>
      </c>
      <c r="AG17" s="66">
        <f>W17+SUMIFS(预计变动!$F:$F,预计变动!$C:$C,$B17,预计变动!$I:$I,"&gt;"&amp;EOMONTH(DATE(YEAR($C$4),MONTH($C$4),1),0),预计变动!$I:$I,"&lt;="&amp;DATE(YEAR($C$4),12,31))</f>
        <v>2</v>
      </c>
      <c r="AH17" s="66">
        <f>X17+SUMIFS(预计变动!$F:$F,预计变动!$B:$B,AH$7,预计变动!$C:$C,$B17,预计变动!$I:$I,"&gt;"&amp;EOMONTH(DATE(YEAR($C$4),MONTH($C$4),1),0),预计变动!$I:$I,"&lt;="&amp;DATE(YEAR($C$4),12,31))</f>
        <v>0</v>
      </c>
      <c r="AI17" s="66">
        <f>Y17+SUMIFS(预计变动!$F:$F,预计变动!$B:$B,AI$7,预计变动!$C:$C,$B17,预计变动!$I:$I,"&gt;"&amp;EOMONTH(DATE(YEAR($C$4),MONTH($C$4),1),0),预计变动!$I:$I,"&lt;="&amp;DATE(YEAR($C$4),12,31))</f>
        <v>0</v>
      </c>
      <c r="AJ17" s="66">
        <f>Z17+SUMIFS(预计变动!$F:$F,预计变动!$B:$B,AJ$7,预计变动!$C:$C,$B17,预计变动!$I:$I,"&gt;"&amp;EOMONTH(DATE(YEAR($C$4),MONTH($C$4),1),0),预计变动!$I:$I,"&lt;="&amp;DATE(YEAR($C$4),12,31))</f>
        <v>0</v>
      </c>
      <c r="AK17" s="66">
        <f>AA17+SUMIFS(预计变动!$F:$F,预计变动!$B:$B,AK$7,预计变动!$C:$C,$B17,预计变动!$I:$I,"&gt;"&amp;EOMONTH(DATE(YEAR($C$4),MONTH($C$4),1),0),预计变动!$I:$I,"&lt;="&amp;DATE(YEAR($C$4),12,31))</f>
        <v>0</v>
      </c>
      <c r="AL17" s="66">
        <f>AB17+SUMIFS(预计变动!$F:$F,预计变动!$B:$B,AL$7,预计变动!$C:$C,$B17,预计变动!$I:$I,"&gt;"&amp;EOMONTH(DATE(YEAR($C$4),MONTH($C$4),1),0),预计变动!$I:$I,"&lt;="&amp;DATE(YEAR($C$4),12,31))</f>
        <v>0</v>
      </c>
      <c r="AM17" s="66">
        <f>AC17+SUMIFS(预计变动!$F:$F,预计变动!$B:$B,AM$7,预计变动!$C:$C,$B17,预计变动!$I:$I,"&gt;"&amp;EOMONTH(DATE(YEAR($C$4),MONTH($C$4),1),0),预计变动!$I:$I,"&lt;="&amp;DATE(YEAR($C$4),12,31))</f>
        <v>1</v>
      </c>
      <c r="AN17" s="66">
        <f>AD17+SUMIFS(预计变动!$F:$F,预计变动!$B:$B,AN$7,预计变动!$C:$C,$B17,预计变动!$I:$I,"&gt;"&amp;EOMONTH(DATE(YEAR($C$4),MONTH($C$4),1),0),预计变动!$I:$I,"&lt;="&amp;DATE(YEAR($C$4),12,31))</f>
        <v>1</v>
      </c>
      <c r="AO17" s="66">
        <f>AE17+SUMIFS(预计变动!$F:$F,预计变动!$B:$B,AO$7,预计变动!$C:$C,$B17,预计变动!$I:$I,"&gt;"&amp;EOMONTH(DATE(YEAR($C$4),MONTH($C$4),1),0),预计变动!$I:$I,"&lt;="&amp;DATE(YEAR($C$4),12,31))</f>
        <v>0</v>
      </c>
      <c r="AP17" s="66">
        <f>AF17+SUMIFS(预计变动!$F:$F,预计变动!$B:$B,AP$7,预计变动!$C:$C,$B17,预计变动!$I:$I,"&gt;"&amp;EOMONTH(DATE(YEAR($C$4),MONTH($C$4),1),0),预计变动!$I:$I,"&lt;="&amp;DATE(YEAR($C$4),12,31))</f>
        <v>0</v>
      </c>
      <c r="AQ17" s="66">
        <f>AG17+SUMIFS(预计变动!$F:$F,预计变动!$C:$C,$B17,预计变动!$I:$I,"&gt;="&amp;DATE(YEAR($C$4)+1,1,1),预计变动!$I:$I,"&lt;="&amp;DATE(YEAR($C$4)+1,12,31))</f>
        <v>2</v>
      </c>
      <c r="AR17" s="66">
        <f>AH17+SUMIFS(预计变动!$F:$F,预计变动!$B:$B,AR$7,预计变动!$C:$C,$B17,预计变动!$I:$I,"&gt;="&amp;DATE(YEAR($C$4)+1,1,1),预计变动!$I:$I,"&lt;="&amp;DATE(YEAR($C$4)+1,12,31))</f>
        <v>0</v>
      </c>
      <c r="AS17" s="66">
        <f>AI17+SUMIFS(预计变动!$F:$F,预计变动!$B:$B,AS$7,预计变动!$C:$C,$B17,预计变动!$I:$I,"&gt;="&amp;DATE(YEAR($C$4)+1,1,1),预计变动!$I:$I,"&lt;="&amp;DATE(YEAR($C$4)+1,12,31))</f>
        <v>0</v>
      </c>
      <c r="AT17" s="66">
        <f>AJ17+SUMIFS(预计变动!$F:$F,预计变动!$B:$B,AT$7,预计变动!$C:$C,$B17,预计变动!$I:$I,"&gt;="&amp;DATE(YEAR($C$4)+1,1,1),预计变动!$I:$I,"&lt;="&amp;DATE(YEAR($C$4)+1,12,31))</f>
        <v>0</v>
      </c>
      <c r="AU17" s="66">
        <f>AK17+SUMIFS(预计变动!$F:$F,预计变动!$B:$B,AU$7,预计变动!$C:$C,$B17,预计变动!$I:$I,"&gt;="&amp;DATE(YEAR($C$4)+1,1,1),预计变动!$I:$I,"&lt;="&amp;DATE(YEAR($C$4)+1,12,31))</f>
        <v>0</v>
      </c>
      <c r="AV17" s="66">
        <f>AL17+SUMIFS(预计变动!$F:$F,预计变动!$B:$B,AV$7,预计变动!$C:$C,$B17,预计变动!$I:$I,"&gt;="&amp;DATE(YEAR($C$4)+1,1,1),预计变动!$I:$I,"&lt;="&amp;DATE(YEAR($C$4)+1,12,31))</f>
        <v>0</v>
      </c>
      <c r="AW17" s="66">
        <f>AM17+SUMIFS(预计变动!$F:$F,预计变动!$B:$B,AW$7,预计变动!$C:$C,$B17,预计变动!$I:$I,"&gt;="&amp;DATE(YEAR($C$4)+1,1,1),预计变动!$I:$I,"&lt;="&amp;DATE(YEAR($C$4)+1,12,31))</f>
        <v>1</v>
      </c>
      <c r="AX17" s="66">
        <f>AN17+SUMIFS(预计变动!$F:$F,预计变动!$B:$B,AX$7,预计变动!$C:$C,$B17,预计变动!$I:$I,"&gt;="&amp;DATE(YEAR($C$4)+1,1,1),预计变动!$I:$I,"&lt;="&amp;DATE(YEAR($C$4)+1,12,31))</f>
        <v>1</v>
      </c>
      <c r="AY17" s="66">
        <f>AO17+SUMIFS(预计变动!$F:$F,预计变动!$B:$B,AY$7,预计变动!$C:$C,$B17,预计变动!$I:$I,"&gt;="&amp;DATE(YEAR($C$4)+1,1,1),预计变动!$I:$I,"&lt;="&amp;DATE(YEAR($C$4)+1,12,31))</f>
        <v>0</v>
      </c>
      <c r="AZ17" s="66">
        <f>AP17+SUMIFS(预计变动!$F:$F,预计变动!$B:$B,AZ$7,预计变动!$C:$C,$B17,预计变动!$I:$I,"&gt;="&amp;DATE(YEAR($C$4)+1,1,1),预计变动!$I:$I,"&lt;="&amp;DATE(YEAR($C$4)+1,12,31))</f>
        <v>0</v>
      </c>
    </row>
    <row r="18" spans="2:52">
      <c r="B18" s="65" t="s">
        <v>247</v>
      </c>
      <c r="C18" s="66">
        <f>COUNTIFS(人员状况!$D:$D,"*",人员状况!$E:$E,$B18,人员状况!$G:$G,"&lt;="&amp;DATE(YEAR($C$4)-2,12,31),人员状况!$H:$H,"&gt;="&amp;DATE(YEAR($C$4)-2,12,31)+1)</f>
        <v>2</v>
      </c>
      <c r="D18" s="66">
        <f>COUNTIFS(人员状况!$D:$D,"*",人员状况!$E:$E,$B18,人员状况!$D:$D,D$7,人员状况!$G:$G,"&lt;="&amp;DATE(YEAR($C$4)-2,12,31),人员状况!$H:$H,"&gt;="&amp;DATE(YEAR($C$4)-2,12,31)+1)</f>
        <v>0</v>
      </c>
      <c r="E18" s="66">
        <f>COUNTIFS(人员状况!$D:$D,"*",人员状况!$E:$E,$B18,人员状况!$D:$D,E$7,人员状况!$G:$G,"&lt;="&amp;DATE(YEAR($C$4)-2,12,31),人员状况!$H:$H,"&gt;="&amp;DATE(YEAR($C$4)-2,12,31)+1)</f>
        <v>0</v>
      </c>
      <c r="F18" s="66">
        <f>COUNTIFS(人员状况!$D:$D,"*",人员状况!$E:$E,$B18,人员状况!$D:$D,F$7,人员状况!$G:$G,"&lt;="&amp;DATE(YEAR($C$4)-2,12,31),人员状况!$H:$H,"&gt;="&amp;DATE(YEAR($C$4)-2,12,31)+1)</f>
        <v>0</v>
      </c>
      <c r="G18" s="66">
        <f>COUNTIFS(人员状况!$D:$D,"*",人员状况!$E:$E,$B18,人员状况!$D:$D,G$7,人员状况!$G:$G,"&lt;="&amp;DATE(YEAR($C$4)-2,12,31),人员状况!$H:$H,"&gt;="&amp;DATE(YEAR($C$4)-2,12,31)+1)</f>
        <v>0</v>
      </c>
      <c r="H18" s="66">
        <f>COUNTIFS(人员状况!$D:$D,"*",人员状况!$E:$E,$B18,人员状况!$D:$D,H$7,人员状况!$G:$G,"&lt;="&amp;DATE(YEAR($C$4)-2,12,31),人员状况!$H:$H,"&gt;="&amp;DATE(YEAR($C$4)-2,12,31)+1)</f>
        <v>0</v>
      </c>
      <c r="I18" s="66">
        <f>COUNTIFS(人员状况!$D:$D,"*",人员状况!$E:$E,$B18,人员状况!$D:$D,I$7,人员状况!$G:$G,"&lt;="&amp;DATE(YEAR($C$4)-2,12,31),人员状况!$H:$H,"&gt;="&amp;DATE(YEAR($C$4)-2,12,31)+1)</f>
        <v>1</v>
      </c>
      <c r="J18" s="66">
        <f>COUNTIFS(人员状况!$D:$D,"*",人员状况!$E:$E,$B18,人员状况!$D:$D,J$7,人员状况!$G:$G,"&lt;="&amp;DATE(YEAR($C$4)-2,12,31),人员状况!$H:$H,"&gt;="&amp;DATE(YEAR($C$4)-2,12,31)+1)</f>
        <v>1</v>
      </c>
      <c r="K18" s="66">
        <f>COUNTIFS(人员状况!$D:$D,"*",人员状况!$E:$E,$B18,人员状况!$D:$D,K$7,人员状况!$G:$G,"&lt;="&amp;DATE(YEAR($C$4)-2,12,31),人员状况!$H:$H,"&gt;="&amp;DATE(YEAR($C$4)-2,12,31)+1)</f>
        <v>0</v>
      </c>
      <c r="L18" s="66">
        <f>COUNTIFS(人员状况!$D:$D,"*",人员状况!$E:$E,$B18,人员状况!$D:$D,L$7,人员状况!$G:$G,"&lt;="&amp;DATE(YEAR($C$4)-2,12,31),人员状况!$H:$H,"&gt;="&amp;DATE(YEAR($C$4)-2,12,31)+1)</f>
        <v>0</v>
      </c>
      <c r="M18" s="66">
        <f>COUNTIFS(人员状况!$D:$D,"*",人员状况!$E:$E,$B18,人员状况!$G:$G,"&lt;="&amp;DATE(YEAR($C$4)-1,12,31),人员状况!$H:$H,"&gt;="&amp;DATE(YEAR($C$4)-1,12,31)+1)</f>
        <v>2</v>
      </c>
      <c r="N18" s="66">
        <f>COUNTIFS(人员状况!$D:$D,"*",人员状况!$E:$E,$B18,人员状况!$D:$D,N$7,人员状况!$G:$G,"&lt;="&amp;DATE(YEAR($C$4)-1,12,31),人员状况!$H:$H,"&gt;="&amp;DATE(YEAR($C$4)-1,12,31)+1)</f>
        <v>0</v>
      </c>
      <c r="O18" s="66">
        <f>COUNTIFS(人员状况!$D:$D,"*",人员状况!$E:$E,$B18,人员状况!$D:$D,O$7,人员状况!$G:$G,"&lt;="&amp;DATE(YEAR($C$4)-1,12,31),人员状况!$H:$H,"&gt;="&amp;DATE(YEAR($C$4)-1,12,31)+1)</f>
        <v>0</v>
      </c>
      <c r="P18" s="66">
        <f>COUNTIFS(人员状况!$D:$D,"*",人员状况!$E:$E,$B18,人员状况!$D:$D,P$7,人员状况!$G:$G,"&lt;="&amp;DATE(YEAR($C$4)-1,12,31),人员状况!$H:$H,"&gt;="&amp;DATE(YEAR($C$4)-1,12,31)+1)</f>
        <v>0</v>
      </c>
      <c r="Q18" s="66">
        <f>COUNTIFS(人员状况!$D:$D,"*",人员状况!$E:$E,$B18,人员状况!$D:$D,Q$7,人员状况!$G:$G,"&lt;="&amp;DATE(YEAR($C$4)-1,12,31),人员状况!$H:$H,"&gt;="&amp;DATE(YEAR($C$4)-1,12,31)+1)</f>
        <v>0</v>
      </c>
      <c r="R18" s="66">
        <f>COUNTIFS(人员状况!$D:$D,"*",人员状况!$E:$E,$B18,人员状况!$D:$D,R$7,人员状况!$G:$G,"&lt;="&amp;DATE(YEAR($C$4)-1,12,31),人员状况!$H:$H,"&gt;="&amp;DATE(YEAR($C$4)-1,12,31)+1)</f>
        <v>0</v>
      </c>
      <c r="S18" s="66">
        <f>COUNTIFS(人员状况!$D:$D,"*",人员状况!$E:$E,$B18,人员状况!$D:$D,S$7,人员状况!$G:$G,"&lt;="&amp;DATE(YEAR($C$4)-1,12,31),人员状况!$H:$H,"&gt;="&amp;DATE(YEAR($C$4)-1,12,31)+1)</f>
        <v>1</v>
      </c>
      <c r="T18" s="66">
        <f>COUNTIFS(人员状况!$D:$D,"*",人员状况!$E:$E,$B18,人员状况!$D:$D,T$7,人员状况!$G:$G,"&lt;="&amp;DATE(YEAR($C$4)-1,12,31),人员状况!$H:$H,"&gt;="&amp;DATE(YEAR($C$4)-1,12,31)+1)</f>
        <v>1</v>
      </c>
      <c r="U18" s="66">
        <f>COUNTIFS(人员状况!$D:$D,"*",人员状况!$E:$E,$B18,人员状况!$D:$D,U$7,人员状况!$G:$G,"&lt;="&amp;DATE(YEAR($C$4)-1,12,31),人员状况!$H:$H,"&gt;="&amp;DATE(YEAR($C$4)-1,12,31)+1)</f>
        <v>0</v>
      </c>
      <c r="V18" s="66">
        <f>COUNTIFS(人员状况!$D:$D,"*",人员状况!$E:$E,$B18,人员状况!$D:$D,V$7,人员状况!$G:$G,"&lt;="&amp;DATE(YEAR($C$4)-1,12,31),人员状况!$H:$H,"&gt;="&amp;DATE(YEAR($C$4)-1,12,31)+1)</f>
        <v>0</v>
      </c>
      <c r="W18" s="66">
        <f>COUNTIFS(人员状况!$D:$D,"*",人员状况!$E:$E,$B18,人员状况!$G:$G,"&lt;="&amp;EOMONTH(DATE(YEAR($C$4)-1,MONTH($C$4),1),0),人员状况!$H:$H,"&gt;="&amp;EOMONTH(DATE(YEAR($C$4)-1,MONTH($C$4),1),0)+1)</f>
        <v>2</v>
      </c>
      <c r="X18" s="66">
        <f>COUNTIFS(人员状况!$D:$D,X$7,人员状况!$E:$E,$B18,人员状况!$G:$G,"&lt;="&amp;EOMONTH(DATE(YEAR($C$4)-1,MONTH($C$4),1),0),人员状况!$H:$H,"&gt;="&amp;EOMONTH(DATE(YEAR($C$4)-1,MONTH($C$4),1),0)+1)</f>
        <v>0</v>
      </c>
      <c r="Y18" s="66">
        <f>COUNTIFS(人员状况!$D:$D,Y$7,人员状况!$E:$E,$B18,人员状况!$G:$G,"&lt;="&amp;EOMONTH(DATE(YEAR($C$4)-1,MONTH($C$4),1),0),人员状况!$H:$H,"&gt;="&amp;EOMONTH(DATE(YEAR($C$4)-1,MONTH($C$4),1),0)+1)</f>
        <v>0</v>
      </c>
      <c r="Z18" s="66">
        <f>COUNTIFS(人员状况!$D:$D,Z$7,人员状况!$E:$E,$B18,人员状况!$G:$G,"&lt;="&amp;EOMONTH(DATE(YEAR($C$4)-1,MONTH($C$4),1),0),人员状况!$H:$H,"&gt;="&amp;EOMONTH(DATE(YEAR($C$4)-1,MONTH($C$4),1),0)+1)</f>
        <v>0</v>
      </c>
      <c r="AA18" s="66">
        <f>COUNTIFS(人员状况!$D:$D,AA$7,人员状况!$E:$E,$B18,人员状况!$G:$G,"&lt;="&amp;EOMONTH(DATE(YEAR($C$4)-1,MONTH($C$4),1),0),人员状况!$H:$H,"&gt;="&amp;EOMONTH(DATE(YEAR($C$4)-1,MONTH($C$4),1),0)+1)</f>
        <v>0</v>
      </c>
      <c r="AB18" s="66">
        <f>COUNTIFS(人员状况!$D:$D,AB$7,人员状况!$E:$E,$B18,人员状况!$G:$G,"&lt;="&amp;EOMONTH(DATE(YEAR($C$4)-1,MONTH($C$4),1),0),人员状况!$H:$H,"&gt;="&amp;EOMONTH(DATE(YEAR($C$4)-1,MONTH($C$4),1),0)+1)</f>
        <v>0</v>
      </c>
      <c r="AC18" s="66">
        <f>COUNTIFS(人员状况!$D:$D,AC$7,人员状况!$E:$E,$B18,人员状况!$G:$G,"&lt;="&amp;EOMONTH(DATE(YEAR($C$4)-1,MONTH($C$4),1),0),人员状况!$H:$H,"&gt;="&amp;EOMONTH(DATE(YEAR($C$4)-1,MONTH($C$4),1),0)+1)</f>
        <v>1</v>
      </c>
      <c r="AD18" s="66">
        <f>COUNTIFS(人员状况!$D:$D,AD$7,人员状况!$E:$E,$B18,人员状况!$G:$G,"&lt;="&amp;EOMONTH(DATE(YEAR($C$4)-1,MONTH($C$4),1),0),人员状况!$H:$H,"&gt;="&amp;EOMONTH(DATE(YEAR($C$4)-1,MONTH($C$4),1),0)+1)</f>
        <v>1</v>
      </c>
      <c r="AE18" s="66">
        <f>COUNTIFS(人员状况!$D:$D,AE$7,人员状况!$E:$E,$B18,人员状况!$G:$G,"&lt;="&amp;EOMONTH(DATE(YEAR($C$4)-1,MONTH($C$4),1),0),人员状况!$H:$H,"&gt;="&amp;EOMONTH(DATE(YEAR($C$4)-1,MONTH($C$4),1),0)+1)</f>
        <v>0</v>
      </c>
      <c r="AF18" s="66">
        <f>COUNTIFS(人员状况!$D:$D,AF$7,人员状况!$E:$E,$B18,人员状况!$G:$G,"&lt;="&amp;EOMONTH(DATE(YEAR($C$4)-1,MONTH($C$4),1),0),人员状况!$H:$H,"&gt;="&amp;EOMONTH(DATE(YEAR($C$4)-1,MONTH($C$4),1),0)+1)</f>
        <v>0</v>
      </c>
      <c r="AG18" s="66">
        <f>W18+SUMIFS(预计变动!$F:$F,预计变动!$C:$C,$B18,预计变动!$I:$I,"&gt;"&amp;EOMONTH(DATE(YEAR($C$4),MONTH($C$4),1),0),预计变动!$I:$I,"&lt;="&amp;DATE(YEAR($C$4),12,31))</f>
        <v>2</v>
      </c>
      <c r="AH18" s="66">
        <f>X18+SUMIFS(预计变动!$F:$F,预计变动!$B:$B,AH$7,预计变动!$C:$C,$B18,预计变动!$I:$I,"&gt;"&amp;EOMONTH(DATE(YEAR($C$4),MONTH($C$4),1),0),预计变动!$I:$I,"&lt;="&amp;DATE(YEAR($C$4),12,31))</f>
        <v>0</v>
      </c>
      <c r="AI18" s="66">
        <f>Y18+SUMIFS(预计变动!$F:$F,预计变动!$B:$B,AI$7,预计变动!$C:$C,$B18,预计变动!$I:$I,"&gt;"&amp;EOMONTH(DATE(YEAR($C$4),MONTH($C$4),1),0),预计变动!$I:$I,"&lt;="&amp;DATE(YEAR($C$4),12,31))</f>
        <v>0</v>
      </c>
      <c r="AJ18" s="66">
        <f>Z18+SUMIFS(预计变动!$F:$F,预计变动!$B:$B,AJ$7,预计变动!$C:$C,$B18,预计变动!$I:$I,"&gt;"&amp;EOMONTH(DATE(YEAR($C$4),MONTH($C$4),1),0),预计变动!$I:$I,"&lt;="&amp;DATE(YEAR($C$4),12,31))</f>
        <v>0</v>
      </c>
      <c r="AK18" s="66">
        <f>AA18+SUMIFS(预计变动!$F:$F,预计变动!$B:$B,AK$7,预计变动!$C:$C,$B18,预计变动!$I:$I,"&gt;"&amp;EOMONTH(DATE(YEAR($C$4),MONTH($C$4),1),0),预计变动!$I:$I,"&lt;="&amp;DATE(YEAR($C$4),12,31))</f>
        <v>0</v>
      </c>
      <c r="AL18" s="66">
        <f>AB18+SUMIFS(预计变动!$F:$F,预计变动!$B:$B,AL$7,预计变动!$C:$C,$B18,预计变动!$I:$I,"&gt;"&amp;EOMONTH(DATE(YEAR($C$4),MONTH($C$4),1),0),预计变动!$I:$I,"&lt;="&amp;DATE(YEAR($C$4),12,31))</f>
        <v>0</v>
      </c>
      <c r="AM18" s="66">
        <f>AC18+SUMIFS(预计变动!$F:$F,预计变动!$B:$B,AM$7,预计变动!$C:$C,$B18,预计变动!$I:$I,"&gt;"&amp;EOMONTH(DATE(YEAR($C$4),MONTH($C$4),1),0),预计变动!$I:$I,"&lt;="&amp;DATE(YEAR($C$4),12,31))</f>
        <v>1</v>
      </c>
      <c r="AN18" s="66">
        <f>AD18+SUMIFS(预计变动!$F:$F,预计变动!$B:$B,AN$7,预计变动!$C:$C,$B18,预计变动!$I:$I,"&gt;"&amp;EOMONTH(DATE(YEAR($C$4),MONTH($C$4),1),0),预计变动!$I:$I,"&lt;="&amp;DATE(YEAR($C$4),12,31))</f>
        <v>1</v>
      </c>
      <c r="AO18" s="66">
        <f>AE18+SUMIFS(预计变动!$F:$F,预计变动!$B:$B,AO$7,预计变动!$C:$C,$B18,预计变动!$I:$I,"&gt;"&amp;EOMONTH(DATE(YEAR($C$4),MONTH($C$4),1),0),预计变动!$I:$I,"&lt;="&amp;DATE(YEAR($C$4),12,31))</f>
        <v>0</v>
      </c>
      <c r="AP18" s="66">
        <f>AF18+SUMIFS(预计变动!$F:$F,预计变动!$B:$B,AP$7,预计变动!$C:$C,$B18,预计变动!$I:$I,"&gt;"&amp;EOMONTH(DATE(YEAR($C$4),MONTH($C$4),1),0),预计变动!$I:$I,"&lt;="&amp;DATE(YEAR($C$4),12,31))</f>
        <v>0</v>
      </c>
      <c r="AQ18" s="66">
        <f>AG18+SUMIFS(预计变动!$F:$F,预计变动!$C:$C,$B18,预计变动!$I:$I,"&gt;="&amp;DATE(YEAR($C$4)+1,1,1),预计变动!$I:$I,"&lt;="&amp;DATE(YEAR($C$4)+1,12,31))</f>
        <v>2</v>
      </c>
      <c r="AR18" s="66">
        <f>AH18+SUMIFS(预计变动!$F:$F,预计变动!$B:$B,AR$7,预计变动!$C:$C,$B18,预计变动!$I:$I,"&gt;="&amp;DATE(YEAR($C$4)+1,1,1),预计变动!$I:$I,"&lt;="&amp;DATE(YEAR($C$4)+1,12,31))</f>
        <v>0</v>
      </c>
      <c r="AS18" s="66">
        <f>AI18+SUMIFS(预计变动!$F:$F,预计变动!$B:$B,AS$7,预计变动!$C:$C,$B18,预计变动!$I:$I,"&gt;="&amp;DATE(YEAR($C$4)+1,1,1),预计变动!$I:$I,"&lt;="&amp;DATE(YEAR($C$4)+1,12,31))</f>
        <v>0</v>
      </c>
      <c r="AT18" s="66">
        <f>AJ18+SUMIFS(预计变动!$F:$F,预计变动!$B:$B,AT$7,预计变动!$C:$C,$B18,预计变动!$I:$I,"&gt;="&amp;DATE(YEAR($C$4)+1,1,1),预计变动!$I:$I,"&lt;="&amp;DATE(YEAR($C$4)+1,12,31))</f>
        <v>0</v>
      </c>
      <c r="AU18" s="66">
        <f>AK18+SUMIFS(预计变动!$F:$F,预计变动!$B:$B,AU$7,预计变动!$C:$C,$B18,预计变动!$I:$I,"&gt;="&amp;DATE(YEAR($C$4)+1,1,1),预计变动!$I:$I,"&lt;="&amp;DATE(YEAR($C$4)+1,12,31))</f>
        <v>0</v>
      </c>
      <c r="AV18" s="66">
        <f>AL18+SUMIFS(预计变动!$F:$F,预计变动!$B:$B,AV$7,预计变动!$C:$C,$B18,预计变动!$I:$I,"&gt;="&amp;DATE(YEAR($C$4)+1,1,1),预计变动!$I:$I,"&lt;="&amp;DATE(YEAR($C$4)+1,12,31))</f>
        <v>0</v>
      </c>
      <c r="AW18" s="66">
        <f>AM18+SUMIFS(预计变动!$F:$F,预计变动!$B:$B,AW$7,预计变动!$C:$C,$B18,预计变动!$I:$I,"&gt;="&amp;DATE(YEAR($C$4)+1,1,1),预计变动!$I:$I,"&lt;="&amp;DATE(YEAR($C$4)+1,12,31))</f>
        <v>1</v>
      </c>
      <c r="AX18" s="66">
        <f>AN18+SUMIFS(预计变动!$F:$F,预计变动!$B:$B,AX$7,预计变动!$C:$C,$B18,预计变动!$I:$I,"&gt;="&amp;DATE(YEAR($C$4)+1,1,1),预计变动!$I:$I,"&lt;="&amp;DATE(YEAR($C$4)+1,12,31))</f>
        <v>1</v>
      </c>
      <c r="AY18" s="66">
        <f>AO18+SUMIFS(预计变动!$F:$F,预计变动!$B:$B,AY$7,预计变动!$C:$C,$B18,预计变动!$I:$I,"&gt;="&amp;DATE(YEAR($C$4)+1,1,1),预计变动!$I:$I,"&lt;="&amp;DATE(YEAR($C$4)+1,12,31))</f>
        <v>0</v>
      </c>
      <c r="AZ18" s="66">
        <f>AP18+SUMIFS(预计变动!$F:$F,预计变动!$B:$B,AZ$7,预计变动!$C:$C,$B18,预计变动!$I:$I,"&gt;="&amp;DATE(YEAR($C$4)+1,1,1),预计变动!$I:$I,"&lt;="&amp;DATE(YEAR($C$4)+1,12,31))</f>
        <v>0</v>
      </c>
    </row>
    <row r="19" spans="2:52">
      <c r="B19" s="65" t="s">
        <v>251</v>
      </c>
      <c r="C19" s="66">
        <f>COUNTIFS(人员状况!$D:$D,"*",人员状况!$E:$E,$B19,人员状况!$G:$G,"&lt;="&amp;DATE(YEAR($C$4)-2,12,31),人员状况!$H:$H,"&gt;="&amp;DATE(YEAR($C$4)-2,12,31)+1)</f>
        <v>2</v>
      </c>
      <c r="D19" s="66">
        <f>COUNTIFS(人员状况!$D:$D,"*",人员状况!$E:$E,$B19,人员状况!$D:$D,D$7,人员状况!$G:$G,"&lt;="&amp;DATE(YEAR($C$4)-2,12,31),人员状况!$H:$H,"&gt;="&amp;DATE(YEAR($C$4)-2,12,31)+1)</f>
        <v>0</v>
      </c>
      <c r="E19" s="66">
        <f>COUNTIFS(人员状况!$D:$D,"*",人员状况!$E:$E,$B19,人员状况!$D:$D,E$7,人员状况!$G:$G,"&lt;="&amp;DATE(YEAR($C$4)-2,12,31),人员状况!$H:$H,"&gt;="&amp;DATE(YEAR($C$4)-2,12,31)+1)</f>
        <v>0</v>
      </c>
      <c r="F19" s="66">
        <f>COUNTIFS(人员状况!$D:$D,"*",人员状况!$E:$E,$B19,人员状况!$D:$D,F$7,人员状况!$G:$G,"&lt;="&amp;DATE(YEAR($C$4)-2,12,31),人员状况!$H:$H,"&gt;="&amp;DATE(YEAR($C$4)-2,12,31)+1)</f>
        <v>0</v>
      </c>
      <c r="G19" s="66">
        <f>COUNTIFS(人员状况!$D:$D,"*",人员状况!$E:$E,$B19,人员状况!$D:$D,G$7,人员状况!$G:$G,"&lt;="&amp;DATE(YEAR($C$4)-2,12,31),人员状况!$H:$H,"&gt;="&amp;DATE(YEAR($C$4)-2,12,31)+1)</f>
        <v>0</v>
      </c>
      <c r="H19" s="66">
        <f>COUNTIFS(人员状况!$D:$D,"*",人员状况!$E:$E,$B19,人员状况!$D:$D,H$7,人员状况!$G:$G,"&lt;="&amp;DATE(YEAR($C$4)-2,12,31),人员状况!$H:$H,"&gt;="&amp;DATE(YEAR($C$4)-2,12,31)+1)</f>
        <v>0</v>
      </c>
      <c r="I19" s="66">
        <f>COUNTIFS(人员状况!$D:$D,"*",人员状况!$E:$E,$B19,人员状况!$D:$D,I$7,人员状况!$G:$G,"&lt;="&amp;DATE(YEAR($C$4)-2,12,31),人员状况!$H:$H,"&gt;="&amp;DATE(YEAR($C$4)-2,12,31)+1)</f>
        <v>1</v>
      </c>
      <c r="J19" s="66">
        <f>COUNTIFS(人员状况!$D:$D,"*",人员状况!$E:$E,$B19,人员状况!$D:$D,J$7,人员状况!$G:$G,"&lt;="&amp;DATE(YEAR($C$4)-2,12,31),人员状况!$H:$H,"&gt;="&amp;DATE(YEAR($C$4)-2,12,31)+1)</f>
        <v>1</v>
      </c>
      <c r="K19" s="66">
        <f>COUNTIFS(人员状况!$D:$D,"*",人员状况!$E:$E,$B19,人员状况!$D:$D,K$7,人员状况!$G:$G,"&lt;="&amp;DATE(YEAR($C$4)-2,12,31),人员状况!$H:$H,"&gt;="&amp;DATE(YEAR($C$4)-2,12,31)+1)</f>
        <v>0</v>
      </c>
      <c r="L19" s="66">
        <f>COUNTIFS(人员状况!$D:$D,"*",人员状况!$E:$E,$B19,人员状况!$D:$D,L$7,人员状况!$G:$G,"&lt;="&amp;DATE(YEAR($C$4)-2,12,31),人员状况!$H:$H,"&gt;="&amp;DATE(YEAR($C$4)-2,12,31)+1)</f>
        <v>0</v>
      </c>
      <c r="M19" s="66">
        <f>COUNTIFS(人员状况!$D:$D,"*",人员状况!$E:$E,$B19,人员状况!$G:$G,"&lt;="&amp;DATE(YEAR($C$4)-1,12,31),人员状况!$H:$H,"&gt;="&amp;DATE(YEAR($C$4)-1,12,31)+1)</f>
        <v>2</v>
      </c>
      <c r="N19" s="66">
        <f>COUNTIFS(人员状况!$D:$D,"*",人员状况!$E:$E,$B19,人员状况!$D:$D,N$7,人员状况!$G:$G,"&lt;="&amp;DATE(YEAR($C$4)-1,12,31),人员状况!$H:$H,"&gt;="&amp;DATE(YEAR($C$4)-1,12,31)+1)</f>
        <v>0</v>
      </c>
      <c r="O19" s="66">
        <f>COUNTIFS(人员状况!$D:$D,"*",人员状况!$E:$E,$B19,人员状况!$D:$D,O$7,人员状况!$G:$G,"&lt;="&amp;DATE(YEAR($C$4)-1,12,31),人员状况!$H:$H,"&gt;="&amp;DATE(YEAR($C$4)-1,12,31)+1)</f>
        <v>0</v>
      </c>
      <c r="P19" s="66">
        <f>COUNTIFS(人员状况!$D:$D,"*",人员状况!$E:$E,$B19,人员状况!$D:$D,P$7,人员状况!$G:$G,"&lt;="&amp;DATE(YEAR($C$4)-1,12,31),人员状况!$H:$H,"&gt;="&amp;DATE(YEAR($C$4)-1,12,31)+1)</f>
        <v>0</v>
      </c>
      <c r="Q19" s="66">
        <f>COUNTIFS(人员状况!$D:$D,"*",人员状况!$E:$E,$B19,人员状况!$D:$D,Q$7,人员状况!$G:$G,"&lt;="&amp;DATE(YEAR($C$4)-1,12,31),人员状况!$H:$H,"&gt;="&amp;DATE(YEAR($C$4)-1,12,31)+1)</f>
        <v>0</v>
      </c>
      <c r="R19" s="66">
        <f>COUNTIFS(人员状况!$D:$D,"*",人员状况!$E:$E,$B19,人员状况!$D:$D,R$7,人员状况!$G:$G,"&lt;="&amp;DATE(YEAR($C$4)-1,12,31),人员状况!$H:$H,"&gt;="&amp;DATE(YEAR($C$4)-1,12,31)+1)</f>
        <v>0</v>
      </c>
      <c r="S19" s="66">
        <f>COUNTIFS(人员状况!$D:$D,"*",人员状况!$E:$E,$B19,人员状况!$D:$D,S$7,人员状况!$G:$G,"&lt;="&amp;DATE(YEAR($C$4)-1,12,31),人员状况!$H:$H,"&gt;="&amp;DATE(YEAR($C$4)-1,12,31)+1)</f>
        <v>1</v>
      </c>
      <c r="T19" s="66">
        <f>COUNTIFS(人员状况!$D:$D,"*",人员状况!$E:$E,$B19,人员状况!$D:$D,T$7,人员状况!$G:$G,"&lt;="&amp;DATE(YEAR($C$4)-1,12,31),人员状况!$H:$H,"&gt;="&amp;DATE(YEAR($C$4)-1,12,31)+1)</f>
        <v>1</v>
      </c>
      <c r="U19" s="66">
        <f>COUNTIFS(人员状况!$D:$D,"*",人员状况!$E:$E,$B19,人员状况!$D:$D,U$7,人员状况!$G:$G,"&lt;="&amp;DATE(YEAR($C$4)-1,12,31),人员状况!$H:$H,"&gt;="&amp;DATE(YEAR($C$4)-1,12,31)+1)</f>
        <v>0</v>
      </c>
      <c r="V19" s="66">
        <f>COUNTIFS(人员状况!$D:$D,"*",人员状况!$E:$E,$B19,人员状况!$D:$D,V$7,人员状况!$G:$G,"&lt;="&amp;DATE(YEAR($C$4)-1,12,31),人员状况!$H:$H,"&gt;="&amp;DATE(YEAR($C$4)-1,12,31)+1)</f>
        <v>0</v>
      </c>
      <c r="W19" s="66">
        <f>COUNTIFS(人员状况!$D:$D,"*",人员状况!$E:$E,$B19,人员状况!$G:$G,"&lt;="&amp;EOMONTH(DATE(YEAR($C$4)-1,MONTH($C$4),1),0),人员状况!$H:$H,"&gt;="&amp;EOMONTH(DATE(YEAR($C$4)-1,MONTH($C$4),1),0)+1)</f>
        <v>2</v>
      </c>
      <c r="X19" s="66">
        <f>COUNTIFS(人员状况!$D:$D,X$7,人员状况!$E:$E,$B19,人员状况!$G:$G,"&lt;="&amp;EOMONTH(DATE(YEAR($C$4)-1,MONTH($C$4),1),0),人员状况!$H:$H,"&gt;="&amp;EOMONTH(DATE(YEAR($C$4)-1,MONTH($C$4),1),0)+1)</f>
        <v>0</v>
      </c>
      <c r="Y19" s="66">
        <f>COUNTIFS(人员状况!$D:$D,Y$7,人员状况!$E:$E,$B19,人员状况!$G:$G,"&lt;="&amp;EOMONTH(DATE(YEAR($C$4)-1,MONTH($C$4),1),0),人员状况!$H:$H,"&gt;="&amp;EOMONTH(DATE(YEAR($C$4)-1,MONTH($C$4),1),0)+1)</f>
        <v>0</v>
      </c>
      <c r="Z19" s="66">
        <f>COUNTIFS(人员状况!$D:$D,Z$7,人员状况!$E:$E,$B19,人员状况!$G:$G,"&lt;="&amp;EOMONTH(DATE(YEAR($C$4)-1,MONTH($C$4),1),0),人员状况!$H:$H,"&gt;="&amp;EOMONTH(DATE(YEAR($C$4)-1,MONTH($C$4),1),0)+1)</f>
        <v>0</v>
      </c>
      <c r="AA19" s="66">
        <f>COUNTIFS(人员状况!$D:$D,AA$7,人员状况!$E:$E,$B19,人员状况!$G:$G,"&lt;="&amp;EOMONTH(DATE(YEAR($C$4)-1,MONTH($C$4),1),0),人员状况!$H:$H,"&gt;="&amp;EOMONTH(DATE(YEAR($C$4)-1,MONTH($C$4),1),0)+1)</f>
        <v>0</v>
      </c>
      <c r="AB19" s="66">
        <f>COUNTIFS(人员状况!$D:$D,AB$7,人员状况!$E:$E,$B19,人员状况!$G:$G,"&lt;="&amp;EOMONTH(DATE(YEAR($C$4)-1,MONTH($C$4),1),0),人员状况!$H:$H,"&gt;="&amp;EOMONTH(DATE(YEAR($C$4)-1,MONTH($C$4),1),0)+1)</f>
        <v>0</v>
      </c>
      <c r="AC19" s="66">
        <f>COUNTIFS(人员状况!$D:$D,AC$7,人员状况!$E:$E,$B19,人员状况!$G:$G,"&lt;="&amp;EOMONTH(DATE(YEAR($C$4)-1,MONTH($C$4),1),0),人员状况!$H:$H,"&gt;="&amp;EOMONTH(DATE(YEAR($C$4)-1,MONTH($C$4),1),0)+1)</f>
        <v>1</v>
      </c>
      <c r="AD19" s="66">
        <f>COUNTIFS(人员状况!$D:$D,AD$7,人员状况!$E:$E,$B19,人员状况!$G:$G,"&lt;="&amp;EOMONTH(DATE(YEAR($C$4)-1,MONTH($C$4),1),0),人员状况!$H:$H,"&gt;="&amp;EOMONTH(DATE(YEAR($C$4)-1,MONTH($C$4),1),0)+1)</f>
        <v>1</v>
      </c>
      <c r="AE19" s="66">
        <f>COUNTIFS(人员状况!$D:$D,AE$7,人员状况!$E:$E,$B19,人员状况!$G:$G,"&lt;="&amp;EOMONTH(DATE(YEAR($C$4)-1,MONTH($C$4),1),0),人员状况!$H:$H,"&gt;="&amp;EOMONTH(DATE(YEAR($C$4)-1,MONTH($C$4),1),0)+1)</f>
        <v>0</v>
      </c>
      <c r="AF19" s="66">
        <f>COUNTIFS(人员状况!$D:$D,AF$7,人员状况!$E:$E,$B19,人员状况!$G:$G,"&lt;="&amp;EOMONTH(DATE(YEAR($C$4)-1,MONTH($C$4),1),0),人员状况!$H:$H,"&gt;="&amp;EOMONTH(DATE(YEAR($C$4)-1,MONTH($C$4),1),0)+1)</f>
        <v>0</v>
      </c>
      <c r="AG19" s="66">
        <f>W19+SUMIFS(预计变动!$F:$F,预计变动!$C:$C,$B19,预计变动!$I:$I,"&gt;"&amp;EOMONTH(DATE(YEAR($C$4),MONTH($C$4),1),0),预计变动!$I:$I,"&lt;="&amp;DATE(YEAR($C$4),12,31))</f>
        <v>2</v>
      </c>
      <c r="AH19" s="66">
        <f>X19+SUMIFS(预计变动!$F:$F,预计变动!$B:$B,AH$7,预计变动!$C:$C,$B19,预计变动!$I:$I,"&gt;"&amp;EOMONTH(DATE(YEAR($C$4),MONTH($C$4),1),0),预计变动!$I:$I,"&lt;="&amp;DATE(YEAR($C$4),12,31))</f>
        <v>0</v>
      </c>
      <c r="AI19" s="66">
        <f>Y19+SUMIFS(预计变动!$F:$F,预计变动!$B:$B,AI$7,预计变动!$C:$C,$B19,预计变动!$I:$I,"&gt;"&amp;EOMONTH(DATE(YEAR($C$4),MONTH($C$4),1),0),预计变动!$I:$I,"&lt;="&amp;DATE(YEAR($C$4),12,31))</f>
        <v>0</v>
      </c>
      <c r="AJ19" s="66">
        <f>Z19+SUMIFS(预计变动!$F:$F,预计变动!$B:$B,AJ$7,预计变动!$C:$C,$B19,预计变动!$I:$I,"&gt;"&amp;EOMONTH(DATE(YEAR($C$4),MONTH($C$4),1),0),预计变动!$I:$I,"&lt;="&amp;DATE(YEAR($C$4),12,31))</f>
        <v>0</v>
      </c>
      <c r="AK19" s="66">
        <f>AA19+SUMIFS(预计变动!$F:$F,预计变动!$B:$B,AK$7,预计变动!$C:$C,$B19,预计变动!$I:$I,"&gt;"&amp;EOMONTH(DATE(YEAR($C$4),MONTH($C$4),1),0),预计变动!$I:$I,"&lt;="&amp;DATE(YEAR($C$4),12,31))</f>
        <v>0</v>
      </c>
      <c r="AL19" s="66">
        <f>AB19+SUMIFS(预计变动!$F:$F,预计变动!$B:$B,AL$7,预计变动!$C:$C,$B19,预计变动!$I:$I,"&gt;"&amp;EOMONTH(DATE(YEAR($C$4),MONTH($C$4),1),0),预计变动!$I:$I,"&lt;="&amp;DATE(YEAR($C$4),12,31))</f>
        <v>0</v>
      </c>
      <c r="AM19" s="66">
        <f>AC19+SUMIFS(预计变动!$F:$F,预计变动!$B:$B,AM$7,预计变动!$C:$C,$B19,预计变动!$I:$I,"&gt;"&amp;EOMONTH(DATE(YEAR($C$4),MONTH($C$4),1),0),预计变动!$I:$I,"&lt;="&amp;DATE(YEAR($C$4),12,31))</f>
        <v>1</v>
      </c>
      <c r="AN19" s="66">
        <f>AD19+SUMIFS(预计变动!$F:$F,预计变动!$B:$B,AN$7,预计变动!$C:$C,$B19,预计变动!$I:$I,"&gt;"&amp;EOMONTH(DATE(YEAR($C$4),MONTH($C$4),1),0),预计变动!$I:$I,"&lt;="&amp;DATE(YEAR($C$4),12,31))</f>
        <v>1</v>
      </c>
      <c r="AO19" s="66">
        <f>AE19+SUMIFS(预计变动!$F:$F,预计变动!$B:$B,AO$7,预计变动!$C:$C,$B19,预计变动!$I:$I,"&gt;"&amp;EOMONTH(DATE(YEAR($C$4),MONTH($C$4),1),0),预计变动!$I:$I,"&lt;="&amp;DATE(YEAR($C$4),12,31))</f>
        <v>0</v>
      </c>
      <c r="AP19" s="66">
        <f>AF19+SUMIFS(预计变动!$F:$F,预计变动!$B:$B,AP$7,预计变动!$C:$C,$B19,预计变动!$I:$I,"&gt;"&amp;EOMONTH(DATE(YEAR($C$4),MONTH($C$4),1),0),预计变动!$I:$I,"&lt;="&amp;DATE(YEAR($C$4),12,31))</f>
        <v>0</v>
      </c>
      <c r="AQ19" s="66">
        <f>AG19+SUMIFS(预计变动!$F:$F,预计变动!$C:$C,$B19,预计变动!$I:$I,"&gt;="&amp;DATE(YEAR($C$4)+1,1,1),预计变动!$I:$I,"&lt;="&amp;DATE(YEAR($C$4)+1,12,31))</f>
        <v>2</v>
      </c>
      <c r="AR19" s="66">
        <f>AH19+SUMIFS(预计变动!$F:$F,预计变动!$B:$B,AR$7,预计变动!$C:$C,$B19,预计变动!$I:$I,"&gt;="&amp;DATE(YEAR($C$4)+1,1,1),预计变动!$I:$I,"&lt;="&amp;DATE(YEAR($C$4)+1,12,31))</f>
        <v>0</v>
      </c>
      <c r="AS19" s="66">
        <f>AI19+SUMIFS(预计变动!$F:$F,预计变动!$B:$B,AS$7,预计变动!$C:$C,$B19,预计变动!$I:$I,"&gt;="&amp;DATE(YEAR($C$4)+1,1,1),预计变动!$I:$I,"&lt;="&amp;DATE(YEAR($C$4)+1,12,31))</f>
        <v>0</v>
      </c>
      <c r="AT19" s="66">
        <f>AJ19+SUMIFS(预计变动!$F:$F,预计变动!$B:$B,AT$7,预计变动!$C:$C,$B19,预计变动!$I:$I,"&gt;="&amp;DATE(YEAR($C$4)+1,1,1),预计变动!$I:$I,"&lt;="&amp;DATE(YEAR($C$4)+1,12,31))</f>
        <v>0</v>
      </c>
      <c r="AU19" s="66">
        <f>AK19+SUMIFS(预计变动!$F:$F,预计变动!$B:$B,AU$7,预计变动!$C:$C,$B19,预计变动!$I:$I,"&gt;="&amp;DATE(YEAR($C$4)+1,1,1),预计变动!$I:$I,"&lt;="&amp;DATE(YEAR($C$4)+1,12,31))</f>
        <v>0</v>
      </c>
      <c r="AV19" s="66">
        <f>AL19+SUMIFS(预计变动!$F:$F,预计变动!$B:$B,AV$7,预计变动!$C:$C,$B19,预计变动!$I:$I,"&gt;="&amp;DATE(YEAR($C$4)+1,1,1),预计变动!$I:$I,"&lt;="&amp;DATE(YEAR($C$4)+1,12,31))</f>
        <v>0</v>
      </c>
      <c r="AW19" s="66">
        <f>AM19+SUMIFS(预计变动!$F:$F,预计变动!$B:$B,AW$7,预计变动!$C:$C,$B19,预计变动!$I:$I,"&gt;="&amp;DATE(YEAR($C$4)+1,1,1),预计变动!$I:$I,"&lt;="&amp;DATE(YEAR($C$4)+1,12,31))</f>
        <v>1</v>
      </c>
      <c r="AX19" s="66">
        <f>AN19+SUMIFS(预计变动!$F:$F,预计变动!$B:$B,AX$7,预计变动!$C:$C,$B19,预计变动!$I:$I,"&gt;="&amp;DATE(YEAR($C$4)+1,1,1),预计变动!$I:$I,"&lt;="&amp;DATE(YEAR($C$4)+1,12,31))</f>
        <v>1</v>
      </c>
      <c r="AY19" s="66">
        <f>AO19+SUMIFS(预计变动!$F:$F,预计变动!$B:$B,AY$7,预计变动!$C:$C,$B19,预计变动!$I:$I,"&gt;="&amp;DATE(YEAR($C$4)+1,1,1),预计变动!$I:$I,"&lt;="&amp;DATE(YEAR($C$4)+1,12,31))</f>
        <v>0</v>
      </c>
      <c r="AZ19" s="66">
        <f>AP19+SUMIFS(预计变动!$F:$F,预计变动!$B:$B,AZ$7,预计变动!$C:$C,$B19,预计变动!$I:$I,"&gt;="&amp;DATE(YEAR($C$4)+1,1,1),预计变动!$I:$I,"&lt;="&amp;DATE(YEAR($C$4)+1,12,31))</f>
        <v>0</v>
      </c>
    </row>
    <row r="20" spans="2:52">
      <c r="B20" s="65" t="s">
        <v>255</v>
      </c>
      <c r="C20" s="66">
        <f>COUNTIFS(人员状况!$D:$D,"*",人员状况!$E:$E,$B20,人员状况!$G:$G,"&lt;="&amp;DATE(YEAR($C$4)-2,12,31),人员状况!$H:$H,"&gt;="&amp;DATE(YEAR($C$4)-2,12,31)+1)</f>
        <v>2</v>
      </c>
      <c r="D20" s="66">
        <f>COUNTIFS(人员状况!$D:$D,"*",人员状况!$E:$E,$B20,人员状况!$D:$D,D$7,人员状况!$G:$G,"&lt;="&amp;DATE(YEAR($C$4)-2,12,31),人员状况!$H:$H,"&gt;="&amp;DATE(YEAR($C$4)-2,12,31)+1)</f>
        <v>0</v>
      </c>
      <c r="E20" s="66">
        <f>COUNTIFS(人员状况!$D:$D,"*",人员状况!$E:$E,$B20,人员状况!$D:$D,E$7,人员状况!$G:$G,"&lt;="&amp;DATE(YEAR($C$4)-2,12,31),人员状况!$H:$H,"&gt;="&amp;DATE(YEAR($C$4)-2,12,31)+1)</f>
        <v>0</v>
      </c>
      <c r="F20" s="66">
        <f>COUNTIFS(人员状况!$D:$D,"*",人员状况!$E:$E,$B20,人员状况!$D:$D,F$7,人员状况!$G:$G,"&lt;="&amp;DATE(YEAR($C$4)-2,12,31),人员状况!$H:$H,"&gt;="&amp;DATE(YEAR($C$4)-2,12,31)+1)</f>
        <v>0</v>
      </c>
      <c r="G20" s="66">
        <f>COUNTIFS(人员状况!$D:$D,"*",人员状况!$E:$E,$B20,人员状况!$D:$D,G$7,人员状况!$G:$G,"&lt;="&amp;DATE(YEAR($C$4)-2,12,31),人员状况!$H:$H,"&gt;="&amp;DATE(YEAR($C$4)-2,12,31)+1)</f>
        <v>0</v>
      </c>
      <c r="H20" s="66">
        <f>COUNTIFS(人员状况!$D:$D,"*",人员状况!$E:$E,$B20,人员状况!$D:$D,H$7,人员状况!$G:$G,"&lt;="&amp;DATE(YEAR($C$4)-2,12,31),人员状况!$H:$H,"&gt;="&amp;DATE(YEAR($C$4)-2,12,31)+1)</f>
        <v>0</v>
      </c>
      <c r="I20" s="66">
        <f>COUNTIFS(人员状况!$D:$D,"*",人员状况!$E:$E,$B20,人员状况!$D:$D,I$7,人员状况!$G:$G,"&lt;="&amp;DATE(YEAR($C$4)-2,12,31),人员状况!$H:$H,"&gt;="&amp;DATE(YEAR($C$4)-2,12,31)+1)</f>
        <v>1</v>
      </c>
      <c r="J20" s="66">
        <f>COUNTIFS(人员状况!$D:$D,"*",人员状况!$E:$E,$B20,人员状况!$D:$D,J$7,人员状况!$G:$G,"&lt;="&amp;DATE(YEAR($C$4)-2,12,31),人员状况!$H:$H,"&gt;="&amp;DATE(YEAR($C$4)-2,12,31)+1)</f>
        <v>1</v>
      </c>
      <c r="K20" s="66">
        <f>COUNTIFS(人员状况!$D:$D,"*",人员状况!$E:$E,$B20,人员状况!$D:$D,K$7,人员状况!$G:$G,"&lt;="&amp;DATE(YEAR($C$4)-2,12,31),人员状况!$H:$H,"&gt;="&amp;DATE(YEAR($C$4)-2,12,31)+1)</f>
        <v>0</v>
      </c>
      <c r="L20" s="66">
        <f>COUNTIFS(人员状况!$D:$D,"*",人员状况!$E:$E,$B20,人员状况!$D:$D,L$7,人员状况!$G:$G,"&lt;="&amp;DATE(YEAR($C$4)-2,12,31),人员状况!$H:$H,"&gt;="&amp;DATE(YEAR($C$4)-2,12,31)+1)</f>
        <v>0</v>
      </c>
      <c r="M20" s="66">
        <f>COUNTIFS(人员状况!$D:$D,"*",人员状况!$E:$E,$B20,人员状况!$G:$G,"&lt;="&amp;DATE(YEAR($C$4)-1,12,31),人员状况!$H:$H,"&gt;="&amp;DATE(YEAR($C$4)-1,12,31)+1)</f>
        <v>2</v>
      </c>
      <c r="N20" s="66">
        <f>COUNTIFS(人员状况!$D:$D,"*",人员状况!$E:$E,$B20,人员状况!$D:$D,N$7,人员状况!$G:$G,"&lt;="&amp;DATE(YEAR($C$4)-1,12,31),人员状况!$H:$H,"&gt;="&amp;DATE(YEAR($C$4)-1,12,31)+1)</f>
        <v>0</v>
      </c>
      <c r="O20" s="66">
        <f>COUNTIFS(人员状况!$D:$D,"*",人员状况!$E:$E,$B20,人员状况!$D:$D,O$7,人员状况!$G:$G,"&lt;="&amp;DATE(YEAR($C$4)-1,12,31),人员状况!$H:$H,"&gt;="&amp;DATE(YEAR($C$4)-1,12,31)+1)</f>
        <v>0</v>
      </c>
      <c r="P20" s="66">
        <f>COUNTIFS(人员状况!$D:$D,"*",人员状况!$E:$E,$B20,人员状况!$D:$D,P$7,人员状况!$G:$G,"&lt;="&amp;DATE(YEAR($C$4)-1,12,31),人员状况!$H:$H,"&gt;="&amp;DATE(YEAR($C$4)-1,12,31)+1)</f>
        <v>0</v>
      </c>
      <c r="Q20" s="66">
        <f>COUNTIFS(人员状况!$D:$D,"*",人员状况!$E:$E,$B20,人员状况!$D:$D,Q$7,人员状况!$G:$G,"&lt;="&amp;DATE(YEAR($C$4)-1,12,31),人员状况!$H:$H,"&gt;="&amp;DATE(YEAR($C$4)-1,12,31)+1)</f>
        <v>0</v>
      </c>
      <c r="R20" s="66">
        <f>COUNTIFS(人员状况!$D:$D,"*",人员状况!$E:$E,$B20,人员状况!$D:$D,R$7,人员状况!$G:$G,"&lt;="&amp;DATE(YEAR($C$4)-1,12,31),人员状况!$H:$H,"&gt;="&amp;DATE(YEAR($C$4)-1,12,31)+1)</f>
        <v>0</v>
      </c>
      <c r="S20" s="66">
        <f>COUNTIFS(人员状况!$D:$D,"*",人员状况!$E:$E,$B20,人员状况!$D:$D,S$7,人员状况!$G:$G,"&lt;="&amp;DATE(YEAR($C$4)-1,12,31),人员状况!$H:$H,"&gt;="&amp;DATE(YEAR($C$4)-1,12,31)+1)</f>
        <v>1</v>
      </c>
      <c r="T20" s="66">
        <f>COUNTIFS(人员状况!$D:$D,"*",人员状况!$E:$E,$B20,人员状况!$D:$D,T$7,人员状况!$G:$G,"&lt;="&amp;DATE(YEAR($C$4)-1,12,31),人员状况!$H:$H,"&gt;="&amp;DATE(YEAR($C$4)-1,12,31)+1)</f>
        <v>1</v>
      </c>
      <c r="U20" s="66">
        <f>COUNTIFS(人员状况!$D:$D,"*",人员状况!$E:$E,$B20,人员状况!$D:$D,U$7,人员状况!$G:$G,"&lt;="&amp;DATE(YEAR($C$4)-1,12,31),人员状况!$H:$H,"&gt;="&amp;DATE(YEAR($C$4)-1,12,31)+1)</f>
        <v>0</v>
      </c>
      <c r="V20" s="66">
        <f>COUNTIFS(人员状况!$D:$D,"*",人员状况!$E:$E,$B20,人员状况!$D:$D,V$7,人员状况!$G:$G,"&lt;="&amp;DATE(YEAR($C$4)-1,12,31),人员状况!$H:$H,"&gt;="&amp;DATE(YEAR($C$4)-1,12,31)+1)</f>
        <v>0</v>
      </c>
      <c r="W20" s="66">
        <f>COUNTIFS(人员状况!$D:$D,"*",人员状况!$E:$E,$B20,人员状况!$G:$G,"&lt;="&amp;EOMONTH(DATE(YEAR($C$4)-1,MONTH($C$4),1),0),人员状况!$H:$H,"&gt;="&amp;EOMONTH(DATE(YEAR($C$4)-1,MONTH($C$4),1),0)+1)</f>
        <v>2</v>
      </c>
      <c r="X20" s="66">
        <f>COUNTIFS(人员状况!$D:$D,X$7,人员状况!$E:$E,$B20,人员状况!$G:$G,"&lt;="&amp;EOMONTH(DATE(YEAR($C$4)-1,MONTH($C$4),1),0),人员状况!$H:$H,"&gt;="&amp;EOMONTH(DATE(YEAR($C$4)-1,MONTH($C$4),1),0)+1)</f>
        <v>0</v>
      </c>
      <c r="Y20" s="66">
        <f>COUNTIFS(人员状况!$D:$D,Y$7,人员状况!$E:$E,$B20,人员状况!$G:$G,"&lt;="&amp;EOMONTH(DATE(YEAR($C$4)-1,MONTH($C$4),1),0),人员状况!$H:$H,"&gt;="&amp;EOMONTH(DATE(YEAR($C$4)-1,MONTH($C$4),1),0)+1)</f>
        <v>0</v>
      </c>
      <c r="Z20" s="66">
        <f>COUNTIFS(人员状况!$D:$D,Z$7,人员状况!$E:$E,$B20,人员状况!$G:$G,"&lt;="&amp;EOMONTH(DATE(YEAR($C$4)-1,MONTH($C$4),1),0),人员状况!$H:$H,"&gt;="&amp;EOMONTH(DATE(YEAR($C$4)-1,MONTH($C$4),1),0)+1)</f>
        <v>0</v>
      </c>
      <c r="AA20" s="66">
        <f>COUNTIFS(人员状况!$D:$D,AA$7,人员状况!$E:$E,$B20,人员状况!$G:$G,"&lt;="&amp;EOMONTH(DATE(YEAR($C$4)-1,MONTH($C$4),1),0),人员状况!$H:$H,"&gt;="&amp;EOMONTH(DATE(YEAR($C$4)-1,MONTH($C$4),1),0)+1)</f>
        <v>0</v>
      </c>
      <c r="AB20" s="66">
        <f>COUNTIFS(人员状况!$D:$D,AB$7,人员状况!$E:$E,$B20,人员状况!$G:$G,"&lt;="&amp;EOMONTH(DATE(YEAR($C$4)-1,MONTH($C$4),1),0),人员状况!$H:$H,"&gt;="&amp;EOMONTH(DATE(YEAR($C$4)-1,MONTH($C$4),1),0)+1)</f>
        <v>0</v>
      </c>
      <c r="AC20" s="66">
        <f>COUNTIFS(人员状况!$D:$D,AC$7,人员状况!$E:$E,$B20,人员状况!$G:$G,"&lt;="&amp;EOMONTH(DATE(YEAR($C$4)-1,MONTH($C$4),1),0),人员状况!$H:$H,"&gt;="&amp;EOMONTH(DATE(YEAR($C$4)-1,MONTH($C$4),1),0)+1)</f>
        <v>1</v>
      </c>
      <c r="AD20" s="66">
        <f>COUNTIFS(人员状况!$D:$D,AD$7,人员状况!$E:$E,$B20,人员状况!$G:$G,"&lt;="&amp;EOMONTH(DATE(YEAR($C$4)-1,MONTH($C$4),1),0),人员状况!$H:$H,"&gt;="&amp;EOMONTH(DATE(YEAR($C$4)-1,MONTH($C$4),1),0)+1)</f>
        <v>1</v>
      </c>
      <c r="AE20" s="66">
        <f>COUNTIFS(人员状况!$D:$D,AE$7,人员状况!$E:$E,$B20,人员状况!$G:$G,"&lt;="&amp;EOMONTH(DATE(YEAR($C$4)-1,MONTH($C$4),1),0),人员状况!$H:$H,"&gt;="&amp;EOMONTH(DATE(YEAR($C$4)-1,MONTH($C$4),1),0)+1)</f>
        <v>0</v>
      </c>
      <c r="AF20" s="66">
        <f>COUNTIFS(人员状况!$D:$D,AF$7,人员状况!$E:$E,$B20,人员状况!$G:$G,"&lt;="&amp;EOMONTH(DATE(YEAR($C$4)-1,MONTH($C$4),1),0),人员状况!$H:$H,"&gt;="&amp;EOMONTH(DATE(YEAR($C$4)-1,MONTH($C$4),1),0)+1)</f>
        <v>0</v>
      </c>
      <c r="AG20" s="66">
        <f>W20+SUMIFS(预计变动!$F:$F,预计变动!$C:$C,$B20,预计变动!$I:$I,"&gt;"&amp;EOMONTH(DATE(YEAR($C$4),MONTH($C$4),1),0),预计变动!$I:$I,"&lt;="&amp;DATE(YEAR($C$4),12,31))</f>
        <v>2</v>
      </c>
      <c r="AH20" s="66">
        <f>X20+SUMIFS(预计变动!$F:$F,预计变动!$B:$B,AH$7,预计变动!$C:$C,$B20,预计变动!$I:$I,"&gt;"&amp;EOMONTH(DATE(YEAR($C$4),MONTH($C$4),1),0),预计变动!$I:$I,"&lt;="&amp;DATE(YEAR($C$4),12,31))</f>
        <v>0</v>
      </c>
      <c r="AI20" s="66">
        <f>Y20+SUMIFS(预计变动!$F:$F,预计变动!$B:$B,AI$7,预计变动!$C:$C,$B20,预计变动!$I:$I,"&gt;"&amp;EOMONTH(DATE(YEAR($C$4),MONTH($C$4),1),0),预计变动!$I:$I,"&lt;="&amp;DATE(YEAR($C$4),12,31))</f>
        <v>0</v>
      </c>
      <c r="AJ20" s="66">
        <f>Z20+SUMIFS(预计变动!$F:$F,预计变动!$B:$B,AJ$7,预计变动!$C:$C,$B20,预计变动!$I:$I,"&gt;"&amp;EOMONTH(DATE(YEAR($C$4),MONTH($C$4),1),0),预计变动!$I:$I,"&lt;="&amp;DATE(YEAR($C$4),12,31))</f>
        <v>0</v>
      </c>
      <c r="AK20" s="66">
        <f>AA20+SUMIFS(预计变动!$F:$F,预计变动!$B:$B,AK$7,预计变动!$C:$C,$B20,预计变动!$I:$I,"&gt;"&amp;EOMONTH(DATE(YEAR($C$4),MONTH($C$4),1),0),预计变动!$I:$I,"&lt;="&amp;DATE(YEAR($C$4),12,31))</f>
        <v>0</v>
      </c>
      <c r="AL20" s="66">
        <f>AB20+SUMIFS(预计变动!$F:$F,预计变动!$B:$B,AL$7,预计变动!$C:$C,$B20,预计变动!$I:$I,"&gt;"&amp;EOMONTH(DATE(YEAR($C$4),MONTH($C$4),1),0),预计变动!$I:$I,"&lt;="&amp;DATE(YEAR($C$4),12,31))</f>
        <v>0</v>
      </c>
      <c r="AM20" s="66">
        <f>AC20+SUMIFS(预计变动!$F:$F,预计变动!$B:$B,AM$7,预计变动!$C:$C,$B20,预计变动!$I:$I,"&gt;"&amp;EOMONTH(DATE(YEAR($C$4),MONTH($C$4),1),0),预计变动!$I:$I,"&lt;="&amp;DATE(YEAR($C$4),12,31))</f>
        <v>1</v>
      </c>
      <c r="AN20" s="66">
        <f>AD20+SUMIFS(预计变动!$F:$F,预计变动!$B:$B,AN$7,预计变动!$C:$C,$B20,预计变动!$I:$I,"&gt;"&amp;EOMONTH(DATE(YEAR($C$4),MONTH($C$4),1),0),预计变动!$I:$I,"&lt;="&amp;DATE(YEAR($C$4),12,31))</f>
        <v>1</v>
      </c>
      <c r="AO20" s="66">
        <f>AE20+SUMIFS(预计变动!$F:$F,预计变动!$B:$B,AO$7,预计变动!$C:$C,$B20,预计变动!$I:$I,"&gt;"&amp;EOMONTH(DATE(YEAR($C$4),MONTH($C$4),1),0),预计变动!$I:$I,"&lt;="&amp;DATE(YEAR($C$4),12,31))</f>
        <v>0</v>
      </c>
      <c r="AP20" s="66">
        <f>AF20+SUMIFS(预计变动!$F:$F,预计变动!$B:$B,AP$7,预计变动!$C:$C,$B20,预计变动!$I:$I,"&gt;"&amp;EOMONTH(DATE(YEAR($C$4),MONTH($C$4),1),0),预计变动!$I:$I,"&lt;="&amp;DATE(YEAR($C$4),12,31))</f>
        <v>0</v>
      </c>
      <c r="AQ20" s="66">
        <f>AG20+SUMIFS(预计变动!$F:$F,预计变动!$C:$C,$B20,预计变动!$I:$I,"&gt;="&amp;DATE(YEAR($C$4)+1,1,1),预计变动!$I:$I,"&lt;="&amp;DATE(YEAR($C$4)+1,12,31))</f>
        <v>2</v>
      </c>
      <c r="AR20" s="66">
        <f>AH20+SUMIFS(预计变动!$F:$F,预计变动!$B:$B,AR$7,预计变动!$C:$C,$B20,预计变动!$I:$I,"&gt;="&amp;DATE(YEAR($C$4)+1,1,1),预计变动!$I:$I,"&lt;="&amp;DATE(YEAR($C$4)+1,12,31))</f>
        <v>0</v>
      </c>
      <c r="AS20" s="66">
        <f>AI20+SUMIFS(预计变动!$F:$F,预计变动!$B:$B,AS$7,预计变动!$C:$C,$B20,预计变动!$I:$I,"&gt;="&amp;DATE(YEAR($C$4)+1,1,1),预计变动!$I:$I,"&lt;="&amp;DATE(YEAR($C$4)+1,12,31))</f>
        <v>0</v>
      </c>
      <c r="AT20" s="66">
        <f>AJ20+SUMIFS(预计变动!$F:$F,预计变动!$B:$B,AT$7,预计变动!$C:$C,$B20,预计变动!$I:$I,"&gt;="&amp;DATE(YEAR($C$4)+1,1,1),预计变动!$I:$I,"&lt;="&amp;DATE(YEAR($C$4)+1,12,31))</f>
        <v>0</v>
      </c>
      <c r="AU20" s="66">
        <f>AK20+SUMIFS(预计变动!$F:$F,预计变动!$B:$B,AU$7,预计变动!$C:$C,$B20,预计变动!$I:$I,"&gt;="&amp;DATE(YEAR($C$4)+1,1,1),预计变动!$I:$I,"&lt;="&amp;DATE(YEAR($C$4)+1,12,31))</f>
        <v>0</v>
      </c>
      <c r="AV20" s="66">
        <f>AL20+SUMIFS(预计变动!$F:$F,预计变动!$B:$B,AV$7,预计变动!$C:$C,$B20,预计变动!$I:$I,"&gt;="&amp;DATE(YEAR($C$4)+1,1,1),预计变动!$I:$I,"&lt;="&amp;DATE(YEAR($C$4)+1,12,31))</f>
        <v>0</v>
      </c>
      <c r="AW20" s="66">
        <f>AM20+SUMIFS(预计变动!$F:$F,预计变动!$B:$B,AW$7,预计变动!$C:$C,$B20,预计变动!$I:$I,"&gt;="&amp;DATE(YEAR($C$4)+1,1,1),预计变动!$I:$I,"&lt;="&amp;DATE(YEAR($C$4)+1,12,31))</f>
        <v>1</v>
      </c>
      <c r="AX20" s="66">
        <f>AN20+SUMIFS(预计变动!$F:$F,预计变动!$B:$B,AX$7,预计变动!$C:$C,$B20,预计变动!$I:$I,"&gt;="&amp;DATE(YEAR($C$4)+1,1,1),预计变动!$I:$I,"&lt;="&amp;DATE(YEAR($C$4)+1,12,31))</f>
        <v>1</v>
      </c>
      <c r="AY20" s="66">
        <f>AO20+SUMIFS(预计变动!$F:$F,预计变动!$B:$B,AY$7,预计变动!$C:$C,$B20,预计变动!$I:$I,"&gt;="&amp;DATE(YEAR($C$4)+1,1,1),预计变动!$I:$I,"&lt;="&amp;DATE(YEAR($C$4)+1,12,31))</f>
        <v>0</v>
      </c>
      <c r="AZ20" s="66">
        <f>AP20+SUMIFS(预计变动!$F:$F,预计变动!$B:$B,AZ$7,预计变动!$C:$C,$B20,预计变动!$I:$I,"&gt;="&amp;DATE(YEAR($C$4)+1,1,1),预计变动!$I:$I,"&lt;="&amp;DATE(YEAR($C$4)+1,12,31))</f>
        <v>0</v>
      </c>
    </row>
    <row r="21" spans="2:52">
      <c r="B21" s="65" t="s">
        <v>258</v>
      </c>
      <c r="C21" s="66">
        <f>COUNTIFS(人员状况!$D:$D,"*",人员状况!$E:$E,$B21,人员状况!$G:$G,"&lt;="&amp;DATE(YEAR($C$4)-2,12,31),人员状况!$H:$H,"&gt;="&amp;DATE(YEAR($C$4)-2,12,31)+1)</f>
        <v>2</v>
      </c>
      <c r="D21" s="66">
        <f>COUNTIFS(人员状况!$D:$D,"*",人员状况!$E:$E,$B21,人员状况!$D:$D,D$7,人员状况!$G:$G,"&lt;="&amp;DATE(YEAR($C$4)-2,12,31),人员状况!$H:$H,"&gt;="&amp;DATE(YEAR($C$4)-2,12,31)+1)</f>
        <v>0</v>
      </c>
      <c r="E21" s="66">
        <f>COUNTIFS(人员状况!$D:$D,"*",人员状况!$E:$E,$B21,人员状况!$D:$D,E$7,人员状况!$G:$G,"&lt;="&amp;DATE(YEAR($C$4)-2,12,31),人员状况!$H:$H,"&gt;="&amp;DATE(YEAR($C$4)-2,12,31)+1)</f>
        <v>0</v>
      </c>
      <c r="F21" s="66">
        <f>COUNTIFS(人员状况!$D:$D,"*",人员状况!$E:$E,$B21,人员状况!$D:$D,F$7,人员状况!$G:$G,"&lt;="&amp;DATE(YEAR($C$4)-2,12,31),人员状况!$H:$H,"&gt;="&amp;DATE(YEAR($C$4)-2,12,31)+1)</f>
        <v>0</v>
      </c>
      <c r="G21" s="66">
        <f>COUNTIFS(人员状况!$D:$D,"*",人员状况!$E:$E,$B21,人员状况!$D:$D,G$7,人员状况!$G:$G,"&lt;="&amp;DATE(YEAR($C$4)-2,12,31),人员状况!$H:$H,"&gt;="&amp;DATE(YEAR($C$4)-2,12,31)+1)</f>
        <v>0</v>
      </c>
      <c r="H21" s="66">
        <f>COUNTIFS(人员状况!$D:$D,"*",人员状况!$E:$E,$B21,人员状况!$D:$D,H$7,人员状况!$G:$G,"&lt;="&amp;DATE(YEAR($C$4)-2,12,31),人员状况!$H:$H,"&gt;="&amp;DATE(YEAR($C$4)-2,12,31)+1)</f>
        <v>0</v>
      </c>
      <c r="I21" s="66">
        <f>COUNTIFS(人员状况!$D:$D,"*",人员状况!$E:$E,$B21,人员状况!$D:$D,I$7,人员状况!$G:$G,"&lt;="&amp;DATE(YEAR($C$4)-2,12,31),人员状况!$H:$H,"&gt;="&amp;DATE(YEAR($C$4)-2,12,31)+1)</f>
        <v>1</v>
      </c>
      <c r="J21" s="66">
        <f>COUNTIFS(人员状况!$D:$D,"*",人员状况!$E:$E,$B21,人员状况!$D:$D,J$7,人员状况!$G:$G,"&lt;="&amp;DATE(YEAR($C$4)-2,12,31),人员状况!$H:$H,"&gt;="&amp;DATE(YEAR($C$4)-2,12,31)+1)</f>
        <v>1</v>
      </c>
      <c r="K21" s="66">
        <f>COUNTIFS(人员状况!$D:$D,"*",人员状况!$E:$E,$B21,人员状况!$D:$D,K$7,人员状况!$G:$G,"&lt;="&amp;DATE(YEAR($C$4)-2,12,31),人员状况!$H:$H,"&gt;="&amp;DATE(YEAR($C$4)-2,12,31)+1)</f>
        <v>0</v>
      </c>
      <c r="L21" s="66">
        <f>COUNTIFS(人员状况!$D:$D,"*",人员状况!$E:$E,$B21,人员状况!$D:$D,L$7,人员状况!$G:$G,"&lt;="&amp;DATE(YEAR($C$4)-2,12,31),人员状况!$H:$H,"&gt;="&amp;DATE(YEAR($C$4)-2,12,31)+1)</f>
        <v>0</v>
      </c>
      <c r="M21" s="66">
        <f>COUNTIFS(人员状况!$D:$D,"*",人员状况!$E:$E,$B21,人员状况!$G:$G,"&lt;="&amp;DATE(YEAR($C$4)-1,12,31),人员状况!$H:$H,"&gt;="&amp;DATE(YEAR($C$4)-1,12,31)+1)</f>
        <v>2</v>
      </c>
      <c r="N21" s="66">
        <f>COUNTIFS(人员状况!$D:$D,"*",人员状况!$E:$E,$B21,人员状况!$D:$D,N$7,人员状况!$G:$G,"&lt;="&amp;DATE(YEAR($C$4)-1,12,31),人员状况!$H:$H,"&gt;="&amp;DATE(YEAR($C$4)-1,12,31)+1)</f>
        <v>0</v>
      </c>
      <c r="O21" s="66">
        <f>COUNTIFS(人员状况!$D:$D,"*",人员状况!$E:$E,$B21,人员状况!$D:$D,O$7,人员状况!$G:$G,"&lt;="&amp;DATE(YEAR($C$4)-1,12,31),人员状况!$H:$H,"&gt;="&amp;DATE(YEAR($C$4)-1,12,31)+1)</f>
        <v>0</v>
      </c>
      <c r="P21" s="66">
        <f>COUNTIFS(人员状况!$D:$D,"*",人员状况!$E:$E,$B21,人员状况!$D:$D,P$7,人员状况!$G:$G,"&lt;="&amp;DATE(YEAR($C$4)-1,12,31),人员状况!$H:$H,"&gt;="&amp;DATE(YEAR($C$4)-1,12,31)+1)</f>
        <v>0</v>
      </c>
      <c r="Q21" s="66">
        <f>COUNTIFS(人员状况!$D:$D,"*",人员状况!$E:$E,$B21,人员状况!$D:$D,Q$7,人员状况!$G:$G,"&lt;="&amp;DATE(YEAR($C$4)-1,12,31),人员状况!$H:$H,"&gt;="&amp;DATE(YEAR($C$4)-1,12,31)+1)</f>
        <v>0</v>
      </c>
      <c r="R21" s="66">
        <f>COUNTIFS(人员状况!$D:$D,"*",人员状况!$E:$E,$B21,人员状况!$D:$D,R$7,人员状况!$G:$G,"&lt;="&amp;DATE(YEAR($C$4)-1,12,31),人员状况!$H:$H,"&gt;="&amp;DATE(YEAR($C$4)-1,12,31)+1)</f>
        <v>0</v>
      </c>
      <c r="S21" s="66">
        <f>COUNTIFS(人员状况!$D:$D,"*",人员状况!$E:$E,$B21,人员状况!$D:$D,S$7,人员状况!$G:$G,"&lt;="&amp;DATE(YEAR($C$4)-1,12,31),人员状况!$H:$H,"&gt;="&amp;DATE(YEAR($C$4)-1,12,31)+1)</f>
        <v>1</v>
      </c>
      <c r="T21" s="66">
        <f>COUNTIFS(人员状况!$D:$D,"*",人员状况!$E:$E,$B21,人员状况!$D:$D,T$7,人员状况!$G:$G,"&lt;="&amp;DATE(YEAR($C$4)-1,12,31),人员状况!$H:$H,"&gt;="&amp;DATE(YEAR($C$4)-1,12,31)+1)</f>
        <v>1</v>
      </c>
      <c r="U21" s="66">
        <f>COUNTIFS(人员状况!$D:$D,"*",人员状况!$E:$E,$B21,人员状况!$D:$D,U$7,人员状况!$G:$G,"&lt;="&amp;DATE(YEAR($C$4)-1,12,31),人员状况!$H:$H,"&gt;="&amp;DATE(YEAR($C$4)-1,12,31)+1)</f>
        <v>0</v>
      </c>
      <c r="V21" s="66">
        <f>COUNTIFS(人员状况!$D:$D,"*",人员状况!$E:$E,$B21,人员状况!$D:$D,V$7,人员状况!$G:$G,"&lt;="&amp;DATE(YEAR($C$4)-1,12,31),人员状况!$H:$H,"&gt;="&amp;DATE(YEAR($C$4)-1,12,31)+1)</f>
        <v>0</v>
      </c>
      <c r="W21" s="66">
        <f>COUNTIFS(人员状况!$D:$D,"*",人员状况!$E:$E,$B21,人员状况!$G:$G,"&lt;="&amp;EOMONTH(DATE(YEAR($C$4)-1,MONTH($C$4),1),0),人员状况!$H:$H,"&gt;="&amp;EOMONTH(DATE(YEAR($C$4)-1,MONTH($C$4),1),0)+1)</f>
        <v>2</v>
      </c>
      <c r="X21" s="66">
        <f>COUNTIFS(人员状况!$D:$D,X$7,人员状况!$E:$E,$B21,人员状况!$G:$G,"&lt;="&amp;EOMONTH(DATE(YEAR($C$4)-1,MONTH($C$4),1),0),人员状况!$H:$H,"&gt;="&amp;EOMONTH(DATE(YEAR($C$4)-1,MONTH($C$4),1),0)+1)</f>
        <v>0</v>
      </c>
      <c r="Y21" s="66">
        <f>COUNTIFS(人员状况!$D:$D,Y$7,人员状况!$E:$E,$B21,人员状况!$G:$G,"&lt;="&amp;EOMONTH(DATE(YEAR($C$4)-1,MONTH($C$4),1),0),人员状况!$H:$H,"&gt;="&amp;EOMONTH(DATE(YEAR($C$4)-1,MONTH($C$4),1),0)+1)</f>
        <v>0</v>
      </c>
      <c r="Z21" s="66">
        <f>COUNTIFS(人员状况!$D:$D,Z$7,人员状况!$E:$E,$B21,人员状况!$G:$G,"&lt;="&amp;EOMONTH(DATE(YEAR($C$4)-1,MONTH($C$4),1),0),人员状况!$H:$H,"&gt;="&amp;EOMONTH(DATE(YEAR($C$4)-1,MONTH($C$4),1),0)+1)</f>
        <v>0</v>
      </c>
      <c r="AA21" s="66">
        <f>COUNTIFS(人员状况!$D:$D,AA$7,人员状况!$E:$E,$B21,人员状况!$G:$G,"&lt;="&amp;EOMONTH(DATE(YEAR($C$4)-1,MONTH($C$4),1),0),人员状况!$H:$H,"&gt;="&amp;EOMONTH(DATE(YEAR($C$4)-1,MONTH($C$4),1),0)+1)</f>
        <v>0</v>
      </c>
      <c r="AB21" s="66">
        <f>COUNTIFS(人员状况!$D:$D,AB$7,人员状况!$E:$E,$B21,人员状况!$G:$G,"&lt;="&amp;EOMONTH(DATE(YEAR($C$4)-1,MONTH($C$4),1),0),人员状况!$H:$H,"&gt;="&amp;EOMONTH(DATE(YEAR($C$4)-1,MONTH($C$4),1),0)+1)</f>
        <v>0</v>
      </c>
      <c r="AC21" s="66">
        <f>COUNTIFS(人员状况!$D:$D,AC$7,人员状况!$E:$E,$B21,人员状况!$G:$G,"&lt;="&amp;EOMONTH(DATE(YEAR($C$4)-1,MONTH($C$4),1),0),人员状况!$H:$H,"&gt;="&amp;EOMONTH(DATE(YEAR($C$4)-1,MONTH($C$4),1),0)+1)</f>
        <v>1</v>
      </c>
      <c r="AD21" s="66">
        <f>COUNTIFS(人员状况!$D:$D,AD$7,人员状况!$E:$E,$B21,人员状况!$G:$G,"&lt;="&amp;EOMONTH(DATE(YEAR($C$4)-1,MONTH($C$4),1),0),人员状况!$H:$H,"&gt;="&amp;EOMONTH(DATE(YEAR($C$4)-1,MONTH($C$4),1),0)+1)</f>
        <v>1</v>
      </c>
      <c r="AE21" s="66">
        <f>COUNTIFS(人员状况!$D:$D,AE$7,人员状况!$E:$E,$B21,人员状况!$G:$G,"&lt;="&amp;EOMONTH(DATE(YEAR($C$4)-1,MONTH($C$4),1),0),人员状况!$H:$H,"&gt;="&amp;EOMONTH(DATE(YEAR($C$4)-1,MONTH($C$4),1),0)+1)</f>
        <v>0</v>
      </c>
      <c r="AF21" s="66">
        <f>COUNTIFS(人员状况!$D:$D,AF$7,人员状况!$E:$E,$B21,人员状况!$G:$G,"&lt;="&amp;EOMONTH(DATE(YEAR($C$4)-1,MONTH($C$4),1),0),人员状况!$H:$H,"&gt;="&amp;EOMONTH(DATE(YEAR($C$4)-1,MONTH($C$4),1),0)+1)</f>
        <v>0</v>
      </c>
      <c r="AG21" s="66">
        <f>W21+SUMIFS(预计变动!$F:$F,预计变动!$C:$C,$B21,预计变动!$I:$I,"&gt;"&amp;EOMONTH(DATE(YEAR($C$4),MONTH($C$4),1),0),预计变动!$I:$I,"&lt;="&amp;DATE(YEAR($C$4),12,31))</f>
        <v>2</v>
      </c>
      <c r="AH21" s="66">
        <f>X21+SUMIFS(预计变动!$F:$F,预计变动!$B:$B,AH$7,预计变动!$C:$C,$B21,预计变动!$I:$I,"&gt;"&amp;EOMONTH(DATE(YEAR($C$4),MONTH($C$4),1),0),预计变动!$I:$I,"&lt;="&amp;DATE(YEAR($C$4),12,31))</f>
        <v>0</v>
      </c>
      <c r="AI21" s="66">
        <f>Y21+SUMIFS(预计变动!$F:$F,预计变动!$B:$B,AI$7,预计变动!$C:$C,$B21,预计变动!$I:$I,"&gt;"&amp;EOMONTH(DATE(YEAR($C$4),MONTH($C$4),1),0),预计变动!$I:$I,"&lt;="&amp;DATE(YEAR($C$4),12,31))</f>
        <v>0</v>
      </c>
      <c r="AJ21" s="66">
        <f>Z21+SUMIFS(预计变动!$F:$F,预计变动!$B:$B,AJ$7,预计变动!$C:$C,$B21,预计变动!$I:$I,"&gt;"&amp;EOMONTH(DATE(YEAR($C$4),MONTH($C$4),1),0),预计变动!$I:$I,"&lt;="&amp;DATE(YEAR($C$4),12,31))</f>
        <v>0</v>
      </c>
      <c r="AK21" s="66">
        <f>AA21+SUMIFS(预计变动!$F:$F,预计变动!$B:$B,AK$7,预计变动!$C:$C,$B21,预计变动!$I:$I,"&gt;"&amp;EOMONTH(DATE(YEAR($C$4),MONTH($C$4),1),0),预计变动!$I:$I,"&lt;="&amp;DATE(YEAR($C$4),12,31))</f>
        <v>0</v>
      </c>
      <c r="AL21" s="66">
        <f>AB21+SUMIFS(预计变动!$F:$F,预计变动!$B:$B,AL$7,预计变动!$C:$C,$B21,预计变动!$I:$I,"&gt;"&amp;EOMONTH(DATE(YEAR($C$4),MONTH($C$4),1),0),预计变动!$I:$I,"&lt;="&amp;DATE(YEAR($C$4),12,31))</f>
        <v>0</v>
      </c>
      <c r="AM21" s="66">
        <f>AC21+SUMIFS(预计变动!$F:$F,预计变动!$B:$B,AM$7,预计变动!$C:$C,$B21,预计变动!$I:$I,"&gt;"&amp;EOMONTH(DATE(YEAR($C$4),MONTH($C$4),1),0),预计变动!$I:$I,"&lt;="&amp;DATE(YEAR($C$4),12,31))</f>
        <v>1</v>
      </c>
      <c r="AN21" s="66">
        <f>AD21+SUMIFS(预计变动!$F:$F,预计变动!$B:$B,AN$7,预计变动!$C:$C,$B21,预计变动!$I:$I,"&gt;"&amp;EOMONTH(DATE(YEAR($C$4),MONTH($C$4),1),0),预计变动!$I:$I,"&lt;="&amp;DATE(YEAR($C$4),12,31))</f>
        <v>1</v>
      </c>
      <c r="AO21" s="66">
        <f>AE21+SUMIFS(预计变动!$F:$F,预计变动!$B:$B,AO$7,预计变动!$C:$C,$B21,预计变动!$I:$I,"&gt;"&amp;EOMONTH(DATE(YEAR($C$4),MONTH($C$4),1),0),预计变动!$I:$I,"&lt;="&amp;DATE(YEAR($C$4),12,31))</f>
        <v>0</v>
      </c>
      <c r="AP21" s="66">
        <f>AF21+SUMIFS(预计变动!$F:$F,预计变动!$B:$B,AP$7,预计变动!$C:$C,$B21,预计变动!$I:$I,"&gt;"&amp;EOMONTH(DATE(YEAR($C$4),MONTH($C$4),1),0),预计变动!$I:$I,"&lt;="&amp;DATE(YEAR($C$4),12,31))</f>
        <v>0</v>
      </c>
      <c r="AQ21" s="66">
        <f>AG21+SUMIFS(预计变动!$F:$F,预计变动!$C:$C,$B21,预计变动!$I:$I,"&gt;="&amp;DATE(YEAR($C$4)+1,1,1),预计变动!$I:$I,"&lt;="&amp;DATE(YEAR($C$4)+1,12,31))</f>
        <v>2</v>
      </c>
      <c r="AR21" s="66">
        <f>AH21+SUMIFS(预计变动!$F:$F,预计变动!$B:$B,AR$7,预计变动!$C:$C,$B21,预计变动!$I:$I,"&gt;="&amp;DATE(YEAR($C$4)+1,1,1),预计变动!$I:$I,"&lt;="&amp;DATE(YEAR($C$4)+1,12,31))</f>
        <v>0</v>
      </c>
      <c r="AS21" s="66">
        <f>AI21+SUMIFS(预计变动!$F:$F,预计变动!$B:$B,AS$7,预计变动!$C:$C,$B21,预计变动!$I:$I,"&gt;="&amp;DATE(YEAR($C$4)+1,1,1),预计变动!$I:$I,"&lt;="&amp;DATE(YEAR($C$4)+1,12,31))</f>
        <v>0</v>
      </c>
      <c r="AT21" s="66">
        <f>AJ21+SUMIFS(预计变动!$F:$F,预计变动!$B:$B,AT$7,预计变动!$C:$C,$B21,预计变动!$I:$I,"&gt;="&amp;DATE(YEAR($C$4)+1,1,1),预计变动!$I:$I,"&lt;="&amp;DATE(YEAR($C$4)+1,12,31))</f>
        <v>0</v>
      </c>
      <c r="AU21" s="66">
        <f>AK21+SUMIFS(预计变动!$F:$F,预计变动!$B:$B,AU$7,预计变动!$C:$C,$B21,预计变动!$I:$I,"&gt;="&amp;DATE(YEAR($C$4)+1,1,1),预计变动!$I:$I,"&lt;="&amp;DATE(YEAR($C$4)+1,12,31))</f>
        <v>0</v>
      </c>
      <c r="AV21" s="66">
        <f>AL21+SUMIFS(预计变动!$F:$F,预计变动!$B:$B,AV$7,预计变动!$C:$C,$B21,预计变动!$I:$I,"&gt;="&amp;DATE(YEAR($C$4)+1,1,1),预计变动!$I:$I,"&lt;="&amp;DATE(YEAR($C$4)+1,12,31))</f>
        <v>0</v>
      </c>
      <c r="AW21" s="66">
        <f>AM21+SUMIFS(预计变动!$F:$F,预计变动!$B:$B,AW$7,预计变动!$C:$C,$B21,预计变动!$I:$I,"&gt;="&amp;DATE(YEAR($C$4)+1,1,1),预计变动!$I:$I,"&lt;="&amp;DATE(YEAR($C$4)+1,12,31))</f>
        <v>1</v>
      </c>
      <c r="AX21" s="66">
        <f>AN21+SUMIFS(预计变动!$F:$F,预计变动!$B:$B,AX$7,预计变动!$C:$C,$B21,预计变动!$I:$I,"&gt;="&amp;DATE(YEAR($C$4)+1,1,1),预计变动!$I:$I,"&lt;="&amp;DATE(YEAR($C$4)+1,12,31))</f>
        <v>1</v>
      </c>
      <c r="AY21" s="66">
        <f>AO21+SUMIFS(预计变动!$F:$F,预计变动!$B:$B,AY$7,预计变动!$C:$C,$B21,预计变动!$I:$I,"&gt;="&amp;DATE(YEAR($C$4)+1,1,1),预计变动!$I:$I,"&lt;="&amp;DATE(YEAR($C$4)+1,12,31))</f>
        <v>0</v>
      </c>
      <c r="AZ21" s="66">
        <f>AP21+SUMIFS(预计变动!$F:$F,预计变动!$B:$B,AZ$7,预计变动!$C:$C,$B21,预计变动!$I:$I,"&gt;="&amp;DATE(YEAR($C$4)+1,1,1),预计变动!$I:$I,"&lt;="&amp;DATE(YEAR($C$4)+1,12,31))</f>
        <v>0</v>
      </c>
    </row>
    <row r="22" spans="2:52">
      <c r="B22" s="65" t="s">
        <v>261</v>
      </c>
      <c r="C22" s="66">
        <f>COUNTIFS(人员状况!$D:$D,"*",人员状况!$E:$E,$B22,人员状况!$G:$G,"&lt;="&amp;DATE(YEAR($C$4)-2,12,31),人员状况!$H:$H,"&gt;="&amp;DATE(YEAR($C$4)-2,12,31)+1)</f>
        <v>1</v>
      </c>
      <c r="D22" s="66">
        <f>COUNTIFS(人员状况!$D:$D,"*",人员状况!$E:$E,$B22,人员状况!$D:$D,D$7,人员状况!$G:$G,"&lt;="&amp;DATE(YEAR($C$4)-2,12,31),人员状况!$H:$H,"&gt;="&amp;DATE(YEAR($C$4)-2,12,31)+1)</f>
        <v>0</v>
      </c>
      <c r="E22" s="66">
        <f>COUNTIFS(人员状况!$D:$D,"*",人员状况!$E:$E,$B22,人员状况!$D:$D,E$7,人员状况!$G:$G,"&lt;="&amp;DATE(YEAR($C$4)-2,12,31),人员状况!$H:$H,"&gt;="&amp;DATE(YEAR($C$4)-2,12,31)+1)</f>
        <v>0</v>
      </c>
      <c r="F22" s="66">
        <f>COUNTIFS(人员状况!$D:$D,"*",人员状况!$E:$E,$B22,人员状况!$D:$D,F$7,人员状况!$G:$G,"&lt;="&amp;DATE(YEAR($C$4)-2,12,31),人员状况!$H:$H,"&gt;="&amp;DATE(YEAR($C$4)-2,12,31)+1)</f>
        <v>0</v>
      </c>
      <c r="G22" s="66">
        <f>COUNTIFS(人员状况!$D:$D,"*",人员状况!$E:$E,$B22,人员状况!$D:$D,G$7,人员状况!$G:$G,"&lt;="&amp;DATE(YEAR($C$4)-2,12,31),人员状况!$H:$H,"&gt;="&amp;DATE(YEAR($C$4)-2,12,31)+1)</f>
        <v>0</v>
      </c>
      <c r="H22" s="66">
        <f>COUNTIFS(人员状况!$D:$D,"*",人员状况!$E:$E,$B22,人员状况!$D:$D,H$7,人员状况!$G:$G,"&lt;="&amp;DATE(YEAR($C$4)-2,12,31),人员状况!$H:$H,"&gt;="&amp;DATE(YEAR($C$4)-2,12,31)+1)</f>
        <v>0</v>
      </c>
      <c r="I22" s="66">
        <f>COUNTIFS(人员状况!$D:$D,"*",人员状况!$E:$E,$B22,人员状况!$D:$D,I$7,人员状况!$G:$G,"&lt;="&amp;DATE(YEAR($C$4)-2,12,31),人员状况!$H:$H,"&gt;="&amp;DATE(YEAR($C$4)-2,12,31)+1)</f>
        <v>1</v>
      </c>
      <c r="J22" s="66">
        <f>COUNTIFS(人员状况!$D:$D,"*",人员状况!$E:$E,$B22,人员状况!$D:$D,J$7,人员状况!$G:$G,"&lt;="&amp;DATE(YEAR($C$4)-2,12,31),人员状况!$H:$H,"&gt;="&amp;DATE(YEAR($C$4)-2,12,31)+1)</f>
        <v>0</v>
      </c>
      <c r="K22" s="66">
        <f>COUNTIFS(人员状况!$D:$D,"*",人员状况!$E:$E,$B22,人员状况!$D:$D,K$7,人员状况!$G:$G,"&lt;="&amp;DATE(YEAR($C$4)-2,12,31),人员状况!$H:$H,"&gt;="&amp;DATE(YEAR($C$4)-2,12,31)+1)</f>
        <v>0</v>
      </c>
      <c r="L22" s="66">
        <f>COUNTIFS(人员状况!$D:$D,"*",人员状况!$E:$E,$B22,人员状况!$D:$D,L$7,人员状况!$G:$G,"&lt;="&amp;DATE(YEAR($C$4)-2,12,31),人员状况!$H:$H,"&gt;="&amp;DATE(YEAR($C$4)-2,12,31)+1)</f>
        <v>0</v>
      </c>
      <c r="M22" s="66">
        <f>COUNTIFS(人员状况!$D:$D,"*",人员状况!$E:$E,$B22,人员状况!$G:$G,"&lt;="&amp;DATE(YEAR($C$4)-1,12,31),人员状况!$H:$H,"&gt;="&amp;DATE(YEAR($C$4)-1,12,31)+1)</f>
        <v>1</v>
      </c>
      <c r="N22" s="66">
        <f>COUNTIFS(人员状况!$D:$D,"*",人员状况!$E:$E,$B22,人员状况!$D:$D,N$7,人员状况!$G:$G,"&lt;="&amp;DATE(YEAR($C$4)-1,12,31),人员状况!$H:$H,"&gt;="&amp;DATE(YEAR($C$4)-1,12,31)+1)</f>
        <v>0</v>
      </c>
      <c r="O22" s="66">
        <f>COUNTIFS(人员状况!$D:$D,"*",人员状况!$E:$E,$B22,人员状况!$D:$D,O$7,人员状况!$G:$G,"&lt;="&amp;DATE(YEAR($C$4)-1,12,31),人员状况!$H:$H,"&gt;="&amp;DATE(YEAR($C$4)-1,12,31)+1)</f>
        <v>0</v>
      </c>
      <c r="P22" s="66">
        <f>COUNTIFS(人员状况!$D:$D,"*",人员状况!$E:$E,$B22,人员状况!$D:$D,P$7,人员状况!$G:$G,"&lt;="&amp;DATE(YEAR($C$4)-1,12,31),人员状况!$H:$H,"&gt;="&amp;DATE(YEAR($C$4)-1,12,31)+1)</f>
        <v>0</v>
      </c>
      <c r="Q22" s="66">
        <f>COUNTIFS(人员状况!$D:$D,"*",人员状况!$E:$E,$B22,人员状况!$D:$D,Q$7,人员状况!$G:$G,"&lt;="&amp;DATE(YEAR($C$4)-1,12,31),人员状况!$H:$H,"&gt;="&amp;DATE(YEAR($C$4)-1,12,31)+1)</f>
        <v>0</v>
      </c>
      <c r="R22" s="66">
        <f>COUNTIFS(人员状况!$D:$D,"*",人员状况!$E:$E,$B22,人员状况!$D:$D,R$7,人员状况!$G:$G,"&lt;="&amp;DATE(YEAR($C$4)-1,12,31),人员状况!$H:$H,"&gt;="&amp;DATE(YEAR($C$4)-1,12,31)+1)</f>
        <v>0</v>
      </c>
      <c r="S22" s="66">
        <f>COUNTIFS(人员状况!$D:$D,"*",人员状况!$E:$E,$B22,人员状况!$D:$D,S$7,人员状况!$G:$G,"&lt;="&amp;DATE(YEAR($C$4)-1,12,31),人员状况!$H:$H,"&gt;="&amp;DATE(YEAR($C$4)-1,12,31)+1)</f>
        <v>1</v>
      </c>
      <c r="T22" s="66">
        <f>COUNTIFS(人员状况!$D:$D,"*",人员状况!$E:$E,$B22,人员状况!$D:$D,T$7,人员状况!$G:$G,"&lt;="&amp;DATE(YEAR($C$4)-1,12,31),人员状况!$H:$H,"&gt;="&amp;DATE(YEAR($C$4)-1,12,31)+1)</f>
        <v>0</v>
      </c>
      <c r="U22" s="66">
        <f>COUNTIFS(人员状况!$D:$D,"*",人员状况!$E:$E,$B22,人员状况!$D:$D,U$7,人员状况!$G:$G,"&lt;="&amp;DATE(YEAR($C$4)-1,12,31),人员状况!$H:$H,"&gt;="&amp;DATE(YEAR($C$4)-1,12,31)+1)</f>
        <v>0</v>
      </c>
      <c r="V22" s="66">
        <f>COUNTIFS(人员状况!$D:$D,"*",人员状况!$E:$E,$B22,人员状况!$D:$D,V$7,人员状况!$G:$G,"&lt;="&amp;DATE(YEAR($C$4)-1,12,31),人员状况!$H:$H,"&gt;="&amp;DATE(YEAR($C$4)-1,12,31)+1)</f>
        <v>0</v>
      </c>
      <c r="W22" s="66">
        <f>COUNTIFS(人员状况!$D:$D,"*",人员状况!$E:$E,$B22,人员状况!$G:$G,"&lt;="&amp;EOMONTH(DATE(YEAR($C$4)-1,MONTH($C$4),1),0),人员状况!$H:$H,"&gt;="&amp;EOMONTH(DATE(YEAR($C$4)-1,MONTH($C$4),1),0)+1)</f>
        <v>1</v>
      </c>
      <c r="X22" s="66">
        <f>COUNTIFS(人员状况!$D:$D,X$7,人员状况!$E:$E,$B22,人员状况!$G:$G,"&lt;="&amp;EOMONTH(DATE(YEAR($C$4)-1,MONTH($C$4),1),0),人员状况!$H:$H,"&gt;="&amp;EOMONTH(DATE(YEAR($C$4)-1,MONTH($C$4),1),0)+1)</f>
        <v>0</v>
      </c>
      <c r="Y22" s="66">
        <f>COUNTIFS(人员状况!$D:$D,Y$7,人员状况!$E:$E,$B22,人员状况!$G:$G,"&lt;="&amp;EOMONTH(DATE(YEAR($C$4)-1,MONTH($C$4),1),0),人员状况!$H:$H,"&gt;="&amp;EOMONTH(DATE(YEAR($C$4)-1,MONTH($C$4),1),0)+1)</f>
        <v>0</v>
      </c>
      <c r="Z22" s="66">
        <f>COUNTIFS(人员状况!$D:$D,Z$7,人员状况!$E:$E,$B22,人员状况!$G:$G,"&lt;="&amp;EOMONTH(DATE(YEAR($C$4)-1,MONTH($C$4),1),0),人员状况!$H:$H,"&gt;="&amp;EOMONTH(DATE(YEAR($C$4)-1,MONTH($C$4),1),0)+1)</f>
        <v>0</v>
      </c>
      <c r="AA22" s="66">
        <f>COUNTIFS(人员状况!$D:$D,AA$7,人员状况!$E:$E,$B22,人员状况!$G:$G,"&lt;="&amp;EOMONTH(DATE(YEAR($C$4)-1,MONTH($C$4),1),0),人员状况!$H:$H,"&gt;="&amp;EOMONTH(DATE(YEAR($C$4)-1,MONTH($C$4),1),0)+1)</f>
        <v>0</v>
      </c>
      <c r="AB22" s="66">
        <f>COUNTIFS(人员状况!$D:$D,AB$7,人员状况!$E:$E,$B22,人员状况!$G:$G,"&lt;="&amp;EOMONTH(DATE(YEAR($C$4)-1,MONTH($C$4),1),0),人员状况!$H:$H,"&gt;="&amp;EOMONTH(DATE(YEAR($C$4)-1,MONTH($C$4),1),0)+1)</f>
        <v>0</v>
      </c>
      <c r="AC22" s="66">
        <f>COUNTIFS(人员状况!$D:$D,AC$7,人员状况!$E:$E,$B22,人员状况!$G:$G,"&lt;="&amp;EOMONTH(DATE(YEAR($C$4)-1,MONTH($C$4),1),0),人员状况!$H:$H,"&gt;="&amp;EOMONTH(DATE(YEAR($C$4)-1,MONTH($C$4),1),0)+1)</f>
        <v>1</v>
      </c>
      <c r="AD22" s="66">
        <f>COUNTIFS(人员状况!$D:$D,AD$7,人员状况!$E:$E,$B22,人员状况!$G:$G,"&lt;="&amp;EOMONTH(DATE(YEAR($C$4)-1,MONTH($C$4),1),0),人员状况!$H:$H,"&gt;="&amp;EOMONTH(DATE(YEAR($C$4)-1,MONTH($C$4),1),0)+1)</f>
        <v>0</v>
      </c>
      <c r="AE22" s="66">
        <f>COUNTIFS(人员状况!$D:$D,AE$7,人员状况!$E:$E,$B22,人员状况!$G:$G,"&lt;="&amp;EOMONTH(DATE(YEAR($C$4)-1,MONTH($C$4),1),0),人员状况!$H:$H,"&gt;="&amp;EOMONTH(DATE(YEAR($C$4)-1,MONTH($C$4),1),0)+1)</f>
        <v>0</v>
      </c>
      <c r="AF22" s="66">
        <f>COUNTIFS(人员状况!$D:$D,AF$7,人员状况!$E:$E,$B22,人员状况!$G:$G,"&lt;="&amp;EOMONTH(DATE(YEAR($C$4)-1,MONTH($C$4),1),0),人员状况!$H:$H,"&gt;="&amp;EOMONTH(DATE(YEAR($C$4)-1,MONTH($C$4),1),0)+1)</f>
        <v>0</v>
      </c>
      <c r="AG22" s="66">
        <f>W22+SUMIFS(预计变动!$F:$F,预计变动!$C:$C,$B22,预计变动!$I:$I,"&gt;"&amp;EOMONTH(DATE(YEAR($C$4),MONTH($C$4),1),0),预计变动!$I:$I,"&lt;="&amp;DATE(YEAR($C$4),12,31))</f>
        <v>1</v>
      </c>
      <c r="AH22" s="66">
        <f>X22+SUMIFS(预计变动!$F:$F,预计变动!$B:$B,AH$7,预计变动!$C:$C,$B22,预计变动!$I:$I,"&gt;"&amp;EOMONTH(DATE(YEAR($C$4),MONTH($C$4),1),0),预计变动!$I:$I,"&lt;="&amp;DATE(YEAR($C$4),12,31))</f>
        <v>0</v>
      </c>
      <c r="AI22" s="66">
        <f>Y22+SUMIFS(预计变动!$F:$F,预计变动!$B:$B,AI$7,预计变动!$C:$C,$B22,预计变动!$I:$I,"&gt;"&amp;EOMONTH(DATE(YEAR($C$4),MONTH($C$4),1),0),预计变动!$I:$I,"&lt;="&amp;DATE(YEAR($C$4),12,31))</f>
        <v>0</v>
      </c>
      <c r="AJ22" s="66">
        <f>Z22+SUMIFS(预计变动!$F:$F,预计变动!$B:$B,AJ$7,预计变动!$C:$C,$B22,预计变动!$I:$I,"&gt;"&amp;EOMONTH(DATE(YEAR($C$4),MONTH($C$4),1),0),预计变动!$I:$I,"&lt;="&amp;DATE(YEAR($C$4),12,31))</f>
        <v>0</v>
      </c>
      <c r="AK22" s="66">
        <f>AA22+SUMIFS(预计变动!$F:$F,预计变动!$B:$B,AK$7,预计变动!$C:$C,$B22,预计变动!$I:$I,"&gt;"&amp;EOMONTH(DATE(YEAR($C$4),MONTH($C$4),1),0),预计变动!$I:$I,"&lt;="&amp;DATE(YEAR($C$4),12,31))</f>
        <v>0</v>
      </c>
      <c r="AL22" s="66">
        <f>AB22+SUMIFS(预计变动!$F:$F,预计变动!$B:$B,AL$7,预计变动!$C:$C,$B22,预计变动!$I:$I,"&gt;"&amp;EOMONTH(DATE(YEAR($C$4),MONTH($C$4),1),0),预计变动!$I:$I,"&lt;="&amp;DATE(YEAR($C$4),12,31))</f>
        <v>0</v>
      </c>
      <c r="AM22" s="66">
        <f>AC22+SUMIFS(预计变动!$F:$F,预计变动!$B:$B,AM$7,预计变动!$C:$C,$B22,预计变动!$I:$I,"&gt;"&amp;EOMONTH(DATE(YEAR($C$4),MONTH($C$4),1),0),预计变动!$I:$I,"&lt;="&amp;DATE(YEAR($C$4),12,31))</f>
        <v>1</v>
      </c>
      <c r="AN22" s="66">
        <f>AD22+SUMIFS(预计变动!$F:$F,预计变动!$B:$B,AN$7,预计变动!$C:$C,$B22,预计变动!$I:$I,"&gt;"&amp;EOMONTH(DATE(YEAR($C$4),MONTH($C$4),1),0),预计变动!$I:$I,"&lt;="&amp;DATE(YEAR($C$4),12,31))</f>
        <v>0</v>
      </c>
      <c r="AO22" s="66">
        <f>AE22+SUMIFS(预计变动!$F:$F,预计变动!$B:$B,AO$7,预计变动!$C:$C,$B22,预计变动!$I:$I,"&gt;"&amp;EOMONTH(DATE(YEAR($C$4),MONTH($C$4),1),0),预计变动!$I:$I,"&lt;="&amp;DATE(YEAR($C$4),12,31))</f>
        <v>0</v>
      </c>
      <c r="AP22" s="66">
        <f>AF22+SUMIFS(预计变动!$F:$F,预计变动!$B:$B,AP$7,预计变动!$C:$C,$B22,预计变动!$I:$I,"&gt;"&amp;EOMONTH(DATE(YEAR($C$4),MONTH($C$4),1),0),预计变动!$I:$I,"&lt;="&amp;DATE(YEAR($C$4),12,31))</f>
        <v>0</v>
      </c>
      <c r="AQ22" s="66">
        <f>AG22+SUMIFS(预计变动!$F:$F,预计变动!$C:$C,$B22,预计变动!$I:$I,"&gt;="&amp;DATE(YEAR($C$4)+1,1,1),预计变动!$I:$I,"&lt;="&amp;DATE(YEAR($C$4)+1,12,31))</f>
        <v>1</v>
      </c>
      <c r="AR22" s="66">
        <f>AH22+SUMIFS(预计变动!$F:$F,预计变动!$B:$B,AR$7,预计变动!$C:$C,$B22,预计变动!$I:$I,"&gt;="&amp;DATE(YEAR($C$4)+1,1,1),预计变动!$I:$I,"&lt;="&amp;DATE(YEAR($C$4)+1,12,31))</f>
        <v>0</v>
      </c>
      <c r="AS22" s="66">
        <f>AI22+SUMIFS(预计变动!$F:$F,预计变动!$B:$B,AS$7,预计变动!$C:$C,$B22,预计变动!$I:$I,"&gt;="&amp;DATE(YEAR($C$4)+1,1,1),预计变动!$I:$I,"&lt;="&amp;DATE(YEAR($C$4)+1,12,31))</f>
        <v>0</v>
      </c>
      <c r="AT22" s="66">
        <f>AJ22+SUMIFS(预计变动!$F:$F,预计变动!$B:$B,AT$7,预计变动!$C:$C,$B22,预计变动!$I:$I,"&gt;="&amp;DATE(YEAR($C$4)+1,1,1),预计变动!$I:$I,"&lt;="&amp;DATE(YEAR($C$4)+1,12,31))</f>
        <v>0</v>
      </c>
      <c r="AU22" s="66">
        <f>AK22+SUMIFS(预计变动!$F:$F,预计变动!$B:$B,AU$7,预计变动!$C:$C,$B22,预计变动!$I:$I,"&gt;="&amp;DATE(YEAR($C$4)+1,1,1),预计变动!$I:$I,"&lt;="&amp;DATE(YEAR($C$4)+1,12,31))</f>
        <v>0</v>
      </c>
      <c r="AV22" s="66">
        <f>AL22+SUMIFS(预计变动!$F:$F,预计变动!$B:$B,AV$7,预计变动!$C:$C,$B22,预计变动!$I:$I,"&gt;="&amp;DATE(YEAR($C$4)+1,1,1),预计变动!$I:$I,"&lt;="&amp;DATE(YEAR($C$4)+1,12,31))</f>
        <v>0</v>
      </c>
      <c r="AW22" s="66">
        <f>AM22+SUMIFS(预计变动!$F:$F,预计变动!$B:$B,AW$7,预计变动!$C:$C,$B22,预计变动!$I:$I,"&gt;="&amp;DATE(YEAR($C$4)+1,1,1),预计变动!$I:$I,"&lt;="&amp;DATE(YEAR($C$4)+1,12,31))</f>
        <v>1</v>
      </c>
      <c r="AX22" s="66">
        <f>AN22+SUMIFS(预计变动!$F:$F,预计变动!$B:$B,AX$7,预计变动!$C:$C,$B22,预计变动!$I:$I,"&gt;="&amp;DATE(YEAR($C$4)+1,1,1),预计变动!$I:$I,"&lt;="&amp;DATE(YEAR($C$4)+1,12,31))</f>
        <v>0</v>
      </c>
      <c r="AY22" s="66">
        <f>AO22+SUMIFS(预计变动!$F:$F,预计变动!$B:$B,AY$7,预计变动!$C:$C,$B22,预计变动!$I:$I,"&gt;="&amp;DATE(YEAR($C$4)+1,1,1),预计变动!$I:$I,"&lt;="&amp;DATE(YEAR($C$4)+1,12,31))</f>
        <v>0</v>
      </c>
      <c r="AZ22" s="66">
        <f>AP22+SUMIFS(预计变动!$F:$F,预计变动!$B:$B,AZ$7,预计变动!$C:$C,$B22,预计变动!$I:$I,"&gt;="&amp;DATE(YEAR($C$4)+1,1,1),预计变动!$I:$I,"&lt;="&amp;DATE(YEAR($C$4)+1,12,31))</f>
        <v>0</v>
      </c>
    </row>
    <row r="23" spans="2:52">
      <c r="B23" s="65" t="s">
        <v>288</v>
      </c>
      <c r="C23" s="66">
        <f>COUNTIFS(人员状况!$D:$D,"*",人员状况!$E:$E,$B23,人员状况!$G:$G,"&lt;="&amp;DATE(YEAR($C$4)-2,12,31),人员状况!$H:$H,"&gt;="&amp;DATE(YEAR($C$4)-2,12,31)+1)</f>
        <v>1</v>
      </c>
      <c r="D23" s="66">
        <f>COUNTIFS(人员状况!$D:$D,"*",人员状况!$E:$E,$B23,人员状况!$D:$D,D$7,人员状况!$G:$G,"&lt;="&amp;DATE(YEAR($C$4)-2,12,31),人员状况!$H:$H,"&gt;="&amp;DATE(YEAR($C$4)-2,12,31)+1)</f>
        <v>0</v>
      </c>
      <c r="E23" s="66">
        <f>COUNTIFS(人员状况!$D:$D,"*",人员状况!$E:$E,$B23,人员状况!$D:$D,E$7,人员状况!$G:$G,"&lt;="&amp;DATE(YEAR($C$4)-2,12,31),人员状况!$H:$H,"&gt;="&amp;DATE(YEAR($C$4)-2,12,31)+1)</f>
        <v>0</v>
      </c>
      <c r="F23" s="66">
        <f>COUNTIFS(人员状况!$D:$D,"*",人员状况!$E:$E,$B23,人员状况!$D:$D,F$7,人员状况!$G:$G,"&lt;="&amp;DATE(YEAR($C$4)-2,12,31),人员状况!$H:$H,"&gt;="&amp;DATE(YEAR($C$4)-2,12,31)+1)</f>
        <v>0</v>
      </c>
      <c r="G23" s="66">
        <f>COUNTIFS(人员状况!$D:$D,"*",人员状况!$E:$E,$B23,人员状况!$D:$D,G$7,人员状况!$G:$G,"&lt;="&amp;DATE(YEAR($C$4)-2,12,31),人员状况!$H:$H,"&gt;="&amp;DATE(YEAR($C$4)-2,12,31)+1)</f>
        <v>0</v>
      </c>
      <c r="H23" s="66">
        <f>COUNTIFS(人员状况!$D:$D,"*",人员状况!$E:$E,$B23,人员状况!$D:$D,H$7,人员状况!$G:$G,"&lt;="&amp;DATE(YEAR($C$4)-2,12,31),人员状况!$H:$H,"&gt;="&amp;DATE(YEAR($C$4)-2,12,31)+1)</f>
        <v>1</v>
      </c>
      <c r="I23" s="66">
        <f>COUNTIFS(人员状况!$D:$D,"*",人员状况!$E:$E,$B23,人员状况!$D:$D,I$7,人员状况!$G:$G,"&lt;="&amp;DATE(YEAR($C$4)-2,12,31),人员状况!$H:$H,"&gt;="&amp;DATE(YEAR($C$4)-2,12,31)+1)</f>
        <v>0</v>
      </c>
      <c r="J23" s="66">
        <f>COUNTIFS(人员状况!$D:$D,"*",人员状况!$E:$E,$B23,人员状况!$D:$D,J$7,人员状况!$G:$G,"&lt;="&amp;DATE(YEAR($C$4)-2,12,31),人员状况!$H:$H,"&gt;="&amp;DATE(YEAR($C$4)-2,12,31)+1)</f>
        <v>0</v>
      </c>
      <c r="K23" s="66">
        <f>COUNTIFS(人员状况!$D:$D,"*",人员状况!$E:$E,$B23,人员状况!$D:$D,K$7,人员状况!$G:$G,"&lt;="&amp;DATE(YEAR($C$4)-2,12,31),人员状况!$H:$H,"&gt;="&amp;DATE(YEAR($C$4)-2,12,31)+1)</f>
        <v>0</v>
      </c>
      <c r="L23" s="66">
        <f>COUNTIFS(人员状况!$D:$D,"*",人员状况!$E:$E,$B23,人员状况!$D:$D,L$7,人员状况!$G:$G,"&lt;="&amp;DATE(YEAR($C$4)-2,12,31),人员状况!$H:$H,"&gt;="&amp;DATE(YEAR($C$4)-2,12,31)+1)</f>
        <v>0</v>
      </c>
      <c r="M23" s="66">
        <f>COUNTIFS(人员状况!$D:$D,"*",人员状况!$E:$E,$B23,人员状况!$G:$G,"&lt;="&amp;DATE(YEAR($C$4)-1,12,31),人员状况!$H:$H,"&gt;="&amp;DATE(YEAR($C$4)-1,12,31)+1)</f>
        <v>1</v>
      </c>
      <c r="N23" s="66">
        <f>COUNTIFS(人员状况!$D:$D,"*",人员状况!$E:$E,$B23,人员状况!$D:$D,N$7,人员状况!$G:$G,"&lt;="&amp;DATE(YEAR($C$4)-1,12,31),人员状况!$H:$H,"&gt;="&amp;DATE(YEAR($C$4)-1,12,31)+1)</f>
        <v>0</v>
      </c>
      <c r="O23" s="66">
        <f>COUNTIFS(人员状况!$D:$D,"*",人员状况!$E:$E,$B23,人员状况!$D:$D,O$7,人员状况!$G:$G,"&lt;="&amp;DATE(YEAR($C$4)-1,12,31),人员状况!$H:$H,"&gt;="&amp;DATE(YEAR($C$4)-1,12,31)+1)</f>
        <v>0</v>
      </c>
      <c r="P23" s="66">
        <f>COUNTIFS(人员状况!$D:$D,"*",人员状况!$E:$E,$B23,人员状况!$D:$D,P$7,人员状况!$G:$G,"&lt;="&amp;DATE(YEAR($C$4)-1,12,31),人员状况!$H:$H,"&gt;="&amp;DATE(YEAR($C$4)-1,12,31)+1)</f>
        <v>0</v>
      </c>
      <c r="Q23" s="66">
        <f>COUNTIFS(人员状况!$D:$D,"*",人员状况!$E:$E,$B23,人员状况!$D:$D,Q$7,人员状况!$G:$G,"&lt;="&amp;DATE(YEAR($C$4)-1,12,31),人员状况!$H:$H,"&gt;="&amp;DATE(YEAR($C$4)-1,12,31)+1)</f>
        <v>0</v>
      </c>
      <c r="R23" s="66">
        <f>COUNTIFS(人员状况!$D:$D,"*",人员状况!$E:$E,$B23,人员状况!$D:$D,R$7,人员状况!$G:$G,"&lt;="&amp;DATE(YEAR($C$4)-1,12,31),人员状况!$H:$H,"&gt;="&amp;DATE(YEAR($C$4)-1,12,31)+1)</f>
        <v>1</v>
      </c>
      <c r="S23" s="66">
        <f>COUNTIFS(人员状况!$D:$D,"*",人员状况!$E:$E,$B23,人员状况!$D:$D,S$7,人员状况!$G:$G,"&lt;="&amp;DATE(YEAR($C$4)-1,12,31),人员状况!$H:$H,"&gt;="&amp;DATE(YEAR($C$4)-1,12,31)+1)</f>
        <v>0</v>
      </c>
      <c r="T23" s="66">
        <f>COUNTIFS(人员状况!$D:$D,"*",人员状况!$E:$E,$B23,人员状况!$D:$D,T$7,人员状况!$G:$G,"&lt;="&amp;DATE(YEAR($C$4)-1,12,31),人员状况!$H:$H,"&gt;="&amp;DATE(YEAR($C$4)-1,12,31)+1)</f>
        <v>0</v>
      </c>
      <c r="U23" s="66">
        <f>COUNTIFS(人员状况!$D:$D,"*",人员状况!$E:$E,$B23,人员状况!$D:$D,U$7,人员状况!$G:$G,"&lt;="&amp;DATE(YEAR($C$4)-1,12,31),人员状况!$H:$H,"&gt;="&amp;DATE(YEAR($C$4)-1,12,31)+1)</f>
        <v>0</v>
      </c>
      <c r="V23" s="66">
        <f>COUNTIFS(人员状况!$D:$D,"*",人员状况!$E:$E,$B23,人员状况!$D:$D,V$7,人员状况!$G:$G,"&lt;="&amp;DATE(YEAR($C$4)-1,12,31),人员状况!$H:$H,"&gt;="&amp;DATE(YEAR($C$4)-1,12,31)+1)</f>
        <v>0</v>
      </c>
      <c r="W23" s="66">
        <f>COUNTIFS(人员状况!$D:$D,"*",人员状况!$E:$E,$B23,人员状况!$G:$G,"&lt;="&amp;EOMONTH(DATE(YEAR($C$4)-1,MONTH($C$4),1),0),人员状况!$H:$H,"&gt;="&amp;EOMONTH(DATE(YEAR($C$4)-1,MONTH($C$4),1),0)+1)</f>
        <v>1</v>
      </c>
      <c r="X23" s="66">
        <f>COUNTIFS(人员状况!$D:$D,X$7,人员状况!$E:$E,$B23,人员状况!$G:$G,"&lt;="&amp;EOMONTH(DATE(YEAR($C$4)-1,MONTH($C$4),1),0),人员状况!$H:$H,"&gt;="&amp;EOMONTH(DATE(YEAR($C$4)-1,MONTH($C$4),1),0)+1)</f>
        <v>0</v>
      </c>
      <c r="Y23" s="66">
        <f>COUNTIFS(人员状况!$D:$D,Y$7,人员状况!$E:$E,$B23,人员状况!$G:$G,"&lt;="&amp;EOMONTH(DATE(YEAR($C$4)-1,MONTH($C$4),1),0),人员状况!$H:$H,"&gt;="&amp;EOMONTH(DATE(YEAR($C$4)-1,MONTH($C$4),1),0)+1)</f>
        <v>0</v>
      </c>
      <c r="Z23" s="66">
        <f>COUNTIFS(人员状况!$D:$D,Z$7,人员状况!$E:$E,$B23,人员状况!$G:$G,"&lt;="&amp;EOMONTH(DATE(YEAR($C$4)-1,MONTH($C$4),1),0),人员状况!$H:$H,"&gt;="&amp;EOMONTH(DATE(YEAR($C$4)-1,MONTH($C$4),1),0)+1)</f>
        <v>0</v>
      </c>
      <c r="AA23" s="66">
        <f>COUNTIFS(人员状况!$D:$D,AA$7,人员状况!$E:$E,$B23,人员状况!$G:$G,"&lt;="&amp;EOMONTH(DATE(YEAR($C$4)-1,MONTH($C$4),1),0),人员状况!$H:$H,"&gt;="&amp;EOMONTH(DATE(YEAR($C$4)-1,MONTH($C$4),1),0)+1)</f>
        <v>0</v>
      </c>
      <c r="AB23" s="66">
        <f>COUNTIFS(人员状况!$D:$D,AB$7,人员状况!$E:$E,$B23,人员状况!$G:$G,"&lt;="&amp;EOMONTH(DATE(YEAR($C$4)-1,MONTH($C$4),1),0),人员状况!$H:$H,"&gt;="&amp;EOMONTH(DATE(YEAR($C$4)-1,MONTH($C$4),1),0)+1)</f>
        <v>1</v>
      </c>
      <c r="AC23" s="66">
        <f>COUNTIFS(人员状况!$D:$D,AC$7,人员状况!$E:$E,$B23,人员状况!$G:$G,"&lt;="&amp;EOMONTH(DATE(YEAR($C$4)-1,MONTH($C$4),1),0),人员状况!$H:$H,"&gt;="&amp;EOMONTH(DATE(YEAR($C$4)-1,MONTH($C$4),1),0)+1)</f>
        <v>0</v>
      </c>
      <c r="AD23" s="66">
        <f>COUNTIFS(人员状况!$D:$D,AD$7,人员状况!$E:$E,$B23,人员状况!$G:$G,"&lt;="&amp;EOMONTH(DATE(YEAR($C$4)-1,MONTH($C$4),1),0),人员状况!$H:$H,"&gt;="&amp;EOMONTH(DATE(YEAR($C$4)-1,MONTH($C$4),1),0)+1)</f>
        <v>0</v>
      </c>
      <c r="AE23" s="66">
        <f>COUNTIFS(人员状况!$D:$D,AE$7,人员状况!$E:$E,$B23,人员状况!$G:$G,"&lt;="&amp;EOMONTH(DATE(YEAR($C$4)-1,MONTH($C$4),1),0),人员状况!$H:$H,"&gt;="&amp;EOMONTH(DATE(YEAR($C$4)-1,MONTH($C$4),1),0)+1)</f>
        <v>0</v>
      </c>
      <c r="AF23" s="66">
        <f>COUNTIFS(人员状况!$D:$D,AF$7,人员状况!$E:$E,$B23,人员状况!$G:$G,"&lt;="&amp;EOMONTH(DATE(YEAR($C$4)-1,MONTH($C$4),1),0),人员状况!$H:$H,"&gt;="&amp;EOMONTH(DATE(YEAR($C$4)-1,MONTH($C$4),1),0)+1)</f>
        <v>0</v>
      </c>
      <c r="AG23" s="66">
        <f>W23+SUMIFS(预计变动!$F:$F,预计变动!$C:$C,$B23,预计变动!$I:$I,"&gt;"&amp;EOMONTH(DATE(YEAR($C$4),MONTH($C$4),1),0),预计变动!$I:$I,"&lt;="&amp;DATE(YEAR($C$4),12,31))</f>
        <v>1</v>
      </c>
      <c r="AH23" s="66">
        <f>X23+SUMIFS(预计变动!$F:$F,预计变动!$B:$B,AH$7,预计变动!$C:$C,$B23,预计变动!$I:$I,"&gt;"&amp;EOMONTH(DATE(YEAR($C$4),MONTH($C$4),1),0),预计变动!$I:$I,"&lt;="&amp;DATE(YEAR($C$4),12,31))</f>
        <v>0</v>
      </c>
      <c r="AI23" s="66">
        <f>Y23+SUMIFS(预计变动!$F:$F,预计变动!$B:$B,AI$7,预计变动!$C:$C,$B23,预计变动!$I:$I,"&gt;"&amp;EOMONTH(DATE(YEAR($C$4),MONTH($C$4),1),0),预计变动!$I:$I,"&lt;="&amp;DATE(YEAR($C$4),12,31))</f>
        <v>0</v>
      </c>
      <c r="AJ23" s="66">
        <f>Z23+SUMIFS(预计变动!$F:$F,预计变动!$B:$B,AJ$7,预计变动!$C:$C,$B23,预计变动!$I:$I,"&gt;"&amp;EOMONTH(DATE(YEAR($C$4),MONTH($C$4),1),0),预计变动!$I:$I,"&lt;="&amp;DATE(YEAR($C$4),12,31))</f>
        <v>0</v>
      </c>
      <c r="AK23" s="66">
        <f>AA23+SUMIFS(预计变动!$F:$F,预计变动!$B:$B,AK$7,预计变动!$C:$C,$B23,预计变动!$I:$I,"&gt;"&amp;EOMONTH(DATE(YEAR($C$4),MONTH($C$4),1),0),预计变动!$I:$I,"&lt;="&amp;DATE(YEAR($C$4),12,31))</f>
        <v>0</v>
      </c>
      <c r="AL23" s="66">
        <f>AB23+SUMIFS(预计变动!$F:$F,预计变动!$B:$B,AL$7,预计变动!$C:$C,$B23,预计变动!$I:$I,"&gt;"&amp;EOMONTH(DATE(YEAR($C$4),MONTH($C$4),1),0),预计变动!$I:$I,"&lt;="&amp;DATE(YEAR($C$4),12,31))</f>
        <v>1</v>
      </c>
      <c r="AM23" s="66">
        <f>AC23+SUMIFS(预计变动!$F:$F,预计变动!$B:$B,AM$7,预计变动!$C:$C,$B23,预计变动!$I:$I,"&gt;"&amp;EOMONTH(DATE(YEAR($C$4),MONTH($C$4),1),0),预计变动!$I:$I,"&lt;="&amp;DATE(YEAR($C$4),12,31))</f>
        <v>0</v>
      </c>
      <c r="AN23" s="66">
        <f>AD23+SUMIFS(预计变动!$F:$F,预计变动!$B:$B,AN$7,预计变动!$C:$C,$B23,预计变动!$I:$I,"&gt;"&amp;EOMONTH(DATE(YEAR($C$4),MONTH($C$4),1),0),预计变动!$I:$I,"&lt;="&amp;DATE(YEAR($C$4),12,31))</f>
        <v>0</v>
      </c>
      <c r="AO23" s="66">
        <f>AE23+SUMIFS(预计变动!$F:$F,预计变动!$B:$B,AO$7,预计变动!$C:$C,$B23,预计变动!$I:$I,"&gt;"&amp;EOMONTH(DATE(YEAR($C$4),MONTH($C$4),1),0),预计变动!$I:$I,"&lt;="&amp;DATE(YEAR($C$4),12,31))</f>
        <v>0</v>
      </c>
      <c r="AP23" s="66">
        <f>AF23+SUMIFS(预计变动!$F:$F,预计变动!$B:$B,AP$7,预计变动!$C:$C,$B23,预计变动!$I:$I,"&gt;"&amp;EOMONTH(DATE(YEAR($C$4),MONTH($C$4),1),0),预计变动!$I:$I,"&lt;="&amp;DATE(YEAR($C$4),12,31))</f>
        <v>0</v>
      </c>
      <c r="AQ23" s="66">
        <f>AG23+SUMIFS(预计变动!$F:$F,预计变动!$C:$C,$B23,预计变动!$I:$I,"&gt;="&amp;DATE(YEAR($C$4)+1,1,1),预计变动!$I:$I,"&lt;="&amp;DATE(YEAR($C$4)+1,12,31))</f>
        <v>1</v>
      </c>
      <c r="AR23" s="66">
        <f>AH23+SUMIFS(预计变动!$F:$F,预计变动!$B:$B,AR$7,预计变动!$C:$C,$B23,预计变动!$I:$I,"&gt;="&amp;DATE(YEAR($C$4)+1,1,1),预计变动!$I:$I,"&lt;="&amp;DATE(YEAR($C$4)+1,12,31))</f>
        <v>0</v>
      </c>
      <c r="AS23" s="66">
        <f>AI23+SUMIFS(预计变动!$F:$F,预计变动!$B:$B,AS$7,预计变动!$C:$C,$B23,预计变动!$I:$I,"&gt;="&amp;DATE(YEAR($C$4)+1,1,1),预计变动!$I:$I,"&lt;="&amp;DATE(YEAR($C$4)+1,12,31))</f>
        <v>0</v>
      </c>
      <c r="AT23" s="66">
        <f>AJ23+SUMIFS(预计变动!$F:$F,预计变动!$B:$B,AT$7,预计变动!$C:$C,$B23,预计变动!$I:$I,"&gt;="&amp;DATE(YEAR($C$4)+1,1,1),预计变动!$I:$I,"&lt;="&amp;DATE(YEAR($C$4)+1,12,31))</f>
        <v>0</v>
      </c>
      <c r="AU23" s="66">
        <f>AK23+SUMIFS(预计变动!$F:$F,预计变动!$B:$B,AU$7,预计变动!$C:$C,$B23,预计变动!$I:$I,"&gt;="&amp;DATE(YEAR($C$4)+1,1,1),预计变动!$I:$I,"&lt;="&amp;DATE(YEAR($C$4)+1,12,31))</f>
        <v>0</v>
      </c>
      <c r="AV23" s="66">
        <f>AL23+SUMIFS(预计变动!$F:$F,预计变动!$B:$B,AV$7,预计变动!$C:$C,$B23,预计变动!$I:$I,"&gt;="&amp;DATE(YEAR($C$4)+1,1,1),预计变动!$I:$I,"&lt;="&amp;DATE(YEAR($C$4)+1,12,31))</f>
        <v>1</v>
      </c>
      <c r="AW23" s="66">
        <f>AM23+SUMIFS(预计变动!$F:$F,预计变动!$B:$B,AW$7,预计变动!$C:$C,$B23,预计变动!$I:$I,"&gt;="&amp;DATE(YEAR($C$4)+1,1,1),预计变动!$I:$I,"&lt;="&amp;DATE(YEAR($C$4)+1,12,31))</f>
        <v>0</v>
      </c>
      <c r="AX23" s="66">
        <f>AN23+SUMIFS(预计变动!$F:$F,预计变动!$B:$B,AX$7,预计变动!$C:$C,$B23,预计变动!$I:$I,"&gt;="&amp;DATE(YEAR($C$4)+1,1,1),预计变动!$I:$I,"&lt;="&amp;DATE(YEAR($C$4)+1,12,31))</f>
        <v>0</v>
      </c>
      <c r="AY23" s="66">
        <f>AO23+SUMIFS(预计变动!$F:$F,预计变动!$B:$B,AY$7,预计变动!$C:$C,$B23,预计变动!$I:$I,"&gt;="&amp;DATE(YEAR($C$4)+1,1,1),预计变动!$I:$I,"&lt;="&amp;DATE(YEAR($C$4)+1,12,31))</f>
        <v>0</v>
      </c>
      <c r="AZ23" s="66">
        <f>AP23+SUMIFS(预计变动!$F:$F,预计变动!$B:$B,AZ$7,预计变动!$C:$C,$B23,预计变动!$I:$I,"&gt;="&amp;DATE(YEAR($C$4)+1,1,1),预计变动!$I:$I,"&lt;="&amp;DATE(YEAR($C$4)+1,12,31))</f>
        <v>0</v>
      </c>
    </row>
    <row r="24" spans="2:52">
      <c r="B24" s="65" t="s">
        <v>218</v>
      </c>
      <c r="C24" s="66">
        <f>COUNTIFS(人员状况!$D:$D,"*",人员状况!$E:$E,$B24,人员状况!$G:$G,"&lt;="&amp;DATE(YEAR($C$4)-2,12,31),人员状况!$H:$H,"&gt;="&amp;DATE(YEAR($C$4)-2,12,31)+1)</f>
        <v>3</v>
      </c>
      <c r="D24" s="66">
        <f>COUNTIFS(人员状况!$D:$D,"*",人员状况!$E:$E,$B24,人员状况!$D:$D,D$7,人员状况!$G:$G,"&lt;="&amp;DATE(YEAR($C$4)-2,12,31),人员状况!$H:$H,"&gt;="&amp;DATE(YEAR($C$4)-2,12,31)+1)</f>
        <v>0</v>
      </c>
      <c r="E24" s="66">
        <f>COUNTIFS(人员状况!$D:$D,"*",人员状况!$E:$E,$B24,人员状况!$D:$D,E$7,人员状况!$G:$G,"&lt;="&amp;DATE(YEAR($C$4)-2,12,31),人员状况!$H:$H,"&gt;="&amp;DATE(YEAR($C$4)-2,12,31)+1)</f>
        <v>0</v>
      </c>
      <c r="F24" s="66">
        <f>COUNTIFS(人员状况!$D:$D,"*",人员状况!$E:$E,$B24,人员状况!$D:$D,F$7,人员状况!$G:$G,"&lt;="&amp;DATE(YEAR($C$4)-2,12,31),人员状况!$H:$H,"&gt;="&amp;DATE(YEAR($C$4)-2,12,31)+1)</f>
        <v>1</v>
      </c>
      <c r="G24" s="66">
        <f>COUNTIFS(人员状况!$D:$D,"*",人员状况!$E:$E,$B24,人员状况!$D:$D,G$7,人员状况!$G:$G,"&lt;="&amp;DATE(YEAR($C$4)-2,12,31),人员状况!$H:$H,"&gt;="&amp;DATE(YEAR($C$4)-2,12,31)+1)</f>
        <v>1</v>
      </c>
      <c r="H24" s="66">
        <f>COUNTIFS(人员状况!$D:$D,"*",人员状况!$E:$E,$B24,人员状况!$D:$D,H$7,人员状况!$G:$G,"&lt;="&amp;DATE(YEAR($C$4)-2,12,31),人员状况!$H:$H,"&gt;="&amp;DATE(YEAR($C$4)-2,12,31)+1)</f>
        <v>1</v>
      </c>
      <c r="I24" s="66">
        <f>COUNTIFS(人员状况!$D:$D,"*",人员状况!$E:$E,$B24,人员状况!$D:$D,I$7,人员状况!$G:$G,"&lt;="&amp;DATE(YEAR($C$4)-2,12,31),人员状况!$H:$H,"&gt;="&amp;DATE(YEAR($C$4)-2,12,31)+1)</f>
        <v>0</v>
      </c>
      <c r="J24" s="66">
        <f>COUNTIFS(人员状况!$D:$D,"*",人员状况!$E:$E,$B24,人员状况!$D:$D,J$7,人员状况!$G:$G,"&lt;="&amp;DATE(YEAR($C$4)-2,12,31),人员状况!$H:$H,"&gt;="&amp;DATE(YEAR($C$4)-2,12,31)+1)</f>
        <v>0</v>
      </c>
      <c r="K24" s="66">
        <f>COUNTIFS(人员状况!$D:$D,"*",人员状况!$E:$E,$B24,人员状况!$D:$D,K$7,人员状况!$G:$G,"&lt;="&amp;DATE(YEAR($C$4)-2,12,31),人员状况!$H:$H,"&gt;="&amp;DATE(YEAR($C$4)-2,12,31)+1)</f>
        <v>0</v>
      </c>
      <c r="L24" s="66">
        <f>COUNTIFS(人员状况!$D:$D,"*",人员状况!$E:$E,$B24,人员状况!$D:$D,L$7,人员状况!$G:$G,"&lt;="&amp;DATE(YEAR($C$4)-2,12,31),人员状况!$H:$H,"&gt;="&amp;DATE(YEAR($C$4)-2,12,31)+1)</f>
        <v>0</v>
      </c>
      <c r="M24" s="66">
        <f>COUNTIFS(人员状况!$D:$D,"*",人员状况!$E:$E,$B24,人员状况!$G:$G,"&lt;="&amp;DATE(YEAR($C$4)-1,12,31),人员状况!$H:$H,"&gt;="&amp;DATE(YEAR($C$4)-1,12,31)+1)</f>
        <v>3</v>
      </c>
      <c r="N24" s="66">
        <f>COUNTIFS(人员状况!$D:$D,"*",人员状况!$E:$E,$B24,人员状况!$D:$D,N$7,人员状况!$G:$G,"&lt;="&amp;DATE(YEAR($C$4)-1,12,31),人员状况!$H:$H,"&gt;="&amp;DATE(YEAR($C$4)-1,12,31)+1)</f>
        <v>0</v>
      </c>
      <c r="O24" s="66">
        <f>COUNTIFS(人员状况!$D:$D,"*",人员状况!$E:$E,$B24,人员状况!$D:$D,O$7,人员状况!$G:$G,"&lt;="&amp;DATE(YEAR($C$4)-1,12,31),人员状况!$H:$H,"&gt;="&amp;DATE(YEAR($C$4)-1,12,31)+1)</f>
        <v>0</v>
      </c>
      <c r="P24" s="66">
        <f>COUNTIFS(人员状况!$D:$D,"*",人员状况!$E:$E,$B24,人员状况!$D:$D,P$7,人员状况!$G:$G,"&lt;="&amp;DATE(YEAR($C$4)-1,12,31),人员状况!$H:$H,"&gt;="&amp;DATE(YEAR($C$4)-1,12,31)+1)</f>
        <v>1</v>
      </c>
      <c r="Q24" s="66">
        <f>COUNTIFS(人员状况!$D:$D,"*",人员状况!$E:$E,$B24,人员状况!$D:$D,Q$7,人员状况!$G:$G,"&lt;="&amp;DATE(YEAR($C$4)-1,12,31),人员状况!$H:$H,"&gt;="&amp;DATE(YEAR($C$4)-1,12,31)+1)</f>
        <v>1</v>
      </c>
      <c r="R24" s="66">
        <f>COUNTIFS(人员状况!$D:$D,"*",人员状况!$E:$E,$B24,人员状况!$D:$D,R$7,人员状况!$G:$G,"&lt;="&amp;DATE(YEAR($C$4)-1,12,31),人员状况!$H:$H,"&gt;="&amp;DATE(YEAR($C$4)-1,12,31)+1)</f>
        <v>1</v>
      </c>
      <c r="S24" s="66">
        <f>COUNTIFS(人员状况!$D:$D,"*",人员状况!$E:$E,$B24,人员状况!$D:$D,S$7,人员状况!$G:$G,"&lt;="&amp;DATE(YEAR($C$4)-1,12,31),人员状况!$H:$H,"&gt;="&amp;DATE(YEAR($C$4)-1,12,31)+1)</f>
        <v>0</v>
      </c>
      <c r="T24" s="66">
        <f>COUNTIFS(人员状况!$D:$D,"*",人员状况!$E:$E,$B24,人员状况!$D:$D,T$7,人员状况!$G:$G,"&lt;="&amp;DATE(YEAR($C$4)-1,12,31),人员状况!$H:$H,"&gt;="&amp;DATE(YEAR($C$4)-1,12,31)+1)</f>
        <v>0</v>
      </c>
      <c r="U24" s="66">
        <f>COUNTIFS(人员状况!$D:$D,"*",人员状况!$E:$E,$B24,人员状况!$D:$D,U$7,人员状况!$G:$G,"&lt;="&amp;DATE(YEAR($C$4)-1,12,31),人员状况!$H:$H,"&gt;="&amp;DATE(YEAR($C$4)-1,12,31)+1)</f>
        <v>0</v>
      </c>
      <c r="V24" s="66">
        <f>COUNTIFS(人员状况!$D:$D,"*",人员状况!$E:$E,$B24,人员状况!$D:$D,V$7,人员状况!$G:$G,"&lt;="&amp;DATE(YEAR($C$4)-1,12,31),人员状况!$H:$H,"&gt;="&amp;DATE(YEAR($C$4)-1,12,31)+1)</f>
        <v>0</v>
      </c>
      <c r="W24" s="66">
        <f>COUNTIFS(人员状况!$D:$D,"*",人员状况!$E:$E,$B24,人员状况!$G:$G,"&lt;="&amp;EOMONTH(DATE(YEAR($C$4)-1,MONTH($C$4),1),0),人员状况!$H:$H,"&gt;="&amp;EOMONTH(DATE(YEAR($C$4)-1,MONTH($C$4),1),0)+1)</f>
        <v>3</v>
      </c>
      <c r="X24" s="66">
        <f>COUNTIFS(人员状况!$D:$D,X$7,人员状况!$E:$E,$B24,人员状况!$G:$G,"&lt;="&amp;EOMONTH(DATE(YEAR($C$4)-1,MONTH($C$4),1),0),人员状况!$H:$H,"&gt;="&amp;EOMONTH(DATE(YEAR($C$4)-1,MONTH($C$4),1),0)+1)</f>
        <v>0</v>
      </c>
      <c r="Y24" s="66">
        <f>COUNTIFS(人员状况!$D:$D,Y$7,人员状况!$E:$E,$B24,人员状况!$G:$G,"&lt;="&amp;EOMONTH(DATE(YEAR($C$4)-1,MONTH($C$4),1),0),人员状况!$H:$H,"&gt;="&amp;EOMONTH(DATE(YEAR($C$4)-1,MONTH($C$4),1),0)+1)</f>
        <v>0</v>
      </c>
      <c r="Z24" s="66">
        <f>COUNTIFS(人员状况!$D:$D,Z$7,人员状况!$E:$E,$B24,人员状况!$G:$G,"&lt;="&amp;EOMONTH(DATE(YEAR($C$4)-1,MONTH($C$4),1),0),人员状况!$H:$H,"&gt;="&amp;EOMONTH(DATE(YEAR($C$4)-1,MONTH($C$4),1),0)+1)</f>
        <v>1</v>
      </c>
      <c r="AA24" s="66">
        <f>COUNTIFS(人员状况!$D:$D,AA$7,人员状况!$E:$E,$B24,人员状况!$G:$G,"&lt;="&amp;EOMONTH(DATE(YEAR($C$4)-1,MONTH($C$4),1),0),人员状况!$H:$H,"&gt;="&amp;EOMONTH(DATE(YEAR($C$4)-1,MONTH($C$4),1),0)+1)</f>
        <v>1</v>
      </c>
      <c r="AB24" s="66">
        <f>COUNTIFS(人员状况!$D:$D,AB$7,人员状况!$E:$E,$B24,人员状况!$G:$G,"&lt;="&amp;EOMONTH(DATE(YEAR($C$4)-1,MONTH($C$4),1),0),人员状况!$H:$H,"&gt;="&amp;EOMONTH(DATE(YEAR($C$4)-1,MONTH($C$4),1),0)+1)</f>
        <v>1</v>
      </c>
      <c r="AC24" s="66">
        <f>COUNTIFS(人员状况!$D:$D,AC$7,人员状况!$E:$E,$B24,人员状况!$G:$G,"&lt;="&amp;EOMONTH(DATE(YEAR($C$4)-1,MONTH($C$4),1),0),人员状况!$H:$H,"&gt;="&amp;EOMONTH(DATE(YEAR($C$4)-1,MONTH($C$4),1),0)+1)</f>
        <v>0</v>
      </c>
      <c r="AD24" s="66">
        <f>COUNTIFS(人员状况!$D:$D,AD$7,人员状况!$E:$E,$B24,人员状况!$G:$G,"&lt;="&amp;EOMONTH(DATE(YEAR($C$4)-1,MONTH($C$4),1),0),人员状况!$H:$H,"&gt;="&amp;EOMONTH(DATE(YEAR($C$4)-1,MONTH($C$4),1),0)+1)</f>
        <v>0</v>
      </c>
      <c r="AE24" s="66">
        <f>COUNTIFS(人员状况!$D:$D,AE$7,人员状况!$E:$E,$B24,人员状况!$G:$G,"&lt;="&amp;EOMONTH(DATE(YEAR($C$4)-1,MONTH($C$4),1),0),人员状况!$H:$H,"&gt;="&amp;EOMONTH(DATE(YEAR($C$4)-1,MONTH($C$4),1),0)+1)</f>
        <v>0</v>
      </c>
      <c r="AF24" s="66">
        <f>COUNTIFS(人员状况!$D:$D,AF$7,人员状况!$E:$E,$B24,人员状况!$G:$G,"&lt;="&amp;EOMONTH(DATE(YEAR($C$4)-1,MONTH($C$4),1),0),人员状况!$H:$H,"&gt;="&amp;EOMONTH(DATE(YEAR($C$4)-1,MONTH($C$4),1),0)+1)</f>
        <v>0</v>
      </c>
      <c r="AG24" s="66">
        <f>W24+SUMIFS(预计变动!$F:$F,预计变动!$C:$C,$B24,预计变动!$I:$I,"&gt;"&amp;EOMONTH(DATE(YEAR($C$4),MONTH($C$4),1),0),预计变动!$I:$I,"&lt;="&amp;DATE(YEAR($C$4),12,31))</f>
        <v>3</v>
      </c>
      <c r="AH24" s="66">
        <f>X24+SUMIFS(预计变动!$F:$F,预计变动!$B:$B,AH$7,预计变动!$C:$C,$B24,预计变动!$I:$I,"&gt;"&amp;EOMONTH(DATE(YEAR($C$4),MONTH($C$4),1),0),预计变动!$I:$I,"&lt;="&amp;DATE(YEAR($C$4),12,31))</f>
        <v>0</v>
      </c>
      <c r="AI24" s="66">
        <f>Y24+SUMIFS(预计变动!$F:$F,预计变动!$B:$B,AI$7,预计变动!$C:$C,$B24,预计变动!$I:$I,"&gt;"&amp;EOMONTH(DATE(YEAR($C$4),MONTH($C$4),1),0),预计变动!$I:$I,"&lt;="&amp;DATE(YEAR($C$4),12,31))</f>
        <v>0</v>
      </c>
      <c r="AJ24" s="66">
        <f>Z24+SUMIFS(预计变动!$F:$F,预计变动!$B:$B,AJ$7,预计变动!$C:$C,$B24,预计变动!$I:$I,"&gt;"&amp;EOMONTH(DATE(YEAR($C$4),MONTH($C$4),1),0),预计变动!$I:$I,"&lt;="&amp;DATE(YEAR($C$4),12,31))</f>
        <v>1</v>
      </c>
      <c r="AK24" s="66">
        <f>AA24+SUMIFS(预计变动!$F:$F,预计变动!$B:$B,AK$7,预计变动!$C:$C,$B24,预计变动!$I:$I,"&gt;"&amp;EOMONTH(DATE(YEAR($C$4),MONTH($C$4),1),0),预计变动!$I:$I,"&lt;="&amp;DATE(YEAR($C$4),12,31))</f>
        <v>1</v>
      </c>
      <c r="AL24" s="66">
        <f>AB24+SUMIFS(预计变动!$F:$F,预计变动!$B:$B,AL$7,预计变动!$C:$C,$B24,预计变动!$I:$I,"&gt;"&amp;EOMONTH(DATE(YEAR($C$4),MONTH($C$4),1),0),预计变动!$I:$I,"&lt;="&amp;DATE(YEAR($C$4),12,31))</f>
        <v>1</v>
      </c>
      <c r="AM24" s="66">
        <f>AC24+SUMIFS(预计变动!$F:$F,预计变动!$B:$B,AM$7,预计变动!$C:$C,$B24,预计变动!$I:$I,"&gt;"&amp;EOMONTH(DATE(YEAR($C$4),MONTH($C$4),1),0),预计变动!$I:$I,"&lt;="&amp;DATE(YEAR($C$4),12,31))</f>
        <v>0</v>
      </c>
      <c r="AN24" s="66">
        <f>AD24+SUMIFS(预计变动!$F:$F,预计变动!$B:$B,AN$7,预计变动!$C:$C,$B24,预计变动!$I:$I,"&gt;"&amp;EOMONTH(DATE(YEAR($C$4),MONTH($C$4),1),0),预计变动!$I:$I,"&lt;="&amp;DATE(YEAR($C$4),12,31))</f>
        <v>0</v>
      </c>
      <c r="AO24" s="66">
        <f>AE24+SUMIFS(预计变动!$F:$F,预计变动!$B:$B,AO$7,预计变动!$C:$C,$B24,预计变动!$I:$I,"&gt;"&amp;EOMONTH(DATE(YEAR($C$4),MONTH($C$4),1),0),预计变动!$I:$I,"&lt;="&amp;DATE(YEAR($C$4),12,31))</f>
        <v>0</v>
      </c>
      <c r="AP24" s="66">
        <f>AF24+SUMIFS(预计变动!$F:$F,预计变动!$B:$B,AP$7,预计变动!$C:$C,$B24,预计变动!$I:$I,"&gt;"&amp;EOMONTH(DATE(YEAR($C$4),MONTH($C$4),1),0),预计变动!$I:$I,"&lt;="&amp;DATE(YEAR($C$4),12,31))</f>
        <v>0</v>
      </c>
      <c r="AQ24" s="66">
        <f>AG24+SUMIFS(预计变动!$F:$F,预计变动!$C:$C,$B24,预计变动!$I:$I,"&gt;="&amp;DATE(YEAR($C$4)+1,1,1),预计变动!$I:$I,"&lt;="&amp;DATE(YEAR($C$4)+1,12,31))</f>
        <v>3</v>
      </c>
      <c r="AR24" s="66">
        <f>AH24+SUMIFS(预计变动!$F:$F,预计变动!$B:$B,AR$7,预计变动!$C:$C,$B24,预计变动!$I:$I,"&gt;="&amp;DATE(YEAR($C$4)+1,1,1),预计变动!$I:$I,"&lt;="&amp;DATE(YEAR($C$4)+1,12,31))</f>
        <v>0</v>
      </c>
      <c r="AS24" s="66">
        <f>AI24+SUMIFS(预计变动!$F:$F,预计变动!$B:$B,AS$7,预计变动!$C:$C,$B24,预计变动!$I:$I,"&gt;="&amp;DATE(YEAR($C$4)+1,1,1),预计变动!$I:$I,"&lt;="&amp;DATE(YEAR($C$4)+1,12,31))</f>
        <v>0</v>
      </c>
      <c r="AT24" s="66">
        <f>AJ24+SUMIFS(预计变动!$F:$F,预计变动!$B:$B,AT$7,预计变动!$C:$C,$B24,预计变动!$I:$I,"&gt;="&amp;DATE(YEAR($C$4)+1,1,1),预计变动!$I:$I,"&lt;="&amp;DATE(YEAR($C$4)+1,12,31))</f>
        <v>1</v>
      </c>
      <c r="AU24" s="66">
        <f>AK24+SUMIFS(预计变动!$F:$F,预计变动!$B:$B,AU$7,预计变动!$C:$C,$B24,预计变动!$I:$I,"&gt;="&amp;DATE(YEAR($C$4)+1,1,1),预计变动!$I:$I,"&lt;="&amp;DATE(YEAR($C$4)+1,12,31))</f>
        <v>1</v>
      </c>
      <c r="AV24" s="66">
        <f>AL24+SUMIFS(预计变动!$F:$F,预计变动!$B:$B,AV$7,预计变动!$C:$C,$B24,预计变动!$I:$I,"&gt;="&amp;DATE(YEAR($C$4)+1,1,1),预计变动!$I:$I,"&lt;="&amp;DATE(YEAR($C$4)+1,12,31))</f>
        <v>1</v>
      </c>
      <c r="AW24" s="66">
        <f>AM24+SUMIFS(预计变动!$F:$F,预计变动!$B:$B,AW$7,预计变动!$C:$C,$B24,预计变动!$I:$I,"&gt;="&amp;DATE(YEAR($C$4)+1,1,1),预计变动!$I:$I,"&lt;="&amp;DATE(YEAR($C$4)+1,12,31))</f>
        <v>0</v>
      </c>
      <c r="AX24" s="66">
        <f>AN24+SUMIFS(预计变动!$F:$F,预计变动!$B:$B,AX$7,预计变动!$C:$C,$B24,预计变动!$I:$I,"&gt;="&amp;DATE(YEAR($C$4)+1,1,1),预计变动!$I:$I,"&lt;="&amp;DATE(YEAR($C$4)+1,12,31))</f>
        <v>0</v>
      </c>
      <c r="AY24" s="66">
        <f>AO24+SUMIFS(预计变动!$F:$F,预计变动!$B:$B,AY$7,预计变动!$C:$C,$B24,预计变动!$I:$I,"&gt;="&amp;DATE(YEAR($C$4)+1,1,1),预计变动!$I:$I,"&lt;="&amp;DATE(YEAR($C$4)+1,12,31))</f>
        <v>0</v>
      </c>
      <c r="AZ24" s="66">
        <f>AP24+SUMIFS(预计变动!$F:$F,预计变动!$B:$B,AZ$7,预计变动!$C:$C,$B24,预计变动!$I:$I,"&gt;="&amp;DATE(YEAR($C$4)+1,1,1),预计变动!$I:$I,"&lt;="&amp;DATE(YEAR($C$4)+1,12,31))</f>
        <v>0</v>
      </c>
    </row>
    <row r="25" spans="2:52">
      <c r="B25" s="65" t="s">
        <v>225</v>
      </c>
      <c r="C25" s="66">
        <f>COUNTIFS(人员状况!$D:$D,"*",人员状况!$E:$E,$B25,人员状况!$G:$G,"&lt;="&amp;DATE(YEAR($C$4)-2,12,31),人员状况!$H:$H,"&gt;="&amp;DATE(YEAR($C$4)-2,12,31)+1)</f>
        <v>2</v>
      </c>
      <c r="D25" s="66">
        <f>COUNTIFS(人员状况!$D:$D,"*",人员状况!$E:$E,$B25,人员状况!$D:$D,D$7,人员状况!$G:$G,"&lt;="&amp;DATE(YEAR($C$4)-2,12,31),人员状况!$H:$H,"&gt;="&amp;DATE(YEAR($C$4)-2,12,31)+1)</f>
        <v>0</v>
      </c>
      <c r="E25" s="66">
        <f>COUNTIFS(人员状况!$D:$D,"*",人员状况!$E:$E,$B25,人员状况!$D:$D,E$7,人员状况!$G:$G,"&lt;="&amp;DATE(YEAR($C$4)-2,12,31),人员状况!$H:$H,"&gt;="&amp;DATE(YEAR($C$4)-2,12,31)+1)</f>
        <v>0</v>
      </c>
      <c r="F25" s="66">
        <f>COUNTIFS(人员状况!$D:$D,"*",人员状况!$E:$E,$B25,人员状况!$D:$D,F$7,人员状况!$G:$G,"&lt;="&amp;DATE(YEAR($C$4)-2,12,31),人员状况!$H:$H,"&gt;="&amp;DATE(YEAR($C$4)-2,12,31)+1)</f>
        <v>1</v>
      </c>
      <c r="G25" s="66">
        <f>COUNTIFS(人员状况!$D:$D,"*",人员状况!$E:$E,$B25,人员状况!$D:$D,G$7,人员状况!$G:$G,"&lt;="&amp;DATE(YEAR($C$4)-2,12,31),人员状况!$H:$H,"&gt;="&amp;DATE(YEAR($C$4)-2,12,31)+1)</f>
        <v>0</v>
      </c>
      <c r="H25" s="66">
        <f>COUNTIFS(人员状况!$D:$D,"*",人员状况!$E:$E,$B25,人员状况!$D:$D,H$7,人员状况!$G:$G,"&lt;="&amp;DATE(YEAR($C$4)-2,12,31),人员状况!$H:$H,"&gt;="&amp;DATE(YEAR($C$4)-2,12,31)+1)</f>
        <v>0</v>
      </c>
      <c r="I25" s="66">
        <f>COUNTIFS(人员状况!$D:$D,"*",人员状况!$E:$E,$B25,人员状况!$D:$D,I$7,人员状况!$G:$G,"&lt;="&amp;DATE(YEAR($C$4)-2,12,31),人员状况!$H:$H,"&gt;="&amp;DATE(YEAR($C$4)-2,12,31)+1)</f>
        <v>0</v>
      </c>
      <c r="J25" s="66">
        <f>COUNTIFS(人员状况!$D:$D,"*",人员状况!$E:$E,$B25,人员状况!$D:$D,J$7,人员状况!$G:$G,"&lt;="&amp;DATE(YEAR($C$4)-2,12,31),人员状况!$H:$H,"&gt;="&amp;DATE(YEAR($C$4)-2,12,31)+1)</f>
        <v>0</v>
      </c>
      <c r="K25" s="66">
        <f>COUNTIFS(人员状况!$D:$D,"*",人员状况!$E:$E,$B25,人员状况!$D:$D,K$7,人员状况!$G:$G,"&lt;="&amp;DATE(YEAR($C$4)-2,12,31),人员状况!$H:$H,"&gt;="&amp;DATE(YEAR($C$4)-2,12,31)+1)</f>
        <v>1</v>
      </c>
      <c r="L25" s="66">
        <f>COUNTIFS(人员状况!$D:$D,"*",人员状况!$E:$E,$B25,人员状况!$D:$D,L$7,人员状况!$G:$G,"&lt;="&amp;DATE(YEAR($C$4)-2,12,31),人员状况!$H:$H,"&gt;="&amp;DATE(YEAR($C$4)-2,12,31)+1)</f>
        <v>0</v>
      </c>
      <c r="M25" s="66">
        <f>COUNTIFS(人员状况!$D:$D,"*",人员状况!$E:$E,$B25,人员状况!$G:$G,"&lt;="&amp;DATE(YEAR($C$4)-1,12,31),人员状况!$H:$H,"&gt;="&amp;DATE(YEAR($C$4)-1,12,31)+1)</f>
        <v>2</v>
      </c>
      <c r="N25" s="66">
        <f>COUNTIFS(人员状况!$D:$D,"*",人员状况!$E:$E,$B25,人员状况!$D:$D,N$7,人员状况!$G:$G,"&lt;="&amp;DATE(YEAR($C$4)-1,12,31),人员状况!$H:$H,"&gt;="&amp;DATE(YEAR($C$4)-1,12,31)+1)</f>
        <v>0</v>
      </c>
      <c r="O25" s="66">
        <f>COUNTIFS(人员状况!$D:$D,"*",人员状况!$E:$E,$B25,人员状况!$D:$D,O$7,人员状况!$G:$G,"&lt;="&amp;DATE(YEAR($C$4)-1,12,31),人员状况!$H:$H,"&gt;="&amp;DATE(YEAR($C$4)-1,12,31)+1)</f>
        <v>0</v>
      </c>
      <c r="P25" s="66">
        <f>COUNTIFS(人员状况!$D:$D,"*",人员状况!$E:$E,$B25,人员状况!$D:$D,P$7,人员状况!$G:$G,"&lt;="&amp;DATE(YEAR($C$4)-1,12,31),人员状况!$H:$H,"&gt;="&amp;DATE(YEAR($C$4)-1,12,31)+1)</f>
        <v>1</v>
      </c>
      <c r="Q25" s="66">
        <f>COUNTIFS(人员状况!$D:$D,"*",人员状况!$E:$E,$B25,人员状况!$D:$D,Q$7,人员状况!$G:$G,"&lt;="&amp;DATE(YEAR($C$4)-1,12,31),人员状况!$H:$H,"&gt;="&amp;DATE(YEAR($C$4)-1,12,31)+1)</f>
        <v>0</v>
      </c>
      <c r="R25" s="66">
        <f>COUNTIFS(人员状况!$D:$D,"*",人员状况!$E:$E,$B25,人员状况!$D:$D,R$7,人员状况!$G:$G,"&lt;="&amp;DATE(YEAR($C$4)-1,12,31),人员状况!$H:$H,"&gt;="&amp;DATE(YEAR($C$4)-1,12,31)+1)</f>
        <v>0</v>
      </c>
      <c r="S25" s="66">
        <f>COUNTIFS(人员状况!$D:$D,"*",人员状况!$E:$E,$B25,人员状况!$D:$D,S$7,人员状况!$G:$G,"&lt;="&amp;DATE(YEAR($C$4)-1,12,31),人员状况!$H:$H,"&gt;="&amp;DATE(YEAR($C$4)-1,12,31)+1)</f>
        <v>0</v>
      </c>
      <c r="T25" s="66">
        <f>COUNTIFS(人员状况!$D:$D,"*",人员状况!$E:$E,$B25,人员状况!$D:$D,T$7,人员状况!$G:$G,"&lt;="&amp;DATE(YEAR($C$4)-1,12,31),人员状况!$H:$H,"&gt;="&amp;DATE(YEAR($C$4)-1,12,31)+1)</f>
        <v>0</v>
      </c>
      <c r="U25" s="66">
        <f>COUNTIFS(人员状况!$D:$D,"*",人员状况!$E:$E,$B25,人员状况!$D:$D,U$7,人员状况!$G:$G,"&lt;="&amp;DATE(YEAR($C$4)-1,12,31),人员状况!$H:$H,"&gt;="&amp;DATE(YEAR($C$4)-1,12,31)+1)</f>
        <v>1</v>
      </c>
      <c r="V25" s="66">
        <f>COUNTIFS(人员状况!$D:$D,"*",人员状况!$E:$E,$B25,人员状况!$D:$D,V$7,人员状况!$G:$G,"&lt;="&amp;DATE(YEAR($C$4)-1,12,31),人员状况!$H:$H,"&gt;="&amp;DATE(YEAR($C$4)-1,12,31)+1)</f>
        <v>0</v>
      </c>
      <c r="W25" s="66">
        <f>COUNTIFS(人员状况!$D:$D,"*",人员状况!$E:$E,$B25,人员状况!$G:$G,"&lt;="&amp;EOMONTH(DATE(YEAR($C$4)-1,MONTH($C$4),1),0),人员状况!$H:$H,"&gt;="&amp;EOMONTH(DATE(YEAR($C$4)-1,MONTH($C$4),1),0)+1)</f>
        <v>2</v>
      </c>
      <c r="X25" s="66">
        <f>COUNTIFS(人员状况!$D:$D,X$7,人员状况!$E:$E,$B25,人员状况!$G:$G,"&lt;="&amp;EOMONTH(DATE(YEAR($C$4)-1,MONTH($C$4),1),0),人员状况!$H:$H,"&gt;="&amp;EOMONTH(DATE(YEAR($C$4)-1,MONTH($C$4),1),0)+1)</f>
        <v>0</v>
      </c>
      <c r="Y25" s="66">
        <f>COUNTIFS(人员状况!$D:$D,Y$7,人员状况!$E:$E,$B25,人员状况!$G:$G,"&lt;="&amp;EOMONTH(DATE(YEAR($C$4)-1,MONTH($C$4),1),0),人员状况!$H:$H,"&gt;="&amp;EOMONTH(DATE(YEAR($C$4)-1,MONTH($C$4),1),0)+1)</f>
        <v>0</v>
      </c>
      <c r="Z25" s="66">
        <f>COUNTIFS(人员状况!$D:$D,Z$7,人员状况!$E:$E,$B25,人员状况!$G:$G,"&lt;="&amp;EOMONTH(DATE(YEAR($C$4)-1,MONTH($C$4),1),0),人员状况!$H:$H,"&gt;="&amp;EOMONTH(DATE(YEAR($C$4)-1,MONTH($C$4),1),0)+1)</f>
        <v>1</v>
      </c>
      <c r="AA25" s="66">
        <f>COUNTIFS(人员状况!$D:$D,AA$7,人员状况!$E:$E,$B25,人员状况!$G:$G,"&lt;="&amp;EOMONTH(DATE(YEAR($C$4)-1,MONTH($C$4),1),0),人员状况!$H:$H,"&gt;="&amp;EOMONTH(DATE(YEAR($C$4)-1,MONTH($C$4),1),0)+1)</f>
        <v>0</v>
      </c>
      <c r="AB25" s="66">
        <f>COUNTIFS(人员状况!$D:$D,AB$7,人员状况!$E:$E,$B25,人员状况!$G:$G,"&lt;="&amp;EOMONTH(DATE(YEAR($C$4)-1,MONTH($C$4),1),0),人员状况!$H:$H,"&gt;="&amp;EOMONTH(DATE(YEAR($C$4)-1,MONTH($C$4),1),0)+1)</f>
        <v>0</v>
      </c>
      <c r="AC25" s="66">
        <f>COUNTIFS(人员状况!$D:$D,AC$7,人员状况!$E:$E,$B25,人员状况!$G:$G,"&lt;="&amp;EOMONTH(DATE(YEAR($C$4)-1,MONTH($C$4),1),0),人员状况!$H:$H,"&gt;="&amp;EOMONTH(DATE(YEAR($C$4)-1,MONTH($C$4),1),0)+1)</f>
        <v>0</v>
      </c>
      <c r="AD25" s="66">
        <f>COUNTIFS(人员状况!$D:$D,AD$7,人员状况!$E:$E,$B25,人员状况!$G:$G,"&lt;="&amp;EOMONTH(DATE(YEAR($C$4)-1,MONTH($C$4),1),0),人员状况!$H:$H,"&gt;="&amp;EOMONTH(DATE(YEAR($C$4)-1,MONTH($C$4),1),0)+1)</f>
        <v>0</v>
      </c>
      <c r="AE25" s="66">
        <f>COUNTIFS(人员状况!$D:$D,AE$7,人员状况!$E:$E,$B25,人员状况!$G:$G,"&lt;="&amp;EOMONTH(DATE(YEAR($C$4)-1,MONTH($C$4),1),0),人员状况!$H:$H,"&gt;="&amp;EOMONTH(DATE(YEAR($C$4)-1,MONTH($C$4),1),0)+1)</f>
        <v>1</v>
      </c>
      <c r="AF25" s="66">
        <f>COUNTIFS(人员状况!$D:$D,AF$7,人员状况!$E:$E,$B25,人员状况!$G:$G,"&lt;="&amp;EOMONTH(DATE(YEAR($C$4)-1,MONTH($C$4),1),0),人员状况!$H:$H,"&gt;="&amp;EOMONTH(DATE(YEAR($C$4)-1,MONTH($C$4),1),0)+1)</f>
        <v>0</v>
      </c>
      <c r="AG25" s="66">
        <f>W25+SUMIFS(预计变动!$F:$F,预计变动!$C:$C,$B25,预计变动!$I:$I,"&gt;"&amp;EOMONTH(DATE(YEAR($C$4),MONTH($C$4),1),0),预计变动!$I:$I,"&lt;="&amp;DATE(YEAR($C$4),12,31))</f>
        <v>2</v>
      </c>
      <c r="AH25" s="66">
        <f>X25+SUMIFS(预计变动!$F:$F,预计变动!$B:$B,AH$7,预计变动!$C:$C,$B25,预计变动!$I:$I,"&gt;"&amp;EOMONTH(DATE(YEAR($C$4),MONTH($C$4),1),0),预计变动!$I:$I,"&lt;="&amp;DATE(YEAR($C$4),12,31))</f>
        <v>0</v>
      </c>
      <c r="AI25" s="66">
        <f>Y25+SUMIFS(预计变动!$F:$F,预计变动!$B:$B,AI$7,预计变动!$C:$C,$B25,预计变动!$I:$I,"&gt;"&amp;EOMONTH(DATE(YEAR($C$4),MONTH($C$4),1),0),预计变动!$I:$I,"&lt;="&amp;DATE(YEAR($C$4),12,31))</f>
        <v>0</v>
      </c>
      <c r="AJ25" s="66">
        <f>Z25+SUMIFS(预计变动!$F:$F,预计变动!$B:$B,AJ$7,预计变动!$C:$C,$B25,预计变动!$I:$I,"&gt;"&amp;EOMONTH(DATE(YEAR($C$4),MONTH($C$4),1),0),预计变动!$I:$I,"&lt;="&amp;DATE(YEAR($C$4),12,31))</f>
        <v>1</v>
      </c>
      <c r="AK25" s="66">
        <f>AA25+SUMIFS(预计变动!$F:$F,预计变动!$B:$B,AK$7,预计变动!$C:$C,$B25,预计变动!$I:$I,"&gt;"&amp;EOMONTH(DATE(YEAR($C$4),MONTH($C$4),1),0),预计变动!$I:$I,"&lt;="&amp;DATE(YEAR($C$4),12,31))</f>
        <v>0</v>
      </c>
      <c r="AL25" s="66">
        <f>AB25+SUMIFS(预计变动!$F:$F,预计变动!$B:$B,AL$7,预计变动!$C:$C,$B25,预计变动!$I:$I,"&gt;"&amp;EOMONTH(DATE(YEAR($C$4),MONTH($C$4),1),0),预计变动!$I:$I,"&lt;="&amp;DATE(YEAR($C$4),12,31))</f>
        <v>0</v>
      </c>
      <c r="AM25" s="66">
        <f>AC25+SUMIFS(预计变动!$F:$F,预计变动!$B:$B,AM$7,预计变动!$C:$C,$B25,预计变动!$I:$I,"&gt;"&amp;EOMONTH(DATE(YEAR($C$4),MONTH($C$4),1),0),预计变动!$I:$I,"&lt;="&amp;DATE(YEAR($C$4),12,31))</f>
        <v>0</v>
      </c>
      <c r="AN25" s="66">
        <f>AD25+SUMIFS(预计变动!$F:$F,预计变动!$B:$B,AN$7,预计变动!$C:$C,$B25,预计变动!$I:$I,"&gt;"&amp;EOMONTH(DATE(YEAR($C$4),MONTH($C$4),1),0),预计变动!$I:$I,"&lt;="&amp;DATE(YEAR($C$4),12,31))</f>
        <v>0</v>
      </c>
      <c r="AO25" s="66">
        <f>AE25+SUMIFS(预计变动!$F:$F,预计变动!$B:$B,AO$7,预计变动!$C:$C,$B25,预计变动!$I:$I,"&gt;"&amp;EOMONTH(DATE(YEAR($C$4),MONTH($C$4),1),0),预计变动!$I:$I,"&lt;="&amp;DATE(YEAR($C$4),12,31))</f>
        <v>1</v>
      </c>
      <c r="AP25" s="66">
        <f>AF25+SUMIFS(预计变动!$F:$F,预计变动!$B:$B,AP$7,预计变动!$C:$C,$B25,预计变动!$I:$I,"&gt;"&amp;EOMONTH(DATE(YEAR($C$4),MONTH($C$4),1),0),预计变动!$I:$I,"&lt;="&amp;DATE(YEAR($C$4),12,31))</f>
        <v>0</v>
      </c>
      <c r="AQ25" s="66">
        <f>AG25+SUMIFS(预计变动!$F:$F,预计变动!$C:$C,$B25,预计变动!$I:$I,"&gt;="&amp;DATE(YEAR($C$4)+1,1,1),预计变动!$I:$I,"&lt;="&amp;DATE(YEAR($C$4)+1,12,31))</f>
        <v>2</v>
      </c>
      <c r="AR25" s="66">
        <f>AH25+SUMIFS(预计变动!$F:$F,预计变动!$B:$B,AR$7,预计变动!$C:$C,$B25,预计变动!$I:$I,"&gt;="&amp;DATE(YEAR($C$4)+1,1,1),预计变动!$I:$I,"&lt;="&amp;DATE(YEAR($C$4)+1,12,31))</f>
        <v>0</v>
      </c>
      <c r="AS25" s="66">
        <f>AI25+SUMIFS(预计变动!$F:$F,预计变动!$B:$B,AS$7,预计变动!$C:$C,$B25,预计变动!$I:$I,"&gt;="&amp;DATE(YEAR($C$4)+1,1,1),预计变动!$I:$I,"&lt;="&amp;DATE(YEAR($C$4)+1,12,31))</f>
        <v>0</v>
      </c>
      <c r="AT25" s="66">
        <f>AJ25+SUMIFS(预计变动!$F:$F,预计变动!$B:$B,AT$7,预计变动!$C:$C,$B25,预计变动!$I:$I,"&gt;="&amp;DATE(YEAR($C$4)+1,1,1),预计变动!$I:$I,"&lt;="&amp;DATE(YEAR($C$4)+1,12,31))</f>
        <v>1</v>
      </c>
      <c r="AU25" s="66">
        <f>AK25+SUMIFS(预计变动!$F:$F,预计变动!$B:$B,AU$7,预计变动!$C:$C,$B25,预计变动!$I:$I,"&gt;="&amp;DATE(YEAR($C$4)+1,1,1),预计变动!$I:$I,"&lt;="&amp;DATE(YEAR($C$4)+1,12,31))</f>
        <v>0</v>
      </c>
      <c r="AV25" s="66">
        <f>AL25+SUMIFS(预计变动!$F:$F,预计变动!$B:$B,AV$7,预计变动!$C:$C,$B25,预计变动!$I:$I,"&gt;="&amp;DATE(YEAR($C$4)+1,1,1),预计变动!$I:$I,"&lt;="&amp;DATE(YEAR($C$4)+1,12,31))</f>
        <v>0</v>
      </c>
      <c r="AW25" s="66">
        <f>AM25+SUMIFS(预计变动!$F:$F,预计变动!$B:$B,AW$7,预计变动!$C:$C,$B25,预计变动!$I:$I,"&gt;="&amp;DATE(YEAR($C$4)+1,1,1),预计变动!$I:$I,"&lt;="&amp;DATE(YEAR($C$4)+1,12,31))</f>
        <v>0</v>
      </c>
      <c r="AX25" s="66">
        <f>AN25+SUMIFS(预计变动!$F:$F,预计变动!$B:$B,AX$7,预计变动!$C:$C,$B25,预计变动!$I:$I,"&gt;="&amp;DATE(YEAR($C$4)+1,1,1),预计变动!$I:$I,"&lt;="&amp;DATE(YEAR($C$4)+1,12,31))</f>
        <v>0</v>
      </c>
      <c r="AY25" s="66">
        <f>AO25+SUMIFS(预计变动!$F:$F,预计变动!$B:$B,AY$7,预计变动!$C:$C,$B25,预计变动!$I:$I,"&gt;="&amp;DATE(YEAR($C$4)+1,1,1),预计变动!$I:$I,"&lt;="&amp;DATE(YEAR($C$4)+1,12,31))</f>
        <v>1</v>
      </c>
      <c r="AZ25" s="66">
        <f>AP25+SUMIFS(预计变动!$F:$F,预计变动!$B:$B,AZ$7,预计变动!$C:$C,$B25,预计变动!$I:$I,"&gt;="&amp;DATE(YEAR($C$4)+1,1,1),预计变动!$I:$I,"&lt;="&amp;DATE(YEAR($C$4)+1,12,31))</f>
        <v>0</v>
      </c>
    </row>
    <row r="26" spans="2:52">
      <c r="B26" s="65" t="s">
        <v>208</v>
      </c>
      <c r="C26" s="66">
        <f>COUNTIFS(人员状况!$D:$D,"*",人员状况!$E:$E,$B26,人员状况!$G:$G,"&lt;="&amp;DATE(YEAR($C$4)-2,12,31),人员状况!$H:$H,"&gt;="&amp;DATE(YEAR($C$4)-2,12,31)+1)</f>
        <v>5</v>
      </c>
      <c r="D26" s="66">
        <f>COUNTIFS(人员状况!$D:$D,"*",人员状况!$E:$E,$B26,人员状况!$D:$D,D$7,人员状况!$G:$G,"&lt;="&amp;DATE(YEAR($C$4)-2,12,31),人员状况!$H:$H,"&gt;="&amp;DATE(YEAR($C$4)-2,12,31)+1)</f>
        <v>0</v>
      </c>
      <c r="E26" s="66">
        <f>COUNTIFS(人员状况!$D:$D,"*",人员状况!$E:$E,$B26,人员状况!$D:$D,E$7,人员状况!$G:$G,"&lt;="&amp;DATE(YEAR($C$4)-2,12,31),人员状况!$H:$H,"&gt;="&amp;DATE(YEAR($C$4)-2,12,31)+1)</f>
        <v>0</v>
      </c>
      <c r="F26" s="66">
        <f>COUNTIFS(人员状况!$D:$D,"*",人员状况!$E:$E,$B26,人员状况!$D:$D,F$7,人员状况!$G:$G,"&lt;="&amp;DATE(YEAR($C$4)-2,12,31),人员状况!$H:$H,"&gt;="&amp;DATE(YEAR($C$4)-2,12,31)+1)</f>
        <v>1</v>
      </c>
      <c r="G26" s="66">
        <f>COUNTIFS(人员状况!$D:$D,"*",人员状况!$E:$E,$B26,人员状况!$D:$D,G$7,人员状况!$G:$G,"&lt;="&amp;DATE(YEAR($C$4)-2,12,31),人员状况!$H:$H,"&gt;="&amp;DATE(YEAR($C$4)-2,12,31)+1)</f>
        <v>2</v>
      </c>
      <c r="H26" s="66">
        <f>COUNTIFS(人员状况!$D:$D,"*",人员状况!$E:$E,$B26,人员状况!$D:$D,H$7,人员状况!$G:$G,"&lt;="&amp;DATE(YEAR($C$4)-2,12,31),人员状况!$H:$H,"&gt;="&amp;DATE(YEAR($C$4)-2,12,31)+1)</f>
        <v>1</v>
      </c>
      <c r="I26" s="66">
        <f>COUNTIFS(人员状况!$D:$D,"*",人员状况!$E:$E,$B26,人员状况!$D:$D,I$7,人员状况!$G:$G,"&lt;="&amp;DATE(YEAR($C$4)-2,12,31),人员状况!$H:$H,"&gt;="&amp;DATE(YEAR($C$4)-2,12,31)+1)</f>
        <v>0</v>
      </c>
      <c r="J26" s="66">
        <f>COUNTIFS(人员状况!$D:$D,"*",人员状况!$E:$E,$B26,人员状况!$D:$D,J$7,人员状况!$G:$G,"&lt;="&amp;DATE(YEAR($C$4)-2,12,31),人员状况!$H:$H,"&gt;="&amp;DATE(YEAR($C$4)-2,12,31)+1)</f>
        <v>0</v>
      </c>
      <c r="K26" s="66">
        <f>COUNTIFS(人员状况!$D:$D,"*",人员状况!$E:$E,$B26,人员状况!$D:$D,K$7,人员状况!$G:$G,"&lt;="&amp;DATE(YEAR($C$4)-2,12,31),人员状况!$H:$H,"&gt;="&amp;DATE(YEAR($C$4)-2,12,31)+1)</f>
        <v>1</v>
      </c>
      <c r="L26" s="66">
        <f>COUNTIFS(人员状况!$D:$D,"*",人员状况!$E:$E,$B26,人员状况!$D:$D,L$7,人员状况!$G:$G,"&lt;="&amp;DATE(YEAR($C$4)-2,12,31),人员状况!$H:$H,"&gt;="&amp;DATE(YEAR($C$4)-2,12,31)+1)</f>
        <v>0</v>
      </c>
      <c r="M26" s="66">
        <f>COUNTIFS(人员状况!$D:$D,"*",人员状况!$E:$E,$B26,人员状况!$G:$G,"&lt;="&amp;DATE(YEAR($C$4)-1,12,31),人员状况!$H:$H,"&gt;="&amp;DATE(YEAR($C$4)-1,12,31)+1)</f>
        <v>5</v>
      </c>
      <c r="N26" s="66">
        <f>COUNTIFS(人员状况!$D:$D,"*",人员状况!$E:$E,$B26,人员状况!$D:$D,N$7,人员状况!$G:$G,"&lt;="&amp;DATE(YEAR($C$4)-1,12,31),人员状况!$H:$H,"&gt;="&amp;DATE(YEAR($C$4)-1,12,31)+1)</f>
        <v>0</v>
      </c>
      <c r="O26" s="66">
        <f>COUNTIFS(人员状况!$D:$D,"*",人员状况!$E:$E,$B26,人员状况!$D:$D,O$7,人员状况!$G:$G,"&lt;="&amp;DATE(YEAR($C$4)-1,12,31),人员状况!$H:$H,"&gt;="&amp;DATE(YEAR($C$4)-1,12,31)+1)</f>
        <v>0</v>
      </c>
      <c r="P26" s="66">
        <f>COUNTIFS(人员状况!$D:$D,"*",人员状况!$E:$E,$B26,人员状况!$D:$D,P$7,人员状况!$G:$G,"&lt;="&amp;DATE(YEAR($C$4)-1,12,31),人员状况!$H:$H,"&gt;="&amp;DATE(YEAR($C$4)-1,12,31)+1)</f>
        <v>1</v>
      </c>
      <c r="Q26" s="66">
        <f>COUNTIFS(人员状况!$D:$D,"*",人员状况!$E:$E,$B26,人员状况!$D:$D,Q$7,人员状况!$G:$G,"&lt;="&amp;DATE(YEAR($C$4)-1,12,31),人员状况!$H:$H,"&gt;="&amp;DATE(YEAR($C$4)-1,12,31)+1)</f>
        <v>2</v>
      </c>
      <c r="R26" s="66">
        <f>COUNTIFS(人员状况!$D:$D,"*",人员状况!$E:$E,$B26,人员状况!$D:$D,R$7,人员状况!$G:$G,"&lt;="&amp;DATE(YEAR($C$4)-1,12,31),人员状况!$H:$H,"&gt;="&amp;DATE(YEAR($C$4)-1,12,31)+1)</f>
        <v>1</v>
      </c>
      <c r="S26" s="66">
        <f>COUNTIFS(人员状况!$D:$D,"*",人员状况!$E:$E,$B26,人员状况!$D:$D,S$7,人员状况!$G:$G,"&lt;="&amp;DATE(YEAR($C$4)-1,12,31),人员状况!$H:$H,"&gt;="&amp;DATE(YEAR($C$4)-1,12,31)+1)</f>
        <v>0</v>
      </c>
      <c r="T26" s="66">
        <f>COUNTIFS(人员状况!$D:$D,"*",人员状况!$E:$E,$B26,人员状况!$D:$D,T$7,人员状况!$G:$G,"&lt;="&amp;DATE(YEAR($C$4)-1,12,31),人员状况!$H:$H,"&gt;="&amp;DATE(YEAR($C$4)-1,12,31)+1)</f>
        <v>0</v>
      </c>
      <c r="U26" s="66">
        <f>COUNTIFS(人员状况!$D:$D,"*",人员状况!$E:$E,$B26,人员状况!$D:$D,U$7,人员状况!$G:$G,"&lt;="&amp;DATE(YEAR($C$4)-1,12,31),人员状况!$H:$H,"&gt;="&amp;DATE(YEAR($C$4)-1,12,31)+1)</f>
        <v>1</v>
      </c>
      <c r="V26" s="66">
        <f>COUNTIFS(人员状况!$D:$D,"*",人员状况!$E:$E,$B26,人员状况!$D:$D,V$7,人员状况!$G:$G,"&lt;="&amp;DATE(YEAR($C$4)-1,12,31),人员状况!$H:$H,"&gt;="&amp;DATE(YEAR($C$4)-1,12,31)+1)</f>
        <v>0</v>
      </c>
      <c r="W26" s="66">
        <f>COUNTIFS(人员状况!$D:$D,"*",人员状况!$E:$E,$B26,人员状况!$G:$G,"&lt;="&amp;EOMONTH(DATE(YEAR($C$4)-1,MONTH($C$4),1),0),人员状况!$H:$H,"&gt;="&amp;EOMONTH(DATE(YEAR($C$4)-1,MONTH($C$4),1),0)+1)</f>
        <v>5</v>
      </c>
      <c r="X26" s="66">
        <f>COUNTIFS(人员状况!$D:$D,X$7,人员状况!$E:$E,$B26,人员状况!$G:$G,"&lt;="&amp;EOMONTH(DATE(YEAR($C$4)-1,MONTH($C$4),1),0),人员状况!$H:$H,"&gt;="&amp;EOMONTH(DATE(YEAR($C$4)-1,MONTH($C$4),1),0)+1)</f>
        <v>0</v>
      </c>
      <c r="Y26" s="66">
        <f>COUNTIFS(人员状况!$D:$D,Y$7,人员状况!$E:$E,$B26,人员状况!$G:$G,"&lt;="&amp;EOMONTH(DATE(YEAR($C$4)-1,MONTH($C$4),1),0),人员状况!$H:$H,"&gt;="&amp;EOMONTH(DATE(YEAR($C$4)-1,MONTH($C$4),1),0)+1)</f>
        <v>0</v>
      </c>
      <c r="Z26" s="66">
        <f>COUNTIFS(人员状况!$D:$D,Z$7,人员状况!$E:$E,$B26,人员状况!$G:$G,"&lt;="&amp;EOMONTH(DATE(YEAR($C$4)-1,MONTH($C$4),1),0),人员状况!$H:$H,"&gt;="&amp;EOMONTH(DATE(YEAR($C$4)-1,MONTH($C$4),1),0)+1)</f>
        <v>1</v>
      </c>
      <c r="AA26" s="66">
        <f>COUNTIFS(人员状况!$D:$D,AA$7,人员状况!$E:$E,$B26,人员状况!$G:$G,"&lt;="&amp;EOMONTH(DATE(YEAR($C$4)-1,MONTH($C$4),1),0),人员状况!$H:$H,"&gt;="&amp;EOMONTH(DATE(YEAR($C$4)-1,MONTH($C$4),1),0)+1)</f>
        <v>2</v>
      </c>
      <c r="AB26" s="66">
        <f>COUNTIFS(人员状况!$D:$D,AB$7,人员状况!$E:$E,$B26,人员状况!$G:$G,"&lt;="&amp;EOMONTH(DATE(YEAR($C$4)-1,MONTH($C$4),1),0),人员状况!$H:$H,"&gt;="&amp;EOMONTH(DATE(YEAR($C$4)-1,MONTH($C$4),1),0)+1)</f>
        <v>1</v>
      </c>
      <c r="AC26" s="66">
        <f>COUNTIFS(人员状况!$D:$D,AC$7,人员状况!$E:$E,$B26,人员状况!$G:$G,"&lt;="&amp;EOMONTH(DATE(YEAR($C$4)-1,MONTH($C$4),1),0),人员状况!$H:$H,"&gt;="&amp;EOMONTH(DATE(YEAR($C$4)-1,MONTH($C$4),1),0)+1)</f>
        <v>0</v>
      </c>
      <c r="AD26" s="66">
        <f>COUNTIFS(人员状况!$D:$D,AD$7,人员状况!$E:$E,$B26,人员状况!$G:$G,"&lt;="&amp;EOMONTH(DATE(YEAR($C$4)-1,MONTH($C$4),1),0),人员状况!$H:$H,"&gt;="&amp;EOMONTH(DATE(YEAR($C$4)-1,MONTH($C$4),1),0)+1)</f>
        <v>0</v>
      </c>
      <c r="AE26" s="66">
        <f>COUNTIFS(人员状况!$D:$D,AE$7,人员状况!$E:$E,$B26,人员状况!$G:$G,"&lt;="&amp;EOMONTH(DATE(YEAR($C$4)-1,MONTH($C$4),1),0),人员状况!$H:$H,"&gt;="&amp;EOMONTH(DATE(YEAR($C$4)-1,MONTH($C$4),1),0)+1)</f>
        <v>1</v>
      </c>
      <c r="AF26" s="66">
        <f>COUNTIFS(人员状况!$D:$D,AF$7,人员状况!$E:$E,$B26,人员状况!$G:$G,"&lt;="&amp;EOMONTH(DATE(YEAR($C$4)-1,MONTH($C$4),1),0),人员状况!$H:$H,"&gt;="&amp;EOMONTH(DATE(YEAR($C$4)-1,MONTH($C$4),1),0)+1)</f>
        <v>0</v>
      </c>
      <c r="AG26" s="66">
        <f>W26+SUMIFS(预计变动!$F:$F,预计变动!$C:$C,$B26,预计变动!$I:$I,"&gt;"&amp;EOMONTH(DATE(YEAR($C$4),MONTH($C$4),1),0),预计变动!$I:$I,"&lt;="&amp;DATE(YEAR($C$4),12,31))</f>
        <v>5</v>
      </c>
      <c r="AH26" s="66">
        <f>X26+SUMIFS(预计变动!$F:$F,预计变动!$B:$B,AH$7,预计变动!$C:$C,$B26,预计变动!$I:$I,"&gt;"&amp;EOMONTH(DATE(YEAR($C$4),MONTH($C$4),1),0),预计变动!$I:$I,"&lt;="&amp;DATE(YEAR($C$4),12,31))</f>
        <v>0</v>
      </c>
      <c r="AI26" s="66">
        <f>Y26+SUMIFS(预计变动!$F:$F,预计变动!$B:$B,AI$7,预计变动!$C:$C,$B26,预计变动!$I:$I,"&gt;"&amp;EOMONTH(DATE(YEAR($C$4),MONTH($C$4),1),0),预计变动!$I:$I,"&lt;="&amp;DATE(YEAR($C$4),12,31))</f>
        <v>0</v>
      </c>
      <c r="AJ26" s="66">
        <f>Z26+SUMIFS(预计变动!$F:$F,预计变动!$B:$B,AJ$7,预计变动!$C:$C,$B26,预计变动!$I:$I,"&gt;"&amp;EOMONTH(DATE(YEAR($C$4),MONTH($C$4),1),0),预计变动!$I:$I,"&lt;="&amp;DATE(YEAR($C$4),12,31))</f>
        <v>1</v>
      </c>
      <c r="AK26" s="66">
        <f>AA26+SUMIFS(预计变动!$F:$F,预计变动!$B:$B,AK$7,预计变动!$C:$C,$B26,预计变动!$I:$I,"&gt;"&amp;EOMONTH(DATE(YEAR($C$4),MONTH($C$4),1),0),预计变动!$I:$I,"&lt;="&amp;DATE(YEAR($C$4),12,31))</f>
        <v>2</v>
      </c>
      <c r="AL26" s="66">
        <f>AB26+SUMIFS(预计变动!$F:$F,预计变动!$B:$B,AL$7,预计变动!$C:$C,$B26,预计变动!$I:$I,"&gt;"&amp;EOMONTH(DATE(YEAR($C$4),MONTH($C$4),1),0),预计变动!$I:$I,"&lt;="&amp;DATE(YEAR($C$4),12,31))</f>
        <v>1</v>
      </c>
      <c r="AM26" s="66">
        <f>AC26+SUMIFS(预计变动!$F:$F,预计变动!$B:$B,AM$7,预计变动!$C:$C,$B26,预计变动!$I:$I,"&gt;"&amp;EOMONTH(DATE(YEAR($C$4),MONTH($C$4),1),0),预计变动!$I:$I,"&lt;="&amp;DATE(YEAR($C$4),12,31))</f>
        <v>0</v>
      </c>
      <c r="AN26" s="66">
        <f>AD26+SUMIFS(预计变动!$F:$F,预计变动!$B:$B,AN$7,预计变动!$C:$C,$B26,预计变动!$I:$I,"&gt;"&amp;EOMONTH(DATE(YEAR($C$4),MONTH($C$4),1),0),预计变动!$I:$I,"&lt;="&amp;DATE(YEAR($C$4),12,31))</f>
        <v>0</v>
      </c>
      <c r="AO26" s="66">
        <f>AE26+SUMIFS(预计变动!$F:$F,预计变动!$B:$B,AO$7,预计变动!$C:$C,$B26,预计变动!$I:$I,"&gt;"&amp;EOMONTH(DATE(YEAR($C$4),MONTH($C$4),1),0),预计变动!$I:$I,"&lt;="&amp;DATE(YEAR($C$4),12,31))</f>
        <v>1</v>
      </c>
      <c r="AP26" s="66">
        <f>AF26+SUMIFS(预计变动!$F:$F,预计变动!$B:$B,AP$7,预计变动!$C:$C,$B26,预计变动!$I:$I,"&gt;"&amp;EOMONTH(DATE(YEAR($C$4),MONTH($C$4),1),0),预计变动!$I:$I,"&lt;="&amp;DATE(YEAR($C$4),12,31))</f>
        <v>0</v>
      </c>
      <c r="AQ26" s="66">
        <f>AG26+SUMIFS(预计变动!$F:$F,预计变动!$C:$C,$B26,预计变动!$I:$I,"&gt;="&amp;DATE(YEAR($C$4)+1,1,1),预计变动!$I:$I,"&lt;="&amp;DATE(YEAR($C$4)+1,12,31))</f>
        <v>5</v>
      </c>
      <c r="AR26" s="66">
        <f>AH26+SUMIFS(预计变动!$F:$F,预计变动!$B:$B,AR$7,预计变动!$C:$C,$B26,预计变动!$I:$I,"&gt;="&amp;DATE(YEAR($C$4)+1,1,1),预计变动!$I:$I,"&lt;="&amp;DATE(YEAR($C$4)+1,12,31))</f>
        <v>0</v>
      </c>
      <c r="AS26" s="66">
        <f>AI26+SUMIFS(预计变动!$F:$F,预计变动!$B:$B,AS$7,预计变动!$C:$C,$B26,预计变动!$I:$I,"&gt;="&amp;DATE(YEAR($C$4)+1,1,1),预计变动!$I:$I,"&lt;="&amp;DATE(YEAR($C$4)+1,12,31))</f>
        <v>0</v>
      </c>
      <c r="AT26" s="66">
        <f>AJ26+SUMIFS(预计变动!$F:$F,预计变动!$B:$B,AT$7,预计变动!$C:$C,$B26,预计变动!$I:$I,"&gt;="&amp;DATE(YEAR($C$4)+1,1,1),预计变动!$I:$I,"&lt;="&amp;DATE(YEAR($C$4)+1,12,31))</f>
        <v>1</v>
      </c>
      <c r="AU26" s="66">
        <f>AK26+SUMIFS(预计变动!$F:$F,预计变动!$B:$B,AU$7,预计变动!$C:$C,$B26,预计变动!$I:$I,"&gt;="&amp;DATE(YEAR($C$4)+1,1,1),预计变动!$I:$I,"&lt;="&amp;DATE(YEAR($C$4)+1,12,31))</f>
        <v>2</v>
      </c>
      <c r="AV26" s="66">
        <f>AL26+SUMIFS(预计变动!$F:$F,预计变动!$B:$B,AV$7,预计变动!$C:$C,$B26,预计变动!$I:$I,"&gt;="&amp;DATE(YEAR($C$4)+1,1,1),预计变动!$I:$I,"&lt;="&amp;DATE(YEAR($C$4)+1,12,31))</f>
        <v>1</v>
      </c>
      <c r="AW26" s="66">
        <f>AM26+SUMIFS(预计变动!$F:$F,预计变动!$B:$B,AW$7,预计变动!$C:$C,$B26,预计变动!$I:$I,"&gt;="&amp;DATE(YEAR($C$4)+1,1,1),预计变动!$I:$I,"&lt;="&amp;DATE(YEAR($C$4)+1,12,31))</f>
        <v>0</v>
      </c>
      <c r="AX26" s="66">
        <f>AN26+SUMIFS(预计变动!$F:$F,预计变动!$B:$B,AX$7,预计变动!$C:$C,$B26,预计变动!$I:$I,"&gt;="&amp;DATE(YEAR($C$4)+1,1,1),预计变动!$I:$I,"&lt;="&amp;DATE(YEAR($C$4)+1,12,31))</f>
        <v>0</v>
      </c>
      <c r="AY26" s="66">
        <f>AO26+SUMIFS(预计变动!$F:$F,预计变动!$B:$B,AY$7,预计变动!$C:$C,$B26,预计变动!$I:$I,"&gt;="&amp;DATE(YEAR($C$4)+1,1,1),预计变动!$I:$I,"&lt;="&amp;DATE(YEAR($C$4)+1,12,31))</f>
        <v>1</v>
      </c>
      <c r="AZ26" s="66">
        <f>AP26+SUMIFS(预计变动!$F:$F,预计变动!$B:$B,AZ$7,预计变动!$C:$C,$B26,预计变动!$I:$I,"&gt;="&amp;DATE(YEAR($C$4)+1,1,1),预计变动!$I:$I,"&lt;="&amp;DATE(YEAR($C$4)+1,12,31))</f>
        <v>0</v>
      </c>
    </row>
    <row r="27" spans="2:52">
      <c r="B27" s="65" t="s">
        <v>116</v>
      </c>
      <c r="C27" s="66">
        <f>COUNTIFS(人员状况!$D:$D,"*",人员状况!$E:$E,$B27,人员状况!$G:$G,"&lt;="&amp;DATE(YEAR($C$4)-2,12,31),人员状况!$H:$H,"&gt;="&amp;DATE(YEAR($C$4)-2,12,31)+1)</f>
        <v>8</v>
      </c>
      <c r="D27" s="66">
        <f>COUNTIFS(人员状况!$D:$D,"*",人员状况!$E:$E,$B27,人员状况!$D:$D,D$7,人员状况!$G:$G,"&lt;="&amp;DATE(YEAR($C$4)-2,12,31),人员状况!$H:$H,"&gt;="&amp;DATE(YEAR($C$4)-2,12,31)+1)</f>
        <v>3</v>
      </c>
      <c r="E27" s="66">
        <f>COUNTIFS(人员状况!$D:$D,"*",人员状况!$E:$E,$B27,人员状况!$D:$D,E$7,人员状况!$G:$G,"&lt;="&amp;DATE(YEAR($C$4)-2,12,31),人员状况!$H:$H,"&gt;="&amp;DATE(YEAR($C$4)-2,12,31)+1)</f>
        <v>0</v>
      </c>
      <c r="F27" s="66">
        <f>COUNTIFS(人员状况!$D:$D,"*",人员状况!$E:$E,$B27,人员状况!$D:$D,F$7,人员状况!$G:$G,"&lt;="&amp;DATE(YEAR($C$4)-2,12,31),人员状况!$H:$H,"&gt;="&amp;DATE(YEAR($C$4)-2,12,31)+1)</f>
        <v>2</v>
      </c>
      <c r="G27" s="66">
        <f>COUNTIFS(人员状况!$D:$D,"*",人员状况!$E:$E,$B27,人员状况!$D:$D,G$7,人员状况!$G:$G,"&lt;="&amp;DATE(YEAR($C$4)-2,12,31),人员状况!$H:$H,"&gt;="&amp;DATE(YEAR($C$4)-2,12,31)+1)</f>
        <v>2</v>
      </c>
      <c r="H27" s="66">
        <f>COUNTIFS(人员状况!$D:$D,"*",人员状况!$E:$E,$B27,人员状况!$D:$D,H$7,人员状况!$G:$G,"&lt;="&amp;DATE(YEAR($C$4)-2,12,31),人员状况!$H:$H,"&gt;="&amp;DATE(YEAR($C$4)-2,12,31)+1)</f>
        <v>1</v>
      </c>
      <c r="I27" s="66">
        <f>COUNTIFS(人员状况!$D:$D,"*",人员状况!$E:$E,$B27,人员状况!$D:$D,I$7,人员状况!$G:$G,"&lt;="&amp;DATE(YEAR($C$4)-2,12,31),人员状况!$H:$H,"&gt;="&amp;DATE(YEAR($C$4)-2,12,31)+1)</f>
        <v>0</v>
      </c>
      <c r="J27" s="66">
        <f>COUNTIFS(人员状况!$D:$D,"*",人员状况!$E:$E,$B27,人员状况!$D:$D,J$7,人员状况!$G:$G,"&lt;="&amp;DATE(YEAR($C$4)-2,12,31),人员状况!$H:$H,"&gt;="&amp;DATE(YEAR($C$4)-2,12,31)+1)</f>
        <v>0</v>
      </c>
      <c r="K27" s="66">
        <f>COUNTIFS(人员状况!$D:$D,"*",人员状况!$E:$E,$B27,人员状况!$D:$D,K$7,人员状况!$G:$G,"&lt;="&amp;DATE(YEAR($C$4)-2,12,31),人员状况!$H:$H,"&gt;="&amp;DATE(YEAR($C$4)-2,12,31)+1)</f>
        <v>0</v>
      </c>
      <c r="L27" s="66">
        <f>COUNTIFS(人员状况!$D:$D,"*",人员状况!$E:$E,$B27,人员状况!$D:$D,L$7,人员状况!$G:$G,"&lt;="&amp;DATE(YEAR($C$4)-2,12,31),人员状况!$H:$H,"&gt;="&amp;DATE(YEAR($C$4)-2,12,31)+1)</f>
        <v>0</v>
      </c>
      <c r="M27" s="66">
        <f>COUNTIFS(人员状况!$D:$D,"*",人员状况!$E:$E,$B27,人员状况!$G:$G,"&lt;="&amp;DATE(YEAR($C$4)-1,12,31),人员状况!$H:$H,"&gt;="&amp;DATE(YEAR($C$4)-1,12,31)+1)</f>
        <v>8</v>
      </c>
      <c r="N27" s="66">
        <f>COUNTIFS(人员状况!$D:$D,"*",人员状况!$E:$E,$B27,人员状况!$D:$D,N$7,人员状况!$G:$G,"&lt;="&amp;DATE(YEAR($C$4)-1,12,31),人员状况!$H:$H,"&gt;="&amp;DATE(YEAR($C$4)-1,12,31)+1)</f>
        <v>3</v>
      </c>
      <c r="O27" s="66">
        <f>COUNTIFS(人员状况!$D:$D,"*",人员状况!$E:$E,$B27,人员状况!$D:$D,O$7,人员状况!$G:$G,"&lt;="&amp;DATE(YEAR($C$4)-1,12,31),人员状况!$H:$H,"&gt;="&amp;DATE(YEAR($C$4)-1,12,31)+1)</f>
        <v>0</v>
      </c>
      <c r="P27" s="66">
        <f>COUNTIFS(人员状况!$D:$D,"*",人员状况!$E:$E,$B27,人员状况!$D:$D,P$7,人员状况!$G:$G,"&lt;="&amp;DATE(YEAR($C$4)-1,12,31),人员状况!$H:$H,"&gt;="&amp;DATE(YEAR($C$4)-1,12,31)+1)</f>
        <v>2</v>
      </c>
      <c r="Q27" s="66">
        <f>COUNTIFS(人员状况!$D:$D,"*",人员状况!$E:$E,$B27,人员状况!$D:$D,Q$7,人员状况!$G:$G,"&lt;="&amp;DATE(YEAR($C$4)-1,12,31),人员状况!$H:$H,"&gt;="&amp;DATE(YEAR($C$4)-1,12,31)+1)</f>
        <v>2</v>
      </c>
      <c r="R27" s="66">
        <f>COUNTIFS(人员状况!$D:$D,"*",人员状况!$E:$E,$B27,人员状况!$D:$D,R$7,人员状况!$G:$G,"&lt;="&amp;DATE(YEAR($C$4)-1,12,31),人员状况!$H:$H,"&gt;="&amp;DATE(YEAR($C$4)-1,12,31)+1)</f>
        <v>1</v>
      </c>
      <c r="S27" s="66">
        <f>COUNTIFS(人员状况!$D:$D,"*",人员状况!$E:$E,$B27,人员状况!$D:$D,S$7,人员状况!$G:$G,"&lt;="&amp;DATE(YEAR($C$4)-1,12,31),人员状况!$H:$H,"&gt;="&amp;DATE(YEAR($C$4)-1,12,31)+1)</f>
        <v>0</v>
      </c>
      <c r="T27" s="66">
        <f>COUNTIFS(人员状况!$D:$D,"*",人员状况!$E:$E,$B27,人员状况!$D:$D,T$7,人员状况!$G:$G,"&lt;="&amp;DATE(YEAR($C$4)-1,12,31),人员状况!$H:$H,"&gt;="&amp;DATE(YEAR($C$4)-1,12,31)+1)</f>
        <v>0</v>
      </c>
      <c r="U27" s="66">
        <f>COUNTIFS(人员状况!$D:$D,"*",人员状况!$E:$E,$B27,人员状况!$D:$D,U$7,人员状况!$G:$G,"&lt;="&amp;DATE(YEAR($C$4)-1,12,31),人员状况!$H:$H,"&gt;="&amp;DATE(YEAR($C$4)-1,12,31)+1)</f>
        <v>0</v>
      </c>
      <c r="V27" s="66">
        <f>COUNTIFS(人员状况!$D:$D,"*",人员状况!$E:$E,$B27,人员状况!$D:$D,V$7,人员状况!$G:$G,"&lt;="&amp;DATE(YEAR($C$4)-1,12,31),人员状况!$H:$H,"&gt;="&amp;DATE(YEAR($C$4)-1,12,31)+1)</f>
        <v>0</v>
      </c>
      <c r="W27" s="66">
        <f>COUNTIFS(人员状况!$D:$D,"*",人员状况!$E:$E,$B27,人员状况!$G:$G,"&lt;="&amp;EOMONTH(DATE(YEAR($C$4)-1,MONTH($C$4),1),0),人员状况!$H:$H,"&gt;="&amp;EOMONTH(DATE(YEAR($C$4)-1,MONTH($C$4),1),0)+1)</f>
        <v>8</v>
      </c>
      <c r="X27" s="66">
        <f>COUNTIFS(人员状况!$D:$D,X$7,人员状况!$E:$E,$B27,人员状况!$G:$G,"&lt;="&amp;EOMONTH(DATE(YEAR($C$4)-1,MONTH($C$4),1),0),人员状况!$H:$H,"&gt;="&amp;EOMONTH(DATE(YEAR($C$4)-1,MONTH($C$4),1),0)+1)</f>
        <v>3</v>
      </c>
      <c r="Y27" s="66">
        <f>COUNTIFS(人员状况!$D:$D,Y$7,人员状况!$E:$E,$B27,人员状况!$G:$G,"&lt;="&amp;EOMONTH(DATE(YEAR($C$4)-1,MONTH($C$4),1),0),人员状况!$H:$H,"&gt;="&amp;EOMONTH(DATE(YEAR($C$4)-1,MONTH($C$4),1),0)+1)</f>
        <v>0</v>
      </c>
      <c r="Z27" s="66">
        <f>COUNTIFS(人员状况!$D:$D,Z$7,人员状况!$E:$E,$B27,人员状况!$G:$G,"&lt;="&amp;EOMONTH(DATE(YEAR($C$4)-1,MONTH($C$4),1),0),人员状况!$H:$H,"&gt;="&amp;EOMONTH(DATE(YEAR($C$4)-1,MONTH($C$4),1),0)+1)</f>
        <v>2</v>
      </c>
      <c r="AA27" s="66">
        <f>COUNTIFS(人员状况!$D:$D,AA$7,人员状况!$E:$E,$B27,人员状况!$G:$G,"&lt;="&amp;EOMONTH(DATE(YEAR($C$4)-1,MONTH($C$4),1),0),人员状况!$H:$H,"&gt;="&amp;EOMONTH(DATE(YEAR($C$4)-1,MONTH($C$4),1),0)+1)</f>
        <v>2</v>
      </c>
      <c r="AB27" s="66">
        <f>COUNTIFS(人员状况!$D:$D,AB$7,人员状况!$E:$E,$B27,人员状况!$G:$G,"&lt;="&amp;EOMONTH(DATE(YEAR($C$4)-1,MONTH($C$4),1),0),人员状况!$H:$H,"&gt;="&amp;EOMONTH(DATE(YEAR($C$4)-1,MONTH($C$4),1),0)+1)</f>
        <v>1</v>
      </c>
      <c r="AC27" s="66">
        <f>COUNTIFS(人员状况!$D:$D,AC$7,人员状况!$E:$E,$B27,人员状况!$G:$G,"&lt;="&amp;EOMONTH(DATE(YEAR($C$4)-1,MONTH($C$4),1),0),人员状况!$H:$H,"&gt;="&amp;EOMONTH(DATE(YEAR($C$4)-1,MONTH($C$4),1),0)+1)</f>
        <v>0</v>
      </c>
      <c r="AD27" s="66">
        <f>COUNTIFS(人员状况!$D:$D,AD$7,人员状况!$E:$E,$B27,人员状况!$G:$G,"&lt;="&amp;EOMONTH(DATE(YEAR($C$4)-1,MONTH($C$4),1),0),人员状况!$H:$H,"&gt;="&amp;EOMONTH(DATE(YEAR($C$4)-1,MONTH($C$4),1),0)+1)</f>
        <v>0</v>
      </c>
      <c r="AE27" s="66">
        <f>COUNTIFS(人员状况!$D:$D,AE$7,人员状况!$E:$E,$B27,人员状况!$G:$G,"&lt;="&amp;EOMONTH(DATE(YEAR($C$4)-1,MONTH($C$4),1),0),人员状况!$H:$H,"&gt;="&amp;EOMONTH(DATE(YEAR($C$4)-1,MONTH($C$4),1),0)+1)</f>
        <v>0</v>
      </c>
      <c r="AF27" s="66">
        <f>COUNTIFS(人员状况!$D:$D,AF$7,人员状况!$E:$E,$B27,人员状况!$G:$G,"&lt;="&amp;EOMONTH(DATE(YEAR($C$4)-1,MONTH($C$4),1),0),人员状况!$H:$H,"&gt;="&amp;EOMONTH(DATE(YEAR($C$4)-1,MONTH($C$4),1),0)+1)</f>
        <v>0</v>
      </c>
      <c r="AG27" s="66">
        <f>W27+SUMIFS(预计变动!$F:$F,预计变动!$C:$C,$B27,预计变动!$I:$I,"&gt;"&amp;EOMONTH(DATE(YEAR($C$4),MONTH($C$4),1),0),预计变动!$I:$I,"&lt;="&amp;DATE(YEAR($C$4),12,31))</f>
        <v>8</v>
      </c>
      <c r="AH27" s="66">
        <f>X27+SUMIFS(预计变动!$F:$F,预计变动!$B:$B,AH$7,预计变动!$C:$C,$B27,预计变动!$I:$I,"&gt;"&amp;EOMONTH(DATE(YEAR($C$4),MONTH($C$4),1),0),预计变动!$I:$I,"&lt;="&amp;DATE(YEAR($C$4),12,31))</f>
        <v>3</v>
      </c>
      <c r="AI27" s="66">
        <f>Y27+SUMIFS(预计变动!$F:$F,预计变动!$B:$B,AI$7,预计变动!$C:$C,$B27,预计变动!$I:$I,"&gt;"&amp;EOMONTH(DATE(YEAR($C$4),MONTH($C$4),1),0),预计变动!$I:$I,"&lt;="&amp;DATE(YEAR($C$4),12,31))</f>
        <v>0</v>
      </c>
      <c r="AJ27" s="66">
        <f>Z27+SUMIFS(预计变动!$F:$F,预计变动!$B:$B,AJ$7,预计变动!$C:$C,$B27,预计变动!$I:$I,"&gt;"&amp;EOMONTH(DATE(YEAR($C$4),MONTH($C$4),1),0),预计变动!$I:$I,"&lt;="&amp;DATE(YEAR($C$4),12,31))</f>
        <v>2</v>
      </c>
      <c r="AK27" s="66">
        <f>AA27+SUMIFS(预计变动!$F:$F,预计变动!$B:$B,AK$7,预计变动!$C:$C,$B27,预计变动!$I:$I,"&gt;"&amp;EOMONTH(DATE(YEAR($C$4),MONTH($C$4),1),0),预计变动!$I:$I,"&lt;="&amp;DATE(YEAR($C$4),12,31))</f>
        <v>2</v>
      </c>
      <c r="AL27" s="66">
        <f>AB27+SUMIFS(预计变动!$F:$F,预计变动!$B:$B,AL$7,预计变动!$C:$C,$B27,预计变动!$I:$I,"&gt;"&amp;EOMONTH(DATE(YEAR($C$4),MONTH($C$4),1),0),预计变动!$I:$I,"&lt;="&amp;DATE(YEAR($C$4),12,31))</f>
        <v>1</v>
      </c>
      <c r="AM27" s="66">
        <f>AC27+SUMIFS(预计变动!$F:$F,预计变动!$B:$B,AM$7,预计变动!$C:$C,$B27,预计变动!$I:$I,"&gt;"&amp;EOMONTH(DATE(YEAR($C$4),MONTH($C$4),1),0),预计变动!$I:$I,"&lt;="&amp;DATE(YEAR($C$4),12,31))</f>
        <v>0</v>
      </c>
      <c r="AN27" s="66">
        <f>AD27+SUMIFS(预计变动!$F:$F,预计变动!$B:$B,AN$7,预计变动!$C:$C,$B27,预计变动!$I:$I,"&gt;"&amp;EOMONTH(DATE(YEAR($C$4),MONTH($C$4),1),0),预计变动!$I:$I,"&lt;="&amp;DATE(YEAR($C$4),12,31))</f>
        <v>0</v>
      </c>
      <c r="AO27" s="66">
        <f>AE27+SUMIFS(预计变动!$F:$F,预计变动!$B:$B,AO$7,预计变动!$C:$C,$B27,预计变动!$I:$I,"&gt;"&amp;EOMONTH(DATE(YEAR($C$4),MONTH($C$4),1),0),预计变动!$I:$I,"&lt;="&amp;DATE(YEAR($C$4),12,31))</f>
        <v>0</v>
      </c>
      <c r="AP27" s="66">
        <f>AF27+SUMIFS(预计变动!$F:$F,预计变动!$B:$B,AP$7,预计变动!$C:$C,$B27,预计变动!$I:$I,"&gt;"&amp;EOMONTH(DATE(YEAR($C$4),MONTH($C$4),1),0),预计变动!$I:$I,"&lt;="&amp;DATE(YEAR($C$4),12,31))</f>
        <v>0</v>
      </c>
      <c r="AQ27" s="66">
        <f>AG27+SUMIFS(预计变动!$F:$F,预计变动!$C:$C,$B27,预计变动!$I:$I,"&gt;="&amp;DATE(YEAR($C$4)+1,1,1),预计变动!$I:$I,"&lt;="&amp;DATE(YEAR($C$4)+1,12,31))</f>
        <v>8</v>
      </c>
      <c r="AR27" s="66">
        <f>AH27+SUMIFS(预计变动!$F:$F,预计变动!$B:$B,AR$7,预计变动!$C:$C,$B27,预计变动!$I:$I,"&gt;="&amp;DATE(YEAR($C$4)+1,1,1),预计变动!$I:$I,"&lt;="&amp;DATE(YEAR($C$4)+1,12,31))</f>
        <v>3</v>
      </c>
      <c r="AS27" s="66">
        <f>AI27+SUMIFS(预计变动!$F:$F,预计变动!$B:$B,AS$7,预计变动!$C:$C,$B27,预计变动!$I:$I,"&gt;="&amp;DATE(YEAR($C$4)+1,1,1),预计变动!$I:$I,"&lt;="&amp;DATE(YEAR($C$4)+1,12,31))</f>
        <v>0</v>
      </c>
      <c r="AT27" s="66">
        <f>AJ27+SUMIFS(预计变动!$F:$F,预计变动!$B:$B,AT$7,预计变动!$C:$C,$B27,预计变动!$I:$I,"&gt;="&amp;DATE(YEAR($C$4)+1,1,1),预计变动!$I:$I,"&lt;="&amp;DATE(YEAR($C$4)+1,12,31))</f>
        <v>2</v>
      </c>
      <c r="AU27" s="66">
        <f>AK27+SUMIFS(预计变动!$F:$F,预计变动!$B:$B,AU$7,预计变动!$C:$C,$B27,预计变动!$I:$I,"&gt;="&amp;DATE(YEAR($C$4)+1,1,1),预计变动!$I:$I,"&lt;="&amp;DATE(YEAR($C$4)+1,12,31))</f>
        <v>2</v>
      </c>
      <c r="AV27" s="66">
        <f>AL27+SUMIFS(预计变动!$F:$F,预计变动!$B:$B,AV$7,预计变动!$C:$C,$B27,预计变动!$I:$I,"&gt;="&amp;DATE(YEAR($C$4)+1,1,1),预计变动!$I:$I,"&lt;="&amp;DATE(YEAR($C$4)+1,12,31))</f>
        <v>1</v>
      </c>
      <c r="AW27" s="66">
        <f>AM27+SUMIFS(预计变动!$F:$F,预计变动!$B:$B,AW$7,预计变动!$C:$C,$B27,预计变动!$I:$I,"&gt;="&amp;DATE(YEAR($C$4)+1,1,1),预计变动!$I:$I,"&lt;="&amp;DATE(YEAR($C$4)+1,12,31))</f>
        <v>0</v>
      </c>
      <c r="AX27" s="66">
        <f>AN27+SUMIFS(预计变动!$F:$F,预计变动!$B:$B,AX$7,预计变动!$C:$C,$B27,预计变动!$I:$I,"&gt;="&amp;DATE(YEAR($C$4)+1,1,1),预计变动!$I:$I,"&lt;="&amp;DATE(YEAR($C$4)+1,12,31))</f>
        <v>0</v>
      </c>
      <c r="AY27" s="66">
        <f>AO27+SUMIFS(预计变动!$F:$F,预计变动!$B:$B,AY$7,预计变动!$C:$C,$B27,预计变动!$I:$I,"&gt;="&amp;DATE(YEAR($C$4)+1,1,1),预计变动!$I:$I,"&lt;="&amp;DATE(YEAR($C$4)+1,12,31))</f>
        <v>0</v>
      </c>
      <c r="AZ27" s="66">
        <f>AP27+SUMIFS(预计变动!$F:$F,预计变动!$B:$B,AZ$7,预计变动!$C:$C,$B27,预计变动!$I:$I,"&gt;="&amp;DATE(YEAR($C$4)+1,1,1),预计变动!$I:$I,"&lt;="&amp;DATE(YEAR($C$4)+1,12,31))</f>
        <v>0</v>
      </c>
    </row>
    <row r="28" spans="2:52">
      <c r="B28" s="65" t="s">
        <v>120</v>
      </c>
      <c r="C28" s="66">
        <f>COUNTIFS(人员状况!$D:$D,"*",人员状况!$E:$E,$B28,人员状况!$G:$G,"&lt;="&amp;DATE(YEAR($C$4)-2,12,31),人员状况!$H:$H,"&gt;="&amp;DATE(YEAR($C$4)-2,12,31)+1)</f>
        <v>6</v>
      </c>
      <c r="D28" s="66">
        <f>COUNTIFS(人员状况!$D:$D,"*",人员状况!$E:$E,$B28,人员状况!$D:$D,D$7,人员状况!$G:$G,"&lt;="&amp;DATE(YEAR($C$4)-2,12,31),人员状况!$H:$H,"&gt;="&amp;DATE(YEAR($C$4)-2,12,31)+1)</f>
        <v>4</v>
      </c>
      <c r="E28" s="66">
        <f>COUNTIFS(人员状况!$D:$D,"*",人员状况!$E:$E,$B28,人员状况!$D:$D,E$7,人员状况!$G:$G,"&lt;="&amp;DATE(YEAR($C$4)-2,12,31),人员状况!$H:$H,"&gt;="&amp;DATE(YEAR($C$4)-2,12,31)+1)</f>
        <v>0</v>
      </c>
      <c r="F28" s="66">
        <f>COUNTIFS(人员状况!$D:$D,"*",人员状况!$E:$E,$B28,人员状况!$D:$D,F$7,人员状况!$G:$G,"&lt;="&amp;DATE(YEAR($C$4)-2,12,31),人员状况!$H:$H,"&gt;="&amp;DATE(YEAR($C$4)-2,12,31)+1)</f>
        <v>2</v>
      </c>
      <c r="G28" s="66">
        <f>COUNTIFS(人员状况!$D:$D,"*",人员状况!$E:$E,$B28,人员状况!$D:$D,G$7,人员状况!$G:$G,"&lt;="&amp;DATE(YEAR($C$4)-2,12,31),人员状况!$H:$H,"&gt;="&amp;DATE(YEAR($C$4)-2,12,31)+1)</f>
        <v>0</v>
      </c>
      <c r="H28" s="66">
        <f>COUNTIFS(人员状况!$D:$D,"*",人员状况!$E:$E,$B28,人员状况!$D:$D,H$7,人员状况!$G:$G,"&lt;="&amp;DATE(YEAR($C$4)-2,12,31),人员状况!$H:$H,"&gt;="&amp;DATE(YEAR($C$4)-2,12,31)+1)</f>
        <v>0</v>
      </c>
      <c r="I28" s="66">
        <f>COUNTIFS(人员状况!$D:$D,"*",人员状况!$E:$E,$B28,人员状况!$D:$D,I$7,人员状况!$G:$G,"&lt;="&amp;DATE(YEAR($C$4)-2,12,31),人员状况!$H:$H,"&gt;="&amp;DATE(YEAR($C$4)-2,12,31)+1)</f>
        <v>0</v>
      </c>
      <c r="J28" s="66">
        <f>COUNTIFS(人员状况!$D:$D,"*",人员状况!$E:$E,$B28,人员状况!$D:$D,J$7,人员状况!$G:$G,"&lt;="&amp;DATE(YEAR($C$4)-2,12,31),人员状况!$H:$H,"&gt;="&amp;DATE(YEAR($C$4)-2,12,31)+1)</f>
        <v>0</v>
      </c>
      <c r="K28" s="66">
        <f>COUNTIFS(人员状况!$D:$D,"*",人员状况!$E:$E,$B28,人员状况!$D:$D,K$7,人员状况!$G:$G,"&lt;="&amp;DATE(YEAR($C$4)-2,12,31),人员状况!$H:$H,"&gt;="&amp;DATE(YEAR($C$4)-2,12,31)+1)</f>
        <v>0</v>
      </c>
      <c r="L28" s="66">
        <f>COUNTIFS(人员状况!$D:$D,"*",人员状况!$E:$E,$B28,人员状况!$D:$D,L$7,人员状况!$G:$G,"&lt;="&amp;DATE(YEAR($C$4)-2,12,31),人员状况!$H:$H,"&gt;="&amp;DATE(YEAR($C$4)-2,12,31)+1)</f>
        <v>0</v>
      </c>
      <c r="M28" s="66">
        <f>COUNTIFS(人员状况!$D:$D,"*",人员状况!$E:$E,$B28,人员状况!$G:$G,"&lt;="&amp;DATE(YEAR($C$4)-1,12,31),人员状况!$H:$H,"&gt;="&amp;DATE(YEAR($C$4)-1,12,31)+1)</f>
        <v>6</v>
      </c>
      <c r="N28" s="66">
        <f>COUNTIFS(人员状况!$D:$D,"*",人员状况!$E:$E,$B28,人员状况!$D:$D,N$7,人员状况!$G:$G,"&lt;="&amp;DATE(YEAR($C$4)-1,12,31),人员状况!$H:$H,"&gt;="&amp;DATE(YEAR($C$4)-1,12,31)+1)</f>
        <v>4</v>
      </c>
      <c r="O28" s="66">
        <f>COUNTIFS(人员状况!$D:$D,"*",人员状况!$E:$E,$B28,人员状况!$D:$D,O$7,人员状况!$G:$G,"&lt;="&amp;DATE(YEAR($C$4)-1,12,31),人员状况!$H:$H,"&gt;="&amp;DATE(YEAR($C$4)-1,12,31)+1)</f>
        <v>0</v>
      </c>
      <c r="P28" s="66">
        <f>COUNTIFS(人员状况!$D:$D,"*",人员状况!$E:$E,$B28,人员状况!$D:$D,P$7,人员状况!$G:$G,"&lt;="&amp;DATE(YEAR($C$4)-1,12,31),人员状况!$H:$H,"&gt;="&amp;DATE(YEAR($C$4)-1,12,31)+1)</f>
        <v>2</v>
      </c>
      <c r="Q28" s="66">
        <f>COUNTIFS(人员状况!$D:$D,"*",人员状况!$E:$E,$B28,人员状况!$D:$D,Q$7,人员状况!$G:$G,"&lt;="&amp;DATE(YEAR($C$4)-1,12,31),人员状况!$H:$H,"&gt;="&amp;DATE(YEAR($C$4)-1,12,31)+1)</f>
        <v>0</v>
      </c>
      <c r="R28" s="66">
        <f>COUNTIFS(人员状况!$D:$D,"*",人员状况!$E:$E,$B28,人员状况!$D:$D,R$7,人员状况!$G:$G,"&lt;="&amp;DATE(YEAR($C$4)-1,12,31),人员状况!$H:$H,"&gt;="&amp;DATE(YEAR($C$4)-1,12,31)+1)</f>
        <v>0</v>
      </c>
      <c r="S28" s="66">
        <f>COUNTIFS(人员状况!$D:$D,"*",人员状况!$E:$E,$B28,人员状况!$D:$D,S$7,人员状况!$G:$G,"&lt;="&amp;DATE(YEAR($C$4)-1,12,31),人员状况!$H:$H,"&gt;="&amp;DATE(YEAR($C$4)-1,12,31)+1)</f>
        <v>0</v>
      </c>
      <c r="T28" s="66">
        <f>COUNTIFS(人员状况!$D:$D,"*",人员状况!$E:$E,$B28,人员状况!$D:$D,T$7,人员状况!$G:$G,"&lt;="&amp;DATE(YEAR($C$4)-1,12,31),人员状况!$H:$H,"&gt;="&amp;DATE(YEAR($C$4)-1,12,31)+1)</f>
        <v>0</v>
      </c>
      <c r="U28" s="66">
        <f>COUNTIFS(人员状况!$D:$D,"*",人员状况!$E:$E,$B28,人员状况!$D:$D,U$7,人员状况!$G:$G,"&lt;="&amp;DATE(YEAR($C$4)-1,12,31),人员状况!$H:$H,"&gt;="&amp;DATE(YEAR($C$4)-1,12,31)+1)</f>
        <v>0</v>
      </c>
      <c r="V28" s="66">
        <f>COUNTIFS(人员状况!$D:$D,"*",人员状况!$E:$E,$B28,人员状况!$D:$D,V$7,人员状况!$G:$G,"&lt;="&amp;DATE(YEAR($C$4)-1,12,31),人员状况!$H:$H,"&gt;="&amp;DATE(YEAR($C$4)-1,12,31)+1)</f>
        <v>0</v>
      </c>
      <c r="W28" s="66">
        <f>COUNTIFS(人员状况!$D:$D,"*",人员状况!$E:$E,$B28,人员状况!$G:$G,"&lt;="&amp;EOMONTH(DATE(YEAR($C$4)-1,MONTH($C$4),1),0),人员状况!$H:$H,"&gt;="&amp;EOMONTH(DATE(YEAR($C$4)-1,MONTH($C$4),1),0)+1)</f>
        <v>6</v>
      </c>
      <c r="X28" s="66">
        <f>COUNTIFS(人员状况!$D:$D,X$7,人员状况!$E:$E,$B28,人员状况!$G:$G,"&lt;="&amp;EOMONTH(DATE(YEAR($C$4)-1,MONTH($C$4),1),0),人员状况!$H:$H,"&gt;="&amp;EOMONTH(DATE(YEAR($C$4)-1,MONTH($C$4),1),0)+1)</f>
        <v>4</v>
      </c>
      <c r="Y28" s="66">
        <f>COUNTIFS(人员状况!$D:$D,Y$7,人员状况!$E:$E,$B28,人员状况!$G:$G,"&lt;="&amp;EOMONTH(DATE(YEAR($C$4)-1,MONTH($C$4),1),0),人员状况!$H:$H,"&gt;="&amp;EOMONTH(DATE(YEAR($C$4)-1,MONTH($C$4),1),0)+1)</f>
        <v>0</v>
      </c>
      <c r="Z28" s="66">
        <f>COUNTIFS(人员状况!$D:$D,Z$7,人员状况!$E:$E,$B28,人员状况!$G:$G,"&lt;="&amp;EOMONTH(DATE(YEAR($C$4)-1,MONTH($C$4),1),0),人员状况!$H:$H,"&gt;="&amp;EOMONTH(DATE(YEAR($C$4)-1,MONTH($C$4),1),0)+1)</f>
        <v>2</v>
      </c>
      <c r="AA28" s="66">
        <f>COUNTIFS(人员状况!$D:$D,AA$7,人员状况!$E:$E,$B28,人员状况!$G:$G,"&lt;="&amp;EOMONTH(DATE(YEAR($C$4)-1,MONTH($C$4),1),0),人员状况!$H:$H,"&gt;="&amp;EOMONTH(DATE(YEAR($C$4)-1,MONTH($C$4),1),0)+1)</f>
        <v>0</v>
      </c>
      <c r="AB28" s="66">
        <f>COUNTIFS(人员状况!$D:$D,AB$7,人员状况!$E:$E,$B28,人员状况!$G:$G,"&lt;="&amp;EOMONTH(DATE(YEAR($C$4)-1,MONTH($C$4),1),0),人员状况!$H:$H,"&gt;="&amp;EOMONTH(DATE(YEAR($C$4)-1,MONTH($C$4),1),0)+1)</f>
        <v>0</v>
      </c>
      <c r="AC28" s="66">
        <f>COUNTIFS(人员状况!$D:$D,AC$7,人员状况!$E:$E,$B28,人员状况!$G:$G,"&lt;="&amp;EOMONTH(DATE(YEAR($C$4)-1,MONTH($C$4),1),0),人员状况!$H:$H,"&gt;="&amp;EOMONTH(DATE(YEAR($C$4)-1,MONTH($C$4),1),0)+1)</f>
        <v>0</v>
      </c>
      <c r="AD28" s="66">
        <f>COUNTIFS(人员状况!$D:$D,AD$7,人员状况!$E:$E,$B28,人员状况!$G:$G,"&lt;="&amp;EOMONTH(DATE(YEAR($C$4)-1,MONTH($C$4),1),0),人员状况!$H:$H,"&gt;="&amp;EOMONTH(DATE(YEAR($C$4)-1,MONTH($C$4),1),0)+1)</f>
        <v>0</v>
      </c>
      <c r="AE28" s="66">
        <f>COUNTIFS(人员状况!$D:$D,AE$7,人员状况!$E:$E,$B28,人员状况!$G:$G,"&lt;="&amp;EOMONTH(DATE(YEAR($C$4)-1,MONTH($C$4),1),0),人员状况!$H:$H,"&gt;="&amp;EOMONTH(DATE(YEAR($C$4)-1,MONTH($C$4),1),0)+1)</f>
        <v>0</v>
      </c>
      <c r="AF28" s="66">
        <f>COUNTIFS(人员状况!$D:$D,AF$7,人员状况!$E:$E,$B28,人员状况!$G:$G,"&lt;="&amp;EOMONTH(DATE(YEAR($C$4)-1,MONTH($C$4),1),0),人员状况!$H:$H,"&gt;="&amp;EOMONTH(DATE(YEAR($C$4)-1,MONTH($C$4),1),0)+1)</f>
        <v>0</v>
      </c>
      <c r="AG28" s="66">
        <f>W28+SUMIFS(预计变动!$F:$F,预计变动!$C:$C,$B28,预计变动!$I:$I,"&gt;"&amp;EOMONTH(DATE(YEAR($C$4),MONTH($C$4),1),0),预计变动!$I:$I,"&lt;="&amp;DATE(YEAR($C$4),12,31))</f>
        <v>6</v>
      </c>
      <c r="AH28" s="66">
        <f>X28+SUMIFS(预计变动!$F:$F,预计变动!$B:$B,AH$7,预计变动!$C:$C,$B28,预计变动!$I:$I,"&gt;"&amp;EOMONTH(DATE(YEAR($C$4),MONTH($C$4),1),0),预计变动!$I:$I,"&lt;="&amp;DATE(YEAR($C$4),12,31))</f>
        <v>4</v>
      </c>
      <c r="AI28" s="66">
        <f>Y28+SUMIFS(预计变动!$F:$F,预计变动!$B:$B,AI$7,预计变动!$C:$C,$B28,预计变动!$I:$I,"&gt;"&amp;EOMONTH(DATE(YEAR($C$4),MONTH($C$4),1),0),预计变动!$I:$I,"&lt;="&amp;DATE(YEAR($C$4),12,31))</f>
        <v>0</v>
      </c>
      <c r="AJ28" s="66">
        <f>Z28+SUMIFS(预计变动!$F:$F,预计变动!$B:$B,AJ$7,预计变动!$C:$C,$B28,预计变动!$I:$I,"&gt;"&amp;EOMONTH(DATE(YEAR($C$4),MONTH($C$4),1),0),预计变动!$I:$I,"&lt;="&amp;DATE(YEAR($C$4),12,31))</f>
        <v>2</v>
      </c>
      <c r="AK28" s="66">
        <f>AA28+SUMIFS(预计变动!$F:$F,预计变动!$B:$B,AK$7,预计变动!$C:$C,$B28,预计变动!$I:$I,"&gt;"&amp;EOMONTH(DATE(YEAR($C$4),MONTH($C$4),1),0),预计变动!$I:$I,"&lt;="&amp;DATE(YEAR($C$4),12,31))</f>
        <v>0</v>
      </c>
      <c r="AL28" s="66">
        <f>AB28+SUMIFS(预计变动!$F:$F,预计变动!$B:$B,AL$7,预计变动!$C:$C,$B28,预计变动!$I:$I,"&gt;"&amp;EOMONTH(DATE(YEAR($C$4),MONTH($C$4),1),0),预计变动!$I:$I,"&lt;="&amp;DATE(YEAR($C$4),12,31))</f>
        <v>0</v>
      </c>
      <c r="AM28" s="66">
        <f>AC28+SUMIFS(预计变动!$F:$F,预计变动!$B:$B,AM$7,预计变动!$C:$C,$B28,预计变动!$I:$I,"&gt;"&amp;EOMONTH(DATE(YEAR($C$4),MONTH($C$4),1),0),预计变动!$I:$I,"&lt;="&amp;DATE(YEAR($C$4),12,31))</f>
        <v>0</v>
      </c>
      <c r="AN28" s="66">
        <f>AD28+SUMIFS(预计变动!$F:$F,预计变动!$B:$B,AN$7,预计变动!$C:$C,$B28,预计变动!$I:$I,"&gt;"&amp;EOMONTH(DATE(YEAR($C$4),MONTH($C$4),1),0),预计变动!$I:$I,"&lt;="&amp;DATE(YEAR($C$4),12,31))</f>
        <v>0</v>
      </c>
      <c r="AO28" s="66">
        <f>AE28+SUMIFS(预计变动!$F:$F,预计变动!$B:$B,AO$7,预计变动!$C:$C,$B28,预计变动!$I:$I,"&gt;"&amp;EOMONTH(DATE(YEAR($C$4),MONTH($C$4),1),0),预计变动!$I:$I,"&lt;="&amp;DATE(YEAR($C$4),12,31))</f>
        <v>0</v>
      </c>
      <c r="AP28" s="66">
        <f>AF28+SUMIFS(预计变动!$F:$F,预计变动!$B:$B,AP$7,预计变动!$C:$C,$B28,预计变动!$I:$I,"&gt;"&amp;EOMONTH(DATE(YEAR($C$4),MONTH($C$4),1),0),预计变动!$I:$I,"&lt;="&amp;DATE(YEAR($C$4),12,31))</f>
        <v>0</v>
      </c>
      <c r="AQ28" s="66">
        <f>AG28+SUMIFS(预计变动!$F:$F,预计变动!$C:$C,$B28,预计变动!$I:$I,"&gt;="&amp;DATE(YEAR($C$4)+1,1,1),预计变动!$I:$I,"&lt;="&amp;DATE(YEAR($C$4)+1,12,31))</f>
        <v>7</v>
      </c>
      <c r="AR28" s="66">
        <f>AH28+SUMIFS(预计变动!$F:$F,预计变动!$B:$B,AR$7,预计变动!$C:$C,$B28,预计变动!$I:$I,"&gt;="&amp;DATE(YEAR($C$4)+1,1,1),预计变动!$I:$I,"&lt;="&amp;DATE(YEAR($C$4)+1,12,31))</f>
        <v>5</v>
      </c>
      <c r="AS28" s="66">
        <f>AI28+SUMIFS(预计变动!$F:$F,预计变动!$B:$B,AS$7,预计变动!$C:$C,$B28,预计变动!$I:$I,"&gt;="&amp;DATE(YEAR($C$4)+1,1,1),预计变动!$I:$I,"&lt;="&amp;DATE(YEAR($C$4)+1,12,31))</f>
        <v>0</v>
      </c>
      <c r="AT28" s="66">
        <f>AJ28+SUMIFS(预计变动!$F:$F,预计变动!$B:$B,AT$7,预计变动!$C:$C,$B28,预计变动!$I:$I,"&gt;="&amp;DATE(YEAR($C$4)+1,1,1),预计变动!$I:$I,"&lt;="&amp;DATE(YEAR($C$4)+1,12,31))</f>
        <v>2</v>
      </c>
      <c r="AU28" s="66">
        <f>AK28+SUMIFS(预计变动!$F:$F,预计变动!$B:$B,AU$7,预计变动!$C:$C,$B28,预计变动!$I:$I,"&gt;="&amp;DATE(YEAR($C$4)+1,1,1),预计变动!$I:$I,"&lt;="&amp;DATE(YEAR($C$4)+1,12,31))</f>
        <v>0</v>
      </c>
      <c r="AV28" s="66">
        <f>AL28+SUMIFS(预计变动!$F:$F,预计变动!$B:$B,AV$7,预计变动!$C:$C,$B28,预计变动!$I:$I,"&gt;="&amp;DATE(YEAR($C$4)+1,1,1),预计变动!$I:$I,"&lt;="&amp;DATE(YEAR($C$4)+1,12,31))</f>
        <v>0</v>
      </c>
      <c r="AW28" s="66">
        <f>AM28+SUMIFS(预计变动!$F:$F,预计变动!$B:$B,AW$7,预计变动!$C:$C,$B28,预计变动!$I:$I,"&gt;="&amp;DATE(YEAR($C$4)+1,1,1),预计变动!$I:$I,"&lt;="&amp;DATE(YEAR($C$4)+1,12,31))</f>
        <v>0</v>
      </c>
      <c r="AX28" s="66">
        <f>AN28+SUMIFS(预计变动!$F:$F,预计变动!$B:$B,AX$7,预计变动!$C:$C,$B28,预计变动!$I:$I,"&gt;="&amp;DATE(YEAR($C$4)+1,1,1),预计变动!$I:$I,"&lt;="&amp;DATE(YEAR($C$4)+1,12,31))</f>
        <v>0</v>
      </c>
      <c r="AY28" s="66">
        <f>AO28+SUMIFS(预计变动!$F:$F,预计变动!$B:$B,AY$7,预计变动!$C:$C,$B28,预计变动!$I:$I,"&gt;="&amp;DATE(YEAR($C$4)+1,1,1),预计变动!$I:$I,"&lt;="&amp;DATE(YEAR($C$4)+1,12,31))</f>
        <v>0</v>
      </c>
      <c r="AZ28" s="66">
        <f>AP28+SUMIFS(预计变动!$F:$F,预计变动!$B:$B,AZ$7,预计变动!$C:$C,$B28,预计变动!$I:$I,"&gt;="&amp;DATE(YEAR($C$4)+1,1,1),预计变动!$I:$I,"&lt;="&amp;DATE(YEAR($C$4)+1,12,31))</f>
        <v>0</v>
      </c>
    </row>
    <row r="29" spans="2:52">
      <c r="B29" s="65" t="s">
        <v>123</v>
      </c>
      <c r="C29" s="66">
        <f>COUNTIFS(人员状况!$D:$D,"*",人员状况!$E:$E,$B29,人员状况!$G:$G,"&lt;="&amp;DATE(YEAR($C$4)-2,12,31),人员状况!$H:$H,"&gt;="&amp;DATE(YEAR($C$4)-2,12,31)+1)</f>
        <v>8</v>
      </c>
      <c r="D29" s="66">
        <f>COUNTIFS(人员状况!$D:$D,"*",人员状况!$E:$E,$B29,人员状况!$D:$D,D$7,人员状况!$G:$G,"&lt;="&amp;DATE(YEAR($C$4)-2,12,31),人员状况!$H:$H,"&gt;="&amp;DATE(YEAR($C$4)-2,12,31)+1)</f>
        <v>4</v>
      </c>
      <c r="E29" s="66">
        <f>COUNTIFS(人员状况!$D:$D,"*",人员状况!$E:$E,$B29,人员状况!$D:$D,E$7,人员状况!$G:$G,"&lt;="&amp;DATE(YEAR($C$4)-2,12,31),人员状况!$H:$H,"&gt;="&amp;DATE(YEAR($C$4)-2,12,31)+1)</f>
        <v>3</v>
      </c>
      <c r="F29" s="66">
        <f>COUNTIFS(人员状况!$D:$D,"*",人员状况!$E:$E,$B29,人员状况!$D:$D,F$7,人员状况!$G:$G,"&lt;="&amp;DATE(YEAR($C$4)-2,12,31),人员状况!$H:$H,"&gt;="&amp;DATE(YEAR($C$4)-2,12,31)+1)</f>
        <v>1</v>
      </c>
      <c r="G29" s="66">
        <f>COUNTIFS(人员状况!$D:$D,"*",人员状况!$E:$E,$B29,人员状况!$D:$D,G$7,人员状况!$G:$G,"&lt;="&amp;DATE(YEAR($C$4)-2,12,31),人员状况!$H:$H,"&gt;="&amp;DATE(YEAR($C$4)-2,12,31)+1)</f>
        <v>0</v>
      </c>
      <c r="H29" s="66">
        <f>COUNTIFS(人员状况!$D:$D,"*",人员状况!$E:$E,$B29,人员状况!$D:$D,H$7,人员状况!$G:$G,"&lt;="&amp;DATE(YEAR($C$4)-2,12,31),人员状况!$H:$H,"&gt;="&amp;DATE(YEAR($C$4)-2,12,31)+1)</f>
        <v>0</v>
      </c>
      <c r="I29" s="66">
        <f>COUNTIFS(人员状况!$D:$D,"*",人员状况!$E:$E,$B29,人员状况!$D:$D,I$7,人员状况!$G:$G,"&lt;="&amp;DATE(YEAR($C$4)-2,12,31),人员状况!$H:$H,"&gt;="&amp;DATE(YEAR($C$4)-2,12,31)+1)</f>
        <v>0</v>
      </c>
      <c r="J29" s="66">
        <f>COUNTIFS(人员状况!$D:$D,"*",人员状况!$E:$E,$B29,人员状况!$D:$D,J$7,人员状况!$G:$G,"&lt;="&amp;DATE(YEAR($C$4)-2,12,31),人员状况!$H:$H,"&gt;="&amp;DATE(YEAR($C$4)-2,12,31)+1)</f>
        <v>0</v>
      </c>
      <c r="K29" s="66">
        <f>COUNTIFS(人员状况!$D:$D,"*",人员状况!$E:$E,$B29,人员状况!$D:$D,K$7,人员状况!$G:$G,"&lt;="&amp;DATE(YEAR($C$4)-2,12,31),人员状况!$H:$H,"&gt;="&amp;DATE(YEAR($C$4)-2,12,31)+1)</f>
        <v>0</v>
      </c>
      <c r="L29" s="66">
        <f>COUNTIFS(人员状况!$D:$D,"*",人员状况!$E:$E,$B29,人员状况!$D:$D,L$7,人员状况!$G:$G,"&lt;="&amp;DATE(YEAR($C$4)-2,12,31),人员状况!$H:$H,"&gt;="&amp;DATE(YEAR($C$4)-2,12,31)+1)</f>
        <v>0</v>
      </c>
      <c r="M29" s="66">
        <f>COUNTIFS(人员状况!$D:$D,"*",人员状况!$E:$E,$B29,人员状况!$G:$G,"&lt;="&amp;DATE(YEAR($C$4)-1,12,31),人员状况!$H:$H,"&gt;="&amp;DATE(YEAR($C$4)-1,12,31)+1)</f>
        <v>7</v>
      </c>
      <c r="N29" s="66">
        <f>COUNTIFS(人员状况!$D:$D,"*",人员状况!$E:$E,$B29,人员状况!$D:$D,N$7,人员状况!$G:$G,"&lt;="&amp;DATE(YEAR($C$4)-1,12,31),人员状况!$H:$H,"&gt;="&amp;DATE(YEAR($C$4)-1,12,31)+1)</f>
        <v>4</v>
      </c>
      <c r="O29" s="66">
        <f>COUNTIFS(人员状况!$D:$D,"*",人员状况!$E:$E,$B29,人员状况!$D:$D,O$7,人员状况!$G:$G,"&lt;="&amp;DATE(YEAR($C$4)-1,12,31),人员状况!$H:$H,"&gt;="&amp;DATE(YEAR($C$4)-1,12,31)+1)</f>
        <v>2</v>
      </c>
      <c r="P29" s="66">
        <f>COUNTIFS(人员状况!$D:$D,"*",人员状况!$E:$E,$B29,人员状况!$D:$D,P$7,人员状况!$G:$G,"&lt;="&amp;DATE(YEAR($C$4)-1,12,31),人员状况!$H:$H,"&gt;="&amp;DATE(YEAR($C$4)-1,12,31)+1)</f>
        <v>1</v>
      </c>
      <c r="Q29" s="66">
        <f>COUNTIFS(人员状况!$D:$D,"*",人员状况!$E:$E,$B29,人员状况!$D:$D,Q$7,人员状况!$G:$G,"&lt;="&amp;DATE(YEAR($C$4)-1,12,31),人员状况!$H:$H,"&gt;="&amp;DATE(YEAR($C$4)-1,12,31)+1)</f>
        <v>0</v>
      </c>
      <c r="R29" s="66">
        <f>COUNTIFS(人员状况!$D:$D,"*",人员状况!$E:$E,$B29,人员状况!$D:$D,R$7,人员状况!$G:$G,"&lt;="&amp;DATE(YEAR($C$4)-1,12,31),人员状况!$H:$H,"&gt;="&amp;DATE(YEAR($C$4)-1,12,31)+1)</f>
        <v>0</v>
      </c>
      <c r="S29" s="66">
        <f>COUNTIFS(人员状况!$D:$D,"*",人员状况!$E:$E,$B29,人员状况!$D:$D,S$7,人员状况!$G:$G,"&lt;="&amp;DATE(YEAR($C$4)-1,12,31),人员状况!$H:$H,"&gt;="&amp;DATE(YEAR($C$4)-1,12,31)+1)</f>
        <v>0</v>
      </c>
      <c r="T29" s="66">
        <f>COUNTIFS(人员状况!$D:$D,"*",人员状况!$E:$E,$B29,人员状况!$D:$D,T$7,人员状况!$G:$G,"&lt;="&amp;DATE(YEAR($C$4)-1,12,31),人员状况!$H:$H,"&gt;="&amp;DATE(YEAR($C$4)-1,12,31)+1)</f>
        <v>0</v>
      </c>
      <c r="U29" s="66">
        <f>COUNTIFS(人员状况!$D:$D,"*",人员状况!$E:$E,$B29,人员状况!$D:$D,U$7,人员状况!$G:$G,"&lt;="&amp;DATE(YEAR($C$4)-1,12,31),人员状况!$H:$H,"&gt;="&amp;DATE(YEAR($C$4)-1,12,31)+1)</f>
        <v>0</v>
      </c>
      <c r="V29" s="66">
        <f>COUNTIFS(人员状况!$D:$D,"*",人员状况!$E:$E,$B29,人员状况!$D:$D,V$7,人员状况!$G:$G,"&lt;="&amp;DATE(YEAR($C$4)-1,12,31),人员状况!$H:$H,"&gt;="&amp;DATE(YEAR($C$4)-1,12,31)+1)</f>
        <v>0</v>
      </c>
      <c r="W29" s="66">
        <f>COUNTIFS(人员状况!$D:$D,"*",人员状况!$E:$E,$B29,人员状况!$G:$G,"&lt;="&amp;EOMONTH(DATE(YEAR($C$4)-1,MONTH($C$4),1),0),人员状况!$H:$H,"&gt;="&amp;EOMONTH(DATE(YEAR($C$4)-1,MONTH($C$4),1),0)+1)</f>
        <v>8</v>
      </c>
      <c r="X29" s="66">
        <f>COUNTIFS(人员状况!$D:$D,X$7,人员状况!$E:$E,$B29,人员状况!$G:$G,"&lt;="&amp;EOMONTH(DATE(YEAR($C$4)-1,MONTH($C$4),1),0),人员状况!$H:$H,"&gt;="&amp;EOMONTH(DATE(YEAR($C$4)-1,MONTH($C$4),1),0)+1)</f>
        <v>4</v>
      </c>
      <c r="Y29" s="66">
        <f>COUNTIFS(人员状况!$D:$D,Y$7,人员状况!$E:$E,$B29,人员状况!$G:$G,"&lt;="&amp;EOMONTH(DATE(YEAR($C$4)-1,MONTH($C$4),1),0),人员状况!$H:$H,"&gt;="&amp;EOMONTH(DATE(YEAR($C$4)-1,MONTH($C$4),1),0)+1)</f>
        <v>3</v>
      </c>
      <c r="Z29" s="66">
        <f>COUNTIFS(人员状况!$D:$D,Z$7,人员状况!$E:$E,$B29,人员状况!$G:$G,"&lt;="&amp;EOMONTH(DATE(YEAR($C$4)-1,MONTH($C$4),1),0),人员状况!$H:$H,"&gt;="&amp;EOMONTH(DATE(YEAR($C$4)-1,MONTH($C$4),1),0)+1)</f>
        <v>1</v>
      </c>
      <c r="AA29" s="66">
        <f>COUNTIFS(人员状况!$D:$D,AA$7,人员状况!$E:$E,$B29,人员状况!$G:$G,"&lt;="&amp;EOMONTH(DATE(YEAR($C$4)-1,MONTH($C$4),1),0),人员状况!$H:$H,"&gt;="&amp;EOMONTH(DATE(YEAR($C$4)-1,MONTH($C$4),1),0)+1)</f>
        <v>0</v>
      </c>
      <c r="AB29" s="66">
        <f>COUNTIFS(人员状况!$D:$D,AB$7,人员状况!$E:$E,$B29,人员状况!$G:$G,"&lt;="&amp;EOMONTH(DATE(YEAR($C$4)-1,MONTH($C$4),1),0),人员状况!$H:$H,"&gt;="&amp;EOMONTH(DATE(YEAR($C$4)-1,MONTH($C$4),1),0)+1)</f>
        <v>0</v>
      </c>
      <c r="AC29" s="66">
        <f>COUNTIFS(人员状况!$D:$D,AC$7,人员状况!$E:$E,$B29,人员状况!$G:$G,"&lt;="&amp;EOMONTH(DATE(YEAR($C$4)-1,MONTH($C$4),1),0),人员状况!$H:$H,"&gt;="&amp;EOMONTH(DATE(YEAR($C$4)-1,MONTH($C$4),1),0)+1)</f>
        <v>0</v>
      </c>
      <c r="AD29" s="66">
        <f>COUNTIFS(人员状况!$D:$D,AD$7,人员状况!$E:$E,$B29,人员状况!$G:$G,"&lt;="&amp;EOMONTH(DATE(YEAR($C$4)-1,MONTH($C$4),1),0),人员状况!$H:$H,"&gt;="&amp;EOMONTH(DATE(YEAR($C$4)-1,MONTH($C$4),1),0)+1)</f>
        <v>0</v>
      </c>
      <c r="AE29" s="66">
        <f>COUNTIFS(人员状况!$D:$D,AE$7,人员状况!$E:$E,$B29,人员状况!$G:$G,"&lt;="&amp;EOMONTH(DATE(YEAR($C$4)-1,MONTH($C$4),1),0),人员状况!$H:$H,"&gt;="&amp;EOMONTH(DATE(YEAR($C$4)-1,MONTH($C$4),1),0)+1)</f>
        <v>0</v>
      </c>
      <c r="AF29" s="66">
        <f>COUNTIFS(人员状况!$D:$D,AF$7,人员状况!$E:$E,$B29,人员状况!$G:$G,"&lt;="&amp;EOMONTH(DATE(YEAR($C$4)-1,MONTH($C$4),1),0),人员状况!$H:$H,"&gt;="&amp;EOMONTH(DATE(YEAR($C$4)-1,MONTH($C$4),1),0)+1)</f>
        <v>0</v>
      </c>
      <c r="AG29" s="66">
        <f>W29+SUMIFS(预计变动!$F:$F,预计变动!$C:$C,$B29,预计变动!$I:$I,"&gt;"&amp;EOMONTH(DATE(YEAR($C$4),MONTH($C$4),1),0),预计变动!$I:$I,"&lt;="&amp;DATE(YEAR($C$4),12,31))</f>
        <v>8</v>
      </c>
      <c r="AH29" s="66">
        <f>X29+SUMIFS(预计变动!$F:$F,预计变动!$B:$B,AH$7,预计变动!$C:$C,$B29,预计变动!$I:$I,"&gt;"&amp;EOMONTH(DATE(YEAR($C$4),MONTH($C$4),1),0),预计变动!$I:$I,"&lt;="&amp;DATE(YEAR($C$4),12,31))</f>
        <v>4</v>
      </c>
      <c r="AI29" s="66">
        <f>Y29+SUMIFS(预计变动!$F:$F,预计变动!$B:$B,AI$7,预计变动!$C:$C,$B29,预计变动!$I:$I,"&gt;"&amp;EOMONTH(DATE(YEAR($C$4),MONTH($C$4),1),0),预计变动!$I:$I,"&lt;="&amp;DATE(YEAR($C$4),12,31))</f>
        <v>3</v>
      </c>
      <c r="AJ29" s="66">
        <f>Z29+SUMIFS(预计变动!$F:$F,预计变动!$B:$B,AJ$7,预计变动!$C:$C,$B29,预计变动!$I:$I,"&gt;"&amp;EOMONTH(DATE(YEAR($C$4),MONTH($C$4),1),0),预计变动!$I:$I,"&lt;="&amp;DATE(YEAR($C$4),12,31))</f>
        <v>1</v>
      </c>
      <c r="AK29" s="66">
        <f>AA29+SUMIFS(预计变动!$F:$F,预计变动!$B:$B,AK$7,预计变动!$C:$C,$B29,预计变动!$I:$I,"&gt;"&amp;EOMONTH(DATE(YEAR($C$4),MONTH($C$4),1),0),预计变动!$I:$I,"&lt;="&amp;DATE(YEAR($C$4),12,31))</f>
        <v>0</v>
      </c>
      <c r="AL29" s="66">
        <f>AB29+SUMIFS(预计变动!$F:$F,预计变动!$B:$B,AL$7,预计变动!$C:$C,$B29,预计变动!$I:$I,"&gt;"&amp;EOMONTH(DATE(YEAR($C$4),MONTH($C$4),1),0),预计变动!$I:$I,"&lt;="&amp;DATE(YEAR($C$4),12,31))</f>
        <v>0</v>
      </c>
      <c r="AM29" s="66">
        <f>AC29+SUMIFS(预计变动!$F:$F,预计变动!$B:$B,AM$7,预计变动!$C:$C,$B29,预计变动!$I:$I,"&gt;"&amp;EOMONTH(DATE(YEAR($C$4),MONTH($C$4),1),0),预计变动!$I:$I,"&lt;="&amp;DATE(YEAR($C$4),12,31))</f>
        <v>0</v>
      </c>
      <c r="AN29" s="66">
        <f>AD29+SUMIFS(预计变动!$F:$F,预计变动!$B:$B,AN$7,预计变动!$C:$C,$B29,预计变动!$I:$I,"&gt;"&amp;EOMONTH(DATE(YEAR($C$4),MONTH($C$4),1),0),预计变动!$I:$I,"&lt;="&amp;DATE(YEAR($C$4),12,31))</f>
        <v>0</v>
      </c>
      <c r="AO29" s="66">
        <f>AE29+SUMIFS(预计变动!$F:$F,预计变动!$B:$B,AO$7,预计变动!$C:$C,$B29,预计变动!$I:$I,"&gt;"&amp;EOMONTH(DATE(YEAR($C$4),MONTH($C$4),1),0),预计变动!$I:$I,"&lt;="&amp;DATE(YEAR($C$4),12,31))</f>
        <v>0</v>
      </c>
      <c r="AP29" s="66">
        <f>AF29+SUMIFS(预计变动!$F:$F,预计变动!$B:$B,AP$7,预计变动!$C:$C,$B29,预计变动!$I:$I,"&gt;"&amp;EOMONTH(DATE(YEAR($C$4),MONTH($C$4),1),0),预计变动!$I:$I,"&lt;="&amp;DATE(YEAR($C$4),12,31))</f>
        <v>0</v>
      </c>
      <c r="AQ29" s="66">
        <f>AG29+SUMIFS(预计变动!$F:$F,预计变动!$C:$C,$B29,预计变动!$I:$I,"&gt;="&amp;DATE(YEAR($C$4)+1,1,1),预计变动!$I:$I,"&lt;="&amp;DATE(YEAR($C$4)+1,12,31))</f>
        <v>8</v>
      </c>
      <c r="AR29" s="66">
        <f>AH29+SUMIFS(预计变动!$F:$F,预计变动!$B:$B,AR$7,预计变动!$C:$C,$B29,预计变动!$I:$I,"&gt;="&amp;DATE(YEAR($C$4)+1,1,1),预计变动!$I:$I,"&lt;="&amp;DATE(YEAR($C$4)+1,12,31))</f>
        <v>4</v>
      </c>
      <c r="AS29" s="66">
        <f>AI29+SUMIFS(预计变动!$F:$F,预计变动!$B:$B,AS$7,预计变动!$C:$C,$B29,预计变动!$I:$I,"&gt;="&amp;DATE(YEAR($C$4)+1,1,1),预计变动!$I:$I,"&lt;="&amp;DATE(YEAR($C$4)+1,12,31))</f>
        <v>3</v>
      </c>
      <c r="AT29" s="66">
        <f>AJ29+SUMIFS(预计变动!$F:$F,预计变动!$B:$B,AT$7,预计变动!$C:$C,$B29,预计变动!$I:$I,"&gt;="&amp;DATE(YEAR($C$4)+1,1,1),预计变动!$I:$I,"&lt;="&amp;DATE(YEAR($C$4)+1,12,31))</f>
        <v>1</v>
      </c>
      <c r="AU29" s="66">
        <f>AK29+SUMIFS(预计变动!$F:$F,预计变动!$B:$B,AU$7,预计变动!$C:$C,$B29,预计变动!$I:$I,"&gt;="&amp;DATE(YEAR($C$4)+1,1,1),预计变动!$I:$I,"&lt;="&amp;DATE(YEAR($C$4)+1,12,31))</f>
        <v>0</v>
      </c>
      <c r="AV29" s="66">
        <f>AL29+SUMIFS(预计变动!$F:$F,预计变动!$B:$B,AV$7,预计变动!$C:$C,$B29,预计变动!$I:$I,"&gt;="&amp;DATE(YEAR($C$4)+1,1,1),预计变动!$I:$I,"&lt;="&amp;DATE(YEAR($C$4)+1,12,31))</f>
        <v>0</v>
      </c>
      <c r="AW29" s="66">
        <f>AM29+SUMIFS(预计变动!$F:$F,预计变动!$B:$B,AW$7,预计变动!$C:$C,$B29,预计变动!$I:$I,"&gt;="&amp;DATE(YEAR($C$4)+1,1,1),预计变动!$I:$I,"&lt;="&amp;DATE(YEAR($C$4)+1,12,31))</f>
        <v>0</v>
      </c>
      <c r="AX29" s="66">
        <f>AN29+SUMIFS(预计变动!$F:$F,预计变动!$B:$B,AX$7,预计变动!$C:$C,$B29,预计变动!$I:$I,"&gt;="&amp;DATE(YEAR($C$4)+1,1,1),预计变动!$I:$I,"&lt;="&amp;DATE(YEAR($C$4)+1,12,31))</f>
        <v>0</v>
      </c>
      <c r="AY29" s="66">
        <f>AO29+SUMIFS(预计变动!$F:$F,预计变动!$B:$B,AY$7,预计变动!$C:$C,$B29,预计变动!$I:$I,"&gt;="&amp;DATE(YEAR($C$4)+1,1,1),预计变动!$I:$I,"&lt;="&amp;DATE(YEAR($C$4)+1,12,31))</f>
        <v>0</v>
      </c>
      <c r="AZ29" s="66">
        <f>AP29+SUMIFS(预计变动!$F:$F,预计变动!$B:$B,AZ$7,预计变动!$C:$C,$B29,预计变动!$I:$I,"&gt;="&amp;DATE(YEAR($C$4)+1,1,1),预计变动!$I:$I,"&lt;="&amp;DATE(YEAR($C$4)+1,12,31))</f>
        <v>0</v>
      </c>
    </row>
    <row r="30" spans="2:52">
      <c r="B30" s="65" t="s">
        <v>156</v>
      </c>
      <c r="C30" s="66">
        <f>COUNTIFS(人员状况!$D:$D,"*",人员状况!$E:$E,$B30,人员状况!$G:$G,"&lt;="&amp;DATE(YEAR($C$4)-2,12,31),人员状况!$H:$H,"&gt;="&amp;DATE(YEAR($C$4)-2,12,31)+1)</f>
        <v>3</v>
      </c>
      <c r="D30" s="66">
        <f>COUNTIFS(人员状况!$D:$D,"*",人员状况!$E:$E,$B30,人员状况!$D:$D,D$7,人员状况!$G:$G,"&lt;="&amp;DATE(YEAR($C$4)-2,12,31),人员状况!$H:$H,"&gt;="&amp;DATE(YEAR($C$4)-2,12,31)+1)</f>
        <v>0</v>
      </c>
      <c r="E30" s="66">
        <f>COUNTIFS(人员状况!$D:$D,"*",人员状况!$E:$E,$B30,人员状况!$D:$D,E$7,人员状况!$G:$G,"&lt;="&amp;DATE(YEAR($C$4)-2,12,31),人员状况!$H:$H,"&gt;="&amp;DATE(YEAR($C$4)-2,12,31)+1)</f>
        <v>3</v>
      </c>
      <c r="F30" s="66">
        <f>COUNTIFS(人员状况!$D:$D,"*",人员状况!$E:$E,$B30,人员状况!$D:$D,F$7,人员状况!$G:$G,"&lt;="&amp;DATE(YEAR($C$4)-2,12,31),人员状况!$H:$H,"&gt;="&amp;DATE(YEAR($C$4)-2,12,31)+1)</f>
        <v>0</v>
      </c>
      <c r="G30" s="66">
        <f>COUNTIFS(人员状况!$D:$D,"*",人员状况!$E:$E,$B30,人员状况!$D:$D,G$7,人员状况!$G:$G,"&lt;="&amp;DATE(YEAR($C$4)-2,12,31),人员状况!$H:$H,"&gt;="&amp;DATE(YEAR($C$4)-2,12,31)+1)</f>
        <v>0</v>
      </c>
      <c r="H30" s="66">
        <f>COUNTIFS(人员状况!$D:$D,"*",人员状况!$E:$E,$B30,人员状况!$D:$D,H$7,人员状况!$G:$G,"&lt;="&amp;DATE(YEAR($C$4)-2,12,31),人员状况!$H:$H,"&gt;="&amp;DATE(YEAR($C$4)-2,12,31)+1)</f>
        <v>0</v>
      </c>
      <c r="I30" s="66">
        <f>COUNTIFS(人员状况!$D:$D,"*",人员状况!$E:$E,$B30,人员状况!$D:$D,I$7,人员状况!$G:$G,"&lt;="&amp;DATE(YEAR($C$4)-2,12,31),人员状况!$H:$H,"&gt;="&amp;DATE(YEAR($C$4)-2,12,31)+1)</f>
        <v>0</v>
      </c>
      <c r="J30" s="66">
        <f>COUNTIFS(人员状况!$D:$D,"*",人员状况!$E:$E,$B30,人员状况!$D:$D,J$7,人员状况!$G:$G,"&lt;="&amp;DATE(YEAR($C$4)-2,12,31),人员状况!$H:$H,"&gt;="&amp;DATE(YEAR($C$4)-2,12,31)+1)</f>
        <v>0</v>
      </c>
      <c r="K30" s="66">
        <f>COUNTIFS(人员状况!$D:$D,"*",人员状况!$E:$E,$B30,人员状况!$D:$D,K$7,人员状况!$G:$G,"&lt;="&amp;DATE(YEAR($C$4)-2,12,31),人员状况!$H:$H,"&gt;="&amp;DATE(YEAR($C$4)-2,12,31)+1)</f>
        <v>0</v>
      </c>
      <c r="L30" s="66">
        <f>COUNTIFS(人员状况!$D:$D,"*",人员状况!$E:$E,$B30,人员状况!$D:$D,L$7,人员状况!$G:$G,"&lt;="&amp;DATE(YEAR($C$4)-2,12,31),人员状况!$H:$H,"&gt;="&amp;DATE(YEAR($C$4)-2,12,31)+1)</f>
        <v>0</v>
      </c>
      <c r="M30" s="66">
        <f>COUNTIFS(人员状况!$D:$D,"*",人员状况!$E:$E,$B30,人员状况!$G:$G,"&lt;="&amp;DATE(YEAR($C$4)-1,12,31),人员状况!$H:$H,"&gt;="&amp;DATE(YEAR($C$4)-1,12,31)+1)</f>
        <v>3</v>
      </c>
      <c r="N30" s="66">
        <f>COUNTIFS(人员状况!$D:$D,"*",人员状况!$E:$E,$B30,人员状况!$D:$D,N$7,人员状况!$G:$G,"&lt;="&amp;DATE(YEAR($C$4)-1,12,31),人员状况!$H:$H,"&gt;="&amp;DATE(YEAR($C$4)-1,12,31)+1)</f>
        <v>0</v>
      </c>
      <c r="O30" s="66">
        <f>COUNTIFS(人员状况!$D:$D,"*",人员状况!$E:$E,$B30,人员状况!$D:$D,O$7,人员状况!$G:$G,"&lt;="&amp;DATE(YEAR($C$4)-1,12,31),人员状况!$H:$H,"&gt;="&amp;DATE(YEAR($C$4)-1,12,31)+1)</f>
        <v>3</v>
      </c>
      <c r="P30" s="66">
        <f>COUNTIFS(人员状况!$D:$D,"*",人员状况!$E:$E,$B30,人员状况!$D:$D,P$7,人员状况!$G:$G,"&lt;="&amp;DATE(YEAR($C$4)-1,12,31),人员状况!$H:$H,"&gt;="&amp;DATE(YEAR($C$4)-1,12,31)+1)</f>
        <v>0</v>
      </c>
      <c r="Q30" s="66">
        <f>COUNTIFS(人员状况!$D:$D,"*",人员状况!$E:$E,$B30,人员状况!$D:$D,Q$7,人员状况!$G:$G,"&lt;="&amp;DATE(YEAR($C$4)-1,12,31),人员状况!$H:$H,"&gt;="&amp;DATE(YEAR($C$4)-1,12,31)+1)</f>
        <v>0</v>
      </c>
      <c r="R30" s="66">
        <f>COUNTIFS(人员状况!$D:$D,"*",人员状况!$E:$E,$B30,人员状况!$D:$D,R$7,人员状况!$G:$G,"&lt;="&amp;DATE(YEAR($C$4)-1,12,31),人员状况!$H:$H,"&gt;="&amp;DATE(YEAR($C$4)-1,12,31)+1)</f>
        <v>0</v>
      </c>
      <c r="S30" s="66">
        <f>COUNTIFS(人员状况!$D:$D,"*",人员状况!$E:$E,$B30,人员状况!$D:$D,S$7,人员状况!$G:$G,"&lt;="&amp;DATE(YEAR($C$4)-1,12,31),人员状况!$H:$H,"&gt;="&amp;DATE(YEAR($C$4)-1,12,31)+1)</f>
        <v>0</v>
      </c>
      <c r="T30" s="66">
        <f>COUNTIFS(人员状况!$D:$D,"*",人员状况!$E:$E,$B30,人员状况!$D:$D,T$7,人员状况!$G:$G,"&lt;="&amp;DATE(YEAR($C$4)-1,12,31),人员状况!$H:$H,"&gt;="&amp;DATE(YEAR($C$4)-1,12,31)+1)</f>
        <v>0</v>
      </c>
      <c r="U30" s="66">
        <f>COUNTIFS(人员状况!$D:$D,"*",人员状况!$E:$E,$B30,人员状况!$D:$D,U$7,人员状况!$G:$G,"&lt;="&amp;DATE(YEAR($C$4)-1,12,31),人员状况!$H:$H,"&gt;="&amp;DATE(YEAR($C$4)-1,12,31)+1)</f>
        <v>0</v>
      </c>
      <c r="V30" s="66">
        <f>COUNTIFS(人员状况!$D:$D,"*",人员状况!$E:$E,$B30,人员状况!$D:$D,V$7,人员状况!$G:$G,"&lt;="&amp;DATE(YEAR($C$4)-1,12,31),人员状况!$H:$H,"&gt;="&amp;DATE(YEAR($C$4)-1,12,31)+1)</f>
        <v>0</v>
      </c>
      <c r="W30" s="66">
        <f>COUNTIFS(人员状况!$D:$D,"*",人员状况!$E:$E,$B30,人员状况!$G:$G,"&lt;="&amp;EOMONTH(DATE(YEAR($C$4)-1,MONTH($C$4),1),0),人员状况!$H:$H,"&gt;="&amp;EOMONTH(DATE(YEAR($C$4)-1,MONTH($C$4),1),0)+1)</f>
        <v>3</v>
      </c>
      <c r="X30" s="66">
        <f>COUNTIFS(人员状况!$D:$D,X$7,人员状况!$E:$E,$B30,人员状况!$G:$G,"&lt;="&amp;EOMONTH(DATE(YEAR($C$4)-1,MONTH($C$4),1),0),人员状况!$H:$H,"&gt;="&amp;EOMONTH(DATE(YEAR($C$4)-1,MONTH($C$4),1),0)+1)</f>
        <v>0</v>
      </c>
      <c r="Y30" s="66">
        <f>COUNTIFS(人员状况!$D:$D,Y$7,人员状况!$E:$E,$B30,人员状况!$G:$G,"&lt;="&amp;EOMONTH(DATE(YEAR($C$4)-1,MONTH($C$4),1),0),人员状况!$H:$H,"&gt;="&amp;EOMONTH(DATE(YEAR($C$4)-1,MONTH($C$4),1),0)+1)</f>
        <v>3</v>
      </c>
      <c r="Z30" s="66">
        <f>COUNTIFS(人员状况!$D:$D,Z$7,人员状况!$E:$E,$B30,人员状况!$G:$G,"&lt;="&amp;EOMONTH(DATE(YEAR($C$4)-1,MONTH($C$4),1),0),人员状况!$H:$H,"&gt;="&amp;EOMONTH(DATE(YEAR($C$4)-1,MONTH($C$4),1),0)+1)</f>
        <v>0</v>
      </c>
      <c r="AA30" s="66">
        <f>COUNTIFS(人员状况!$D:$D,AA$7,人员状况!$E:$E,$B30,人员状况!$G:$G,"&lt;="&amp;EOMONTH(DATE(YEAR($C$4)-1,MONTH($C$4),1),0),人员状况!$H:$H,"&gt;="&amp;EOMONTH(DATE(YEAR($C$4)-1,MONTH($C$4),1),0)+1)</f>
        <v>0</v>
      </c>
      <c r="AB30" s="66">
        <f>COUNTIFS(人员状况!$D:$D,AB$7,人员状况!$E:$E,$B30,人员状况!$G:$G,"&lt;="&amp;EOMONTH(DATE(YEAR($C$4)-1,MONTH($C$4),1),0),人员状况!$H:$H,"&gt;="&amp;EOMONTH(DATE(YEAR($C$4)-1,MONTH($C$4),1),0)+1)</f>
        <v>0</v>
      </c>
      <c r="AC30" s="66">
        <f>COUNTIFS(人员状况!$D:$D,AC$7,人员状况!$E:$E,$B30,人员状况!$G:$G,"&lt;="&amp;EOMONTH(DATE(YEAR($C$4)-1,MONTH($C$4),1),0),人员状况!$H:$H,"&gt;="&amp;EOMONTH(DATE(YEAR($C$4)-1,MONTH($C$4),1),0)+1)</f>
        <v>0</v>
      </c>
      <c r="AD30" s="66">
        <f>COUNTIFS(人员状况!$D:$D,AD$7,人员状况!$E:$E,$B30,人员状况!$G:$G,"&lt;="&amp;EOMONTH(DATE(YEAR($C$4)-1,MONTH($C$4),1),0),人员状况!$H:$H,"&gt;="&amp;EOMONTH(DATE(YEAR($C$4)-1,MONTH($C$4),1),0)+1)</f>
        <v>0</v>
      </c>
      <c r="AE30" s="66">
        <f>COUNTIFS(人员状况!$D:$D,AE$7,人员状况!$E:$E,$B30,人员状况!$G:$G,"&lt;="&amp;EOMONTH(DATE(YEAR($C$4)-1,MONTH($C$4),1),0),人员状况!$H:$H,"&gt;="&amp;EOMONTH(DATE(YEAR($C$4)-1,MONTH($C$4),1),0)+1)</f>
        <v>0</v>
      </c>
      <c r="AF30" s="66">
        <f>COUNTIFS(人员状况!$D:$D,AF$7,人员状况!$E:$E,$B30,人员状况!$G:$G,"&lt;="&amp;EOMONTH(DATE(YEAR($C$4)-1,MONTH($C$4),1),0),人员状况!$H:$H,"&gt;="&amp;EOMONTH(DATE(YEAR($C$4)-1,MONTH($C$4),1),0)+1)</f>
        <v>0</v>
      </c>
      <c r="AG30" s="66">
        <f>W30+SUMIFS(预计变动!$F:$F,预计变动!$C:$C,$B30,预计变动!$I:$I,"&gt;"&amp;EOMONTH(DATE(YEAR($C$4),MONTH($C$4),1),0),预计变动!$I:$I,"&lt;="&amp;DATE(YEAR($C$4),12,31))</f>
        <v>4</v>
      </c>
      <c r="AH30" s="66">
        <f>X30+SUMIFS(预计变动!$F:$F,预计变动!$B:$B,AH$7,预计变动!$C:$C,$B30,预计变动!$I:$I,"&gt;"&amp;EOMONTH(DATE(YEAR($C$4),MONTH($C$4),1),0),预计变动!$I:$I,"&lt;="&amp;DATE(YEAR($C$4),12,31))</f>
        <v>0</v>
      </c>
      <c r="AI30" s="66">
        <f>Y30+SUMIFS(预计变动!$F:$F,预计变动!$B:$B,AI$7,预计变动!$C:$C,$B30,预计变动!$I:$I,"&gt;"&amp;EOMONTH(DATE(YEAR($C$4),MONTH($C$4),1),0),预计变动!$I:$I,"&lt;="&amp;DATE(YEAR($C$4),12,31))</f>
        <v>4</v>
      </c>
      <c r="AJ30" s="66">
        <f>Z30+SUMIFS(预计变动!$F:$F,预计变动!$B:$B,AJ$7,预计变动!$C:$C,$B30,预计变动!$I:$I,"&gt;"&amp;EOMONTH(DATE(YEAR($C$4),MONTH($C$4),1),0),预计变动!$I:$I,"&lt;="&amp;DATE(YEAR($C$4),12,31))</f>
        <v>0</v>
      </c>
      <c r="AK30" s="66">
        <f>AA30+SUMIFS(预计变动!$F:$F,预计变动!$B:$B,AK$7,预计变动!$C:$C,$B30,预计变动!$I:$I,"&gt;"&amp;EOMONTH(DATE(YEAR($C$4),MONTH($C$4),1),0),预计变动!$I:$I,"&lt;="&amp;DATE(YEAR($C$4),12,31))</f>
        <v>0</v>
      </c>
      <c r="AL30" s="66">
        <f>AB30+SUMIFS(预计变动!$F:$F,预计变动!$B:$B,AL$7,预计变动!$C:$C,$B30,预计变动!$I:$I,"&gt;"&amp;EOMONTH(DATE(YEAR($C$4),MONTH($C$4),1),0),预计变动!$I:$I,"&lt;="&amp;DATE(YEAR($C$4),12,31))</f>
        <v>0</v>
      </c>
      <c r="AM30" s="66">
        <f>AC30+SUMIFS(预计变动!$F:$F,预计变动!$B:$B,AM$7,预计变动!$C:$C,$B30,预计变动!$I:$I,"&gt;"&amp;EOMONTH(DATE(YEAR($C$4),MONTH($C$4),1),0),预计变动!$I:$I,"&lt;="&amp;DATE(YEAR($C$4),12,31))</f>
        <v>0</v>
      </c>
      <c r="AN30" s="66">
        <f>AD30+SUMIFS(预计变动!$F:$F,预计变动!$B:$B,AN$7,预计变动!$C:$C,$B30,预计变动!$I:$I,"&gt;"&amp;EOMONTH(DATE(YEAR($C$4),MONTH($C$4),1),0),预计变动!$I:$I,"&lt;="&amp;DATE(YEAR($C$4),12,31))</f>
        <v>0</v>
      </c>
      <c r="AO30" s="66">
        <f>AE30+SUMIFS(预计变动!$F:$F,预计变动!$B:$B,AO$7,预计变动!$C:$C,$B30,预计变动!$I:$I,"&gt;"&amp;EOMONTH(DATE(YEAR($C$4),MONTH($C$4),1),0),预计变动!$I:$I,"&lt;="&amp;DATE(YEAR($C$4),12,31))</f>
        <v>0</v>
      </c>
      <c r="AP30" s="66">
        <f>AF30+SUMIFS(预计变动!$F:$F,预计变动!$B:$B,AP$7,预计变动!$C:$C,$B30,预计变动!$I:$I,"&gt;"&amp;EOMONTH(DATE(YEAR($C$4),MONTH($C$4),1),0),预计变动!$I:$I,"&lt;="&amp;DATE(YEAR($C$4),12,31))</f>
        <v>0</v>
      </c>
      <c r="AQ30" s="66">
        <f>AG30+SUMIFS(预计变动!$F:$F,预计变动!$C:$C,$B30,预计变动!$I:$I,"&gt;="&amp;DATE(YEAR($C$4)+1,1,1),预计变动!$I:$I,"&lt;="&amp;DATE(YEAR($C$4)+1,12,31))</f>
        <v>4</v>
      </c>
      <c r="AR30" s="66">
        <f>AH30+SUMIFS(预计变动!$F:$F,预计变动!$B:$B,AR$7,预计变动!$C:$C,$B30,预计变动!$I:$I,"&gt;="&amp;DATE(YEAR($C$4)+1,1,1),预计变动!$I:$I,"&lt;="&amp;DATE(YEAR($C$4)+1,12,31))</f>
        <v>0</v>
      </c>
      <c r="AS30" s="66">
        <f>AI30+SUMIFS(预计变动!$F:$F,预计变动!$B:$B,AS$7,预计变动!$C:$C,$B30,预计变动!$I:$I,"&gt;="&amp;DATE(YEAR($C$4)+1,1,1),预计变动!$I:$I,"&lt;="&amp;DATE(YEAR($C$4)+1,12,31))</f>
        <v>4</v>
      </c>
      <c r="AT30" s="66">
        <f>AJ30+SUMIFS(预计变动!$F:$F,预计变动!$B:$B,AT$7,预计变动!$C:$C,$B30,预计变动!$I:$I,"&gt;="&amp;DATE(YEAR($C$4)+1,1,1),预计变动!$I:$I,"&lt;="&amp;DATE(YEAR($C$4)+1,12,31))</f>
        <v>0</v>
      </c>
      <c r="AU30" s="66">
        <f>AK30+SUMIFS(预计变动!$F:$F,预计变动!$B:$B,AU$7,预计变动!$C:$C,$B30,预计变动!$I:$I,"&gt;="&amp;DATE(YEAR($C$4)+1,1,1),预计变动!$I:$I,"&lt;="&amp;DATE(YEAR($C$4)+1,12,31))</f>
        <v>0</v>
      </c>
      <c r="AV30" s="66">
        <f>AL30+SUMIFS(预计变动!$F:$F,预计变动!$B:$B,AV$7,预计变动!$C:$C,$B30,预计变动!$I:$I,"&gt;="&amp;DATE(YEAR($C$4)+1,1,1),预计变动!$I:$I,"&lt;="&amp;DATE(YEAR($C$4)+1,12,31))</f>
        <v>0</v>
      </c>
      <c r="AW30" s="66">
        <f>AM30+SUMIFS(预计变动!$F:$F,预计变动!$B:$B,AW$7,预计变动!$C:$C,$B30,预计变动!$I:$I,"&gt;="&amp;DATE(YEAR($C$4)+1,1,1),预计变动!$I:$I,"&lt;="&amp;DATE(YEAR($C$4)+1,12,31))</f>
        <v>0</v>
      </c>
      <c r="AX30" s="66">
        <f>AN30+SUMIFS(预计变动!$F:$F,预计变动!$B:$B,AX$7,预计变动!$C:$C,$B30,预计变动!$I:$I,"&gt;="&amp;DATE(YEAR($C$4)+1,1,1),预计变动!$I:$I,"&lt;="&amp;DATE(YEAR($C$4)+1,12,31))</f>
        <v>0</v>
      </c>
      <c r="AY30" s="66">
        <f>AO30+SUMIFS(预计变动!$F:$F,预计变动!$B:$B,AY$7,预计变动!$C:$C,$B30,预计变动!$I:$I,"&gt;="&amp;DATE(YEAR($C$4)+1,1,1),预计变动!$I:$I,"&lt;="&amp;DATE(YEAR($C$4)+1,12,31))</f>
        <v>0</v>
      </c>
      <c r="AZ30" s="66">
        <f>AP30+SUMIFS(预计变动!$F:$F,预计变动!$B:$B,AZ$7,预计变动!$C:$C,$B30,预计变动!$I:$I,"&gt;="&amp;DATE(YEAR($C$4)+1,1,1),预计变动!$I:$I,"&lt;="&amp;DATE(YEAR($C$4)+1,12,31))</f>
        <v>0</v>
      </c>
    </row>
    <row r="31" spans="2:52">
      <c r="B31" s="65" t="s">
        <v>160</v>
      </c>
      <c r="C31" s="66">
        <f>COUNTIFS(人员状况!$D:$D,"*",人员状况!$E:$E,$B31,人员状况!$G:$G,"&lt;="&amp;DATE(YEAR($C$4)-2,12,31),人员状况!$H:$H,"&gt;="&amp;DATE(YEAR($C$4)-2,12,31)+1)</f>
        <v>3</v>
      </c>
      <c r="D31" s="66">
        <f>COUNTIFS(人员状况!$D:$D,"*",人员状况!$E:$E,$B31,人员状况!$D:$D,D$7,人员状况!$G:$G,"&lt;="&amp;DATE(YEAR($C$4)-2,12,31),人员状况!$H:$H,"&gt;="&amp;DATE(YEAR($C$4)-2,12,31)+1)</f>
        <v>0</v>
      </c>
      <c r="E31" s="66">
        <f>COUNTIFS(人员状况!$D:$D,"*",人员状况!$E:$E,$B31,人员状况!$D:$D,E$7,人员状况!$G:$G,"&lt;="&amp;DATE(YEAR($C$4)-2,12,31),人员状况!$H:$H,"&gt;="&amp;DATE(YEAR($C$4)-2,12,31)+1)</f>
        <v>3</v>
      </c>
      <c r="F31" s="66">
        <f>COUNTIFS(人员状况!$D:$D,"*",人员状况!$E:$E,$B31,人员状况!$D:$D,F$7,人员状况!$G:$G,"&lt;="&amp;DATE(YEAR($C$4)-2,12,31),人员状况!$H:$H,"&gt;="&amp;DATE(YEAR($C$4)-2,12,31)+1)</f>
        <v>0</v>
      </c>
      <c r="G31" s="66">
        <f>COUNTIFS(人员状况!$D:$D,"*",人员状况!$E:$E,$B31,人员状况!$D:$D,G$7,人员状况!$G:$G,"&lt;="&amp;DATE(YEAR($C$4)-2,12,31),人员状况!$H:$H,"&gt;="&amp;DATE(YEAR($C$4)-2,12,31)+1)</f>
        <v>0</v>
      </c>
      <c r="H31" s="66">
        <f>COUNTIFS(人员状况!$D:$D,"*",人员状况!$E:$E,$B31,人员状况!$D:$D,H$7,人员状况!$G:$G,"&lt;="&amp;DATE(YEAR($C$4)-2,12,31),人员状况!$H:$H,"&gt;="&amp;DATE(YEAR($C$4)-2,12,31)+1)</f>
        <v>0</v>
      </c>
      <c r="I31" s="66">
        <f>COUNTIFS(人员状况!$D:$D,"*",人员状况!$E:$E,$B31,人员状况!$D:$D,I$7,人员状况!$G:$G,"&lt;="&amp;DATE(YEAR($C$4)-2,12,31),人员状况!$H:$H,"&gt;="&amp;DATE(YEAR($C$4)-2,12,31)+1)</f>
        <v>0</v>
      </c>
      <c r="J31" s="66">
        <f>COUNTIFS(人员状况!$D:$D,"*",人员状况!$E:$E,$B31,人员状况!$D:$D,J$7,人员状况!$G:$G,"&lt;="&amp;DATE(YEAR($C$4)-2,12,31),人员状况!$H:$H,"&gt;="&amp;DATE(YEAR($C$4)-2,12,31)+1)</f>
        <v>0</v>
      </c>
      <c r="K31" s="66">
        <f>COUNTIFS(人员状况!$D:$D,"*",人员状况!$E:$E,$B31,人员状况!$D:$D,K$7,人员状况!$G:$G,"&lt;="&amp;DATE(YEAR($C$4)-2,12,31),人员状况!$H:$H,"&gt;="&amp;DATE(YEAR($C$4)-2,12,31)+1)</f>
        <v>0</v>
      </c>
      <c r="L31" s="66">
        <f>COUNTIFS(人员状况!$D:$D,"*",人员状况!$E:$E,$B31,人员状况!$D:$D,L$7,人员状况!$G:$G,"&lt;="&amp;DATE(YEAR($C$4)-2,12,31),人员状况!$H:$H,"&gt;="&amp;DATE(YEAR($C$4)-2,12,31)+1)</f>
        <v>0</v>
      </c>
      <c r="M31" s="66">
        <f>COUNTIFS(人员状况!$D:$D,"*",人员状况!$E:$E,$B31,人员状况!$G:$G,"&lt;="&amp;DATE(YEAR($C$4)-1,12,31),人员状况!$H:$H,"&gt;="&amp;DATE(YEAR($C$4)-1,12,31)+1)</f>
        <v>3</v>
      </c>
      <c r="N31" s="66">
        <f>COUNTIFS(人员状况!$D:$D,"*",人员状况!$E:$E,$B31,人员状况!$D:$D,N$7,人员状况!$G:$G,"&lt;="&amp;DATE(YEAR($C$4)-1,12,31),人员状况!$H:$H,"&gt;="&amp;DATE(YEAR($C$4)-1,12,31)+1)</f>
        <v>0</v>
      </c>
      <c r="O31" s="66">
        <f>COUNTIFS(人员状况!$D:$D,"*",人员状况!$E:$E,$B31,人员状况!$D:$D,O$7,人员状况!$G:$G,"&lt;="&amp;DATE(YEAR($C$4)-1,12,31),人员状况!$H:$H,"&gt;="&amp;DATE(YEAR($C$4)-1,12,31)+1)</f>
        <v>3</v>
      </c>
      <c r="P31" s="66">
        <f>COUNTIFS(人员状况!$D:$D,"*",人员状况!$E:$E,$B31,人员状况!$D:$D,P$7,人员状况!$G:$G,"&lt;="&amp;DATE(YEAR($C$4)-1,12,31),人员状况!$H:$H,"&gt;="&amp;DATE(YEAR($C$4)-1,12,31)+1)</f>
        <v>0</v>
      </c>
      <c r="Q31" s="66">
        <f>COUNTIFS(人员状况!$D:$D,"*",人员状况!$E:$E,$B31,人员状况!$D:$D,Q$7,人员状况!$G:$G,"&lt;="&amp;DATE(YEAR($C$4)-1,12,31),人员状况!$H:$H,"&gt;="&amp;DATE(YEAR($C$4)-1,12,31)+1)</f>
        <v>0</v>
      </c>
      <c r="R31" s="66">
        <f>COUNTIFS(人员状况!$D:$D,"*",人员状况!$E:$E,$B31,人员状况!$D:$D,R$7,人员状况!$G:$G,"&lt;="&amp;DATE(YEAR($C$4)-1,12,31),人员状况!$H:$H,"&gt;="&amp;DATE(YEAR($C$4)-1,12,31)+1)</f>
        <v>0</v>
      </c>
      <c r="S31" s="66">
        <f>COUNTIFS(人员状况!$D:$D,"*",人员状况!$E:$E,$B31,人员状况!$D:$D,S$7,人员状况!$G:$G,"&lt;="&amp;DATE(YEAR($C$4)-1,12,31),人员状况!$H:$H,"&gt;="&amp;DATE(YEAR($C$4)-1,12,31)+1)</f>
        <v>0</v>
      </c>
      <c r="T31" s="66">
        <f>COUNTIFS(人员状况!$D:$D,"*",人员状况!$E:$E,$B31,人员状况!$D:$D,T$7,人员状况!$G:$G,"&lt;="&amp;DATE(YEAR($C$4)-1,12,31),人员状况!$H:$H,"&gt;="&amp;DATE(YEAR($C$4)-1,12,31)+1)</f>
        <v>0</v>
      </c>
      <c r="U31" s="66">
        <f>COUNTIFS(人员状况!$D:$D,"*",人员状况!$E:$E,$B31,人员状况!$D:$D,U$7,人员状况!$G:$G,"&lt;="&amp;DATE(YEAR($C$4)-1,12,31),人员状况!$H:$H,"&gt;="&amp;DATE(YEAR($C$4)-1,12,31)+1)</f>
        <v>0</v>
      </c>
      <c r="V31" s="66">
        <f>COUNTIFS(人员状况!$D:$D,"*",人员状况!$E:$E,$B31,人员状况!$D:$D,V$7,人员状况!$G:$G,"&lt;="&amp;DATE(YEAR($C$4)-1,12,31),人员状况!$H:$H,"&gt;="&amp;DATE(YEAR($C$4)-1,12,31)+1)</f>
        <v>0</v>
      </c>
      <c r="W31" s="66">
        <f>COUNTIFS(人员状况!$D:$D,"*",人员状况!$E:$E,$B31,人员状况!$G:$G,"&lt;="&amp;EOMONTH(DATE(YEAR($C$4)-1,MONTH($C$4),1),0),人员状况!$H:$H,"&gt;="&amp;EOMONTH(DATE(YEAR($C$4)-1,MONTH($C$4),1),0)+1)</f>
        <v>3</v>
      </c>
      <c r="X31" s="66">
        <f>COUNTIFS(人员状况!$D:$D,X$7,人员状况!$E:$E,$B31,人员状况!$G:$G,"&lt;="&amp;EOMONTH(DATE(YEAR($C$4)-1,MONTH($C$4),1),0),人员状况!$H:$H,"&gt;="&amp;EOMONTH(DATE(YEAR($C$4)-1,MONTH($C$4),1),0)+1)</f>
        <v>0</v>
      </c>
      <c r="Y31" s="66">
        <f>COUNTIFS(人员状况!$D:$D,Y$7,人员状况!$E:$E,$B31,人员状况!$G:$G,"&lt;="&amp;EOMONTH(DATE(YEAR($C$4)-1,MONTH($C$4),1),0),人员状况!$H:$H,"&gt;="&amp;EOMONTH(DATE(YEAR($C$4)-1,MONTH($C$4),1),0)+1)</f>
        <v>3</v>
      </c>
      <c r="Z31" s="66">
        <f>COUNTIFS(人员状况!$D:$D,Z$7,人员状况!$E:$E,$B31,人员状况!$G:$G,"&lt;="&amp;EOMONTH(DATE(YEAR($C$4)-1,MONTH($C$4),1),0),人员状况!$H:$H,"&gt;="&amp;EOMONTH(DATE(YEAR($C$4)-1,MONTH($C$4),1),0)+1)</f>
        <v>0</v>
      </c>
      <c r="AA31" s="66">
        <f>COUNTIFS(人员状况!$D:$D,AA$7,人员状况!$E:$E,$B31,人员状况!$G:$G,"&lt;="&amp;EOMONTH(DATE(YEAR($C$4)-1,MONTH($C$4),1),0),人员状况!$H:$H,"&gt;="&amp;EOMONTH(DATE(YEAR($C$4)-1,MONTH($C$4),1),0)+1)</f>
        <v>0</v>
      </c>
      <c r="AB31" s="66">
        <f>COUNTIFS(人员状况!$D:$D,AB$7,人员状况!$E:$E,$B31,人员状况!$G:$G,"&lt;="&amp;EOMONTH(DATE(YEAR($C$4)-1,MONTH($C$4),1),0),人员状况!$H:$H,"&gt;="&amp;EOMONTH(DATE(YEAR($C$4)-1,MONTH($C$4),1),0)+1)</f>
        <v>0</v>
      </c>
      <c r="AC31" s="66">
        <f>COUNTIFS(人员状况!$D:$D,AC$7,人员状况!$E:$E,$B31,人员状况!$G:$G,"&lt;="&amp;EOMONTH(DATE(YEAR($C$4)-1,MONTH($C$4),1),0),人员状况!$H:$H,"&gt;="&amp;EOMONTH(DATE(YEAR($C$4)-1,MONTH($C$4),1),0)+1)</f>
        <v>0</v>
      </c>
      <c r="AD31" s="66">
        <f>COUNTIFS(人员状况!$D:$D,AD$7,人员状况!$E:$E,$B31,人员状况!$G:$G,"&lt;="&amp;EOMONTH(DATE(YEAR($C$4)-1,MONTH($C$4),1),0),人员状况!$H:$H,"&gt;="&amp;EOMONTH(DATE(YEAR($C$4)-1,MONTH($C$4),1),0)+1)</f>
        <v>0</v>
      </c>
      <c r="AE31" s="66">
        <f>COUNTIFS(人员状况!$D:$D,AE$7,人员状况!$E:$E,$B31,人员状况!$G:$G,"&lt;="&amp;EOMONTH(DATE(YEAR($C$4)-1,MONTH($C$4),1),0),人员状况!$H:$H,"&gt;="&amp;EOMONTH(DATE(YEAR($C$4)-1,MONTH($C$4),1),0)+1)</f>
        <v>0</v>
      </c>
      <c r="AF31" s="66">
        <f>COUNTIFS(人员状况!$D:$D,AF$7,人员状况!$E:$E,$B31,人员状况!$G:$G,"&lt;="&amp;EOMONTH(DATE(YEAR($C$4)-1,MONTH($C$4),1),0),人员状况!$H:$H,"&gt;="&amp;EOMONTH(DATE(YEAR($C$4)-1,MONTH($C$4),1),0)+1)</f>
        <v>0</v>
      </c>
      <c r="AG31" s="66">
        <f>W31+SUMIFS(预计变动!$F:$F,预计变动!$C:$C,$B31,预计变动!$I:$I,"&gt;"&amp;EOMONTH(DATE(YEAR($C$4),MONTH($C$4),1),0),预计变动!$I:$I,"&lt;="&amp;DATE(YEAR($C$4),12,31))</f>
        <v>1</v>
      </c>
      <c r="AH31" s="66">
        <f>X31+SUMIFS(预计变动!$F:$F,预计变动!$B:$B,AH$7,预计变动!$C:$C,$B31,预计变动!$I:$I,"&gt;"&amp;EOMONTH(DATE(YEAR($C$4),MONTH($C$4),1),0),预计变动!$I:$I,"&lt;="&amp;DATE(YEAR($C$4),12,31))</f>
        <v>0</v>
      </c>
      <c r="AI31" s="66">
        <f>Y31+SUMIFS(预计变动!$F:$F,预计变动!$B:$B,AI$7,预计变动!$C:$C,$B31,预计变动!$I:$I,"&gt;"&amp;EOMONTH(DATE(YEAR($C$4),MONTH($C$4),1),0),预计变动!$I:$I,"&lt;="&amp;DATE(YEAR($C$4),12,31))</f>
        <v>1</v>
      </c>
      <c r="AJ31" s="66">
        <f>Z31+SUMIFS(预计变动!$F:$F,预计变动!$B:$B,AJ$7,预计变动!$C:$C,$B31,预计变动!$I:$I,"&gt;"&amp;EOMONTH(DATE(YEAR($C$4),MONTH($C$4),1),0),预计变动!$I:$I,"&lt;="&amp;DATE(YEAR($C$4),12,31))</f>
        <v>0</v>
      </c>
      <c r="AK31" s="66">
        <f>AA31+SUMIFS(预计变动!$F:$F,预计变动!$B:$B,AK$7,预计变动!$C:$C,$B31,预计变动!$I:$I,"&gt;"&amp;EOMONTH(DATE(YEAR($C$4),MONTH($C$4),1),0),预计变动!$I:$I,"&lt;="&amp;DATE(YEAR($C$4),12,31))</f>
        <v>0</v>
      </c>
      <c r="AL31" s="66">
        <f>AB31+SUMIFS(预计变动!$F:$F,预计变动!$B:$B,AL$7,预计变动!$C:$C,$B31,预计变动!$I:$I,"&gt;"&amp;EOMONTH(DATE(YEAR($C$4),MONTH($C$4),1),0),预计变动!$I:$I,"&lt;="&amp;DATE(YEAR($C$4),12,31))</f>
        <v>0</v>
      </c>
      <c r="AM31" s="66">
        <f>AC31+SUMIFS(预计变动!$F:$F,预计变动!$B:$B,AM$7,预计变动!$C:$C,$B31,预计变动!$I:$I,"&gt;"&amp;EOMONTH(DATE(YEAR($C$4),MONTH($C$4),1),0),预计变动!$I:$I,"&lt;="&amp;DATE(YEAR($C$4),12,31))</f>
        <v>0</v>
      </c>
      <c r="AN31" s="66">
        <f>AD31+SUMIFS(预计变动!$F:$F,预计变动!$B:$B,AN$7,预计变动!$C:$C,$B31,预计变动!$I:$I,"&gt;"&amp;EOMONTH(DATE(YEAR($C$4),MONTH($C$4),1),0),预计变动!$I:$I,"&lt;="&amp;DATE(YEAR($C$4),12,31))</f>
        <v>0</v>
      </c>
      <c r="AO31" s="66">
        <f>AE31+SUMIFS(预计变动!$F:$F,预计变动!$B:$B,AO$7,预计变动!$C:$C,$B31,预计变动!$I:$I,"&gt;"&amp;EOMONTH(DATE(YEAR($C$4),MONTH($C$4),1),0),预计变动!$I:$I,"&lt;="&amp;DATE(YEAR($C$4),12,31))</f>
        <v>0</v>
      </c>
      <c r="AP31" s="66">
        <f>AF31+SUMIFS(预计变动!$F:$F,预计变动!$B:$B,AP$7,预计变动!$C:$C,$B31,预计变动!$I:$I,"&gt;"&amp;EOMONTH(DATE(YEAR($C$4),MONTH($C$4),1),0),预计变动!$I:$I,"&lt;="&amp;DATE(YEAR($C$4),12,31))</f>
        <v>0</v>
      </c>
      <c r="AQ31" s="66">
        <f>AG31+SUMIFS(预计变动!$F:$F,预计变动!$C:$C,$B31,预计变动!$I:$I,"&gt;="&amp;DATE(YEAR($C$4)+1,1,1),预计变动!$I:$I,"&lt;="&amp;DATE(YEAR($C$4)+1,12,31))</f>
        <v>1</v>
      </c>
      <c r="AR31" s="66">
        <f>AH31+SUMIFS(预计变动!$F:$F,预计变动!$B:$B,AR$7,预计变动!$C:$C,$B31,预计变动!$I:$I,"&gt;="&amp;DATE(YEAR($C$4)+1,1,1),预计变动!$I:$I,"&lt;="&amp;DATE(YEAR($C$4)+1,12,31))</f>
        <v>0</v>
      </c>
      <c r="AS31" s="66">
        <f>AI31+SUMIFS(预计变动!$F:$F,预计变动!$B:$B,AS$7,预计变动!$C:$C,$B31,预计变动!$I:$I,"&gt;="&amp;DATE(YEAR($C$4)+1,1,1),预计变动!$I:$I,"&lt;="&amp;DATE(YEAR($C$4)+1,12,31))</f>
        <v>1</v>
      </c>
      <c r="AT31" s="66">
        <f>AJ31+SUMIFS(预计变动!$F:$F,预计变动!$B:$B,AT$7,预计变动!$C:$C,$B31,预计变动!$I:$I,"&gt;="&amp;DATE(YEAR($C$4)+1,1,1),预计变动!$I:$I,"&lt;="&amp;DATE(YEAR($C$4)+1,12,31))</f>
        <v>0</v>
      </c>
      <c r="AU31" s="66">
        <f>AK31+SUMIFS(预计变动!$F:$F,预计变动!$B:$B,AU$7,预计变动!$C:$C,$B31,预计变动!$I:$I,"&gt;="&amp;DATE(YEAR($C$4)+1,1,1),预计变动!$I:$I,"&lt;="&amp;DATE(YEAR($C$4)+1,12,31))</f>
        <v>0</v>
      </c>
      <c r="AV31" s="66">
        <f>AL31+SUMIFS(预计变动!$F:$F,预计变动!$B:$B,AV$7,预计变动!$C:$C,$B31,预计变动!$I:$I,"&gt;="&amp;DATE(YEAR($C$4)+1,1,1),预计变动!$I:$I,"&lt;="&amp;DATE(YEAR($C$4)+1,12,31))</f>
        <v>0</v>
      </c>
      <c r="AW31" s="66">
        <f>AM31+SUMIFS(预计变动!$F:$F,预计变动!$B:$B,AW$7,预计变动!$C:$C,$B31,预计变动!$I:$I,"&gt;="&amp;DATE(YEAR($C$4)+1,1,1),预计变动!$I:$I,"&lt;="&amp;DATE(YEAR($C$4)+1,12,31))</f>
        <v>0</v>
      </c>
      <c r="AX31" s="66">
        <f>AN31+SUMIFS(预计变动!$F:$F,预计变动!$B:$B,AX$7,预计变动!$C:$C,$B31,预计变动!$I:$I,"&gt;="&amp;DATE(YEAR($C$4)+1,1,1),预计变动!$I:$I,"&lt;="&amp;DATE(YEAR($C$4)+1,12,31))</f>
        <v>0</v>
      </c>
      <c r="AY31" s="66">
        <f>AO31+SUMIFS(预计变动!$F:$F,预计变动!$B:$B,AY$7,预计变动!$C:$C,$B31,预计变动!$I:$I,"&gt;="&amp;DATE(YEAR($C$4)+1,1,1),预计变动!$I:$I,"&lt;="&amp;DATE(YEAR($C$4)+1,12,31))</f>
        <v>0</v>
      </c>
      <c r="AZ31" s="66">
        <f>AP31+SUMIFS(预计变动!$F:$F,预计变动!$B:$B,AZ$7,预计变动!$C:$C,$B31,预计变动!$I:$I,"&gt;="&amp;DATE(YEAR($C$4)+1,1,1),预计变动!$I:$I,"&lt;="&amp;DATE(YEAR($C$4)+1,12,31))</f>
        <v>0</v>
      </c>
    </row>
    <row r="32" spans="2:52">
      <c r="B32" s="65" t="s">
        <v>176</v>
      </c>
      <c r="C32" s="66">
        <f>COUNTIFS(人员状况!$D:$D,"*",人员状况!$E:$E,$B32,人员状况!$G:$G,"&lt;="&amp;DATE(YEAR($C$4)-2,12,31),人员状况!$H:$H,"&gt;="&amp;DATE(YEAR($C$4)-2,12,31)+1)</f>
        <v>4</v>
      </c>
      <c r="D32" s="66">
        <f>COUNTIFS(人员状况!$D:$D,"*",人员状况!$E:$E,$B32,人员状况!$D:$D,D$7,人员状况!$G:$G,"&lt;="&amp;DATE(YEAR($C$4)-2,12,31),人员状况!$H:$H,"&gt;="&amp;DATE(YEAR($C$4)-2,12,31)+1)</f>
        <v>0</v>
      </c>
      <c r="E32" s="66">
        <f>COUNTIFS(人员状况!$D:$D,"*",人员状况!$E:$E,$B32,人员状况!$D:$D,E$7,人员状况!$G:$G,"&lt;="&amp;DATE(YEAR($C$4)-2,12,31),人员状况!$H:$H,"&gt;="&amp;DATE(YEAR($C$4)-2,12,31)+1)</f>
        <v>4</v>
      </c>
      <c r="F32" s="66">
        <f>COUNTIFS(人员状况!$D:$D,"*",人员状况!$E:$E,$B32,人员状况!$D:$D,F$7,人员状况!$G:$G,"&lt;="&amp;DATE(YEAR($C$4)-2,12,31),人员状况!$H:$H,"&gt;="&amp;DATE(YEAR($C$4)-2,12,31)+1)</f>
        <v>0</v>
      </c>
      <c r="G32" s="66">
        <f>COUNTIFS(人员状况!$D:$D,"*",人员状况!$E:$E,$B32,人员状况!$D:$D,G$7,人员状况!$G:$G,"&lt;="&amp;DATE(YEAR($C$4)-2,12,31),人员状况!$H:$H,"&gt;="&amp;DATE(YEAR($C$4)-2,12,31)+1)</f>
        <v>0</v>
      </c>
      <c r="H32" s="66">
        <f>COUNTIFS(人员状况!$D:$D,"*",人员状况!$E:$E,$B32,人员状况!$D:$D,H$7,人员状况!$G:$G,"&lt;="&amp;DATE(YEAR($C$4)-2,12,31),人员状况!$H:$H,"&gt;="&amp;DATE(YEAR($C$4)-2,12,31)+1)</f>
        <v>0</v>
      </c>
      <c r="I32" s="66">
        <f>COUNTIFS(人员状况!$D:$D,"*",人员状况!$E:$E,$B32,人员状况!$D:$D,I$7,人员状况!$G:$G,"&lt;="&amp;DATE(YEAR($C$4)-2,12,31),人员状况!$H:$H,"&gt;="&amp;DATE(YEAR($C$4)-2,12,31)+1)</f>
        <v>0</v>
      </c>
      <c r="J32" s="66">
        <f>COUNTIFS(人员状况!$D:$D,"*",人员状况!$E:$E,$B32,人员状况!$D:$D,J$7,人员状况!$G:$G,"&lt;="&amp;DATE(YEAR($C$4)-2,12,31),人员状况!$H:$H,"&gt;="&amp;DATE(YEAR($C$4)-2,12,31)+1)</f>
        <v>0</v>
      </c>
      <c r="K32" s="66">
        <f>COUNTIFS(人员状况!$D:$D,"*",人员状况!$E:$E,$B32,人员状况!$D:$D,K$7,人员状况!$G:$G,"&lt;="&amp;DATE(YEAR($C$4)-2,12,31),人员状况!$H:$H,"&gt;="&amp;DATE(YEAR($C$4)-2,12,31)+1)</f>
        <v>0</v>
      </c>
      <c r="L32" s="66">
        <f>COUNTIFS(人员状况!$D:$D,"*",人员状况!$E:$E,$B32,人员状况!$D:$D,L$7,人员状况!$G:$G,"&lt;="&amp;DATE(YEAR($C$4)-2,12,31),人员状况!$H:$H,"&gt;="&amp;DATE(YEAR($C$4)-2,12,31)+1)</f>
        <v>0</v>
      </c>
      <c r="M32" s="66">
        <f>COUNTIFS(人员状况!$D:$D,"*",人员状况!$E:$E,$B32,人员状况!$G:$G,"&lt;="&amp;DATE(YEAR($C$4)-1,12,31),人员状况!$H:$H,"&gt;="&amp;DATE(YEAR($C$4)-1,12,31)+1)</f>
        <v>4</v>
      </c>
      <c r="N32" s="66">
        <f>COUNTIFS(人员状况!$D:$D,"*",人员状况!$E:$E,$B32,人员状况!$D:$D,N$7,人员状况!$G:$G,"&lt;="&amp;DATE(YEAR($C$4)-1,12,31),人员状况!$H:$H,"&gt;="&amp;DATE(YEAR($C$4)-1,12,31)+1)</f>
        <v>0</v>
      </c>
      <c r="O32" s="66">
        <f>COUNTIFS(人员状况!$D:$D,"*",人员状况!$E:$E,$B32,人员状况!$D:$D,O$7,人员状况!$G:$G,"&lt;="&amp;DATE(YEAR($C$4)-1,12,31),人员状况!$H:$H,"&gt;="&amp;DATE(YEAR($C$4)-1,12,31)+1)</f>
        <v>4</v>
      </c>
      <c r="P32" s="66">
        <f>COUNTIFS(人员状况!$D:$D,"*",人员状况!$E:$E,$B32,人员状况!$D:$D,P$7,人员状况!$G:$G,"&lt;="&amp;DATE(YEAR($C$4)-1,12,31),人员状况!$H:$H,"&gt;="&amp;DATE(YEAR($C$4)-1,12,31)+1)</f>
        <v>0</v>
      </c>
      <c r="Q32" s="66">
        <f>COUNTIFS(人员状况!$D:$D,"*",人员状况!$E:$E,$B32,人员状况!$D:$D,Q$7,人员状况!$G:$G,"&lt;="&amp;DATE(YEAR($C$4)-1,12,31),人员状况!$H:$H,"&gt;="&amp;DATE(YEAR($C$4)-1,12,31)+1)</f>
        <v>0</v>
      </c>
      <c r="R32" s="66">
        <f>COUNTIFS(人员状况!$D:$D,"*",人员状况!$E:$E,$B32,人员状况!$D:$D,R$7,人员状况!$G:$G,"&lt;="&amp;DATE(YEAR($C$4)-1,12,31),人员状况!$H:$H,"&gt;="&amp;DATE(YEAR($C$4)-1,12,31)+1)</f>
        <v>0</v>
      </c>
      <c r="S32" s="66">
        <f>COUNTIFS(人员状况!$D:$D,"*",人员状况!$E:$E,$B32,人员状况!$D:$D,S$7,人员状况!$G:$G,"&lt;="&amp;DATE(YEAR($C$4)-1,12,31),人员状况!$H:$H,"&gt;="&amp;DATE(YEAR($C$4)-1,12,31)+1)</f>
        <v>0</v>
      </c>
      <c r="T32" s="66">
        <f>COUNTIFS(人员状况!$D:$D,"*",人员状况!$E:$E,$B32,人员状况!$D:$D,T$7,人员状况!$G:$G,"&lt;="&amp;DATE(YEAR($C$4)-1,12,31),人员状况!$H:$H,"&gt;="&amp;DATE(YEAR($C$4)-1,12,31)+1)</f>
        <v>0</v>
      </c>
      <c r="U32" s="66">
        <f>COUNTIFS(人员状况!$D:$D,"*",人员状况!$E:$E,$B32,人员状况!$D:$D,U$7,人员状况!$G:$G,"&lt;="&amp;DATE(YEAR($C$4)-1,12,31),人员状况!$H:$H,"&gt;="&amp;DATE(YEAR($C$4)-1,12,31)+1)</f>
        <v>0</v>
      </c>
      <c r="V32" s="66">
        <f>COUNTIFS(人员状况!$D:$D,"*",人员状况!$E:$E,$B32,人员状况!$D:$D,V$7,人员状况!$G:$G,"&lt;="&amp;DATE(YEAR($C$4)-1,12,31),人员状况!$H:$H,"&gt;="&amp;DATE(YEAR($C$4)-1,12,31)+1)</f>
        <v>0</v>
      </c>
      <c r="W32" s="66">
        <f>COUNTIFS(人员状况!$D:$D,"*",人员状况!$E:$E,$B32,人员状况!$G:$G,"&lt;="&amp;EOMONTH(DATE(YEAR($C$4)-1,MONTH($C$4),1),0),人员状况!$H:$H,"&gt;="&amp;EOMONTH(DATE(YEAR($C$4)-1,MONTH($C$4),1),0)+1)</f>
        <v>4</v>
      </c>
      <c r="X32" s="66">
        <f>COUNTIFS(人员状况!$D:$D,X$7,人员状况!$E:$E,$B32,人员状况!$G:$G,"&lt;="&amp;EOMONTH(DATE(YEAR($C$4)-1,MONTH($C$4),1),0),人员状况!$H:$H,"&gt;="&amp;EOMONTH(DATE(YEAR($C$4)-1,MONTH($C$4),1),0)+1)</f>
        <v>0</v>
      </c>
      <c r="Y32" s="66">
        <f>COUNTIFS(人员状况!$D:$D,Y$7,人员状况!$E:$E,$B32,人员状况!$G:$G,"&lt;="&amp;EOMONTH(DATE(YEAR($C$4)-1,MONTH($C$4),1),0),人员状况!$H:$H,"&gt;="&amp;EOMONTH(DATE(YEAR($C$4)-1,MONTH($C$4),1),0)+1)</f>
        <v>4</v>
      </c>
      <c r="Z32" s="66">
        <f>COUNTIFS(人员状况!$D:$D,Z$7,人员状况!$E:$E,$B32,人员状况!$G:$G,"&lt;="&amp;EOMONTH(DATE(YEAR($C$4)-1,MONTH($C$4),1),0),人员状况!$H:$H,"&gt;="&amp;EOMONTH(DATE(YEAR($C$4)-1,MONTH($C$4),1),0)+1)</f>
        <v>0</v>
      </c>
      <c r="AA32" s="66">
        <f>COUNTIFS(人员状况!$D:$D,AA$7,人员状况!$E:$E,$B32,人员状况!$G:$G,"&lt;="&amp;EOMONTH(DATE(YEAR($C$4)-1,MONTH($C$4),1),0),人员状况!$H:$H,"&gt;="&amp;EOMONTH(DATE(YEAR($C$4)-1,MONTH($C$4),1),0)+1)</f>
        <v>0</v>
      </c>
      <c r="AB32" s="66">
        <f>COUNTIFS(人员状况!$D:$D,AB$7,人员状况!$E:$E,$B32,人员状况!$G:$G,"&lt;="&amp;EOMONTH(DATE(YEAR($C$4)-1,MONTH($C$4),1),0),人员状况!$H:$H,"&gt;="&amp;EOMONTH(DATE(YEAR($C$4)-1,MONTH($C$4),1),0)+1)</f>
        <v>0</v>
      </c>
      <c r="AC32" s="66">
        <f>COUNTIFS(人员状况!$D:$D,AC$7,人员状况!$E:$E,$B32,人员状况!$G:$G,"&lt;="&amp;EOMONTH(DATE(YEAR($C$4)-1,MONTH($C$4),1),0),人员状况!$H:$H,"&gt;="&amp;EOMONTH(DATE(YEAR($C$4)-1,MONTH($C$4),1),0)+1)</f>
        <v>0</v>
      </c>
      <c r="AD32" s="66">
        <f>COUNTIFS(人员状况!$D:$D,AD$7,人员状况!$E:$E,$B32,人员状况!$G:$G,"&lt;="&amp;EOMONTH(DATE(YEAR($C$4)-1,MONTH($C$4),1),0),人员状况!$H:$H,"&gt;="&amp;EOMONTH(DATE(YEAR($C$4)-1,MONTH($C$4),1),0)+1)</f>
        <v>0</v>
      </c>
      <c r="AE32" s="66">
        <f>COUNTIFS(人员状况!$D:$D,AE$7,人员状况!$E:$E,$B32,人员状况!$G:$G,"&lt;="&amp;EOMONTH(DATE(YEAR($C$4)-1,MONTH($C$4),1),0),人员状况!$H:$H,"&gt;="&amp;EOMONTH(DATE(YEAR($C$4)-1,MONTH($C$4),1),0)+1)</f>
        <v>0</v>
      </c>
      <c r="AF32" s="66">
        <f>COUNTIFS(人员状况!$D:$D,AF$7,人员状况!$E:$E,$B32,人员状况!$G:$G,"&lt;="&amp;EOMONTH(DATE(YEAR($C$4)-1,MONTH($C$4),1),0),人员状况!$H:$H,"&gt;="&amp;EOMONTH(DATE(YEAR($C$4)-1,MONTH($C$4),1),0)+1)</f>
        <v>0</v>
      </c>
      <c r="AG32" s="66">
        <f>W32+SUMIFS(预计变动!$F:$F,预计变动!$C:$C,$B32,预计变动!$I:$I,"&gt;"&amp;EOMONTH(DATE(YEAR($C$4),MONTH($C$4),1),0),预计变动!$I:$I,"&lt;="&amp;DATE(YEAR($C$4),12,31))</f>
        <v>4</v>
      </c>
      <c r="AH32" s="66">
        <f>X32+SUMIFS(预计变动!$F:$F,预计变动!$B:$B,AH$7,预计变动!$C:$C,$B32,预计变动!$I:$I,"&gt;"&amp;EOMONTH(DATE(YEAR($C$4),MONTH($C$4),1),0),预计变动!$I:$I,"&lt;="&amp;DATE(YEAR($C$4),12,31))</f>
        <v>0</v>
      </c>
      <c r="AI32" s="66">
        <f>Y32+SUMIFS(预计变动!$F:$F,预计变动!$B:$B,AI$7,预计变动!$C:$C,$B32,预计变动!$I:$I,"&gt;"&amp;EOMONTH(DATE(YEAR($C$4),MONTH($C$4),1),0),预计变动!$I:$I,"&lt;="&amp;DATE(YEAR($C$4),12,31))</f>
        <v>4</v>
      </c>
      <c r="AJ32" s="66">
        <f>Z32+SUMIFS(预计变动!$F:$F,预计变动!$B:$B,AJ$7,预计变动!$C:$C,$B32,预计变动!$I:$I,"&gt;"&amp;EOMONTH(DATE(YEAR($C$4),MONTH($C$4),1),0),预计变动!$I:$I,"&lt;="&amp;DATE(YEAR($C$4),12,31))</f>
        <v>0</v>
      </c>
      <c r="AK32" s="66">
        <f>AA32+SUMIFS(预计变动!$F:$F,预计变动!$B:$B,AK$7,预计变动!$C:$C,$B32,预计变动!$I:$I,"&gt;"&amp;EOMONTH(DATE(YEAR($C$4),MONTH($C$4),1),0),预计变动!$I:$I,"&lt;="&amp;DATE(YEAR($C$4),12,31))</f>
        <v>0</v>
      </c>
      <c r="AL32" s="66">
        <f>AB32+SUMIFS(预计变动!$F:$F,预计变动!$B:$B,AL$7,预计变动!$C:$C,$B32,预计变动!$I:$I,"&gt;"&amp;EOMONTH(DATE(YEAR($C$4),MONTH($C$4),1),0),预计变动!$I:$I,"&lt;="&amp;DATE(YEAR($C$4),12,31))</f>
        <v>0</v>
      </c>
      <c r="AM32" s="66">
        <f>AC32+SUMIFS(预计变动!$F:$F,预计变动!$B:$B,AM$7,预计变动!$C:$C,$B32,预计变动!$I:$I,"&gt;"&amp;EOMONTH(DATE(YEAR($C$4),MONTH($C$4),1),0),预计变动!$I:$I,"&lt;="&amp;DATE(YEAR($C$4),12,31))</f>
        <v>0</v>
      </c>
      <c r="AN32" s="66">
        <f>AD32+SUMIFS(预计变动!$F:$F,预计变动!$B:$B,AN$7,预计变动!$C:$C,$B32,预计变动!$I:$I,"&gt;"&amp;EOMONTH(DATE(YEAR($C$4),MONTH($C$4),1),0),预计变动!$I:$I,"&lt;="&amp;DATE(YEAR($C$4),12,31))</f>
        <v>0</v>
      </c>
      <c r="AO32" s="66">
        <f>AE32+SUMIFS(预计变动!$F:$F,预计变动!$B:$B,AO$7,预计变动!$C:$C,$B32,预计变动!$I:$I,"&gt;"&amp;EOMONTH(DATE(YEAR($C$4),MONTH($C$4),1),0),预计变动!$I:$I,"&lt;="&amp;DATE(YEAR($C$4),12,31))</f>
        <v>0</v>
      </c>
      <c r="AP32" s="66">
        <f>AF32+SUMIFS(预计变动!$F:$F,预计变动!$B:$B,AP$7,预计变动!$C:$C,$B32,预计变动!$I:$I,"&gt;"&amp;EOMONTH(DATE(YEAR($C$4),MONTH($C$4),1),0),预计变动!$I:$I,"&lt;="&amp;DATE(YEAR($C$4),12,31))</f>
        <v>0</v>
      </c>
      <c r="AQ32" s="66">
        <f>AG32+SUMIFS(预计变动!$F:$F,预计变动!$C:$C,$B32,预计变动!$I:$I,"&gt;="&amp;DATE(YEAR($C$4)+1,1,1),预计变动!$I:$I,"&lt;="&amp;DATE(YEAR($C$4)+1,12,31))</f>
        <v>9</v>
      </c>
      <c r="AR32" s="66">
        <f>AH32+SUMIFS(预计变动!$F:$F,预计变动!$B:$B,AR$7,预计变动!$C:$C,$B32,预计变动!$I:$I,"&gt;="&amp;DATE(YEAR($C$4)+1,1,1),预计变动!$I:$I,"&lt;="&amp;DATE(YEAR($C$4)+1,12,31))</f>
        <v>0</v>
      </c>
      <c r="AS32" s="66">
        <f>AI32+SUMIFS(预计变动!$F:$F,预计变动!$B:$B,AS$7,预计变动!$C:$C,$B32,预计变动!$I:$I,"&gt;="&amp;DATE(YEAR($C$4)+1,1,1),预计变动!$I:$I,"&lt;="&amp;DATE(YEAR($C$4)+1,12,31))</f>
        <v>9</v>
      </c>
      <c r="AT32" s="66">
        <f>AJ32+SUMIFS(预计变动!$F:$F,预计变动!$B:$B,AT$7,预计变动!$C:$C,$B32,预计变动!$I:$I,"&gt;="&amp;DATE(YEAR($C$4)+1,1,1),预计变动!$I:$I,"&lt;="&amp;DATE(YEAR($C$4)+1,12,31))</f>
        <v>0</v>
      </c>
      <c r="AU32" s="66">
        <f>AK32+SUMIFS(预计变动!$F:$F,预计变动!$B:$B,AU$7,预计变动!$C:$C,$B32,预计变动!$I:$I,"&gt;="&amp;DATE(YEAR($C$4)+1,1,1),预计变动!$I:$I,"&lt;="&amp;DATE(YEAR($C$4)+1,12,31))</f>
        <v>0</v>
      </c>
      <c r="AV32" s="66">
        <f>AL32+SUMIFS(预计变动!$F:$F,预计变动!$B:$B,AV$7,预计变动!$C:$C,$B32,预计变动!$I:$I,"&gt;="&amp;DATE(YEAR($C$4)+1,1,1),预计变动!$I:$I,"&lt;="&amp;DATE(YEAR($C$4)+1,12,31))</f>
        <v>0</v>
      </c>
      <c r="AW32" s="66">
        <f>AM32+SUMIFS(预计变动!$F:$F,预计变动!$B:$B,AW$7,预计变动!$C:$C,$B32,预计变动!$I:$I,"&gt;="&amp;DATE(YEAR($C$4)+1,1,1),预计变动!$I:$I,"&lt;="&amp;DATE(YEAR($C$4)+1,12,31))</f>
        <v>0</v>
      </c>
      <c r="AX32" s="66">
        <f>AN32+SUMIFS(预计变动!$F:$F,预计变动!$B:$B,AX$7,预计变动!$C:$C,$B32,预计变动!$I:$I,"&gt;="&amp;DATE(YEAR($C$4)+1,1,1),预计变动!$I:$I,"&lt;="&amp;DATE(YEAR($C$4)+1,12,31))</f>
        <v>0</v>
      </c>
      <c r="AY32" s="66">
        <f>AO32+SUMIFS(预计变动!$F:$F,预计变动!$B:$B,AY$7,预计变动!$C:$C,$B32,预计变动!$I:$I,"&gt;="&amp;DATE(YEAR($C$4)+1,1,1),预计变动!$I:$I,"&lt;="&amp;DATE(YEAR($C$4)+1,12,31))</f>
        <v>0</v>
      </c>
      <c r="AZ32" s="66">
        <f>AP32+SUMIFS(预计变动!$F:$F,预计变动!$B:$B,AZ$7,预计变动!$C:$C,$B32,预计变动!$I:$I,"&gt;="&amp;DATE(YEAR($C$4)+1,1,1),预计变动!$I:$I,"&lt;="&amp;DATE(YEAR($C$4)+1,12,31))</f>
        <v>0</v>
      </c>
    </row>
    <row r="33" spans="2:52">
      <c r="B33" s="65" t="s">
        <v>180</v>
      </c>
      <c r="C33" s="66">
        <f>COUNTIFS(人员状况!$D:$D,"*",人员状况!$E:$E,$B33,人员状况!$G:$G,"&lt;="&amp;DATE(YEAR($C$4)-2,12,31),人员状况!$H:$H,"&gt;="&amp;DATE(YEAR($C$4)-2,12,31)+1)</f>
        <v>4</v>
      </c>
      <c r="D33" s="66">
        <f>COUNTIFS(人员状况!$D:$D,"*",人员状况!$E:$E,$B33,人员状况!$D:$D,D$7,人员状况!$G:$G,"&lt;="&amp;DATE(YEAR($C$4)-2,12,31),人员状况!$H:$H,"&gt;="&amp;DATE(YEAR($C$4)-2,12,31)+1)</f>
        <v>0</v>
      </c>
      <c r="E33" s="66">
        <f>COUNTIFS(人员状况!$D:$D,"*",人员状况!$E:$E,$B33,人员状况!$D:$D,E$7,人员状况!$G:$G,"&lt;="&amp;DATE(YEAR($C$4)-2,12,31),人员状况!$H:$H,"&gt;="&amp;DATE(YEAR($C$4)-2,12,31)+1)</f>
        <v>4</v>
      </c>
      <c r="F33" s="66">
        <f>COUNTIFS(人员状况!$D:$D,"*",人员状况!$E:$E,$B33,人员状况!$D:$D,F$7,人员状况!$G:$G,"&lt;="&amp;DATE(YEAR($C$4)-2,12,31),人员状况!$H:$H,"&gt;="&amp;DATE(YEAR($C$4)-2,12,31)+1)</f>
        <v>0</v>
      </c>
      <c r="G33" s="66">
        <f>COUNTIFS(人员状况!$D:$D,"*",人员状况!$E:$E,$B33,人员状况!$D:$D,G$7,人员状况!$G:$G,"&lt;="&amp;DATE(YEAR($C$4)-2,12,31),人员状况!$H:$H,"&gt;="&amp;DATE(YEAR($C$4)-2,12,31)+1)</f>
        <v>0</v>
      </c>
      <c r="H33" s="66">
        <f>COUNTIFS(人员状况!$D:$D,"*",人员状况!$E:$E,$B33,人员状况!$D:$D,H$7,人员状况!$G:$G,"&lt;="&amp;DATE(YEAR($C$4)-2,12,31),人员状况!$H:$H,"&gt;="&amp;DATE(YEAR($C$4)-2,12,31)+1)</f>
        <v>0</v>
      </c>
      <c r="I33" s="66">
        <f>COUNTIFS(人员状况!$D:$D,"*",人员状况!$E:$E,$B33,人员状况!$D:$D,I$7,人员状况!$G:$G,"&lt;="&amp;DATE(YEAR($C$4)-2,12,31),人员状况!$H:$H,"&gt;="&amp;DATE(YEAR($C$4)-2,12,31)+1)</f>
        <v>0</v>
      </c>
      <c r="J33" s="66">
        <f>COUNTIFS(人员状况!$D:$D,"*",人员状况!$E:$E,$B33,人员状况!$D:$D,J$7,人员状况!$G:$G,"&lt;="&amp;DATE(YEAR($C$4)-2,12,31),人员状况!$H:$H,"&gt;="&amp;DATE(YEAR($C$4)-2,12,31)+1)</f>
        <v>0</v>
      </c>
      <c r="K33" s="66">
        <f>COUNTIFS(人员状况!$D:$D,"*",人员状况!$E:$E,$B33,人员状况!$D:$D,K$7,人员状况!$G:$G,"&lt;="&amp;DATE(YEAR($C$4)-2,12,31),人员状况!$H:$H,"&gt;="&amp;DATE(YEAR($C$4)-2,12,31)+1)</f>
        <v>0</v>
      </c>
      <c r="L33" s="66">
        <f>COUNTIFS(人员状况!$D:$D,"*",人员状况!$E:$E,$B33,人员状况!$D:$D,L$7,人员状况!$G:$G,"&lt;="&amp;DATE(YEAR($C$4)-2,12,31),人员状况!$H:$H,"&gt;="&amp;DATE(YEAR($C$4)-2,12,31)+1)</f>
        <v>0</v>
      </c>
      <c r="M33" s="66">
        <f>COUNTIFS(人员状况!$D:$D,"*",人员状况!$E:$E,$B33,人员状况!$G:$G,"&lt;="&amp;DATE(YEAR($C$4)-1,12,31),人员状况!$H:$H,"&gt;="&amp;DATE(YEAR($C$4)-1,12,31)+1)</f>
        <v>4</v>
      </c>
      <c r="N33" s="66">
        <f>COUNTIFS(人员状况!$D:$D,"*",人员状况!$E:$E,$B33,人员状况!$D:$D,N$7,人员状况!$G:$G,"&lt;="&amp;DATE(YEAR($C$4)-1,12,31),人员状况!$H:$H,"&gt;="&amp;DATE(YEAR($C$4)-1,12,31)+1)</f>
        <v>0</v>
      </c>
      <c r="O33" s="66">
        <f>COUNTIFS(人员状况!$D:$D,"*",人员状况!$E:$E,$B33,人员状况!$D:$D,O$7,人员状况!$G:$G,"&lt;="&amp;DATE(YEAR($C$4)-1,12,31),人员状况!$H:$H,"&gt;="&amp;DATE(YEAR($C$4)-1,12,31)+1)</f>
        <v>4</v>
      </c>
      <c r="P33" s="66">
        <f>COUNTIFS(人员状况!$D:$D,"*",人员状况!$E:$E,$B33,人员状况!$D:$D,P$7,人员状况!$G:$G,"&lt;="&amp;DATE(YEAR($C$4)-1,12,31),人员状况!$H:$H,"&gt;="&amp;DATE(YEAR($C$4)-1,12,31)+1)</f>
        <v>0</v>
      </c>
      <c r="Q33" s="66">
        <f>COUNTIFS(人员状况!$D:$D,"*",人员状况!$E:$E,$B33,人员状况!$D:$D,Q$7,人员状况!$G:$G,"&lt;="&amp;DATE(YEAR($C$4)-1,12,31),人员状况!$H:$H,"&gt;="&amp;DATE(YEAR($C$4)-1,12,31)+1)</f>
        <v>0</v>
      </c>
      <c r="R33" s="66">
        <f>COUNTIFS(人员状况!$D:$D,"*",人员状况!$E:$E,$B33,人员状况!$D:$D,R$7,人员状况!$G:$G,"&lt;="&amp;DATE(YEAR($C$4)-1,12,31),人员状况!$H:$H,"&gt;="&amp;DATE(YEAR($C$4)-1,12,31)+1)</f>
        <v>0</v>
      </c>
      <c r="S33" s="66">
        <f>COUNTIFS(人员状况!$D:$D,"*",人员状况!$E:$E,$B33,人员状况!$D:$D,S$7,人员状况!$G:$G,"&lt;="&amp;DATE(YEAR($C$4)-1,12,31),人员状况!$H:$H,"&gt;="&amp;DATE(YEAR($C$4)-1,12,31)+1)</f>
        <v>0</v>
      </c>
      <c r="T33" s="66">
        <f>COUNTIFS(人员状况!$D:$D,"*",人员状况!$E:$E,$B33,人员状况!$D:$D,T$7,人员状况!$G:$G,"&lt;="&amp;DATE(YEAR($C$4)-1,12,31),人员状况!$H:$H,"&gt;="&amp;DATE(YEAR($C$4)-1,12,31)+1)</f>
        <v>0</v>
      </c>
      <c r="U33" s="66">
        <f>COUNTIFS(人员状况!$D:$D,"*",人员状况!$E:$E,$B33,人员状况!$D:$D,U$7,人员状况!$G:$G,"&lt;="&amp;DATE(YEAR($C$4)-1,12,31),人员状况!$H:$H,"&gt;="&amp;DATE(YEAR($C$4)-1,12,31)+1)</f>
        <v>0</v>
      </c>
      <c r="V33" s="66">
        <f>COUNTIFS(人员状况!$D:$D,"*",人员状况!$E:$E,$B33,人员状况!$D:$D,V$7,人员状况!$G:$G,"&lt;="&amp;DATE(YEAR($C$4)-1,12,31),人员状况!$H:$H,"&gt;="&amp;DATE(YEAR($C$4)-1,12,31)+1)</f>
        <v>0</v>
      </c>
      <c r="W33" s="66">
        <f>COUNTIFS(人员状况!$D:$D,"*",人员状况!$E:$E,$B33,人员状况!$G:$G,"&lt;="&amp;EOMONTH(DATE(YEAR($C$4)-1,MONTH($C$4),1),0),人员状况!$H:$H,"&gt;="&amp;EOMONTH(DATE(YEAR($C$4)-1,MONTH($C$4),1),0)+1)</f>
        <v>4</v>
      </c>
      <c r="X33" s="66">
        <f>COUNTIFS(人员状况!$D:$D,X$7,人员状况!$E:$E,$B33,人员状况!$G:$G,"&lt;="&amp;EOMONTH(DATE(YEAR($C$4)-1,MONTH($C$4),1),0),人员状况!$H:$H,"&gt;="&amp;EOMONTH(DATE(YEAR($C$4)-1,MONTH($C$4),1),0)+1)</f>
        <v>0</v>
      </c>
      <c r="Y33" s="66">
        <f>COUNTIFS(人员状况!$D:$D,Y$7,人员状况!$E:$E,$B33,人员状况!$G:$G,"&lt;="&amp;EOMONTH(DATE(YEAR($C$4)-1,MONTH($C$4),1),0),人员状况!$H:$H,"&gt;="&amp;EOMONTH(DATE(YEAR($C$4)-1,MONTH($C$4),1),0)+1)</f>
        <v>4</v>
      </c>
      <c r="Z33" s="66">
        <f>COUNTIFS(人员状况!$D:$D,Z$7,人员状况!$E:$E,$B33,人员状况!$G:$G,"&lt;="&amp;EOMONTH(DATE(YEAR($C$4)-1,MONTH($C$4),1),0),人员状况!$H:$H,"&gt;="&amp;EOMONTH(DATE(YEAR($C$4)-1,MONTH($C$4),1),0)+1)</f>
        <v>0</v>
      </c>
      <c r="AA33" s="66">
        <f>COUNTIFS(人员状况!$D:$D,AA$7,人员状况!$E:$E,$B33,人员状况!$G:$G,"&lt;="&amp;EOMONTH(DATE(YEAR($C$4)-1,MONTH($C$4),1),0),人员状况!$H:$H,"&gt;="&amp;EOMONTH(DATE(YEAR($C$4)-1,MONTH($C$4),1),0)+1)</f>
        <v>0</v>
      </c>
      <c r="AB33" s="66">
        <f>COUNTIFS(人员状况!$D:$D,AB$7,人员状况!$E:$E,$B33,人员状况!$G:$G,"&lt;="&amp;EOMONTH(DATE(YEAR($C$4)-1,MONTH($C$4),1),0),人员状况!$H:$H,"&gt;="&amp;EOMONTH(DATE(YEAR($C$4)-1,MONTH($C$4),1),0)+1)</f>
        <v>0</v>
      </c>
      <c r="AC33" s="66">
        <f>COUNTIFS(人员状况!$D:$D,AC$7,人员状况!$E:$E,$B33,人员状况!$G:$G,"&lt;="&amp;EOMONTH(DATE(YEAR($C$4)-1,MONTH($C$4),1),0),人员状况!$H:$H,"&gt;="&amp;EOMONTH(DATE(YEAR($C$4)-1,MONTH($C$4),1),0)+1)</f>
        <v>0</v>
      </c>
      <c r="AD33" s="66">
        <f>COUNTIFS(人员状况!$D:$D,AD$7,人员状况!$E:$E,$B33,人员状况!$G:$G,"&lt;="&amp;EOMONTH(DATE(YEAR($C$4)-1,MONTH($C$4),1),0),人员状况!$H:$H,"&gt;="&amp;EOMONTH(DATE(YEAR($C$4)-1,MONTH($C$4),1),0)+1)</f>
        <v>0</v>
      </c>
      <c r="AE33" s="66">
        <f>COUNTIFS(人员状况!$D:$D,AE$7,人员状况!$E:$E,$B33,人员状况!$G:$G,"&lt;="&amp;EOMONTH(DATE(YEAR($C$4)-1,MONTH($C$4),1),0),人员状况!$H:$H,"&gt;="&amp;EOMONTH(DATE(YEAR($C$4)-1,MONTH($C$4),1),0)+1)</f>
        <v>0</v>
      </c>
      <c r="AF33" s="66">
        <f>COUNTIFS(人员状况!$D:$D,AF$7,人员状况!$E:$E,$B33,人员状况!$G:$G,"&lt;="&amp;EOMONTH(DATE(YEAR($C$4)-1,MONTH($C$4),1),0),人员状况!$H:$H,"&gt;="&amp;EOMONTH(DATE(YEAR($C$4)-1,MONTH($C$4),1),0)+1)</f>
        <v>0</v>
      </c>
      <c r="AG33" s="66">
        <f>W33+SUMIFS(预计变动!$F:$F,预计变动!$C:$C,$B33,预计变动!$I:$I,"&gt;"&amp;EOMONTH(DATE(YEAR($C$4),MONTH($C$4),1),0),预计变动!$I:$I,"&lt;="&amp;DATE(YEAR($C$4),12,31))</f>
        <v>4</v>
      </c>
      <c r="AH33" s="66">
        <f>X33+SUMIFS(预计变动!$F:$F,预计变动!$B:$B,AH$7,预计变动!$C:$C,$B33,预计变动!$I:$I,"&gt;"&amp;EOMONTH(DATE(YEAR($C$4),MONTH($C$4),1),0),预计变动!$I:$I,"&lt;="&amp;DATE(YEAR($C$4),12,31))</f>
        <v>0</v>
      </c>
      <c r="AI33" s="66">
        <f>Y33+SUMIFS(预计变动!$F:$F,预计变动!$B:$B,AI$7,预计变动!$C:$C,$B33,预计变动!$I:$I,"&gt;"&amp;EOMONTH(DATE(YEAR($C$4),MONTH($C$4),1),0),预计变动!$I:$I,"&lt;="&amp;DATE(YEAR($C$4),12,31))</f>
        <v>4</v>
      </c>
      <c r="AJ33" s="66">
        <f>Z33+SUMIFS(预计变动!$F:$F,预计变动!$B:$B,AJ$7,预计变动!$C:$C,$B33,预计变动!$I:$I,"&gt;"&amp;EOMONTH(DATE(YEAR($C$4),MONTH($C$4),1),0),预计变动!$I:$I,"&lt;="&amp;DATE(YEAR($C$4),12,31))</f>
        <v>0</v>
      </c>
      <c r="AK33" s="66">
        <f>AA33+SUMIFS(预计变动!$F:$F,预计变动!$B:$B,AK$7,预计变动!$C:$C,$B33,预计变动!$I:$I,"&gt;"&amp;EOMONTH(DATE(YEAR($C$4),MONTH($C$4),1),0),预计变动!$I:$I,"&lt;="&amp;DATE(YEAR($C$4),12,31))</f>
        <v>0</v>
      </c>
      <c r="AL33" s="66">
        <f>AB33+SUMIFS(预计变动!$F:$F,预计变动!$B:$B,AL$7,预计变动!$C:$C,$B33,预计变动!$I:$I,"&gt;"&amp;EOMONTH(DATE(YEAR($C$4),MONTH($C$4),1),0),预计变动!$I:$I,"&lt;="&amp;DATE(YEAR($C$4),12,31))</f>
        <v>0</v>
      </c>
      <c r="AM33" s="66">
        <f>AC33+SUMIFS(预计变动!$F:$F,预计变动!$B:$B,AM$7,预计变动!$C:$C,$B33,预计变动!$I:$I,"&gt;"&amp;EOMONTH(DATE(YEAR($C$4),MONTH($C$4),1),0),预计变动!$I:$I,"&lt;="&amp;DATE(YEAR($C$4),12,31))</f>
        <v>0</v>
      </c>
      <c r="AN33" s="66">
        <f>AD33+SUMIFS(预计变动!$F:$F,预计变动!$B:$B,AN$7,预计变动!$C:$C,$B33,预计变动!$I:$I,"&gt;"&amp;EOMONTH(DATE(YEAR($C$4),MONTH($C$4),1),0),预计变动!$I:$I,"&lt;="&amp;DATE(YEAR($C$4),12,31))</f>
        <v>0</v>
      </c>
      <c r="AO33" s="66">
        <f>AE33+SUMIFS(预计变动!$F:$F,预计变动!$B:$B,AO$7,预计变动!$C:$C,$B33,预计变动!$I:$I,"&gt;"&amp;EOMONTH(DATE(YEAR($C$4),MONTH($C$4),1),0),预计变动!$I:$I,"&lt;="&amp;DATE(YEAR($C$4),12,31))</f>
        <v>0</v>
      </c>
      <c r="AP33" s="66">
        <f>AF33+SUMIFS(预计变动!$F:$F,预计变动!$B:$B,AP$7,预计变动!$C:$C,$B33,预计变动!$I:$I,"&gt;"&amp;EOMONTH(DATE(YEAR($C$4),MONTH($C$4),1),0),预计变动!$I:$I,"&lt;="&amp;DATE(YEAR($C$4),12,31))</f>
        <v>0</v>
      </c>
      <c r="AQ33" s="66">
        <f>AG33+SUMIFS(预计变动!$F:$F,预计变动!$C:$C,$B33,预计变动!$I:$I,"&gt;="&amp;DATE(YEAR($C$4)+1,1,1),预计变动!$I:$I,"&lt;="&amp;DATE(YEAR($C$4)+1,12,31))</f>
        <v>4</v>
      </c>
      <c r="AR33" s="66">
        <f>AH33+SUMIFS(预计变动!$F:$F,预计变动!$B:$B,AR$7,预计变动!$C:$C,$B33,预计变动!$I:$I,"&gt;="&amp;DATE(YEAR($C$4)+1,1,1),预计变动!$I:$I,"&lt;="&amp;DATE(YEAR($C$4)+1,12,31))</f>
        <v>0</v>
      </c>
      <c r="AS33" s="66">
        <f>AI33+SUMIFS(预计变动!$F:$F,预计变动!$B:$B,AS$7,预计变动!$C:$C,$B33,预计变动!$I:$I,"&gt;="&amp;DATE(YEAR($C$4)+1,1,1),预计变动!$I:$I,"&lt;="&amp;DATE(YEAR($C$4)+1,12,31))</f>
        <v>4</v>
      </c>
      <c r="AT33" s="66">
        <f>AJ33+SUMIFS(预计变动!$F:$F,预计变动!$B:$B,AT$7,预计变动!$C:$C,$B33,预计变动!$I:$I,"&gt;="&amp;DATE(YEAR($C$4)+1,1,1),预计变动!$I:$I,"&lt;="&amp;DATE(YEAR($C$4)+1,12,31))</f>
        <v>0</v>
      </c>
      <c r="AU33" s="66">
        <f>AK33+SUMIFS(预计变动!$F:$F,预计变动!$B:$B,AU$7,预计变动!$C:$C,$B33,预计变动!$I:$I,"&gt;="&amp;DATE(YEAR($C$4)+1,1,1),预计变动!$I:$I,"&lt;="&amp;DATE(YEAR($C$4)+1,12,31))</f>
        <v>0</v>
      </c>
      <c r="AV33" s="66">
        <f>AL33+SUMIFS(预计变动!$F:$F,预计变动!$B:$B,AV$7,预计变动!$C:$C,$B33,预计变动!$I:$I,"&gt;="&amp;DATE(YEAR($C$4)+1,1,1),预计变动!$I:$I,"&lt;="&amp;DATE(YEAR($C$4)+1,12,31))</f>
        <v>0</v>
      </c>
      <c r="AW33" s="66">
        <f>AM33+SUMIFS(预计变动!$F:$F,预计变动!$B:$B,AW$7,预计变动!$C:$C,$B33,预计变动!$I:$I,"&gt;="&amp;DATE(YEAR($C$4)+1,1,1),预计变动!$I:$I,"&lt;="&amp;DATE(YEAR($C$4)+1,12,31))</f>
        <v>0</v>
      </c>
      <c r="AX33" s="66">
        <f>AN33+SUMIFS(预计变动!$F:$F,预计变动!$B:$B,AX$7,预计变动!$C:$C,$B33,预计变动!$I:$I,"&gt;="&amp;DATE(YEAR($C$4)+1,1,1),预计变动!$I:$I,"&lt;="&amp;DATE(YEAR($C$4)+1,12,31))</f>
        <v>0</v>
      </c>
      <c r="AY33" s="66">
        <f>AO33+SUMIFS(预计变动!$F:$F,预计变动!$B:$B,AY$7,预计变动!$C:$C,$B33,预计变动!$I:$I,"&gt;="&amp;DATE(YEAR($C$4)+1,1,1),预计变动!$I:$I,"&lt;="&amp;DATE(YEAR($C$4)+1,12,31))</f>
        <v>0</v>
      </c>
      <c r="AZ33" s="66">
        <f>AP33+SUMIFS(预计变动!$F:$F,预计变动!$B:$B,AZ$7,预计变动!$C:$C,$B33,预计变动!$I:$I,"&gt;="&amp;DATE(YEAR($C$4)+1,1,1),预计变动!$I:$I,"&lt;="&amp;DATE(YEAR($C$4)+1,12,31))</f>
        <v>0</v>
      </c>
    </row>
    <row r="34" spans="2:52">
      <c r="B34" s="65" t="s">
        <v>183</v>
      </c>
      <c r="C34" s="66">
        <f>COUNTIFS(人员状况!$D:$D,"*",人员状况!$E:$E,$B34,人员状况!$G:$G,"&lt;="&amp;DATE(YEAR($C$4)-2,12,31),人员状况!$H:$H,"&gt;="&amp;DATE(YEAR($C$4)-2,12,31)+1)</f>
        <v>4</v>
      </c>
      <c r="D34" s="66">
        <f>COUNTIFS(人员状况!$D:$D,"*",人员状况!$E:$E,$B34,人员状况!$D:$D,D$7,人员状况!$G:$G,"&lt;="&amp;DATE(YEAR($C$4)-2,12,31),人员状况!$H:$H,"&gt;="&amp;DATE(YEAR($C$4)-2,12,31)+1)</f>
        <v>0</v>
      </c>
      <c r="E34" s="66">
        <f>COUNTIFS(人员状况!$D:$D,"*",人员状况!$E:$E,$B34,人员状况!$D:$D,E$7,人员状况!$G:$G,"&lt;="&amp;DATE(YEAR($C$4)-2,12,31),人员状况!$H:$H,"&gt;="&amp;DATE(YEAR($C$4)-2,12,31)+1)</f>
        <v>4</v>
      </c>
      <c r="F34" s="66">
        <f>COUNTIFS(人员状况!$D:$D,"*",人员状况!$E:$E,$B34,人员状况!$D:$D,F$7,人员状况!$G:$G,"&lt;="&amp;DATE(YEAR($C$4)-2,12,31),人员状况!$H:$H,"&gt;="&amp;DATE(YEAR($C$4)-2,12,31)+1)</f>
        <v>0</v>
      </c>
      <c r="G34" s="66">
        <f>COUNTIFS(人员状况!$D:$D,"*",人员状况!$E:$E,$B34,人员状况!$D:$D,G$7,人员状况!$G:$G,"&lt;="&amp;DATE(YEAR($C$4)-2,12,31),人员状况!$H:$H,"&gt;="&amp;DATE(YEAR($C$4)-2,12,31)+1)</f>
        <v>0</v>
      </c>
      <c r="H34" s="66">
        <f>COUNTIFS(人员状况!$D:$D,"*",人员状况!$E:$E,$B34,人员状况!$D:$D,H$7,人员状况!$G:$G,"&lt;="&amp;DATE(YEAR($C$4)-2,12,31),人员状况!$H:$H,"&gt;="&amp;DATE(YEAR($C$4)-2,12,31)+1)</f>
        <v>0</v>
      </c>
      <c r="I34" s="66">
        <f>COUNTIFS(人员状况!$D:$D,"*",人员状况!$E:$E,$B34,人员状况!$D:$D,I$7,人员状况!$G:$G,"&lt;="&amp;DATE(YEAR($C$4)-2,12,31),人员状况!$H:$H,"&gt;="&amp;DATE(YEAR($C$4)-2,12,31)+1)</f>
        <v>0</v>
      </c>
      <c r="J34" s="66">
        <f>COUNTIFS(人员状况!$D:$D,"*",人员状况!$E:$E,$B34,人员状况!$D:$D,J$7,人员状况!$G:$G,"&lt;="&amp;DATE(YEAR($C$4)-2,12,31),人员状况!$H:$H,"&gt;="&amp;DATE(YEAR($C$4)-2,12,31)+1)</f>
        <v>0</v>
      </c>
      <c r="K34" s="66">
        <f>COUNTIFS(人员状况!$D:$D,"*",人员状况!$E:$E,$B34,人员状况!$D:$D,K$7,人员状况!$G:$G,"&lt;="&amp;DATE(YEAR($C$4)-2,12,31),人员状况!$H:$H,"&gt;="&amp;DATE(YEAR($C$4)-2,12,31)+1)</f>
        <v>0</v>
      </c>
      <c r="L34" s="66">
        <f>COUNTIFS(人员状况!$D:$D,"*",人员状况!$E:$E,$B34,人员状况!$D:$D,L$7,人员状况!$G:$G,"&lt;="&amp;DATE(YEAR($C$4)-2,12,31),人员状况!$H:$H,"&gt;="&amp;DATE(YEAR($C$4)-2,12,31)+1)</f>
        <v>0</v>
      </c>
      <c r="M34" s="66">
        <f>COUNTIFS(人员状况!$D:$D,"*",人员状况!$E:$E,$B34,人员状况!$G:$G,"&lt;="&amp;DATE(YEAR($C$4)-1,12,31),人员状况!$H:$H,"&gt;="&amp;DATE(YEAR($C$4)-1,12,31)+1)</f>
        <v>4</v>
      </c>
      <c r="N34" s="66">
        <f>COUNTIFS(人员状况!$D:$D,"*",人员状况!$E:$E,$B34,人员状况!$D:$D,N$7,人员状况!$G:$G,"&lt;="&amp;DATE(YEAR($C$4)-1,12,31),人员状况!$H:$H,"&gt;="&amp;DATE(YEAR($C$4)-1,12,31)+1)</f>
        <v>0</v>
      </c>
      <c r="O34" s="66">
        <f>COUNTIFS(人员状况!$D:$D,"*",人员状况!$E:$E,$B34,人员状况!$D:$D,O$7,人员状况!$G:$G,"&lt;="&amp;DATE(YEAR($C$4)-1,12,31),人员状况!$H:$H,"&gt;="&amp;DATE(YEAR($C$4)-1,12,31)+1)</f>
        <v>4</v>
      </c>
      <c r="P34" s="66">
        <f>COUNTIFS(人员状况!$D:$D,"*",人员状况!$E:$E,$B34,人员状况!$D:$D,P$7,人员状况!$G:$G,"&lt;="&amp;DATE(YEAR($C$4)-1,12,31),人员状况!$H:$H,"&gt;="&amp;DATE(YEAR($C$4)-1,12,31)+1)</f>
        <v>0</v>
      </c>
      <c r="Q34" s="66">
        <f>COUNTIFS(人员状况!$D:$D,"*",人员状况!$E:$E,$B34,人员状况!$D:$D,Q$7,人员状况!$G:$G,"&lt;="&amp;DATE(YEAR($C$4)-1,12,31),人员状况!$H:$H,"&gt;="&amp;DATE(YEAR($C$4)-1,12,31)+1)</f>
        <v>0</v>
      </c>
      <c r="R34" s="66">
        <f>COUNTIFS(人员状况!$D:$D,"*",人员状况!$E:$E,$B34,人员状况!$D:$D,R$7,人员状况!$G:$G,"&lt;="&amp;DATE(YEAR($C$4)-1,12,31),人员状况!$H:$H,"&gt;="&amp;DATE(YEAR($C$4)-1,12,31)+1)</f>
        <v>0</v>
      </c>
      <c r="S34" s="66">
        <f>COUNTIFS(人员状况!$D:$D,"*",人员状况!$E:$E,$B34,人员状况!$D:$D,S$7,人员状况!$G:$G,"&lt;="&amp;DATE(YEAR($C$4)-1,12,31),人员状况!$H:$H,"&gt;="&amp;DATE(YEAR($C$4)-1,12,31)+1)</f>
        <v>0</v>
      </c>
      <c r="T34" s="66">
        <f>COUNTIFS(人员状况!$D:$D,"*",人员状况!$E:$E,$B34,人员状况!$D:$D,T$7,人员状况!$G:$G,"&lt;="&amp;DATE(YEAR($C$4)-1,12,31),人员状况!$H:$H,"&gt;="&amp;DATE(YEAR($C$4)-1,12,31)+1)</f>
        <v>0</v>
      </c>
      <c r="U34" s="66">
        <f>COUNTIFS(人员状况!$D:$D,"*",人员状况!$E:$E,$B34,人员状况!$D:$D,U$7,人员状况!$G:$G,"&lt;="&amp;DATE(YEAR($C$4)-1,12,31),人员状况!$H:$H,"&gt;="&amp;DATE(YEAR($C$4)-1,12,31)+1)</f>
        <v>0</v>
      </c>
      <c r="V34" s="66">
        <f>COUNTIFS(人员状况!$D:$D,"*",人员状况!$E:$E,$B34,人员状况!$D:$D,V$7,人员状况!$G:$G,"&lt;="&amp;DATE(YEAR($C$4)-1,12,31),人员状况!$H:$H,"&gt;="&amp;DATE(YEAR($C$4)-1,12,31)+1)</f>
        <v>0</v>
      </c>
      <c r="W34" s="66">
        <f>COUNTIFS(人员状况!$D:$D,"*",人员状况!$E:$E,$B34,人员状况!$G:$G,"&lt;="&amp;EOMONTH(DATE(YEAR($C$4)-1,MONTH($C$4),1),0),人员状况!$H:$H,"&gt;="&amp;EOMONTH(DATE(YEAR($C$4)-1,MONTH($C$4),1),0)+1)</f>
        <v>4</v>
      </c>
      <c r="X34" s="66">
        <f>COUNTIFS(人员状况!$D:$D,X$7,人员状况!$E:$E,$B34,人员状况!$G:$G,"&lt;="&amp;EOMONTH(DATE(YEAR($C$4)-1,MONTH($C$4),1),0),人员状况!$H:$H,"&gt;="&amp;EOMONTH(DATE(YEAR($C$4)-1,MONTH($C$4),1),0)+1)</f>
        <v>0</v>
      </c>
      <c r="Y34" s="66">
        <f>COUNTIFS(人员状况!$D:$D,Y$7,人员状况!$E:$E,$B34,人员状况!$G:$G,"&lt;="&amp;EOMONTH(DATE(YEAR($C$4)-1,MONTH($C$4),1),0),人员状况!$H:$H,"&gt;="&amp;EOMONTH(DATE(YEAR($C$4)-1,MONTH($C$4),1),0)+1)</f>
        <v>4</v>
      </c>
      <c r="Z34" s="66">
        <f>COUNTIFS(人员状况!$D:$D,Z$7,人员状况!$E:$E,$B34,人员状况!$G:$G,"&lt;="&amp;EOMONTH(DATE(YEAR($C$4)-1,MONTH($C$4),1),0),人员状况!$H:$H,"&gt;="&amp;EOMONTH(DATE(YEAR($C$4)-1,MONTH($C$4),1),0)+1)</f>
        <v>0</v>
      </c>
      <c r="AA34" s="66">
        <f>COUNTIFS(人员状况!$D:$D,AA$7,人员状况!$E:$E,$B34,人员状况!$G:$G,"&lt;="&amp;EOMONTH(DATE(YEAR($C$4)-1,MONTH($C$4),1),0),人员状况!$H:$H,"&gt;="&amp;EOMONTH(DATE(YEAR($C$4)-1,MONTH($C$4),1),0)+1)</f>
        <v>0</v>
      </c>
      <c r="AB34" s="66">
        <f>COUNTIFS(人员状况!$D:$D,AB$7,人员状况!$E:$E,$B34,人员状况!$G:$G,"&lt;="&amp;EOMONTH(DATE(YEAR($C$4)-1,MONTH($C$4),1),0),人员状况!$H:$H,"&gt;="&amp;EOMONTH(DATE(YEAR($C$4)-1,MONTH($C$4),1),0)+1)</f>
        <v>0</v>
      </c>
      <c r="AC34" s="66">
        <f>COUNTIFS(人员状况!$D:$D,AC$7,人员状况!$E:$E,$B34,人员状况!$G:$G,"&lt;="&amp;EOMONTH(DATE(YEAR($C$4)-1,MONTH($C$4),1),0),人员状况!$H:$H,"&gt;="&amp;EOMONTH(DATE(YEAR($C$4)-1,MONTH($C$4),1),0)+1)</f>
        <v>0</v>
      </c>
      <c r="AD34" s="66">
        <f>COUNTIFS(人员状况!$D:$D,AD$7,人员状况!$E:$E,$B34,人员状况!$G:$G,"&lt;="&amp;EOMONTH(DATE(YEAR($C$4)-1,MONTH($C$4),1),0),人员状况!$H:$H,"&gt;="&amp;EOMONTH(DATE(YEAR($C$4)-1,MONTH($C$4),1),0)+1)</f>
        <v>0</v>
      </c>
      <c r="AE34" s="66">
        <f>COUNTIFS(人员状况!$D:$D,AE$7,人员状况!$E:$E,$B34,人员状况!$G:$G,"&lt;="&amp;EOMONTH(DATE(YEAR($C$4)-1,MONTH($C$4),1),0),人员状况!$H:$H,"&gt;="&amp;EOMONTH(DATE(YEAR($C$4)-1,MONTH($C$4),1),0)+1)</f>
        <v>0</v>
      </c>
      <c r="AF34" s="66">
        <f>COUNTIFS(人员状况!$D:$D,AF$7,人员状况!$E:$E,$B34,人员状况!$G:$G,"&lt;="&amp;EOMONTH(DATE(YEAR($C$4)-1,MONTH($C$4),1),0),人员状况!$H:$H,"&gt;="&amp;EOMONTH(DATE(YEAR($C$4)-1,MONTH($C$4),1),0)+1)</f>
        <v>0</v>
      </c>
      <c r="AG34" s="66">
        <f>W34+SUMIFS(预计变动!$F:$F,预计变动!$C:$C,$B34,预计变动!$I:$I,"&gt;"&amp;EOMONTH(DATE(YEAR($C$4),MONTH($C$4),1),0),预计变动!$I:$I,"&lt;="&amp;DATE(YEAR($C$4),12,31))</f>
        <v>4</v>
      </c>
      <c r="AH34" s="66">
        <f>X34+SUMIFS(预计变动!$F:$F,预计变动!$B:$B,AH$7,预计变动!$C:$C,$B34,预计变动!$I:$I,"&gt;"&amp;EOMONTH(DATE(YEAR($C$4),MONTH($C$4),1),0),预计变动!$I:$I,"&lt;="&amp;DATE(YEAR($C$4),12,31))</f>
        <v>0</v>
      </c>
      <c r="AI34" s="66">
        <f>Y34+SUMIFS(预计变动!$F:$F,预计变动!$B:$B,AI$7,预计变动!$C:$C,$B34,预计变动!$I:$I,"&gt;"&amp;EOMONTH(DATE(YEAR($C$4),MONTH($C$4),1),0),预计变动!$I:$I,"&lt;="&amp;DATE(YEAR($C$4),12,31))</f>
        <v>4</v>
      </c>
      <c r="AJ34" s="66">
        <f>Z34+SUMIFS(预计变动!$F:$F,预计变动!$B:$B,AJ$7,预计变动!$C:$C,$B34,预计变动!$I:$I,"&gt;"&amp;EOMONTH(DATE(YEAR($C$4),MONTH($C$4),1),0),预计变动!$I:$I,"&lt;="&amp;DATE(YEAR($C$4),12,31))</f>
        <v>0</v>
      </c>
      <c r="AK34" s="66">
        <f>AA34+SUMIFS(预计变动!$F:$F,预计变动!$B:$B,AK$7,预计变动!$C:$C,$B34,预计变动!$I:$I,"&gt;"&amp;EOMONTH(DATE(YEAR($C$4),MONTH($C$4),1),0),预计变动!$I:$I,"&lt;="&amp;DATE(YEAR($C$4),12,31))</f>
        <v>0</v>
      </c>
      <c r="AL34" s="66">
        <f>AB34+SUMIFS(预计变动!$F:$F,预计变动!$B:$B,AL$7,预计变动!$C:$C,$B34,预计变动!$I:$I,"&gt;"&amp;EOMONTH(DATE(YEAR($C$4),MONTH($C$4),1),0),预计变动!$I:$I,"&lt;="&amp;DATE(YEAR($C$4),12,31))</f>
        <v>0</v>
      </c>
      <c r="AM34" s="66">
        <f>AC34+SUMIFS(预计变动!$F:$F,预计变动!$B:$B,AM$7,预计变动!$C:$C,$B34,预计变动!$I:$I,"&gt;"&amp;EOMONTH(DATE(YEAR($C$4),MONTH($C$4),1),0),预计变动!$I:$I,"&lt;="&amp;DATE(YEAR($C$4),12,31))</f>
        <v>0</v>
      </c>
      <c r="AN34" s="66">
        <f>AD34+SUMIFS(预计变动!$F:$F,预计变动!$B:$B,AN$7,预计变动!$C:$C,$B34,预计变动!$I:$I,"&gt;"&amp;EOMONTH(DATE(YEAR($C$4),MONTH($C$4),1),0),预计变动!$I:$I,"&lt;="&amp;DATE(YEAR($C$4),12,31))</f>
        <v>0</v>
      </c>
      <c r="AO34" s="66">
        <f>AE34+SUMIFS(预计变动!$F:$F,预计变动!$B:$B,AO$7,预计变动!$C:$C,$B34,预计变动!$I:$I,"&gt;"&amp;EOMONTH(DATE(YEAR($C$4),MONTH($C$4),1),0),预计变动!$I:$I,"&lt;="&amp;DATE(YEAR($C$4),12,31))</f>
        <v>0</v>
      </c>
      <c r="AP34" s="66">
        <f>AF34+SUMIFS(预计变动!$F:$F,预计变动!$B:$B,AP$7,预计变动!$C:$C,$B34,预计变动!$I:$I,"&gt;"&amp;EOMONTH(DATE(YEAR($C$4),MONTH($C$4),1),0),预计变动!$I:$I,"&lt;="&amp;DATE(YEAR($C$4),12,31))</f>
        <v>0</v>
      </c>
      <c r="AQ34" s="66">
        <f>AG34+SUMIFS(预计变动!$F:$F,预计变动!$C:$C,$B34,预计变动!$I:$I,"&gt;="&amp;DATE(YEAR($C$4)+1,1,1),预计变动!$I:$I,"&lt;="&amp;DATE(YEAR($C$4)+1,12,31))</f>
        <v>4</v>
      </c>
      <c r="AR34" s="66">
        <f>AH34+SUMIFS(预计变动!$F:$F,预计变动!$B:$B,AR$7,预计变动!$C:$C,$B34,预计变动!$I:$I,"&gt;="&amp;DATE(YEAR($C$4)+1,1,1),预计变动!$I:$I,"&lt;="&amp;DATE(YEAR($C$4)+1,12,31))</f>
        <v>0</v>
      </c>
      <c r="AS34" s="66">
        <f>AI34+SUMIFS(预计变动!$F:$F,预计变动!$B:$B,AS$7,预计变动!$C:$C,$B34,预计变动!$I:$I,"&gt;="&amp;DATE(YEAR($C$4)+1,1,1),预计变动!$I:$I,"&lt;="&amp;DATE(YEAR($C$4)+1,12,31))</f>
        <v>4</v>
      </c>
      <c r="AT34" s="66">
        <f>AJ34+SUMIFS(预计变动!$F:$F,预计变动!$B:$B,AT$7,预计变动!$C:$C,$B34,预计变动!$I:$I,"&gt;="&amp;DATE(YEAR($C$4)+1,1,1),预计变动!$I:$I,"&lt;="&amp;DATE(YEAR($C$4)+1,12,31))</f>
        <v>0</v>
      </c>
      <c r="AU34" s="66">
        <f>AK34+SUMIFS(预计变动!$F:$F,预计变动!$B:$B,AU$7,预计变动!$C:$C,$B34,预计变动!$I:$I,"&gt;="&amp;DATE(YEAR($C$4)+1,1,1),预计变动!$I:$I,"&lt;="&amp;DATE(YEAR($C$4)+1,12,31))</f>
        <v>0</v>
      </c>
      <c r="AV34" s="66">
        <f>AL34+SUMIFS(预计变动!$F:$F,预计变动!$B:$B,AV$7,预计变动!$C:$C,$B34,预计变动!$I:$I,"&gt;="&amp;DATE(YEAR($C$4)+1,1,1),预计变动!$I:$I,"&lt;="&amp;DATE(YEAR($C$4)+1,12,31))</f>
        <v>0</v>
      </c>
      <c r="AW34" s="66">
        <f>AM34+SUMIFS(预计变动!$F:$F,预计变动!$B:$B,AW$7,预计变动!$C:$C,$B34,预计变动!$I:$I,"&gt;="&amp;DATE(YEAR($C$4)+1,1,1),预计变动!$I:$I,"&lt;="&amp;DATE(YEAR($C$4)+1,12,31))</f>
        <v>0</v>
      </c>
      <c r="AX34" s="66">
        <f>AN34+SUMIFS(预计变动!$F:$F,预计变动!$B:$B,AX$7,预计变动!$C:$C,$B34,预计变动!$I:$I,"&gt;="&amp;DATE(YEAR($C$4)+1,1,1),预计变动!$I:$I,"&lt;="&amp;DATE(YEAR($C$4)+1,12,31))</f>
        <v>0</v>
      </c>
      <c r="AY34" s="66">
        <f>AO34+SUMIFS(预计变动!$F:$F,预计变动!$B:$B,AY$7,预计变动!$C:$C,$B34,预计变动!$I:$I,"&gt;="&amp;DATE(YEAR($C$4)+1,1,1),预计变动!$I:$I,"&lt;="&amp;DATE(YEAR($C$4)+1,12,31))</f>
        <v>0</v>
      </c>
      <c r="AZ34" s="66">
        <f>AP34+SUMIFS(预计变动!$F:$F,预计变动!$B:$B,AZ$7,预计变动!$C:$C,$B34,预计变动!$I:$I,"&gt;="&amp;DATE(YEAR($C$4)+1,1,1),预计变动!$I:$I,"&lt;="&amp;DATE(YEAR($C$4)+1,12,31))</f>
        <v>0</v>
      </c>
    </row>
    <row r="35" ht="24.6" customHeight="1"/>
    <row r="36" spans="2:52">
      <c r="B36" s="69"/>
      <c r="D36" s="53"/>
      <c r="E36" s="53"/>
      <c r="F36" s="53"/>
      <c r="G36" s="53"/>
      <c r="H36" s="53"/>
      <c r="I36" s="53"/>
      <c r="J36" s="53"/>
      <c r="K36" s="53"/>
      <c r="L36" s="53"/>
      <c r="N36" s="53"/>
      <c r="O36" s="53"/>
      <c r="P36" s="53"/>
      <c r="Q36" s="53"/>
      <c r="R36" s="53"/>
      <c r="S36" s="53"/>
      <c r="T36" s="53"/>
      <c r="U36" s="53"/>
      <c r="V36" s="53"/>
      <c r="X36" s="53"/>
      <c r="Y36" s="53"/>
      <c r="Z36" s="53"/>
      <c r="AA36" s="53"/>
      <c r="AB36" s="53"/>
      <c r="AC36" s="53"/>
      <c r="AD36" s="53"/>
      <c r="AE36" s="53"/>
      <c r="AF36" s="53"/>
      <c r="AH36" s="53"/>
      <c r="AI36" s="53"/>
      <c r="AJ36" s="53"/>
      <c r="AK36" s="53"/>
      <c r="AL36" s="53"/>
      <c r="AM36" s="53"/>
      <c r="AN36" s="53"/>
      <c r="AO36" s="53"/>
      <c r="AP36" s="53"/>
      <c r="AR36" s="53"/>
      <c r="AS36" s="53"/>
      <c r="AT36" s="53"/>
      <c r="AU36" s="53"/>
      <c r="AV36" s="53"/>
      <c r="AW36" s="53"/>
      <c r="AX36" s="53"/>
      <c r="AY36" s="53"/>
      <c r="AZ36" s="53"/>
    </row>
  </sheetData>
  <sheetProtection algorithmName="SHA-512" hashValue="V/5zNQZFfhAmGmiagNZO9OnmS5+2ssrRyqZx0oXuYpHIkusgioPcGcON0KJwo4biZbeNVoTCLJ2NutZarQQ97g==" saltValue="fwg33h2NKw79EyPWCgY+mg==" spinCount="100000" sheet="1" formatCells="0" formatColumns="0" formatRows="0"/>
  <mergeCells count="22">
    <mergeCell ref="C4:W4"/>
    <mergeCell ref="D6:E6"/>
    <mergeCell ref="F6:H6"/>
    <mergeCell ref="I6:L6"/>
    <mergeCell ref="N6:O6"/>
    <mergeCell ref="P6:R6"/>
    <mergeCell ref="S6:V6"/>
    <mergeCell ref="X6:Y6"/>
    <mergeCell ref="Z6:AB6"/>
    <mergeCell ref="AC6:AF6"/>
    <mergeCell ref="AH6:AI6"/>
    <mergeCell ref="AJ6:AL6"/>
    <mergeCell ref="AM6:AP6"/>
    <mergeCell ref="AR6:AS6"/>
    <mergeCell ref="AT6:AV6"/>
    <mergeCell ref="AW6:AZ6"/>
    <mergeCell ref="B5:B7"/>
    <mergeCell ref="C6:C7"/>
    <mergeCell ref="M6:M7"/>
    <mergeCell ref="W6:W7"/>
    <mergeCell ref="AG6:AG7"/>
    <mergeCell ref="AQ6:AQ7"/>
  </mergeCells>
  <conditionalFormatting sqref="E9:L9">
    <cfRule type="cellIs" dxfId="33" priority="75" operator="notEqual">
      <formula>0</formula>
    </cfRule>
    <cfRule type="cellIs" dxfId="34" priority="76" operator="equal">
      <formula>0</formula>
    </cfRule>
  </conditionalFormatting>
  <conditionalFormatting sqref="N9">
    <cfRule type="cellIs" dxfId="33" priority="77" operator="notEqual">
      <formula>0</formula>
    </cfRule>
    <cfRule type="cellIs" dxfId="34" priority="78" operator="equal">
      <formula>0</formula>
    </cfRule>
  </conditionalFormatting>
  <conditionalFormatting sqref="O9">
    <cfRule type="cellIs" dxfId="33" priority="73" operator="notEqual">
      <formula>0</formula>
    </cfRule>
    <cfRule type="cellIs" dxfId="34" priority="74" operator="equal">
      <formula>0</formula>
    </cfRule>
  </conditionalFormatting>
  <conditionalFormatting sqref="P9">
    <cfRule type="cellIs" dxfId="33" priority="71" operator="notEqual">
      <formula>0</formula>
    </cfRule>
    <cfRule type="cellIs" dxfId="34" priority="72" operator="equal">
      <formula>0</formula>
    </cfRule>
  </conditionalFormatting>
  <conditionalFormatting sqref="Q9">
    <cfRule type="cellIs" dxfId="33" priority="69" operator="notEqual">
      <formula>0</formula>
    </cfRule>
    <cfRule type="cellIs" dxfId="34" priority="70" operator="equal">
      <formula>0</formula>
    </cfRule>
  </conditionalFormatting>
  <conditionalFormatting sqref="R9">
    <cfRule type="cellIs" dxfId="33" priority="67" operator="notEqual">
      <formula>0</formula>
    </cfRule>
    <cfRule type="cellIs" dxfId="34" priority="68" operator="equal">
      <formula>0</formula>
    </cfRule>
  </conditionalFormatting>
  <conditionalFormatting sqref="S9">
    <cfRule type="cellIs" dxfId="33" priority="65" operator="notEqual">
      <formula>0</formula>
    </cfRule>
    <cfRule type="cellIs" dxfId="34" priority="66" operator="equal">
      <formula>0</formula>
    </cfRule>
  </conditionalFormatting>
  <conditionalFormatting sqref="T9">
    <cfRule type="cellIs" dxfId="33" priority="63" operator="notEqual">
      <formula>0</formula>
    </cfRule>
    <cfRule type="cellIs" dxfId="34" priority="64" operator="equal">
      <formula>0</formula>
    </cfRule>
  </conditionalFormatting>
  <conditionalFormatting sqref="U9">
    <cfRule type="cellIs" dxfId="33" priority="61" operator="notEqual">
      <formula>0</formula>
    </cfRule>
    <cfRule type="cellIs" dxfId="34" priority="62" operator="equal">
      <formula>0</formula>
    </cfRule>
  </conditionalFormatting>
  <conditionalFormatting sqref="V9">
    <cfRule type="cellIs" dxfId="33" priority="59" operator="notEqual">
      <formula>0</formula>
    </cfRule>
    <cfRule type="cellIs" dxfId="34" priority="60" operator="equal">
      <formula>0</formula>
    </cfRule>
  </conditionalFormatting>
  <conditionalFormatting sqref="Y9">
    <cfRule type="cellIs" dxfId="33" priority="57" operator="notEqual">
      <formula>0</formula>
    </cfRule>
    <cfRule type="cellIs" dxfId="34" priority="58" operator="equal">
      <formula>0</formula>
    </cfRule>
  </conditionalFormatting>
  <conditionalFormatting sqref="Z9">
    <cfRule type="cellIs" dxfId="33" priority="55" operator="notEqual">
      <formula>0</formula>
    </cfRule>
    <cfRule type="cellIs" dxfId="34" priority="56" operator="equal">
      <formula>0</formula>
    </cfRule>
  </conditionalFormatting>
  <conditionalFormatting sqref="AA9">
    <cfRule type="cellIs" dxfId="33" priority="53" operator="notEqual">
      <formula>0</formula>
    </cfRule>
    <cfRule type="cellIs" dxfId="34" priority="54" operator="equal">
      <formula>0</formula>
    </cfRule>
  </conditionalFormatting>
  <conditionalFormatting sqref="AB9">
    <cfRule type="cellIs" dxfId="33" priority="51" operator="notEqual">
      <formula>0</formula>
    </cfRule>
    <cfRule type="cellIs" dxfId="34" priority="52" operator="equal">
      <formula>0</formula>
    </cfRule>
  </conditionalFormatting>
  <conditionalFormatting sqref="AC9">
    <cfRule type="cellIs" dxfId="33" priority="49" operator="notEqual">
      <formula>0</formula>
    </cfRule>
    <cfRule type="cellIs" dxfId="34" priority="50" operator="equal">
      <formula>0</formula>
    </cfRule>
  </conditionalFormatting>
  <conditionalFormatting sqref="AD9">
    <cfRule type="cellIs" dxfId="33" priority="47" operator="notEqual">
      <formula>0</formula>
    </cfRule>
    <cfRule type="cellIs" dxfId="34" priority="48" operator="equal">
      <formula>0</formula>
    </cfRule>
  </conditionalFormatting>
  <conditionalFormatting sqref="AE9">
    <cfRule type="cellIs" dxfId="33" priority="45" operator="notEqual">
      <formula>0</formula>
    </cfRule>
    <cfRule type="cellIs" dxfId="34" priority="46" operator="equal">
      <formula>0</formula>
    </cfRule>
  </conditionalFormatting>
  <conditionalFormatting sqref="AF9">
    <cfRule type="cellIs" dxfId="33" priority="43" operator="notEqual">
      <formula>0</formula>
    </cfRule>
    <cfRule type="cellIs" dxfId="34" priority="44" operator="equal">
      <formula>0</formula>
    </cfRule>
  </conditionalFormatting>
  <conditionalFormatting sqref="AG9">
    <cfRule type="cellIs" dxfId="33" priority="41" operator="notEqual">
      <formula>0</formula>
    </cfRule>
    <cfRule type="cellIs" dxfId="34" priority="42" operator="equal">
      <formula>0</formula>
    </cfRule>
  </conditionalFormatting>
  <conditionalFormatting sqref="AH9">
    <cfRule type="cellIs" dxfId="33" priority="39" operator="notEqual">
      <formula>0</formula>
    </cfRule>
    <cfRule type="cellIs" dxfId="34" priority="40" operator="equal">
      <formula>0</formula>
    </cfRule>
  </conditionalFormatting>
  <conditionalFormatting sqref="AI9:AP9">
    <cfRule type="cellIs" dxfId="33" priority="3" operator="notEqual">
      <formula>0</formula>
    </cfRule>
    <cfRule type="cellIs" dxfId="34" priority="4" operator="equal">
      <formula>0</formula>
    </cfRule>
  </conditionalFormatting>
  <conditionalFormatting sqref="AR9">
    <cfRule type="cellIs" dxfId="33" priority="21" operator="notEqual">
      <formula>0</formula>
    </cfRule>
    <cfRule type="cellIs" dxfId="34" priority="22" operator="equal">
      <formula>0</formula>
    </cfRule>
  </conditionalFormatting>
  <conditionalFormatting sqref="AS9:AZ9">
    <cfRule type="cellIs" dxfId="33" priority="1" operator="notEqual">
      <formula>0</formula>
    </cfRule>
    <cfRule type="cellIs" dxfId="34" priority="2" operator="equal">
      <formula>0</formula>
    </cfRule>
  </conditionalFormatting>
  <conditionalFormatting sqref="C9:D9 W9:X9 M9">
    <cfRule type="cellIs" dxfId="33" priority="79" operator="notEqual">
      <formula>0</formula>
    </cfRule>
    <cfRule type="cellIs" dxfId="34" priority="80" operator="equal">
      <formula>0</formula>
    </cfRule>
  </conditionalFormatting>
  <printOptions horizontalCentered="1"/>
  <pageMargins left="0.31496062992126" right="0.31496062992126" top="0.354330708661417" bottom="0.354330708661417" header="0.31496062992126" footer="0.31496062992126"/>
  <pageSetup paperSize="9" orientation="landscape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14"/>
  <sheetViews>
    <sheetView workbookViewId="0">
      <selection activeCell="B25" sqref="B25"/>
    </sheetView>
  </sheetViews>
  <sheetFormatPr defaultColWidth="9" defaultRowHeight="15.6" outlineLevelCol="6"/>
  <cols>
    <col min="1" max="1" width="22.6666666666667" style="43" customWidth="1"/>
    <col min="2" max="2" width="10.4444444444444" style="43" customWidth="1"/>
    <col min="3" max="3" width="13.3333333333333" style="43" customWidth="1"/>
    <col min="4" max="4" width="10.4444444444444" style="43" customWidth="1"/>
    <col min="5" max="5" width="9.55555555555556" style="43" customWidth="1"/>
    <col min="6" max="6" width="13.3333333333333" style="43" customWidth="1"/>
    <col min="7" max="7" width="5.55555555555556" style="43" customWidth="1"/>
    <col min="8" max="8" width="13.7777777777778" style="43" customWidth="1"/>
    <col min="9" max="9" width="10.1111111111111" style="43" customWidth="1"/>
    <col min="10" max="10" width="13.5555555555556" style="43" customWidth="1"/>
    <col min="11" max="11" width="9.88888888888889" style="43" customWidth="1"/>
    <col min="12" max="12" width="13.5555555555556" style="43" customWidth="1"/>
    <col min="13" max="13" width="13.7777777777778" style="43" customWidth="1"/>
    <col min="14" max="14" width="5.77777777777778" style="43" customWidth="1"/>
    <col min="15" max="16384" width="8.88888888888889" style="43"/>
  </cols>
  <sheetData>
    <row r="2" spans="1:2">
      <c r="A2" s="43" t="s">
        <v>332</v>
      </c>
      <c r="B2" s="43" t="s">
        <v>334</v>
      </c>
    </row>
    <row r="4" s="42" customFormat="1" ht="16.2" spans="1:2">
      <c r="A4" s="42" t="s">
        <v>343</v>
      </c>
      <c r="B4" s="42" t="s">
        <v>344</v>
      </c>
    </row>
    <row r="5" s="42" customFormat="1" ht="16.2" spans="2:7">
      <c r="B5" s="42" t="s">
        <v>345</v>
      </c>
      <c r="C5" s="42" t="s">
        <v>346</v>
      </c>
      <c r="D5" s="42" t="s">
        <v>347</v>
      </c>
      <c r="F5" s="42" t="s">
        <v>348</v>
      </c>
      <c r="G5" s="42" t="s">
        <v>349</v>
      </c>
    </row>
    <row r="6" s="42" customFormat="1" ht="16.2" spans="2:5">
      <c r="B6" s="42" t="s">
        <v>350</v>
      </c>
      <c r="D6" s="42" t="s">
        <v>351</v>
      </c>
      <c r="E6" s="42" t="s">
        <v>352</v>
      </c>
    </row>
    <row r="7" s="42" customFormat="1" ht="16.2" spans="1:5">
      <c r="A7" s="42" t="s">
        <v>353</v>
      </c>
      <c r="B7" s="43"/>
      <c r="D7" s="43"/>
      <c r="E7" s="43"/>
    </row>
    <row r="8" spans="1:7">
      <c r="A8" s="44" t="s">
        <v>79</v>
      </c>
      <c r="B8" s="45">
        <v>1</v>
      </c>
      <c r="C8" s="45">
        <v>1</v>
      </c>
      <c r="D8" s="45">
        <v>5</v>
      </c>
      <c r="E8" s="45">
        <v>3</v>
      </c>
      <c r="F8" s="45">
        <v>8</v>
      </c>
      <c r="G8" s="45">
        <v>9</v>
      </c>
    </row>
    <row r="9" spans="1:7">
      <c r="A9" s="46" t="s">
        <v>80</v>
      </c>
      <c r="B9" s="45"/>
      <c r="C9" s="45"/>
      <c r="D9" s="45"/>
      <c r="E9" s="45">
        <v>3</v>
      </c>
      <c r="F9" s="45">
        <v>3</v>
      </c>
      <c r="G9" s="45">
        <v>3</v>
      </c>
    </row>
    <row r="10" spans="1:7">
      <c r="A10" s="47" t="s">
        <v>117</v>
      </c>
      <c r="B10" s="45"/>
      <c r="C10" s="45"/>
      <c r="D10" s="45"/>
      <c r="E10" s="45">
        <v>3</v>
      </c>
      <c r="F10" s="45">
        <v>3</v>
      </c>
      <c r="G10" s="45">
        <v>3</v>
      </c>
    </row>
    <row r="11" spans="1:7">
      <c r="A11" s="46" t="s">
        <v>81</v>
      </c>
      <c r="B11" s="45">
        <v>1</v>
      </c>
      <c r="C11" s="45">
        <v>1</v>
      </c>
      <c r="D11" s="45">
        <v>5</v>
      </c>
      <c r="E11" s="45"/>
      <c r="F11" s="45">
        <v>5</v>
      </c>
      <c r="G11" s="45">
        <v>6</v>
      </c>
    </row>
    <row r="12" spans="1:7">
      <c r="A12" s="47" t="s">
        <v>153</v>
      </c>
      <c r="B12" s="45">
        <v>1</v>
      </c>
      <c r="C12" s="45">
        <v>1</v>
      </c>
      <c r="D12" s="45"/>
      <c r="E12" s="45"/>
      <c r="F12" s="45"/>
      <c r="G12" s="45">
        <v>1</v>
      </c>
    </row>
    <row r="13" spans="1:7">
      <c r="A13" s="47" t="s">
        <v>177</v>
      </c>
      <c r="B13" s="45"/>
      <c r="C13" s="45"/>
      <c r="D13" s="45">
        <v>5</v>
      </c>
      <c r="E13" s="45"/>
      <c r="F13" s="45">
        <v>5</v>
      </c>
      <c r="G13" s="45">
        <v>5</v>
      </c>
    </row>
    <row r="14" spans="1:7">
      <c r="A14" s="44" t="s">
        <v>349</v>
      </c>
      <c r="B14" s="45">
        <v>1</v>
      </c>
      <c r="C14" s="45">
        <v>1</v>
      </c>
      <c r="D14" s="45">
        <v>5</v>
      </c>
      <c r="E14" s="45">
        <v>3</v>
      </c>
      <c r="F14" s="45">
        <v>8</v>
      </c>
      <c r="G14" s="45">
        <v>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10"/>
  <sheetViews>
    <sheetView showGridLines="0" workbookViewId="0">
      <selection activeCell="B2" sqref="B2"/>
    </sheetView>
  </sheetViews>
  <sheetFormatPr defaultColWidth="8.77777777777778" defaultRowHeight="13.2"/>
  <cols>
    <col min="1" max="1" width="3.11111111111111" style="2" customWidth="1"/>
    <col min="2" max="2" width="13.5555555555556" style="2" customWidth="1"/>
    <col min="3" max="17" width="6.22222222222222" style="2" customWidth="1"/>
    <col min="18" max="16384" width="8.77777777777778" style="2"/>
  </cols>
  <sheetData>
    <row r="1" ht="6" customHeight="1"/>
    <row r="2" ht="14.55" customHeight="1" spans="2:2">
      <c r="B2" s="1"/>
    </row>
    <row r="3" ht="22.05" customHeight="1" spans="2:17">
      <c r="B3" s="3" t="s">
        <v>354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="1" customFormat="1" ht="25.95" customHeight="1" spans="2:17">
      <c r="B4" s="5" t="s">
        <v>355</v>
      </c>
      <c r="C4" s="6" t="s">
        <v>356</v>
      </c>
      <c r="D4" s="6" t="s">
        <v>357</v>
      </c>
      <c r="E4" s="6" t="s">
        <v>358</v>
      </c>
      <c r="F4" s="6" t="s">
        <v>359</v>
      </c>
      <c r="G4" s="6" t="s">
        <v>360</v>
      </c>
      <c r="H4" s="6" t="s">
        <v>361</v>
      </c>
      <c r="I4" s="6" t="s">
        <v>362</v>
      </c>
      <c r="J4" s="6" t="s">
        <v>363</v>
      </c>
      <c r="K4" s="6" t="s">
        <v>364</v>
      </c>
      <c r="L4" s="6" t="s">
        <v>365</v>
      </c>
      <c r="M4" s="6" t="s">
        <v>366</v>
      </c>
      <c r="N4" s="6" t="s">
        <v>367</v>
      </c>
      <c r="O4" s="19" t="s">
        <v>368</v>
      </c>
      <c r="P4" s="20" t="s">
        <v>369</v>
      </c>
      <c r="Q4" s="19" t="s">
        <v>370</v>
      </c>
    </row>
    <row r="5" ht="15" customHeight="1" spans="2:17">
      <c r="B5" s="39" t="s">
        <v>321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23"/>
      <c r="P5" s="22"/>
      <c r="Q5" s="21"/>
    </row>
    <row r="6" ht="15" customHeight="1" spans="2:17">
      <c r="B6" s="40" t="s">
        <v>322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3"/>
      <c r="P6" s="24"/>
      <c r="Q6" s="23"/>
    </row>
    <row r="7" ht="15" customHeight="1" spans="2:17">
      <c r="B7" s="40" t="s">
        <v>323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3"/>
      <c r="P7" s="24"/>
      <c r="Q7" s="23"/>
    </row>
    <row r="8" ht="15" customHeight="1" spans="2:17">
      <c r="B8" s="40" t="s">
        <v>324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3"/>
      <c r="P8" s="27"/>
      <c r="Q8" s="26"/>
    </row>
    <row r="9" ht="15" customHeight="1" spans="2:17">
      <c r="B9" s="40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3"/>
      <c r="P9" s="27"/>
      <c r="Q9" s="26"/>
    </row>
    <row r="10" ht="15" customHeight="1" spans="2:17">
      <c r="B10" s="17" t="s">
        <v>76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30"/>
      <c r="P10" s="41"/>
      <c r="Q10" s="30"/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T12"/>
  <sheetViews>
    <sheetView tabSelected="1" workbookViewId="0">
      <selection activeCell="U27" sqref="U27"/>
    </sheetView>
  </sheetViews>
  <sheetFormatPr defaultColWidth="8.77777777777778" defaultRowHeight="13.2"/>
  <cols>
    <col min="1" max="1" width="3.11111111111111" style="2" customWidth="1"/>
    <col min="2" max="2" width="13.5555555555556" style="2" customWidth="1"/>
    <col min="3" max="20" width="6.22222222222222" style="2" customWidth="1"/>
    <col min="21" max="16384" width="8.77777777777778" style="2"/>
  </cols>
  <sheetData>
    <row r="1" ht="6" customHeight="1"/>
    <row r="2" ht="14.55" customHeight="1" spans="2:2">
      <c r="B2" s="1"/>
    </row>
    <row r="3" ht="22.05" customHeight="1" spans="2:20">
      <c r="B3" s="3" t="s">
        <v>371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="1" customFormat="1" ht="25.95" customHeight="1" spans="2:20">
      <c r="B4" s="5" t="s">
        <v>355</v>
      </c>
      <c r="C4" s="6" t="s">
        <v>356</v>
      </c>
      <c r="D4" s="6" t="s">
        <v>357</v>
      </c>
      <c r="E4" s="6" t="s">
        <v>358</v>
      </c>
      <c r="F4" s="6" t="s">
        <v>359</v>
      </c>
      <c r="G4" s="6" t="s">
        <v>360</v>
      </c>
      <c r="H4" s="6" t="s">
        <v>361</v>
      </c>
      <c r="I4" s="6" t="s">
        <v>362</v>
      </c>
      <c r="J4" s="6" t="s">
        <v>363</v>
      </c>
      <c r="K4" s="6" t="s">
        <v>364</v>
      </c>
      <c r="L4" s="6" t="s">
        <v>365</v>
      </c>
      <c r="M4" s="6" t="s">
        <v>366</v>
      </c>
      <c r="N4" s="6" t="s">
        <v>367</v>
      </c>
      <c r="O4" s="19" t="s">
        <v>368</v>
      </c>
      <c r="P4" s="20" t="s">
        <v>369</v>
      </c>
      <c r="Q4" s="32" t="s">
        <v>370</v>
      </c>
      <c r="R4" s="32" t="s">
        <v>372</v>
      </c>
      <c r="S4" s="32" t="s">
        <v>373</v>
      </c>
      <c r="T4" s="19" t="s">
        <v>370</v>
      </c>
    </row>
    <row r="5" ht="15" customHeight="1" spans="2:20">
      <c r="B5" s="7" t="s">
        <v>374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21"/>
      <c r="P5" s="22"/>
      <c r="Q5" s="33"/>
      <c r="R5" s="33"/>
      <c r="S5" s="33"/>
      <c r="T5" s="21"/>
    </row>
    <row r="6" ht="15" customHeight="1" spans="2:20">
      <c r="B6" s="9" t="s">
        <v>375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23"/>
      <c r="P6" s="24"/>
      <c r="Q6" s="34"/>
      <c r="R6" s="34"/>
      <c r="S6" s="34"/>
      <c r="T6" s="23"/>
    </row>
    <row r="7" ht="15" customHeight="1" spans="2:20">
      <c r="B7" s="9" t="s">
        <v>376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23"/>
      <c r="P7" s="24"/>
      <c r="Q7" s="34"/>
      <c r="R7" s="34"/>
      <c r="S7" s="34"/>
      <c r="T7" s="23"/>
    </row>
    <row r="8" ht="15" customHeight="1" spans="2:20">
      <c r="B8" s="11" t="s">
        <v>377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25"/>
      <c r="P8" s="24"/>
      <c r="Q8" s="34"/>
      <c r="R8" s="34"/>
      <c r="S8" s="34"/>
      <c r="T8" s="23"/>
    </row>
    <row r="9" ht="15" customHeight="1" spans="2:20">
      <c r="B9" s="11" t="s">
        <v>378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25"/>
      <c r="P9" s="24"/>
      <c r="Q9" s="34"/>
      <c r="R9" s="34"/>
      <c r="S9" s="34"/>
      <c r="T9" s="23"/>
    </row>
    <row r="10" ht="15" customHeight="1" spans="2:20">
      <c r="B10" s="13" t="s">
        <v>378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26"/>
      <c r="P10" s="27"/>
      <c r="Q10" s="35"/>
      <c r="R10" s="35"/>
      <c r="S10" s="35"/>
      <c r="T10" s="26"/>
    </row>
    <row r="11" ht="15" customHeight="1" spans="2:20">
      <c r="B11" s="15" t="s">
        <v>76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28"/>
      <c r="P11" s="29"/>
      <c r="Q11" s="16"/>
      <c r="R11" s="16"/>
      <c r="S11" s="16"/>
      <c r="T11" s="36"/>
    </row>
    <row r="12" ht="15" customHeight="1" spans="2:20">
      <c r="B12" s="17" t="s">
        <v>76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30"/>
      <c r="P12" s="31"/>
      <c r="Q12" s="37"/>
      <c r="R12" s="37"/>
      <c r="S12" s="37"/>
      <c r="T12" s="38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��:S�W:S�W#��N-N�_��L��~�\MO_�R�S�V�Npe��X+�Q-	�����_�R�egeg�n�e�X�Q\����_�R�eg (t^����_�R�eg (c[�^����_�R�eg (g"}_����_�R�eg (g
</file>

<file path=customXml/item4.xml>��:S�W#��N-N�_��L��~�\MO_�R�S�V�Npe��X+�Q-	�����_�R�egeg�n�e�X����_�R�eg (t^�Q\����_�R�eg (c[�^����_�R�eg (g"}_����_�R�eg (g#��N-N�_��L��~�\MO_�R�S�V�Npe��X+�Q-	�����_�R�egeg�n�e�X����_�R�eg (t^�Q\����_�R�eg (c[�^����_�R�eg (g"}_����_�R�eg (g
</file>

<file path=customXml/itemProps1.xml><?xml version="1.0" encoding="utf-8"?>
<ds:datastoreItem xmlns:ds="http://schemas.openxmlformats.org/officeDocument/2006/customXml" ds:itemID="{61B78041-C9FC-4D6D-87A0-8EAE712E4919}">
  <ds:schemaRefs/>
</ds:datastoreItem>
</file>

<file path=customXml/itemProps2.xml><?xml version="1.0" encoding="utf-8"?>
<ds:datastoreItem xmlns:ds="http://schemas.openxmlformats.org/officeDocument/2006/customXml" ds:itemID="{A92E65FE-C023-41AC-92C9-2FFDD13FA2FF}">
  <ds:schemaRefs/>
</ds:datastoreItem>
</file>

<file path=customXml/itemProps3.xml><?xml version="1.0" encoding="utf-8"?>
<ds:datastoreItem xmlns:ds="http://schemas.openxmlformats.org/officeDocument/2006/customXml" ds:itemID="{367AFE6A-54CF-48BE-9AAC-181206AE2443}">
  <ds:schemaRefs/>
</ds:datastoreItem>
</file>

<file path=customXml/itemProps4.xml><?xml version="1.0" encoding="utf-8"?>
<ds:datastoreItem xmlns:ds="http://schemas.openxmlformats.org/officeDocument/2006/customXml" ds:itemID="{0E7CCCE9-FCDF-4847-98C9-434CF27F57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薪酬预算校准表</vt:lpstr>
      <vt:lpstr>人力资源数据汇总</vt:lpstr>
      <vt:lpstr>薪酬明细</vt:lpstr>
      <vt:lpstr>社保明细</vt:lpstr>
      <vt:lpstr>福利费明细</vt:lpstr>
      <vt:lpstr>培训费明细</vt:lpstr>
      <vt:lpstr>招聘费明细</vt:lpstr>
      <vt:lpstr>人员状况</vt:lpstr>
      <vt:lpstr>预计变动</vt:lpstr>
      <vt:lpstr>人力资源规划一览表</vt:lpstr>
      <vt:lpstr>招聘计划</vt:lpstr>
      <vt:lpstr>招聘管理费预算表</vt:lpstr>
      <vt:lpstr>学习培训费预算表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2021-08-10T01:51:00Z</dcterms:created>
  <dcterms:modified xsi:type="dcterms:W3CDTF">2022-12-03T16:14:47Z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5AB1481EB6FD4084AFA71868AF830A89</vt:lpwstr>
  </property>
  <property fmtid="{D5CDD505-2E9C-101B-9397-08002B2CF9AE}" pid="3" name="KSOProductBuildVer">
    <vt:lpwstr>2052-11.1.0.12763</vt:lpwstr>
  </property>
</Properties>
</file>