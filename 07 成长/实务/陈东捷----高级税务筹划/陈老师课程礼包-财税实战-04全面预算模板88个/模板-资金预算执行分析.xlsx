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67" tabRatio="933" firstSheet="6" activeTab="19"/>
  </bookViews>
  <sheets>
    <sheet name="资金预算汇总表" sheetId="1" r:id="rId1"/>
    <sheet name="运营整体预算执行情况" sheetId="25" r:id="rId2"/>
    <sheet name="运营收款预算表" sheetId="2" r:id="rId3"/>
    <sheet name="供应商货款" sheetId="4" r:id="rId4"/>
    <sheet name="应付票据明细" sheetId="23" r:id="rId5"/>
    <sheet name="线下门店收款预算表" sheetId="3" r:id="rId6"/>
    <sheet name="人力资源部" sheetId="11" r:id="rId7"/>
    <sheet name="财务部" sheetId="12" r:id="rId8"/>
    <sheet name="电商" sheetId="5" r:id="rId9"/>
    <sheet name="销售支持组" sheetId="10" r:id="rId10"/>
    <sheet name="线下销售部" sheetId="15" r:id="rId11"/>
    <sheet name="市场部" sheetId="13" r:id="rId12"/>
    <sheet name="电商设计部" sheetId="14" r:id="rId13"/>
    <sheet name="产品设计部" sheetId="16" r:id="rId14"/>
    <sheet name="采购部" sheetId="6" r:id="rId15"/>
    <sheet name="行政部" sheetId="19" r:id="rId16"/>
    <sheet name="差异明细" sheetId="24" r:id="rId17"/>
    <sheet name="付款统计表" sheetId="20" r:id="rId18"/>
    <sheet name="收款日报表" sheetId="21" r:id="rId19"/>
    <sheet name="货款付款统计表" sheetId="22" r:id="rId20"/>
  </sheets>
  <definedNames>
    <definedName name="_xlnm._FilterDatabase" localSheetId="18" hidden="1">收款日报表!$A$2:$AS$154</definedName>
  </definedName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C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收回BU旗舰店、减字专卖店
</t>
        </r>
      </text>
    </comment>
    <comment ref="B2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按开兴业银承50%预估；开中行则为票据金额*40%
</t>
        </r>
      </text>
    </comment>
    <comment ref="C36" authorId="0">
      <text>
        <r>
          <rPr>
            <sz val="9"/>
            <rFont val="宋体"/>
            <charset val="134"/>
          </rPr>
          <t>预估数</t>
        </r>
      </text>
    </comment>
    <comment ref="I40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银承部分，提现为不可提现资金</t>
        </r>
      </text>
    </comment>
    <comment ref="I4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菜鸟仓储费</t>
        </r>
      </text>
    </comment>
    <comment ref="C44" authorId="0">
      <text>
        <r>
          <rPr>
            <sz val="9"/>
            <rFont val="宋体"/>
            <charset val="134"/>
          </rPr>
          <t xml:space="preserve">总付款-报销（以上付款明细+还贷+利息）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I25" authorId="0">
      <text>
        <r>
          <rPr>
            <sz val="9"/>
            <rFont val="宋体"/>
            <charset val="134"/>
          </rPr>
          <t>1月长期合作的经销商均有大量年返和及售后返点兑现，因此没采购需求。收入主要来自新增的礼品单。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B25" authorId="0">
      <text>
        <r>
          <rPr>
            <sz val="9"/>
            <rFont val="宋体"/>
            <charset val="134"/>
          </rPr>
          <t>包括税控系统年费和银行U盾等费用支出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B5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充值部分，非实际消耗</t>
        </r>
      </text>
    </comment>
    <comment ref="C21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按预算收款金额的10%计算</t>
        </r>
      </text>
    </comment>
    <comment ref="E2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有货退货运费</t>
        </r>
      </text>
    </comment>
    <comment ref="H2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有货退货运费</t>
        </r>
      </text>
    </comment>
    <comment ref="K26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有货退货运费</t>
        </r>
      </text>
    </comment>
  </commentList>
</comments>
</file>

<file path=xl/comments5.xml><?xml version="1.0" encoding="utf-8"?>
<comments xmlns="http://schemas.openxmlformats.org/spreadsheetml/2006/main">
  <authors>
    <author>作者</author>
  </authors>
  <commentList>
    <comment ref="D24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蕉下体验终端旺季中岛形象设计尾款费用</t>
        </r>
      </text>
    </comment>
    <comment ref="D29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无锡宜家店重复付的货款退回，个人借支4.5万元</t>
        </r>
      </text>
    </comment>
  </commentList>
</comments>
</file>

<file path=xl/comments6.xml><?xml version="1.0" encoding="utf-8"?>
<comments xmlns="http://schemas.openxmlformats.org/spreadsheetml/2006/main">
  <authors>
    <author>作者</author>
  </authors>
  <commentList>
    <comment ref="C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袖套、玩偶打样
</t>
        </r>
      </text>
    </comment>
    <comment ref="C8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18年BU伞质检</t>
        </r>
      </text>
    </comment>
  </commentList>
</comments>
</file>

<file path=xl/comments7.xml><?xml version="1.0" encoding="utf-8"?>
<comments xmlns="http://schemas.openxmlformats.org/spreadsheetml/2006/main">
  <authors>
    <author>作者</author>
  </authors>
  <commentList>
    <comment ref="F11" authorId="0">
      <text>
        <r>
          <rPr>
            <b/>
            <sz val="11"/>
            <rFont val="MS PGothic"/>
            <charset val="134"/>
          </rPr>
          <t>作者:</t>
        </r>
        <r>
          <rPr>
            <sz val="11"/>
            <rFont val="MS PGothic"/>
            <charset val="134"/>
          </rPr>
          <t xml:space="preserve">
收京东BUPOP店货到付款部分货款</t>
        </r>
      </text>
    </comment>
    <comment ref="R47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杭州云升电力科技有限公司</t>
        </r>
      </text>
    </comment>
    <comment ref="C12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后面开的店，款都打一起，没有分店</t>
        </r>
      </text>
    </comment>
    <comment ref="L1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昆明区域线下合作意向金
</t>
        </r>
      </text>
    </comment>
    <comment ref="X152" authorId="0">
      <text>
        <r>
          <rPr>
            <b/>
            <sz val="9"/>
            <rFont val="宋体"/>
            <charset val="134"/>
          </rPr>
          <t>Windows 
朱江宇归还借支</t>
        </r>
      </text>
    </comment>
    <comment ref="AD1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上海宁玲文化传播有限公司退回部分合作款</t>
        </r>
      </text>
    </comment>
    <comment ref="AE1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（东莞市康博服饰有限公司）退回样品费</t>
        </r>
      </text>
    </comment>
    <comment ref="AF1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深圳市金光华商业有限公司退租赁保证金</t>
        </r>
      </text>
    </comment>
    <comment ref="AG1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南京惠韬智信百货贸易有限公司保证金
</t>
        </r>
      </text>
    </comment>
    <comment ref="AL152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深圳市科技创新委员会研发补助
</t>
        </r>
      </text>
    </comment>
    <comment ref="V15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理财收益
</t>
        </r>
      </text>
    </comment>
    <comment ref="Z153" authorId="0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理财收益
</t>
        </r>
      </text>
    </comment>
  </commentList>
</comments>
</file>

<file path=xl/sharedStrings.xml><?xml version="1.0" encoding="utf-8"?>
<sst xmlns="http://schemas.openxmlformats.org/spreadsheetml/2006/main" count="1481" uniqueCount="521">
  <si>
    <t>2018年（1）月资金预算表</t>
  </si>
  <si>
    <t>项目</t>
  </si>
  <si>
    <t>集团预算合计</t>
  </si>
  <si>
    <t>集团实际发生金额</t>
  </si>
  <si>
    <t>集团差异(预算-实际）</t>
  </si>
  <si>
    <t>执行率</t>
  </si>
  <si>
    <t>一、账面资金余额</t>
  </si>
  <si>
    <t xml:space="preserve">   其中不可用金额</t>
  </si>
  <si>
    <t xml:space="preserve">                       -银承保证金</t>
  </si>
  <si>
    <t xml:space="preserve">                       -支付宝不可提现余额</t>
  </si>
  <si>
    <t xml:space="preserve">                       -定期存款等其他不可使用资金</t>
  </si>
  <si>
    <t xml:space="preserve">                       -其他</t>
  </si>
  <si>
    <t xml:space="preserve">  期初银承敞口金额</t>
  </si>
  <si>
    <t>二、期初可动用资金余额</t>
  </si>
  <si>
    <t>三、加：资金收入</t>
  </si>
  <si>
    <t xml:space="preserve">  1、直营平台1组收款</t>
  </si>
  <si>
    <t xml:space="preserve">  2、直营平台2组收款</t>
  </si>
  <si>
    <t xml:space="preserve">  3、代销平台组收款</t>
  </si>
  <si>
    <t xml:space="preserve">  4、渠道组收款</t>
  </si>
  <si>
    <t xml:space="preserve">  5、线下门店收款</t>
  </si>
  <si>
    <t xml:space="preserve">  6、往来</t>
  </si>
  <si>
    <t xml:space="preserve">  7、其他</t>
  </si>
  <si>
    <t xml:space="preserve">  8、收客户押金</t>
  </si>
  <si>
    <t xml:space="preserve">  9、收各种保证金&amp;押金(其他）</t>
  </si>
  <si>
    <t>四、可供使用资金：</t>
  </si>
  <si>
    <t>五、减：资金支出</t>
  </si>
  <si>
    <t xml:space="preserve">  1、供应商货款（采购）-电汇</t>
  </si>
  <si>
    <t xml:space="preserve">       供应商货款（采购）-票面金额</t>
  </si>
  <si>
    <t xml:space="preserve">                                    -保证金</t>
  </si>
  <si>
    <t xml:space="preserve">                                    -敞口</t>
  </si>
  <si>
    <t xml:space="preserve">       本月到期实际支付银承</t>
  </si>
  <si>
    <t xml:space="preserve">                                   -保证金</t>
  </si>
  <si>
    <t xml:space="preserve">                                   -敞口</t>
  </si>
  <si>
    <t xml:space="preserve">  2、工资、五险一金</t>
  </si>
  <si>
    <t xml:space="preserve">  3、办公室租金（物业&amp;水电）</t>
  </si>
  <si>
    <t xml:space="preserve">  4、站内推广</t>
  </si>
  <si>
    <t xml:space="preserve">  5、站外推广</t>
  </si>
  <si>
    <t xml:space="preserve">  6、品牌推广</t>
  </si>
  <si>
    <t xml:space="preserve">  7、平台费用（天猫&amp;京东、聚划算、淘宝客）</t>
  </si>
  <si>
    <t xml:space="preserve">  8、外包客服费用</t>
  </si>
  <si>
    <t xml:space="preserve">  9、外包仓储费（科捷、菜鸟、唯品会）</t>
  </si>
  <si>
    <t xml:space="preserve"> 10、税金</t>
  </si>
  <si>
    <t>预算</t>
  </si>
  <si>
    <t>实际</t>
  </si>
  <si>
    <t>检验</t>
  </si>
  <si>
    <t xml:space="preserve"> 11、线下门店费用类支出</t>
  </si>
  <si>
    <t>供应商</t>
  </si>
  <si>
    <t xml:space="preserve"> 12、线下门店保证金、押金支出</t>
  </si>
  <si>
    <t>所有费用</t>
  </si>
  <si>
    <t xml:space="preserve"> 13、线下门店投资性支出</t>
  </si>
  <si>
    <t xml:space="preserve"> 14、费用报销支出</t>
  </si>
  <si>
    <t xml:space="preserve"> 15、其他经营费用支出</t>
  </si>
  <si>
    <t xml:space="preserve"> 16、归还借款</t>
  </si>
  <si>
    <t xml:space="preserve"> 17、支付利息</t>
  </si>
  <si>
    <t>六、资金余额</t>
  </si>
  <si>
    <t xml:space="preserve">   本期增加贷款</t>
  </si>
  <si>
    <t>芝士资金表2018.01.31</t>
  </si>
  <si>
    <t>一、货币资金合计：</t>
  </si>
  <si>
    <t xml:space="preserve">    其中：可用资金:</t>
  </si>
  <si>
    <t xml:space="preserve">       1、银行存款</t>
  </si>
  <si>
    <t xml:space="preserve">       2、其他账号（可提现）</t>
  </si>
  <si>
    <t xml:space="preserve">       3、备用金</t>
  </si>
  <si>
    <t xml:space="preserve">  其中可用金额</t>
  </si>
  <si>
    <t xml:space="preserve">    其中：不可用资金:</t>
  </si>
  <si>
    <t xml:space="preserve">  银承敞口金额</t>
  </si>
  <si>
    <t>七、期末现金余额或缺口</t>
  </si>
  <si>
    <t xml:space="preserve">       2、其他账号（不可提现）</t>
  </si>
  <si>
    <t>20XX年（X）月运营预算执行情况</t>
  </si>
  <si>
    <t>部门</t>
  </si>
  <si>
    <t>客户/平台/店铺</t>
  </si>
  <si>
    <t>负责人</t>
  </si>
  <si>
    <t>收款</t>
  </si>
  <si>
    <t>销售额（含税）</t>
  </si>
  <si>
    <t>推广费</t>
  </si>
  <si>
    <t>销售推广占比</t>
  </si>
  <si>
    <r>
      <rPr>
        <b/>
        <sz val="10"/>
        <color rgb="FFFF0000"/>
        <rFont val="微软雅黑"/>
        <charset val="134"/>
      </rPr>
      <t>注：</t>
    </r>
    <r>
      <rPr>
        <sz val="10"/>
        <color rgb="FFFF0000"/>
        <rFont val="微软雅黑"/>
        <charset val="134"/>
      </rPr>
      <t>推广费仅包含钻展、直通车、品销宝和聚划算参团服务费，淘宝客等站内推广及其他站外推广金额较小，未计入核算</t>
    </r>
  </si>
  <si>
    <t>自营平台1组</t>
  </si>
  <si>
    <t>天猫旗舰店</t>
  </si>
  <si>
    <t>XXX</t>
  </si>
  <si>
    <t>淘宝自营店</t>
  </si>
  <si>
    <t>天猫专卖店</t>
  </si>
  <si>
    <t>有货</t>
  </si>
  <si>
    <t>合  计</t>
  </si>
  <si>
    <t>完成率</t>
  </si>
  <si>
    <t>自营平台2组</t>
  </si>
  <si>
    <t>淘宝小店</t>
  </si>
  <si>
    <t>网易考拉</t>
  </si>
  <si>
    <t>京东POP</t>
  </si>
  <si>
    <t>有赞</t>
  </si>
  <si>
    <t>销售额</t>
  </si>
  <si>
    <t>代销平台组</t>
  </si>
  <si>
    <t>京东自营</t>
  </si>
  <si>
    <t>唯品会</t>
  </si>
  <si>
    <t>渠道组</t>
  </si>
  <si>
    <t>分销</t>
  </si>
  <si>
    <t>费用</t>
  </si>
  <si>
    <t>费用销售占比</t>
  </si>
  <si>
    <t>线下店铺</t>
  </si>
  <si>
    <t>线下门店</t>
  </si>
  <si>
    <t>2018年（1）月收款预算表</t>
  </si>
  <si>
    <t>收款主体</t>
  </si>
  <si>
    <t>客户代码</t>
  </si>
  <si>
    <t>结算期</t>
  </si>
  <si>
    <t xml:space="preserve">结算方式 </t>
  </si>
  <si>
    <t>币别</t>
  </si>
  <si>
    <t>预算收入货款</t>
  </si>
  <si>
    <t>预算-实际</t>
  </si>
  <si>
    <t>回款完成率</t>
  </si>
  <si>
    <t>电商运营部</t>
  </si>
  <si>
    <t>1001</t>
  </si>
  <si>
    <t>天猫店</t>
  </si>
  <si>
    <t>实时结算</t>
  </si>
  <si>
    <t>支付宝转账</t>
  </si>
  <si>
    <t>人民币</t>
  </si>
  <si>
    <t>1002</t>
  </si>
  <si>
    <t>淘宝主店</t>
  </si>
  <si>
    <t>1003</t>
  </si>
  <si>
    <t>京东POP店</t>
  </si>
  <si>
    <t>1004</t>
  </si>
  <si>
    <t>1005</t>
  </si>
  <si>
    <t>拼多多</t>
  </si>
  <si>
    <t>小计</t>
  </si>
  <si>
    <t>野球帝自媒体</t>
  </si>
  <si>
    <t>2001</t>
  </si>
  <si>
    <t>2002</t>
  </si>
  <si>
    <t>2003</t>
  </si>
  <si>
    <t>2005</t>
  </si>
  <si>
    <t>线下场馆</t>
  </si>
  <si>
    <t>3001</t>
  </si>
  <si>
    <t>下月初回款</t>
  </si>
  <si>
    <t>银行汇款</t>
  </si>
  <si>
    <t>3002</t>
  </si>
  <si>
    <t>4001</t>
  </si>
  <si>
    <t>4002</t>
  </si>
  <si>
    <t>4003</t>
  </si>
  <si>
    <t>4004</t>
  </si>
  <si>
    <t>商务组</t>
  </si>
  <si>
    <t>5001</t>
  </si>
  <si>
    <t>5002</t>
  </si>
  <si>
    <t>其他</t>
  </si>
  <si>
    <t>6001</t>
  </si>
  <si>
    <t>小  计</t>
  </si>
  <si>
    <t>8888</t>
  </si>
  <si>
    <t>20xx年（xx）月供应商货款支付预算</t>
  </si>
  <si>
    <t>月份</t>
  </si>
  <si>
    <t>序
号</t>
  </si>
  <si>
    <t>支付
公司</t>
  </si>
  <si>
    <t>供应商编码</t>
  </si>
  <si>
    <t>供应商
简称</t>
  </si>
  <si>
    <t>采购员</t>
  </si>
  <si>
    <t>采购内容</t>
  </si>
  <si>
    <t>付款条件</t>
  </si>
  <si>
    <t>入库月份</t>
  </si>
  <si>
    <t>预算支付金额</t>
  </si>
  <si>
    <t>实际支付</t>
  </si>
  <si>
    <t>备注</t>
  </si>
  <si>
    <t>电汇</t>
  </si>
  <si>
    <t>承兑</t>
  </si>
  <si>
    <t>1月</t>
  </si>
  <si>
    <t>电汇部分货款执行率</t>
  </si>
  <si>
    <t>2018年应付票据汇总</t>
  </si>
  <si>
    <t>期初余额</t>
  </si>
  <si>
    <t>本期增加</t>
  </si>
  <si>
    <t>本期减少（到期票据）</t>
  </si>
  <si>
    <t>期末余额</t>
  </si>
  <si>
    <t>票面金额</t>
  </si>
  <si>
    <t>保证金</t>
  </si>
  <si>
    <t>敞口</t>
  </si>
  <si>
    <t>应付票据明细表</t>
  </si>
  <si>
    <t>序号</t>
  </si>
  <si>
    <t>开票银行</t>
  </si>
  <si>
    <t>出票单位</t>
  </si>
  <si>
    <t>票据号</t>
  </si>
  <si>
    <t>出票日期</t>
  </si>
  <si>
    <t>出票月份</t>
  </si>
  <si>
    <t>到期日期</t>
  </si>
  <si>
    <t>到期月份</t>
  </si>
  <si>
    <t>票据金额</t>
  </si>
  <si>
    <t>支付保证金</t>
  </si>
  <si>
    <t>敞口金额</t>
  </si>
  <si>
    <t>支付供应商</t>
  </si>
  <si>
    <t>支付日期</t>
  </si>
  <si>
    <t>兴业银行深圳中心区支行</t>
  </si>
  <si>
    <t>中行深圳宝安支行</t>
  </si>
  <si>
    <t>杭州银行深圳科技支行</t>
  </si>
  <si>
    <t>仲达生日蛋糕</t>
  </si>
  <si>
    <t>20XX年（X）月线下门店收款预算表</t>
  </si>
  <si>
    <t>店铺模式</t>
  </si>
  <si>
    <t>店铺名称</t>
  </si>
  <si>
    <t>预算数</t>
  </si>
  <si>
    <t>执行数</t>
  </si>
  <si>
    <t>销售收入金额</t>
  </si>
  <si>
    <t>收回保证金</t>
  </si>
  <si>
    <t>收到联营商押金</t>
  </si>
  <si>
    <t>直营</t>
  </si>
  <si>
    <t>上海正大浦东店</t>
  </si>
  <si>
    <t>减字</t>
  </si>
  <si>
    <t>联营</t>
  </si>
  <si>
    <t>诺学</t>
  </si>
  <si>
    <t>合计</t>
  </si>
  <si>
    <t>人力资源部月资金预算</t>
  </si>
  <si>
    <t>付款类型</t>
  </si>
  <si>
    <t>付款明细</t>
  </si>
  <si>
    <t>预算-执行</t>
  </si>
  <si>
    <t>人才招聘费</t>
  </si>
  <si>
    <t>招聘费</t>
  </si>
  <si>
    <t>工资</t>
  </si>
  <si>
    <t>实发工资</t>
  </si>
  <si>
    <t>社保</t>
  </si>
  <si>
    <t>公积金</t>
  </si>
  <si>
    <t>个税</t>
  </si>
  <si>
    <t>福利费</t>
  </si>
  <si>
    <t>周运动</t>
  </si>
  <si>
    <t>其他福利费（包括管理层开会餐费）</t>
  </si>
  <si>
    <t>车辆费</t>
  </si>
  <si>
    <t>停车费及油费</t>
  </si>
  <si>
    <t>办公费</t>
  </si>
  <si>
    <t>饮用水费用</t>
  </si>
  <si>
    <t>总经办相关费用（包括餐费、相关其他采购）</t>
  </si>
  <si>
    <t>办公用品月结</t>
  </si>
  <si>
    <t>快递费</t>
  </si>
  <si>
    <t>月结快递费</t>
  </si>
  <si>
    <t>交通差旅费</t>
  </si>
  <si>
    <t>携程、阿里商旅月结费用</t>
  </si>
  <si>
    <t>办公室租金/维护费用</t>
  </si>
  <si>
    <t>租金&amp;物业</t>
  </si>
  <si>
    <t>办公室水电</t>
  </si>
  <si>
    <t>办公室清洁费</t>
  </si>
  <si>
    <t>其他修理费</t>
  </si>
  <si>
    <t>费用报销</t>
  </si>
  <si>
    <t>招待费</t>
  </si>
  <si>
    <t>采购费用（日常办公用品采购）</t>
  </si>
  <si>
    <t>总  计</t>
  </si>
  <si>
    <t>工资、五险一金</t>
  </si>
  <si>
    <t>办公室租金水电</t>
  </si>
  <si>
    <t>报销费用</t>
  </si>
  <si>
    <t>其他运营付款</t>
  </si>
  <si>
    <t>财务部月资金预算</t>
  </si>
  <si>
    <t>贷款</t>
  </si>
  <si>
    <t>还贷款</t>
  </si>
  <si>
    <t>税金</t>
  </si>
  <si>
    <t>增值税</t>
  </si>
  <si>
    <t>文化建设税</t>
  </si>
  <si>
    <t>附加税</t>
  </si>
  <si>
    <t>企业所得税</t>
  </si>
  <si>
    <t>印花税</t>
  </si>
  <si>
    <t>滞纳金</t>
  </si>
  <si>
    <t>财务费用</t>
  </si>
  <si>
    <t>手续及工本费</t>
  </si>
  <si>
    <t>利息支出</t>
  </si>
  <si>
    <t>物流仓储费</t>
  </si>
  <si>
    <t>科捷物流</t>
  </si>
  <si>
    <t>跨越物流</t>
  </si>
  <si>
    <t>唯品仓储费</t>
  </si>
  <si>
    <t>菜鸟仓储费</t>
  </si>
  <si>
    <t>客服外包服务费</t>
  </si>
  <si>
    <t>专业咨询服务费</t>
  </si>
  <si>
    <t>咨询费</t>
  </si>
  <si>
    <t>办公室租金</t>
  </si>
  <si>
    <t>上海办公室费用</t>
  </si>
  <si>
    <t>支付宝退款</t>
  </si>
  <si>
    <t>售后退款</t>
  </si>
  <si>
    <t>其他付款</t>
  </si>
  <si>
    <t>采购费用</t>
  </si>
  <si>
    <t>其他报销</t>
  </si>
  <si>
    <t>月电商资金支出预算表</t>
  </si>
  <si>
    <t>引用</t>
  </si>
  <si>
    <t>类别</t>
  </si>
  <si>
    <t>明细</t>
  </si>
  <si>
    <t>2月</t>
  </si>
  <si>
    <t>3月</t>
  </si>
  <si>
    <t>预计支付金额</t>
  </si>
  <si>
    <t>站内推广</t>
  </si>
  <si>
    <t>天猫-钻展</t>
  </si>
  <si>
    <t>天猫-直通车</t>
  </si>
  <si>
    <t>天猫-品销宝</t>
  </si>
  <si>
    <t>天猫-如意淘</t>
  </si>
  <si>
    <t>天猫-聚划算</t>
  </si>
  <si>
    <t>天猫-淘抢购</t>
  </si>
  <si>
    <t>天猫-其他</t>
  </si>
  <si>
    <t>阿里V任务</t>
  </si>
  <si>
    <t>6601.019</t>
  </si>
  <si>
    <t>站外推广</t>
  </si>
  <si>
    <t>360推广</t>
  </si>
  <si>
    <t>百度推广</t>
  </si>
  <si>
    <t>短信推广费</t>
  </si>
  <si>
    <t>粉丝通</t>
  </si>
  <si>
    <t>淘客佣金（站外）</t>
  </si>
  <si>
    <t>站外推广-其他</t>
  </si>
  <si>
    <t>6601.020.001</t>
  </si>
  <si>
    <t>平台佣金</t>
  </si>
  <si>
    <t>天猫佣金</t>
  </si>
  <si>
    <t>6601.006</t>
  </si>
  <si>
    <t>6601.010</t>
  </si>
  <si>
    <t>业务招待费</t>
  </si>
  <si>
    <t>6601.031</t>
  </si>
  <si>
    <t>2017年销售支持组资金支出预算表</t>
  </si>
  <si>
    <t>8月</t>
  </si>
  <si>
    <t>线下销售部月资金预算</t>
  </si>
  <si>
    <t>付款大类</t>
  </si>
  <si>
    <t>费用明细</t>
  </si>
  <si>
    <t>线下门店费用类支出</t>
  </si>
  <si>
    <t>门店租金&amp;物业费</t>
  </si>
  <si>
    <t>门店水电费</t>
  </si>
  <si>
    <t>门店推广费</t>
  </si>
  <si>
    <t>门店POS机租金</t>
  </si>
  <si>
    <t>门店其他</t>
  </si>
  <si>
    <t>线下门店保证金、押金支出</t>
  </si>
  <si>
    <t>门店租金押金</t>
  </si>
  <si>
    <t>门店装修押金</t>
  </si>
  <si>
    <t>门店质保金</t>
  </si>
  <si>
    <t>门店物业保证金</t>
  </si>
  <si>
    <t>门店装修保证金</t>
  </si>
  <si>
    <t>门店收银系统押金</t>
  </si>
  <si>
    <t>门店履约保证金</t>
  </si>
  <si>
    <t>门店其他保证金</t>
  </si>
  <si>
    <t>线下门店投资性支出</t>
  </si>
  <si>
    <t>门店入场费</t>
  </si>
  <si>
    <t>门店装修费</t>
  </si>
  <si>
    <t>门店道具费</t>
  </si>
  <si>
    <t>门店灯具费</t>
  </si>
  <si>
    <t>门店收银系统、设备</t>
  </si>
  <si>
    <t>门店其他支出</t>
  </si>
  <si>
    <t>小 计</t>
  </si>
  <si>
    <t>备用金报销</t>
  </si>
  <si>
    <t>市场部（1）月资金预算</t>
  </si>
  <si>
    <t>品牌推广——红人</t>
  </si>
  <si>
    <t>品牌推广——明星</t>
  </si>
  <si>
    <t>品牌推广——微信</t>
  </si>
  <si>
    <t>品牌推广——其他</t>
  </si>
  <si>
    <t>1月品牌推广预算明细表</t>
  </si>
  <si>
    <t>对方单位</t>
  </si>
  <si>
    <t>经办人</t>
  </si>
  <si>
    <t>11月份新闻稿发布费用</t>
  </si>
  <si>
    <t>报销</t>
  </si>
  <si>
    <t>电商设计部月资金预算</t>
  </si>
  <si>
    <t>设计——拍摄费</t>
  </si>
  <si>
    <t>18大片拍摄，18产品图拍摄外包</t>
  </si>
  <si>
    <t>上海拍摄来回住宿，新产品开发外出</t>
  </si>
  <si>
    <t>拍摄道具采购，产品开发样品采购</t>
  </si>
  <si>
    <t>产品设计部月资金预算</t>
  </si>
  <si>
    <t>打样费</t>
  </si>
  <si>
    <t>手表、鞋子</t>
  </si>
  <si>
    <t>测试、表测试、箱子、鞋子测试</t>
  </si>
  <si>
    <t>采购部资金预算</t>
  </si>
  <si>
    <t>仓库备用金报销</t>
  </si>
  <si>
    <t>总计：</t>
  </si>
  <si>
    <t>行政部月资金预算</t>
  </si>
  <si>
    <t>专利费</t>
  </si>
  <si>
    <t>专业服务费</t>
  </si>
  <si>
    <t xml:space="preserve">各项资金预算执行项目及部门差异明细 </t>
  </si>
  <si>
    <t>运营-自营一组</t>
  </si>
  <si>
    <t>运营-自营二组</t>
  </si>
  <si>
    <t>运营-代销平台组</t>
  </si>
  <si>
    <t>运营-渠道组</t>
  </si>
  <si>
    <t>线下销售</t>
  </si>
  <si>
    <t>市场部</t>
  </si>
  <si>
    <t>CEO办公室</t>
  </si>
  <si>
    <t>总裁办</t>
  </si>
  <si>
    <t>财务部</t>
  </si>
  <si>
    <t>组织部</t>
  </si>
  <si>
    <t>设计部</t>
  </si>
  <si>
    <t>IT部</t>
  </si>
  <si>
    <t>供应链部&amp;品质部</t>
  </si>
  <si>
    <t>研发部</t>
  </si>
  <si>
    <t>租金水电</t>
  </si>
  <si>
    <t>运营站内推广费</t>
  </si>
  <si>
    <t>运营站外推广费</t>
  </si>
  <si>
    <t>客服服务费</t>
  </si>
  <si>
    <t>仓储物流费</t>
  </si>
  <si>
    <t>工资薪金</t>
  </si>
  <si>
    <t>贷款及利息</t>
  </si>
  <si>
    <t>网络电话费</t>
  </si>
  <si>
    <t>负数为超出预算部分</t>
  </si>
  <si>
    <t>月付款汇总表</t>
  </si>
  <si>
    <t xml:space="preserve">                      部门</t>
  </si>
  <si>
    <t>线上运营部-运营一组</t>
  </si>
  <si>
    <t>线上运营部-运营二组</t>
  </si>
  <si>
    <t>线上运营部-代销平台组</t>
  </si>
  <si>
    <t>线上运营部-渠道组</t>
  </si>
  <si>
    <t>线上运营部-销售支持组</t>
  </si>
  <si>
    <t>线上运营部-其他</t>
  </si>
  <si>
    <t>品质部</t>
  </si>
  <si>
    <t>供应链部</t>
  </si>
  <si>
    <t>租金、物业费（非线下门店）</t>
  </si>
  <si>
    <t>水电费（非线下门店）</t>
  </si>
  <si>
    <t>微任务</t>
  </si>
  <si>
    <t>京东－精准通</t>
  </si>
  <si>
    <t>京东－京挑客</t>
  </si>
  <si>
    <t>京东－其他</t>
  </si>
  <si>
    <t>科捷仓储费</t>
  </si>
  <si>
    <t>物流快递费</t>
  </si>
  <si>
    <t>养老社保</t>
  </si>
  <si>
    <t>城建税</t>
  </si>
  <si>
    <t>教育费附加</t>
  </si>
  <si>
    <t>地方教育费附加</t>
  </si>
  <si>
    <t>滞纳金/罚款</t>
  </si>
  <si>
    <t>还银行借款</t>
  </si>
  <si>
    <t>利息</t>
  </si>
  <si>
    <t>快递、物流费</t>
  </si>
  <si>
    <t>审计费</t>
  </si>
  <si>
    <t>咨询服务费</t>
  </si>
  <si>
    <t>资质类年费</t>
  </si>
  <si>
    <t>认证费用</t>
  </si>
  <si>
    <t>饮用水</t>
  </si>
  <si>
    <t>搬迁费</t>
  </si>
  <si>
    <t>维修费</t>
  </si>
  <si>
    <t>清洁费</t>
  </si>
  <si>
    <t>携程月结费用</t>
  </si>
  <si>
    <t>加班车补</t>
  </si>
  <si>
    <t>运动经费</t>
  </si>
  <si>
    <t>总经办餐费</t>
  </si>
  <si>
    <t>员工福利</t>
  </si>
  <si>
    <t>2017年（7）月付款统计表-付款</t>
  </si>
  <si>
    <t>支付宝退款（appleylin）</t>
  </si>
  <si>
    <t>2017年（7）月付款统计表-报销</t>
  </si>
  <si>
    <t>月收款日报表</t>
  </si>
  <si>
    <t>公司</t>
  </si>
  <si>
    <t>匹配收款预算</t>
  </si>
  <si>
    <t>客户/平台</t>
  </si>
  <si>
    <t>本月累计</t>
  </si>
  <si>
    <t>直营平台1组</t>
  </si>
  <si>
    <t>深圳兜满</t>
  </si>
  <si>
    <t>00053</t>
  </si>
  <si>
    <t>天猫BU蕉下旗舰店</t>
  </si>
  <si>
    <t>bananaumbrella蕉下旗舰店</t>
  </si>
  <si>
    <t>00104</t>
  </si>
  <si>
    <t>淘宝BU蕉下自营店</t>
  </si>
  <si>
    <t>bananaumbrella自营店</t>
  </si>
  <si>
    <t>00062</t>
  </si>
  <si>
    <t>00055</t>
  </si>
  <si>
    <t>天猫BU减字专卖店</t>
  </si>
  <si>
    <t>bananaumbrella减字专卖店</t>
  </si>
  <si>
    <t>直营平台2组</t>
  </si>
  <si>
    <t>00054</t>
  </si>
  <si>
    <t>京东钱包bu旗舰店</t>
  </si>
  <si>
    <t>00052</t>
  </si>
  <si>
    <t>淘宝kiki小店</t>
  </si>
  <si>
    <t>kiki美伞淘宝店</t>
  </si>
  <si>
    <t>00103</t>
  </si>
  <si>
    <t>杭州网易印象科技有限公司</t>
  </si>
  <si>
    <t>稀饭好物</t>
  </si>
  <si>
    <t>深圳科捷物流有限公司</t>
  </si>
  <si>
    <t>代销平台</t>
  </si>
  <si>
    <t>00024</t>
  </si>
  <si>
    <t>蜜芽宝贝（天津）信息技术有限公司</t>
  </si>
  <si>
    <t>00036</t>
  </si>
  <si>
    <t>魅惠所</t>
  </si>
  <si>
    <t>上海魅力惠</t>
  </si>
  <si>
    <t>00034</t>
  </si>
  <si>
    <t>有货（江苏）商贸服务有限公司</t>
  </si>
  <si>
    <t>00030</t>
  </si>
  <si>
    <t>上海达令网/北京普缇客科技有限公司</t>
  </si>
  <si>
    <t>00038</t>
  </si>
  <si>
    <t>唯品会(中国)有限公司</t>
  </si>
  <si>
    <t>00027</t>
  </si>
  <si>
    <t>北京京东世纪贸易有限公司-BU</t>
  </si>
  <si>
    <t>北京京东世纪贸易有限公司-WB</t>
  </si>
  <si>
    <t>00004</t>
  </si>
  <si>
    <t>亚马逊（中国）投资有限公司</t>
  </si>
  <si>
    <t>00045</t>
  </si>
  <si>
    <t>苏宁</t>
  </si>
  <si>
    <t>苏宁易付宝网络科技有限公司</t>
  </si>
  <si>
    <t>00251</t>
  </si>
  <si>
    <t>00064</t>
  </si>
  <si>
    <t>00058</t>
  </si>
  <si>
    <t>00095</t>
  </si>
  <si>
    <t>00109</t>
  </si>
  <si>
    <t>00016</t>
  </si>
  <si>
    <t>00111</t>
  </si>
  <si>
    <t>00010</t>
  </si>
  <si>
    <t>00023</t>
  </si>
  <si>
    <t>00041</t>
  </si>
  <si>
    <t>00112</t>
  </si>
  <si>
    <t>00110</t>
  </si>
  <si>
    <t>00113</t>
  </si>
  <si>
    <t>00114</t>
  </si>
  <si>
    <t>00000</t>
  </si>
  <si>
    <t>77777</t>
  </si>
  <si>
    <t>99999</t>
  </si>
  <si>
    <t>00256</t>
  </si>
  <si>
    <t>00183</t>
  </si>
  <si>
    <t>88888</t>
  </si>
  <si>
    <t>减字线下店铺</t>
  </si>
  <si>
    <t>减字线下店铺支付宝</t>
  </si>
  <si>
    <t>上海正大店</t>
  </si>
  <si>
    <t>上海宝山万达店</t>
  </si>
  <si>
    <t>深圳金光华店</t>
  </si>
  <si>
    <t>武汉宜家店（联营）</t>
  </si>
  <si>
    <t>北京蓝色港湾店</t>
  </si>
  <si>
    <t>杭州城西银泰店</t>
  </si>
  <si>
    <t>重庆北城天街店</t>
  </si>
  <si>
    <t>成都锦华万达店</t>
  </si>
  <si>
    <t>成都来福士店</t>
  </si>
  <si>
    <t>重庆南坪万达店</t>
  </si>
  <si>
    <t>杭州湖滨银泰店</t>
  </si>
  <si>
    <t>成都银石广场店</t>
  </si>
  <si>
    <t>深圳来福士店</t>
  </si>
  <si>
    <t>上海七宝万科店</t>
  </si>
  <si>
    <t>武汉经开万达店（联营）</t>
  </si>
  <si>
    <t>广西益田西街店</t>
  </si>
  <si>
    <t>深圳海岸城店</t>
  </si>
  <si>
    <t>重庆时代天街店</t>
  </si>
  <si>
    <t>无锡宜家店</t>
  </si>
  <si>
    <t>重庆凯德广场店</t>
  </si>
  <si>
    <t>蕉下成都IFS店</t>
  </si>
  <si>
    <t>武汉凯德店（联营）</t>
  </si>
  <si>
    <t>长沙泊富店（联营）</t>
  </si>
  <si>
    <t>武汉K11店（联营）</t>
  </si>
  <si>
    <t>长沙悦方店（联营）</t>
  </si>
  <si>
    <t>长沙王府井店（联营）</t>
  </si>
  <si>
    <t>长沙德思勤店（联营）</t>
  </si>
  <si>
    <t>收饭来往来款</t>
  </si>
  <si>
    <t>其他收款</t>
  </si>
  <si>
    <t>月供应商货款支付明细</t>
  </si>
  <si>
    <t>支付公司</t>
  </si>
  <si>
    <t>日期</t>
  </si>
  <si>
    <t>供应商代码</t>
  </si>
  <si>
    <t>供应商名称</t>
  </si>
  <si>
    <t>支付内容</t>
  </si>
  <si>
    <t>支付金额</t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</si>
</sst>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[Red]\(0\)"/>
    <numFmt numFmtId="177" formatCode="#,##0.00_ "/>
    <numFmt numFmtId="178" formatCode="_ * #,##0_ ;_ * \-#,##0_ ;_ * &quot;-&quot;??_ ;_ @_ "/>
  </numFmts>
  <fonts count="7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name val="微软雅黑"/>
      <charset val="134"/>
    </font>
    <font>
      <sz val="10"/>
      <color rgb="FFFF0000"/>
      <name val="微软雅黑"/>
      <charset val="134"/>
    </font>
    <font>
      <sz val="11"/>
      <name val="微软雅黑"/>
      <charset val="134"/>
    </font>
    <font>
      <b/>
      <sz val="12"/>
      <color rgb="FFFF0000"/>
      <name val="微软雅黑"/>
      <charset val="134"/>
    </font>
    <font>
      <b/>
      <sz val="11"/>
      <color theme="0"/>
      <name val="微软雅黑"/>
      <charset val="134"/>
    </font>
    <font>
      <sz val="10"/>
      <color indexed="8"/>
      <name val="微软雅黑"/>
      <charset val="134"/>
    </font>
    <font>
      <sz val="11"/>
      <color theme="0"/>
      <name val="微软雅黑"/>
      <charset val="134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b/>
      <sz val="11"/>
      <color theme="1"/>
      <name val="微软雅黑"/>
      <charset val="134"/>
    </font>
    <font>
      <sz val="9"/>
      <name val="微软雅黑"/>
      <charset val="134"/>
    </font>
    <font>
      <b/>
      <sz val="10"/>
      <color theme="0" tint="-0.0499893185216834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0"/>
      <name val="微软雅黑"/>
      <charset val="134"/>
    </font>
    <font>
      <sz val="10"/>
      <color theme="0"/>
      <name val="微软雅黑"/>
      <charset val="134"/>
    </font>
    <font>
      <sz val="12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9"/>
      <color rgb="FFFF0000"/>
      <name val="微软雅黑"/>
      <charset val="134"/>
    </font>
    <font>
      <b/>
      <sz val="9"/>
      <color rgb="FFFF0000"/>
      <name val="微软雅黑"/>
      <charset val="134"/>
    </font>
    <font>
      <b/>
      <sz val="11"/>
      <name val="微软雅黑"/>
      <charset val="134"/>
    </font>
    <font>
      <b/>
      <sz val="9"/>
      <name val="微软雅黑"/>
      <charset val="134"/>
    </font>
    <font>
      <b/>
      <sz val="11"/>
      <color theme="1"/>
      <name val="宋体"/>
      <charset val="134"/>
      <scheme val="minor"/>
    </font>
    <font>
      <b/>
      <sz val="9"/>
      <color theme="0"/>
      <name val="微软雅黑"/>
      <charset val="134"/>
    </font>
    <font>
      <sz val="10"/>
      <color theme="1"/>
      <name val="宋体"/>
      <charset val="134"/>
      <scheme val="minor"/>
    </font>
    <font>
      <b/>
      <sz val="12"/>
      <color theme="0"/>
      <name val="微软雅黑"/>
      <charset val="134"/>
    </font>
    <font>
      <b/>
      <sz val="12"/>
      <color theme="1"/>
      <name val="微软雅黑"/>
      <charset val="134"/>
    </font>
    <font>
      <sz val="9"/>
      <color theme="0"/>
      <name val="微软雅黑"/>
      <charset val="134"/>
    </font>
    <font>
      <sz val="9"/>
      <name val="宋体"/>
      <charset val="134"/>
      <scheme val="minor"/>
    </font>
    <font>
      <b/>
      <sz val="12"/>
      <name val="微软雅黑"/>
      <charset val="134"/>
    </font>
    <font>
      <sz val="11"/>
      <name val="宋体"/>
      <charset val="134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b/>
      <sz val="9"/>
      <color theme="1"/>
      <name val="宋体"/>
      <charset val="134"/>
    </font>
    <font>
      <sz val="9"/>
      <color rgb="FFFF0000"/>
      <name val="宋体"/>
      <charset val="134"/>
      <scheme val="minor"/>
    </font>
    <font>
      <b/>
      <sz val="9"/>
      <color rgb="FFFF0000"/>
      <name val="宋体"/>
      <charset val="134"/>
    </font>
    <font>
      <b/>
      <sz val="10"/>
      <color theme="1" tint="0.249977111117893"/>
      <name val="微软雅黑"/>
      <charset val="134"/>
    </font>
    <font>
      <sz val="10"/>
      <color theme="0" tint="-0.249977111117893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2"/>
      <name val="宋体"/>
      <charset val="134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0"/>
      <name val="Arial"/>
      <charset val="134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indexed="12"/>
      <name val="宋体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11"/>
      <name val="MS PGothic"/>
      <charset val="134"/>
    </font>
    <font>
      <sz val="11"/>
      <name val="MS PGothic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8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rgb="FFFF0000"/>
      </left>
      <right style="hair">
        <color rgb="FFFF0000"/>
      </right>
      <top style="medium">
        <color auto="1"/>
      </top>
      <bottom/>
      <diagonal/>
    </border>
    <border>
      <left style="medium">
        <color auto="1"/>
      </left>
      <right style="hair">
        <color rgb="FFFF0000"/>
      </right>
      <top/>
      <bottom style="hair">
        <color rgb="FFFF0000"/>
      </bottom>
      <diagonal/>
    </border>
    <border>
      <left style="hair">
        <color rgb="FFFF0000"/>
      </left>
      <right style="hair">
        <color rgb="FFFF0000"/>
      </right>
      <top/>
      <bottom style="hair">
        <color rgb="FFFF0000"/>
      </bottom>
      <diagonal/>
    </border>
    <border>
      <left style="medium">
        <color auto="1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  <border>
      <left style="hair">
        <color rgb="FFFF0000"/>
      </left>
      <right style="medium">
        <color auto="1"/>
      </right>
      <top style="medium">
        <color auto="1"/>
      </top>
      <bottom/>
      <diagonal/>
    </border>
    <border>
      <left style="hair">
        <color rgb="FFFF0000"/>
      </left>
      <right style="medium">
        <color auto="1"/>
      </right>
      <top/>
      <bottom style="hair">
        <color rgb="FFFF0000"/>
      </bottom>
      <diagonal/>
    </border>
    <border>
      <left style="hair">
        <color rgb="FFFF0000"/>
      </left>
      <right style="medium">
        <color auto="1"/>
      </right>
      <top style="hair">
        <color rgb="FFFF0000"/>
      </top>
      <bottom style="hair">
        <color rgb="FFFF0000"/>
      </bottom>
      <diagonal/>
    </border>
    <border>
      <left style="medium">
        <color auto="1"/>
      </left>
      <right style="hair">
        <color rgb="FFFF0000"/>
      </right>
      <top style="hair">
        <color rgb="FFFF0000"/>
      </top>
      <bottom style="medium">
        <color auto="1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medium">
        <color auto="1"/>
      </bottom>
      <diagonal/>
    </border>
    <border>
      <left style="hair">
        <color rgb="FFFF0000"/>
      </left>
      <right style="medium">
        <color auto="1"/>
      </right>
      <top style="hair">
        <color rgb="FFFF0000"/>
      </top>
      <bottom style="medium">
        <color auto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rgb="FFFF0000"/>
      </bottom>
      <diagonal/>
    </border>
    <border>
      <left style="thin">
        <color auto="1"/>
      </left>
      <right style="thin">
        <color auto="1"/>
      </right>
      <top style="medium">
        <color rgb="FFFF0000"/>
      </top>
      <bottom/>
      <diagonal/>
    </border>
    <border>
      <left style="thin">
        <color auto="1"/>
      </left>
      <right style="thin">
        <color auto="1"/>
      </right>
      <top style="double">
        <color rgb="FFFF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rgb="FFFF0000"/>
      </bottom>
      <diagonal/>
    </border>
    <border>
      <left style="thin">
        <color auto="1"/>
      </left>
      <right style="thin">
        <color auto="1"/>
      </right>
      <top style="double">
        <color rgb="FFFF0000"/>
      </top>
      <bottom/>
      <diagonal/>
    </border>
    <border>
      <left/>
      <right style="thin">
        <color auto="1"/>
      </right>
      <top/>
      <bottom style="double">
        <color rgb="FFFF0000"/>
      </bottom>
      <diagonal/>
    </border>
    <border>
      <left style="thin">
        <color auto="1"/>
      </left>
      <right/>
      <top style="thin">
        <color auto="1"/>
      </top>
      <bottom style="double">
        <color rgb="FFFF0000"/>
      </bottom>
      <diagonal/>
    </border>
    <border>
      <left/>
      <right/>
      <top style="thin">
        <color auto="1"/>
      </top>
      <bottom style="double">
        <color rgb="FFFF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4">
    <xf numFmtId="0" fontId="0" fillId="0" borderId="0"/>
    <xf numFmtId="42" fontId="0" fillId="0" borderId="0" applyFont="0" applyFill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7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8" fillId="0" borderId="0">
      <alignment vertical="center"/>
    </xf>
    <xf numFmtId="0" fontId="4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17" borderId="73" applyNumberFormat="0" applyFont="0" applyAlignment="0" applyProtection="0">
      <alignment vertical="center"/>
    </xf>
    <xf numFmtId="0" fontId="0" fillId="0" borderId="0">
      <alignment vertical="center"/>
    </xf>
    <xf numFmtId="0" fontId="50" fillId="18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74" applyNumberFormat="0" applyFill="0" applyAlignment="0" applyProtection="0">
      <alignment vertical="center"/>
    </xf>
    <xf numFmtId="0" fontId="58" fillId="0" borderId="74" applyNumberFormat="0" applyFill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3" fillId="0" borderId="75" applyNumberFormat="0" applyFill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9" fillId="21" borderId="76" applyNumberFormat="0" applyAlignment="0" applyProtection="0">
      <alignment vertical="center"/>
    </xf>
    <xf numFmtId="0" fontId="60" fillId="21" borderId="72" applyNumberFormat="0" applyAlignment="0" applyProtection="0">
      <alignment vertical="center"/>
    </xf>
    <xf numFmtId="0" fontId="0" fillId="0" borderId="0"/>
    <xf numFmtId="0" fontId="61" fillId="22" borderId="77" applyNumberFormat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62" fillId="0" borderId="78" applyNumberFormat="0" applyFill="0" applyAlignment="0" applyProtection="0">
      <alignment vertical="center"/>
    </xf>
    <xf numFmtId="0" fontId="63" fillId="0" borderId="79" applyNumberFormat="0" applyFill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5" fillId="0" borderId="0"/>
    <xf numFmtId="0" fontId="0" fillId="0" borderId="0">
      <alignment vertical="center"/>
    </xf>
    <xf numFmtId="0" fontId="66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50" fillId="35" borderId="0" applyNumberFormat="0" applyBorder="0" applyAlignment="0" applyProtection="0">
      <alignment vertical="center"/>
    </xf>
    <xf numFmtId="0" fontId="67" fillId="0" borderId="0">
      <alignment vertical="center"/>
    </xf>
    <xf numFmtId="0" fontId="46" fillId="7" borderId="0" applyNumberFormat="0" applyBorder="0" applyAlignment="0" applyProtection="0">
      <alignment vertical="center"/>
    </xf>
    <xf numFmtId="0" fontId="50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6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8" fillId="0" borderId="0" applyNumberFormat="0" applyFill="0" applyBorder="0" applyProtection="0"/>
    <xf numFmtId="0" fontId="48" fillId="0" borderId="0"/>
    <xf numFmtId="0" fontId="48" fillId="0" borderId="0">
      <alignment vertical="center"/>
    </xf>
    <xf numFmtId="0" fontId="0" fillId="0" borderId="0">
      <alignment vertical="center"/>
    </xf>
    <xf numFmtId="0" fontId="4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9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top"/>
      <protection locked="0"/>
    </xf>
    <xf numFmtId="43" fontId="0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67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4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</cellStyleXfs>
  <cellXfs count="663">
    <xf numFmtId="0" fontId="0" fillId="0" borderId="0" xfId="0"/>
    <xf numFmtId="0" fontId="1" fillId="0" borderId="0" xfId="0" applyFont="1" applyFill="1"/>
    <xf numFmtId="0" fontId="1" fillId="0" borderId="0" xfId="0" applyFont="1"/>
    <xf numFmtId="43" fontId="1" fillId="0" borderId="0" xfId="9" applyFont="1" applyAlignment="1"/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2" borderId="1" xfId="9" applyFont="1" applyFill="1" applyBorder="1" applyAlignment="1">
      <alignment horizontal="center" vertical="center"/>
    </xf>
    <xf numFmtId="58" fontId="4" fillId="2" borderId="1" xfId="0" applyNumberFormat="1" applyFont="1" applyFill="1" applyBorder="1" applyAlignment="1"/>
    <xf numFmtId="14" fontId="4" fillId="2" borderId="1" xfId="0" applyNumberFormat="1" applyFont="1" applyFill="1" applyBorder="1" applyAlignment="1"/>
    <xf numFmtId="49" fontId="5" fillId="2" borderId="2" xfId="0" applyNumberFormat="1" applyFont="1" applyFill="1" applyBorder="1" applyAlignment="1">
      <alignment horizontal="center" vertical="center" wrapText="1"/>
    </xf>
    <xf numFmtId="0" fontId="5" fillId="2" borderId="1" xfId="70" applyFont="1" applyFill="1" applyBorder="1" applyAlignment="1">
      <alignment horizontal="left" vertical="center"/>
    </xf>
    <xf numFmtId="57" fontId="5" fillId="2" borderId="1" xfId="0" applyNumberFormat="1" applyFont="1" applyFill="1" applyBorder="1" applyAlignment="1">
      <alignment horizontal="left" vertical="center"/>
    </xf>
    <xf numFmtId="43" fontId="5" fillId="0" borderId="1" xfId="9" applyFont="1" applyFill="1" applyBorder="1" applyAlignment="1">
      <alignment horizontal="left" vertical="center"/>
    </xf>
    <xf numFmtId="43" fontId="4" fillId="0" borderId="1" xfId="9" applyFont="1" applyFill="1" applyBorder="1" applyAlignment="1">
      <alignment horizontal="center" vertical="center"/>
    </xf>
    <xf numFmtId="43" fontId="4" fillId="2" borderId="1" xfId="9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0" fontId="4" fillId="2" borderId="1" xfId="70" applyFont="1" applyFill="1" applyBorder="1" applyAlignment="1">
      <alignment horizontal="left" vertical="center"/>
    </xf>
    <xf numFmtId="57" fontId="4" fillId="2" borderId="1" xfId="0" applyNumberFormat="1" applyFont="1" applyFill="1" applyBorder="1" applyAlignment="1">
      <alignment horizontal="left" vertical="center"/>
    </xf>
    <xf numFmtId="43" fontId="4" fillId="0" borderId="1" xfId="9" applyFont="1" applyFill="1" applyBorder="1" applyAlignment="1">
      <alignment horizontal="left" vertical="center"/>
    </xf>
    <xf numFmtId="43" fontId="4" fillId="0" borderId="1" xfId="9" applyFont="1" applyFill="1" applyBorder="1" applyAlignment="1">
      <alignment horizontal="center"/>
    </xf>
    <xf numFmtId="0" fontId="4" fillId="2" borderId="1" xfId="0" applyFont="1" applyFill="1" applyBorder="1" applyAlignment="1"/>
    <xf numFmtId="49" fontId="4" fillId="2" borderId="1" xfId="0" applyNumberFormat="1" applyFont="1" applyFill="1" applyBorder="1"/>
    <xf numFmtId="0" fontId="4" fillId="2" borderId="1" xfId="71" applyFont="1" applyFill="1" applyBorder="1" applyAlignment="1">
      <alignment horizontal="left" vertical="center"/>
    </xf>
    <xf numFmtId="43" fontId="5" fillId="0" borderId="1" xfId="9" applyFont="1" applyFill="1" applyBorder="1" applyAlignment="1">
      <alignment horizontal="center"/>
    </xf>
    <xf numFmtId="0" fontId="4" fillId="0" borderId="1" xfId="71" applyFont="1" applyFill="1" applyBorder="1" applyAlignment="1">
      <alignment horizontal="left" vertical="center"/>
    </xf>
    <xf numFmtId="57" fontId="4" fillId="0" borderId="1" xfId="0" applyNumberFormat="1" applyFont="1" applyFill="1" applyBorder="1" applyAlignment="1">
      <alignment horizontal="left" vertical="center"/>
    </xf>
    <xf numFmtId="0" fontId="5" fillId="2" borderId="1" xfId="71" applyFont="1" applyFill="1" applyBorder="1" applyAlignment="1">
      <alignment horizontal="left" vertical="center"/>
    </xf>
    <xf numFmtId="57" fontId="5" fillId="0" borderId="1" xfId="0" applyNumberFormat="1" applyFont="1" applyFill="1" applyBorder="1" applyAlignment="1">
      <alignment horizontal="left" vertical="center"/>
    </xf>
    <xf numFmtId="43" fontId="6" fillId="0" borderId="1" xfId="9" applyFont="1" applyFill="1" applyBorder="1" applyAlignment="1">
      <alignment horizontal="left" vertical="center"/>
    </xf>
    <xf numFmtId="0" fontId="4" fillId="2" borderId="1" xfId="0" applyFont="1" applyFill="1" applyBorder="1"/>
    <xf numFmtId="43" fontId="4" fillId="2" borderId="1" xfId="9" applyFont="1" applyFill="1" applyBorder="1" applyAlignment="1">
      <alignment horizontal="center"/>
    </xf>
    <xf numFmtId="0" fontId="1" fillId="0" borderId="3" xfId="0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43" fontId="4" fillId="2" borderId="0" xfId="9" applyFont="1" applyFill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4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/>
    </xf>
    <xf numFmtId="49" fontId="9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5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10" fillId="0" borderId="1" xfId="88" applyNumberFormat="1" applyFont="1" applyFill="1" applyBorder="1" applyAlignment="1">
      <alignment horizontal="left" vertical="center"/>
    </xf>
    <xf numFmtId="43" fontId="4" fillId="0" borderId="1" xfId="9" applyFont="1" applyFill="1" applyBorder="1" applyAlignment="1">
      <alignment vertical="center"/>
    </xf>
    <xf numFmtId="0" fontId="4" fillId="0" borderId="6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0" fontId="5" fillId="0" borderId="5" xfId="97" applyNumberFormat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left" vertical="center" wrapText="1"/>
    </xf>
    <xf numFmtId="49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49" fontId="5" fillId="0" borderId="5" xfId="0" applyNumberFormat="1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43" fontId="10" fillId="0" borderId="1" xfId="83" applyFont="1" applyFill="1" applyBorder="1" applyAlignment="1">
      <alignment horizontal="left" vertical="center"/>
    </xf>
    <xf numFmtId="43" fontId="10" fillId="2" borderId="1" xfId="83" applyFont="1" applyFill="1" applyBorder="1" applyAlignment="1">
      <alignment horizontal="left" vertical="center"/>
    </xf>
    <xf numFmtId="0" fontId="5" fillId="0" borderId="8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9" xfId="0" applyFont="1" applyFill="1" applyBorder="1" applyAlignment="1">
      <alignment horizontal="left" vertical="center" wrapText="1"/>
    </xf>
    <xf numFmtId="49" fontId="4" fillId="0" borderId="10" xfId="0" applyNumberFormat="1" applyFont="1" applyFill="1" applyBorder="1" applyAlignment="1">
      <alignment horizontal="center" vertical="center"/>
    </xf>
    <xf numFmtId="43" fontId="4" fillId="0" borderId="0" xfId="9" applyFont="1" applyFill="1" applyBorder="1" applyAlignment="1">
      <alignment vertical="center"/>
    </xf>
    <xf numFmtId="0" fontId="5" fillId="0" borderId="11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right" vertical="center"/>
    </xf>
    <xf numFmtId="0" fontId="9" fillId="3" borderId="12" xfId="0" applyFont="1" applyFill="1" applyBorder="1" applyAlignment="1">
      <alignment horizontal="center" vertical="center"/>
    </xf>
    <xf numFmtId="43" fontId="11" fillId="3" borderId="0" xfId="9" applyFont="1" applyFill="1" applyAlignment="1">
      <alignment vertical="center"/>
    </xf>
    <xf numFmtId="43" fontId="1" fillId="0" borderId="1" xfId="0" applyNumberFormat="1" applyFont="1" applyFill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43" fontId="3" fillId="2" borderId="14" xfId="0" applyNumberFormat="1" applyFont="1" applyFill="1" applyBorder="1"/>
    <xf numFmtId="0" fontId="12" fillId="0" borderId="15" xfId="0" applyFont="1" applyFill="1" applyBorder="1" applyAlignment="1">
      <alignment horizontal="center" vertical="center" wrapText="1"/>
    </xf>
    <xf numFmtId="0" fontId="3" fillId="0" borderId="16" xfId="0" applyFont="1" applyFill="1" applyBorder="1" applyAlignment="1">
      <alignment vertical="center" wrapText="1"/>
    </xf>
    <xf numFmtId="0" fontId="12" fillId="0" borderId="17" xfId="0" applyFont="1" applyFill="1" applyBorder="1" applyAlignment="1">
      <alignment horizontal="center" vertical="center" wrapText="1"/>
    </xf>
    <xf numFmtId="177" fontId="13" fillId="0" borderId="18" xfId="0" applyNumberFormat="1" applyFont="1" applyFill="1" applyBorder="1" applyAlignment="1">
      <alignment horizontal="left"/>
    </xf>
    <xf numFmtId="43" fontId="13" fillId="0" borderId="19" xfId="9" applyFont="1" applyFill="1" applyBorder="1" applyAlignment="1">
      <alignment horizontal="right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43" fontId="4" fillId="0" borderId="22" xfId="9" applyFont="1" applyFill="1" applyBorder="1" applyAlignment="1"/>
    <xf numFmtId="0" fontId="12" fillId="2" borderId="23" xfId="0" applyFont="1" applyFill="1" applyBorder="1" applyAlignment="1"/>
    <xf numFmtId="43" fontId="12" fillId="0" borderId="24" xfId="9" applyFont="1" applyFill="1" applyBorder="1" applyAlignment="1">
      <alignment horizontal="right"/>
    </xf>
    <xf numFmtId="43" fontId="0" fillId="0" borderId="0" xfId="0" applyNumberFormat="1"/>
    <xf numFmtId="177" fontId="13" fillId="0" borderId="19" xfId="0" applyNumberFormat="1" applyFont="1" applyFill="1" applyBorder="1" applyAlignment="1">
      <alignment horizontal="right"/>
    </xf>
    <xf numFmtId="43" fontId="12" fillId="0" borderId="25" xfId="9" applyFont="1" applyFill="1" applyBorder="1" applyAlignment="1">
      <alignment horizontal="right"/>
    </xf>
    <xf numFmtId="177" fontId="0" fillId="0" borderId="0" xfId="0" applyNumberFormat="1"/>
    <xf numFmtId="177" fontId="4" fillId="0" borderId="22" xfId="0" applyNumberFormat="1" applyFont="1" applyFill="1" applyBorder="1"/>
    <xf numFmtId="177" fontId="12" fillId="0" borderId="24" xfId="0" applyNumberFormat="1" applyFont="1" applyFill="1" applyBorder="1" applyAlignment="1">
      <alignment horizontal="right"/>
    </xf>
    <xf numFmtId="177" fontId="12" fillId="0" borderId="0" xfId="0" applyNumberFormat="1" applyFont="1" applyFill="1" applyBorder="1" applyAlignment="1">
      <alignment horizontal="right"/>
    </xf>
    <xf numFmtId="177" fontId="12" fillId="0" borderId="25" xfId="0" applyNumberFormat="1" applyFont="1" applyFill="1" applyBorder="1" applyAlignment="1">
      <alignment horizontal="right"/>
    </xf>
    <xf numFmtId="0" fontId="14" fillId="0" borderId="26" xfId="0" applyFont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 wrapText="1"/>
    </xf>
    <xf numFmtId="0" fontId="13" fillId="0" borderId="27" xfId="0" applyFont="1" applyBorder="1" applyAlignment="1">
      <alignment horizontal="left" vertical="center"/>
    </xf>
    <xf numFmtId="43" fontId="15" fillId="0" borderId="27" xfId="9" applyFont="1" applyFill="1" applyBorder="1" applyAlignment="1">
      <alignment vertical="center"/>
    </xf>
    <xf numFmtId="0" fontId="4" fillId="2" borderId="27" xfId="0" applyFont="1" applyFill="1" applyBorder="1" applyAlignment="1">
      <alignment vertical="center"/>
    </xf>
    <xf numFmtId="0" fontId="3" fillId="2" borderId="27" xfId="0" applyFont="1" applyFill="1" applyBorder="1" applyAlignment="1">
      <alignment vertical="center"/>
    </xf>
    <xf numFmtId="43" fontId="3" fillId="2" borderId="27" xfId="9" applyFont="1" applyFill="1" applyBorder="1" applyAlignment="1">
      <alignment vertical="center"/>
    </xf>
    <xf numFmtId="0" fontId="1" fillId="0" borderId="0" xfId="0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3" fillId="4" borderId="27" xfId="0" applyFont="1" applyFill="1" applyBorder="1" applyAlignment="1">
      <alignment horizontal="center" vertical="center" wrapText="1"/>
    </xf>
    <xf numFmtId="43" fontId="4" fillId="0" borderId="27" xfId="9" applyFont="1" applyFill="1" applyBorder="1" applyAlignment="1">
      <alignment vertical="center"/>
    </xf>
    <xf numFmtId="43" fontId="13" fillId="0" borderId="0" xfId="0" applyNumberFormat="1" applyFont="1"/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43" fontId="5" fillId="0" borderId="1" xfId="9" applyFont="1" applyFill="1" applyBorder="1" applyAlignment="1"/>
    <xf numFmtId="43" fontId="4" fillId="0" borderId="1" xfId="9" applyFont="1" applyBorder="1" applyAlignment="1"/>
    <xf numFmtId="9" fontId="6" fillId="0" borderId="1" xfId="12" applyFont="1" applyBorder="1" applyAlignment="1"/>
    <xf numFmtId="43" fontId="1" fillId="0" borderId="0" xfId="0" applyNumberFormat="1" applyFont="1"/>
    <xf numFmtId="0" fontId="1" fillId="0" borderId="1" xfId="0" applyFont="1" applyBorder="1"/>
    <xf numFmtId="0" fontId="3" fillId="2" borderId="1" xfId="0" applyFont="1" applyFill="1" applyBorder="1" applyAlignment="1">
      <alignment vertical="center"/>
    </xf>
    <xf numFmtId="43" fontId="3" fillId="2" borderId="1" xfId="9" applyFont="1" applyFill="1" applyBorder="1" applyAlignment="1">
      <alignment vertical="center"/>
    </xf>
    <xf numFmtId="9" fontId="17" fillId="2" borderId="1" xfId="12" applyFont="1" applyFill="1" applyBorder="1" applyAlignment="1">
      <alignment vertical="center"/>
    </xf>
    <xf numFmtId="43" fontId="1" fillId="0" borderId="1" xfId="0" applyNumberFormat="1" applyFont="1" applyBorder="1"/>
    <xf numFmtId="0" fontId="1" fillId="0" borderId="0" xfId="0" applyFont="1" applyBorder="1" applyAlignment="1">
      <alignment horizontal="center" vertical="center"/>
    </xf>
    <xf numFmtId="43" fontId="4" fillId="0" borderId="1" xfId="9" applyFont="1" applyFill="1" applyBorder="1" applyAlignment="1"/>
    <xf numFmtId="9" fontId="4" fillId="0" borderId="1" xfId="12" applyFont="1" applyBorder="1" applyAlignment="1"/>
    <xf numFmtId="9" fontId="3" fillId="2" borderId="1" xfId="12" applyFont="1" applyFill="1" applyBorder="1" applyAlignment="1">
      <alignment vertical="center"/>
    </xf>
    <xf numFmtId="0" fontId="4" fillId="0" borderId="0" xfId="0" applyFont="1"/>
    <xf numFmtId="0" fontId="18" fillId="3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43" fontId="4" fillId="0" borderId="2" xfId="9" applyFont="1" applyBorder="1" applyAlignment="1"/>
    <xf numFmtId="43" fontId="4" fillId="0" borderId="2" xfId="9" applyFont="1" applyFill="1" applyBorder="1" applyAlignment="1"/>
    <xf numFmtId="0" fontId="4" fillId="0" borderId="1" xfId="0" applyFont="1" applyBorder="1"/>
    <xf numFmtId="0" fontId="4" fillId="0" borderId="0" xfId="0" applyFont="1" applyAlignment="1">
      <alignment vertical="center" wrapText="1"/>
    </xf>
    <xf numFmtId="0" fontId="19" fillId="3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43" fontId="4" fillId="0" borderId="0" xfId="0" applyNumberFormat="1" applyFont="1"/>
    <xf numFmtId="43" fontId="4" fillId="0" borderId="1" xfId="0" applyNumberFormat="1" applyFont="1" applyBorder="1"/>
    <xf numFmtId="0" fontId="20" fillId="0" borderId="0" xfId="0" applyFont="1" applyAlignment="1">
      <alignment horizontal="center" vertical="center"/>
    </xf>
    <xf numFmtId="0" fontId="20" fillId="0" borderId="4" xfId="0" applyFont="1" applyBorder="1" applyAlignment="1">
      <alignment horizontal="center" vertical="center"/>
    </xf>
    <xf numFmtId="40" fontId="21" fillId="5" borderId="1" xfId="67" applyNumberFormat="1" applyFont="1" applyFill="1" applyBorder="1" applyAlignment="1">
      <alignment horizontal="center" vertical="center" shrinkToFit="1"/>
    </xf>
    <xf numFmtId="40" fontId="21" fillId="5" borderId="1" xfId="67" applyNumberFormat="1" applyFont="1" applyFill="1" applyBorder="1" applyAlignment="1">
      <alignment horizontal="center" vertical="center" wrapText="1"/>
    </xf>
    <xf numFmtId="43" fontId="21" fillId="5" borderId="5" xfId="9" applyFont="1" applyFill="1" applyBorder="1" applyAlignment="1">
      <alignment horizontal="center" vertical="center" wrapText="1"/>
    </xf>
    <xf numFmtId="40" fontId="21" fillId="5" borderId="5" xfId="67" applyNumberFormat="1" applyFont="1" applyFill="1" applyBorder="1" applyAlignment="1">
      <alignment horizontal="center" vertical="center" shrinkToFit="1"/>
    </xf>
    <xf numFmtId="43" fontId="21" fillId="5" borderId="7" xfId="9" applyFont="1" applyFill="1" applyBorder="1" applyAlignment="1">
      <alignment horizontal="center" vertical="center" wrapText="1"/>
    </xf>
    <xf numFmtId="40" fontId="21" fillId="5" borderId="7" xfId="67" applyNumberFormat="1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/>
    </xf>
    <xf numFmtId="40" fontId="22" fillId="0" borderId="1" xfId="67" applyNumberFormat="1" applyFont="1" applyFill="1" applyBorder="1" applyAlignment="1">
      <alignment horizontal="center" vertical="center" wrapText="1"/>
    </xf>
    <xf numFmtId="43" fontId="22" fillId="0" borderId="1" xfId="9" applyFont="1" applyFill="1" applyBorder="1" applyAlignment="1">
      <alignment horizontal="center" vertical="center" wrapText="1"/>
    </xf>
    <xf numFmtId="40" fontId="5" fillId="0" borderId="1" xfId="67" applyNumberFormat="1" applyFont="1" applyFill="1" applyBorder="1" applyAlignment="1">
      <alignment horizontal="left" vertical="center" shrinkToFit="1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40" fontId="23" fillId="0" borderId="1" xfId="67" applyNumberFormat="1" applyFont="1" applyFill="1" applyBorder="1" applyAlignment="1">
      <alignment horizontal="center" vertical="center" wrapText="1"/>
    </xf>
    <xf numFmtId="43" fontId="23" fillId="0" borderId="1" xfId="9" applyFont="1" applyFill="1" applyBorder="1" applyAlignment="1">
      <alignment horizontal="center" vertical="center" wrapText="1"/>
    </xf>
    <xf numFmtId="40" fontId="21" fillId="0" borderId="1" xfId="67" applyNumberFormat="1" applyFont="1" applyFill="1" applyBorder="1" applyAlignment="1">
      <alignment horizontal="left" vertical="center" shrinkToFit="1"/>
    </xf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left" vertical="center" wrapText="1"/>
    </xf>
    <xf numFmtId="43" fontId="4" fillId="0" borderId="1" xfId="9" applyFont="1" applyFill="1" applyBorder="1" applyAlignment="1">
      <alignment horizontal="center" vertical="center" wrapText="1"/>
    </xf>
    <xf numFmtId="43" fontId="13" fillId="0" borderId="1" xfId="9" applyFont="1" applyFill="1" applyBorder="1" applyAlignment="1">
      <alignment horizontal="center" vertical="center" wrapText="1"/>
    </xf>
    <xf numFmtId="10" fontId="24" fillId="0" borderId="1" xfId="1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43" fontId="3" fillId="0" borderId="1" xfId="9" applyFont="1" applyFill="1" applyBorder="1" applyAlignment="1"/>
    <xf numFmtId="10" fontId="25" fillId="0" borderId="1" xfId="12" applyNumberFormat="1" applyFont="1" applyFill="1" applyBorder="1" applyAlignment="1">
      <alignment horizontal="center" vertical="center" wrapText="1"/>
    </xf>
    <xf numFmtId="43" fontId="14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0" fontId="17" fillId="2" borderId="1" xfId="9" applyNumberFormat="1" applyFont="1" applyFill="1" applyBorder="1" applyAlignment="1">
      <alignment vertical="center"/>
    </xf>
    <xf numFmtId="0" fontId="2" fillId="0" borderId="13" xfId="0" applyFont="1" applyBorder="1" applyAlignment="1">
      <alignment horizontal="center" vertical="center"/>
    </xf>
    <xf numFmtId="0" fontId="26" fillId="6" borderId="28" xfId="0" applyFont="1" applyFill="1" applyBorder="1" applyAlignment="1">
      <alignment horizontal="center" vertical="center"/>
    </xf>
    <xf numFmtId="40" fontId="27" fillId="7" borderId="29" xfId="66" applyNumberFormat="1" applyFont="1" applyFill="1" applyBorder="1" applyAlignment="1">
      <alignment horizontal="center" vertical="center" shrinkToFit="1"/>
    </xf>
    <xf numFmtId="40" fontId="21" fillId="7" borderId="29" xfId="67" applyNumberFormat="1" applyFont="1" applyFill="1" applyBorder="1" applyAlignment="1">
      <alignment horizontal="center" vertical="center" shrinkToFit="1"/>
    </xf>
    <xf numFmtId="43" fontId="21" fillId="7" borderId="30" xfId="9" applyFont="1" applyFill="1" applyBorder="1" applyAlignment="1">
      <alignment horizontal="center" vertical="center" wrapText="1"/>
    </xf>
    <xf numFmtId="43" fontId="21" fillId="7" borderId="31" xfId="9" applyFont="1" applyFill="1" applyBorder="1" applyAlignment="1">
      <alignment horizontal="center" vertical="center" wrapText="1"/>
    </xf>
    <xf numFmtId="43" fontId="21" fillId="7" borderId="32" xfId="9" applyFont="1" applyFill="1" applyBorder="1" applyAlignment="1">
      <alignment horizontal="center" vertical="center" wrapText="1"/>
    </xf>
    <xf numFmtId="0" fontId="26" fillId="6" borderId="33" xfId="0" applyFont="1" applyFill="1" applyBorder="1" applyAlignment="1">
      <alignment horizontal="center" vertical="center"/>
    </xf>
    <xf numFmtId="40" fontId="27" fillId="7" borderId="1" xfId="66" applyNumberFormat="1" applyFont="1" applyFill="1" applyBorder="1" applyAlignment="1">
      <alignment horizontal="center" vertical="center" shrinkToFit="1"/>
    </xf>
    <xf numFmtId="40" fontId="21" fillId="7" borderId="1" xfId="67" applyNumberFormat="1" applyFont="1" applyFill="1" applyBorder="1" applyAlignment="1">
      <alignment horizontal="center" vertical="center" shrinkToFit="1"/>
    </xf>
    <xf numFmtId="43" fontId="21" fillId="7" borderId="34" xfId="9" applyFont="1" applyFill="1" applyBorder="1" applyAlignment="1">
      <alignment horizontal="center" vertical="center"/>
    </xf>
    <xf numFmtId="43" fontId="21" fillId="7" borderId="1" xfId="9" applyFont="1" applyFill="1" applyBorder="1" applyAlignment="1">
      <alignment horizontal="center" vertical="center" wrapText="1"/>
    </xf>
    <xf numFmtId="43" fontId="17" fillId="7" borderId="1" xfId="9" applyFont="1" applyFill="1" applyBorder="1" applyAlignment="1">
      <alignment horizontal="center" vertical="center" wrapText="1"/>
    </xf>
    <xf numFmtId="0" fontId="26" fillId="6" borderId="35" xfId="0" applyFont="1" applyFill="1" applyBorder="1" applyAlignment="1">
      <alignment horizontal="center" vertical="center"/>
    </xf>
    <xf numFmtId="40" fontId="27" fillId="7" borderId="36" xfId="66" applyNumberFormat="1" applyFont="1" applyFill="1" applyBorder="1" applyAlignment="1">
      <alignment horizontal="center" vertical="center" shrinkToFit="1"/>
    </xf>
    <xf numFmtId="40" fontId="21" fillId="7" borderId="36" xfId="67" applyNumberFormat="1" applyFont="1" applyFill="1" applyBorder="1" applyAlignment="1">
      <alignment horizontal="center" vertical="center" shrinkToFit="1"/>
    </xf>
    <xf numFmtId="43" fontId="21" fillId="7" borderId="37" xfId="9" applyFont="1" applyFill="1" applyBorder="1" applyAlignment="1">
      <alignment horizontal="center" vertical="center"/>
    </xf>
    <xf numFmtId="43" fontId="21" fillId="7" borderId="36" xfId="9" applyFont="1" applyFill="1" applyBorder="1" applyAlignment="1">
      <alignment horizontal="center" vertical="center" wrapText="1"/>
    </xf>
    <xf numFmtId="43" fontId="17" fillId="7" borderId="36" xfId="9" applyFont="1" applyFill="1" applyBorder="1" applyAlignment="1">
      <alignment horizontal="center" vertical="center" wrapText="1"/>
    </xf>
    <xf numFmtId="49" fontId="4" fillId="0" borderId="28" xfId="0" applyNumberFormat="1" applyFont="1" applyBorder="1" applyAlignment="1">
      <alignment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29" xfId="0" applyFont="1" applyFill="1" applyBorder="1" applyAlignment="1">
      <alignment horizontal="center" vertical="center"/>
    </xf>
    <xf numFmtId="43" fontId="4" fillId="0" borderId="29" xfId="9" applyFont="1" applyBorder="1" applyAlignment="1">
      <alignment vertical="center"/>
    </xf>
    <xf numFmtId="43" fontId="4" fillId="0" borderId="29" xfId="9" applyFont="1" applyBorder="1">
      <alignment vertical="center"/>
    </xf>
    <xf numFmtId="43" fontId="6" fillId="0" borderId="29" xfId="9" applyFont="1" applyFill="1" applyBorder="1" applyAlignment="1">
      <alignment vertical="center" wrapText="1"/>
    </xf>
    <xf numFmtId="49" fontId="4" fillId="0" borderId="33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43" fontId="4" fillId="0" borderId="1" xfId="9" applyFont="1" applyBorder="1" applyAlignment="1">
      <alignment vertical="center"/>
    </xf>
    <xf numFmtId="43" fontId="4" fillId="0" borderId="1" xfId="9" applyFont="1" applyBorder="1">
      <alignment vertical="center"/>
    </xf>
    <xf numFmtId="43" fontId="6" fillId="0" borderId="1" xfId="9" applyFont="1" applyFill="1" applyBorder="1" applyAlignment="1">
      <alignment vertical="center" wrapText="1"/>
    </xf>
    <xf numFmtId="49" fontId="4" fillId="0" borderId="35" xfId="0" applyNumberFormat="1" applyFont="1" applyBorder="1" applyAlignment="1">
      <alignment vertical="center"/>
    </xf>
    <xf numFmtId="0" fontId="4" fillId="2" borderId="39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43" fontId="4" fillId="0" borderId="36" xfId="9" applyFont="1" applyBorder="1" applyAlignment="1">
      <alignment vertical="center"/>
    </xf>
    <xf numFmtId="43" fontId="6" fillId="0" borderId="36" xfId="9" applyFont="1" applyFill="1" applyBorder="1" applyAlignment="1">
      <alignment vertical="center" wrapText="1"/>
    </xf>
    <xf numFmtId="0" fontId="28" fillId="0" borderId="0" xfId="0" applyFont="1"/>
    <xf numFmtId="43" fontId="0" fillId="0" borderId="0" xfId="9" applyFont="1" applyAlignment="1"/>
    <xf numFmtId="0" fontId="26" fillId="7" borderId="40" xfId="0" applyFont="1" applyFill="1" applyBorder="1" applyAlignment="1">
      <alignment horizontal="center" vertical="center"/>
    </xf>
    <xf numFmtId="40" fontId="29" fillId="3" borderId="28" xfId="66" applyNumberFormat="1" applyFont="1" applyFill="1" applyBorder="1" applyAlignment="1">
      <alignment horizontal="center" vertical="center" shrinkToFit="1"/>
    </xf>
    <xf numFmtId="40" fontId="18" fillId="3" borderId="41" xfId="67" applyNumberFormat="1" applyFont="1" applyFill="1" applyBorder="1" applyAlignment="1">
      <alignment horizontal="center" vertical="center" shrinkToFit="1"/>
    </xf>
    <xf numFmtId="43" fontId="18" fillId="3" borderId="31" xfId="9" applyFont="1" applyFill="1" applyBorder="1" applyAlignment="1">
      <alignment horizontal="center" vertical="center" wrapText="1"/>
    </xf>
    <xf numFmtId="43" fontId="18" fillId="3" borderId="32" xfId="9" applyFont="1" applyFill="1" applyBorder="1" applyAlignment="1">
      <alignment horizontal="center" vertical="center" wrapText="1"/>
    </xf>
    <xf numFmtId="0" fontId="26" fillId="7" borderId="42" xfId="0" applyFont="1" applyFill="1" applyBorder="1" applyAlignment="1">
      <alignment horizontal="center" vertical="center"/>
    </xf>
    <xf numFmtId="40" fontId="29" fillId="3" borderId="33" xfId="66" applyNumberFormat="1" applyFont="1" applyFill="1" applyBorder="1" applyAlignment="1">
      <alignment horizontal="center" vertical="center" shrinkToFit="1"/>
    </xf>
    <xf numFmtId="40" fontId="18" fillId="3" borderId="43" xfId="67" applyNumberFormat="1" applyFont="1" applyFill="1" applyBorder="1" applyAlignment="1">
      <alignment horizontal="center" vertical="center" shrinkToFit="1"/>
    </xf>
    <xf numFmtId="43" fontId="18" fillId="3" borderId="5" xfId="9" applyFont="1" applyFill="1" applyBorder="1" applyAlignment="1">
      <alignment horizontal="center" vertical="center" wrapText="1"/>
    </xf>
    <xf numFmtId="43" fontId="18" fillId="3" borderId="1" xfId="9" applyFont="1" applyFill="1" applyBorder="1" applyAlignment="1">
      <alignment horizontal="center" vertical="center" wrapText="1"/>
    </xf>
    <xf numFmtId="40" fontId="29" fillId="3" borderId="35" xfId="66" applyNumberFormat="1" applyFont="1" applyFill="1" applyBorder="1" applyAlignment="1">
      <alignment horizontal="center" vertical="center" shrinkToFit="1"/>
    </xf>
    <xf numFmtId="40" fontId="18" fillId="3" borderId="44" xfId="67" applyNumberFormat="1" applyFont="1" applyFill="1" applyBorder="1" applyAlignment="1">
      <alignment horizontal="center" vertical="center" shrinkToFit="1"/>
    </xf>
    <xf numFmtId="43" fontId="18" fillId="3" borderId="39" xfId="9" applyFont="1" applyFill="1" applyBorder="1" applyAlignment="1">
      <alignment horizontal="center" vertical="center" wrapText="1"/>
    </xf>
    <xf numFmtId="43" fontId="18" fillId="3" borderId="36" xfId="9" applyFont="1" applyFill="1" applyBorder="1" applyAlignment="1">
      <alignment horizontal="center" vertical="center" wrapText="1"/>
    </xf>
    <xf numFmtId="49" fontId="4" fillId="0" borderId="42" xfId="9" applyNumberFormat="1" applyFont="1" applyBorder="1" applyAlignment="1">
      <alignment horizontal="left"/>
    </xf>
    <xf numFmtId="0" fontId="10" fillId="2" borderId="28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left"/>
    </xf>
    <xf numFmtId="43" fontId="22" fillId="0" borderId="29" xfId="9" applyFont="1" applyFill="1" applyBorder="1" applyAlignment="1">
      <alignment horizontal="center" vertical="center" wrapText="1"/>
    </xf>
    <xf numFmtId="43" fontId="22" fillId="0" borderId="29" xfId="9" applyFont="1" applyFill="1" applyBorder="1" applyAlignment="1">
      <alignment vertical="center" wrapText="1"/>
    </xf>
    <xf numFmtId="9" fontId="6" fillId="0" borderId="29" xfId="12" applyFont="1" applyFill="1" applyBorder="1" applyAlignment="1">
      <alignment vertical="center" wrapText="1"/>
    </xf>
    <xf numFmtId="0" fontId="10" fillId="2" borderId="33" xfId="0" applyFont="1" applyFill="1" applyBorder="1" applyAlignment="1">
      <alignment horizontal="center" vertical="center"/>
    </xf>
    <xf numFmtId="0" fontId="4" fillId="0" borderId="43" xfId="0" applyFont="1" applyBorder="1" applyAlignment="1">
      <alignment horizontal="left"/>
    </xf>
    <xf numFmtId="43" fontId="22" fillId="0" borderId="1" xfId="9" applyFont="1" applyFill="1" applyBorder="1" applyAlignment="1">
      <alignment vertical="center" wrapText="1"/>
    </xf>
    <xf numFmtId="9" fontId="6" fillId="0" borderId="1" xfId="12" applyFont="1" applyFill="1" applyBorder="1" applyAlignment="1">
      <alignment vertical="center" wrapText="1"/>
    </xf>
    <xf numFmtId="0" fontId="10" fillId="2" borderId="45" xfId="0" applyFont="1" applyFill="1" applyBorder="1" applyAlignment="1">
      <alignment horizontal="center" vertical="center"/>
    </xf>
    <xf numFmtId="43" fontId="22" fillId="0" borderId="5" xfId="9" applyFont="1" applyFill="1" applyBorder="1" applyAlignment="1">
      <alignment horizontal="center" vertical="center" wrapText="1"/>
    </xf>
    <xf numFmtId="43" fontId="22" fillId="0" borderId="5" xfId="9" applyFont="1" applyFill="1" applyBorder="1" applyAlignment="1">
      <alignment vertical="center" wrapText="1"/>
    </xf>
    <xf numFmtId="49" fontId="3" fillId="0" borderId="42" xfId="9" applyNumberFormat="1" applyFont="1" applyBorder="1" applyAlignment="1">
      <alignment horizontal="left"/>
    </xf>
    <xf numFmtId="0" fontId="10" fillId="2" borderId="35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43" fontId="3" fillId="2" borderId="36" xfId="9" applyFont="1" applyFill="1" applyBorder="1" applyAlignment="1">
      <alignment horizontal="center" vertical="center"/>
    </xf>
    <xf numFmtId="9" fontId="17" fillId="0" borderId="36" xfId="12" applyFont="1" applyFill="1" applyBorder="1" applyAlignment="1">
      <alignment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49" fontId="3" fillId="0" borderId="42" xfId="0" applyNumberFormat="1" applyFont="1" applyBorder="1" applyAlignment="1">
      <alignment vertical="center"/>
    </xf>
    <xf numFmtId="0" fontId="4" fillId="0" borderId="35" xfId="0" applyFont="1" applyBorder="1" applyAlignment="1">
      <alignment horizontal="center" vertical="center"/>
    </xf>
    <xf numFmtId="43" fontId="3" fillId="0" borderId="36" xfId="9" applyFont="1" applyFill="1" applyBorder="1" applyAlignment="1">
      <alignment horizontal="center" vertical="center"/>
    </xf>
    <xf numFmtId="49" fontId="4" fillId="0" borderId="42" xfId="0" applyNumberFormat="1" applyFont="1" applyBorder="1" applyAlignment="1">
      <alignment vertical="center"/>
    </xf>
    <xf numFmtId="0" fontId="4" fillId="2" borderId="41" xfId="0" applyFont="1" applyFill="1" applyBorder="1" applyAlignment="1">
      <alignment horizontal="left" vertical="center"/>
    </xf>
    <xf numFmtId="43" fontId="4" fillId="0" borderId="29" xfId="0" applyNumberFormat="1" applyFont="1" applyBorder="1" applyAlignment="1">
      <alignment vertical="center"/>
    </xf>
    <xf numFmtId="0" fontId="4" fillId="2" borderId="43" xfId="0" applyFont="1" applyFill="1" applyBorder="1" applyAlignment="1">
      <alignment horizontal="left" vertical="center"/>
    </xf>
    <xf numFmtId="0" fontId="4" fillId="2" borderId="46" xfId="0" applyFont="1" applyFill="1" applyBorder="1" applyAlignment="1">
      <alignment horizontal="center" vertical="center"/>
    </xf>
    <xf numFmtId="0" fontId="4" fillId="2" borderId="47" xfId="0" applyFont="1" applyFill="1" applyBorder="1" applyAlignment="1">
      <alignment horizontal="center" vertical="center"/>
    </xf>
    <xf numFmtId="49" fontId="3" fillId="0" borderId="48" xfId="0" applyNumberFormat="1" applyFont="1" applyBorder="1" applyAlignment="1">
      <alignment vertical="center"/>
    </xf>
    <xf numFmtId="0" fontId="3" fillId="2" borderId="49" xfId="0" applyFont="1" applyFill="1" applyBorder="1" applyAlignment="1">
      <alignment horizontal="center" vertical="center"/>
    </xf>
    <xf numFmtId="43" fontId="3" fillId="0" borderId="5" xfId="9" applyFont="1" applyBorder="1" applyAlignment="1">
      <alignment vertical="center"/>
    </xf>
    <xf numFmtId="9" fontId="17" fillId="0" borderId="5" xfId="12" applyFont="1" applyFill="1" applyBorder="1" applyAlignment="1">
      <alignment vertical="center" wrapText="1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52" xfId="0" applyFont="1" applyBorder="1" applyAlignment="1">
      <alignment horizontal="center" vertical="center"/>
    </xf>
    <xf numFmtId="43" fontId="3" fillId="0" borderId="51" xfId="9" applyFont="1" applyBorder="1" applyAlignment="1">
      <alignment vertical="center"/>
    </xf>
    <xf numFmtId="9" fontId="17" fillId="0" borderId="51" xfId="12" applyFont="1" applyFill="1" applyBorder="1" applyAlignment="1">
      <alignment vertical="center" wrapText="1"/>
    </xf>
    <xf numFmtId="9" fontId="30" fillId="0" borderId="0" xfId="12" applyNumberFormat="1" applyFont="1" applyAlignment="1"/>
    <xf numFmtId="9" fontId="28" fillId="0" borderId="0" xfId="12" applyFont="1" applyAlignment="1"/>
    <xf numFmtId="9" fontId="0" fillId="0" borderId="0" xfId="12" applyFont="1" applyAlignment="1"/>
    <xf numFmtId="0" fontId="0" fillId="0" borderId="0" xfId="0" applyFont="1"/>
    <xf numFmtId="43" fontId="0" fillId="0" borderId="0" xfId="0" applyNumberFormat="1" applyFont="1"/>
    <xf numFmtId="43" fontId="28" fillId="0" borderId="0" xfId="0" applyNumberFormat="1" applyFont="1"/>
    <xf numFmtId="0" fontId="4" fillId="0" borderId="1" xfId="0" applyFont="1" applyBorder="1" applyAlignment="1">
      <alignment horizontal="center" vertical="center"/>
    </xf>
    <xf numFmtId="43" fontId="7" fillId="0" borderId="0" xfId="0" applyNumberFormat="1" applyFont="1"/>
    <xf numFmtId="0" fontId="4" fillId="0" borderId="1" xfId="0" applyFont="1" applyBorder="1" applyAlignment="1">
      <alignment horizontal="center" vertical="center" wrapText="1"/>
    </xf>
    <xf numFmtId="0" fontId="18" fillId="3" borderId="46" xfId="0" applyFont="1" applyFill="1" applyBorder="1" applyAlignment="1">
      <alignment horizontal="center" vertical="center" wrapText="1"/>
    </xf>
    <xf numFmtId="0" fontId="18" fillId="3" borderId="53" xfId="0" applyFont="1" applyFill="1" applyBorder="1" applyAlignment="1">
      <alignment horizontal="center" vertical="center" wrapText="1"/>
    </xf>
    <xf numFmtId="0" fontId="18" fillId="3" borderId="40" xfId="0" applyFont="1" applyFill="1" applyBorder="1" applyAlignment="1">
      <alignment horizontal="center" vertical="center" wrapText="1"/>
    </xf>
    <xf numFmtId="0" fontId="18" fillId="3" borderId="31" xfId="0" applyFont="1" applyFill="1" applyBorder="1" applyAlignment="1">
      <alignment horizontal="center" vertical="center" wrapText="1"/>
    </xf>
    <xf numFmtId="0" fontId="18" fillId="3" borderId="54" xfId="0" applyFont="1" applyFill="1" applyBorder="1" applyAlignment="1">
      <alignment horizontal="center" vertical="center" wrapText="1"/>
    </xf>
    <xf numFmtId="0" fontId="18" fillId="3" borderId="47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center" vertical="center" wrapText="1"/>
    </xf>
    <xf numFmtId="0" fontId="18" fillId="3" borderId="45" xfId="0" applyFont="1" applyFill="1" applyBorder="1" applyAlignment="1">
      <alignment horizontal="center" vertical="center" wrapText="1"/>
    </xf>
    <xf numFmtId="0" fontId="18" fillId="3" borderId="49" xfId="0" applyFont="1" applyFill="1" applyBorder="1" applyAlignment="1">
      <alignment horizontal="center" vertical="center" wrapText="1"/>
    </xf>
    <xf numFmtId="0" fontId="7" fillId="0" borderId="55" xfId="0" applyFont="1" applyBorder="1" applyAlignment="1">
      <alignment horizontal="center" vertical="center"/>
    </xf>
    <xf numFmtId="0" fontId="18" fillId="3" borderId="56" xfId="0" applyFont="1" applyFill="1" applyBorder="1" applyAlignment="1">
      <alignment horizontal="center" vertical="center" wrapText="1"/>
    </xf>
    <xf numFmtId="0" fontId="18" fillId="3" borderId="57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vertical="center"/>
    </xf>
    <xf numFmtId="43" fontId="4" fillId="0" borderId="1" xfId="9" applyNumberFormat="1" applyFont="1" applyBorder="1" applyAlignment="1"/>
    <xf numFmtId="9" fontId="6" fillId="0" borderId="43" xfId="12" applyFont="1" applyBorder="1" applyAlignment="1"/>
    <xf numFmtId="0" fontId="4" fillId="0" borderId="5" xfId="0" applyFont="1" applyBorder="1" applyAlignment="1">
      <alignment horizontal="center" vertical="center"/>
    </xf>
    <xf numFmtId="0" fontId="4" fillId="0" borderId="11" xfId="0" applyFont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43" fontId="3" fillId="2" borderId="35" xfId="9" applyNumberFormat="1" applyFont="1" applyFill="1" applyBorder="1" applyAlignment="1">
      <alignment vertical="center"/>
    </xf>
    <xf numFmtId="43" fontId="3" fillId="2" borderId="39" xfId="9" applyNumberFormat="1" applyFont="1" applyFill="1" applyBorder="1" applyAlignment="1">
      <alignment vertical="center"/>
    </xf>
    <xf numFmtId="9" fontId="17" fillId="2" borderId="58" xfId="12" applyFont="1" applyFill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8" fillId="3" borderId="28" xfId="0" applyFont="1" applyFill="1" applyBorder="1" applyAlignment="1">
      <alignment horizontal="center" vertical="center" wrapText="1"/>
    </xf>
    <xf numFmtId="0" fontId="18" fillId="3" borderId="29" xfId="0" applyFont="1" applyFill="1" applyBorder="1" applyAlignment="1">
      <alignment horizontal="center" vertical="center"/>
    </xf>
    <xf numFmtId="0" fontId="18" fillId="3" borderId="29" xfId="0" applyFont="1" applyFill="1" applyBorder="1" applyAlignment="1">
      <alignment horizontal="center" vertical="center" wrapText="1"/>
    </xf>
    <xf numFmtId="0" fontId="18" fillId="3" borderId="28" xfId="0" applyFont="1" applyFill="1" applyBorder="1" applyAlignment="1">
      <alignment horizontal="center" vertical="center"/>
    </xf>
    <xf numFmtId="0" fontId="18" fillId="3" borderId="33" xfId="0" applyFont="1" applyFill="1" applyBorder="1" applyAlignment="1">
      <alignment horizontal="center" vertical="center" wrapText="1"/>
    </xf>
    <xf numFmtId="0" fontId="18" fillId="3" borderId="35" xfId="0" applyFont="1" applyFill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center" vertical="center"/>
    </xf>
    <xf numFmtId="0" fontId="18" fillId="3" borderId="36" xfId="0" applyFont="1" applyFill="1" applyBorder="1" applyAlignment="1">
      <alignment horizontal="center" vertical="center" wrapText="1"/>
    </xf>
    <xf numFmtId="0" fontId="3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vertical="center"/>
    </xf>
    <xf numFmtId="0" fontId="4" fillId="0" borderId="29" xfId="0" applyFont="1" applyBorder="1" applyAlignment="1">
      <alignment horizontal="center" vertical="center"/>
    </xf>
    <xf numFmtId="43" fontId="4" fillId="0" borderId="28" xfId="9" applyFont="1" applyFill="1" applyBorder="1" applyAlignment="1">
      <alignment vertical="center"/>
    </xf>
    <xf numFmtId="43" fontId="4" fillId="0" borderId="29" xfId="9" applyFont="1" applyFill="1" applyBorder="1" applyAlignment="1">
      <alignment vertical="center"/>
    </xf>
    <xf numFmtId="43" fontId="4" fillId="8" borderId="29" xfId="9" applyFont="1" applyFill="1" applyBorder="1" applyAlignment="1">
      <alignment vertical="center"/>
    </xf>
    <xf numFmtId="0" fontId="3" fillId="0" borderId="3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0" borderId="33" xfId="9" applyFont="1" applyFill="1" applyBorder="1" applyAlignment="1">
      <alignment vertical="center"/>
    </xf>
    <xf numFmtId="43" fontId="4" fillId="8" borderId="1" xfId="9" applyFont="1" applyFill="1" applyBorder="1" applyAlignment="1">
      <alignment vertical="center"/>
    </xf>
    <xf numFmtId="0" fontId="3" fillId="0" borderId="45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43" fontId="4" fillId="0" borderId="45" xfId="9" applyFont="1" applyFill="1" applyBorder="1" applyAlignment="1">
      <alignment vertical="center"/>
    </xf>
    <xf numFmtId="43" fontId="4" fillId="0" borderId="5" xfId="9" applyFont="1" applyFill="1" applyBorder="1" applyAlignment="1">
      <alignment vertical="center"/>
    </xf>
    <xf numFmtId="43" fontId="4" fillId="0" borderId="5" xfId="9" applyFont="1" applyBorder="1" applyAlignment="1">
      <alignment vertic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Fill="1" applyBorder="1" applyAlignment="1">
      <alignment horizontal="center" vertical="center"/>
    </xf>
    <xf numFmtId="43" fontId="3" fillId="8" borderId="35" xfId="9" applyFont="1" applyFill="1" applyBorder="1" applyAlignment="1">
      <alignment vertical="center"/>
    </xf>
    <xf numFmtId="43" fontId="3" fillId="8" borderId="36" xfId="9" applyFont="1" applyFill="1" applyBorder="1" applyAlignment="1">
      <alignment vertical="center"/>
    </xf>
    <xf numFmtId="0" fontId="4" fillId="0" borderId="3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43" fontId="3" fillId="8" borderId="46" xfId="9" applyFont="1" applyFill="1" applyBorder="1" applyAlignment="1">
      <alignment vertical="center"/>
    </xf>
    <xf numFmtId="43" fontId="3" fillId="8" borderId="38" xfId="9" applyFont="1" applyFill="1" applyBorder="1" applyAlignment="1">
      <alignment vertical="center"/>
    </xf>
    <xf numFmtId="0" fontId="3" fillId="0" borderId="5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43" fontId="3" fillId="8" borderId="45" xfId="9" applyFont="1" applyFill="1" applyBorder="1" applyAlignment="1">
      <alignment vertical="center"/>
    </xf>
    <xf numFmtId="43" fontId="3" fillId="8" borderId="5" xfId="9" applyFont="1" applyFill="1" applyBorder="1" applyAlignment="1">
      <alignment vertical="center"/>
    </xf>
    <xf numFmtId="0" fontId="3" fillId="0" borderId="60" xfId="0" applyFont="1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18" fillId="3" borderId="41" xfId="0" applyFont="1" applyFill="1" applyBorder="1" applyAlignment="1">
      <alignment horizontal="center" vertical="center"/>
    </xf>
    <xf numFmtId="0" fontId="18" fillId="3" borderId="43" xfId="0" applyFont="1" applyFill="1" applyBorder="1" applyAlignment="1">
      <alignment horizontal="center" vertical="center" wrapText="1"/>
    </xf>
    <xf numFmtId="0" fontId="18" fillId="3" borderId="44" xfId="0" applyFont="1" applyFill="1" applyBorder="1" applyAlignment="1">
      <alignment horizontal="center" vertical="center" wrapText="1"/>
    </xf>
    <xf numFmtId="10" fontId="6" fillId="0" borderId="41" xfId="12" applyNumberFormat="1" applyFont="1" applyBorder="1" applyAlignment="1">
      <alignment vertical="center"/>
    </xf>
    <xf numFmtId="10" fontId="6" fillId="0" borderId="43" xfId="12" applyNumberFormat="1" applyFont="1" applyBorder="1" applyAlignment="1">
      <alignment vertical="center"/>
    </xf>
    <xf numFmtId="10" fontId="17" fillId="0" borderId="44" xfId="12" applyNumberFormat="1" applyFont="1" applyFill="1" applyBorder="1" applyAlignment="1">
      <alignment vertical="center"/>
    </xf>
    <xf numFmtId="43" fontId="17" fillId="0" borderId="62" xfId="9" applyFont="1" applyBorder="1" applyAlignment="1">
      <alignment vertical="center"/>
    </xf>
    <xf numFmtId="43" fontId="17" fillId="0" borderId="49" xfId="9" applyFont="1" applyBorder="1" applyAlignment="1">
      <alignment vertical="center"/>
    </xf>
    <xf numFmtId="10" fontId="17" fillId="0" borderId="44" xfId="12" applyNumberFormat="1" applyFont="1" applyBorder="1" applyAlignment="1">
      <alignment vertical="center"/>
    </xf>
    <xf numFmtId="0" fontId="13" fillId="0" borderId="0" xfId="71" applyFont="1" applyAlignment="1">
      <alignment horizontal="center" vertical="center"/>
    </xf>
    <xf numFmtId="0" fontId="13" fillId="0" borderId="0" xfId="71" applyFont="1">
      <alignment vertical="center"/>
    </xf>
    <xf numFmtId="0" fontId="13" fillId="0" borderId="0" xfId="71" applyFont="1" applyAlignment="1">
      <alignment horizontal="left" vertical="center"/>
    </xf>
    <xf numFmtId="43" fontId="13" fillId="0" borderId="0" xfId="9" applyFont="1" applyAlignment="1">
      <alignment horizontal="center" vertical="center"/>
    </xf>
    <xf numFmtId="0" fontId="24" fillId="0" borderId="0" xfId="71" applyFont="1" applyAlignment="1">
      <alignment horizontal="center" vertical="center"/>
    </xf>
    <xf numFmtId="0" fontId="31" fillId="3" borderId="1" xfId="71" applyFont="1" applyFill="1" applyBorder="1" applyAlignment="1">
      <alignment horizontal="center" vertical="center"/>
    </xf>
    <xf numFmtId="0" fontId="32" fillId="9" borderId="0" xfId="71" applyFont="1" applyFill="1" applyBorder="1" applyAlignment="1">
      <alignment horizontal="center" vertical="center"/>
    </xf>
    <xf numFmtId="0" fontId="33" fillId="3" borderId="63" xfId="71" applyFont="1" applyFill="1" applyBorder="1" applyAlignment="1">
      <alignment horizontal="center" vertical="center"/>
    </xf>
    <xf numFmtId="0" fontId="13" fillId="0" borderId="3" xfId="71" applyFont="1" applyBorder="1" applyAlignment="1">
      <alignment horizontal="left" vertical="center"/>
    </xf>
    <xf numFmtId="0" fontId="33" fillId="3" borderId="34" xfId="71" applyFont="1" applyFill="1" applyBorder="1" applyAlignment="1">
      <alignment horizontal="center" vertical="center"/>
    </xf>
    <xf numFmtId="0" fontId="14" fillId="0" borderId="1" xfId="71" applyFont="1" applyFill="1" applyBorder="1">
      <alignment vertical="center"/>
    </xf>
    <xf numFmtId="0" fontId="14" fillId="0" borderId="1" xfId="71" applyFont="1" applyFill="1" applyBorder="1" applyAlignment="1">
      <alignment horizontal="center" vertical="center"/>
    </xf>
    <xf numFmtId="43" fontId="14" fillId="0" borderId="1" xfId="9" applyFont="1" applyFill="1" applyBorder="1" applyAlignment="1">
      <alignment horizontal="center" vertical="center"/>
    </xf>
    <xf numFmtId="43" fontId="14" fillId="0" borderId="0" xfId="9" applyFont="1" applyFill="1" applyBorder="1" applyAlignment="1">
      <alignment horizontal="center" vertical="center"/>
    </xf>
    <xf numFmtId="0" fontId="13" fillId="0" borderId="12" xfId="71" applyFont="1" applyBorder="1">
      <alignment vertical="center"/>
    </xf>
    <xf numFmtId="0" fontId="14" fillId="0" borderId="1" xfId="71" applyFont="1" applyFill="1" applyBorder="1" applyAlignment="1">
      <alignment horizontal="left" vertical="center"/>
    </xf>
    <xf numFmtId="43" fontId="7" fillId="0" borderId="1" xfId="71" applyNumberFormat="1" applyFont="1" applyBorder="1" applyAlignment="1">
      <alignment horizontal="left" vertical="center"/>
    </xf>
    <xf numFmtId="43" fontId="1" fillId="0" borderId="1" xfId="9" applyFont="1" applyBorder="1" applyAlignment="1">
      <alignment horizontal="center" vertical="center"/>
    </xf>
    <xf numFmtId="43" fontId="1" fillId="0" borderId="1" xfId="71" applyNumberFormat="1" applyFont="1" applyBorder="1">
      <alignment vertical="center"/>
    </xf>
    <xf numFmtId="43" fontId="1" fillId="0" borderId="0" xfId="9" applyFont="1" applyBorder="1" applyAlignment="1">
      <alignment horizontal="center" vertical="center"/>
    </xf>
    <xf numFmtId="43" fontId="1" fillId="0" borderId="1" xfId="71" applyNumberFormat="1" applyFont="1" applyBorder="1" applyAlignment="1">
      <alignment horizontal="center" vertical="center"/>
    </xf>
    <xf numFmtId="43" fontId="1" fillId="0" borderId="1" xfId="71" applyNumberFormat="1" applyFont="1" applyBorder="1" applyAlignment="1">
      <alignment horizontal="left" vertical="center"/>
    </xf>
    <xf numFmtId="43" fontId="1" fillId="0" borderId="0" xfId="71" applyNumberFormat="1" applyFont="1" applyBorder="1" applyAlignment="1">
      <alignment horizontal="left" vertical="center"/>
    </xf>
    <xf numFmtId="0" fontId="24" fillId="0" borderId="0" xfId="71" applyFont="1">
      <alignment vertical="center"/>
    </xf>
    <xf numFmtId="43" fontId="24" fillId="0" borderId="0" xfId="71" applyNumberFormat="1" applyFont="1">
      <alignment vertical="center"/>
    </xf>
    <xf numFmtId="0" fontId="9" fillId="3" borderId="11" xfId="71" applyFont="1" applyFill="1" applyBorder="1" applyAlignment="1">
      <alignment horizontal="center" vertical="center"/>
    </xf>
    <xf numFmtId="0" fontId="9" fillId="3" borderId="10" xfId="71" applyFont="1" applyFill="1" applyBorder="1" applyAlignment="1">
      <alignment horizontal="center" vertical="center"/>
    </xf>
    <xf numFmtId="0" fontId="13" fillId="0" borderId="1" xfId="71" applyFont="1" applyBorder="1" applyAlignment="1">
      <alignment horizontal="center" vertical="center"/>
    </xf>
    <xf numFmtId="0" fontId="12" fillId="0" borderId="1" xfId="71" applyFont="1" applyBorder="1" applyAlignment="1">
      <alignment horizontal="center" vertical="center"/>
    </xf>
    <xf numFmtId="0" fontId="13" fillId="0" borderId="7" xfId="71" applyFont="1" applyBorder="1" applyAlignment="1">
      <alignment horizontal="center" vertical="center"/>
    </xf>
    <xf numFmtId="0" fontId="13" fillId="0" borderId="9" xfId="72" applyFont="1" applyBorder="1">
      <alignment vertical="center"/>
    </xf>
    <xf numFmtId="0" fontId="13" fillId="0" borderId="6" xfId="72" applyFont="1" applyBorder="1">
      <alignment vertical="center"/>
    </xf>
    <xf numFmtId="0" fontId="13" fillId="0" borderId="6" xfId="71" applyFont="1" applyBorder="1" applyAlignment="1">
      <alignment horizontal="left" vertical="center"/>
    </xf>
    <xf numFmtId="14" fontId="13" fillId="0" borderId="6" xfId="71" applyNumberFormat="1" applyFont="1" applyBorder="1" applyAlignment="1">
      <alignment horizontal="left" vertical="center"/>
    </xf>
    <xf numFmtId="0" fontId="13" fillId="0" borderId="1" xfId="72" applyFont="1" applyBorder="1">
      <alignment vertical="center"/>
    </xf>
    <xf numFmtId="0" fontId="13" fillId="0" borderId="1" xfId="71" applyFont="1" applyBorder="1" applyAlignment="1">
      <alignment horizontal="left" vertical="center"/>
    </xf>
    <xf numFmtId="14" fontId="13" fillId="0" borderId="1" xfId="71" applyNumberFormat="1" applyFont="1" applyBorder="1" applyAlignment="1">
      <alignment horizontal="left" vertical="center"/>
    </xf>
    <xf numFmtId="0" fontId="13" fillId="0" borderId="64" xfId="71" applyFont="1" applyBorder="1" applyAlignment="1">
      <alignment horizontal="center" vertical="center"/>
    </xf>
    <xf numFmtId="0" fontId="13" fillId="0" borderId="64" xfId="72" applyFont="1" applyBorder="1">
      <alignment vertical="center"/>
    </xf>
    <xf numFmtId="0" fontId="13" fillId="0" borderId="64" xfId="71" applyFont="1" applyBorder="1" applyAlignment="1">
      <alignment horizontal="left" vertical="center"/>
    </xf>
    <xf numFmtId="14" fontId="13" fillId="0" borderId="64" xfId="71" applyNumberFormat="1" applyFont="1" applyBorder="1" applyAlignment="1">
      <alignment horizontal="left" vertical="center"/>
    </xf>
    <xf numFmtId="0" fontId="13" fillId="0" borderId="1" xfId="70" applyFont="1" applyBorder="1" applyAlignment="1">
      <alignment horizontal="center" vertical="center"/>
    </xf>
    <xf numFmtId="0" fontId="13" fillId="0" borderId="5" xfId="72" applyFont="1" applyBorder="1">
      <alignment vertical="center"/>
    </xf>
    <xf numFmtId="0" fontId="13" fillId="0" borderId="1" xfId="70" applyFont="1" applyBorder="1" applyAlignment="1">
      <alignment horizontal="left" vertical="center"/>
    </xf>
    <xf numFmtId="0" fontId="13" fillId="0" borderId="7" xfId="70" applyFont="1" applyBorder="1" applyAlignment="1">
      <alignment horizontal="center" vertical="center"/>
    </xf>
    <xf numFmtId="0" fontId="13" fillId="0" borderId="65" xfId="70" applyFont="1" applyBorder="1" applyAlignment="1">
      <alignment horizontal="left" vertical="center"/>
    </xf>
    <xf numFmtId="0" fontId="13" fillId="0" borderId="3" xfId="71" applyFont="1" applyBorder="1" applyAlignment="1">
      <alignment horizontal="center" vertical="center"/>
    </xf>
    <xf numFmtId="0" fontId="13" fillId="0" borderId="66" xfId="72" applyFont="1" applyBorder="1">
      <alignment vertical="center"/>
    </xf>
    <xf numFmtId="0" fontId="13" fillId="0" borderId="1" xfId="71" applyFont="1" applyBorder="1" applyAlignment="1">
      <alignment vertical="center"/>
    </xf>
    <xf numFmtId="49" fontId="13" fillId="0" borderId="1" xfId="71" applyNumberFormat="1" applyFont="1" applyBorder="1" applyAlignment="1">
      <alignment horizontal="left" vertical="center"/>
    </xf>
    <xf numFmtId="0" fontId="13" fillId="0" borderId="64" xfId="72" applyFont="1" applyBorder="1" applyAlignment="1">
      <alignment vertical="center"/>
    </xf>
    <xf numFmtId="0" fontId="13" fillId="0" borderId="6" xfId="71" applyFont="1" applyBorder="1" applyAlignment="1">
      <alignment horizontal="center" vertical="center"/>
    </xf>
    <xf numFmtId="0" fontId="13" fillId="0" borderId="6" xfId="71" applyFont="1" applyBorder="1" applyAlignment="1">
      <alignment vertical="center"/>
    </xf>
    <xf numFmtId="49" fontId="13" fillId="0" borderId="6" xfId="71" applyNumberFormat="1" applyFont="1" applyBorder="1" applyAlignment="1">
      <alignment horizontal="left" vertical="center"/>
    </xf>
    <xf numFmtId="0" fontId="9" fillId="3" borderId="2" xfId="71" applyFont="1" applyFill="1" applyBorder="1" applyAlignment="1">
      <alignment horizontal="center" vertical="center"/>
    </xf>
    <xf numFmtId="43" fontId="12" fillId="0" borderId="1" xfId="9" applyFont="1" applyBorder="1" applyAlignment="1">
      <alignment horizontal="center" vertical="center"/>
    </xf>
    <xf numFmtId="43" fontId="4" fillId="2" borderId="6" xfId="9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43" fontId="4" fillId="2" borderId="64" xfId="9" applyFont="1" applyFill="1" applyBorder="1" applyAlignment="1">
      <alignment horizontal="center" vertical="center"/>
    </xf>
    <xf numFmtId="0" fontId="15" fillId="0" borderId="67" xfId="0" applyFont="1" applyBorder="1" applyAlignment="1">
      <alignment horizontal="center" vertical="center"/>
    </xf>
    <xf numFmtId="43" fontId="4" fillId="2" borderId="68" xfId="9" applyFont="1" applyFill="1" applyBorder="1" applyAlignment="1">
      <alignment vertical="center"/>
    </xf>
    <xf numFmtId="43" fontId="4" fillId="2" borderId="68" xfId="9" applyFont="1" applyFill="1" applyBorder="1" applyAlignment="1">
      <alignment horizontal="center" vertical="center"/>
    </xf>
    <xf numFmtId="43" fontId="4" fillId="2" borderId="1" xfId="9" applyFont="1" applyFill="1" applyBorder="1" applyAlignment="1">
      <alignment vertical="center"/>
    </xf>
    <xf numFmtId="43" fontId="4" fillId="2" borderId="64" xfId="9" applyFont="1" applyFill="1" applyBorder="1" applyAlignment="1">
      <alignment vertical="center"/>
    </xf>
    <xf numFmtId="43" fontId="4" fillId="2" borderId="6" xfId="9" applyFont="1" applyFill="1" applyBorder="1" applyAlignment="1">
      <alignment vertical="center"/>
    </xf>
    <xf numFmtId="43" fontId="13" fillId="2" borderId="6" xfId="9" applyFont="1" applyFill="1" applyBorder="1" applyAlignment="1">
      <alignment horizontal="center" vertical="center"/>
    </xf>
    <xf numFmtId="43" fontId="13" fillId="0" borderId="1" xfId="9" applyFont="1" applyBorder="1" applyAlignment="1">
      <alignment horizontal="center" vertical="center"/>
    </xf>
    <xf numFmtId="43" fontId="13" fillId="2" borderId="68" xfId="9" applyFont="1" applyFill="1" applyBorder="1" applyAlignment="1">
      <alignment horizontal="center" vertical="center"/>
    </xf>
    <xf numFmtId="0" fontId="5" fillId="0" borderId="1" xfId="56" applyFont="1" applyBorder="1" applyAlignment="1">
      <alignment horizontal="center" vertical="center"/>
    </xf>
    <xf numFmtId="0" fontId="24" fillId="0" borderId="1" xfId="71" applyFont="1" applyBorder="1" applyAlignment="1">
      <alignment horizontal="center" vertical="center"/>
    </xf>
    <xf numFmtId="43" fontId="13" fillId="2" borderId="64" xfId="9" applyFont="1" applyFill="1" applyBorder="1" applyAlignment="1">
      <alignment vertical="center"/>
    </xf>
    <xf numFmtId="43" fontId="13" fillId="2" borderId="64" xfId="9" applyFont="1" applyFill="1" applyBorder="1" applyAlignment="1">
      <alignment horizontal="center" vertical="center"/>
    </xf>
    <xf numFmtId="43" fontId="13" fillId="0" borderId="6" xfId="9" applyFont="1" applyBorder="1" applyAlignment="1">
      <alignment horizontal="center" vertical="center"/>
    </xf>
    <xf numFmtId="0" fontId="5" fillId="0" borderId="6" xfId="56" applyFont="1" applyBorder="1" applyAlignment="1">
      <alignment horizontal="center" vertical="center"/>
    </xf>
    <xf numFmtId="0" fontId="24" fillId="0" borderId="6" xfId="71" applyFont="1" applyBorder="1" applyAlignment="1">
      <alignment horizontal="center" vertical="center"/>
    </xf>
    <xf numFmtId="0" fontId="34" fillId="0" borderId="0" xfId="71" applyFont="1">
      <alignment vertical="center"/>
    </xf>
    <xf numFmtId="0" fontId="0" fillId="0" borderId="0" xfId="0" applyAlignment="1"/>
    <xf numFmtId="0" fontId="30" fillId="0" borderId="0" xfId="0" applyFont="1" applyAlignment="1">
      <alignment vertical="center"/>
    </xf>
    <xf numFmtId="0" fontId="35" fillId="0" borderId="0" xfId="0" applyFont="1" applyAlignment="1">
      <alignment horizontal="center" vertical="center"/>
    </xf>
    <xf numFmtId="0" fontId="35" fillId="0" borderId="4" xfId="0" applyFont="1" applyBorder="1" applyAlignment="1">
      <alignment horizontal="center" vertical="center"/>
    </xf>
    <xf numFmtId="0" fontId="18" fillId="3" borderId="1" xfId="71" applyFont="1" applyFill="1" applyBorder="1" applyAlignment="1">
      <alignment horizontal="center" vertical="center"/>
    </xf>
    <xf numFmtId="0" fontId="18" fillId="3" borderId="1" xfId="71" applyNumberFormat="1" applyFont="1" applyFill="1" applyBorder="1" applyAlignment="1">
      <alignment horizontal="center" vertical="center" wrapText="1"/>
    </xf>
    <xf numFmtId="0" fontId="18" fillId="3" borderId="5" xfId="71" applyNumberFormat="1" applyFont="1" applyFill="1" applyBorder="1" applyAlignment="1">
      <alignment horizontal="center" vertical="center"/>
    </xf>
    <xf numFmtId="0" fontId="18" fillId="3" borderId="7" xfId="71" applyNumberFormat="1" applyFont="1" applyFill="1" applyBorder="1" applyAlignment="1">
      <alignment horizontal="center" vertical="center"/>
    </xf>
    <xf numFmtId="0" fontId="5" fillId="0" borderId="9" xfId="71" applyFont="1" applyFill="1" applyBorder="1" applyAlignment="1">
      <alignment horizontal="center" vertical="center"/>
    </xf>
    <xf numFmtId="0" fontId="5" fillId="0" borderId="7" xfId="71" applyFont="1" applyFill="1" applyBorder="1" applyAlignment="1">
      <alignment horizontal="center" vertical="center"/>
    </xf>
    <xf numFmtId="0" fontId="5" fillId="0" borderId="7" xfId="73" applyNumberFormat="1" applyFont="1" applyFill="1" applyBorder="1" applyAlignment="1" applyProtection="1">
      <alignment horizontal="center" vertical="center"/>
    </xf>
    <xf numFmtId="0" fontId="4" fillId="0" borderId="7" xfId="73" applyNumberFormat="1" applyFont="1" applyFill="1" applyBorder="1" applyAlignment="1" applyProtection="1">
      <alignment horizontal="left" vertical="center"/>
    </xf>
    <xf numFmtId="0" fontId="5" fillId="0" borderId="7" xfId="71" applyFont="1" applyFill="1" applyBorder="1" applyAlignment="1" applyProtection="1">
      <alignment horizontal="center" vertical="center"/>
    </xf>
    <xf numFmtId="0" fontId="5" fillId="0" borderId="7" xfId="73" applyFont="1" applyFill="1" applyBorder="1" applyAlignment="1" applyProtection="1">
      <alignment horizontal="center" vertical="center"/>
    </xf>
    <xf numFmtId="0" fontId="5" fillId="0" borderId="7" xfId="73" applyFont="1" applyFill="1" applyBorder="1" applyAlignment="1" applyProtection="1">
      <alignment horizontal="left" vertical="center"/>
    </xf>
    <xf numFmtId="21" fontId="5" fillId="0" borderId="7" xfId="73" applyNumberFormat="1" applyFont="1" applyFill="1" applyBorder="1" applyAlignment="1" applyProtection="1">
      <alignment horizontal="left" vertical="center"/>
    </xf>
    <xf numFmtId="0" fontId="5" fillId="0" borderId="1" xfId="73" applyNumberFormat="1" applyFont="1" applyFill="1" applyBorder="1" applyAlignment="1" applyProtection="1">
      <alignment horizontal="center" vertical="center"/>
    </xf>
    <xf numFmtId="0" fontId="4" fillId="0" borderId="1" xfId="73" applyNumberFormat="1" applyFont="1" applyFill="1" applyBorder="1" applyAlignment="1" applyProtection="1">
      <alignment horizontal="left" vertical="center"/>
    </xf>
    <xf numFmtId="0" fontId="5" fillId="0" borderId="1" xfId="71" applyFont="1" applyFill="1" applyBorder="1" applyAlignment="1" applyProtection="1">
      <alignment horizontal="center" vertical="center"/>
    </xf>
    <xf numFmtId="0" fontId="5" fillId="0" borderId="1" xfId="73" applyFont="1" applyFill="1" applyBorder="1" applyAlignment="1" applyProtection="1">
      <alignment horizontal="center" vertical="center"/>
    </xf>
    <xf numFmtId="0" fontId="5" fillId="0" borderId="1" xfId="73" applyFont="1" applyFill="1" applyBorder="1" applyAlignment="1" applyProtection="1">
      <alignment horizontal="left" vertical="center"/>
    </xf>
    <xf numFmtId="21" fontId="5" fillId="0" borderId="1" xfId="73" applyNumberFormat="1" applyFont="1" applyFill="1" applyBorder="1" applyAlignment="1" applyProtection="1">
      <alignment horizontal="left" vertical="center"/>
    </xf>
    <xf numFmtId="0" fontId="5" fillId="0" borderId="69" xfId="71" applyFont="1" applyFill="1" applyBorder="1" applyAlignment="1">
      <alignment horizontal="center" vertical="center"/>
    </xf>
    <xf numFmtId="0" fontId="21" fillId="0" borderId="70" xfId="71" applyFont="1" applyFill="1" applyBorder="1" applyAlignment="1">
      <alignment horizontal="center" vertical="center"/>
    </xf>
    <xf numFmtId="0" fontId="21" fillId="0" borderId="71" xfId="71" applyFont="1" applyFill="1" applyBorder="1" applyAlignment="1">
      <alignment horizontal="center" vertical="center"/>
    </xf>
    <xf numFmtId="43" fontId="18" fillId="3" borderId="1" xfId="87" applyFont="1" applyFill="1" applyBorder="1" applyAlignment="1">
      <alignment horizontal="center" vertical="center" wrapText="1"/>
    </xf>
    <xf numFmtId="14" fontId="18" fillId="3" borderId="11" xfId="71" applyNumberFormat="1" applyFont="1" applyFill="1" applyBorder="1" applyAlignment="1">
      <alignment horizontal="center" vertical="center"/>
    </xf>
    <xf numFmtId="14" fontId="18" fillId="3" borderId="10" xfId="71" applyNumberFormat="1" applyFont="1" applyFill="1" applyBorder="1" applyAlignment="1">
      <alignment horizontal="center" vertical="center"/>
    </xf>
    <xf numFmtId="14" fontId="18" fillId="3" borderId="2" xfId="71" applyNumberFormat="1" applyFont="1" applyFill="1" applyBorder="1" applyAlignment="1">
      <alignment horizontal="center" vertical="center"/>
    </xf>
    <xf numFmtId="9" fontId="18" fillId="3" borderId="1" xfId="12" applyFont="1" applyFill="1" applyBorder="1" applyAlignment="1">
      <alignment horizontal="center" vertical="center"/>
    </xf>
    <xf numFmtId="0" fontId="18" fillId="3" borderId="1" xfId="71" applyFont="1" applyFill="1" applyBorder="1" applyAlignment="1">
      <alignment horizontal="center" vertical="center" wrapText="1"/>
    </xf>
    <xf numFmtId="14" fontId="18" fillId="3" borderId="1" xfId="71" applyNumberFormat="1" applyFont="1" applyFill="1" applyBorder="1" applyAlignment="1">
      <alignment horizontal="center" vertical="center"/>
    </xf>
    <xf numFmtId="43" fontId="5" fillId="0" borderId="1" xfId="71" applyNumberFormat="1" applyFont="1" applyFill="1" applyBorder="1" applyAlignment="1">
      <alignment vertical="center"/>
    </xf>
    <xf numFmtId="43" fontId="5" fillId="0" borderId="1" xfId="87" applyFont="1" applyFill="1" applyBorder="1" applyAlignment="1">
      <alignment vertical="center"/>
    </xf>
    <xf numFmtId="43" fontId="5" fillId="0" borderId="7" xfId="87" applyFont="1" applyFill="1" applyBorder="1" applyAlignment="1">
      <alignment horizontal="left" vertical="center"/>
    </xf>
    <xf numFmtId="43" fontId="4" fillId="0" borderId="7" xfId="87" applyFont="1" applyFill="1" applyBorder="1">
      <alignment vertical="center"/>
    </xf>
    <xf numFmtId="9" fontId="6" fillId="0" borderId="7" xfId="12" applyFont="1" applyFill="1" applyBorder="1">
      <alignment vertical="center"/>
    </xf>
    <xf numFmtId="43" fontId="5" fillId="0" borderId="67" xfId="71" applyNumberFormat="1" applyFont="1" applyFill="1" applyBorder="1" applyAlignment="1">
      <alignment vertical="center"/>
    </xf>
    <xf numFmtId="9" fontId="6" fillId="0" borderId="67" xfId="12" applyFont="1" applyFill="1" applyBorder="1">
      <alignment vertical="center"/>
    </xf>
    <xf numFmtId="43" fontId="30" fillId="0" borderId="0" xfId="0" applyNumberFormat="1" applyFont="1" applyAlignment="1">
      <alignment vertical="center"/>
    </xf>
    <xf numFmtId="0" fontId="24" fillId="0" borderId="1" xfId="0" applyFont="1" applyBorder="1"/>
    <xf numFmtId="9" fontId="24" fillId="0" borderId="1" xfId="12" applyFont="1" applyBorder="1" applyAlignment="1"/>
    <xf numFmtId="0" fontId="4" fillId="0" borderId="7" xfId="73" applyFont="1" applyFill="1" applyBorder="1">
      <alignment vertical="center"/>
    </xf>
    <xf numFmtId="0" fontId="4" fillId="0" borderId="1" xfId="73" applyFont="1" applyFill="1" applyBorder="1">
      <alignment vertical="center"/>
    </xf>
    <xf numFmtId="0" fontId="4" fillId="0" borderId="67" xfId="73" applyFont="1" applyFill="1" applyBorder="1">
      <alignment vertical="center"/>
    </xf>
    <xf numFmtId="0" fontId="30" fillId="10" borderId="0" xfId="0" applyFont="1" applyFill="1" applyAlignment="1">
      <alignment horizontal="center" vertical="center" wrapText="1"/>
    </xf>
    <xf numFmtId="0" fontId="30" fillId="10" borderId="0" xfId="0" applyFont="1" applyFill="1" applyAlignment="1">
      <alignment vertical="center"/>
    </xf>
    <xf numFmtId="0" fontId="0" fillId="10" borderId="0" xfId="0" applyFont="1" applyFill="1" applyAlignment="1">
      <alignment vertical="center"/>
    </xf>
    <xf numFmtId="0" fontId="0" fillId="10" borderId="0" xfId="0" applyFill="1" applyAlignment="1">
      <alignment vertical="center"/>
    </xf>
    <xf numFmtId="0" fontId="0" fillId="10" borderId="0" xfId="0" applyFill="1" applyAlignment="1">
      <alignment horizontal="center" vertical="center"/>
    </xf>
    <xf numFmtId="43" fontId="0" fillId="10" borderId="0" xfId="9" applyFont="1" applyFill="1" applyAlignment="1">
      <alignment horizontal="center" vertical="center"/>
    </xf>
    <xf numFmtId="9" fontId="36" fillId="10" borderId="0" xfId="12" applyFont="1" applyFill="1" applyAlignment="1">
      <alignment horizontal="center" vertical="center"/>
    </xf>
    <xf numFmtId="176" fontId="0" fillId="10" borderId="0" xfId="0" applyNumberForma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4" fillId="10" borderId="7" xfId="0" applyFont="1" applyFill="1" applyBorder="1" applyAlignment="1">
      <alignment horizontal="center" vertical="center" wrapText="1"/>
    </xf>
    <xf numFmtId="0" fontId="4" fillId="10" borderId="7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4" fillId="0" borderId="1" xfId="31" applyFont="1" applyBorder="1" applyAlignment="1">
      <alignment horizontal="center" vertical="center"/>
    </xf>
    <xf numFmtId="0" fontId="4" fillId="10" borderId="36" xfId="0" applyFont="1" applyFill="1" applyBorder="1" applyAlignment="1">
      <alignment horizontal="center" vertical="center" wrapText="1"/>
    </xf>
    <xf numFmtId="0" fontId="3" fillId="10" borderId="36" xfId="0" applyFont="1" applyFill="1" applyBorder="1" applyAlignment="1">
      <alignment horizontal="center" vertical="center"/>
    </xf>
    <xf numFmtId="0" fontId="12" fillId="2" borderId="36" xfId="0" applyFont="1" applyFill="1" applyBorder="1" applyAlignment="1">
      <alignment horizontal="center" vertical="center"/>
    </xf>
    <xf numFmtId="0" fontId="4" fillId="10" borderId="29" xfId="0" applyFont="1" applyFill="1" applyBorder="1" applyAlignment="1">
      <alignment horizontal="center" vertical="center" wrapText="1"/>
    </xf>
    <xf numFmtId="0" fontId="4" fillId="10" borderId="29" xfId="0" applyFont="1" applyFill="1" applyBorder="1" applyAlignment="1">
      <alignment horizontal="center" vertical="center"/>
    </xf>
    <xf numFmtId="49" fontId="5" fillId="0" borderId="29" xfId="0" applyNumberFormat="1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3" fillId="10" borderId="36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 wrapText="1"/>
    </xf>
    <xf numFmtId="0" fontId="4" fillId="0" borderId="7" xfId="31" applyFont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wrapText="1"/>
    </xf>
    <xf numFmtId="0" fontId="4" fillId="10" borderId="36" xfId="0" applyFont="1" applyFill="1" applyBorder="1" applyAlignment="1">
      <alignment vertical="center" wrapText="1"/>
    </xf>
    <xf numFmtId="0" fontId="1" fillId="10" borderId="36" xfId="0" applyFont="1" applyFill="1" applyBorder="1" applyAlignment="1">
      <alignment horizontal="center" vertical="center"/>
    </xf>
    <xf numFmtId="0" fontId="13" fillId="10" borderId="51" xfId="0" applyFont="1" applyFill="1" applyBorder="1" applyAlignment="1">
      <alignment horizontal="center" vertical="center"/>
    </xf>
    <xf numFmtId="0" fontId="37" fillId="10" borderId="51" xfId="0" applyFont="1" applyFill="1" applyBorder="1" applyAlignment="1">
      <alignment horizontal="center" vertical="center"/>
    </xf>
    <xf numFmtId="49" fontId="5" fillId="0" borderId="51" xfId="0" applyNumberFormat="1" applyFont="1" applyFill="1" applyBorder="1" applyAlignment="1">
      <alignment horizontal="center" vertical="center" wrapText="1"/>
    </xf>
    <xf numFmtId="0" fontId="12" fillId="10" borderId="51" xfId="0" applyFont="1" applyFill="1" applyBorder="1" applyAlignment="1">
      <alignment horizontal="center" vertical="center"/>
    </xf>
    <xf numFmtId="0" fontId="38" fillId="10" borderId="51" xfId="0" applyFont="1" applyFill="1" applyBorder="1" applyAlignment="1">
      <alignment horizontal="center" vertical="center"/>
    </xf>
    <xf numFmtId="0" fontId="3" fillId="9" borderId="39" xfId="0" applyFont="1" applyFill="1" applyBorder="1" applyAlignment="1">
      <alignment horizontal="center" vertical="center"/>
    </xf>
    <xf numFmtId="0" fontId="12" fillId="9" borderId="39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9" fontId="18" fillId="3" borderId="1" xfId="12" applyFont="1" applyFill="1" applyBorder="1" applyAlignment="1">
      <alignment horizontal="center" vertical="center" wrapText="1"/>
    </xf>
    <xf numFmtId="176" fontId="30" fillId="10" borderId="0" xfId="0" applyNumberFormat="1" applyFont="1" applyFill="1" applyAlignment="1">
      <alignment horizontal="center" vertical="center" wrapText="1"/>
    </xf>
    <xf numFmtId="43" fontId="39" fillId="2" borderId="1" xfId="9" applyFont="1" applyFill="1" applyBorder="1" applyAlignment="1">
      <alignment horizontal="center" vertical="center"/>
    </xf>
    <xf numFmtId="9" fontId="40" fillId="0" borderId="1" xfId="12" applyFont="1" applyFill="1" applyBorder="1" applyAlignment="1" applyProtection="1">
      <alignment horizontal="center" vertical="center"/>
      <protection locked="0"/>
    </xf>
    <xf numFmtId="176" fontId="30" fillId="10" borderId="0" xfId="0" applyNumberFormat="1" applyFont="1" applyFill="1" applyAlignment="1">
      <alignment horizontal="center" vertical="center"/>
    </xf>
    <xf numFmtId="43" fontId="30" fillId="10" borderId="0" xfId="9" applyFont="1" applyFill="1" applyAlignment="1">
      <alignment horizontal="left" vertical="center"/>
    </xf>
    <xf numFmtId="43" fontId="41" fillId="2" borderId="1" xfId="9" applyFont="1" applyFill="1" applyBorder="1" applyAlignment="1">
      <alignment horizontal="center" vertical="center"/>
    </xf>
    <xf numFmtId="43" fontId="39" fillId="0" borderId="7" xfId="9" applyFont="1" applyFill="1" applyBorder="1" applyAlignment="1">
      <alignment horizontal="center" vertical="center"/>
    </xf>
    <xf numFmtId="43" fontId="39" fillId="2" borderId="7" xfId="9" applyFont="1" applyFill="1" applyBorder="1" applyAlignment="1">
      <alignment horizontal="center" vertical="center"/>
    </xf>
    <xf numFmtId="43" fontId="30" fillId="10" borderId="0" xfId="9" applyFont="1" applyFill="1" applyAlignment="1">
      <alignment vertical="center"/>
    </xf>
    <xf numFmtId="43" fontId="39" fillId="10" borderId="1" xfId="9" applyFont="1" applyFill="1" applyBorder="1" applyAlignment="1">
      <alignment horizontal="center" vertical="center"/>
    </xf>
    <xf numFmtId="43" fontId="41" fillId="10" borderId="36" xfId="9" applyFont="1" applyFill="1" applyBorder="1" applyAlignment="1">
      <alignment horizontal="center" vertical="center"/>
    </xf>
    <xf numFmtId="43" fontId="39" fillId="0" borderId="29" xfId="9" applyFont="1" applyFill="1" applyBorder="1" applyAlignment="1">
      <alignment horizontal="center" vertical="center"/>
    </xf>
    <xf numFmtId="43" fontId="39" fillId="2" borderId="29" xfId="9" applyFont="1" applyFill="1" applyBorder="1" applyAlignment="1">
      <alignment horizontal="center" vertical="center"/>
    </xf>
    <xf numFmtId="43" fontId="41" fillId="2" borderId="36" xfId="9" applyFont="1" applyFill="1" applyBorder="1" applyAlignment="1">
      <alignment horizontal="center" vertical="center"/>
    </xf>
    <xf numFmtId="43" fontId="39" fillId="2" borderId="6" xfId="9" applyFont="1" applyFill="1" applyBorder="1" applyAlignment="1">
      <alignment horizontal="center" vertical="center"/>
    </xf>
    <xf numFmtId="43" fontId="0" fillId="10" borderId="0" xfId="0" applyNumberFormat="1" applyFill="1" applyAlignment="1">
      <alignment vertical="center"/>
    </xf>
    <xf numFmtId="176" fontId="0" fillId="10" borderId="0" xfId="0" applyNumberFormat="1" applyFont="1" applyFill="1" applyAlignment="1">
      <alignment horizontal="center" vertical="center"/>
    </xf>
    <xf numFmtId="43" fontId="41" fillId="10" borderId="51" xfId="9" applyFont="1" applyFill="1" applyBorder="1" applyAlignment="1">
      <alignment horizontal="center" vertical="center"/>
    </xf>
    <xf numFmtId="43" fontId="41" fillId="2" borderId="51" xfId="9" applyFont="1" applyFill="1" applyBorder="1" applyAlignment="1">
      <alignment horizontal="center" vertical="center"/>
    </xf>
    <xf numFmtId="43" fontId="41" fillId="9" borderId="39" xfId="9" applyFont="1" applyFill="1" applyBorder="1" applyAlignment="1">
      <alignment horizontal="center" vertical="center"/>
    </xf>
    <xf numFmtId="0" fontId="1" fillId="10" borderId="0" xfId="0" applyFont="1" applyFill="1" applyBorder="1" applyAlignment="1">
      <alignment vertical="center"/>
    </xf>
    <xf numFmtId="0" fontId="30" fillId="10" borderId="0" xfId="0" applyFont="1" applyFill="1" applyBorder="1" applyAlignment="1">
      <alignment vertical="center"/>
    </xf>
    <xf numFmtId="0" fontId="0" fillId="10" borderId="0" xfId="0" applyFill="1" applyBorder="1" applyAlignment="1">
      <alignment vertical="center"/>
    </xf>
    <xf numFmtId="43" fontId="36" fillId="10" borderId="0" xfId="9" applyFont="1" applyFill="1" applyAlignment="1">
      <alignment horizontal="center" vertical="center"/>
    </xf>
    <xf numFmtId="43" fontId="0" fillId="10" borderId="0" xfId="9" applyFont="1" applyFill="1" applyAlignment="1">
      <alignment vertical="center"/>
    </xf>
    <xf numFmtId="0" fontId="2" fillId="0" borderId="4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 wrapText="1"/>
    </xf>
    <xf numFmtId="0" fontId="18" fillId="3" borderId="11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 wrapText="1"/>
    </xf>
    <xf numFmtId="0" fontId="37" fillId="10" borderId="5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7" fillId="2" borderId="5" xfId="0" applyFont="1" applyFill="1" applyBorder="1" applyAlignment="1">
      <alignment horizontal="center" vertical="center"/>
    </xf>
    <xf numFmtId="43" fontId="37" fillId="2" borderId="1" xfId="9" applyFont="1" applyFill="1" applyBorder="1" applyAlignment="1">
      <alignment horizontal="center" vertical="center"/>
    </xf>
    <xf numFmtId="43" fontId="34" fillId="0" borderId="1" xfId="9" applyFont="1" applyFill="1" applyBorder="1" applyAlignment="1" applyProtection="1">
      <alignment horizontal="center" vertical="center"/>
      <protection locked="0"/>
    </xf>
    <xf numFmtId="43" fontId="37" fillId="2" borderId="5" xfId="9" applyFont="1" applyFill="1" applyBorder="1" applyAlignment="1">
      <alignment horizontal="center" vertical="center"/>
    </xf>
    <xf numFmtId="0" fontId="37" fillId="10" borderId="6" xfId="0" applyFont="1" applyFill="1" applyBorder="1" applyAlignment="1">
      <alignment horizontal="center" vertical="center" wrapText="1"/>
    </xf>
    <xf numFmtId="0" fontId="37" fillId="2" borderId="6" xfId="0" applyFont="1" applyFill="1" applyBorder="1" applyAlignment="1">
      <alignment horizontal="center" vertical="center"/>
    </xf>
    <xf numFmtId="43" fontId="37" fillId="2" borderId="6" xfId="9" applyFont="1" applyFill="1" applyBorder="1" applyAlignment="1">
      <alignment horizontal="center" vertical="center"/>
    </xf>
    <xf numFmtId="43" fontId="37" fillId="2" borderId="7" xfId="9" applyFont="1" applyFill="1" applyBorder="1" applyAlignment="1">
      <alignment horizontal="center" vertical="center"/>
    </xf>
    <xf numFmtId="0" fontId="37" fillId="10" borderId="7" xfId="0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0" fontId="37" fillId="2" borderId="7" xfId="0" applyFont="1" applyFill="1" applyBorder="1" applyAlignment="1">
      <alignment horizontal="center" vertical="center"/>
    </xf>
    <xf numFmtId="43" fontId="38" fillId="2" borderId="1" xfId="9" applyFont="1" applyFill="1" applyBorder="1" applyAlignment="1">
      <alignment horizontal="center" vertical="center"/>
    </xf>
    <xf numFmtId="0" fontId="37" fillId="10" borderId="11" xfId="0" applyFont="1" applyFill="1" applyBorder="1" applyAlignment="1">
      <alignment horizontal="center" vertical="center" wrapText="1"/>
    </xf>
    <xf numFmtId="0" fontId="37" fillId="10" borderId="10" xfId="0" applyFont="1" applyFill="1" applyBorder="1" applyAlignment="1">
      <alignment horizontal="center" vertical="center" wrapText="1"/>
    </xf>
    <xf numFmtId="0" fontId="37" fillId="10" borderId="2" xfId="0" applyFont="1" applyFill="1" applyBorder="1" applyAlignment="1">
      <alignment horizontal="center" vertical="center" wrapText="1"/>
    </xf>
    <xf numFmtId="9" fontId="42" fillId="2" borderId="11" xfId="12" applyFont="1" applyFill="1" applyBorder="1" applyAlignment="1">
      <alignment horizontal="center" vertical="center"/>
    </xf>
    <xf numFmtId="9" fontId="42" fillId="2" borderId="2" xfId="12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 wrapText="1"/>
    </xf>
    <xf numFmtId="0" fontId="3" fillId="10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43" fontId="41" fillId="2" borderId="0" xfId="9" applyFont="1" applyFill="1" applyBorder="1" applyAlignment="1">
      <alignment horizontal="center" vertical="center"/>
    </xf>
    <xf numFmtId="43" fontId="40" fillId="0" borderId="0" xfId="9" applyFont="1" applyFill="1" applyBorder="1" applyAlignment="1" applyProtection="1">
      <alignment horizontal="center" vertical="center"/>
      <protection locked="0"/>
    </xf>
    <xf numFmtId="0" fontId="37" fillId="0" borderId="1" xfId="0" applyFont="1" applyBorder="1" applyAlignment="1">
      <alignment horizontal="center" vertical="center"/>
    </xf>
    <xf numFmtId="0" fontId="37" fillId="0" borderId="5" xfId="0" applyFont="1" applyFill="1" applyBorder="1" applyAlignment="1">
      <alignment horizontal="center" vertical="center"/>
    </xf>
    <xf numFmtId="43" fontId="37" fillId="0" borderId="1" xfId="9" applyFont="1" applyFill="1" applyBorder="1" applyAlignment="1">
      <alignment horizontal="center" vertical="center"/>
    </xf>
    <xf numFmtId="43" fontId="38" fillId="10" borderId="5" xfId="9" applyFont="1" applyFill="1" applyBorder="1" applyAlignment="1">
      <alignment horizontal="center" vertical="center"/>
    </xf>
    <xf numFmtId="0" fontId="37" fillId="0" borderId="6" xfId="0" applyFont="1" applyFill="1" applyBorder="1" applyAlignment="1">
      <alignment horizontal="center" vertical="center"/>
    </xf>
    <xf numFmtId="43" fontId="37" fillId="10" borderId="1" xfId="9" applyFont="1" applyFill="1" applyBorder="1" applyAlignment="1">
      <alignment horizontal="center" vertical="center"/>
    </xf>
    <xf numFmtId="43" fontId="38" fillId="10" borderId="6" xfId="9" applyFont="1" applyFill="1" applyBorder="1" applyAlignment="1">
      <alignment horizontal="center" vertical="center"/>
    </xf>
    <xf numFmtId="0" fontId="37" fillId="10" borderId="1" xfId="0" applyFont="1" applyFill="1" applyBorder="1" applyAlignment="1">
      <alignment horizontal="center" vertical="center"/>
    </xf>
    <xf numFmtId="0" fontId="38" fillId="10" borderId="1" xfId="0" applyFont="1" applyFill="1" applyBorder="1" applyAlignment="1">
      <alignment horizontal="center" vertical="center"/>
    </xf>
    <xf numFmtId="0" fontId="37" fillId="0" borderId="7" xfId="0" applyFont="1" applyFill="1" applyBorder="1" applyAlignment="1">
      <alignment horizontal="center" vertical="center"/>
    </xf>
    <xf numFmtId="43" fontId="38" fillId="10" borderId="1" xfId="9" applyFont="1" applyFill="1" applyBorder="1" applyAlignment="1">
      <alignment horizontal="center" vertical="center"/>
    </xf>
    <xf numFmtId="43" fontId="38" fillId="10" borderId="7" xfId="9" applyFont="1" applyFill="1" applyBorder="1" applyAlignment="1">
      <alignment horizontal="center" vertical="center"/>
    </xf>
    <xf numFmtId="43" fontId="41" fillId="10" borderId="0" xfId="9" applyFont="1" applyFill="1" applyBorder="1" applyAlignment="1">
      <alignment horizontal="center" vertical="center"/>
    </xf>
    <xf numFmtId="43" fontId="43" fillId="0" borderId="0" xfId="9" applyFont="1" applyFill="1" applyBorder="1" applyAlignment="1" applyProtection="1">
      <alignment horizontal="center" vertical="center"/>
      <protection locked="0"/>
    </xf>
    <xf numFmtId="0" fontId="37" fillId="10" borderId="5" xfId="0" applyFont="1" applyFill="1" applyBorder="1" applyAlignment="1">
      <alignment horizontal="center" vertical="center"/>
    </xf>
    <xf numFmtId="43" fontId="37" fillId="2" borderId="1" xfId="9" applyFont="1" applyFill="1" applyBorder="1" applyAlignment="1">
      <alignment vertical="center"/>
    </xf>
    <xf numFmtId="0" fontId="37" fillId="10" borderId="7" xfId="0" applyFont="1" applyFill="1" applyBorder="1" applyAlignment="1">
      <alignment horizontal="center" vertical="center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13" fillId="10" borderId="11" xfId="0" applyFont="1" applyFill="1" applyBorder="1" applyAlignment="1">
      <alignment horizontal="center" vertical="center" wrapText="1"/>
    </xf>
    <xf numFmtId="0" fontId="13" fillId="10" borderId="10" xfId="0" applyFont="1" applyFill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wrapText="1"/>
    </xf>
    <xf numFmtId="0" fontId="4" fillId="10" borderId="0" xfId="0" applyFont="1" applyFill="1" applyBorder="1" applyAlignment="1">
      <alignment horizontal="center" vertical="center"/>
    </xf>
    <xf numFmtId="43" fontId="39" fillId="10" borderId="7" xfId="9" applyFont="1" applyFill="1" applyBorder="1" applyAlignment="1">
      <alignment horizontal="center" vertical="center"/>
    </xf>
    <xf numFmtId="9" fontId="37" fillId="10" borderId="5" xfId="12" applyFont="1" applyFill="1" applyBorder="1" applyAlignment="1">
      <alignment horizontal="center" vertical="center"/>
    </xf>
    <xf numFmtId="9" fontId="40" fillId="0" borderId="11" xfId="12" applyFont="1" applyFill="1" applyBorder="1" applyAlignment="1">
      <alignment horizontal="center" vertical="center"/>
    </xf>
    <xf numFmtId="9" fontId="40" fillId="0" borderId="2" xfId="12" applyFont="1" applyFill="1" applyBorder="1" applyAlignment="1">
      <alignment horizontal="center" vertical="center"/>
    </xf>
    <xf numFmtId="9" fontId="42" fillId="0" borderId="11" xfId="12" applyFont="1" applyFill="1" applyBorder="1" applyAlignment="1">
      <alignment horizontal="center" vertical="center"/>
    </xf>
    <xf numFmtId="9" fontId="42" fillId="0" borderId="2" xfId="12" applyFont="1" applyFill="1" applyBorder="1" applyAlignment="1">
      <alignment horizontal="center" vertical="center"/>
    </xf>
    <xf numFmtId="9" fontId="37" fillId="10" borderId="7" xfId="12" applyFont="1" applyFill="1" applyBorder="1" applyAlignment="1">
      <alignment horizontal="center" vertical="center"/>
    </xf>
    <xf numFmtId="0" fontId="6" fillId="10" borderId="0" xfId="0" applyFont="1" applyFill="1" applyAlignment="1">
      <alignment horizontal="left" vertical="center" wrapText="1"/>
    </xf>
    <xf numFmtId="43" fontId="34" fillId="0" borderId="5" xfId="9" applyFont="1" applyFill="1" applyBorder="1" applyAlignment="1" applyProtection="1">
      <alignment horizontal="center" vertical="center"/>
      <protection locked="0"/>
    </xf>
    <xf numFmtId="9" fontId="38" fillId="10" borderId="5" xfId="12" applyFont="1" applyFill="1" applyBorder="1" applyAlignment="1">
      <alignment horizontal="center" vertical="center"/>
    </xf>
    <xf numFmtId="43" fontId="34" fillId="0" borderId="6" xfId="9" applyFont="1" applyFill="1" applyBorder="1" applyAlignment="1" applyProtection="1">
      <alignment horizontal="center" vertical="center"/>
      <protection locked="0"/>
    </xf>
    <xf numFmtId="9" fontId="38" fillId="10" borderId="6" xfId="12" applyFont="1" applyFill="1" applyBorder="1" applyAlignment="1">
      <alignment horizontal="center" vertical="center"/>
    </xf>
    <xf numFmtId="43" fontId="34" fillId="0" borderId="7" xfId="9" applyFont="1" applyFill="1" applyBorder="1" applyAlignment="1" applyProtection="1">
      <alignment horizontal="center" vertical="center"/>
      <protection locked="0"/>
    </xf>
    <xf numFmtId="9" fontId="38" fillId="10" borderId="7" xfId="12" applyFont="1" applyFill="1" applyBorder="1" applyAlignment="1">
      <alignment horizontal="center" vertical="center"/>
    </xf>
    <xf numFmtId="43" fontId="30" fillId="10" borderId="0" xfId="0" applyNumberFormat="1" applyFont="1" applyFill="1" applyBorder="1" applyAlignment="1">
      <alignment vertical="center"/>
    </xf>
    <xf numFmtId="43" fontId="30" fillId="10" borderId="0" xfId="0" applyNumberFormat="1" applyFont="1" applyFill="1" applyAlignment="1">
      <alignment vertical="center"/>
    </xf>
    <xf numFmtId="4" fontId="30" fillId="10" borderId="0" xfId="0" applyNumberFormat="1" applyFont="1" applyFill="1" applyAlignment="1">
      <alignment vertical="center"/>
    </xf>
    <xf numFmtId="4" fontId="30" fillId="10" borderId="0" xfId="0" applyNumberFormat="1" applyFont="1" applyFill="1" applyBorder="1" applyAlignment="1">
      <alignment vertical="center"/>
    </xf>
    <xf numFmtId="43" fontId="30" fillId="10" borderId="0" xfId="9" applyFont="1" applyFill="1" applyBorder="1" applyAlignment="1">
      <alignment vertical="center"/>
    </xf>
    <xf numFmtId="9" fontId="38" fillId="10" borderId="1" xfId="12" applyFont="1" applyFill="1" applyBorder="1" applyAlignment="1">
      <alignment horizontal="center" vertical="center"/>
    </xf>
    <xf numFmtId="43" fontId="38" fillId="2" borderId="1" xfId="9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8" fontId="4" fillId="0" borderId="0" xfId="9" applyNumberFormat="1" applyFont="1">
      <alignment vertical="center"/>
    </xf>
    <xf numFmtId="0" fontId="2" fillId="0" borderId="0" xfId="0" applyFont="1" applyBorder="1" applyAlignment="1">
      <alignment horizontal="center" vertical="center"/>
    </xf>
    <xf numFmtId="178" fontId="9" fillId="3" borderId="1" xfId="9" applyNumberFormat="1" applyFont="1" applyFill="1" applyBorder="1" applyAlignment="1">
      <alignment horizontal="center" vertical="center"/>
    </xf>
    <xf numFmtId="9" fontId="9" fillId="3" borderId="1" xfId="12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1" fillId="8" borderId="1" xfId="0" applyFont="1" applyFill="1" applyBorder="1" applyAlignment="1">
      <alignment horizontal="left" vertical="center"/>
    </xf>
    <xf numFmtId="43" fontId="3" fillId="8" borderId="1" xfId="9" applyFont="1" applyFill="1" applyBorder="1" applyAlignment="1">
      <alignment horizontal="center" vertical="center"/>
    </xf>
    <xf numFmtId="9" fontId="3" fillId="8" borderId="1" xfId="12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43" fontId="3" fillId="0" borderId="1" xfId="9" applyFont="1" applyFill="1" applyBorder="1" applyAlignment="1">
      <alignment horizontal="center" vertical="center"/>
    </xf>
    <xf numFmtId="9" fontId="3" fillId="0" borderId="1" xfId="12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/>
    </xf>
    <xf numFmtId="9" fontId="4" fillId="0" borderId="1" xfId="12" applyFont="1" applyFill="1" applyBorder="1" applyAlignment="1">
      <alignment horizontal="center" vertical="center"/>
    </xf>
    <xf numFmtId="43" fontId="4" fillId="0" borderId="0" xfId="0" applyNumberFormat="1" applyFont="1" applyBorder="1" applyAlignment="1">
      <alignment horizontal="center" vertical="center"/>
    </xf>
    <xf numFmtId="0" fontId="21" fillId="8" borderId="1" xfId="0" applyFont="1" applyFill="1" applyBorder="1" applyAlignment="1"/>
    <xf numFmtId="0" fontId="4" fillId="0" borderId="0" xfId="0" applyFont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43" fontId="3" fillId="8" borderId="1" xfId="9" applyFont="1" applyFill="1" applyBorder="1">
      <alignment vertical="center"/>
    </xf>
    <xf numFmtId="9" fontId="3" fillId="8" borderId="1" xfId="12" applyFont="1" applyFill="1" applyBorder="1">
      <alignment vertical="center"/>
    </xf>
    <xf numFmtId="9" fontId="4" fillId="0" borderId="1" xfId="12" applyFont="1" applyFill="1" applyBorder="1">
      <alignment vertical="center"/>
    </xf>
    <xf numFmtId="43" fontId="4" fillId="11" borderId="1" xfId="9" applyFont="1" applyFill="1" applyBorder="1">
      <alignment vertical="center"/>
    </xf>
    <xf numFmtId="0" fontId="4" fillId="8" borderId="1" xfId="0" applyFont="1" applyFill="1" applyBorder="1" applyAlignment="1">
      <alignment vertical="center"/>
    </xf>
    <xf numFmtId="43" fontId="4" fillId="8" borderId="1" xfId="9" applyFont="1" applyFill="1" applyBorder="1">
      <alignment vertical="center"/>
    </xf>
    <xf numFmtId="9" fontId="4" fillId="8" borderId="1" xfId="12" applyFont="1" applyFill="1" applyBorder="1">
      <alignment vertical="center"/>
    </xf>
    <xf numFmtId="43" fontId="4" fillId="0" borderId="1" xfId="9" applyFont="1" applyFill="1" applyBorder="1">
      <alignment vertical="center"/>
    </xf>
    <xf numFmtId="43" fontId="4" fillId="0" borderId="0" xfId="9" applyFont="1" applyAlignment="1">
      <alignment vertical="center"/>
    </xf>
    <xf numFmtId="43" fontId="4" fillId="0" borderId="0" xfId="0" applyNumberFormat="1" applyFont="1" applyAlignment="1">
      <alignment vertical="center"/>
    </xf>
    <xf numFmtId="0" fontId="5" fillId="0" borderId="1" xfId="0" applyFont="1" applyBorder="1" applyAlignment="1"/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 shrinkToFit="1"/>
    </xf>
    <xf numFmtId="43" fontId="44" fillId="8" borderId="1" xfId="9" applyFont="1" applyFill="1" applyBorder="1">
      <alignment vertical="center"/>
    </xf>
    <xf numFmtId="43" fontId="4" fillId="0" borderId="0" xfId="9" applyFont="1">
      <alignment vertical="center"/>
    </xf>
    <xf numFmtId="43" fontId="45" fillId="0" borderId="0" xfId="9" applyFont="1">
      <alignment vertical="center"/>
    </xf>
    <xf numFmtId="9" fontId="4" fillId="0" borderId="0" xfId="12" applyFont="1">
      <alignment vertical="center"/>
    </xf>
    <xf numFmtId="43" fontId="4" fillId="0" borderId="0" xfId="9" applyFont="1" applyAlignment="1">
      <alignment horizontal="center" vertical="center"/>
    </xf>
    <xf numFmtId="43" fontId="4" fillId="0" borderId="0" xfId="0" applyNumberFormat="1" applyFont="1" applyAlignment="1">
      <alignment horizontal="center" vertical="center"/>
    </xf>
    <xf numFmtId="43" fontId="4" fillId="0" borderId="0" xfId="9" applyFont="1" applyFill="1" applyAlignment="1">
      <alignment horizontal="center" vertical="center"/>
    </xf>
    <xf numFmtId="9" fontId="4" fillId="0" borderId="0" xfId="12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2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vertical="center"/>
    </xf>
    <xf numFmtId="49" fontId="4" fillId="0" borderId="42" xfId="9" applyNumberFormat="1" applyFont="1" applyBorder="1" applyAlignment="1" quotePrefix="1">
      <alignment horizontal="left"/>
    </xf>
  </cellXfs>
  <cellStyles count="10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常规 26 2" xfId="7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百分比 2" xfId="14"/>
    <cellStyle name="注释" xfId="15" builtinId="10"/>
    <cellStyle name="常规 6" xfId="16"/>
    <cellStyle name="60% - 强调文字颜色 2" xfId="17" builtinId="36"/>
    <cellStyle name="标题 4" xfId="18" builtinId="19"/>
    <cellStyle name="警告文本" xfId="19" builtinId="11"/>
    <cellStyle name="标题" xfId="20" builtinId="15"/>
    <cellStyle name="常规 12" xfId="21"/>
    <cellStyle name="解释性文本" xfId="22" builtinId="53"/>
    <cellStyle name="标题 1" xfId="23" builtinId="16"/>
    <cellStyle name="标题 2" xfId="24" builtinId="17"/>
    <cellStyle name="60% - 强调文字颜色 1" xfId="25" builtinId="32"/>
    <cellStyle name="标题 3" xfId="26" builtinId="18"/>
    <cellStyle name="60% - 强调文字颜色 4" xfId="27" builtinId="44"/>
    <cellStyle name="千位分隔 10 2 2 2" xfId="28"/>
    <cellStyle name="输出" xfId="29" builtinId="21"/>
    <cellStyle name="计算" xfId="30" builtinId="22"/>
    <cellStyle name="常规 26" xfId="31"/>
    <cellStyle name="检查单元格" xfId="32" builtinId="23"/>
    <cellStyle name="20% - 强调文字颜色 6" xfId="33" builtinId="50"/>
    <cellStyle name="强调文字颜色 2" xfId="34" builtinId="33"/>
    <cellStyle name="链接单元格" xfId="35" builtinId="24"/>
    <cellStyle name="汇总" xfId="36" builtinId="25"/>
    <cellStyle name="好" xfId="37" builtinId="26"/>
    <cellStyle name="常规 16" xfId="38"/>
    <cellStyle name="常规 21" xfId="39"/>
    <cellStyle name="适中" xfId="40" builtinId="28"/>
    <cellStyle name="20% - 强调文字颜色 5" xfId="41" builtinId="46"/>
    <cellStyle name="强调文字颜色 1" xfId="42" builtinId="29"/>
    <cellStyle name="20% - 强调文字颜色 1" xfId="43" builtinId="30"/>
    <cellStyle name="40% - 强调文字颜色 1" xfId="44" builtinId="31"/>
    <cellStyle name="20% - 强调文字颜色 2" xfId="45" builtinId="34"/>
    <cellStyle name="40% - 强调文字颜色 2" xfId="46" builtinId="35"/>
    <cellStyle name="强调文字颜色 3" xfId="47" builtinId="37"/>
    <cellStyle name="强调文字颜色 4" xfId="48" builtinId="41"/>
    <cellStyle name="20% - 强调文字颜色 4" xfId="49" builtinId="42"/>
    <cellStyle name="40% - 强调文字颜色 4" xfId="50" builtinId="43"/>
    <cellStyle name="强调文字颜色 5" xfId="51" builtinId="45"/>
    <cellStyle name="常规 2 2" xfId="52"/>
    <cellStyle name="40% - 强调文字颜色 5" xfId="53" builtinId="47"/>
    <cellStyle name="60% - 强调文字颜色 5" xfId="54" builtinId="48"/>
    <cellStyle name="强调文字颜色 6" xfId="55" builtinId="49"/>
    <cellStyle name="常规 10" xfId="56"/>
    <cellStyle name="40% - 强调文字颜色 6" xfId="57" builtinId="51"/>
    <cellStyle name="60% - 强调文字颜色 6" xfId="58" builtinId="52"/>
    <cellStyle name="常规 11" xfId="59"/>
    <cellStyle name="常规 13" xfId="60"/>
    <cellStyle name="常规 14" xfId="61"/>
    <cellStyle name="常规 15" xfId="62"/>
    <cellStyle name="常规 18" xfId="63"/>
    <cellStyle name="常规 19" xfId="64"/>
    <cellStyle name="常规 2" xfId="65"/>
    <cellStyle name="常规 2 14" xfId="66"/>
    <cellStyle name="常规 2 14 10 10" xfId="67"/>
    <cellStyle name="常规 22" xfId="68"/>
    <cellStyle name="常规 25" xfId="69"/>
    <cellStyle name="常规 3" xfId="70"/>
    <cellStyle name="常规 3 11" xfId="71"/>
    <cellStyle name="常规 3 3 2 10" xfId="72"/>
    <cellStyle name="常规 35" xfId="73"/>
    <cellStyle name="常规 4" xfId="74"/>
    <cellStyle name="常规 5" xfId="75"/>
    <cellStyle name="常规 7" xfId="76"/>
    <cellStyle name="常规 8" xfId="77"/>
    <cellStyle name="常规 9" xfId="78"/>
    <cellStyle name="超链接 2" xfId="79"/>
    <cellStyle name="超链接 3" xfId="80"/>
    <cellStyle name="超链接 4" xfId="81"/>
    <cellStyle name="千位分隔 3 2" xfId="82"/>
    <cellStyle name="千位分隔 10" xfId="83"/>
    <cellStyle name="千位分隔 10 2 2 2 2" xfId="84"/>
    <cellStyle name="千位分隔 10 2 2 2 3" xfId="85"/>
    <cellStyle name="千位分隔 3 3" xfId="86"/>
    <cellStyle name="千位分隔 11" xfId="87"/>
    <cellStyle name="千位分隔 2" xfId="88"/>
    <cellStyle name="千位分隔 2 2" xfId="89"/>
    <cellStyle name="千位分隔 2 3" xfId="90"/>
    <cellStyle name="千位分隔 2 4" xfId="91"/>
    <cellStyle name="千位分隔 3" xfId="92"/>
    <cellStyle name="千位分隔 3 4" xfId="93"/>
    <cellStyle name="千位分隔 4" xfId="94"/>
    <cellStyle name="千位分隔 4 2" xfId="95"/>
    <cellStyle name="千位分隔 4 3" xfId="96"/>
    <cellStyle name="千位分隔 5" xfId="97"/>
    <cellStyle name="千位分隔 5 2" xfId="98"/>
    <cellStyle name="千位分隔 5 3" xfId="99"/>
    <cellStyle name="千位分隔 5 4" xfId="100"/>
    <cellStyle name="千位分隔 6" xfId="101"/>
    <cellStyle name="千位分隔 7" xfId="102"/>
    <cellStyle name="千位分隔 8" xfId="103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haredStrings" Target="sharedStrings.xml"/><Relationship Id="rId23" Type="http://schemas.openxmlformats.org/officeDocument/2006/relationships/styles" Target="styles.xml"/><Relationship Id="rId22" Type="http://schemas.openxmlformats.org/officeDocument/2006/relationships/theme" Target="theme/theme1.xml"/><Relationship Id="rId21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19050</xdr:colOff>
      <xdr:row>1</xdr:row>
      <xdr:rowOff>9525</xdr:rowOff>
    </xdr:from>
    <xdr:to>
      <xdr:col>1</xdr:col>
      <xdr:colOff>0</xdr:colOff>
      <xdr:row>3</xdr:row>
      <xdr:rowOff>0</xdr:rowOff>
    </xdr:to>
    <xdr:cxnSp>
      <xdr:nvCxnSpPr>
        <xdr:cNvPr id="2" name="直接连接符 1"/>
        <xdr:cNvCxnSpPr/>
      </xdr:nvCxnSpPr>
      <xdr:spPr>
        <a:xfrm>
          <a:off x="19050" y="523875"/>
          <a:ext cx="1386840" cy="3981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98</xdr:row>
      <xdr:rowOff>9525</xdr:rowOff>
    </xdr:from>
    <xdr:to>
      <xdr:col>1</xdr:col>
      <xdr:colOff>0</xdr:colOff>
      <xdr:row>100</xdr:row>
      <xdr:rowOff>0</xdr:rowOff>
    </xdr:to>
    <xdr:cxnSp>
      <xdr:nvCxnSpPr>
        <xdr:cNvPr id="3" name="直接连接符 2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194</xdr:row>
      <xdr:rowOff>9525</xdr:rowOff>
    </xdr:from>
    <xdr:to>
      <xdr:col>1</xdr:col>
      <xdr:colOff>0</xdr:colOff>
      <xdr:row>196</xdr:row>
      <xdr:rowOff>0</xdr:rowOff>
    </xdr:to>
    <xdr:cxnSp>
      <xdr:nvCxnSpPr>
        <xdr:cNvPr id="4" name="直接连接符 3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</xdr:row>
      <xdr:rowOff>9525</xdr:rowOff>
    </xdr:from>
    <xdr:to>
      <xdr:col>0</xdr:col>
      <xdr:colOff>1431925</xdr:colOff>
      <xdr:row>3</xdr:row>
      <xdr:rowOff>0</xdr:rowOff>
    </xdr:to>
    <xdr:cxnSp>
      <xdr:nvCxnSpPr>
        <xdr:cNvPr id="5" name="直接连接符 4"/>
        <xdr:cNvCxnSpPr/>
      </xdr:nvCxnSpPr>
      <xdr:spPr>
        <a:xfrm>
          <a:off x="19050" y="523875"/>
          <a:ext cx="1386840" cy="39814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98</xdr:row>
      <xdr:rowOff>9525</xdr:rowOff>
    </xdr:from>
    <xdr:to>
      <xdr:col>1</xdr:col>
      <xdr:colOff>0</xdr:colOff>
      <xdr:row>100</xdr:row>
      <xdr:rowOff>0</xdr:rowOff>
    </xdr:to>
    <xdr:cxnSp>
      <xdr:nvCxnSpPr>
        <xdr:cNvPr id="8" name="直接连接符 7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98</xdr:row>
      <xdr:rowOff>9525</xdr:rowOff>
    </xdr:from>
    <xdr:to>
      <xdr:col>0</xdr:col>
      <xdr:colOff>1431925</xdr:colOff>
      <xdr:row>100</xdr:row>
      <xdr:rowOff>0</xdr:rowOff>
    </xdr:to>
    <xdr:cxnSp>
      <xdr:nvCxnSpPr>
        <xdr:cNvPr id="9" name="直接连接符 8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194</xdr:row>
      <xdr:rowOff>9525</xdr:rowOff>
    </xdr:from>
    <xdr:to>
      <xdr:col>1</xdr:col>
      <xdr:colOff>0</xdr:colOff>
      <xdr:row>196</xdr:row>
      <xdr:rowOff>0</xdr:rowOff>
    </xdr:to>
    <xdr:cxnSp>
      <xdr:nvCxnSpPr>
        <xdr:cNvPr id="10" name="直接连接符 9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194</xdr:row>
      <xdr:rowOff>9525</xdr:rowOff>
    </xdr:from>
    <xdr:to>
      <xdr:col>1</xdr:col>
      <xdr:colOff>0</xdr:colOff>
      <xdr:row>196</xdr:row>
      <xdr:rowOff>0</xdr:rowOff>
    </xdr:to>
    <xdr:cxnSp>
      <xdr:nvCxnSpPr>
        <xdr:cNvPr id="11" name="直接连接符 10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194</xdr:row>
      <xdr:rowOff>9525</xdr:rowOff>
    </xdr:from>
    <xdr:to>
      <xdr:col>0</xdr:col>
      <xdr:colOff>1431925</xdr:colOff>
      <xdr:row>196</xdr:row>
      <xdr:rowOff>0</xdr:rowOff>
    </xdr:to>
    <xdr:cxnSp>
      <xdr:nvCxnSpPr>
        <xdr:cNvPr id="12" name="直接连接符 11"/>
        <xdr:cNvCxnSpPr/>
      </xdr:nvCxnSpPr>
      <xdr:spPr>
        <a:xfrm>
          <a:off x="19050" y="18808065"/>
          <a:ext cx="13868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Q68"/>
  <sheetViews>
    <sheetView showGridLines="0" workbookViewId="0">
      <selection activeCell="K10" sqref="K10"/>
    </sheetView>
  </sheetViews>
  <sheetFormatPr defaultColWidth="9" defaultRowHeight="15"/>
  <cols>
    <col min="1" max="1" width="33.25" style="299" customWidth="1"/>
    <col min="2" max="2" width="20.6296296296296" style="621" customWidth="1"/>
    <col min="3" max="3" width="18.0925925925926" style="621" customWidth="1"/>
    <col min="4" max="4" width="22.5" style="621" customWidth="1"/>
    <col min="5" max="5" width="7.37962962962963" style="621" customWidth="1"/>
    <col min="6" max="6" width="12.8796296296296" style="299" hidden="1" customWidth="1"/>
    <col min="7" max="7" width="14" style="299" hidden="1" customWidth="1"/>
    <col min="8" max="9" width="12.8796296296296" style="299" hidden="1" customWidth="1"/>
    <col min="10" max="10" width="14" style="299" customWidth="1"/>
    <col min="11" max="11" width="12.8796296296296" style="299" customWidth="1"/>
    <col min="12" max="13" width="9" style="299"/>
    <col min="14" max="14" width="25.3796296296296" style="299" customWidth="1"/>
    <col min="15" max="15" width="12.8796296296296" style="299" customWidth="1"/>
    <col min="16" max="16" width="9" style="299"/>
    <col min="17" max="17" width="12.2592592592593" style="299" customWidth="1"/>
    <col min="18" max="16384" width="9" style="299"/>
  </cols>
  <sheetData>
    <row r="1" s="618" customFormat="1" ht="21.75" customHeight="1" spans="1:5">
      <c r="A1" s="622" t="s">
        <v>0</v>
      </c>
      <c r="B1" s="622"/>
      <c r="C1" s="622"/>
      <c r="D1" s="622"/>
      <c r="E1" s="622"/>
    </row>
    <row r="2" ht="19.5" customHeight="1" spans="1:5">
      <c r="A2" s="163"/>
      <c r="B2" s="163"/>
      <c r="C2" s="163"/>
      <c r="D2" s="163"/>
      <c r="E2" s="622"/>
    </row>
    <row r="3" s="619" customFormat="1" ht="33" customHeight="1" spans="1:9">
      <c r="A3" s="42" t="s">
        <v>1</v>
      </c>
      <c r="B3" s="623" t="s">
        <v>2</v>
      </c>
      <c r="C3" s="623" t="s">
        <v>3</v>
      </c>
      <c r="D3" s="623" t="s">
        <v>4</v>
      </c>
      <c r="E3" s="624" t="s">
        <v>5</v>
      </c>
      <c r="F3" s="625"/>
      <c r="I3" s="656"/>
    </row>
    <row r="4" s="619" customFormat="1" ht="15.6" spans="1:11">
      <c r="A4" s="626" t="s">
        <v>6</v>
      </c>
      <c r="B4" s="627">
        <v>24696154.0022144</v>
      </c>
      <c r="C4" s="627">
        <v>28751456.3422144</v>
      </c>
      <c r="D4" s="627"/>
      <c r="E4" s="628"/>
      <c r="F4" s="625"/>
      <c r="I4" s="656"/>
      <c r="J4" s="656"/>
      <c r="K4" s="657"/>
    </row>
    <row r="5" s="620" customFormat="1" ht="15.6" spans="1:11">
      <c r="A5" s="629" t="s">
        <v>7</v>
      </c>
      <c r="B5" s="630">
        <f>SUM(B6:B9)</f>
        <v>7122450.35</v>
      </c>
      <c r="C5" s="630">
        <v>6770493.3</v>
      </c>
      <c r="D5" s="630"/>
      <c r="E5" s="631"/>
      <c r="F5" s="632"/>
      <c r="I5" s="658"/>
      <c r="J5" s="658"/>
      <c r="K5" s="657"/>
    </row>
    <row r="6" s="619" customFormat="1" spans="1:11">
      <c r="A6" s="633" t="s">
        <v>8</v>
      </c>
      <c r="B6" s="13">
        <v>5881430.32</v>
      </c>
      <c r="C6" s="13">
        <v>5512314.35</v>
      </c>
      <c r="D6" s="13"/>
      <c r="E6" s="634"/>
      <c r="F6" s="635"/>
      <c r="I6" s="656"/>
      <c r="J6" s="656"/>
      <c r="K6" s="657"/>
    </row>
    <row r="7" s="619" customFormat="1" spans="1:11">
      <c r="A7" s="633" t="s">
        <v>9</v>
      </c>
      <c r="B7" s="13">
        <v>240976.59</v>
      </c>
      <c r="C7" s="13">
        <v>235485.09</v>
      </c>
      <c r="D7" s="13"/>
      <c r="E7" s="634"/>
      <c r="F7" s="635"/>
      <c r="I7" s="656"/>
      <c r="J7" s="656"/>
      <c r="K7" s="657"/>
    </row>
    <row r="8" s="619" customFormat="1" spans="1:11">
      <c r="A8" s="633" t="s">
        <v>10</v>
      </c>
      <c r="B8" s="13">
        <v>1000000</v>
      </c>
      <c r="C8" s="13">
        <v>1000000</v>
      </c>
      <c r="D8" s="13"/>
      <c r="E8" s="634"/>
      <c r="F8" s="625"/>
      <c r="I8" s="656"/>
      <c r="J8" s="656"/>
      <c r="K8" s="657"/>
    </row>
    <row r="9" s="619" customFormat="1" spans="1:11">
      <c r="A9" s="633" t="s">
        <v>11</v>
      </c>
      <c r="B9" s="13">
        <v>43.44</v>
      </c>
      <c r="C9" s="13">
        <f>C5-C6-C7-C8</f>
        <v>22693.8599999993</v>
      </c>
      <c r="D9" s="13"/>
      <c r="E9" s="634"/>
      <c r="F9" s="625"/>
      <c r="I9" s="656"/>
      <c r="J9" s="656"/>
      <c r="K9" s="657"/>
    </row>
    <row r="10" s="619" customFormat="1" spans="1:11">
      <c r="A10" s="629" t="s">
        <v>12</v>
      </c>
      <c r="B10" s="13">
        <v>6588963.64</v>
      </c>
      <c r="C10" s="13">
        <v>6362339.03</v>
      </c>
      <c r="D10" s="13"/>
      <c r="E10" s="634"/>
      <c r="F10" s="625"/>
      <c r="I10" s="656"/>
      <c r="J10" s="656"/>
      <c r="K10" s="657"/>
    </row>
    <row r="11" ht="15.6" spans="1:11">
      <c r="A11" s="636" t="s">
        <v>13</v>
      </c>
      <c r="B11" s="627">
        <f>B4-B5</f>
        <v>17573703.6522144</v>
      </c>
      <c r="C11" s="627">
        <v>21980963.0422144</v>
      </c>
      <c r="D11" s="627">
        <f>D4-D6-D7-D8</f>
        <v>0</v>
      </c>
      <c r="E11" s="628"/>
      <c r="F11" s="637"/>
      <c r="I11" s="647"/>
      <c r="J11" s="647"/>
      <c r="K11" s="657"/>
    </row>
    <row r="12" ht="15.6" spans="1:11">
      <c r="A12" s="638" t="s">
        <v>14</v>
      </c>
      <c r="B12" s="639">
        <f ca="1">SUM(B13:B21)</f>
        <v>2142397.08</v>
      </c>
      <c r="C12" s="639">
        <f>SUM(C13:C21)</f>
        <v>1707699.5</v>
      </c>
      <c r="D12" s="639">
        <f ca="1">SUM(D13:D21)</f>
        <v>434697.58</v>
      </c>
      <c r="E12" s="640">
        <f ca="1" t="shared" ref="E12:E56" si="0">C12/B12</f>
        <v>0.797097566992576</v>
      </c>
      <c r="F12" s="637"/>
      <c r="I12" s="647"/>
      <c r="J12" s="647"/>
      <c r="K12" s="647"/>
    </row>
    <row r="13" spans="1:10">
      <c r="A13" s="318" t="s">
        <v>15</v>
      </c>
      <c r="B13" s="13">
        <f>运营收款预算表!$I$8</f>
        <v>1647397.08</v>
      </c>
      <c r="C13" s="13">
        <f>运营收款预算表!$J$8</f>
        <v>452434.19</v>
      </c>
      <c r="D13" s="13">
        <f>B13-C13</f>
        <v>1194962.89</v>
      </c>
      <c r="E13" s="641">
        <f t="shared" si="0"/>
        <v>0.274635784834583</v>
      </c>
      <c r="J13" s="648"/>
    </row>
    <row r="14" spans="1:5">
      <c r="A14" s="318" t="s">
        <v>16</v>
      </c>
      <c r="B14" s="13">
        <f>运营收款预算表!$I$14</f>
        <v>335000</v>
      </c>
      <c r="C14" s="13">
        <f>运营收款预算表!$J$14</f>
        <v>300647.21</v>
      </c>
      <c r="D14" s="13">
        <f>B14-C14</f>
        <v>34352.79</v>
      </c>
      <c r="E14" s="641">
        <f t="shared" si="0"/>
        <v>0.897454358208955</v>
      </c>
    </row>
    <row r="15" spans="1:10">
      <c r="A15" s="318" t="s">
        <v>17</v>
      </c>
      <c r="B15" s="13">
        <f>运营收款预算表!$I$18</f>
        <v>160000</v>
      </c>
      <c r="C15" s="13">
        <f>运营收款预算表!$J$18</f>
        <v>0</v>
      </c>
      <c r="D15" s="13">
        <f>B15-C15</f>
        <v>160000</v>
      </c>
      <c r="E15" s="641">
        <f t="shared" si="0"/>
        <v>0</v>
      </c>
      <c r="J15" s="648"/>
    </row>
    <row r="16" spans="1:5">
      <c r="A16" s="318" t="s">
        <v>18</v>
      </c>
      <c r="B16" s="13">
        <f>运营收款预算表!$I$28</f>
        <v>0</v>
      </c>
      <c r="C16" s="13">
        <f>运营收款预算表!$J$28</f>
        <v>0</v>
      </c>
      <c r="D16" s="13">
        <f>B16-C16</f>
        <v>0</v>
      </c>
      <c r="E16" s="641" t="e">
        <f t="shared" si="0"/>
        <v>#DIV/0!</v>
      </c>
    </row>
    <row r="17" spans="1:10">
      <c r="A17" s="318" t="s">
        <v>19</v>
      </c>
      <c r="B17" s="13">
        <f ca="1">运营收款预算表!$I$29</f>
        <v>0</v>
      </c>
      <c r="C17" s="13">
        <f>运营收款预算表!$J$29</f>
        <v>0</v>
      </c>
      <c r="D17" s="13">
        <f ca="1">B17-C17</f>
        <v>0</v>
      </c>
      <c r="E17" s="641" t="e">
        <f ca="1" t="shared" si="0"/>
        <v>#DIV/0!</v>
      </c>
      <c r="J17" s="648"/>
    </row>
    <row r="18" spans="1:10">
      <c r="A18" s="318" t="s">
        <v>20</v>
      </c>
      <c r="B18" s="13"/>
      <c r="C18" s="13">
        <f>收款日报表!$G$151</f>
        <v>0</v>
      </c>
      <c r="D18" s="13"/>
      <c r="E18" s="641" t="e">
        <f t="shared" si="0"/>
        <v>#DIV/0!</v>
      </c>
      <c r="J18" s="648"/>
    </row>
    <row r="19" spans="1:5">
      <c r="A19" s="318" t="s">
        <v>21</v>
      </c>
      <c r="B19" s="13"/>
      <c r="C19" s="13">
        <f>收款日报表!$G$152+收款日报表!$G$153-12960-135534.5</f>
        <v>669083.6</v>
      </c>
      <c r="D19" s="13">
        <f>B19-C19</f>
        <v>-669083.6</v>
      </c>
      <c r="E19" s="641" t="e">
        <f t="shared" si="0"/>
        <v>#DIV/0!</v>
      </c>
    </row>
    <row r="20" spans="1:5">
      <c r="A20" s="318" t="s">
        <v>22</v>
      </c>
      <c r="B20" s="13"/>
      <c r="C20" s="13"/>
      <c r="D20" s="13">
        <f>B20-C20</f>
        <v>0</v>
      </c>
      <c r="E20" s="641" t="e">
        <f t="shared" si="0"/>
        <v>#DIV/0!</v>
      </c>
    </row>
    <row r="21" spans="1:10">
      <c r="A21" s="318" t="s">
        <v>23</v>
      </c>
      <c r="B21" s="13">
        <f ca="1">线下门店收款预算表!$F$31</f>
        <v>0</v>
      </c>
      <c r="C21" s="13">
        <f>150000+135534.5</f>
        <v>285534.5</v>
      </c>
      <c r="D21" s="13">
        <f ca="1">B21-C21</f>
        <v>-285534.5</v>
      </c>
      <c r="E21" s="641" t="e">
        <f ca="1" t="shared" si="0"/>
        <v>#DIV/0!</v>
      </c>
      <c r="J21" s="648"/>
    </row>
    <row r="22" ht="15.6" spans="1:5">
      <c r="A22" s="638" t="s">
        <v>24</v>
      </c>
      <c r="B22" s="639">
        <f ca="1">B11+B12</f>
        <v>19716100.7322144</v>
      </c>
      <c r="C22" s="639">
        <f>C11+C12</f>
        <v>23688662.5422144</v>
      </c>
      <c r="D22" s="639">
        <f ca="1">D11+D12</f>
        <v>434697.58</v>
      </c>
      <c r="E22" s="640">
        <f ca="1" t="shared" si="0"/>
        <v>1.20148820823933</v>
      </c>
    </row>
    <row r="23" ht="15.6" spans="1:5">
      <c r="A23" s="636" t="s">
        <v>25</v>
      </c>
      <c r="B23" s="639" t="e">
        <f>B24+B28+SUM(B31:B46)</f>
        <v>#REF!</v>
      </c>
      <c r="C23" s="639" t="e">
        <f>C24+C28+SUM(C31:C46)</f>
        <v>#REF!</v>
      </c>
      <c r="D23" s="639" t="e">
        <f>SUM(D24:D45)</f>
        <v>#REF!</v>
      </c>
      <c r="E23" s="640" t="e">
        <f t="shared" si="0"/>
        <v>#REF!</v>
      </c>
    </row>
    <row r="24" spans="1:5">
      <c r="A24" s="318" t="s">
        <v>26</v>
      </c>
      <c r="B24" s="205">
        <f>供应商货款!$J$12</f>
        <v>0</v>
      </c>
      <c r="C24" s="642" t="e">
        <f>货款付款统计表!$F$21-供应商货款!#REF!</f>
        <v>#REF!</v>
      </c>
      <c r="D24" s="205" t="e">
        <f t="shared" ref="D24:D30" si="1">B24-C24</f>
        <v>#REF!</v>
      </c>
      <c r="E24" s="641" t="e">
        <f t="shared" si="0"/>
        <v>#REF!</v>
      </c>
    </row>
    <row r="25" spans="1:5">
      <c r="A25" s="643" t="s">
        <v>27</v>
      </c>
      <c r="B25" s="644">
        <f>供应商货款!$K$12</f>
        <v>0</v>
      </c>
      <c r="C25" s="644">
        <f>货款付款统计表!$G$21</f>
        <v>0</v>
      </c>
      <c r="D25" s="644">
        <f t="shared" si="1"/>
        <v>0</v>
      </c>
      <c r="E25" s="645" t="e">
        <f t="shared" si="0"/>
        <v>#DIV/0!</v>
      </c>
    </row>
    <row r="26" spans="1:5">
      <c r="A26" s="318" t="s">
        <v>28</v>
      </c>
      <c r="B26" s="205">
        <f>B25*0.5</f>
        <v>0</v>
      </c>
      <c r="C26" s="642">
        <f>应付票据明细!$C$5</f>
        <v>654098.68</v>
      </c>
      <c r="D26" s="205">
        <f t="shared" si="1"/>
        <v>-654098.68</v>
      </c>
      <c r="E26" s="641" t="e">
        <f t="shared" si="0"/>
        <v>#DIV/0!</v>
      </c>
    </row>
    <row r="27" spans="1:5">
      <c r="A27" s="318" t="s">
        <v>29</v>
      </c>
      <c r="B27" s="205">
        <f>B25-B26</f>
        <v>0</v>
      </c>
      <c r="C27" s="646">
        <f>应付票据明细!$C$6</f>
        <v>654098.67</v>
      </c>
      <c r="D27" s="205">
        <f t="shared" si="1"/>
        <v>-654098.67</v>
      </c>
      <c r="E27" s="641" t="e">
        <f t="shared" si="0"/>
        <v>#DIV/0!</v>
      </c>
    </row>
    <row r="28" spans="1:5">
      <c r="A28" s="643" t="s">
        <v>30</v>
      </c>
      <c r="B28" s="644">
        <f>应付票据明细!$D$4</f>
        <v>712456.77</v>
      </c>
      <c r="C28" s="644">
        <f>C29+C30</f>
        <v>712456.77</v>
      </c>
      <c r="D28" s="644">
        <f t="shared" si="1"/>
        <v>0</v>
      </c>
      <c r="E28" s="645">
        <f t="shared" si="0"/>
        <v>1</v>
      </c>
    </row>
    <row r="29" spans="1:10">
      <c r="A29" s="318" t="s">
        <v>31</v>
      </c>
      <c r="B29" s="205">
        <f>应付票据明细!$D$5</f>
        <v>284982.71</v>
      </c>
      <c r="C29" s="646">
        <f>应付票据明细!$D$5</f>
        <v>284982.71</v>
      </c>
      <c r="D29" s="205">
        <f t="shared" si="1"/>
        <v>0</v>
      </c>
      <c r="E29" s="641">
        <f t="shared" si="0"/>
        <v>1</v>
      </c>
      <c r="F29" s="647"/>
      <c r="I29" s="648"/>
      <c r="J29" s="659"/>
    </row>
    <row r="30" spans="1:9">
      <c r="A30" s="318" t="s">
        <v>32</v>
      </c>
      <c r="B30" s="205">
        <f>应付票据明细!$D$6</f>
        <v>427474.06</v>
      </c>
      <c r="C30" s="642">
        <f>应付票据明细!$D$6</f>
        <v>427474.06</v>
      </c>
      <c r="D30" s="205">
        <f t="shared" si="1"/>
        <v>0</v>
      </c>
      <c r="E30" s="641">
        <f t="shared" si="0"/>
        <v>1</v>
      </c>
      <c r="F30" s="648"/>
      <c r="I30" s="648"/>
    </row>
    <row r="31" spans="1:9">
      <c r="A31" s="318" t="s">
        <v>33</v>
      </c>
      <c r="B31" s="205">
        <f>人力资源部!$C$27</f>
        <v>1536759.1</v>
      </c>
      <c r="C31" s="646">
        <f>人力资源部!$D$27</f>
        <v>1579373.62</v>
      </c>
      <c r="D31" s="205">
        <f t="shared" ref="D31:D45" si="2">B31-C31</f>
        <v>-42614.5200000003</v>
      </c>
      <c r="E31" s="641">
        <f t="shared" si="0"/>
        <v>1.02773012373898</v>
      </c>
      <c r="I31" s="648"/>
    </row>
    <row r="32" spans="1:9">
      <c r="A32" s="318" t="s">
        <v>34</v>
      </c>
      <c r="B32" s="205">
        <f>人力资源部!$C$28</f>
        <v>221000</v>
      </c>
      <c r="C32" s="205">
        <f>人力资源部!$D$28</f>
        <v>215756.54</v>
      </c>
      <c r="D32" s="205">
        <f t="shared" si="2"/>
        <v>5243.45999999999</v>
      </c>
      <c r="E32" s="641">
        <f t="shared" si="0"/>
        <v>0.976273936651584</v>
      </c>
      <c r="I32" s="647"/>
    </row>
    <row r="33" spans="1:9">
      <c r="A33" s="318" t="s">
        <v>35</v>
      </c>
      <c r="B33" s="205" t="e">
        <f>电商!$D$13+#REF!+#REF!</f>
        <v>#REF!</v>
      </c>
      <c r="C33" s="205" t="e">
        <f>电商!$E$13+#REF!+#REF!</f>
        <v>#REF!</v>
      </c>
      <c r="D33" s="205" t="e">
        <f t="shared" si="2"/>
        <v>#REF!</v>
      </c>
      <c r="E33" s="641" t="e">
        <f t="shared" si="0"/>
        <v>#REF!</v>
      </c>
      <c r="F33" s="648"/>
      <c r="I33" s="648"/>
    </row>
    <row r="34" spans="1:6">
      <c r="A34" s="318" t="s">
        <v>36</v>
      </c>
      <c r="B34" s="205" t="e">
        <f>电商!$D$20+#REF!</f>
        <v>#REF!</v>
      </c>
      <c r="C34" s="205" t="e">
        <f>电商!$E$20+#REF!</f>
        <v>#REF!</v>
      </c>
      <c r="D34" s="205" t="e">
        <f t="shared" si="2"/>
        <v>#REF!</v>
      </c>
      <c r="E34" s="641" t="e">
        <f t="shared" si="0"/>
        <v>#REF!</v>
      </c>
      <c r="F34" s="648"/>
    </row>
    <row r="35" spans="1:5">
      <c r="A35" s="318" t="s">
        <v>37</v>
      </c>
      <c r="B35" s="205">
        <f>市场部!$B$3+市场部!$B$4+市场部!$B$5+市场部!$B$6</f>
        <v>1390</v>
      </c>
      <c r="C35" s="205">
        <f>市场部!$C$3+市场部!$C$4+市场部!$C$5+市场部!$C$6</f>
        <v>1390</v>
      </c>
      <c r="D35" s="205">
        <f t="shared" si="2"/>
        <v>0</v>
      </c>
      <c r="E35" s="641">
        <f t="shared" si="0"/>
        <v>1</v>
      </c>
    </row>
    <row r="36" spans="1:5">
      <c r="A36" s="649" t="s">
        <v>38</v>
      </c>
      <c r="B36" s="205" t="e">
        <f>电商!$D$23+#REF!</f>
        <v>#REF!</v>
      </c>
      <c r="C36" s="646" t="e">
        <f>电商!$E$23+#REF!+85992.32</f>
        <v>#REF!</v>
      </c>
      <c r="D36" s="205" t="e">
        <f t="shared" si="2"/>
        <v>#REF!</v>
      </c>
      <c r="E36" s="641" t="e">
        <f t="shared" si="0"/>
        <v>#REF!</v>
      </c>
    </row>
    <row r="37" spans="1:5">
      <c r="A37" s="318" t="s">
        <v>39</v>
      </c>
      <c r="B37" s="205">
        <f>财务部!C17</f>
        <v>159500</v>
      </c>
      <c r="C37" s="646">
        <f>财务部!$D$17</f>
        <v>160172</v>
      </c>
      <c r="D37" s="205">
        <f t="shared" si="2"/>
        <v>-672</v>
      </c>
      <c r="E37" s="641">
        <f t="shared" si="0"/>
        <v>1.0042131661442</v>
      </c>
    </row>
    <row r="38" spans="1:5">
      <c r="A38" s="318" t="s">
        <v>40</v>
      </c>
      <c r="B38" s="205">
        <f>财务部!$C$13+财务部!$C$15+财务部!$C$16</f>
        <v>111361.14</v>
      </c>
      <c r="C38" s="205">
        <f>财务部!$D$13+财务部!$D$15+财务部!$D$16</f>
        <v>126011.39</v>
      </c>
      <c r="D38" s="205">
        <f t="shared" si="2"/>
        <v>-14650.25</v>
      </c>
      <c r="E38" s="641">
        <f t="shared" si="0"/>
        <v>1.13155621431318</v>
      </c>
    </row>
    <row r="39" spans="1:9">
      <c r="A39" s="318" t="s">
        <v>41</v>
      </c>
      <c r="B39" s="205">
        <f>财务部!$C$5+财务部!$C$6+财务部!$C$7+财务部!$C$8+财务部!$C$9+财务部!$C$10</f>
        <v>1552948.97</v>
      </c>
      <c r="C39" s="205">
        <f>财务部!$D$5+财务部!$D$6+财务部!$D$7+财务部!$D$8+财务部!$D$9+财务部!$D$10</f>
        <v>1552948.97</v>
      </c>
      <c r="D39" s="205">
        <f t="shared" si="2"/>
        <v>0</v>
      </c>
      <c r="E39" s="641">
        <f t="shared" si="0"/>
        <v>1</v>
      </c>
      <c r="G39" s="299" t="s">
        <v>42</v>
      </c>
      <c r="H39" s="299" t="s">
        <v>43</v>
      </c>
      <c r="I39" s="660" t="s">
        <v>44</v>
      </c>
    </row>
    <row r="40" spans="1:9">
      <c r="A40" s="118" t="s">
        <v>45</v>
      </c>
      <c r="B40" s="205">
        <f>线下销售部!$C$9</f>
        <v>262900</v>
      </c>
      <c r="C40" s="205">
        <f>线下销售部!$D$9</f>
        <v>268001.23</v>
      </c>
      <c r="D40" s="205">
        <f t="shared" si="2"/>
        <v>-5101.23000000004</v>
      </c>
      <c r="E40" s="641">
        <f t="shared" si="0"/>
        <v>1.01940368961582</v>
      </c>
      <c r="F40" s="299" t="s">
        <v>46</v>
      </c>
      <c r="G40" s="648">
        <f>供应商货款!$L$12</f>
        <v>0</v>
      </c>
      <c r="H40" s="647">
        <f>供应商货款!$M$12</f>
        <v>0</v>
      </c>
      <c r="I40" s="647" t="e">
        <f>IF(C24=H40,0,H40-C24)</f>
        <v>#REF!</v>
      </c>
    </row>
    <row r="41" spans="1:11">
      <c r="A41" s="118" t="s">
        <v>47</v>
      </c>
      <c r="B41" s="205">
        <f>线下销售部!$C$18</f>
        <v>20000</v>
      </c>
      <c r="C41" s="205">
        <f>线下销售部!$D$18</f>
        <v>0</v>
      </c>
      <c r="D41" s="205">
        <f t="shared" si="2"/>
        <v>20000</v>
      </c>
      <c r="E41" s="641">
        <f t="shared" si="0"/>
        <v>0</v>
      </c>
      <c r="F41" s="299" t="s">
        <v>48</v>
      </c>
      <c r="G41" s="648" t="e">
        <f>人力资源部!$C$26+财务部!$C$26+电商!$D$28+#REF!+#REF!+#REF!+线下销售部!$C$31+市场部!$B$11+电商设计部!$B$8+产品设计部!$B$9+采购部!$B$7+#REF!+#REF!+行政部!$B$8</f>
        <v>#REF!</v>
      </c>
      <c r="H41" s="647" t="e">
        <f>C23-C28-C36-C24</f>
        <v>#REF!</v>
      </c>
      <c r="I41" s="647" t="e">
        <f>IF(H41=H42,0,H41-H42)</f>
        <v>#REF!</v>
      </c>
      <c r="K41" s="648"/>
    </row>
    <row r="42" spans="1:8">
      <c r="A42" s="118" t="s">
        <v>49</v>
      </c>
      <c r="B42" s="205">
        <f>线下销售部!$C$25</f>
        <v>36165.2</v>
      </c>
      <c r="C42" s="205">
        <f>线下销售部!$D$25</f>
        <v>40585</v>
      </c>
      <c r="D42" s="205">
        <f t="shared" si="2"/>
        <v>-4419.8</v>
      </c>
      <c r="E42" s="641">
        <f t="shared" si="0"/>
        <v>1.12221140765155</v>
      </c>
      <c r="H42" s="648">
        <f>付款统计表!$T$94-付款统计表!$S$94</f>
        <v>5604188.57</v>
      </c>
    </row>
    <row r="43" spans="1:11">
      <c r="A43" s="650" t="s">
        <v>50</v>
      </c>
      <c r="B43" s="205" t="e">
        <f>人力资源部!$C$29+财务部!$C$27+电商!$D$27+#REF!+#REF!+#REF!+销售支持组!$D$8+线下销售部!$C$30+市场部!$B$7+市场部!$B$8+市场部!$B$9+市场部!$B$10+电商设计部!$B$4+电商设计部!$B$5+电商设计部!$B$6+电商设计部!$B$7+产品设计部!$B$9+采购部!$B$7+(#REF!-#REF!)+#REF!+行政部!$B$8</f>
        <v>#REF!</v>
      </c>
      <c r="C43" s="205" t="e">
        <f>人力资源部!$D$29+财务部!$D$27+电商!$E$27+#REF!+#REF!+#REF!+线下销售部!$D$30+市场部!$C$7+市场部!$C$8+市场部!$C$9+市场部!$C$10+电商设计部!$C$4+电商设计部!$C$5+电商设计部!$C$6+电商设计部!$C$8+(产品设计部!$C$9-产品设计部!$C$7)+采购部!$C$7+#REF!+#REF!+#REF!+#REF!+#REF!+行政部!$C$5+行政部!$C$6+行政部!$C$7</f>
        <v>#REF!</v>
      </c>
      <c r="D43" s="205" t="e">
        <f t="shared" si="2"/>
        <v>#REF!</v>
      </c>
      <c r="E43" s="641" t="e">
        <f t="shared" si="0"/>
        <v>#REF!</v>
      </c>
      <c r="F43" s="648"/>
      <c r="K43" s="648"/>
    </row>
    <row r="44" spans="1:8">
      <c r="A44" s="651" t="s">
        <v>51</v>
      </c>
      <c r="B44" s="205" t="e">
        <f>人力资源部!$C$30+财务部!$C$28+电商设计部!$B$3+#REF!</f>
        <v>#REF!</v>
      </c>
      <c r="C44" s="642" t="e">
        <f>付款统计表!$T$94-付款统计表!$S$94-SUM(资金预算汇总表!C31:C34)-SUM(资金预算汇总表!C37:C43)-资金预算汇总表!C45-资金预算汇总表!C46+财务部!$D$16-12960+101500</f>
        <v>#REF!</v>
      </c>
      <c r="D44" s="205" t="e">
        <f t="shared" si="2"/>
        <v>#REF!</v>
      </c>
      <c r="E44" s="641" t="e">
        <f t="shared" si="0"/>
        <v>#REF!</v>
      </c>
      <c r="F44" s="648"/>
      <c r="H44" s="648"/>
    </row>
    <row r="45" spans="1:6">
      <c r="A45" s="651" t="s">
        <v>52</v>
      </c>
      <c r="B45" s="205">
        <f>财务部!$C$4</f>
        <v>200000</v>
      </c>
      <c r="C45" s="205">
        <f>财务部!$D$4</f>
        <v>200000</v>
      </c>
      <c r="D45" s="205">
        <f t="shared" si="2"/>
        <v>0</v>
      </c>
      <c r="E45" s="641">
        <f t="shared" si="0"/>
        <v>1</v>
      </c>
      <c r="F45" s="648"/>
    </row>
    <row r="46" spans="1:6">
      <c r="A46" s="651" t="s">
        <v>53</v>
      </c>
      <c r="B46" s="205">
        <f>财务部!$C$12</f>
        <v>20000</v>
      </c>
      <c r="C46" s="205">
        <f>财务部!$D$12</f>
        <v>18912.83</v>
      </c>
      <c r="D46" s="205"/>
      <c r="E46" s="641">
        <f t="shared" si="0"/>
        <v>0.9456415</v>
      </c>
      <c r="F46" s="648"/>
    </row>
    <row r="47" ht="15.6" spans="1:5">
      <c r="A47" s="638" t="s">
        <v>54</v>
      </c>
      <c r="B47" s="652" t="e">
        <f ca="1">B4+B12-B23</f>
        <v>#REF!</v>
      </c>
      <c r="C47" s="652" t="e">
        <f>C4+C12-C23</f>
        <v>#REF!</v>
      </c>
      <c r="D47" s="652" t="e">
        <f ca="1">D4+D12-D23</f>
        <v>#REF!</v>
      </c>
      <c r="E47" s="640" t="e">
        <f ca="1" t="shared" si="0"/>
        <v>#REF!</v>
      </c>
    </row>
    <row r="48" spans="1:15">
      <c r="A48" s="649" t="s">
        <v>55</v>
      </c>
      <c r="B48" s="205"/>
      <c r="C48" s="205"/>
      <c r="D48" s="205">
        <f>B48-C48</f>
        <v>0</v>
      </c>
      <c r="E48" s="641" t="e">
        <f t="shared" si="0"/>
        <v>#DIV/0!</v>
      </c>
      <c r="N48" s="331" t="s">
        <v>56</v>
      </c>
      <c r="O48" s="661"/>
    </row>
    <row r="49" spans="1:17">
      <c r="A49" s="629" t="s">
        <v>7</v>
      </c>
      <c r="B49" s="205">
        <f>SUM(B50:B53)</f>
        <v>6837467.64</v>
      </c>
      <c r="C49" s="205">
        <v>7122450.35</v>
      </c>
      <c r="D49" s="205">
        <f t="shared" ref="D49:D52" si="3">B49-C49</f>
        <v>-284982.709999999</v>
      </c>
      <c r="E49" s="641">
        <f t="shared" si="0"/>
        <v>1.04167956983559</v>
      </c>
      <c r="N49" s="318" t="s">
        <v>57</v>
      </c>
      <c r="O49" s="662">
        <v>24696154.0022144</v>
      </c>
      <c r="Q49" s="648"/>
    </row>
    <row r="50" spans="1:15">
      <c r="A50" s="633" t="s">
        <v>8</v>
      </c>
      <c r="B50" s="205">
        <f>B6+B26-B29</f>
        <v>5596447.61</v>
      </c>
      <c r="C50" s="205">
        <f>C6+C26-C29</f>
        <v>5881430.32</v>
      </c>
      <c r="D50" s="205"/>
      <c r="E50" s="641">
        <f t="shared" si="0"/>
        <v>1.05092207233224</v>
      </c>
      <c r="N50" s="318" t="s">
        <v>58</v>
      </c>
      <c r="O50" s="662">
        <v>17573703.6522144</v>
      </c>
    </row>
    <row r="51" spans="1:15">
      <c r="A51" s="633" t="s">
        <v>9</v>
      </c>
      <c r="B51" s="205">
        <f>B7</f>
        <v>240976.59</v>
      </c>
      <c r="C51" s="205">
        <v>240976.59</v>
      </c>
      <c r="D51" s="205"/>
      <c r="E51" s="641">
        <f t="shared" si="0"/>
        <v>1</v>
      </c>
      <c r="N51" s="318" t="s">
        <v>59</v>
      </c>
      <c r="O51" s="662">
        <v>15128390.4922144</v>
      </c>
    </row>
    <row r="52" spans="1:15">
      <c r="A52" s="633" t="s">
        <v>10</v>
      </c>
      <c r="B52" s="205">
        <f>B8</f>
        <v>1000000</v>
      </c>
      <c r="C52" s="205">
        <v>1000000</v>
      </c>
      <c r="D52" s="205">
        <f t="shared" si="3"/>
        <v>0</v>
      </c>
      <c r="E52" s="641">
        <f t="shared" si="0"/>
        <v>1</v>
      </c>
      <c r="N52" s="318" t="s">
        <v>60</v>
      </c>
      <c r="O52" s="662">
        <v>2422813.16</v>
      </c>
    </row>
    <row r="53" spans="1:15">
      <c r="A53" s="633" t="s">
        <v>11</v>
      </c>
      <c r="B53" s="205">
        <f>B9</f>
        <v>43.44</v>
      </c>
      <c r="C53" s="205">
        <f>C49-C50-C51-C52</f>
        <v>43.4400000002934</v>
      </c>
      <c r="D53" s="205"/>
      <c r="E53" s="641">
        <f t="shared" si="0"/>
        <v>1.00000000000675</v>
      </c>
      <c r="N53" s="318" t="s">
        <v>61</v>
      </c>
      <c r="O53" s="662">
        <v>22500</v>
      </c>
    </row>
    <row r="54" spans="1:15">
      <c r="A54" s="629" t="s">
        <v>62</v>
      </c>
      <c r="B54" s="205" t="e">
        <f ca="1">B47+B48-B49</f>
        <v>#REF!</v>
      </c>
      <c r="C54" s="205" t="e">
        <f>C47+C48-C49</f>
        <v>#REF!</v>
      </c>
      <c r="D54" s="205" t="e">
        <f ca="1">B54-C54</f>
        <v>#REF!</v>
      </c>
      <c r="E54" s="641" t="e">
        <f ca="1" t="shared" si="0"/>
        <v>#REF!</v>
      </c>
      <c r="N54" s="318" t="s">
        <v>63</v>
      </c>
      <c r="O54" s="662">
        <v>7122450.35</v>
      </c>
    </row>
    <row r="55" spans="1:15">
      <c r="A55" s="629" t="s">
        <v>64</v>
      </c>
      <c r="B55" s="205">
        <f>B10+B27-B30</f>
        <v>6161489.58</v>
      </c>
      <c r="C55" s="205">
        <f>C10+C27-C30</f>
        <v>6588963.64</v>
      </c>
      <c r="D55" s="205"/>
      <c r="E55" s="641">
        <f t="shared" si="0"/>
        <v>1.06937836288607</v>
      </c>
      <c r="N55" s="318" t="s">
        <v>59</v>
      </c>
      <c r="O55" s="662">
        <v>6881473.76</v>
      </c>
    </row>
    <row r="56" ht="15.6" spans="1:15">
      <c r="A56" s="636" t="s">
        <v>65</v>
      </c>
      <c r="B56" s="652" t="e">
        <f ca="1">B47+B48-B49</f>
        <v>#REF!</v>
      </c>
      <c r="C56" s="652" t="e">
        <f>C47+C48-C49</f>
        <v>#REF!</v>
      </c>
      <c r="D56" s="652" t="e">
        <f ca="1">D47+D48-D49</f>
        <v>#REF!</v>
      </c>
      <c r="E56" s="640" t="e">
        <f ca="1" t="shared" si="0"/>
        <v>#REF!</v>
      </c>
      <c r="N56" s="318" t="s">
        <v>66</v>
      </c>
      <c r="O56" s="662">
        <v>240976.59</v>
      </c>
    </row>
    <row r="57" spans="2:5">
      <c r="B57" s="653"/>
      <c r="C57" s="654" t="e">
        <f>C47-O49</f>
        <v>#REF!</v>
      </c>
      <c r="D57" s="653"/>
      <c r="E57" s="655"/>
    </row>
    <row r="58" spans="3:5">
      <c r="C58" s="653"/>
      <c r="D58" s="653"/>
      <c r="E58" s="655"/>
    </row>
    <row r="59" spans="3:5">
      <c r="C59" s="653"/>
      <c r="E59" s="655"/>
    </row>
    <row r="60" spans="3:5">
      <c r="C60" s="653"/>
      <c r="E60" s="655"/>
    </row>
    <row r="61" spans="3:5">
      <c r="C61" s="653"/>
      <c r="E61" s="655"/>
    </row>
    <row r="62" spans="3:5">
      <c r="C62" s="653"/>
      <c r="D62" s="653"/>
      <c r="E62" s="655"/>
    </row>
    <row r="63" spans="3:5">
      <c r="C63" s="653"/>
      <c r="E63" s="655"/>
    </row>
    <row r="64" spans="3:3">
      <c r="C64" s="653"/>
    </row>
    <row r="65" spans="3:3">
      <c r="C65" s="653"/>
    </row>
    <row r="66" spans="3:3">
      <c r="C66" s="653"/>
    </row>
    <row r="67" spans="3:3">
      <c r="C67" s="653"/>
    </row>
    <row r="68" spans="3:3">
      <c r="C68" s="653"/>
    </row>
  </sheetData>
  <mergeCells count="2">
    <mergeCell ref="N48:O48"/>
    <mergeCell ref="A1:D2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O35"/>
  <sheetViews>
    <sheetView showGridLines="0" zoomScale="130" zoomScaleNormal="130" topLeftCell="A19" workbookViewId="0">
      <selection activeCell="H8" sqref="H8"/>
    </sheetView>
  </sheetViews>
  <sheetFormatPr defaultColWidth="9" defaultRowHeight="14.4"/>
  <cols>
    <col min="1" max="1" width="13" style="479" customWidth="1"/>
    <col min="2" max="2" width="27.6296296296296" style="480" customWidth="1"/>
    <col min="3" max="3" width="6.75925925925926" style="480" customWidth="1"/>
    <col min="4" max="4" width="14.8796296296296" style="481" customWidth="1"/>
    <col min="5" max="5" width="16.1296296296296" style="481" customWidth="1"/>
    <col min="6" max="6" width="15" style="481" customWidth="1"/>
    <col min="7" max="7" width="15" style="543" customWidth="1"/>
    <col min="8" max="8" width="13.8796296296296" style="481" customWidth="1"/>
    <col min="9" max="9" width="13.8796296296296" style="544" customWidth="1"/>
    <col min="10" max="11" width="14.6296296296296" style="479" customWidth="1"/>
    <col min="12" max="12" width="12.6296296296296" style="479" customWidth="1"/>
    <col min="13" max="13" width="14.1296296296296" style="479" customWidth="1"/>
    <col min="14" max="15" width="12.6296296296296" style="479" customWidth="1"/>
    <col min="16" max="16" width="9.12962962962963" style="479" customWidth="1"/>
    <col min="17" max="255" width="9" style="479"/>
    <col min="256" max="256" width="16.1296296296296" style="479" customWidth="1"/>
    <col min="257" max="257" width="21" style="479" customWidth="1"/>
    <col min="258" max="258" width="12.6296296296296" style="479" customWidth="1"/>
    <col min="259" max="259" width="21.2592592592593" style="479" customWidth="1"/>
    <col min="260" max="262" width="12.6296296296296" style="479" customWidth="1"/>
    <col min="263" max="263" width="20.3796296296296" style="479" customWidth="1"/>
    <col min="264" max="264" width="12.6296296296296" style="479" customWidth="1"/>
    <col min="265" max="265" width="36.1296296296296" style="479" customWidth="1"/>
    <col min="266" max="266" width="19.6296296296296" style="479" customWidth="1"/>
    <col min="267" max="271" width="12.6296296296296" style="479" customWidth="1"/>
    <col min="272" max="272" width="9.12962962962963" style="479" customWidth="1"/>
    <col min="273" max="511" width="9" style="479"/>
    <col min="512" max="512" width="16.1296296296296" style="479" customWidth="1"/>
    <col min="513" max="513" width="21" style="479" customWidth="1"/>
    <col min="514" max="514" width="12.6296296296296" style="479" customWidth="1"/>
    <col min="515" max="515" width="21.2592592592593" style="479" customWidth="1"/>
    <col min="516" max="518" width="12.6296296296296" style="479" customWidth="1"/>
    <col min="519" max="519" width="20.3796296296296" style="479" customWidth="1"/>
    <col min="520" max="520" width="12.6296296296296" style="479" customWidth="1"/>
    <col min="521" max="521" width="36.1296296296296" style="479" customWidth="1"/>
    <col min="522" max="522" width="19.6296296296296" style="479" customWidth="1"/>
    <col min="523" max="527" width="12.6296296296296" style="479" customWidth="1"/>
    <col min="528" max="528" width="9.12962962962963" style="479" customWidth="1"/>
    <col min="529" max="767" width="9" style="479"/>
    <col min="768" max="768" width="16.1296296296296" style="479" customWidth="1"/>
    <col min="769" max="769" width="21" style="479" customWidth="1"/>
    <col min="770" max="770" width="12.6296296296296" style="479" customWidth="1"/>
    <col min="771" max="771" width="21.2592592592593" style="479" customWidth="1"/>
    <col min="772" max="774" width="12.6296296296296" style="479" customWidth="1"/>
    <col min="775" max="775" width="20.3796296296296" style="479" customWidth="1"/>
    <col min="776" max="776" width="12.6296296296296" style="479" customWidth="1"/>
    <col min="777" max="777" width="36.1296296296296" style="479" customWidth="1"/>
    <col min="778" max="778" width="19.6296296296296" style="479" customWidth="1"/>
    <col min="779" max="783" width="12.6296296296296" style="479" customWidth="1"/>
    <col min="784" max="784" width="9.12962962962963" style="479" customWidth="1"/>
    <col min="785" max="1023" width="9" style="479"/>
    <col min="1024" max="1024" width="16.1296296296296" style="479" customWidth="1"/>
    <col min="1025" max="1025" width="21" style="479" customWidth="1"/>
    <col min="1026" max="1026" width="12.6296296296296" style="479" customWidth="1"/>
    <col min="1027" max="1027" width="21.2592592592593" style="479" customWidth="1"/>
    <col min="1028" max="1030" width="12.6296296296296" style="479" customWidth="1"/>
    <col min="1031" max="1031" width="20.3796296296296" style="479" customWidth="1"/>
    <col min="1032" max="1032" width="12.6296296296296" style="479" customWidth="1"/>
    <col min="1033" max="1033" width="36.1296296296296" style="479" customWidth="1"/>
    <col min="1034" max="1034" width="19.6296296296296" style="479" customWidth="1"/>
    <col min="1035" max="1039" width="12.6296296296296" style="479" customWidth="1"/>
    <col min="1040" max="1040" width="9.12962962962963" style="479" customWidth="1"/>
    <col min="1041" max="1279" width="9" style="479"/>
    <col min="1280" max="1280" width="16.1296296296296" style="479" customWidth="1"/>
    <col min="1281" max="1281" width="21" style="479" customWidth="1"/>
    <col min="1282" max="1282" width="12.6296296296296" style="479" customWidth="1"/>
    <col min="1283" max="1283" width="21.2592592592593" style="479" customWidth="1"/>
    <col min="1284" max="1286" width="12.6296296296296" style="479" customWidth="1"/>
    <col min="1287" max="1287" width="20.3796296296296" style="479" customWidth="1"/>
    <col min="1288" max="1288" width="12.6296296296296" style="479" customWidth="1"/>
    <col min="1289" max="1289" width="36.1296296296296" style="479" customWidth="1"/>
    <col min="1290" max="1290" width="19.6296296296296" style="479" customWidth="1"/>
    <col min="1291" max="1295" width="12.6296296296296" style="479" customWidth="1"/>
    <col min="1296" max="1296" width="9.12962962962963" style="479" customWidth="1"/>
    <col min="1297" max="1535" width="9" style="479"/>
    <col min="1536" max="1536" width="16.1296296296296" style="479" customWidth="1"/>
    <col min="1537" max="1537" width="21" style="479" customWidth="1"/>
    <col min="1538" max="1538" width="12.6296296296296" style="479" customWidth="1"/>
    <col min="1539" max="1539" width="21.2592592592593" style="479" customWidth="1"/>
    <col min="1540" max="1542" width="12.6296296296296" style="479" customWidth="1"/>
    <col min="1543" max="1543" width="20.3796296296296" style="479" customWidth="1"/>
    <col min="1544" max="1544" width="12.6296296296296" style="479" customWidth="1"/>
    <col min="1545" max="1545" width="36.1296296296296" style="479" customWidth="1"/>
    <col min="1546" max="1546" width="19.6296296296296" style="479" customWidth="1"/>
    <col min="1547" max="1551" width="12.6296296296296" style="479" customWidth="1"/>
    <col min="1552" max="1552" width="9.12962962962963" style="479" customWidth="1"/>
    <col min="1553" max="1791" width="9" style="479"/>
    <col min="1792" max="1792" width="16.1296296296296" style="479" customWidth="1"/>
    <col min="1793" max="1793" width="21" style="479" customWidth="1"/>
    <col min="1794" max="1794" width="12.6296296296296" style="479" customWidth="1"/>
    <col min="1795" max="1795" width="21.2592592592593" style="479" customWidth="1"/>
    <col min="1796" max="1798" width="12.6296296296296" style="479" customWidth="1"/>
    <col min="1799" max="1799" width="20.3796296296296" style="479" customWidth="1"/>
    <col min="1800" max="1800" width="12.6296296296296" style="479" customWidth="1"/>
    <col min="1801" max="1801" width="36.1296296296296" style="479" customWidth="1"/>
    <col min="1802" max="1802" width="19.6296296296296" style="479" customWidth="1"/>
    <col min="1803" max="1807" width="12.6296296296296" style="479" customWidth="1"/>
    <col min="1808" max="1808" width="9.12962962962963" style="479" customWidth="1"/>
    <col min="1809" max="2047" width="9" style="479"/>
    <col min="2048" max="2048" width="16.1296296296296" style="479" customWidth="1"/>
    <col min="2049" max="2049" width="21" style="479" customWidth="1"/>
    <col min="2050" max="2050" width="12.6296296296296" style="479" customWidth="1"/>
    <col min="2051" max="2051" width="21.2592592592593" style="479" customWidth="1"/>
    <col min="2052" max="2054" width="12.6296296296296" style="479" customWidth="1"/>
    <col min="2055" max="2055" width="20.3796296296296" style="479" customWidth="1"/>
    <col min="2056" max="2056" width="12.6296296296296" style="479" customWidth="1"/>
    <col min="2057" max="2057" width="36.1296296296296" style="479" customWidth="1"/>
    <col min="2058" max="2058" width="19.6296296296296" style="479" customWidth="1"/>
    <col min="2059" max="2063" width="12.6296296296296" style="479" customWidth="1"/>
    <col min="2064" max="2064" width="9.12962962962963" style="479" customWidth="1"/>
    <col min="2065" max="2303" width="9" style="479"/>
    <col min="2304" max="2304" width="16.1296296296296" style="479" customWidth="1"/>
    <col min="2305" max="2305" width="21" style="479" customWidth="1"/>
    <col min="2306" max="2306" width="12.6296296296296" style="479" customWidth="1"/>
    <col min="2307" max="2307" width="21.2592592592593" style="479" customWidth="1"/>
    <col min="2308" max="2310" width="12.6296296296296" style="479" customWidth="1"/>
    <col min="2311" max="2311" width="20.3796296296296" style="479" customWidth="1"/>
    <col min="2312" max="2312" width="12.6296296296296" style="479" customWidth="1"/>
    <col min="2313" max="2313" width="36.1296296296296" style="479" customWidth="1"/>
    <col min="2314" max="2314" width="19.6296296296296" style="479" customWidth="1"/>
    <col min="2315" max="2319" width="12.6296296296296" style="479" customWidth="1"/>
    <col min="2320" max="2320" width="9.12962962962963" style="479" customWidth="1"/>
    <col min="2321" max="2559" width="9" style="479"/>
    <col min="2560" max="2560" width="16.1296296296296" style="479" customWidth="1"/>
    <col min="2561" max="2561" width="21" style="479" customWidth="1"/>
    <col min="2562" max="2562" width="12.6296296296296" style="479" customWidth="1"/>
    <col min="2563" max="2563" width="21.2592592592593" style="479" customWidth="1"/>
    <col min="2564" max="2566" width="12.6296296296296" style="479" customWidth="1"/>
    <col min="2567" max="2567" width="20.3796296296296" style="479" customWidth="1"/>
    <col min="2568" max="2568" width="12.6296296296296" style="479" customWidth="1"/>
    <col min="2569" max="2569" width="36.1296296296296" style="479" customWidth="1"/>
    <col min="2570" max="2570" width="19.6296296296296" style="479" customWidth="1"/>
    <col min="2571" max="2575" width="12.6296296296296" style="479" customWidth="1"/>
    <col min="2576" max="2576" width="9.12962962962963" style="479" customWidth="1"/>
    <col min="2577" max="2815" width="9" style="479"/>
    <col min="2816" max="2816" width="16.1296296296296" style="479" customWidth="1"/>
    <col min="2817" max="2817" width="21" style="479" customWidth="1"/>
    <col min="2818" max="2818" width="12.6296296296296" style="479" customWidth="1"/>
    <col min="2819" max="2819" width="21.2592592592593" style="479" customWidth="1"/>
    <col min="2820" max="2822" width="12.6296296296296" style="479" customWidth="1"/>
    <col min="2823" max="2823" width="20.3796296296296" style="479" customWidth="1"/>
    <col min="2824" max="2824" width="12.6296296296296" style="479" customWidth="1"/>
    <col min="2825" max="2825" width="36.1296296296296" style="479" customWidth="1"/>
    <col min="2826" max="2826" width="19.6296296296296" style="479" customWidth="1"/>
    <col min="2827" max="2831" width="12.6296296296296" style="479" customWidth="1"/>
    <col min="2832" max="2832" width="9.12962962962963" style="479" customWidth="1"/>
    <col min="2833" max="3071" width="9" style="479"/>
    <col min="3072" max="3072" width="16.1296296296296" style="479" customWidth="1"/>
    <col min="3073" max="3073" width="21" style="479" customWidth="1"/>
    <col min="3074" max="3074" width="12.6296296296296" style="479" customWidth="1"/>
    <col min="3075" max="3075" width="21.2592592592593" style="479" customWidth="1"/>
    <col min="3076" max="3078" width="12.6296296296296" style="479" customWidth="1"/>
    <col min="3079" max="3079" width="20.3796296296296" style="479" customWidth="1"/>
    <col min="3080" max="3080" width="12.6296296296296" style="479" customWidth="1"/>
    <col min="3081" max="3081" width="36.1296296296296" style="479" customWidth="1"/>
    <col min="3082" max="3082" width="19.6296296296296" style="479" customWidth="1"/>
    <col min="3083" max="3087" width="12.6296296296296" style="479" customWidth="1"/>
    <col min="3088" max="3088" width="9.12962962962963" style="479" customWidth="1"/>
    <col min="3089" max="3327" width="9" style="479"/>
    <col min="3328" max="3328" width="16.1296296296296" style="479" customWidth="1"/>
    <col min="3329" max="3329" width="21" style="479" customWidth="1"/>
    <col min="3330" max="3330" width="12.6296296296296" style="479" customWidth="1"/>
    <col min="3331" max="3331" width="21.2592592592593" style="479" customWidth="1"/>
    <col min="3332" max="3334" width="12.6296296296296" style="479" customWidth="1"/>
    <col min="3335" max="3335" width="20.3796296296296" style="479" customWidth="1"/>
    <col min="3336" max="3336" width="12.6296296296296" style="479" customWidth="1"/>
    <col min="3337" max="3337" width="36.1296296296296" style="479" customWidth="1"/>
    <col min="3338" max="3338" width="19.6296296296296" style="479" customWidth="1"/>
    <col min="3339" max="3343" width="12.6296296296296" style="479" customWidth="1"/>
    <col min="3344" max="3344" width="9.12962962962963" style="479" customWidth="1"/>
    <col min="3345" max="3583" width="9" style="479"/>
    <col min="3584" max="3584" width="16.1296296296296" style="479" customWidth="1"/>
    <col min="3585" max="3585" width="21" style="479" customWidth="1"/>
    <col min="3586" max="3586" width="12.6296296296296" style="479" customWidth="1"/>
    <col min="3587" max="3587" width="21.2592592592593" style="479" customWidth="1"/>
    <col min="3588" max="3590" width="12.6296296296296" style="479" customWidth="1"/>
    <col min="3591" max="3591" width="20.3796296296296" style="479" customWidth="1"/>
    <col min="3592" max="3592" width="12.6296296296296" style="479" customWidth="1"/>
    <col min="3593" max="3593" width="36.1296296296296" style="479" customWidth="1"/>
    <col min="3594" max="3594" width="19.6296296296296" style="479" customWidth="1"/>
    <col min="3595" max="3599" width="12.6296296296296" style="479" customWidth="1"/>
    <col min="3600" max="3600" width="9.12962962962963" style="479" customWidth="1"/>
    <col min="3601" max="3839" width="9" style="479"/>
    <col min="3840" max="3840" width="16.1296296296296" style="479" customWidth="1"/>
    <col min="3841" max="3841" width="21" style="479" customWidth="1"/>
    <col min="3842" max="3842" width="12.6296296296296" style="479" customWidth="1"/>
    <col min="3843" max="3843" width="21.2592592592593" style="479" customWidth="1"/>
    <col min="3844" max="3846" width="12.6296296296296" style="479" customWidth="1"/>
    <col min="3847" max="3847" width="20.3796296296296" style="479" customWidth="1"/>
    <col min="3848" max="3848" width="12.6296296296296" style="479" customWidth="1"/>
    <col min="3849" max="3849" width="36.1296296296296" style="479" customWidth="1"/>
    <col min="3850" max="3850" width="19.6296296296296" style="479" customWidth="1"/>
    <col min="3851" max="3855" width="12.6296296296296" style="479" customWidth="1"/>
    <col min="3856" max="3856" width="9.12962962962963" style="479" customWidth="1"/>
    <col min="3857" max="4095" width="9" style="479"/>
    <col min="4096" max="4096" width="16.1296296296296" style="479" customWidth="1"/>
    <col min="4097" max="4097" width="21" style="479" customWidth="1"/>
    <col min="4098" max="4098" width="12.6296296296296" style="479" customWidth="1"/>
    <col min="4099" max="4099" width="21.2592592592593" style="479" customWidth="1"/>
    <col min="4100" max="4102" width="12.6296296296296" style="479" customWidth="1"/>
    <col min="4103" max="4103" width="20.3796296296296" style="479" customWidth="1"/>
    <col min="4104" max="4104" width="12.6296296296296" style="479" customWidth="1"/>
    <col min="4105" max="4105" width="36.1296296296296" style="479" customWidth="1"/>
    <col min="4106" max="4106" width="19.6296296296296" style="479" customWidth="1"/>
    <col min="4107" max="4111" width="12.6296296296296" style="479" customWidth="1"/>
    <col min="4112" max="4112" width="9.12962962962963" style="479" customWidth="1"/>
    <col min="4113" max="4351" width="9" style="479"/>
    <col min="4352" max="4352" width="16.1296296296296" style="479" customWidth="1"/>
    <col min="4353" max="4353" width="21" style="479" customWidth="1"/>
    <col min="4354" max="4354" width="12.6296296296296" style="479" customWidth="1"/>
    <col min="4355" max="4355" width="21.2592592592593" style="479" customWidth="1"/>
    <col min="4356" max="4358" width="12.6296296296296" style="479" customWidth="1"/>
    <col min="4359" max="4359" width="20.3796296296296" style="479" customWidth="1"/>
    <col min="4360" max="4360" width="12.6296296296296" style="479" customWidth="1"/>
    <col min="4361" max="4361" width="36.1296296296296" style="479" customWidth="1"/>
    <col min="4362" max="4362" width="19.6296296296296" style="479" customWidth="1"/>
    <col min="4363" max="4367" width="12.6296296296296" style="479" customWidth="1"/>
    <col min="4368" max="4368" width="9.12962962962963" style="479" customWidth="1"/>
    <col min="4369" max="4607" width="9" style="479"/>
    <col min="4608" max="4608" width="16.1296296296296" style="479" customWidth="1"/>
    <col min="4609" max="4609" width="21" style="479" customWidth="1"/>
    <col min="4610" max="4610" width="12.6296296296296" style="479" customWidth="1"/>
    <col min="4611" max="4611" width="21.2592592592593" style="479" customWidth="1"/>
    <col min="4612" max="4614" width="12.6296296296296" style="479" customWidth="1"/>
    <col min="4615" max="4615" width="20.3796296296296" style="479" customWidth="1"/>
    <col min="4616" max="4616" width="12.6296296296296" style="479" customWidth="1"/>
    <col min="4617" max="4617" width="36.1296296296296" style="479" customWidth="1"/>
    <col min="4618" max="4618" width="19.6296296296296" style="479" customWidth="1"/>
    <col min="4619" max="4623" width="12.6296296296296" style="479" customWidth="1"/>
    <col min="4624" max="4624" width="9.12962962962963" style="479" customWidth="1"/>
    <col min="4625" max="4863" width="9" style="479"/>
    <col min="4864" max="4864" width="16.1296296296296" style="479" customWidth="1"/>
    <col min="4865" max="4865" width="21" style="479" customWidth="1"/>
    <col min="4866" max="4866" width="12.6296296296296" style="479" customWidth="1"/>
    <col min="4867" max="4867" width="21.2592592592593" style="479" customWidth="1"/>
    <col min="4868" max="4870" width="12.6296296296296" style="479" customWidth="1"/>
    <col min="4871" max="4871" width="20.3796296296296" style="479" customWidth="1"/>
    <col min="4872" max="4872" width="12.6296296296296" style="479" customWidth="1"/>
    <col min="4873" max="4873" width="36.1296296296296" style="479" customWidth="1"/>
    <col min="4874" max="4874" width="19.6296296296296" style="479" customWidth="1"/>
    <col min="4875" max="4879" width="12.6296296296296" style="479" customWidth="1"/>
    <col min="4880" max="4880" width="9.12962962962963" style="479" customWidth="1"/>
    <col min="4881" max="5119" width="9" style="479"/>
    <col min="5120" max="5120" width="16.1296296296296" style="479" customWidth="1"/>
    <col min="5121" max="5121" width="21" style="479" customWidth="1"/>
    <col min="5122" max="5122" width="12.6296296296296" style="479" customWidth="1"/>
    <col min="5123" max="5123" width="21.2592592592593" style="479" customWidth="1"/>
    <col min="5124" max="5126" width="12.6296296296296" style="479" customWidth="1"/>
    <col min="5127" max="5127" width="20.3796296296296" style="479" customWidth="1"/>
    <col min="5128" max="5128" width="12.6296296296296" style="479" customWidth="1"/>
    <col min="5129" max="5129" width="36.1296296296296" style="479" customWidth="1"/>
    <col min="5130" max="5130" width="19.6296296296296" style="479" customWidth="1"/>
    <col min="5131" max="5135" width="12.6296296296296" style="479" customWidth="1"/>
    <col min="5136" max="5136" width="9.12962962962963" style="479" customWidth="1"/>
    <col min="5137" max="5375" width="9" style="479"/>
    <col min="5376" max="5376" width="16.1296296296296" style="479" customWidth="1"/>
    <col min="5377" max="5377" width="21" style="479" customWidth="1"/>
    <col min="5378" max="5378" width="12.6296296296296" style="479" customWidth="1"/>
    <col min="5379" max="5379" width="21.2592592592593" style="479" customWidth="1"/>
    <col min="5380" max="5382" width="12.6296296296296" style="479" customWidth="1"/>
    <col min="5383" max="5383" width="20.3796296296296" style="479" customWidth="1"/>
    <col min="5384" max="5384" width="12.6296296296296" style="479" customWidth="1"/>
    <col min="5385" max="5385" width="36.1296296296296" style="479" customWidth="1"/>
    <col min="5386" max="5386" width="19.6296296296296" style="479" customWidth="1"/>
    <col min="5387" max="5391" width="12.6296296296296" style="479" customWidth="1"/>
    <col min="5392" max="5392" width="9.12962962962963" style="479" customWidth="1"/>
    <col min="5393" max="5631" width="9" style="479"/>
    <col min="5632" max="5632" width="16.1296296296296" style="479" customWidth="1"/>
    <col min="5633" max="5633" width="21" style="479" customWidth="1"/>
    <col min="5634" max="5634" width="12.6296296296296" style="479" customWidth="1"/>
    <col min="5635" max="5635" width="21.2592592592593" style="479" customWidth="1"/>
    <col min="5636" max="5638" width="12.6296296296296" style="479" customWidth="1"/>
    <col min="5639" max="5639" width="20.3796296296296" style="479" customWidth="1"/>
    <col min="5640" max="5640" width="12.6296296296296" style="479" customWidth="1"/>
    <col min="5641" max="5641" width="36.1296296296296" style="479" customWidth="1"/>
    <col min="5642" max="5642" width="19.6296296296296" style="479" customWidth="1"/>
    <col min="5643" max="5647" width="12.6296296296296" style="479" customWidth="1"/>
    <col min="5648" max="5648" width="9.12962962962963" style="479" customWidth="1"/>
    <col min="5649" max="5887" width="9" style="479"/>
    <col min="5888" max="5888" width="16.1296296296296" style="479" customWidth="1"/>
    <col min="5889" max="5889" width="21" style="479" customWidth="1"/>
    <col min="5890" max="5890" width="12.6296296296296" style="479" customWidth="1"/>
    <col min="5891" max="5891" width="21.2592592592593" style="479" customWidth="1"/>
    <col min="5892" max="5894" width="12.6296296296296" style="479" customWidth="1"/>
    <col min="5895" max="5895" width="20.3796296296296" style="479" customWidth="1"/>
    <col min="5896" max="5896" width="12.6296296296296" style="479" customWidth="1"/>
    <col min="5897" max="5897" width="36.1296296296296" style="479" customWidth="1"/>
    <col min="5898" max="5898" width="19.6296296296296" style="479" customWidth="1"/>
    <col min="5899" max="5903" width="12.6296296296296" style="479" customWidth="1"/>
    <col min="5904" max="5904" width="9.12962962962963" style="479" customWidth="1"/>
    <col min="5905" max="6143" width="9" style="479"/>
    <col min="6144" max="6144" width="16.1296296296296" style="479" customWidth="1"/>
    <col min="6145" max="6145" width="21" style="479" customWidth="1"/>
    <col min="6146" max="6146" width="12.6296296296296" style="479" customWidth="1"/>
    <col min="6147" max="6147" width="21.2592592592593" style="479" customWidth="1"/>
    <col min="6148" max="6150" width="12.6296296296296" style="479" customWidth="1"/>
    <col min="6151" max="6151" width="20.3796296296296" style="479" customWidth="1"/>
    <col min="6152" max="6152" width="12.6296296296296" style="479" customWidth="1"/>
    <col min="6153" max="6153" width="36.1296296296296" style="479" customWidth="1"/>
    <col min="6154" max="6154" width="19.6296296296296" style="479" customWidth="1"/>
    <col min="6155" max="6159" width="12.6296296296296" style="479" customWidth="1"/>
    <col min="6160" max="6160" width="9.12962962962963" style="479" customWidth="1"/>
    <col min="6161" max="6399" width="9" style="479"/>
    <col min="6400" max="6400" width="16.1296296296296" style="479" customWidth="1"/>
    <col min="6401" max="6401" width="21" style="479" customWidth="1"/>
    <col min="6402" max="6402" width="12.6296296296296" style="479" customWidth="1"/>
    <col min="6403" max="6403" width="21.2592592592593" style="479" customWidth="1"/>
    <col min="6404" max="6406" width="12.6296296296296" style="479" customWidth="1"/>
    <col min="6407" max="6407" width="20.3796296296296" style="479" customWidth="1"/>
    <col min="6408" max="6408" width="12.6296296296296" style="479" customWidth="1"/>
    <col min="6409" max="6409" width="36.1296296296296" style="479" customWidth="1"/>
    <col min="6410" max="6410" width="19.6296296296296" style="479" customWidth="1"/>
    <col min="6411" max="6415" width="12.6296296296296" style="479" customWidth="1"/>
    <col min="6416" max="6416" width="9.12962962962963" style="479" customWidth="1"/>
    <col min="6417" max="6655" width="9" style="479"/>
    <col min="6656" max="6656" width="16.1296296296296" style="479" customWidth="1"/>
    <col min="6657" max="6657" width="21" style="479" customWidth="1"/>
    <col min="6658" max="6658" width="12.6296296296296" style="479" customWidth="1"/>
    <col min="6659" max="6659" width="21.2592592592593" style="479" customWidth="1"/>
    <col min="6660" max="6662" width="12.6296296296296" style="479" customWidth="1"/>
    <col min="6663" max="6663" width="20.3796296296296" style="479" customWidth="1"/>
    <col min="6664" max="6664" width="12.6296296296296" style="479" customWidth="1"/>
    <col min="6665" max="6665" width="36.1296296296296" style="479" customWidth="1"/>
    <col min="6666" max="6666" width="19.6296296296296" style="479" customWidth="1"/>
    <col min="6667" max="6671" width="12.6296296296296" style="479" customWidth="1"/>
    <col min="6672" max="6672" width="9.12962962962963" style="479" customWidth="1"/>
    <col min="6673" max="6911" width="9" style="479"/>
    <col min="6912" max="6912" width="16.1296296296296" style="479" customWidth="1"/>
    <col min="6913" max="6913" width="21" style="479" customWidth="1"/>
    <col min="6914" max="6914" width="12.6296296296296" style="479" customWidth="1"/>
    <col min="6915" max="6915" width="21.2592592592593" style="479" customWidth="1"/>
    <col min="6916" max="6918" width="12.6296296296296" style="479" customWidth="1"/>
    <col min="6919" max="6919" width="20.3796296296296" style="479" customWidth="1"/>
    <col min="6920" max="6920" width="12.6296296296296" style="479" customWidth="1"/>
    <col min="6921" max="6921" width="36.1296296296296" style="479" customWidth="1"/>
    <col min="6922" max="6922" width="19.6296296296296" style="479" customWidth="1"/>
    <col min="6923" max="6927" width="12.6296296296296" style="479" customWidth="1"/>
    <col min="6928" max="6928" width="9.12962962962963" style="479" customWidth="1"/>
    <col min="6929" max="7167" width="9" style="479"/>
    <col min="7168" max="7168" width="16.1296296296296" style="479" customWidth="1"/>
    <col min="7169" max="7169" width="21" style="479" customWidth="1"/>
    <col min="7170" max="7170" width="12.6296296296296" style="479" customWidth="1"/>
    <col min="7171" max="7171" width="21.2592592592593" style="479" customWidth="1"/>
    <col min="7172" max="7174" width="12.6296296296296" style="479" customWidth="1"/>
    <col min="7175" max="7175" width="20.3796296296296" style="479" customWidth="1"/>
    <col min="7176" max="7176" width="12.6296296296296" style="479" customWidth="1"/>
    <col min="7177" max="7177" width="36.1296296296296" style="479" customWidth="1"/>
    <col min="7178" max="7178" width="19.6296296296296" style="479" customWidth="1"/>
    <col min="7179" max="7183" width="12.6296296296296" style="479" customWidth="1"/>
    <col min="7184" max="7184" width="9.12962962962963" style="479" customWidth="1"/>
    <col min="7185" max="7423" width="9" style="479"/>
    <col min="7424" max="7424" width="16.1296296296296" style="479" customWidth="1"/>
    <col min="7425" max="7425" width="21" style="479" customWidth="1"/>
    <col min="7426" max="7426" width="12.6296296296296" style="479" customWidth="1"/>
    <col min="7427" max="7427" width="21.2592592592593" style="479" customWidth="1"/>
    <col min="7428" max="7430" width="12.6296296296296" style="479" customWidth="1"/>
    <col min="7431" max="7431" width="20.3796296296296" style="479" customWidth="1"/>
    <col min="7432" max="7432" width="12.6296296296296" style="479" customWidth="1"/>
    <col min="7433" max="7433" width="36.1296296296296" style="479" customWidth="1"/>
    <col min="7434" max="7434" width="19.6296296296296" style="479" customWidth="1"/>
    <col min="7435" max="7439" width="12.6296296296296" style="479" customWidth="1"/>
    <col min="7440" max="7440" width="9.12962962962963" style="479" customWidth="1"/>
    <col min="7441" max="7679" width="9" style="479"/>
    <col min="7680" max="7680" width="16.1296296296296" style="479" customWidth="1"/>
    <col min="7681" max="7681" width="21" style="479" customWidth="1"/>
    <col min="7682" max="7682" width="12.6296296296296" style="479" customWidth="1"/>
    <col min="7683" max="7683" width="21.2592592592593" style="479" customWidth="1"/>
    <col min="7684" max="7686" width="12.6296296296296" style="479" customWidth="1"/>
    <col min="7687" max="7687" width="20.3796296296296" style="479" customWidth="1"/>
    <col min="7688" max="7688" width="12.6296296296296" style="479" customWidth="1"/>
    <col min="7689" max="7689" width="36.1296296296296" style="479" customWidth="1"/>
    <col min="7690" max="7690" width="19.6296296296296" style="479" customWidth="1"/>
    <col min="7691" max="7695" width="12.6296296296296" style="479" customWidth="1"/>
    <col min="7696" max="7696" width="9.12962962962963" style="479" customWidth="1"/>
    <col min="7697" max="7935" width="9" style="479"/>
    <col min="7936" max="7936" width="16.1296296296296" style="479" customWidth="1"/>
    <col min="7937" max="7937" width="21" style="479" customWidth="1"/>
    <col min="7938" max="7938" width="12.6296296296296" style="479" customWidth="1"/>
    <col min="7939" max="7939" width="21.2592592592593" style="479" customWidth="1"/>
    <col min="7940" max="7942" width="12.6296296296296" style="479" customWidth="1"/>
    <col min="7943" max="7943" width="20.3796296296296" style="479" customWidth="1"/>
    <col min="7944" max="7944" width="12.6296296296296" style="479" customWidth="1"/>
    <col min="7945" max="7945" width="36.1296296296296" style="479" customWidth="1"/>
    <col min="7946" max="7946" width="19.6296296296296" style="479" customWidth="1"/>
    <col min="7947" max="7951" width="12.6296296296296" style="479" customWidth="1"/>
    <col min="7952" max="7952" width="9.12962962962963" style="479" customWidth="1"/>
    <col min="7953" max="8191" width="9" style="479"/>
    <col min="8192" max="8192" width="16.1296296296296" style="479" customWidth="1"/>
    <col min="8193" max="8193" width="21" style="479" customWidth="1"/>
    <col min="8194" max="8194" width="12.6296296296296" style="479" customWidth="1"/>
    <col min="8195" max="8195" width="21.2592592592593" style="479" customWidth="1"/>
    <col min="8196" max="8198" width="12.6296296296296" style="479" customWidth="1"/>
    <col min="8199" max="8199" width="20.3796296296296" style="479" customWidth="1"/>
    <col min="8200" max="8200" width="12.6296296296296" style="479" customWidth="1"/>
    <col min="8201" max="8201" width="36.1296296296296" style="479" customWidth="1"/>
    <col min="8202" max="8202" width="19.6296296296296" style="479" customWidth="1"/>
    <col min="8203" max="8207" width="12.6296296296296" style="479" customWidth="1"/>
    <col min="8208" max="8208" width="9.12962962962963" style="479" customWidth="1"/>
    <col min="8209" max="8447" width="9" style="479"/>
    <col min="8448" max="8448" width="16.1296296296296" style="479" customWidth="1"/>
    <col min="8449" max="8449" width="21" style="479" customWidth="1"/>
    <col min="8450" max="8450" width="12.6296296296296" style="479" customWidth="1"/>
    <col min="8451" max="8451" width="21.2592592592593" style="479" customWidth="1"/>
    <col min="8452" max="8454" width="12.6296296296296" style="479" customWidth="1"/>
    <col min="8455" max="8455" width="20.3796296296296" style="479" customWidth="1"/>
    <col min="8456" max="8456" width="12.6296296296296" style="479" customWidth="1"/>
    <col min="8457" max="8457" width="36.1296296296296" style="479" customWidth="1"/>
    <col min="8458" max="8458" width="19.6296296296296" style="479" customWidth="1"/>
    <col min="8459" max="8463" width="12.6296296296296" style="479" customWidth="1"/>
    <col min="8464" max="8464" width="9.12962962962963" style="479" customWidth="1"/>
    <col min="8465" max="8703" width="9" style="479"/>
    <col min="8704" max="8704" width="16.1296296296296" style="479" customWidth="1"/>
    <col min="8705" max="8705" width="21" style="479" customWidth="1"/>
    <col min="8706" max="8706" width="12.6296296296296" style="479" customWidth="1"/>
    <col min="8707" max="8707" width="21.2592592592593" style="479" customWidth="1"/>
    <col min="8708" max="8710" width="12.6296296296296" style="479" customWidth="1"/>
    <col min="8711" max="8711" width="20.3796296296296" style="479" customWidth="1"/>
    <col min="8712" max="8712" width="12.6296296296296" style="479" customWidth="1"/>
    <col min="8713" max="8713" width="36.1296296296296" style="479" customWidth="1"/>
    <col min="8714" max="8714" width="19.6296296296296" style="479" customWidth="1"/>
    <col min="8715" max="8719" width="12.6296296296296" style="479" customWidth="1"/>
    <col min="8720" max="8720" width="9.12962962962963" style="479" customWidth="1"/>
    <col min="8721" max="8959" width="9" style="479"/>
    <col min="8960" max="8960" width="16.1296296296296" style="479" customWidth="1"/>
    <col min="8961" max="8961" width="21" style="479" customWidth="1"/>
    <col min="8962" max="8962" width="12.6296296296296" style="479" customWidth="1"/>
    <col min="8963" max="8963" width="21.2592592592593" style="479" customWidth="1"/>
    <col min="8964" max="8966" width="12.6296296296296" style="479" customWidth="1"/>
    <col min="8967" max="8967" width="20.3796296296296" style="479" customWidth="1"/>
    <col min="8968" max="8968" width="12.6296296296296" style="479" customWidth="1"/>
    <col min="8969" max="8969" width="36.1296296296296" style="479" customWidth="1"/>
    <col min="8970" max="8970" width="19.6296296296296" style="479" customWidth="1"/>
    <col min="8971" max="8975" width="12.6296296296296" style="479" customWidth="1"/>
    <col min="8976" max="8976" width="9.12962962962963" style="479" customWidth="1"/>
    <col min="8977" max="9215" width="9" style="479"/>
    <col min="9216" max="9216" width="16.1296296296296" style="479" customWidth="1"/>
    <col min="9217" max="9217" width="21" style="479" customWidth="1"/>
    <col min="9218" max="9218" width="12.6296296296296" style="479" customWidth="1"/>
    <col min="9219" max="9219" width="21.2592592592593" style="479" customWidth="1"/>
    <col min="9220" max="9222" width="12.6296296296296" style="479" customWidth="1"/>
    <col min="9223" max="9223" width="20.3796296296296" style="479" customWidth="1"/>
    <col min="9224" max="9224" width="12.6296296296296" style="479" customWidth="1"/>
    <col min="9225" max="9225" width="36.1296296296296" style="479" customWidth="1"/>
    <col min="9226" max="9226" width="19.6296296296296" style="479" customWidth="1"/>
    <col min="9227" max="9231" width="12.6296296296296" style="479" customWidth="1"/>
    <col min="9232" max="9232" width="9.12962962962963" style="479" customWidth="1"/>
    <col min="9233" max="9471" width="9" style="479"/>
    <col min="9472" max="9472" width="16.1296296296296" style="479" customWidth="1"/>
    <col min="9473" max="9473" width="21" style="479" customWidth="1"/>
    <col min="9474" max="9474" width="12.6296296296296" style="479" customWidth="1"/>
    <col min="9475" max="9475" width="21.2592592592593" style="479" customWidth="1"/>
    <col min="9476" max="9478" width="12.6296296296296" style="479" customWidth="1"/>
    <col min="9479" max="9479" width="20.3796296296296" style="479" customWidth="1"/>
    <col min="9480" max="9480" width="12.6296296296296" style="479" customWidth="1"/>
    <col min="9481" max="9481" width="36.1296296296296" style="479" customWidth="1"/>
    <col min="9482" max="9482" width="19.6296296296296" style="479" customWidth="1"/>
    <col min="9483" max="9487" width="12.6296296296296" style="479" customWidth="1"/>
    <col min="9488" max="9488" width="9.12962962962963" style="479" customWidth="1"/>
    <col min="9489" max="9727" width="9" style="479"/>
    <col min="9728" max="9728" width="16.1296296296296" style="479" customWidth="1"/>
    <col min="9729" max="9729" width="21" style="479" customWidth="1"/>
    <col min="9730" max="9730" width="12.6296296296296" style="479" customWidth="1"/>
    <col min="9731" max="9731" width="21.2592592592593" style="479" customWidth="1"/>
    <col min="9732" max="9734" width="12.6296296296296" style="479" customWidth="1"/>
    <col min="9735" max="9735" width="20.3796296296296" style="479" customWidth="1"/>
    <col min="9736" max="9736" width="12.6296296296296" style="479" customWidth="1"/>
    <col min="9737" max="9737" width="36.1296296296296" style="479" customWidth="1"/>
    <col min="9738" max="9738" width="19.6296296296296" style="479" customWidth="1"/>
    <col min="9739" max="9743" width="12.6296296296296" style="479" customWidth="1"/>
    <col min="9744" max="9744" width="9.12962962962963" style="479" customWidth="1"/>
    <col min="9745" max="9983" width="9" style="479"/>
    <col min="9984" max="9984" width="16.1296296296296" style="479" customWidth="1"/>
    <col min="9985" max="9985" width="21" style="479" customWidth="1"/>
    <col min="9986" max="9986" width="12.6296296296296" style="479" customWidth="1"/>
    <col min="9987" max="9987" width="21.2592592592593" style="479" customWidth="1"/>
    <col min="9988" max="9990" width="12.6296296296296" style="479" customWidth="1"/>
    <col min="9991" max="9991" width="20.3796296296296" style="479" customWidth="1"/>
    <col min="9992" max="9992" width="12.6296296296296" style="479" customWidth="1"/>
    <col min="9993" max="9993" width="36.1296296296296" style="479" customWidth="1"/>
    <col min="9994" max="9994" width="19.6296296296296" style="479" customWidth="1"/>
    <col min="9995" max="9999" width="12.6296296296296" style="479" customWidth="1"/>
    <col min="10000" max="10000" width="9.12962962962963" style="479" customWidth="1"/>
    <col min="10001" max="10239" width="9" style="479"/>
    <col min="10240" max="10240" width="16.1296296296296" style="479" customWidth="1"/>
    <col min="10241" max="10241" width="21" style="479" customWidth="1"/>
    <col min="10242" max="10242" width="12.6296296296296" style="479" customWidth="1"/>
    <col min="10243" max="10243" width="21.2592592592593" style="479" customWidth="1"/>
    <col min="10244" max="10246" width="12.6296296296296" style="479" customWidth="1"/>
    <col min="10247" max="10247" width="20.3796296296296" style="479" customWidth="1"/>
    <col min="10248" max="10248" width="12.6296296296296" style="479" customWidth="1"/>
    <col min="10249" max="10249" width="36.1296296296296" style="479" customWidth="1"/>
    <col min="10250" max="10250" width="19.6296296296296" style="479" customWidth="1"/>
    <col min="10251" max="10255" width="12.6296296296296" style="479" customWidth="1"/>
    <col min="10256" max="10256" width="9.12962962962963" style="479" customWidth="1"/>
    <col min="10257" max="10495" width="9" style="479"/>
    <col min="10496" max="10496" width="16.1296296296296" style="479" customWidth="1"/>
    <col min="10497" max="10497" width="21" style="479" customWidth="1"/>
    <col min="10498" max="10498" width="12.6296296296296" style="479" customWidth="1"/>
    <col min="10499" max="10499" width="21.2592592592593" style="479" customWidth="1"/>
    <col min="10500" max="10502" width="12.6296296296296" style="479" customWidth="1"/>
    <col min="10503" max="10503" width="20.3796296296296" style="479" customWidth="1"/>
    <col min="10504" max="10504" width="12.6296296296296" style="479" customWidth="1"/>
    <col min="10505" max="10505" width="36.1296296296296" style="479" customWidth="1"/>
    <col min="10506" max="10506" width="19.6296296296296" style="479" customWidth="1"/>
    <col min="10507" max="10511" width="12.6296296296296" style="479" customWidth="1"/>
    <col min="10512" max="10512" width="9.12962962962963" style="479" customWidth="1"/>
    <col min="10513" max="10751" width="9" style="479"/>
    <col min="10752" max="10752" width="16.1296296296296" style="479" customWidth="1"/>
    <col min="10753" max="10753" width="21" style="479" customWidth="1"/>
    <col min="10754" max="10754" width="12.6296296296296" style="479" customWidth="1"/>
    <col min="10755" max="10755" width="21.2592592592593" style="479" customWidth="1"/>
    <col min="10756" max="10758" width="12.6296296296296" style="479" customWidth="1"/>
    <col min="10759" max="10759" width="20.3796296296296" style="479" customWidth="1"/>
    <col min="10760" max="10760" width="12.6296296296296" style="479" customWidth="1"/>
    <col min="10761" max="10761" width="36.1296296296296" style="479" customWidth="1"/>
    <col min="10762" max="10762" width="19.6296296296296" style="479" customWidth="1"/>
    <col min="10763" max="10767" width="12.6296296296296" style="479" customWidth="1"/>
    <col min="10768" max="10768" width="9.12962962962963" style="479" customWidth="1"/>
    <col min="10769" max="11007" width="9" style="479"/>
    <col min="11008" max="11008" width="16.1296296296296" style="479" customWidth="1"/>
    <col min="11009" max="11009" width="21" style="479" customWidth="1"/>
    <col min="11010" max="11010" width="12.6296296296296" style="479" customWidth="1"/>
    <col min="11011" max="11011" width="21.2592592592593" style="479" customWidth="1"/>
    <col min="11012" max="11014" width="12.6296296296296" style="479" customWidth="1"/>
    <col min="11015" max="11015" width="20.3796296296296" style="479" customWidth="1"/>
    <col min="11016" max="11016" width="12.6296296296296" style="479" customWidth="1"/>
    <col min="11017" max="11017" width="36.1296296296296" style="479" customWidth="1"/>
    <col min="11018" max="11018" width="19.6296296296296" style="479" customWidth="1"/>
    <col min="11019" max="11023" width="12.6296296296296" style="479" customWidth="1"/>
    <col min="11024" max="11024" width="9.12962962962963" style="479" customWidth="1"/>
    <col min="11025" max="11263" width="9" style="479"/>
    <col min="11264" max="11264" width="16.1296296296296" style="479" customWidth="1"/>
    <col min="11265" max="11265" width="21" style="479" customWidth="1"/>
    <col min="11266" max="11266" width="12.6296296296296" style="479" customWidth="1"/>
    <col min="11267" max="11267" width="21.2592592592593" style="479" customWidth="1"/>
    <col min="11268" max="11270" width="12.6296296296296" style="479" customWidth="1"/>
    <col min="11271" max="11271" width="20.3796296296296" style="479" customWidth="1"/>
    <col min="11272" max="11272" width="12.6296296296296" style="479" customWidth="1"/>
    <col min="11273" max="11273" width="36.1296296296296" style="479" customWidth="1"/>
    <col min="11274" max="11274" width="19.6296296296296" style="479" customWidth="1"/>
    <col min="11275" max="11279" width="12.6296296296296" style="479" customWidth="1"/>
    <col min="11280" max="11280" width="9.12962962962963" style="479" customWidth="1"/>
    <col min="11281" max="11519" width="9" style="479"/>
    <col min="11520" max="11520" width="16.1296296296296" style="479" customWidth="1"/>
    <col min="11521" max="11521" width="21" style="479" customWidth="1"/>
    <col min="11522" max="11522" width="12.6296296296296" style="479" customWidth="1"/>
    <col min="11523" max="11523" width="21.2592592592593" style="479" customWidth="1"/>
    <col min="11524" max="11526" width="12.6296296296296" style="479" customWidth="1"/>
    <col min="11527" max="11527" width="20.3796296296296" style="479" customWidth="1"/>
    <col min="11528" max="11528" width="12.6296296296296" style="479" customWidth="1"/>
    <col min="11529" max="11529" width="36.1296296296296" style="479" customWidth="1"/>
    <col min="11530" max="11530" width="19.6296296296296" style="479" customWidth="1"/>
    <col min="11531" max="11535" width="12.6296296296296" style="479" customWidth="1"/>
    <col min="11536" max="11536" width="9.12962962962963" style="479" customWidth="1"/>
    <col min="11537" max="11775" width="9" style="479"/>
    <col min="11776" max="11776" width="16.1296296296296" style="479" customWidth="1"/>
    <col min="11777" max="11777" width="21" style="479" customWidth="1"/>
    <col min="11778" max="11778" width="12.6296296296296" style="479" customWidth="1"/>
    <col min="11779" max="11779" width="21.2592592592593" style="479" customWidth="1"/>
    <col min="11780" max="11782" width="12.6296296296296" style="479" customWidth="1"/>
    <col min="11783" max="11783" width="20.3796296296296" style="479" customWidth="1"/>
    <col min="11784" max="11784" width="12.6296296296296" style="479" customWidth="1"/>
    <col min="11785" max="11785" width="36.1296296296296" style="479" customWidth="1"/>
    <col min="11786" max="11786" width="19.6296296296296" style="479" customWidth="1"/>
    <col min="11787" max="11791" width="12.6296296296296" style="479" customWidth="1"/>
    <col min="11792" max="11792" width="9.12962962962963" style="479" customWidth="1"/>
    <col min="11793" max="12031" width="9" style="479"/>
    <col min="12032" max="12032" width="16.1296296296296" style="479" customWidth="1"/>
    <col min="12033" max="12033" width="21" style="479" customWidth="1"/>
    <col min="12034" max="12034" width="12.6296296296296" style="479" customWidth="1"/>
    <col min="12035" max="12035" width="21.2592592592593" style="479" customWidth="1"/>
    <col min="12036" max="12038" width="12.6296296296296" style="479" customWidth="1"/>
    <col min="12039" max="12039" width="20.3796296296296" style="479" customWidth="1"/>
    <col min="12040" max="12040" width="12.6296296296296" style="479" customWidth="1"/>
    <col min="12041" max="12041" width="36.1296296296296" style="479" customWidth="1"/>
    <col min="12042" max="12042" width="19.6296296296296" style="479" customWidth="1"/>
    <col min="12043" max="12047" width="12.6296296296296" style="479" customWidth="1"/>
    <col min="12048" max="12048" width="9.12962962962963" style="479" customWidth="1"/>
    <col min="12049" max="12287" width="9" style="479"/>
    <col min="12288" max="12288" width="16.1296296296296" style="479" customWidth="1"/>
    <col min="12289" max="12289" width="21" style="479" customWidth="1"/>
    <col min="12290" max="12290" width="12.6296296296296" style="479" customWidth="1"/>
    <col min="12291" max="12291" width="21.2592592592593" style="479" customWidth="1"/>
    <col min="12292" max="12294" width="12.6296296296296" style="479" customWidth="1"/>
    <col min="12295" max="12295" width="20.3796296296296" style="479" customWidth="1"/>
    <col min="12296" max="12296" width="12.6296296296296" style="479" customWidth="1"/>
    <col min="12297" max="12297" width="36.1296296296296" style="479" customWidth="1"/>
    <col min="12298" max="12298" width="19.6296296296296" style="479" customWidth="1"/>
    <col min="12299" max="12303" width="12.6296296296296" style="479" customWidth="1"/>
    <col min="12304" max="12304" width="9.12962962962963" style="479" customWidth="1"/>
    <col min="12305" max="12543" width="9" style="479"/>
    <col min="12544" max="12544" width="16.1296296296296" style="479" customWidth="1"/>
    <col min="12545" max="12545" width="21" style="479" customWidth="1"/>
    <col min="12546" max="12546" width="12.6296296296296" style="479" customWidth="1"/>
    <col min="12547" max="12547" width="21.2592592592593" style="479" customWidth="1"/>
    <col min="12548" max="12550" width="12.6296296296296" style="479" customWidth="1"/>
    <col min="12551" max="12551" width="20.3796296296296" style="479" customWidth="1"/>
    <col min="12552" max="12552" width="12.6296296296296" style="479" customWidth="1"/>
    <col min="12553" max="12553" width="36.1296296296296" style="479" customWidth="1"/>
    <col min="12554" max="12554" width="19.6296296296296" style="479" customWidth="1"/>
    <col min="12555" max="12559" width="12.6296296296296" style="479" customWidth="1"/>
    <col min="12560" max="12560" width="9.12962962962963" style="479" customWidth="1"/>
    <col min="12561" max="12799" width="9" style="479"/>
    <col min="12800" max="12800" width="16.1296296296296" style="479" customWidth="1"/>
    <col min="12801" max="12801" width="21" style="479" customWidth="1"/>
    <col min="12802" max="12802" width="12.6296296296296" style="479" customWidth="1"/>
    <col min="12803" max="12803" width="21.2592592592593" style="479" customWidth="1"/>
    <col min="12804" max="12806" width="12.6296296296296" style="479" customWidth="1"/>
    <col min="12807" max="12807" width="20.3796296296296" style="479" customWidth="1"/>
    <col min="12808" max="12808" width="12.6296296296296" style="479" customWidth="1"/>
    <col min="12809" max="12809" width="36.1296296296296" style="479" customWidth="1"/>
    <col min="12810" max="12810" width="19.6296296296296" style="479" customWidth="1"/>
    <col min="12811" max="12815" width="12.6296296296296" style="479" customWidth="1"/>
    <col min="12816" max="12816" width="9.12962962962963" style="479" customWidth="1"/>
    <col min="12817" max="13055" width="9" style="479"/>
    <col min="13056" max="13056" width="16.1296296296296" style="479" customWidth="1"/>
    <col min="13057" max="13057" width="21" style="479" customWidth="1"/>
    <col min="13058" max="13058" width="12.6296296296296" style="479" customWidth="1"/>
    <col min="13059" max="13059" width="21.2592592592593" style="479" customWidth="1"/>
    <col min="13060" max="13062" width="12.6296296296296" style="479" customWidth="1"/>
    <col min="13063" max="13063" width="20.3796296296296" style="479" customWidth="1"/>
    <col min="13064" max="13064" width="12.6296296296296" style="479" customWidth="1"/>
    <col min="13065" max="13065" width="36.1296296296296" style="479" customWidth="1"/>
    <col min="13066" max="13066" width="19.6296296296296" style="479" customWidth="1"/>
    <col min="13067" max="13071" width="12.6296296296296" style="479" customWidth="1"/>
    <col min="13072" max="13072" width="9.12962962962963" style="479" customWidth="1"/>
    <col min="13073" max="13311" width="9" style="479"/>
    <col min="13312" max="13312" width="16.1296296296296" style="479" customWidth="1"/>
    <col min="13313" max="13313" width="21" style="479" customWidth="1"/>
    <col min="13314" max="13314" width="12.6296296296296" style="479" customWidth="1"/>
    <col min="13315" max="13315" width="21.2592592592593" style="479" customWidth="1"/>
    <col min="13316" max="13318" width="12.6296296296296" style="479" customWidth="1"/>
    <col min="13319" max="13319" width="20.3796296296296" style="479" customWidth="1"/>
    <col min="13320" max="13320" width="12.6296296296296" style="479" customWidth="1"/>
    <col min="13321" max="13321" width="36.1296296296296" style="479" customWidth="1"/>
    <col min="13322" max="13322" width="19.6296296296296" style="479" customWidth="1"/>
    <col min="13323" max="13327" width="12.6296296296296" style="479" customWidth="1"/>
    <col min="13328" max="13328" width="9.12962962962963" style="479" customWidth="1"/>
    <col min="13329" max="13567" width="9" style="479"/>
    <col min="13568" max="13568" width="16.1296296296296" style="479" customWidth="1"/>
    <col min="13569" max="13569" width="21" style="479" customWidth="1"/>
    <col min="13570" max="13570" width="12.6296296296296" style="479" customWidth="1"/>
    <col min="13571" max="13571" width="21.2592592592593" style="479" customWidth="1"/>
    <col min="13572" max="13574" width="12.6296296296296" style="479" customWidth="1"/>
    <col min="13575" max="13575" width="20.3796296296296" style="479" customWidth="1"/>
    <col min="13576" max="13576" width="12.6296296296296" style="479" customWidth="1"/>
    <col min="13577" max="13577" width="36.1296296296296" style="479" customWidth="1"/>
    <col min="13578" max="13578" width="19.6296296296296" style="479" customWidth="1"/>
    <col min="13579" max="13583" width="12.6296296296296" style="479" customWidth="1"/>
    <col min="13584" max="13584" width="9.12962962962963" style="479" customWidth="1"/>
    <col min="13585" max="13823" width="9" style="479"/>
    <col min="13824" max="13824" width="16.1296296296296" style="479" customWidth="1"/>
    <col min="13825" max="13825" width="21" style="479" customWidth="1"/>
    <col min="13826" max="13826" width="12.6296296296296" style="479" customWidth="1"/>
    <col min="13827" max="13827" width="21.2592592592593" style="479" customWidth="1"/>
    <col min="13828" max="13830" width="12.6296296296296" style="479" customWidth="1"/>
    <col min="13831" max="13831" width="20.3796296296296" style="479" customWidth="1"/>
    <col min="13832" max="13832" width="12.6296296296296" style="479" customWidth="1"/>
    <col min="13833" max="13833" width="36.1296296296296" style="479" customWidth="1"/>
    <col min="13834" max="13834" width="19.6296296296296" style="479" customWidth="1"/>
    <col min="13835" max="13839" width="12.6296296296296" style="479" customWidth="1"/>
    <col min="13840" max="13840" width="9.12962962962963" style="479" customWidth="1"/>
    <col min="13841" max="14079" width="9" style="479"/>
    <col min="14080" max="14080" width="16.1296296296296" style="479" customWidth="1"/>
    <col min="14081" max="14081" width="21" style="479" customWidth="1"/>
    <col min="14082" max="14082" width="12.6296296296296" style="479" customWidth="1"/>
    <col min="14083" max="14083" width="21.2592592592593" style="479" customWidth="1"/>
    <col min="14084" max="14086" width="12.6296296296296" style="479" customWidth="1"/>
    <col min="14087" max="14087" width="20.3796296296296" style="479" customWidth="1"/>
    <col min="14088" max="14088" width="12.6296296296296" style="479" customWidth="1"/>
    <col min="14089" max="14089" width="36.1296296296296" style="479" customWidth="1"/>
    <col min="14090" max="14090" width="19.6296296296296" style="479" customWidth="1"/>
    <col min="14091" max="14095" width="12.6296296296296" style="479" customWidth="1"/>
    <col min="14096" max="14096" width="9.12962962962963" style="479" customWidth="1"/>
    <col min="14097" max="14335" width="9" style="479"/>
    <col min="14336" max="14336" width="16.1296296296296" style="479" customWidth="1"/>
    <col min="14337" max="14337" width="21" style="479" customWidth="1"/>
    <col min="14338" max="14338" width="12.6296296296296" style="479" customWidth="1"/>
    <col min="14339" max="14339" width="21.2592592592593" style="479" customWidth="1"/>
    <col min="14340" max="14342" width="12.6296296296296" style="479" customWidth="1"/>
    <col min="14343" max="14343" width="20.3796296296296" style="479" customWidth="1"/>
    <col min="14344" max="14344" width="12.6296296296296" style="479" customWidth="1"/>
    <col min="14345" max="14345" width="36.1296296296296" style="479" customWidth="1"/>
    <col min="14346" max="14346" width="19.6296296296296" style="479" customWidth="1"/>
    <col min="14347" max="14351" width="12.6296296296296" style="479" customWidth="1"/>
    <col min="14352" max="14352" width="9.12962962962963" style="479" customWidth="1"/>
    <col min="14353" max="14591" width="9" style="479"/>
    <col min="14592" max="14592" width="16.1296296296296" style="479" customWidth="1"/>
    <col min="14593" max="14593" width="21" style="479" customWidth="1"/>
    <col min="14594" max="14594" width="12.6296296296296" style="479" customWidth="1"/>
    <col min="14595" max="14595" width="21.2592592592593" style="479" customWidth="1"/>
    <col min="14596" max="14598" width="12.6296296296296" style="479" customWidth="1"/>
    <col min="14599" max="14599" width="20.3796296296296" style="479" customWidth="1"/>
    <col min="14600" max="14600" width="12.6296296296296" style="479" customWidth="1"/>
    <col min="14601" max="14601" width="36.1296296296296" style="479" customWidth="1"/>
    <col min="14602" max="14602" width="19.6296296296296" style="479" customWidth="1"/>
    <col min="14603" max="14607" width="12.6296296296296" style="479" customWidth="1"/>
    <col min="14608" max="14608" width="9.12962962962963" style="479" customWidth="1"/>
    <col min="14609" max="14847" width="9" style="479"/>
    <col min="14848" max="14848" width="16.1296296296296" style="479" customWidth="1"/>
    <col min="14849" max="14849" width="21" style="479" customWidth="1"/>
    <col min="14850" max="14850" width="12.6296296296296" style="479" customWidth="1"/>
    <col min="14851" max="14851" width="21.2592592592593" style="479" customWidth="1"/>
    <col min="14852" max="14854" width="12.6296296296296" style="479" customWidth="1"/>
    <col min="14855" max="14855" width="20.3796296296296" style="479" customWidth="1"/>
    <col min="14856" max="14856" width="12.6296296296296" style="479" customWidth="1"/>
    <col min="14857" max="14857" width="36.1296296296296" style="479" customWidth="1"/>
    <col min="14858" max="14858" width="19.6296296296296" style="479" customWidth="1"/>
    <col min="14859" max="14863" width="12.6296296296296" style="479" customWidth="1"/>
    <col min="14864" max="14864" width="9.12962962962963" style="479" customWidth="1"/>
    <col min="14865" max="15103" width="9" style="479"/>
    <col min="15104" max="15104" width="16.1296296296296" style="479" customWidth="1"/>
    <col min="15105" max="15105" width="21" style="479" customWidth="1"/>
    <col min="15106" max="15106" width="12.6296296296296" style="479" customWidth="1"/>
    <col min="15107" max="15107" width="21.2592592592593" style="479" customWidth="1"/>
    <col min="15108" max="15110" width="12.6296296296296" style="479" customWidth="1"/>
    <col min="15111" max="15111" width="20.3796296296296" style="479" customWidth="1"/>
    <col min="15112" max="15112" width="12.6296296296296" style="479" customWidth="1"/>
    <col min="15113" max="15113" width="36.1296296296296" style="479" customWidth="1"/>
    <col min="15114" max="15114" width="19.6296296296296" style="479" customWidth="1"/>
    <col min="15115" max="15119" width="12.6296296296296" style="479" customWidth="1"/>
    <col min="15120" max="15120" width="9.12962962962963" style="479" customWidth="1"/>
    <col min="15121" max="15359" width="9" style="479"/>
    <col min="15360" max="15360" width="16.1296296296296" style="479" customWidth="1"/>
    <col min="15361" max="15361" width="21" style="479" customWidth="1"/>
    <col min="15362" max="15362" width="12.6296296296296" style="479" customWidth="1"/>
    <col min="15363" max="15363" width="21.2592592592593" style="479" customWidth="1"/>
    <col min="15364" max="15366" width="12.6296296296296" style="479" customWidth="1"/>
    <col min="15367" max="15367" width="20.3796296296296" style="479" customWidth="1"/>
    <col min="15368" max="15368" width="12.6296296296296" style="479" customWidth="1"/>
    <col min="15369" max="15369" width="36.1296296296296" style="479" customWidth="1"/>
    <col min="15370" max="15370" width="19.6296296296296" style="479" customWidth="1"/>
    <col min="15371" max="15375" width="12.6296296296296" style="479" customWidth="1"/>
    <col min="15376" max="15376" width="9.12962962962963" style="479" customWidth="1"/>
    <col min="15377" max="15615" width="9" style="479"/>
    <col min="15616" max="15616" width="16.1296296296296" style="479" customWidth="1"/>
    <col min="15617" max="15617" width="21" style="479" customWidth="1"/>
    <col min="15618" max="15618" width="12.6296296296296" style="479" customWidth="1"/>
    <col min="15619" max="15619" width="21.2592592592593" style="479" customWidth="1"/>
    <col min="15620" max="15622" width="12.6296296296296" style="479" customWidth="1"/>
    <col min="15623" max="15623" width="20.3796296296296" style="479" customWidth="1"/>
    <col min="15624" max="15624" width="12.6296296296296" style="479" customWidth="1"/>
    <col min="15625" max="15625" width="36.1296296296296" style="479" customWidth="1"/>
    <col min="15626" max="15626" width="19.6296296296296" style="479" customWidth="1"/>
    <col min="15627" max="15631" width="12.6296296296296" style="479" customWidth="1"/>
    <col min="15632" max="15632" width="9.12962962962963" style="479" customWidth="1"/>
    <col min="15633" max="15871" width="9" style="479"/>
    <col min="15872" max="15872" width="16.1296296296296" style="479" customWidth="1"/>
    <col min="15873" max="15873" width="21" style="479" customWidth="1"/>
    <col min="15874" max="15874" width="12.6296296296296" style="479" customWidth="1"/>
    <col min="15875" max="15875" width="21.2592592592593" style="479" customWidth="1"/>
    <col min="15876" max="15878" width="12.6296296296296" style="479" customWidth="1"/>
    <col min="15879" max="15879" width="20.3796296296296" style="479" customWidth="1"/>
    <col min="15880" max="15880" width="12.6296296296296" style="479" customWidth="1"/>
    <col min="15881" max="15881" width="36.1296296296296" style="479" customWidth="1"/>
    <col min="15882" max="15882" width="19.6296296296296" style="479" customWidth="1"/>
    <col min="15883" max="15887" width="12.6296296296296" style="479" customWidth="1"/>
    <col min="15888" max="15888" width="9.12962962962963" style="479" customWidth="1"/>
    <col min="15889" max="16127" width="9" style="479"/>
    <col min="16128" max="16128" width="16.1296296296296" style="479" customWidth="1"/>
    <col min="16129" max="16129" width="21" style="479" customWidth="1"/>
    <col min="16130" max="16130" width="12.6296296296296" style="479" customWidth="1"/>
    <col min="16131" max="16131" width="21.2592592592593" style="479" customWidth="1"/>
    <col min="16132" max="16134" width="12.6296296296296" style="479" customWidth="1"/>
    <col min="16135" max="16135" width="20.3796296296296" style="479" customWidth="1"/>
    <col min="16136" max="16136" width="12.6296296296296" style="479" customWidth="1"/>
    <col min="16137" max="16137" width="36.1296296296296" style="479" customWidth="1"/>
    <col min="16138" max="16138" width="19.6296296296296" style="479" customWidth="1"/>
    <col min="16139" max="16143" width="12.6296296296296" style="479" customWidth="1"/>
    <col min="16144" max="16144" width="9.12962962962963" style="479" customWidth="1"/>
    <col min="16145" max="16384" width="9" style="479"/>
  </cols>
  <sheetData>
    <row r="1" ht="31.5" customHeight="1" spans="1:11">
      <c r="A1" s="545" t="s">
        <v>67</v>
      </c>
      <c r="B1" s="545"/>
      <c r="C1" s="545"/>
      <c r="D1" s="545"/>
      <c r="E1" s="545"/>
      <c r="F1" s="545"/>
      <c r="G1" s="545"/>
      <c r="H1" s="545"/>
      <c r="I1" s="545"/>
      <c r="J1" s="545"/>
      <c r="K1" s="545"/>
    </row>
    <row r="2" ht="19.5" customHeight="1" spans="1:15">
      <c r="A2" s="546" t="s">
        <v>68</v>
      </c>
      <c r="B2" s="546" t="s">
        <v>69</v>
      </c>
      <c r="C2" s="546" t="s">
        <v>70</v>
      </c>
      <c r="D2" s="547" t="s">
        <v>71</v>
      </c>
      <c r="E2" s="548"/>
      <c r="F2" s="547" t="s">
        <v>72</v>
      </c>
      <c r="G2" s="548"/>
      <c r="H2" s="547" t="s">
        <v>73</v>
      </c>
      <c r="I2" s="548"/>
      <c r="J2" s="547" t="s">
        <v>74</v>
      </c>
      <c r="K2" s="548"/>
      <c r="M2" s="604" t="s">
        <v>75</v>
      </c>
      <c r="N2" s="604"/>
      <c r="O2" s="604"/>
    </row>
    <row r="3" s="476" customFormat="1" ht="19.5" customHeight="1" spans="1:15">
      <c r="A3" s="549"/>
      <c r="B3" s="549"/>
      <c r="C3" s="549"/>
      <c r="D3" s="223" t="s">
        <v>42</v>
      </c>
      <c r="E3" s="223" t="s">
        <v>43</v>
      </c>
      <c r="F3" s="223" t="s">
        <v>42</v>
      </c>
      <c r="G3" s="223" t="s">
        <v>43</v>
      </c>
      <c r="H3" s="223" t="s">
        <v>42</v>
      </c>
      <c r="I3" s="223" t="s">
        <v>43</v>
      </c>
      <c r="J3" s="223" t="s">
        <v>42</v>
      </c>
      <c r="K3" s="223" t="s">
        <v>43</v>
      </c>
      <c r="M3" s="604"/>
      <c r="N3" s="604"/>
      <c r="O3" s="604"/>
    </row>
    <row r="4" s="478" customFormat="1" ht="18" customHeight="1" spans="1:15">
      <c r="A4" s="550" t="s">
        <v>76</v>
      </c>
      <c r="B4" s="551" t="s">
        <v>77</v>
      </c>
      <c r="C4" s="552" t="s">
        <v>78</v>
      </c>
      <c r="D4" s="553">
        <f>运营收款预算表!$I$3</f>
        <v>1344797.08</v>
      </c>
      <c r="E4" s="553">
        <f>运营收款预算表!$J$3</f>
        <v>0</v>
      </c>
      <c r="F4" s="553">
        <v>1100000</v>
      </c>
      <c r="G4" s="554">
        <v>1555733.01</v>
      </c>
      <c r="H4" s="555">
        <f>电商!$D$13+电商!$D$20</f>
        <v>0</v>
      </c>
      <c r="I4" s="605">
        <v>319579.62</v>
      </c>
      <c r="J4" s="606">
        <f>H4/F4</f>
        <v>0</v>
      </c>
      <c r="K4" s="606">
        <f>I4/G4</f>
        <v>0.205420607485856</v>
      </c>
      <c r="M4" s="604"/>
      <c r="N4" s="604"/>
      <c r="O4" s="604"/>
    </row>
    <row r="5" s="478" customFormat="1" ht="18" customHeight="1" spans="1:15">
      <c r="A5" s="556"/>
      <c r="B5" s="551" t="s">
        <v>79</v>
      </c>
      <c r="C5" s="557"/>
      <c r="D5" s="553">
        <f>运营收款预算表!I4</f>
        <v>188600</v>
      </c>
      <c r="E5" s="553">
        <f>运营收款预算表!$J$4</f>
        <v>272666.15</v>
      </c>
      <c r="F5" s="553">
        <v>160000</v>
      </c>
      <c r="G5" s="554">
        <v>292668.68</v>
      </c>
      <c r="H5" s="558"/>
      <c r="I5" s="607"/>
      <c r="J5" s="608"/>
      <c r="K5" s="608"/>
      <c r="M5" s="604"/>
      <c r="N5" s="604"/>
      <c r="O5" s="604"/>
    </row>
    <row r="6" s="478" customFormat="1" ht="18" customHeight="1" spans="1:15">
      <c r="A6" s="556"/>
      <c r="B6" s="551" t="s">
        <v>80</v>
      </c>
      <c r="C6" s="557"/>
      <c r="D6" s="553">
        <f>运营收款预算表!I5</f>
        <v>114000</v>
      </c>
      <c r="E6" s="553">
        <f>运营收款预算表!$J$5</f>
        <v>115053.26</v>
      </c>
      <c r="F6" s="553">
        <v>110000</v>
      </c>
      <c r="G6" s="554">
        <v>117364.61</v>
      </c>
      <c r="H6" s="558"/>
      <c r="I6" s="607"/>
      <c r="J6" s="608"/>
      <c r="K6" s="608"/>
      <c r="M6" s="604"/>
      <c r="N6" s="604"/>
      <c r="O6" s="604"/>
    </row>
    <row r="7" s="478" customFormat="1" ht="18" customHeight="1" spans="1:15">
      <c r="A7" s="556"/>
      <c r="B7" s="551" t="s">
        <v>81</v>
      </c>
      <c r="C7" s="557"/>
      <c r="D7" s="553"/>
      <c r="E7" s="553">
        <v>64714.78</v>
      </c>
      <c r="F7" s="553"/>
      <c r="G7" s="554"/>
      <c r="H7" s="559"/>
      <c r="I7" s="609"/>
      <c r="J7" s="608"/>
      <c r="K7" s="608"/>
      <c r="M7" s="604"/>
      <c r="N7" s="604"/>
      <c r="O7" s="604"/>
    </row>
    <row r="8" s="478" customFormat="1" ht="18" customHeight="1" spans="1:15">
      <c r="A8" s="560"/>
      <c r="B8" s="561" t="s">
        <v>82</v>
      </c>
      <c r="C8" s="562"/>
      <c r="D8" s="563">
        <f>SUM(D4:D7)</f>
        <v>1647397.08</v>
      </c>
      <c r="E8" s="563">
        <f t="shared" ref="E8:I8" si="0">SUM(E4:E7)</f>
        <v>452434.19</v>
      </c>
      <c r="F8" s="563">
        <f t="shared" si="0"/>
        <v>1370000</v>
      </c>
      <c r="G8" s="563">
        <f t="shared" si="0"/>
        <v>1965766.3</v>
      </c>
      <c r="H8" s="563">
        <f t="shared" si="0"/>
        <v>0</v>
      </c>
      <c r="I8" s="563">
        <f t="shared" si="0"/>
        <v>319579.62</v>
      </c>
      <c r="J8" s="608"/>
      <c r="K8" s="608"/>
      <c r="M8" s="604"/>
      <c r="N8" s="604"/>
      <c r="O8" s="604"/>
    </row>
    <row r="9" s="540" customFormat="1" ht="18" customHeight="1" spans="1:15">
      <c r="A9" s="564" t="s">
        <v>83</v>
      </c>
      <c r="B9" s="565"/>
      <c r="C9" s="566"/>
      <c r="D9" s="567">
        <f>E8/D8</f>
        <v>0.274635784834583</v>
      </c>
      <c r="E9" s="568"/>
      <c r="F9" s="567">
        <f>G8/F8</f>
        <v>1.43486591240876</v>
      </c>
      <c r="G9" s="568"/>
      <c r="H9" s="567" t="e">
        <f>I8/H8</f>
        <v>#DIV/0!</v>
      </c>
      <c r="I9" s="568"/>
      <c r="J9" s="610"/>
      <c r="K9" s="610"/>
      <c r="M9" s="604"/>
      <c r="N9" s="604"/>
      <c r="O9" s="604"/>
    </row>
    <row r="10" s="541" customFormat="1" ht="15.75" customHeight="1" spans="1:9">
      <c r="A10" s="569"/>
      <c r="B10" s="570"/>
      <c r="C10" s="571"/>
      <c r="D10" s="572"/>
      <c r="E10" s="572"/>
      <c r="F10" s="572"/>
      <c r="G10" s="573"/>
      <c r="H10" s="572"/>
      <c r="I10" s="573"/>
    </row>
    <row r="11" s="541" customFormat="1" ht="18.75" customHeight="1" spans="1:13">
      <c r="A11" s="546" t="s">
        <v>68</v>
      </c>
      <c r="B11" s="546" t="s">
        <v>69</v>
      </c>
      <c r="C11" s="546" t="s">
        <v>70</v>
      </c>
      <c r="D11" s="547" t="s">
        <v>71</v>
      </c>
      <c r="E11" s="548"/>
      <c r="F11" s="547" t="s">
        <v>72</v>
      </c>
      <c r="G11" s="548"/>
      <c r="H11" s="547" t="s">
        <v>73</v>
      </c>
      <c r="I11" s="548"/>
      <c r="J11" s="547" t="s">
        <v>74</v>
      </c>
      <c r="K11" s="548"/>
      <c r="M11" s="611"/>
    </row>
    <row r="12" s="477" customFormat="1" ht="18.75" customHeight="1" spans="1:13">
      <c r="A12" s="549"/>
      <c r="B12" s="549"/>
      <c r="C12" s="549"/>
      <c r="D12" s="223" t="s">
        <v>42</v>
      </c>
      <c r="E12" s="223" t="s">
        <v>43</v>
      </c>
      <c r="F12" s="223" t="s">
        <v>42</v>
      </c>
      <c r="G12" s="223" t="s">
        <v>43</v>
      </c>
      <c r="H12" s="223" t="s">
        <v>42</v>
      </c>
      <c r="I12" s="223" t="s">
        <v>43</v>
      </c>
      <c r="J12" s="223" t="s">
        <v>42</v>
      </c>
      <c r="K12" s="223" t="s">
        <v>43</v>
      </c>
      <c r="M12" s="612"/>
    </row>
    <row r="13" s="477" customFormat="1" ht="18" customHeight="1" spans="1:11">
      <c r="A13" s="550" t="s">
        <v>84</v>
      </c>
      <c r="B13" s="574" t="s">
        <v>85</v>
      </c>
      <c r="C13" s="575" t="s">
        <v>78</v>
      </c>
      <c r="D13" s="576">
        <f>运营收款预算表!I9</f>
        <v>120000</v>
      </c>
      <c r="E13" s="553">
        <f>运营收款预算表!$J$9</f>
        <v>116770.2</v>
      </c>
      <c r="F13" s="553">
        <v>100000</v>
      </c>
      <c r="G13" s="554">
        <v>98709.72</v>
      </c>
      <c r="H13" s="577" t="e">
        <f>#REF!</f>
        <v>#REF!</v>
      </c>
      <c r="I13" s="577">
        <v>14113</v>
      </c>
      <c r="J13" s="606" t="e">
        <f>H13/(F13+F15)</f>
        <v>#REF!</v>
      </c>
      <c r="K13" s="606">
        <f>I13/(G13+G15)</f>
        <v>0.0908183211435708</v>
      </c>
    </row>
    <row r="14" s="477" customFormat="1" ht="18" customHeight="1" spans="1:13">
      <c r="A14" s="556"/>
      <c r="B14" s="574" t="s">
        <v>86</v>
      </c>
      <c r="C14" s="578"/>
      <c r="D14" s="579">
        <f>运营收款预算表!I10</f>
        <v>150000</v>
      </c>
      <c r="E14" s="553">
        <f>运营收款预算表!$J$10</f>
        <v>121264.23</v>
      </c>
      <c r="F14" s="553">
        <v>100000</v>
      </c>
      <c r="G14" s="554">
        <v>124456.18</v>
      </c>
      <c r="H14" s="580"/>
      <c r="I14" s="580"/>
      <c r="J14" s="608"/>
      <c r="K14" s="608"/>
      <c r="M14" s="528"/>
    </row>
    <row r="15" s="477" customFormat="1" ht="18" customHeight="1" spans="1:11">
      <c r="A15" s="556"/>
      <c r="B15" s="574" t="s">
        <v>87</v>
      </c>
      <c r="C15" s="578"/>
      <c r="D15" s="579">
        <f>运营收款预算表!I11</f>
        <v>50000</v>
      </c>
      <c r="E15" s="553">
        <f>运营收款预算表!$J$11</f>
        <v>60772.78</v>
      </c>
      <c r="F15" s="553">
        <v>30000</v>
      </c>
      <c r="G15" s="554">
        <v>56688.44</v>
      </c>
      <c r="H15" s="580"/>
      <c r="I15" s="580"/>
      <c r="J15" s="608"/>
      <c r="K15" s="608"/>
    </row>
    <row r="16" s="477" customFormat="1" ht="18" customHeight="1" spans="1:13">
      <c r="A16" s="556"/>
      <c r="B16" s="581" t="s">
        <v>88</v>
      </c>
      <c r="C16" s="578"/>
      <c r="D16" s="553"/>
      <c r="E16" s="553">
        <f>运营收款预算表!$J$13</f>
        <v>1840</v>
      </c>
      <c r="F16" s="553">
        <v>15000</v>
      </c>
      <c r="G16" s="554">
        <v>5672.93</v>
      </c>
      <c r="H16" s="580"/>
      <c r="I16" s="580"/>
      <c r="J16" s="608"/>
      <c r="K16" s="608"/>
      <c r="M16" s="613"/>
    </row>
    <row r="17" s="477" customFormat="1" ht="18" customHeight="1" spans="1:13">
      <c r="A17" s="560"/>
      <c r="B17" s="582" t="s">
        <v>82</v>
      </c>
      <c r="C17" s="583"/>
      <c r="D17" s="584">
        <f>SUM(D13:D16)</f>
        <v>320000</v>
      </c>
      <c r="E17" s="584">
        <f>SUM(E13:E16)</f>
        <v>300647.21</v>
      </c>
      <c r="F17" s="584">
        <f>SUM(F13:F16)</f>
        <v>245000</v>
      </c>
      <c r="G17" s="584">
        <f>SUM(G13:G16)</f>
        <v>285527.27</v>
      </c>
      <c r="H17" s="585"/>
      <c r="I17" s="585"/>
      <c r="J17" s="608"/>
      <c r="K17" s="608"/>
      <c r="M17" s="612"/>
    </row>
    <row r="18" s="541" customFormat="1" ht="15.75" customHeight="1" spans="1:14">
      <c r="A18" s="564" t="s">
        <v>83</v>
      </c>
      <c r="B18" s="565"/>
      <c r="C18" s="566"/>
      <c r="D18" s="567">
        <f>E17/D17</f>
        <v>0.93952253125</v>
      </c>
      <c r="E18" s="568"/>
      <c r="F18" s="567">
        <f>G17/F17</f>
        <v>1.16541742857143</v>
      </c>
      <c r="G18" s="568"/>
      <c r="H18" s="567" t="e">
        <f>I13/H13</f>
        <v>#REF!</v>
      </c>
      <c r="I18" s="568"/>
      <c r="J18" s="610"/>
      <c r="K18" s="610"/>
      <c r="L18" s="614"/>
      <c r="M18" s="611"/>
      <c r="N18" s="615"/>
    </row>
    <row r="19" s="541" customFormat="1" ht="15.75" customHeight="1" spans="1:12">
      <c r="A19" s="569"/>
      <c r="B19" s="570"/>
      <c r="C19" s="570"/>
      <c r="D19" s="586"/>
      <c r="E19" s="586"/>
      <c r="F19" s="586"/>
      <c r="G19" s="587"/>
      <c r="H19" s="586"/>
      <c r="I19" s="587"/>
      <c r="L19" s="614"/>
    </row>
    <row r="20" s="541" customFormat="1" ht="15.75" customHeight="1" spans="1:11">
      <c r="A20" s="546" t="s">
        <v>68</v>
      </c>
      <c r="B20" s="546" t="s">
        <v>69</v>
      </c>
      <c r="C20" s="546" t="s">
        <v>70</v>
      </c>
      <c r="D20" s="547" t="s">
        <v>71</v>
      </c>
      <c r="E20" s="548"/>
      <c r="F20" s="547" t="s">
        <v>89</v>
      </c>
      <c r="G20" s="548"/>
      <c r="H20" s="547" t="s">
        <v>73</v>
      </c>
      <c r="I20" s="548"/>
      <c r="J20" s="547" t="s">
        <v>74</v>
      </c>
      <c r="K20" s="548"/>
    </row>
    <row r="21" s="541" customFormat="1" ht="15.75" customHeight="1" spans="1:11">
      <c r="A21" s="549"/>
      <c r="B21" s="549"/>
      <c r="C21" s="549"/>
      <c r="D21" s="223" t="s">
        <v>42</v>
      </c>
      <c r="E21" s="223" t="s">
        <v>43</v>
      </c>
      <c r="F21" s="223" t="s">
        <v>42</v>
      </c>
      <c r="G21" s="223" t="s">
        <v>43</v>
      </c>
      <c r="H21" s="223" t="s">
        <v>42</v>
      </c>
      <c r="I21" s="223" t="s">
        <v>43</v>
      </c>
      <c r="J21" s="223" t="s">
        <v>42</v>
      </c>
      <c r="K21" s="223" t="s">
        <v>43</v>
      </c>
    </row>
    <row r="22" s="477" customFormat="1" ht="15.75" customHeight="1" spans="1:11">
      <c r="A22" s="550" t="s">
        <v>90</v>
      </c>
      <c r="B22" s="581" t="s">
        <v>91</v>
      </c>
      <c r="C22" s="588" t="s">
        <v>78</v>
      </c>
      <c r="D22" s="579">
        <f>运营收款预算表!I15</f>
        <v>0</v>
      </c>
      <c r="E22" s="553">
        <f>运营收款预算表!$J$15</f>
        <v>0</v>
      </c>
      <c r="F22" s="553">
        <v>300000</v>
      </c>
      <c r="G22" s="554">
        <v>251043.42</v>
      </c>
      <c r="H22" s="589">
        <v>20000</v>
      </c>
      <c r="I22" s="589">
        <v>22827.76</v>
      </c>
      <c r="J22" s="616">
        <f>H22/F22</f>
        <v>0.0666666666666667</v>
      </c>
      <c r="K22" s="616">
        <f>I22/G22</f>
        <v>0.090931520929726</v>
      </c>
    </row>
    <row r="23" s="477" customFormat="1" ht="15.75" customHeight="1" spans="1:11">
      <c r="A23" s="556"/>
      <c r="B23" s="581" t="s">
        <v>92</v>
      </c>
      <c r="C23" s="590"/>
      <c r="D23" s="579">
        <f>运营收款预算表!I16</f>
        <v>160000</v>
      </c>
      <c r="E23" s="553">
        <f>运营收款预算表!$J$16</f>
        <v>0</v>
      </c>
      <c r="F23" s="553">
        <v>250000</v>
      </c>
      <c r="G23" s="554">
        <v>149165.8</v>
      </c>
      <c r="H23" s="589"/>
      <c r="I23" s="617"/>
      <c r="J23" s="581"/>
      <c r="K23" s="581"/>
    </row>
    <row r="24" s="477" customFormat="1" ht="15.75" customHeight="1" spans="1:11">
      <c r="A24" s="560"/>
      <c r="B24" s="582" t="s">
        <v>82</v>
      </c>
      <c r="C24" s="582"/>
      <c r="D24" s="563">
        <f>SUM(D22:D23)</f>
        <v>160000</v>
      </c>
      <c r="E24" s="563">
        <f t="shared" ref="E24:G24" si="1">SUM(E22:E23)</f>
        <v>0</v>
      </c>
      <c r="F24" s="563">
        <f t="shared" si="1"/>
        <v>550000</v>
      </c>
      <c r="G24" s="563">
        <f t="shared" si="1"/>
        <v>400209.22</v>
      </c>
      <c r="H24" s="563">
        <f t="shared" ref="H24" si="2">SUM(H22:H23)</f>
        <v>20000</v>
      </c>
      <c r="I24" s="563">
        <f t="shared" ref="I24" si="3">SUM(I22:I23)</f>
        <v>22827.76</v>
      </c>
      <c r="J24" s="581"/>
      <c r="K24" s="581"/>
    </row>
    <row r="25" s="541" customFormat="1" ht="15.75" customHeight="1" spans="1:11">
      <c r="A25" s="564" t="s">
        <v>83</v>
      </c>
      <c r="B25" s="565"/>
      <c r="C25" s="566"/>
      <c r="D25" s="567">
        <f>E24/D24</f>
        <v>0</v>
      </c>
      <c r="E25" s="568"/>
      <c r="F25" s="567">
        <f>G24/F24</f>
        <v>0.727653127272727</v>
      </c>
      <c r="G25" s="568"/>
      <c r="H25" s="567">
        <f>I24/H24</f>
        <v>1.141388</v>
      </c>
      <c r="I25" s="568"/>
      <c r="J25" s="581"/>
      <c r="K25" s="581"/>
    </row>
    <row r="26" s="541" customFormat="1" ht="15.75" customHeight="1" spans="1:9">
      <c r="A26" s="569"/>
      <c r="B26" s="570"/>
      <c r="C26" s="570"/>
      <c r="D26" s="572"/>
      <c r="E26" s="572"/>
      <c r="F26" s="572"/>
      <c r="G26" s="587"/>
      <c r="H26" s="572"/>
      <c r="I26" s="587"/>
    </row>
    <row r="27" s="541" customFormat="1" ht="15.75" customHeight="1" spans="1:5">
      <c r="A27" s="546" t="s">
        <v>68</v>
      </c>
      <c r="B27" s="546" t="s">
        <v>69</v>
      </c>
      <c r="C27" s="546" t="s">
        <v>70</v>
      </c>
      <c r="D27" s="547" t="s">
        <v>71</v>
      </c>
      <c r="E27" s="548"/>
    </row>
    <row r="28" s="541" customFormat="1" ht="15.75" customHeight="1" spans="1:5">
      <c r="A28" s="549"/>
      <c r="B28" s="549"/>
      <c r="C28" s="549"/>
      <c r="D28" s="223" t="s">
        <v>42</v>
      </c>
      <c r="E28" s="223" t="s">
        <v>43</v>
      </c>
    </row>
    <row r="29" ht="15.75" customHeight="1" spans="1:9">
      <c r="A29" s="591" t="s">
        <v>93</v>
      </c>
      <c r="B29" s="592" t="s">
        <v>94</v>
      </c>
      <c r="C29" s="494" t="s">
        <v>78</v>
      </c>
      <c r="D29" s="529">
        <f>运营收款预算表!I28</f>
        <v>0</v>
      </c>
      <c r="E29" s="529">
        <f>运营收款预算表!$J$28</f>
        <v>0</v>
      </c>
      <c r="F29" s="479"/>
      <c r="G29" s="479"/>
      <c r="H29" s="479"/>
      <c r="I29" s="479"/>
    </row>
    <row r="30" ht="15.75" customHeight="1" spans="1:9">
      <c r="A30" s="593" t="s">
        <v>83</v>
      </c>
      <c r="B30" s="594"/>
      <c r="C30" s="595"/>
      <c r="D30" s="567" t="e">
        <f>E29/D29</f>
        <v>#DIV/0!</v>
      </c>
      <c r="E30" s="568"/>
      <c r="F30" s="479"/>
      <c r="G30" s="479"/>
      <c r="H30" s="479"/>
      <c r="I30" s="479"/>
    </row>
    <row r="31" s="542" customFormat="1" ht="15.75" customHeight="1" spans="1:9">
      <c r="A31" s="569"/>
      <c r="B31" s="569"/>
      <c r="C31" s="596"/>
      <c r="D31" s="586"/>
      <c r="E31" s="586"/>
      <c r="F31" s="586"/>
      <c r="G31" s="587"/>
      <c r="H31" s="586"/>
      <c r="I31" s="587"/>
    </row>
    <row r="32" s="542" customFormat="1" ht="15.75" customHeight="1" spans="1:9">
      <c r="A32" s="546" t="s">
        <v>68</v>
      </c>
      <c r="B32" s="546" t="s">
        <v>69</v>
      </c>
      <c r="C32" s="546" t="s">
        <v>70</v>
      </c>
      <c r="D32" s="547" t="s">
        <v>71</v>
      </c>
      <c r="E32" s="548"/>
      <c r="F32" s="547" t="s">
        <v>95</v>
      </c>
      <c r="G32" s="548"/>
      <c r="H32" s="547" t="s">
        <v>96</v>
      </c>
      <c r="I32" s="548"/>
    </row>
    <row r="33" s="542" customFormat="1" ht="15.75" customHeight="1" spans="1:9">
      <c r="A33" s="549"/>
      <c r="B33" s="549"/>
      <c r="C33" s="549"/>
      <c r="D33" s="223" t="s">
        <v>42</v>
      </c>
      <c r="E33" s="223" t="s">
        <v>43</v>
      </c>
      <c r="F33" s="223" t="s">
        <v>42</v>
      </c>
      <c r="G33" s="223" t="s">
        <v>43</v>
      </c>
      <c r="H33" s="223" t="s">
        <v>42</v>
      </c>
      <c r="I33" s="223" t="s">
        <v>43</v>
      </c>
    </row>
    <row r="34" ht="15.75" customHeight="1" spans="1:9">
      <c r="A34" s="507" t="s">
        <v>97</v>
      </c>
      <c r="B34" s="491" t="s">
        <v>98</v>
      </c>
      <c r="C34" s="590" t="s">
        <v>78</v>
      </c>
      <c r="D34" s="597">
        <f ca="1">线下门店收款预算表!$G$31</f>
        <v>0</v>
      </c>
      <c r="E34" s="527">
        <f>运营收款预算表!$J$29</f>
        <v>0</v>
      </c>
      <c r="F34" s="553">
        <f>线下销售部!$C$31</f>
        <v>329665.2</v>
      </c>
      <c r="G34" s="553">
        <f>线下销售部!$D$31</f>
        <v>380050.01</v>
      </c>
      <c r="H34" s="598" t="e">
        <f ca="1">F34/D34</f>
        <v>#DIV/0!</v>
      </c>
      <c r="I34" s="598" t="e">
        <f>G34/E34</f>
        <v>#DIV/0!</v>
      </c>
    </row>
    <row r="35" ht="15.75" customHeight="1" spans="1:9">
      <c r="A35" s="593" t="s">
        <v>83</v>
      </c>
      <c r="B35" s="594"/>
      <c r="C35" s="595"/>
      <c r="D35" s="599" t="e">
        <f ca="1">E34/D34</f>
        <v>#DIV/0!</v>
      </c>
      <c r="E35" s="600"/>
      <c r="F35" s="601">
        <f>G34/F34</f>
        <v>1.15283630179952</v>
      </c>
      <c r="G35" s="602"/>
      <c r="H35" s="603"/>
      <c r="I35" s="603"/>
    </row>
  </sheetData>
  <mergeCells count="66">
    <mergeCell ref="A1:K1"/>
    <mergeCell ref="D2:E2"/>
    <mergeCell ref="F2:G2"/>
    <mergeCell ref="H2:I2"/>
    <mergeCell ref="J2:K2"/>
    <mergeCell ref="A9:C9"/>
    <mergeCell ref="D9:E9"/>
    <mergeCell ref="F9:G9"/>
    <mergeCell ref="H9:I9"/>
    <mergeCell ref="D11:E11"/>
    <mergeCell ref="F11:G11"/>
    <mergeCell ref="H11:I11"/>
    <mergeCell ref="J11:K11"/>
    <mergeCell ref="A18:C18"/>
    <mergeCell ref="D18:E18"/>
    <mergeCell ref="F18:G18"/>
    <mergeCell ref="H18:I18"/>
    <mergeCell ref="D20:E20"/>
    <mergeCell ref="F20:G20"/>
    <mergeCell ref="H20:I20"/>
    <mergeCell ref="J20:K20"/>
    <mergeCell ref="A25:C25"/>
    <mergeCell ref="D25:E25"/>
    <mergeCell ref="F25:G25"/>
    <mergeCell ref="H25:I25"/>
    <mergeCell ref="D27:E27"/>
    <mergeCell ref="A30:C30"/>
    <mergeCell ref="D30:E30"/>
    <mergeCell ref="D32:E32"/>
    <mergeCell ref="F32:G32"/>
    <mergeCell ref="H32:I32"/>
    <mergeCell ref="A35:C35"/>
    <mergeCell ref="D35:E35"/>
    <mergeCell ref="F35:G35"/>
    <mergeCell ref="A2:A3"/>
    <mergeCell ref="A4:A8"/>
    <mergeCell ref="A11:A12"/>
    <mergeCell ref="A13:A17"/>
    <mergeCell ref="A20:A21"/>
    <mergeCell ref="A22:A24"/>
    <mergeCell ref="A27:A28"/>
    <mergeCell ref="A32:A33"/>
    <mergeCell ref="B2:B3"/>
    <mergeCell ref="B11:B12"/>
    <mergeCell ref="B20:B21"/>
    <mergeCell ref="B27:B28"/>
    <mergeCell ref="B32:B33"/>
    <mergeCell ref="C2:C3"/>
    <mergeCell ref="C4:C8"/>
    <mergeCell ref="C11:C12"/>
    <mergeCell ref="C13:C17"/>
    <mergeCell ref="C20:C21"/>
    <mergeCell ref="C22:C23"/>
    <mergeCell ref="C27:C28"/>
    <mergeCell ref="C32:C33"/>
    <mergeCell ref="H4:H7"/>
    <mergeCell ref="H13:H17"/>
    <mergeCell ref="H34:H35"/>
    <mergeCell ref="I4:I7"/>
    <mergeCell ref="I13:I17"/>
    <mergeCell ref="I34:I35"/>
    <mergeCell ref="J4:J9"/>
    <mergeCell ref="J13:J18"/>
    <mergeCell ref="K4:K9"/>
    <mergeCell ref="K13:K18"/>
    <mergeCell ref="M2:O9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D14" sqref="D14"/>
    </sheetView>
  </sheetViews>
  <sheetFormatPr defaultColWidth="9" defaultRowHeight="14.4"/>
  <cols>
    <col min="1" max="1" width="13" style="479" customWidth="1"/>
    <col min="2" max="3" width="8.5" style="479" customWidth="1"/>
    <col min="4" max="4" width="27.6296296296296" style="480" customWidth="1"/>
    <col min="5" max="5" width="6.75925925925926" style="480" customWidth="1"/>
    <col min="6" max="6" width="11.7592592592593" style="479" customWidth="1"/>
    <col min="7" max="7" width="12.6296296296296" style="479" customWidth="1"/>
    <col min="8" max="8" width="10.1296296296296" style="479" customWidth="1"/>
    <col min="9" max="9" width="14.8796296296296" style="481" customWidth="1"/>
    <col min="10" max="10" width="15.1296296296296" style="481" customWidth="1"/>
    <col min="11" max="11" width="17.5555555555556" style="481" customWidth="1"/>
    <col min="12" max="12" width="8" style="482" customWidth="1"/>
    <col min="13" max="13" width="12.6296296296296" style="483" customWidth="1"/>
    <col min="14" max="14" width="36.1296296296296" style="479" customWidth="1"/>
    <col min="15" max="15" width="19.6296296296296" style="479" customWidth="1"/>
    <col min="16" max="20" width="12.6296296296296" style="479" customWidth="1"/>
    <col min="21" max="21" width="9.12962962962963" style="479" customWidth="1"/>
    <col min="22" max="260" width="9" style="479"/>
    <col min="261" max="261" width="16.1296296296296" style="479" customWidth="1"/>
    <col min="262" max="262" width="21" style="479" customWidth="1"/>
    <col min="263" max="263" width="12.6296296296296" style="479" customWidth="1"/>
    <col min="264" max="264" width="21.2592592592593" style="479" customWidth="1"/>
    <col min="265" max="267" width="12.6296296296296" style="479" customWidth="1"/>
    <col min="268" max="268" width="20.3796296296296" style="479" customWidth="1"/>
    <col min="269" max="269" width="12.6296296296296" style="479" customWidth="1"/>
    <col min="270" max="270" width="36.1296296296296" style="479" customWidth="1"/>
    <col min="271" max="271" width="19.6296296296296" style="479" customWidth="1"/>
    <col min="272" max="276" width="12.6296296296296" style="479" customWidth="1"/>
    <col min="277" max="277" width="9.12962962962963" style="479" customWidth="1"/>
    <col min="278" max="516" width="9" style="479"/>
    <col min="517" max="517" width="16.1296296296296" style="479" customWidth="1"/>
    <col min="518" max="518" width="21" style="479" customWidth="1"/>
    <col min="519" max="519" width="12.6296296296296" style="479" customWidth="1"/>
    <col min="520" max="520" width="21.2592592592593" style="479" customWidth="1"/>
    <col min="521" max="523" width="12.6296296296296" style="479" customWidth="1"/>
    <col min="524" max="524" width="20.3796296296296" style="479" customWidth="1"/>
    <col min="525" max="525" width="12.6296296296296" style="479" customWidth="1"/>
    <col min="526" max="526" width="36.1296296296296" style="479" customWidth="1"/>
    <col min="527" max="527" width="19.6296296296296" style="479" customWidth="1"/>
    <col min="528" max="532" width="12.6296296296296" style="479" customWidth="1"/>
    <col min="533" max="533" width="9.12962962962963" style="479" customWidth="1"/>
    <col min="534" max="772" width="9" style="479"/>
    <col min="773" max="773" width="16.1296296296296" style="479" customWidth="1"/>
    <col min="774" max="774" width="21" style="479" customWidth="1"/>
    <col min="775" max="775" width="12.6296296296296" style="479" customWidth="1"/>
    <col min="776" max="776" width="21.2592592592593" style="479" customWidth="1"/>
    <col min="777" max="779" width="12.6296296296296" style="479" customWidth="1"/>
    <col min="780" max="780" width="20.3796296296296" style="479" customWidth="1"/>
    <col min="781" max="781" width="12.6296296296296" style="479" customWidth="1"/>
    <col min="782" max="782" width="36.1296296296296" style="479" customWidth="1"/>
    <col min="783" max="783" width="19.6296296296296" style="479" customWidth="1"/>
    <col min="784" max="788" width="12.6296296296296" style="479" customWidth="1"/>
    <col min="789" max="789" width="9.12962962962963" style="479" customWidth="1"/>
    <col min="790" max="1028" width="9" style="479"/>
    <col min="1029" max="1029" width="16.1296296296296" style="479" customWidth="1"/>
    <col min="1030" max="1030" width="21" style="479" customWidth="1"/>
    <col min="1031" max="1031" width="12.6296296296296" style="479" customWidth="1"/>
    <col min="1032" max="1032" width="21.2592592592593" style="479" customWidth="1"/>
    <col min="1033" max="1035" width="12.6296296296296" style="479" customWidth="1"/>
    <col min="1036" max="1036" width="20.3796296296296" style="479" customWidth="1"/>
    <col min="1037" max="1037" width="12.6296296296296" style="479" customWidth="1"/>
    <col min="1038" max="1038" width="36.1296296296296" style="479" customWidth="1"/>
    <col min="1039" max="1039" width="19.6296296296296" style="479" customWidth="1"/>
    <col min="1040" max="1044" width="12.6296296296296" style="479" customWidth="1"/>
    <col min="1045" max="1045" width="9.12962962962963" style="479" customWidth="1"/>
    <col min="1046" max="1284" width="9" style="479"/>
    <col min="1285" max="1285" width="16.1296296296296" style="479" customWidth="1"/>
    <col min="1286" max="1286" width="21" style="479" customWidth="1"/>
    <col min="1287" max="1287" width="12.6296296296296" style="479" customWidth="1"/>
    <col min="1288" max="1288" width="21.2592592592593" style="479" customWidth="1"/>
    <col min="1289" max="1291" width="12.6296296296296" style="479" customWidth="1"/>
    <col min="1292" max="1292" width="20.3796296296296" style="479" customWidth="1"/>
    <col min="1293" max="1293" width="12.6296296296296" style="479" customWidth="1"/>
    <col min="1294" max="1294" width="36.1296296296296" style="479" customWidth="1"/>
    <col min="1295" max="1295" width="19.6296296296296" style="479" customWidth="1"/>
    <col min="1296" max="1300" width="12.6296296296296" style="479" customWidth="1"/>
    <col min="1301" max="1301" width="9.12962962962963" style="479" customWidth="1"/>
    <col min="1302" max="1540" width="9" style="479"/>
    <col min="1541" max="1541" width="16.1296296296296" style="479" customWidth="1"/>
    <col min="1542" max="1542" width="21" style="479" customWidth="1"/>
    <col min="1543" max="1543" width="12.6296296296296" style="479" customWidth="1"/>
    <col min="1544" max="1544" width="21.2592592592593" style="479" customWidth="1"/>
    <col min="1545" max="1547" width="12.6296296296296" style="479" customWidth="1"/>
    <col min="1548" max="1548" width="20.3796296296296" style="479" customWidth="1"/>
    <col min="1549" max="1549" width="12.6296296296296" style="479" customWidth="1"/>
    <col min="1550" max="1550" width="36.1296296296296" style="479" customWidth="1"/>
    <col min="1551" max="1551" width="19.6296296296296" style="479" customWidth="1"/>
    <col min="1552" max="1556" width="12.6296296296296" style="479" customWidth="1"/>
    <col min="1557" max="1557" width="9.12962962962963" style="479" customWidth="1"/>
    <col min="1558" max="1796" width="9" style="479"/>
    <col min="1797" max="1797" width="16.1296296296296" style="479" customWidth="1"/>
    <col min="1798" max="1798" width="21" style="479" customWidth="1"/>
    <col min="1799" max="1799" width="12.6296296296296" style="479" customWidth="1"/>
    <col min="1800" max="1800" width="21.2592592592593" style="479" customWidth="1"/>
    <col min="1801" max="1803" width="12.6296296296296" style="479" customWidth="1"/>
    <col min="1804" max="1804" width="20.3796296296296" style="479" customWidth="1"/>
    <col min="1805" max="1805" width="12.6296296296296" style="479" customWidth="1"/>
    <col min="1806" max="1806" width="36.1296296296296" style="479" customWidth="1"/>
    <col min="1807" max="1807" width="19.6296296296296" style="479" customWidth="1"/>
    <col min="1808" max="1812" width="12.6296296296296" style="479" customWidth="1"/>
    <col min="1813" max="1813" width="9.12962962962963" style="479" customWidth="1"/>
    <col min="1814" max="2052" width="9" style="479"/>
    <col min="2053" max="2053" width="16.1296296296296" style="479" customWidth="1"/>
    <col min="2054" max="2054" width="21" style="479" customWidth="1"/>
    <col min="2055" max="2055" width="12.6296296296296" style="479" customWidth="1"/>
    <col min="2056" max="2056" width="21.2592592592593" style="479" customWidth="1"/>
    <col min="2057" max="2059" width="12.6296296296296" style="479" customWidth="1"/>
    <col min="2060" max="2060" width="20.3796296296296" style="479" customWidth="1"/>
    <col min="2061" max="2061" width="12.6296296296296" style="479" customWidth="1"/>
    <col min="2062" max="2062" width="36.1296296296296" style="479" customWidth="1"/>
    <col min="2063" max="2063" width="19.6296296296296" style="479" customWidth="1"/>
    <col min="2064" max="2068" width="12.6296296296296" style="479" customWidth="1"/>
    <col min="2069" max="2069" width="9.12962962962963" style="479" customWidth="1"/>
    <col min="2070" max="2308" width="9" style="479"/>
    <col min="2309" max="2309" width="16.1296296296296" style="479" customWidth="1"/>
    <col min="2310" max="2310" width="21" style="479" customWidth="1"/>
    <col min="2311" max="2311" width="12.6296296296296" style="479" customWidth="1"/>
    <col min="2312" max="2312" width="21.2592592592593" style="479" customWidth="1"/>
    <col min="2313" max="2315" width="12.6296296296296" style="479" customWidth="1"/>
    <col min="2316" max="2316" width="20.3796296296296" style="479" customWidth="1"/>
    <col min="2317" max="2317" width="12.6296296296296" style="479" customWidth="1"/>
    <col min="2318" max="2318" width="36.1296296296296" style="479" customWidth="1"/>
    <col min="2319" max="2319" width="19.6296296296296" style="479" customWidth="1"/>
    <col min="2320" max="2324" width="12.6296296296296" style="479" customWidth="1"/>
    <col min="2325" max="2325" width="9.12962962962963" style="479" customWidth="1"/>
    <col min="2326" max="2564" width="9" style="479"/>
    <col min="2565" max="2565" width="16.1296296296296" style="479" customWidth="1"/>
    <col min="2566" max="2566" width="21" style="479" customWidth="1"/>
    <col min="2567" max="2567" width="12.6296296296296" style="479" customWidth="1"/>
    <col min="2568" max="2568" width="21.2592592592593" style="479" customWidth="1"/>
    <col min="2569" max="2571" width="12.6296296296296" style="479" customWidth="1"/>
    <col min="2572" max="2572" width="20.3796296296296" style="479" customWidth="1"/>
    <col min="2573" max="2573" width="12.6296296296296" style="479" customWidth="1"/>
    <col min="2574" max="2574" width="36.1296296296296" style="479" customWidth="1"/>
    <col min="2575" max="2575" width="19.6296296296296" style="479" customWidth="1"/>
    <col min="2576" max="2580" width="12.6296296296296" style="479" customWidth="1"/>
    <col min="2581" max="2581" width="9.12962962962963" style="479" customWidth="1"/>
    <col min="2582" max="2820" width="9" style="479"/>
    <col min="2821" max="2821" width="16.1296296296296" style="479" customWidth="1"/>
    <col min="2822" max="2822" width="21" style="479" customWidth="1"/>
    <col min="2823" max="2823" width="12.6296296296296" style="479" customWidth="1"/>
    <col min="2824" max="2824" width="21.2592592592593" style="479" customWidth="1"/>
    <col min="2825" max="2827" width="12.6296296296296" style="479" customWidth="1"/>
    <col min="2828" max="2828" width="20.3796296296296" style="479" customWidth="1"/>
    <col min="2829" max="2829" width="12.6296296296296" style="479" customWidth="1"/>
    <col min="2830" max="2830" width="36.1296296296296" style="479" customWidth="1"/>
    <col min="2831" max="2831" width="19.6296296296296" style="479" customWidth="1"/>
    <col min="2832" max="2836" width="12.6296296296296" style="479" customWidth="1"/>
    <col min="2837" max="2837" width="9.12962962962963" style="479" customWidth="1"/>
    <col min="2838" max="3076" width="9" style="479"/>
    <col min="3077" max="3077" width="16.1296296296296" style="479" customWidth="1"/>
    <col min="3078" max="3078" width="21" style="479" customWidth="1"/>
    <col min="3079" max="3079" width="12.6296296296296" style="479" customWidth="1"/>
    <col min="3080" max="3080" width="21.2592592592593" style="479" customWidth="1"/>
    <col min="3081" max="3083" width="12.6296296296296" style="479" customWidth="1"/>
    <col min="3084" max="3084" width="20.3796296296296" style="479" customWidth="1"/>
    <col min="3085" max="3085" width="12.6296296296296" style="479" customWidth="1"/>
    <col min="3086" max="3086" width="36.1296296296296" style="479" customWidth="1"/>
    <col min="3087" max="3087" width="19.6296296296296" style="479" customWidth="1"/>
    <col min="3088" max="3092" width="12.6296296296296" style="479" customWidth="1"/>
    <col min="3093" max="3093" width="9.12962962962963" style="479" customWidth="1"/>
    <col min="3094" max="3332" width="9" style="479"/>
    <col min="3333" max="3333" width="16.1296296296296" style="479" customWidth="1"/>
    <col min="3334" max="3334" width="21" style="479" customWidth="1"/>
    <col min="3335" max="3335" width="12.6296296296296" style="479" customWidth="1"/>
    <col min="3336" max="3336" width="21.2592592592593" style="479" customWidth="1"/>
    <col min="3337" max="3339" width="12.6296296296296" style="479" customWidth="1"/>
    <col min="3340" max="3340" width="20.3796296296296" style="479" customWidth="1"/>
    <col min="3341" max="3341" width="12.6296296296296" style="479" customWidth="1"/>
    <col min="3342" max="3342" width="36.1296296296296" style="479" customWidth="1"/>
    <col min="3343" max="3343" width="19.6296296296296" style="479" customWidth="1"/>
    <col min="3344" max="3348" width="12.6296296296296" style="479" customWidth="1"/>
    <col min="3349" max="3349" width="9.12962962962963" style="479" customWidth="1"/>
    <col min="3350" max="3588" width="9" style="479"/>
    <col min="3589" max="3589" width="16.1296296296296" style="479" customWidth="1"/>
    <col min="3590" max="3590" width="21" style="479" customWidth="1"/>
    <col min="3591" max="3591" width="12.6296296296296" style="479" customWidth="1"/>
    <col min="3592" max="3592" width="21.2592592592593" style="479" customWidth="1"/>
    <col min="3593" max="3595" width="12.6296296296296" style="479" customWidth="1"/>
    <col min="3596" max="3596" width="20.3796296296296" style="479" customWidth="1"/>
    <col min="3597" max="3597" width="12.6296296296296" style="479" customWidth="1"/>
    <col min="3598" max="3598" width="36.1296296296296" style="479" customWidth="1"/>
    <col min="3599" max="3599" width="19.6296296296296" style="479" customWidth="1"/>
    <col min="3600" max="3604" width="12.6296296296296" style="479" customWidth="1"/>
    <col min="3605" max="3605" width="9.12962962962963" style="479" customWidth="1"/>
    <col min="3606" max="3844" width="9" style="479"/>
    <col min="3845" max="3845" width="16.1296296296296" style="479" customWidth="1"/>
    <col min="3846" max="3846" width="21" style="479" customWidth="1"/>
    <col min="3847" max="3847" width="12.6296296296296" style="479" customWidth="1"/>
    <col min="3848" max="3848" width="21.2592592592593" style="479" customWidth="1"/>
    <col min="3849" max="3851" width="12.6296296296296" style="479" customWidth="1"/>
    <col min="3852" max="3852" width="20.3796296296296" style="479" customWidth="1"/>
    <col min="3853" max="3853" width="12.6296296296296" style="479" customWidth="1"/>
    <col min="3854" max="3854" width="36.1296296296296" style="479" customWidth="1"/>
    <col min="3855" max="3855" width="19.6296296296296" style="479" customWidth="1"/>
    <col min="3856" max="3860" width="12.6296296296296" style="479" customWidth="1"/>
    <col min="3861" max="3861" width="9.12962962962963" style="479" customWidth="1"/>
    <col min="3862" max="4100" width="9" style="479"/>
    <col min="4101" max="4101" width="16.1296296296296" style="479" customWidth="1"/>
    <col min="4102" max="4102" width="21" style="479" customWidth="1"/>
    <col min="4103" max="4103" width="12.6296296296296" style="479" customWidth="1"/>
    <col min="4104" max="4104" width="21.2592592592593" style="479" customWidth="1"/>
    <col min="4105" max="4107" width="12.6296296296296" style="479" customWidth="1"/>
    <col min="4108" max="4108" width="20.3796296296296" style="479" customWidth="1"/>
    <col min="4109" max="4109" width="12.6296296296296" style="479" customWidth="1"/>
    <col min="4110" max="4110" width="36.1296296296296" style="479" customWidth="1"/>
    <col min="4111" max="4111" width="19.6296296296296" style="479" customWidth="1"/>
    <col min="4112" max="4116" width="12.6296296296296" style="479" customWidth="1"/>
    <col min="4117" max="4117" width="9.12962962962963" style="479" customWidth="1"/>
    <col min="4118" max="4356" width="9" style="479"/>
    <col min="4357" max="4357" width="16.1296296296296" style="479" customWidth="1"/>
    <col min="4358" max="4358" width="21" style="479" customWidth="1"/>
    <col min="4359" max="4359" width="12.6296296296296" style="479" customWidth="1"/>
    <col min="4360" max="4360" width="21.2592592592593" style="479" customWidth="1"/>
    <col min="4361" max="4363" width="12.6296296296296" style="479" customWidth="1"/>
    <col min="4364" max="4364" width="20.3796296296296" style="479" customWidth="1"/>
    <col min="4365" max="4365" width="12.6296296296296" style="479" customWidth="1"/>
    <col min="4366" max="4366" width="36.1296296296296" style="479" customWidth="1"/>
    <col min="4367" max="4367" width="19.6296296296296" style="479" customWidth="1"/>
    <col min="4368" max="4372" width="12.6296296296296" style="479" customWidth="1"/>
    <col min="4373" max="4373" width="9.12962962962963" style="479" customWidth="1"/>
    <col min="4374" max="4612" width="9" style="479"/>
    <col min="4613" max="4613" width="16.1296296296296" style="479" customWidth="1"/>
    <col min="4614" max="4614" width="21" style="479" customWidth="1"/>
    <col min="4615" max="4615" width="12.6296296296296" style="479" customWidth="1"/>
    <col min="4616" max="4616" width="21.2592592592593" style="479" customWidth="1"/>
    <col min="4617" max="4619" width="12.6296296296296" style="479" customWidth="1"/>
    <col min="4620" max="4620" width="20.3796296296296" style="479" customWidth="1"/>
    <col min="4621" max="4621" width="12.6296296296296" style="479" customWidth="1"/>
    <col min="4622" max="4622" width="36.1296296296296" style="479" customWidth="1"/>
    <col min="4623" max="4623" width="19.6296296296296" style="479" customWidth="1"/>
    <col min="4624" max="4628" width="12.6296296296296" style="479" customWidth="1"/>
    <col min="4629" max="4629" width="9.12962962962963" style="479" customWidth="1"/>
    <col min="4630" max="4868" width="9" style="479"/>
    <col min="4869" max="4869" width="16.1296296296296" style="479" customWidth="1"/>
    <col min="4870" max="4870" width="21" style="479" customWidth="1"/>
    <col min="4871" max="4871" width="12.6296296296296" style="479" customWidth="1"/>
    <col min="4872" max="4872" width="21.2592592592593" style="479" customWidth="1"/>
    <col min="4873" max="4875" width="12.6296296296296" style="479" customWidth="1"/>
    <col min="4876" max="4876" width="20.3796296296296" style="479" customWidth="1"/>
    <col min="4877" max="4877" width="12.6296296296296" style="479" customWidth="1"/>
    <col min="4878" max="4878" width="36.1296296296296" style="479" customWidth="1"/>
    <col min="4879" max="4879" width="19.6296296296296" style="479" customWidth="1"/>
    <col min="4880" max="4884" width="12.6296296296296" style="479" customWidth="1"/>
    <col min="4885" max="4885" width="9.12962962962963" style="479" customWidth="1"/>
    <col min="4886" max="5124" width="9" style="479"/>
    <col min="5125" max="5125" width="16.1296296296296" style="479" customWidth="1"/>
    <col min="5126" max="5126" width="21" style="479" customWidth="1"/>
    <col min="5127" max="5127" width="12.6296296296296" style="479" customWidth="1"/>
    <col min="5128" max="5128" width="21.2592592592593" style="479" customWidth="1"/>
    <col min="5129" max="5131" width="12.6296296296296" style="479" customWidth="1"/>
    <col min="5132" max="5132" width="20.3796296296296" style="479" customWidth="1"/>
    <col min="5133" max="5133" width="12.6296296296296" style="479" customWidth="1"/>
    <col min="5134" max="5134" width="36.1296296296296" style="479" customWidth="1"/>
    <col min="5135" max="5135" width="19.6296296296296" style="479" customWidth="1"/>
    <col min="5136" max="5140" width="12.6296296296296" style="479" customWidth="1"/>
    <col min="5141" max="5141" width="9.12962962962963" style="479" customWidth="1"/>
    <col min="5142" max="5380" width="9" style="479"/>
    <col min="5381" max="5381" width="16.1296296296296" style="479" customWidth="1"/>
    <col min="5382" max="5382" width="21" style="479" customWidth="1"/>
    <col min="5383" max="5383" width="12.6296296296296" style="479" customWidth="1"/>
    <col min="5384" max="5384" width="21.2592592592593" style="479" customWidth="1"/>
    <col min="5385" max="5387" width="12.6296296296296" style="479" customWidth="1"/>
    <col min="5388" max="5388" width="20.3796296296296" style="479" customWidth="1"/>
    <col min="5389" max="5389" width="12.6296296296296" style="479" customWidth="1"/>
    <col min="5390" max="5390" width="36.1296296296296" style="479" customWidth="1"/>
    <col min="5391" max="5391" width="19.6296296296296" style="479" customWidth="1"/>
    <col min="5392" max="5396" width="12.6296296296296" style="479" customWidth="1"/>
    <col min="5397" max="5397" width="9.12962962962963" style="479" customWidth="1"/>
    <col min="5398" max="5636" width="9" style="479"/>
    <col min="5637" max="5637" width="16.1296296296296" style="479" customWidth="1"/>
    <col min="5638" max="5638" width="21" style="479" customWidth="1"/>
    <col min="5639" max="5639" width="12.6296296296296" style="479" customWidth="1"/>
    <col min="5640" max="5640" width="21.2592592592593" style="479" customWidth="1"/>
    <col min="5641" max="5643" width="12.6296296296296" style="479" customWidth="1"/>
    <col min="5644" max="5644" width="20.3796296296296" style="479" customWidth="1"/>
    <col min="5645" max="5645" width="12.6296296296296" style="479" customWidth="1"/>
    <col min="5646" max="5646" width="36.1296296296296" style="479" customWidth="1"/>
    <col min="5647" max="5647" width="19.6296296296296" style="479" customWidth="1"/>
    <col min="5648" max="5652" width="12.6296296296296" style="479" customWidth="1"/>
    <col min="5653" max="5653" width="9.12962962962963" style="479" customWidth="1"/>
    <col min="5654" max="5892" width="9" style="479"/>
    <col min="5893" max="5893" width="16.1296296296296" style="479" customWidth="1"/>
    <col min="5894" max="5894" width="21" style="479" customWidth="1"/>
    <col min="5895" max="5895" width="12.6296296296296" style="479" customWidth="1"/>
    <col min="5896" max="5896" width="21.2592592592593" style="479" customWidth="1"/>
    <col min="5897" max="5899" width="12.6296296296296" style="479" customWidth="1"/>
    <col min="5900" max="5900" width="20.3796296296296" style="479" customWidth="1"/>
    <col min="5901" max="5901" width="12.6296296296296" style="479" customWidth="1"/>
    <col min="5902" max="5902" width="36.1296296296296" style="479" customWidth="1"/>
    <col min="5903" max="5903" width="19.6296296296296" style="479" customWidth="1"/>
    <col min="5904" max="5908" width="12.6296296296296" style="479" customWidth="1"/>
    <col min="5909" max="5909" width="9.12962962962963" style="479" customWidth="1"/>
    <col min="5910" max="6148" width="9" style="479"/>
    <col min="6149" max="6149" width="16.1296296296296" style="479" customWidth="1"/>
    <col min="6150" max="6150" width="21" style="479" customWidth="1"/>
    <col min="6151" max="6151" width="12.6296296296296" style="479" customWidth="1"/>
    <col min="6152" max="6152" width="21.2592592592593" style="479" customWidth="1"/>
    <col min="6153" max="6155" width="12.6296296296296" style="479" customWidth="1"/>
    <col min="6156" max="6156" width="20.3796296296296" style="479" customWidth="1"/>
    <col min="6157" max="6157" width="12.6296296296296" style="479" customWidth="1"/>
    <col min="6158" max="6158" width="36.1296296296296" style="479" customWidth="1"/>
    <col min="6159" max="6159" width="19.6296296296296" style="479" customWidth="1"/>
    <col min="6160" max="6164" width="12.6296296296296" style="479" customWidth="1"/>
    <col min="6165" max="6165" width="9.12962962962963" style="479" customWidth="1"/>
    <col min="6166" max="6404" width="9" style="479"/>
    <col min="6405" max="6405" width="16.1296296296296" style="479" customWidth="1"/>
    <col min="6406" max="6406" width="21" style="479" customWidth="1"/>
    <col min="6407" max="6407" width="12.6296296296296" style="479" customWidth="1"/>
    <col min="6408" max="6408" width="21.2592592592593" style="479" customWidth="1"/>
    <col min="6409" max="6411" width="12.6296296296296" style="479" customWidth="1"/>
    <col min="6412" max="6412" width="20.3796296296296" style="479" customWidth="1"/>
    <col min="6413" max="6413" width="12.6296296296296" style="479" customWidth="1"/>
    <col min="6414" max="6414" width="36.1296296296296" style="479" customWidth="1"/>
    <col min="6415" max="6415" width="19.6296296296296" style="479" customWidth="1"/>
    <col min="6416" max="6420" width="12.6296296296296" style="479" customWidth="1"/>
    <col min="6421" max="6421" width="9.12962962962963" style="479" customWidth="1"/>
    <col min="6422" max="6660" width="9" style="479"/>
    <col min="6661" max="6661" width="16.1296296296296" style="479" customWidth="1"/>
    <col min="6662" max="6662" width="21" style="479" customWidth="1"/>
    <col min="6663" max="6663" width="12.6296296296296" style="479" customWidth="1"/>
    <col min="6664" max="6664" width="21.2592592592593" style="479" customWidth="1"/>
    <col min="6665" max="6667" width="12.6296296296296" style="479" customWidth="1"/>
    <col min="6668" max="6668" width="20.3796296296296" style="479" customWidth="1"/>
    <col min="6669" max="6669" width="12.6296296296296" style="479" customWidth="1"/>
    <col min="6670" max="6670" width="36.1296296296296" style="479" customWidth="1"/>
    <col min="6671" max="6671" width="19.6296296296296" style="479" customWidth="1"/>
    <col min="6672" max="6676" width="12.6296296296296" style="479" customWidth="1"/>
    <col min="6677" max="6677" width="9.12962962962963" style="479" customWidth="1"/>
    <col min="6678" max="6916" width="9" style="479"/>
    <col min="6917" max="6917" width="16.1296296296296" style="479" customWidth="1"/>
    <col min="6918" max="6918" width="21" style="479" customWidth="1"/>
    <col min="6919" max="6919" width="12.6296296296296" style="479" customWidth="1"/>
    <col min="6920" max="6920" width="21.2592592592593" style="479" customWidth="1"/>
    <col min="6921" max="6923" width="12.6296296296296" style="479" customWidth="1"/>
    <col min="6924" max="6924" width="20.3796296296296" style="479" customWidth="1"/>
    <col min="6925" max="6925" width="12.6296296296296" style="479" customWidth="1"/>
    <col min="6926" max="6926" width="36.1296296296296" style="479" customWidth="1"/>
    <col min="6927" max="6927" width="19.6296296296296" style="479" customWidth="1"/>
    <col min="6928" max="6932" width="12.6296296296296" style="479" customWidth="1"/>
    <col min="6933" max="6933" width="9.12962962962963" style="479" customWidth="1"/>
    <col min="6934" max="7172" width="9" style="479"/>
    <col min="7173" max="7173" width="16.1296296296296" style="479" customWidth="1"/>
    <col min="7174" max="7174" width="21" style="479" customWidth="1"/>
    <col min="7175" max="7175" width="12.6296296296296" style="479" customWidth="1"/>
    <col min="7176" max="7176" width="21.2592592592593" style="479" customWidth="1"/>
    <col min="7177" max="7179" width="12.6296296296296" style="479" customWidth="1"/>
    <col min="7180" max="7180" width="20.3796296296296" style="479" customWidth="1"/>
    <col min="7181" max="7181" width="12.6296296296296" style="479" customWidth="1"/>
    <col min="7182" max="7182" width="36.1296296296296" style="479" customWidth="1"/>
    <col min="7183" max="7183" width="19.6296296296296" style="479" customWidth="1"/>
    <col min="7184" max="7188" width="12.6296296296296" style="479" customWidth="1"/>
    <col min="7189" max="7189" width="9.12962962962963" style="479" customWidth="1"/>
    <col min="7190" max="7428" width="9" style="479"/>
    <col min="7429" max="7429" width="16.1296296296296" style="479" customWidth="1"/>
    <col min="7430" max="7430" width="21" style="479" customWidth="1"/>
    <col min="7431" max="7431" width="12.6296296296296" style="479" customWidth="1"/>
    <col min="7432" max="7432" width="21.2592592592593" style="479" customWidth="1"/>
    <col min="7433" max="7435" width="12.6296296296296" style="479" customWidth="1"/>
    <col min="7436" max="7436" width="20.3796296296296" style="479" customWidth="1"/>
    <col min="7437" max="7437" width="12.6296296296296" style="479" customWidth="1"/>
    <col min="7438" max="7438" width="36.1296296296296" style="479" customWidth="1"/>
    <col min="7439" max="7439" width="19.6296296296296" style="479" customWidth="1"/>
    <col min="7440" max="7444" width="12.6296296296296" style="479" customWidth="1"/>
    <col min="7445" max="7445" width="9.12962962962963" style="479" customWidth="1"/>
    <col min="7446" max="7684" width="9" style="479"/>
    <col min="7685" max="7685" width="16.1296296296296" style="479" customWidth="1"/>
    <col min="7686" max="7686" width="21" style="479" customWidth="1"/>
    <col min="7687" max="7687" width="12.6296296296296" style="479" customWidth="1"/>
    <col min="7688" max="7688" width="21.2592592592593" style="479" customWidth="1"/>
    <col min="7689" max="7691" width="12.6296296296296" style="479" customWidth="1"/>
    <col min="7692" max="7692" width="20.3796296296296" style="479" customWidth="1"/>
    <col min="7693" max="7693" width="12.6296296296296" style="479" customWidth="1"/>
    <col min="7694" max="7694" width="36.1296296296296" style="479" customWidth="1"/>
    <col min="7695" max="7695" width="19.6296296296296" style="479" customWidth="1"/>
    <col min="7696" max="7700" width="12.6296296296296" style="479" customWidth="1"/>
    <col min="7701" max="7701" width="9.12962962962963" style="479" customWidth="1"/>
    <col min="7702" max="7940" width="9" style="479"/>
    <col min="7941" max="7941" width="16.1296296296296" style="479" customWidth="1"/>
    <col min="7942" max="7942" width="21" style="479" customWidth="1"/>
    <col min="7943" max="7943" width="12.6296296296296" style="479" customWidth="1"/>
    <col min="7944" max="7944" width="21.2592592592593" style="479" customWidth="1"/>
    <col min="7945" max="7947" width="12.6296296296296" style="479" customWidth="1"/>
    <col min="7948" max="7948" width="20.3796296296296" style="479" customWidth="1"/>
    <col min="7949" max="7949" width="12.6296296296296" style="479" customWidth="1"/>
    <col min="7950" max="7950" width="36.1296296296296" style="479" customWidth="1"/>
    <col min="7951" max="7951" width="19.6296296296296" style="479" customWidth="1"/>
    <col min="7952" max="7956" width="12.6296296296296" style="479" customWidth="1"/>
    <col min="7957" max="7957" width="9.12962962962963" style="479" customWidth="1"/>
    <col min="7958" max="8196" width="9" style="479"/>
    <col min="8197" max="8197" width="16.1296296296296" style="479" customWidth="1"/>
    <col min="8198" max="8198" width="21" style="479" customWidth="1"/>
    <col min="8199" max="8199" width="12.6296296296296" style="479" customWidth="1"/>
    <col min="8200" max="8200" width="21.2592592592593" style="479" customWidth="1"/>
    <col min="8201" max="8203" width="12.6296296296296" style="479" customWidth="1"/>
    <col min="8204" max="8204" width="20.3796296296296" style="479" customWidth="1"/>
    <col min="8205" max="8205" width="12.6296296296296" style="479" customWidth="1"/>
    <col min="8206" max="8206" width="36.1296296296296" style="479" customWidth="1"/>
    <col min="8207" max="8207" width="19.6296296296296" style="479" customWidth="1"/>
    <col min="8208" max="8212" width="12.6296296296296" style="479" customWidth="1"/>
    <col min="8213" max="8213" width="9.12962962962963" style="479" customWidth="1"/>
    <col min="8214" max="8452" width="9" style="479"/>
    <col min="8453" max="8453" width="16.1296296296296" style="479" customWidth="1"/>
    <col min="8454" max="8454" width="21" style="479" customWidth="1"/>
    <col min="8455" max="8455" width="12.6296296296296" style="479" customWidth="1"/>
    <col min="8456" max="8456" width="21.2592592592593" style="479" customWidth="1"/>
    <col min="8457" max="8459" width="12.6296296296296" style="479" customWidth="1"/>
    <col min="8460" max="8460" width="20.3796296296296" style="479" customWidth="1"/>
    <col min="8461" max="8461" width="12.6296296296296" style="479" customWidth="1"/>
    <col min="8462" max="8462" width="36.1296296296296" style="479" customWidth="1"/>
    <col min="8463" max="8463" width="19.6296296296296" style="479" customWidth="1"/>
    <col min="8464" max="8468" width="12.6296296296296" style="479" customWidth="1"/>
    <col min="8469" max="8469" width="9.12962962962963" style="479" customWidth="1"/>
    <col min="8470" max="8708" width="9" style="479"/>
    <col min="8709" max="8709" width="16.1296296296296" style="479" customWidth="1"/>
    <col min="8710" max="8710" width="21" style="479" customWidth="1"/>
    <col min="8711" max="8711" width="12.6296296296296" style="479" customWidth="1"/>
    <col min="8712" max="8712" width="21.2592592592593" style="479" customWidth="1"/>
    <col min="8713" max="8715" width="12.6296296296296" style="479" customWidth="1"/>
    <col min="8716" max="8716" width="20.3796296296296" style="479" customWidth="1"/>
    <col min="8717" max="8717" width="12.6296296296296" style="479" customWidth="1"/>
    <col min="8718" max="8718" width="36.1296296296296" style="479" customWidth="1"/>
    <col min="8719" max="8719" width="19.6296296296296" style="479" customWidth="1"/>
    <col min="8720" max="8724" width="12.6296296296296" style="479" customWidth="1"/>
    <col min="8725" max="8725" width="9.12962962962963" style="479" customWidth="1"/>
    <col min="8726" max="8964" width="9" style="479"/>
    <col min="8965" max="8965" width="16.1296296296296" style="479" customWidth="1"/>
    <col min="8966" max="8966" width="21" style="479" customWidth="1"/>
    <col min="8967" max="8967" width="12.6296296296296" style="479" customWidth="1"/>
    <col min="8968" max="8968" width="21.2592592592593" style="479" customWidth="1"/>
    <col min="8969" max="8971" width="12.6296296296296" style="479" customWidth="1"/>
    <col min="8972" max="8972" width="20.3796296296296" style="479" customWidth="1"/>
    <col min="8973" max="8973" width="12.6296296296296" style="479" customWidth="1"/>
    <col min="8974" max="8974" width="36.1296296296296" style="479" customWidth="1"/>
    <col min="8975" max="8975" width="19.6296296296296" style="479" customWidth="1"/>
    <col min="8976" max="8980" width="12.6296296296296" style="479" customWidth="1"/>
    <col min="8981" max="8981" width="9.12962962962963" style="479" customWidth="1"/>
    <col min="8982" max="9220" width="9" style="479"/>
    <col min="9221" max="9221" width="16.1296296296296" style="479" customWidth="1"/>
    <col min="9222" max="9222" width="21" style="479" customWidth="1"/>
    <col min="9223" max="9223" width="12.6296296296296" style="479" customWidth="1"/>
    <col min="9224" max="9224" width="21.2592592592593" style="479" customWidth="1"/>
    <col min="9225" max="9227" width="12.6296296296296" style="479" customWidth="1"/>
    <col min="9228" max="9228" width="20.3796296296296" style="479" customWidth="1"/>
    <col min="9229" max="9229" width="12.6296296296296" style="479" customWidth="1"/>
    <col min="9230" max="9230" width="36.1296296296296" style="479" customWidth="1"/>
    <col min="9231" max="9231" width="19.6296296296296" style="479" customWidth="1"/>
    <col min="9232" max="9236" width="12.6296296296296" style="479" customWidth="1"/>
    <col min="9237" max="9237" width="9.12962962962963" style="479" customWidth="1"/>
    <col min="9238" max="9476" width="9" style="479"/>
    <col min="9477" max="9477" width="16.1296296296296" style="479" customWidth="1"/>
    <col min="9478" max="9478" width="21" style="479" customWidth="1"/>
    <col min="9479" max="9479" width="12.6296296296296" style="479" customWidth="1"/>
    <col min="9480" max="9480" width="21.2592592592593" style="479" customWidth="1"/>
    <col min="9481" max="9483" width="12.6296296296296" style="479" customWidth="1"/>
    <col min="9484" max="9484" width="20.3796296296296" style="479" customWidth="1"/>
    <col min="9485" max="9485" width="12.6296296296296" style="479" customWidth="1"/>
    <col min="9486" max="9486" width="36.1296296296296" style="479" customWidth="1"/>
    <col min="9487" max="9487" width="19.6296296296296" style="479" customWidth="1"/>
    <col min="9488" max="9492" width="12.6296296296296" style="479" customWidth="1"/>
    <col min="9493" max="9493" width="9.12962962962963" style="479" customWidth="1"/>
    <col min="9494" max="9732" width="9" style="479"/>
    <col min="9733" max="9733" width="16.1296296296296" style="479" customWidth="1"/>
    <col min="9734" max="9734" width="21" style="479" customWidth="1"/>
    <col min="9735" max="9735" width="12.6296296296296" style="479" customWidth="1"/>
    <col min="9736" max="9736" width="21.2592592592593" style="479" customWidth="1"/>
    <col min="9737" max="9739" width="12.6296296296296" style="479" customWidth="1"/>
    <col min="9740" max="9740" width="20.3796296296296" style="479" customWidth="1"/>
    <col min="9741" max="9741" width="12.6296296296296" style="479" customWidth="1"/>
    <col min="9742" max="9742" width="36.1296296296296" style="479" customWidth="1"/>
    <col min="9743" max="9743" width="19.6296296296296" style="479" customWidth="1"/>
    <col min="9744" max="9748" width="12.6296296296296" style="479" customWidth="1"/>
    <col min="9749" max="9749" width="9.12962962962963" style="479" customWidth="1"/>
    <col min="9750" max="9988" width="9" style="479"/>
    <col min="9989" max="9989" width="16.1296296296296" style="479" customWidth="1"/>
    <col min="9990" max="9990" width="21" style="479" customWidth="1"/>
    <col min="9991" max="9991" width="12.6296296296296" style="479" customWidth="1"/>
    <col min="9992" max="9992" width="21.2592592592593" style="479" customWidth="1"/>
    <col min="9993" max="9995" width="12.6296296296296" style="479" customWidth="1"/>
    <col min="9996" max="9996" width="20.3796296296296" style="479" customWidth="1"/>
    <col min="9997" max="9997" width="12.6296296296296" style="479" customWidth="1"/>
    <col min="9998" max="9998" width="36.1296296296296" style="479" customWidth="1"/>
    <col min="9999" max="9999" width="19.6296296296296" style="479" customWidth="1"/>
    <col min="10000" max="10004" width="12.6296296296296" style="479" customWidth="1"/>
    <col min="10005" max="10005" width="9.12962962962963" style="479" customWidth="1"/>
    <col min="10006" max="10244" width="9" style="479"/>
    <col min="10245" max="10245" width="16.1296296296296" style="479" customWidth="1"/>
    <col min="10246" max="10246" width="21" style="479" customWidth="1"/>
    <col min="10247" max="10247" width="12.6296296296296" style="479" customWidth="1"/>
    <col min="10248" max="10248" width="21.2592592592593" style="479" customWidth="1"/>
    <col min="10249" max="10251" width="12.6296296296296" style="479" customWidth="1"/>
    <col min="10252" max="10252" width="20.3796296296296" style="479" customWidth="1"/>
    <col min="10253" max="10253" width="12.6296296296296" style="479" customWidth="1"/>
    <col min="10254" max="10254" width="36.1296296296296" style="479" customWidth="1"/>
    <col min="10255" max="10255" width="19.6296296296296" style="479" customWidth="1"/>
    <col min="10256" max="10260" width="12.6296296296296" style="479" customWidth="1"/>
    <col min="10261" max="10261" width="9.12962962962963" style="479" customWidth="1"/>
    <col min="10262" max="10500" width="9" style="479"/>
    <col min="10501" max="10501" width="16.1296296296296" style="479" customWidth="1"/>
    <col min="10502" max="10502" width="21" style="479" customWidth="1"/>
    <col min="10503" max="10503" width="12.6296296296296" style="479" customWidth="1"/>
    <col min="10504" max="10504" width="21.2592592592593" style="479" customWidth="1"/>
    <col min="10505" max="10507" width="12.6296296296296" style="479" customWidth="1"/>
    <col min="10508" max="10508" width="20.3796296296296" style="479" customWidth="1"/>
    <col min="10509" max="10509" width="12.6296296296296" style="479" customWidth="1"/>
    <col min="10510" max="10510" width="36.1296296296296" style="479" customWidth="1"/>
    <col min="10511" max="10511" width="19.6296296296296" style="479" customWidth="1"/>
    <col min="10512" max="10516" width="12.6296296296296" style="479" customWidth="1"/>
    <col min="10517" max="10517" width="9.12962962962963" style="479" customWidth="1"/>
    <col min="10518" max="10756" width="9" style="479"/>
    <col min="10757" max="10757" width="16.1296296296296" style="479" customWidth="1"/>
    <col min="10758" max="10758" width="21" style="479" customWidth="1"/>
    <col min="10759" max="10759" width="12.6296296296296" style="479" customWidth="1"/>
    <col min="10760" max="10760" width="21.2592592592593" style="479" customWidth="1"/>
    <col min="10761" max="10763" width="12.6296296296296" style="479" customWidth="1"/>
    <col min="10764" max="10764" width="20.3796296296296" style="479" customWidth="1"/>
    <col min="10765" max="10765" width="12.6296296296296" style="479" customWidth="1"/>
    <col min="10766" max="10766" width="36.1296296296296" style="479" customWidth="1"/>
    <col min="10767" max="10767" width="19.6296296296296" style="479" customWidth="1"/>
    <col min="10768" max="10772" width="12.6296296296296" style="479" customWidth="1"/>
    <col min="10773" max="10773" width="9.12962962962963" style="479" customWidth="1"/>
    <col min="10774" max="11012" width="9" style="479"/>
    <col min="11013" max="11013" width="16.1296296296296" style="479" customWidth="1"/>
    <col min="11014" max="11014" width="21" style="479" customWidth="1"/>
    <col min="11015" max="11015" width="12.6296296296296" style="479" customWidth="1"/>
    <col min="11016" max="11016" width="21.2592592592593" style="479" customWidth="1"/>
    <col min="11017" max="11019" width="12.6296296296296" style="479" customWidth="1"/>
    <col min="11020" max="11020" width="20.3796296296296" style="479" customWidth="1"/>
    <col min="11021" max="11021" width="12.6296296296296" style="479" customWidth="1"/>
    <col min="11022" max="11022" width="36.1296296296296" style="479" customWidth="1"/>
    <col min="11023" max="11023" width="19.6296296296296" style="479" customWidth="1"/>
    <col min="11024" max="11028" width="12.6296296296296" style="479" customWidth="1"/>
    <col min="11029" max="11029" width="9.12962962962963" style="479" customWidth="1"/>
    <col min="11030" max="11268" width="9" style="479"/>
    <col min="11269" max="11269" width="16.1296296296296" style="479" customWidth="1"/>
    <col min="11270" max="11270" width="21" style="479" customWidth="1"/>
    <col min="11271" max="11271" width="12.6296296296296" style="479" customWidth="1"/>
    <col min="11272" max="11272" width="21.2592592592593" style="479" customWidth="1"/>
    <col min="11273" max="11275" width="12.6296296296296" style="479" customWidth="1"/>
    <col min="11276" max="11276" width="20.3796296296296" style="479" customWidth="1"/>
    <col min="11277" max="11277" width="12.6296296296296" style="479" customWidth="1"/>
    <col min="11278" max="11278" width="36.1296296296296" style="479" customWidth="1"/>
    <col min="11279" max="11279" width="19.6296296296296" style="479" customWidth="1"/>
    <col min="11280" max="11284" width="12.6296296296296" style="479" customWidth="1"/>
    <col min="11285" max="11285" width="9.12962962962963" style="479" customWidth="1"/>
    <col min="11286" max="11524" width="9" style="479"/>
    <col min="11525" max="11525" width="16.1296296296296" style="479" customWidth="1"/>
    <col min="11526" max="11526" width="21" style="479" customWidth="1"/>
    <col min="11527" max="11527" width="12.6296296296296" style="479" customWidth="1"/>
    <col min="11528" max="11528" width="21.2592592592593" style="479" customWidth="1"/>
    <col min="11529" max="11531" width="12.6296296296296" style="479" customWidth="1"/>
    <col min="11532" max="11532" width="20.3796296296296" style="479" customWidth="1"/>
    <col min="11533" max="11533" width="12.6296296296296" style="479" customWidth="1"/>
    <col min="11534" max="11534" width="36.1296296296296" style="479" customWidth="1"/>
    <col min="11535" max="11535" width="19.6296296296296" style="479" customWidth="1"/>
    <col min="11536" max="11540" width="12.6296296296296" style="479" customWidth="1"/>
    <col min="11541" max="11541" width="9.12962962962963" style="479" customWidth="1"/>
    <col min="11542" max="11780" width="9" style="479"/>
    <col min="11781" max="11781" width="16.1296296296296" style="479" customWidth="1"/>
    <col min="11782" max="11782" width="21" style="479" customWidth="1"/>
    <col min="11783" max="11783" width="12.6296296296296" style="479" customWidth="1"/>
    <col min="11784" max="11784" width="21.2592592592593" style="479" customWidth="1"/>
    <col min="11785" max="11787" width="12.6296296296296" style="479" customWidth="1"/>
    <col min="11788" max="11788" width="20.3796296296296" style="479" customWidth="1"/>
    <col min="11789" max="11789" width="12.6296296296296" style="479" customWidth="1"/>
    <col min="11790" max="11790" width="36.1296296296296" style="479" customWidth="1"/>
    <col min="11791" max="11791" width="19.6296296296296" style="479" customWidth="1"/>
    <col min="11792" max="11796" width="12.6296296296296" style="479" customWidth="1"/>
    <col min="11797" max="11797" width="9.12962962962963" style="479" customWidth="1"/>
    <col min="11798" max="12036" width="9" style="479"/>
    <col min="12037" max="12037" width="16.1296296296296" style="479" customWidth="1"/>
    <col min="12038" max="12038" width="21" style="479" customWidth="1"/>
    <col min="12039" max="12039" width="12.6296296296296" style="479" customWidth="1"/>
    <col min="12040" max="12040" width="21.2592592592593" style="479" customWidth="1"/>
    <col min="12041" max="12043" width="12.6296296296296" style="479" customWidth="1"/>
    <col min="12044" max="12044" width="20.3796296296296" style="479" customWidth="1"/>
    <col min="12045" max="12045" width="12.6296296296296" style="479" customWidth="1"/>
    <col min="12046" max="12046" width="36.1296296296296" style="479" customWidth="1"/>
    <col min="12047" max="12047" width="19.6296296296296" style="479" customWidth="1"/>
    <col min="12048" max="12052" width="12.6296296296296" style="479" customWidth="1"/>
    <col min="12053" max="12053" width="9.12962962962963" style="479" customWidth="1"/>
    <col min="12054" max="12292" width="9" style="479"/>
    <col min="12293" max="12293" width="16.1296296296296" style="479" customWidth="1"/>
    <col min="12294" max="12294" width="21" style="479" customWidth="1"/>
    <col min="12295" max="12295" width="12.6296296296296" style="479" customWidth="1"/>
    <col min="12296" max="12296" width="21.2592592592593" style="479" customWidth="1"/>
    <col min="12297" max="12299" width="12.6296296296296" style="479" customWidth="1"/>
    <col min="12300" max="12300" width="20.3796296296296" style="479" customWidth="1"/>
    <col min="12301" max="12301" width="12.6296296296296" style="479" customWidth="1"/>
    <col min="12302" max="12302" width="36.1296296296296" style="479" customWidth="1"/>
    <col min="12303" max="12303" width="19.6296296296296" style="479" customWidth="1"/>
    <col min="12304" max="12308" width="12.6296296296296" style="479" customWidth="1"/>
    <col min="12309" max="12309" width="9.12962962962963" style="479" customWidth="1"/>
    <col min="12310" max="12548" width="9" style="479"/>
    <col min="12549" max="12549" width="16.1296296296296" style="479" customWidth="1"/>
    <col min="12550" max="12550" width="21" style="479" customWidth="1"/>
    <col min="12551" max="12551" width="12.6296296296296" style="479" customWidth="1"/>
    <col min="12552" max="12552" width="21.2592592592593" style="479" customWidth="1"/>
    <col min="12553" max="12555" width="12.6296296296296" style="479" customWidth="1"/>
    <col min="12556" max="12556" width="20.3796296296296" style="479" customWidth="1"/>
    <col min="12557" max="12557" width="12.6296296296296" style="479" customWidth="1"/>
    <col min="12558" max="12558" width="36.1296296296296" style="479" customWidth="1"/>
    <col min="12559" max="12559" width="19.6296296296296" style="479" customWidth="1"/>
    <col min="12560" max="12564" width="12.6296296296296" style="479" customWidth="1"/>
    <col min="12565" max="12565" width="9.12962962962963" style="479" customWidth="1"/>
    <col min="12566" max="12804" width="9" style="479"/>
    <col min="12805" max="12805" width="16.1296296296296" style="479" customWidth="1"/>
    <col min="12806" max="12806" width="21" style="479" customWidth="1"/>
    <col min="12807" max="12807" width="12.6296296296296" style="479" customWidth="1"/>
    <col min="12808" max="12808" width="21.2592592592593" style="479" customWidth="1"/>
    <col min="12809" max="12811" width="12.6296296296296" style="479" customWidth="1"/>
    <col min="12812" max="12812" width="20.3796296296296" style="479" customWidth="1"/>
    <col min="12813" max="12813" width="12.6296296296296" style="479" customWidth="1"/>
    <col min="12814" max="12814" width="36.1296296296296" style="479" customWidth="1"/>
    <col min="12815" max="12815" width="19.6296296296296" style="479" customWidth="1"/>
    <col min="12816" max="12820" width="12.6296296296296" style="479" customWidth="1"/>
    <col min="12821" max="12821" width="9.12962962962963" style="479" customWidth="1"/>
    <col min="12822" max="13060" width="9" style="479"/>
    <col min="13061" max="13061" width="16.1296296296296" style="479" customWidth="1"/>
    <col min="13062" max="13062" width="21" style="479" customWidth="1"/>
    <col min="13063" max="13063" width="12.6296296296296" style="479" customWidth="1"/>
    <col min="13064" max="13064" width="21.2592592592593" style="479" customWidth="1"/>
    <col min="13065" max="13067" width="12.6296296296296" style="479" customWidth="1"/>
    <col min="13068" max="13068" width="20.3796296296296" style="479" customWidth="1"/>
    <col min="13069" max="13069" width="12.6296296296296" style="479" customWidth="1"/>
    <col min="13070" max="13070" width="36.1296296296296" style="479" customWidth="1"/>
    <col min="13071" max="13071" width="19.6296296296296" style="479" customWidth="1"/>
    <col min="13072" max="13076" width="12.6296296296296" style="479" customWidth="1"/>
    <col min="13077" max="13077" width="9.12962962962963" style="479" customWidth="1"/>
    <col min="13078" max="13316" width="9" style="479"/>
    <col min="13317" max="13317" width="16.1296296296296" style="479" customWidth="1"/>
    <col min="13318" max="13318" width="21" style="479" customWidth="1"/>
    <col min="13319" max="13319" width="12.6296296296296" style="479" customWidth="1"/>
    <col min="13320" max="13320" width="21.2592592592593" style="479" customWidth="1"/>
    <col min="13321" max="13323" width="12.6296296296296" style="479" customWidth="1"/>
    <col min="13324" max="13324" width="20.3796296296296" style="479" customWidth="1"/>
    <col min="13325" max="13325" width="12.6296296296296" style="479" customWidth="1"/>
    <col min="13326" max="13326" width="36.1296296296296" style="479" customWidth="1"/>
    <col min="13327" max="13327" width="19.6296296296296" style="479" customWidth="1"/>
    <col min="13328" max="13332" width="12.6296296296296" style="479" customWidth="1"/>
    <col min="13333" max="13333" width="9.12962962962963" style="479" customWidth="1"/>
    <col min="13334" max="13572" width="9" style="479"/>
    <col min="13573" max="13573" width="16.1296296296296" style="479" customWidth="1"/>
    <col min="13574" max="13574" width="21" style="479" customWidth="1"/>
    <col min="13575" max="13575" width="12.6296296296296" style="479" customWidth="1"/>
    <col min="13576" max="13576" width="21.2592592592593" style="479" customWidth="1"/>
    <col min="13577" max="13579" width="12.6296296296296" style="479" customWidth="1"/>
    <col min="13580" max="13580" width="20.3796296296296" style="479" customWidth="1"/>
    <col min="13581" max="13581" width="12.6296296296296" style="479" customWidth="1"/>
    <col min="13582" max="13582" width="36.1296296296296" style="479" customWidth="1"/>
    <col min="13583" max="13583" width="19.6296296296296" style="479" customWidth="1"/>
    <col min="13584" max="13588" width="12.6296296296296" style="479" customWidth="1"/>
    <col min="13589" max="13589" width="9.12962962962963" style="479" customWidth="1"/>
    <col min="13590" max="13828" width="9" style="479"/>
    <col min="13829" max="13829" width="16.1296296296296" style="479" customWidth="1"/>
    <col min="13830" max="13830" width="21" style="479" customWidth="1"/>
    <col min="13831" max="13831" width="12.6296296296296" style="479" customWidth="1"/>
    <col min="13832" max="13832" width="21.2592592592593" style="479" customWidth="1"/>
    <col min="13833" max="13835" width="12.6296296296296" style="479" customWidth="1"/>
    <col min="13836" max="13836" width="20.3796296296296" style="479" customWidth="1"/>
    <col min="13837" max="13837" width="12.6296296296296" style="479" customWidth="1"/>
    <col min="13838" max="13838" width="36.1296296296296" style="479" customWidth="1"/>
    <col min="13839" max="13839" width="19.6296296296296" style="479" customWidth="1"/>
    <col min="13840" max="13844" width="12.6296296296296" style="479" customWidth="1"/>
    <col min="13845" max="13845" width="9.12962962962963" style="479" customWidth="1"/>
    <col min="13846" max="14084" width="9" style="479"/>
    <col min="14085" max="14085" width="16.1296296296296" style="479" customWidth="1"/>
    <col min="14086" max="14086" width="21" style="479" customWidth="1"/>
    <col min="14087" max="14087" width="12.6296296296296" style="479" customWidth="1"/>
    <col min="14088" max="14088" width="21.2592592592593" style="479" customWidth="1"/>
    <col min="14089" max="14091" width="12.6296296296296" style="479" customWidth="1"/>
    <col min="14092" max="14092" width="20.3796296296296" style="479" customWidth="1"/>
    <col min="14093" max="14093" width="12.6296296296296" style="479" customWidth="1"/>
    <col min="14094" max="14094" width="36.1296296296296" style="479" customWidth="1"/>
    <col min="14095" max="14095" width="19.6296296296296" style="479" customWidth="1"/>
    <col min="14096" max="14100" width="12.6296296296296" style="479" customWidth="1"/>
    <col min="14101" max="14101" width="9.12962962962963" style="479" customWidth="1"/>
    <col min="14102" max="14340" width="9" style="479"/>
    <col min="14341" max="14341" width="16.1296296296296" style="479" customWidth="1"/>
    <col min="14342" max="14342" width="21" style="479" customWidth="1"/>
    <col min="14343" max="14343" width="12.6296296296296" style="479" customWidth="1"/>
    <col min="14344" max="14344" width="21.2592592592593" style="479" customWidth="1"/>
    <col min="14345" max="14347" width="12.6296296296296" style="479" customWidth="1"/>
    <col min="14348" max="14348" width="20.3796296296296" style="479" customWidth="1"/>
    <col min="14349" max="14349" width="12.6296296296296" style="479" customWidth="1"/>
    <col min="14350" max="14350" width="36.1296296296296" style="479" customWidth="1"/>
    <col min="14351" max="14351" width="19.6296296296296" style="479" customWidth="1"/>
    <col min="14352" max="14356" width="12.6296296296296" style="479" customWidth="1"/>
    <col min="14357" max="14357" width="9.12962962962963" style="479" customWidth="1"/>
    <col min="14358" max="14596" width="9" style="479"/>
    <col min="14597" max="14597" width="16.1296296296296" style="479" customWidth="1"/>
    <col min="14598" max="14598" width="21" style="479" customWidth="1"/>
    <col min="14599" max="14599" width="12.6296296296296" style="479" customWidth="1"/>
    <col min="14600" max="14600" width="21.2592592592593" style="479" customWidth="1"/>
    <col min="14601" max="14603" width="12.6296296296296" style="479" customWidth="1"/>
    <col min="14604" max="14604" width="20.3796296296296" style="479" customWidth="1"/>
    <col min="14605" max="14605" width="12.6296296296296" style="479" customWidth="1"/>
    <col min="14606" max="14606" width="36.1296296296296" style="479" customWidth="1"/>
    <col min="14607" max="14607" width="19.6296296296296" style="479" customWidth="1"/>
    <col min="14608" max="14612" width="12.6296296296296" style="479" customWidth="1"/>
    <col min="14613" max="14613" width="9.12962962962963" style="479" customWidth="1"/>
    <col min="14614" max="14852" width="9" style="479"/>
    <col min="14853" max="14853" width="16.1296296296296" style="479" customWidth="1"/>
    <col min="14854" max="14854" width="21" style="479" customWidth="1"/>
    <col min="14855" max="14855" width="12.6296296296296" style="479" customWidth="1"/>
    <col min="14856" max="14856" width="21.2592592592593" style="479" customWidth="1"/>
    <col min="14857" max="14859" width="12.6296296296296" style="479" customWidth="1"/>
    <col min="14860" max="14860" width="20.3796296296296" style="479" customWidth="1"/>
    <col min="14861" max="14861" width="12.6296296296296" style="479" customWidth="1"/>
    <col min="14862" max="14862" width="36.1296296296296" style="479" customWidth="1"/>
    <col min="14863" max="14863" width="19.6296296296296" style="479" customWidth="1"/>
    <col min="14864" max="14868" width="12.6296296296296" style="479" customWidth="1"/>
    <col min="14869" max="14869" width="9.12962962962963" style="479" customWidth="1"/>
    <col min="14870" max="15108" width="9" style="479"/>
    <col min="15109" max="15109" width="16.1296296296296" style="479" customWidth="1"/>
    <col min="15110" max="15110" width="21" style="479" customWidth="1"/>
    <col min="15111" max="15111" width="12.6296296296296" style="479" customWidth="1"/>
    <col min="15112" max="15112" width="21.2592592592593" style="479" customWidth="1"/>
    <col min="15113" max="15115" width="12.6296296296296" style="479" customWidth="1"/>
    <col min="15116" max="15116" width="20.3796296296296" style="479" customWidth="1"/>
    <col min="15117" max="15117" width="12.6296296296296" style="479" customWidth="1"/>
    <col min="15118" max="15118" width="36.1296296296296" style="479" customWidth="1"/>
    <col min="15119" max="15119" width="19.6296296296296" style="479" customWidth="1"/>
    <col min="15120" max="15124" width="12.6296296296296" style="479" customWidth="1"/>
    <col min="15125" max="15125" width="9.12962962962963" style="479" customWidth="1"/>
    <col min="15126" max="15364" width="9" style="479"/>
    <col min="15365" max="15365" width="16.1296296296296" style="479" customWidth="1"/>
    <col min="15366" max="15366" width="21" style="479" customWidth="1"/>
    <col min="15367" max="15367" width="12.6296296296296" style="479" customWidth="1"/>
    <col min="15368" max="15368" width="21.2592592592593" style="479" customWidth="1"/>
    <col min="15369" max="15371" width="12.6296296296296" style="479" customWidth="1"/>
    <col min="15372" max="15372" width="20.3796296296296" style="479" customWidth="1"/>
    <col min="15373" max="15373" width="12.6296296296296" style="479" customWidth="1"/>
    <col min="15374" max="15374" width="36.1296296296296" style="479" customWidth="1"/>
    <col min="15375" max="15375" width="19.6296296296296" style="479" customWidth="1"/>
    <col min="15376" max="15380" width="12.6296296296296" style="479" customWidth="1"/>
    <col min="15381" max="15381" width="9.12962962962963" style="479" customWidth="1"/>
    <col min="15382" max="15620" width="9" style="479"/>
    <col min="15621" max="15621" width="16.1296296296296" style="479" customWidth="1"/>
    <col min="15622" max="15622" width="21" style="479" customWidth="1"/>
    <col min="15623" max="15623" width="12.6296296296296" style="479" customWidth="1"/>
    <col min="15624" max="15624" width="21.2592592592593" style="479" customWidth="1"/>
    <col min="15625" max="15627" width="12.6296296296296" style="479" customWidth="1"/>
    <col min="15628" max="15628" width="20.3796296296296" style="479" customWidth="1"/>
    <col min="15629" max="15629" width="12.6296296296296" style="479" customWidth="1"/>
    <col min="15630" max="15630" width="36.1296296296296" style="479" customWidth="1"/>
    <col min="15631" max="15631" width="19.6296296296296" style="479" customWidth="1"/>
    <col min="15632" max="15636" width="12.6296296296296" style="479" customWidth="1"/>
    <col min="15637" max="15637" width="9.12962962962963" style="479" customWidth="1"/>
    <col min="15638" max="15876" width="9" style="479"/>
    <col min="15877" max="15877" width="16.1296296296296" style="479" customWidth="1"/>
    <col min="15878" max="15878" width="21" style="479" customWidth="1"/>
    <col min="15879" max="15879" width="12.6296296296296" style="479" customWidth="1"/>
    <col min="15880" max="15880" width="21.2592592592593" style="479" customWidth="1"/>
    <col min="15881" max="15883" width="12.6296296296296" style="479" customWidth="1"/>
    <col min="15884" max="15884" width="20.3796296296296" style="479" customWidth="1"/>
    <col min="15885" max="15885" width="12.6296296296296" style="479" customWidth="1"/>
    <col min="15886" max="15886" width="36.1296296296296" style="479" customWidth="1"/>
    <col min="15887" max="15887" width="19.6296296296296" style="479" customWidth="1"/>
    <col min="15888" max="15892" width="12.6296296296296" style="479" customWidth="1"/>
    <col min="15893" max="15893" width="9.12962962962963" style="479" customWidth="1"/>
    <col min="15894" max="16132" width="9" style="479"/>
    <col min="16133" max="16133" width="16.1296296296296" style="479" customWidth="1"/>
    <col min="16134" max="16134" width="21" style="479" customWidth="1"/>
    <col min="16135" max="16135" width="12.6296296296296" style="479" customWidth="1"/>
    <col min="16136" max="16136" width="21.2592592592593" style="479" customWidth="1"/>
    <col min="16137" max="16139" width="12.6296296296296" style="479" customWidth="1"/>
    <col min="16140" max="16140" width="20.3796296296296" style="479" customWidth="1"/>
    <col min="16141" max="16141" width="12.6296296296296" style="479" customWidth="1"/>
    <col min="16142" max="16142" width="36.1296296296296" style="479" customWidth="1"/>
    <col min="16143" max="16143" width="19.6296296296296" style="479" customWidth="1"/>
    <col min="16144" max="16148" width="12.6296296296296" style="479" customWidth="1"/>
    <col min="16149" max="16149" width="9.12962962962963" style="479" customWidth="1"/>
    <col min="16150" max="16384" width="9" style="479"/>
  </cols>
  <sheetData>
    <row r="1" ht="31.5" customHeight="1" spans="1:12">
      <c r="A1" s="484" t="s">
        <v>99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518"/>
    </row>
    <row r="2" s="476" customFormat="1" ht="31.2" spans="1:13">
      <c r="A2" s="133" t="s">
        <v>68</v>
      </c>
      <c r="B2" s="133" t="s">
        <v>100</v>
      </c>
      <c r="C2" s="133" t="s">
        <v>101</v>
      </c>
      <c r="D2" s="133" t="s">
        <v>69</v>
      </c>
      <c r="E2" s="133" t="s">
        <v>70</v>
      </c>
      <c r="F2" s="133" t="s">
        <v>102</v>
      </c>
      <c r="G2" s="133" t="s">
        <v>103</v>
      </c>
      <c r="H2" s="133" t="s">
        <v>104</v>
      </c>
      <c r="I2" s="223" t="s">
        <v>105</v>
      </c>
      <c r="J2" s="223" t="s">
        <v>43</v>
      </c>
      <c r="K2" s="223" t="s">
        <v>106</v>
      </c>
      <c r="L2" s="519" t="s">
        <v>107</v>
      </c>
      <c r="M2" s="520"/>
    </row>
    <row r="3" s="477" customFormat="1" ht="15.75" customHeight="1" spans="1:14">
      <c r="A3" s="485" t="s">
        <v>108</v>
      </c>
      <c r="B3" s="486"/>
      <c r="C3" s="49" t="s">
        <v>109</v>
      </c>
      <c r="D3" s="203" t="s">
        <v>110</v>
      </c>
      <c r="E3" s="203">
        <v>81</v>
      </c>
      <c r="F3" s="203" t="s">
        <v>111</v>
      </c>
      <c r="G3" s="203" t="s">
        <v>112</v>
      </c>
      <c r="H3" s="487" t="s">
        <v>113</v>
      </c>
      <c r="I3" s="521">
        <v>1344797.08</v>
      </c>
      <c r="J3" s="521">
        <f>SUMIF(收款日报表!$D$3:$D$148,运营收款预算表!C3,收款日报表!$G$3:$G$148)</f>
        <v>0</v>
      </c>
      <c r="K3" s="521">
        <f t="shared" ref="K3:K7" si="0">I3-J3</f>
        <v>1344797.08</v>
      </c>
      <c r="L3" s="522">
        <f t="shared" ref="L3:L13" si="1">IFERROR(J3/I3,"")</f>
        <v>0</v>
      </c>
      <c r="M3" s="523"/>
      <c r="N3" s="524"/>
    </row>
    <row r="4" s="477" customFormat="1" ht="15.75" customHeight="1" spans="1:14">
      <c r="A4" s="485"/>
      <c r="B4" s="486"/>
      <c r="C4" s="49" t="s">
        <v>114</v>
      </c>
      <c r="D4" s="203" t="s">
        <v>115</v>
      </c>
      <c r="E4" s="203">
        <v>81</v>
      </c>
      <c r="F4" s="203" t="s">
        <v>111</v>
      </c>
      <c r="G4" s="203" t="s">
        <v>112</v>
      </c>
      <c r="H4" s="487" t="s">
        <v>113</v>
      </c>
      <c r="I4" s="521">
        <v>188600</v>
      </c>
      <c r="J4" s="521">
        <f>收款日报表!$G$4</f>
        <v>272666.15</v>
      </c>
      <c r="K4" s="521">
        <f t="shared" si="0"/>
        <v>-84066.15</v>
      </c>
      <c r="L4" s="522">
        <f t="shared" si="1"/>
        <v>1.44573780487805</v>
      </c>
      <c r="M4" s="523"/>
      <c r="N4" s="524"/>
    </row>
    <row r="5" s="477" customFormat="1" ht="15" spans="1:14">
      <c r="A5" s="485"/>
      <c r="B5" s="486"/>
      <c r="C5" s="49" t="s">
        <v>116</v>
      </c>
      <c r="D5" s="203" t="s">
        <v>117</v>
      </c>
      <c r="E5" s="203">
        <v>81</v>
      </c>
      <c r="F5" s="203" t="s">
        <v>111</v>
      </c>
      <c r="G5" s="203"/>
      <c r="H5" s="487" t="s">
        <v>113</v>
      </c>
      <c r="I5" s="521">
        <v>114000</v>
      </c>
      <c r="J5" s="521">
        <f>收款日报表!$G$6</f>
        <v>115053.26</v>
      </c>
      <c r="K5" s="521">
        <f t="shared" si="0"/>
        <v>-1053.25999999999</v>
      </c>
      <c r="L5" s="522">
        <f t="shared" si="1"/>
        <v>1.00923912280702</v>
      </c>
      <c r="M5" s="523"/>
      <c r="N5" s="524"/>
    </row>
    <row r="6" s="477" customFormat="1" ht="15" spans="1:14">
      <c r="A6" s="485"/>
      <c r="B6" s="486"/>
      <c r="C6" s="49" t="s">
        <v>118</v>
      </c>
      <c r="D6" s="203" t="s">
        <v>88</v>
      </c>
      <c r="E6" s="203">
        <v>81</v>
      </c>
      <c r="F6" s="203"/>
      <c r="G6" s="203"/>
      <c r="H6" s="487"/>
      <c r="I6" s="521"/>
      <c r="J6" s="521">
        <f>收款日报表!G14</f>
        <v>64714.78</v>
      </c>
      <c r="K6" s="521">
        <f t="shared" si="0"/>
        <v>-64714.78</v>
      </c>
      <c r="L6" s="522" t="str">
        <f t="shared" si="1"/>
        <v/>
      </c>
      <c r="M6" s="523"/>
      <c r="N6" s="524"/>
    </row>
    <row r="7" s="477" customFormat="1" ht="15" spans="1:14">
      <c r="A7" s="485"/>
      <c r="B7" s="486"/>
      <c r="C7" s="49" t="s">
        <v>119</v>
      </c>
      <c r="D7" s="203" t="s">
        <v>120</v>
      </c>
      <c r="E7" s="203">
        <v>81</v>
      </c>
      <c r="F7" s="203"/>
      <c r="G7" s="203"/>
      <c r="H7" s="487"/>
      <c r="I7" s="521"/>
      <c r="J7" s="521">
        <f>收款日报表!G15</f>
        <v>0</v>
      </c>
      <c r="K7" s="521">
        <f t="shared" si="0"/>
        <v>0</v>
      </c>
      <c r="L7" s="522" t="str">
        <f t="shared" si="1"/>
        <v/>
      </c>
      <c r="M7" s="523"/>
      <c r="N7" s="524"/>
    </row>
    <row r="8" s="477" customFormat="1" ht="15.6" spans="1:14">
      <c r="A8" s="485"/>
      <c r="B8" s="486"/>
      <c r="C8" s="488"/>
      <c r="D8" s="489" t="s">
        <v>121</v>
      </c>
      <c r="E8" s="203"/>
      <c r="F8" s="5"/>
      <c r="G8" s="5"/>
      <c r="H8" s="490"/>
      <c r="I8" s="525">
        <f>SUM(I3:I7)</f>
        <v>1647397.08</v>
      </c>
      <c r="J8" s="525">
        <f>SUM(J3:J7)</f>
        <v>452434.19</v>
      </c>
      <c r="K8" s="525">
        <f>SUM(K3:K7)</f>
        <v>1194962.89</v>
      </c>
      <c r="L8" s="522">
        <f t="shared" si="1"/>
        <v>0.274635784834583</v>
      </c>
      <c r="M8" s="523"/>
      <c r="N8" s="524"/>
    </row>
    <row r="9" s="477" customFormat="1" ht="15" spans="1:14">
      <c r="A9" s="491" t="s">
        <v>122</v>
      </c>
      <c r="B9" s="492"/>
      <c r="C9" s="72" t="s">
        <v>123</v>
      </c>
      <c r="D9" s="62"/>
      <c r="E9" s="62"/>
      <c r="F9" s="62" t="s">
        <v>111</v>
      </c>
      <c r="G9" s="62" t="s">
        <v>112</v>
      </c>
      <c r="H9" s="493" t="s">
        <v>113</v>
      </c>
      <c r="I9" s="526">
        <v>120000</v>
      </c>
      <c r="J9" s="527">
        <f>收款日报表!$G$8</f>
        <v>116770.2</v>
      </c>
      <c r="K9" s="527">
        <f>I9-J9</f>
        <v>3229.79999999999</v>
      </c>
      <c r="L9" s="522">
        <f t="shared" si="1"/>
        <v>0.973085</v>
      </c>
      <c r="M9" s="523"/>
      <c r="N9" s="528"/>
    </row>
    <row r="10" s="477" customFormat="1" ht="15" spans="1:13">
      <c r="A10" s="485"/>
      <c r="B10" s="492"/>
      <c r="C10" s="56" t="s">
        <v>124</v>
      </c>
      <c r="D10" s="46"/>
      <c r="E10" s="46"/>
      <c r="F10" s="486" t="s">
        <v>111</v>
      </c>
      <c r="G10" s="486" t="s">
        <v>112</v>
      </c>
      <c r="H10" s="494" t="s">
        <v>113</v>
      </c>
      <c r="I10" s="529">
        <v>150000</v>
      </c>
      <c r="J10" s="527">
        <f>收款日报表!$G$9</f>
        <v>121264.23</v>
      </c>
      <c r="K10" s="521">
        <f>I10-J10</f>
        <v>28735.77</v>
      </c>
      <c r="L10" s="522">
        <f t="shared" si="1"/>
        <v>0.8084282</v>
      </c>
      <c r="M10" s="523"/>
    </row>
    <row r="11" s="477" customFormat="1" ht="15.75" customHeight="1" spans="1:13">
      <c r="A11" s="485"/>
      <c r="B11" s="492"/>
      <c r="C11" s="56" t="s">
        <v>125</v>
      </c>
      <c r="D11" s="46"/>
      <c r="E11" s="46"/>
      <c r="F11" s="486" t="s">
        <v>111</v>
      </c>
      <c r="G11" s="486" t="s">
        <v>112</v>
      </c>
      <c r="H11" s="494" t="s">
        <v>113</v>
      </c>
      <c r="I11" s="529">
        <v>50000</v>
      </c>
      <c r="J11" s="527">
        <f>收款日报表!$G$7</f>
        <v>60772.78</v>
      </c>
      <c r="K11" s="521">
        <f>I11-J11</f>
        <v>-10772.78</v>
      </c>
      <c r="L11" s="522">
        <f t="shared" si="1"/>
        <v>1.2154556</v>
      </c>
      <c r="M11" s="523"/>
    </row>
    <row r="12" s="477" customFormat="1" ht="15.75" customHeight="1" spans="1:13">
      <c r="A12" s="485"/>
      <c r="B12" s="492"/>
      <c r="C12" s="46">
        <v>2004</v>
      </c>
      <c r="D12" s="46"/>
      <c r="E12" s="46"/>
      <c r="F12" s="486"/>
      <c r="G12" s="486"/>
      <c r="H12" s="494"/>
      <c r="I12" s="529"/>
      <c r="J12" s="527"/>
      <c r="K12" s="521">
        <f>I12-J12</f>
        <v>0</v>
      </c>
      <c r="L12" s="522" t="str">
        <f t="shared" si="1"/>
        <v/>
      </c>
      <c r="M12" s="523"/>
    </row>
    <row r="13" s="477" customFormat="1" ht="15.75" customHeight="1" spans="1:13">
      <c r="A13" s="485"/>
      <c r="B13" s="492"/>
      <c r="C13" s="56" t="s">
        <v>126</v>
      </c>
      <c r="D13" s="495"/>
      <c r="E13" s="46"/>
      <c r="F13" s="486" t="s">
        <v>111</v>
      </c>
      <c r="G13" s="486" t="s">
        <v>112</v>
      </c>
      <c r="H13" s="494" t="s">
        <v>113</v>
      </c>
      <c r="I13" s="521">
        <v>15000</v>
      </c>
      <c r="J13" s="527">
        <f>SUMIF(收款日报表!$D$3:$D$148,运营收款预算表!C13,收款日报表!$G$3:$G$148)+收款日报表!$G$10</f>
        <v>1840</v>
      </c>
      <c r="K13" s="521">
        <f>I13-J13</f>
        <v>13160</v>
      </c>
      <c r="L13" s="522">
        <f t="shared" si="1"/>
        <v>0.122666666666667</v>
      </c>
      <c r="M13" s="523"/>
    </row>
    <row r="14" s="477" customFormat="1" ht="15.75" customHeight="1" spans="1:13">
      <c r="A14" s="496"/>
      <c r="B14" s="492"/>
      <c r="C14" s="327"/>
      <c r="D14" s="489" t="s">
        <v>121</v>
      </c>
      <c r="E14" s="497"/>
      <c r="F14" s="497"/>
      <c r="G14" s="497"/>
      <c r="H14" s="498"/>
      <c r="I14" s="530">
        <f>SUM(I9:I13)</f>
        <v>335000</v>
      </c>
      <c r="J14" s="530">
        <f>SUM(J9:J13)</f>
        <v>300647.21</v>
      </c>
      <c r="K14" s="530">
        <f>SUM(K9:K13)</f>
        <v>34352.79</v>
      </c>
      <c r="L14" s="522">
        <f t="shared" ref="L14:L30" si="2">IFERROR(J14/I14,"")</f>
        <v>0.897454358208955</v>
      </c>
      <c r="M14" s="523"/>
    </row>
    <row r="15" s="477" customFormat="1" ht="15.75" customHeight="1" spans="1:13">
      <c r="A15" s="499" t="s">
        <v>127</v>
      </c>
      <c r="B15" s="500"/>
      <c r="C15" s="501" t="s">
        <v>128</v>
      </c>
      <c r="D15" s="502"/>
      <c r="E15" s="500"/>
      <c r="F15" s="500" t="s">
        <v>129</v>
      </c>
      <c r="G15" s="500" t="s">
        <v>130</v>
      </c>
      <c r="H15" s="503" t="s">
        <v>113</v>
      </c>
      <c r="I15" s="531">
        <v>0</v>
      </c>
      <c r="J15" s="532">
        <f>SUMIF(收款日报表!$D$3:$D$148,运营收款预算表!C15,收款日报表!$G$3:$G$148)</f>
        <v>0</v>
      </c>
      <c r="K15" s="532">
        <f>I15-J15</f>
        <v>0</v>
      </c>
      <c r="L15" s="522" t="str">
        <f t="shared" si="2"/>
        <v/>
      </c>
      <c r="M15" s="523"/>
    </row>
    <row r="16" s="477" customFormat="1" ht="15.75" customHeight="1" spans="1:13">
      <c r="A16" s="485"/>
      <c r="B16" s="500"/>
      <c r="C16" s="56" t="s">
        <v>131</v>
      </c>
      <c r="D16" s="486"/>
      <c r="E16" s="486"/>
      <c r="F16" s="486" t="s">
        <v>129</v>
      </c>
      <c r="G16" s="486" t="s">
        <v>130</v>
      </c>
      <c r="H16" s="487" t="s">
        <v>113</v>
      </c>
      <c r="I16" s="529">
        <v>160000</v>
      </c>
      <c r="J16" s="527">
        <f>SUMIF(收款日报表!$D$3:$D$148,运营收款预算表!C16,收款日报表!$G$3:$G$148)</f>
        <v>0</v>
      </c>
      <c r="K16" s="521">
        <f>I16-J16</f>
        <v>160000</v>
      </c>
      <c r="L16" s="522">
        <f t="shared" si="2"/>
        <v>0</v>
      </c>
      <c r="M16" s="523"/>
    </row>
    <row r="17" s="477" customFormat="1" ht="15.75" spans="1:13">
      <c r="A17" s="485"/>
      <c r="B17" s="500"/>
      <c r="C17" s="46">
        <v>3003</v>
      </c>
      <c r="D17" s="486"/>
      <c r="E17" s="486"/>
      <c r="F17" s="486"/>
      <c r="G17" s="486"/>
      <c r="H17" s="494"/>
      <c r="I17" s="521"/>
      <c r="J17" s="527"/>
      <c r="K17" s="521"/>
      <c r="L17" s="522" t="str">
        <f t="shared" si="2"/>
        <v/>
      </c>
      <c r="M17" s="523"/>
    </row>
    <row r="18" s="477" customFormat="1" ht="16.35" spans="1:13">
      <c r="A18" s="496"/>
      <c r="B18" s="500"/>
      <c r="C18" s="327"/>
      <c r="D18" s="489" t="s">
        <v>121</v>
      </c>
      <c r="E18" s="497"/>
      <c r="F18" s="497"/>
      <c r="G18" s="497"/>
      <c r="H18" s="504"/>
      <c r="I18" s="533">
        <f>SUM(I15:I17)</f>
        <v>160000</v>
      </c>
      <c r="J18" s="533">
        <f>SUM(J15:J17)</f>
        <v>0</v>
      </c>
      <c r="K18" s="533">
        <f>SUM(K15:K17)</f>
        <v>160000</v>
      </c>
      <c r="L18" s="522">
        <f t="shared" si="2"/>
        <v>0</v>
      </c>
      <c r="M18" s="523"/>
    </row>
    <row r="19" s="477" customFormat="1" ht="15.75" customHeight="1" spans="1:13">
      <c r="A19" s="505" t="s">
        <v>93</v>
      </c>
      <c r="B19" s="492"/>
      <c r="C19" s="72" t="s">
        <v>132</v>
      </c>
      <c r="D19" s="506"/>
      <c r="E19" s="492"/>
      <c r="F19" s="492"/>
      <c r="G19" s="492"/>
      <c r="H19" s="507" t="s">
        <v>113</v>
      </c>
      <c r="I19" s="527"/>
      <c r="J19" s="534">
        <f>SUMIF(收款日报表!$D$3:$D$148,运营收款预算表!C19,收款日报表!$G$3:$G$148)</f>
        <v>0</v>
      </c>
      <c r="K19" s="527">
        <f>I19-J19</f>
        <v>0</v>
      </c>
      <c r="L19" s="522" t="str">
        <f t="shared" si="2"/>
        <v/>
      </c>
      <c r="M19" s="523"/>
    </row>
    <row r="20" s="477" customFormat="1" ht="15.75" customHeight="1" spans="1:13">
      <c r="A20" s="505"/>
      <c r="B20" s="486"/>
      <c r="C20" s="56" t="s">
        <v>133</v>
      </c>
      <c r="D20" s="495"/>
      <c r="E20" s="486"/>
      <c r="F20" s="486"/>
      <c r="G20" s="486"/>
      <c r="H20" s="494" t="s">
        <v>113</v>
      </c>
      <c r="I20" s="521"/>
      <c r="J20" s="521">
        <f>SUMIF(收款日报表!$D$3:$D$148,运营收款预算表!C20,收款日报表!$G$3:$G$148)</f>
        <v>0</v>
      </c>
      <c r="K20" s="521">
        <f>I20-J20</f>
        <v>0</v>
      </c>
      <c r="L20" s="522" t="str">
        <f t="shared" si="2"/>
        <v/>
      </c>
      <c r="M20" s="523"/>
    </row>
    <row r="21" s="477" customFormat="1" ht="15.75" customHeight="1" spans="1:13">
      <c r="A21" s="505"/>
      <c r="B21" s="486"/>
      <c r="C21" s="56" t="s">
        <v>134</v>
      </c>
      <c r="D21" s="495"/>
      <c r="E21" s="486"/>
      <c r="F21" s="486"/>
      <c r="G21" s="486"/>
      <c r="H21" s="494" t="s">
        <v>113</v>
      </c>
      <c r="I21" s="521"/>
      <c r="J21" s="521">
        <f>SUMIF(收款日报表!$D$3:$D$148,运营收款预算表!C21,收款日报表!$G$3:$G$148)</f>
        <v>0</v>
      </c>
      <c r="K21" s="521">
        <f>I21-J21</f>
        <v>0</v>
      </c>
      <c r="L21" s="522" t="str">
        <f t="shared" si="2"/>
        <v/>
      </c>
      <c r="M21" s="523"/>
    </row>
    <row r="22" s="477" customFormat="1" ht="15.75" customHeight="1" spans="1:13">
      <c r="A22" s="505"/>
      <c r="B22" s="486"/>
      <c r="C22" s="56" t="s">
        <v>135</v>
      </c>
      <c r="D22" s="495"/>
      <c r="E22" s="486"/>
      <c r="F22" s="486"/>
      <c r="G22" s="486"/>
      <c r="H22" s="494" t="s">
        <v>113</v>
      </c>
      <c r="I22" s="521"/>
      <c r="J22" s="521">
        <f>SUMIF(收款日报表!$D$3:$D$148,运营收款预算表!C22,收款日报表!$G$3:$G$148)</f>
        <v>0</v>
      </c>
      <c r="K22" s="521">
        <f>I22-J22</f>
        <v>0</v>
      </c>
      <c r="L22" s="522" t="str">
        <f t="shared" si="2"/>
        <v/>
      </c>
      <c r="M22" s="523"/>
    </row>
    <row r="23" ht="15.75" customHeight="1" spans="1:14">
      <c r="A23" s="491"/>
      <c r="B23" s="486"/>
      <c r="C23" s="56"/>
      <c r="D23" s="489" t="s">
        <v>121</v>
      </c>
      <c r="E23" s="486"/>
      <c r="F23" s="486"/>
      <c r="G23" s="486"/>
      <c r="H23" s="494" t="s">
        <v>113</v>
      </c>
      <c r="I23" s="529">
        <f t="shared" ref="I23:K23" si="3">SUM(I19:I22)</f>
        <v>0</v>
      </c>
      <c r="J23" s="529">
        <f t="shared" si="3"/>
        <v>0</v>
      </c>
      <c r="K23" s="529">
        <f t="shared" si="3"/>
        <v>0</v>
      </c>
      <c r="L23" s="522" t="str">
        <f t="shared" si="2"/>
        <v/>
      </c>
      <c r="N23" s="477"/>
    </row>
    <row r="24" ht="15.75" customHeight="1" spans="1:12">
      <c r="A24" s="508" t="s">
        <v>136</v>
      </c>
      <c r="B24" s="486"/>
      <c r="C24" s="56" t="s">
        <v>137</v>
      </c>
      <c r="D24" s="495"/>
      <c r="E24" s="485"/>
      <c r="F24" s="486"/>
      <c r="G24" s="486"/>
      <c r="H24" s="494" t="s">
        <v>113</v>
      </c>
      <c r="I24" s="529"/>
      <c r="J24" s="521">
        <f>SUMIF(收款日报表!$D$3:$D$148,运营收款预算表!C24,收款日报表!$G$3:$G$148)</f>
        <v>0</v>
      </c>
      <c r="K24" s="521">
        <f>I24-J24</f>
        <v>0</v>
      </c>
      <c r="L24" s="522" t="str">
        <f t="shared" si="2"/>
        <v/>
      </c>
    </row>
    <row r="25" ht="15.75" customHeight="1" spans="1:14">
      <c r="A25" s="505"/>
      <c r="B25" s="486"/>
      <c r="C25" s="56" t="s">
        <v>138</v>
      </c>
      <c r="D25" s="495"/>
      <c r="E25" s="486"/>
      <c r="F25" s="486"/>
      <c r="G25" s="486"/>
      <c r="H25" s="494" t="s">
        <v>113</v>
      </c>
      <c r="I25" s="521">
        <v>220000</v>
      </c>
      <c r="J25" s="521">
        <f>SUMIF(收款日报表!$D$3:$D$148,运营收款预算表!C25,收款日报表!$G$3:$G$148)</f>
        <v>0</v>
      </c>
      <c r="K25" s="521">
        <f>I25-J25</f>
        <v>220000</v>
      </c>
      <c r="L25" s="522">
        <f t="shared" si="2"/>
        <v>0</v>
      </c>
      <c r="N25" s="535"/>
    </row>
    <row r="26" s="478" customFormat="1" ht="15.75" customHeight="1" spans="1:14">
      <c r="A26" s="491"/>
      <c r="B26" s="486"/>
      <c r="C26" s="56"/>
      <c r="D26" s="489" t="s">
        <v>121</v>
      </c>
      <c r="E26" s="486"/>
      <c r="F26" s="486"/>
      <c r="G26" s="486"/>
      <c r="H26" s="494"/>
      <c r="I26" s="529">
        <f t="shared" ref="I26:K26" si="4">SUM(I24:I25)</f>
        <v>220000</v>
      </c>
      <c r="J26" s="529">
        <f t="shared" si="4"/>
        <v>0</v>
      </c>
      <c r="K26" s="529">
        <f t="shared" si="4"/>
        <v>220000</v>
      </c>
      <c r="L26" s="522">
        <f t="shared" si="2"/>
        <v>0</v>
      </c>
      <c r="M26" s="536"/>
      <c r="N26" s="479"/>
    </row>
    <row r="27" ht="15.75" customHeight="1" spans="1:12">
      <c r="A27" s="485" t="s">
        <v>139</v>
      </c>
      <c r="B27" s="486"/>
      <c r="C27" s="56" t="s">
        <v>140</v>
      </c>
      <c r="D27" s="495"/>
      <c r="E27" s="486"/>
      <c r="F27" s="486"/>
      <c r="G27" s="486"/>
      <c r="H27" s="494" t="s">
        <v>113</v>
      </c>
      <c r="I27" s="529"/>
      <c r="J27" s="521">
        <f>SUMIF(收款日报表!$D$3:$D$148,运营收款预算表!C27,收款日报表!$G$3:$G$148)</f>
        <v>0</v>
      </c>
      <c r="K27" s="521">
        <f>I27-J27</f>
        <v>0</v>
      </c>
      <c r="L27" s="522" t="str">
        <f t="shared" si="2"/>
        <v/>
      </c>
    </row>
    <row r="28" ht="16.35" spans="1:12">
      <c r="A28" s="509"/>
      <c r="B28" s="497"/>
      <c r="C28" s="327"/>
      <c r="D28" s="497" t="s">
        <v>141</v>
      </c>
      <c r="E28" s="497"/>
      <c r="F28" s="497"/>
      <c r="G28" s="497"/>
      <c r="H28" s="510"/>
      <c r="I28" s="530">
        <f t="shared" ref="I28:K28" si="5">SUM(I27)</f>
        <v>0</v>
      </c>
      <c r="J28" s="530">
        <f t="shared" si="5"/>
        <v>0</v>
      </c>
      <c r="K28" s="530">
        <f t="shared" si="5"/>
        <v>0</v>
      </c>
      <c r="L28" s="522" t="str">
        <f t="shared" si="2"/>
        <v/>
      </c>
    </row>
    <row r="29" ht="15.75" customHeight="1" spans="1:12">
      <c r="A29" s="511" t="s">
        <v>97</v>
      </c>
      <c r="B29" s="512"/>
      <c r="C29" s="513" t="s">
        <v>142</v>
      </c>
      <c r="D29" s="514" t="s">
        <v>98</v>
      </c>
      <c r="E29" s="515"/>
      <c r="F29" s="515"/>
      <c r="G29" s="515"/>
      <c r="H29" s="511" t="s">
        <v>113</v>
      </c>
      <c r="I29" s="537">
        <f ca="1">线下门店收款预算表!G31</f>
        <v>0</v>
      </c>
      <c r="J29" s="538">
        <f>SUMIF(收款日报表!$D$3:$D$148,运营收款预算表!C29,收款日报表!$G$3:$G$148)</f>
        <v>0</v>
      </c>
      <c r="K29" s="537">
        <f ca="1">I29-J29</f>
        <v>0</v>
      </c>
      <c r="L29" s="522" t="str">
        <f ca="1" t="shared" si="2"/>
        <v/>
      </c>
    </row>
    <row r="30" ht="15.75" customHeight="1" spans="1:12">
      <c r="A30" s="516" t="s">
        <v>82</v>
      </c>
      <c r="B30" s="516"/>
      <c r="C30" s="516"/>
      <c r="D30" s="516"/>
      <c r="E30" s="516"/>
      <c r="F30" s="516"/>
      <c r="G30" s="516"/>
      <c r="H30" s="517"/>
      <c r="I30" s="539">
        <f ca="1" t="shared" ref="I30:K30" si="6">$I$8+$I$14+$I$18+$I$28+$I$29+I23+I26</f>
        <v>2362397.08</v>
      </c>
      <c r="J30" s="539">
        <f ca="1" t="shared" si="6"/>
        <v>2142397.08</v>
      </c>
      <c r="K30" s="539">
        <f ca="1" t="shared" si="6"/>
        <v>2362397.08</v>
      </c>
      <c r="L30" s="522">
        <f ca="1" t="shared" si="2"/>
        <v>0.906874249946161</v>
      </c>
    </row>
  </sheetData>
  <mergeCells count="6">
    <mergeCell ref="A1:L1"/>
    <mergeCell ref="A3:A8"/>
    <mergeCell ref="A9:A14"/>
    <mergeCell ref="A15:A18"/>
    <mergeCell ref="A19:A23"/>
    <mergeCell ref="A24:A26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7"/>
  <sheetViews>
    <sheetView zoomScale="85" zoomScaleNormal="85" workbookViewId="0">
      <selection activeCell="H17" sqref="H17:H23"/>
    </sheetView>
  </sheetViews>
  <sheetFormatPr defaultColWidth="9" defaultRowHeight="14.4"/>
  <cols>
    <col min="2" max="2" width="5.75925925925926" customWidth="1"/>
    <col min="3" max="3" width="6.62962962962963" customWidth="1"/>
    <col min="4" max="4" width="11.1296296296296" customWidth="1"/>
    <col min="5" max="5" width="9.62962962962963" customWidth="1"/>
    <col min="6" max="6" width="6.37962962962963" customWidth="1"/>
    <col min="7" max="7" width="22.7592592592593" customWidth="1"/>
    <col min="8" max="8" width="36.5" customWidth="1"/>
    <col min="10" max="10" width="14" customWidth="1"/>
    <col min="11" max="11" width="12.8796296296296" customWidth="1"/>
    <col min="12" max="12" width="14" customWidth="1"/>
    <col min="13" max="13" width="15.5" customWidth="1"/>
    <col min="14" max="14" width="14" customWidth="1"/>
    <col min="15" max="15" width="16.1296296296296" customWidth="1"/>
    <col min="17" max="17" width="17.1296296296296" customWidth="1"/>
    <col min="18" max="18" width="13.8796296296296" customWidth="1"/>
  </cols>
  <sheetData>
    <row r="1" s="431" customFormat="1" spans="1:17">
      <c r="A1" s="433" t="s">
        <v>143</v>
      </c>
      <c r="B1" s="433"/>
      <c r="C1" s="433"/>
      <c r="D1" s="433"/>
      <c r="E1" s="433"/>
      <c r="F1" s="433"/>
      <c r="G1" s="433"/>
      <c r="H1" s="433"/>
      <c r="I1" s="433"/>
      <c r="J1" s="433"/>
      <c r="K1" s="433"/>
      <c r="L1" s="433"/>
      <c r="M1" s="433"/>
      <c r="N1" s="433"/>
      <c r="O1" s="433"/>
      <c r="P1" s="433"/>
      <c r="Q1" s="433"/>
    </row>
    <row r="2" s="431" customFormat="1" spans="1:17">
      <c r="A2" s="434"/>
      <c r="B2" s="434"/>
      <c r="C2" s="434"/>
      <c r="D2" s="434"/>
      <c r="E2" s="434"/>
      <c r="F2" s="434"/>
      <c r="G2" s="434"/>
      <c r="H2" s="434"/>
      <c r="I2" s="434"/>
      <c r="J2" s="434"/>
      <c r="K2" s="434"/>
      <c r="L2" s="434"/>
      <c r="M2" s="434"/>
      <c r="N2" s="434"/>
      <c r="O2" s="434"/>
      <c r="P2" s="434"/>
      <c r="Q2" s="434"/>
    </row>
    <row r="3" ht="16.5" customHeight="1" spans="1:17">
      <c r="A3" s="435" t="s">
        <v>144</v>
      </c>
      <c r="B3" s="435" t="s">
        <v>145</v>
      </c>
      <c r="C3" s="436" t="s">
        <v>146</v>
      </c>
      <c r="D3" s="437" t="s">
        <v>147</v>
      </c>
      <c r="E3" s="435" t="s">
        <v>148</v>
      </c>
      <c r="F3" s="435" t="s">
        <v>149</v>
      </c>
      <c r="G3" s="435" t="s">
        <v>150</v>
      </c>
      <c r="H3" s="435" t="s">
        <v>151</v>
      </c>
      <c r="I3" s="435" t="s">
        <v>152</v>
      </c>
      <c r="J3" s="456" t="s">
        <v>153</v>
      </c>
      <c r="K3" s="456"/>
      <c r="L3" s="456"/>
      <c r="M3" s="457" t="s">
        <v>154</v>
      </c>
      <c r="N3" s="458"/>
      <c r="O3" s="459"/>
      <c r="P3" s="460" t="s">
        <v>5</v>
      </c>
      <c r="Q3" s="462" t="s">
        <v>155</v>
      </c>
    </row>
    <row r="4" ht="15.6" spans="1:17">
      <c r="A4" s="435"/>
      <c r="B4" s="435"/>
      <c r="C4" s="436"/>
      <c r="D4" s="438"/>
      <c r="E4" s="435"/>
      <c r="F4" s="435"/>
      <c r="G4" s="435"/>
      <c r="H4" s="435"/>
      <c r="I4" s="435"/>
      <c r="J4" s="435" t="s">
        <v>156</v>
      </c>
      <c r="K4" s="461" t="s">
        <v>157</v>
      </c>
      <c r="L4" s="462" t="s">
        <v>121</v>
      </c>
      <c r="M4" s="435" t="s">
        <v>156</v>
      </c>
      <c r="N4" s="461" t="s">
        <v>157</v>
      </c>
      <c r="O4" s="462" t="s">
        <v>121</v>
      </c>
      <c r="P4" s="460"/>
      <c r="Q4" s="462"/>
    </row>
    <row r="5" ht="15" spans="1:17">
      <c r="A5" s="439" t="s">
        <v>158</v>
      </c>
      <c r="B5" s="440">
        <v>1</v>
      </c>
      <c r="C5" s="441"/>
      <c r="D5" s="442"/>
      <c r="E5" s="443"/>
      <c r="F5" s="444"/>
      <c r="G5" s="445"/>
      <c r="H5" s="446"/>
      <c r="I5" s="444"/>
      <c r="J5" s="463"/>
      <c r="K5" s="464"/>
      <c r="L5" s="465"/>
      <c r="M5" s="466">
        <f>SUMIF(货款付款统计表!$C$4:$C$20,供应商货款!D5,货款付款统计表!$F$4:$F$20)</f>
        <v>0</v>
      </c>
      <c r="N5" s="466">
        <f>SUMIF(货款付款统计表!C4:C20,D5,货款付款统计表!G4:G20)</f>
        <v>0</v>
      </c>
      <c r="O5" s="466">
        <f t="shared" ref="O5:O11" si="0">M5+N5</f>
        <v>0</v>
      </c>
      <c r="P5" s="467" t="e">
        <f t="shared" ref="P5:P12" si="1">O5/L5</f>
        <v>#DIV/0!</v>
      </c>
      <c r="Q5" s="473"/>
    </row>
    <row r="6" ht="15" spans="1:17">
      <c r="A6" s="439"/>
      <c r="B6" s="440">
        <v>2</v>
      </c>
      <c r="C6" s="447"/>
      <c r="D6" s="448"/>
      <c r="E6" s="449"/>
      <c r="F6" s="450"/>
      <c r="G6" s="451"/>
      <c r="H6" s="452"/>
      <c r="I6" s="450"/>
      <c r="J6" s="463"/>
      <c r="K6" s="464"/>
      <c r="L6" s="465"/>
      <c r="M6" s="466">
        <f>SUMIF(货款付款统计表!$C$4:$C$20,供应商货款!D6,货款付款统计表!$F$4:$F$20)</f>
        <v>0</v>
      </c>
      <c r="N6" s="466">
        <f>SUMIF(货款付款统计表!C5:C21,D6,货款付款统计表!G5:G21)</f>
        <v>0</v>
      </c>
      <c r="O6" s="466">
        <f t="shared" si="0"/>
        <v>0</v>
      </c>
      <c r="P6" s="467" t="e">
        <f t="shared" si="1"/>
        <v>#DIV/0!</v>
      </c>
      <c r="Q6" s="474"/>
    </row>
    <row r="7" ht="15" spans="1:17">
      <c r="A7" s="439"/>
      <c r="B7" s="440">
        <v>3</v>
      </c>
      <c r="C7" s="447"/>
      <c r="D7" s="448"/>
      <c r="E7" s="449"/>
      <c r="F7" s="450"/>
      <c r="G7" s="451"/>
      <c r="H7" s="452"/>
      <c r="I7" s="450"/>
      <c r="J7" s="463"/>
      <c r="K7" s="464"/>
      <c r="L7" s="465"/>
      <c r="M7" s="466">
        <f>SUMIF(货款付款统计表!$C$4:$C$20,供应商货款!D7,货款付款统计表!$F$4:$F$20)</f>
        <v>0</v>
      </c>
      <c r="N7" s="466">
        <f>SUMIF(货款付款统计表!C6:C22,D7,货款付款统计表!G6:G22)</f>
        <v>0</v>
      </c>
      <c r="O7" s="466">
        <f t="shared" si="0"/>
        <v>0</v>
      </c>
      <c r="P7" s="467" t="e">
        <f t="shared" si="1"/>
        <v>#DIV/0!</v>
      </c>
      <c r="Q7" s="474"/>
    </row>
    <row r="8" ht="15" spans="1:17">
      <c r="A8" s="439"/>
      <c r="B8" s="440">
        <v>4</v>
      </c>
      <c r="C8" s="447"/>
      <c r="D8" s="448"/>
      <c r="E8" s="449"/>
      <c r="F8" s="450"/>
      <c r="G8" s="451"/>
      <c r="H8" s="452"/>
      <c r="I8" s="450"/>
      <c r="J8" s="463"/>
      <c r="K8" s="464"/>
      <c r="L8" s="465"/>
      <c r="M8" s="466">
        <f>SUMIF(货款付款统计表!$C$4:$C$20,供应商货款!D8,货款付款统计表!$F$4:$F$20)</f>
        <v>0</v>
      </c>
      <c r="N8" s="466">
        <f>SUMIF(货款付款统计表!C7:C23,D8,货款付款统计表!G7:G23)</f>
        <v>0</v>
      </c>
      <c r="O8" s="466">
        <f t="shared" si="0"/>
        <v>0</v>
      </c>
      <c r="P8" s="467" t="e">
        <f t="shared" si="1"/>
        <v>#DIV/0!</v>
      </c>
      <c r="Q8" s="474"/>
    </row>
    <row r="9" ht="15" spans="1:18">
      <c r="A9" s="439"/>
      <c r="B9" s="440">
        <v>5</v>
      </c>
      <c r="C9" s="447"/>
      <c r="D9" s="448"/>
      <c r="E9" s="449"/>
      <c r="F9" s="450"/>
      <c r="G9" s="451"/>
      <c r="H9" s="452"/>
      <c r="I9" s="450"/>
      <c r="J9" s="463"/>
      <c r="K9" s="464"/>
      <c r="L9" s="465"/>
      <c r="M9" s="466">
        <f>SUMIF(货款付款统计表!$C$4:$C$20,供应商货款!D9,货款付款统计表!$F$4:$F$20)</f>
        <v>0</v>
      </c>
      <c r="N9" s="466">
        <f>SUMIF(货款付款统计表!C8:C24,D9,货款付款统计表!G8:G24)</f>
        <v>0</v>
      </c>
      <c r="O9" s="466">
        <f t="shared" si="0"/>
        <v>0</v>
      </c>
      <c r="P9" s="467" t="e">
        <f t="shared" si="1"/>
        <v>#DIV/0!</v>
      </c>
      <c r="Q9" s="474"/>
      <c r="R9" s="213"/>
    </row>
    <row r="10" ht="15" spans="1:17">
      <c r="A10" s="439"/>
      <c r="B10" s="440"/>
      <c r="C10" s="447"/>
      <c r="D10" s="448"/>
      <c r="E10" s="449"/>
      <c r="F10" s="450"/>
      <c r="G10" s="451"/>
      <c r="H10" s="452"/>
      <c r="I10" s="450"/>
      <c r="J10" s="463"/>
      <c r="K10" s="464"/>
      <c r="L10" s="465">
        <f>J10+K10</f>
        <v>0</v>
      </c>
      <c r="M10" s="466">
        <f>SUMIF(货款付款统计表!$C$4:$C$20,供应商货款!D10,货款付款统计表!$H$4:$H$20)</f>
        <v>0</v>
      </c>
      <c r="N10" s="466">
        <f>SUMIF(货款付款统计表!C21:C40,D10,货款付款统计表!G21:G40)</f>
        <v>0</v>
      </c>
      <c r="O10" s="466">
        <f t="shared" si="0"/>
        <v>0</v>
      </c>
      <c r="P10" s="467" t="e">
        <f t="shared" si="1"/>
        <v>#DIV/0!</v>
      </c>
      <c r="Q10" s="474"/>
    </row>
    <row r="11" ht="15" spans="1:17">
      <c r="A11" s="439"/>
      <c r="B11" s="440"/>
      <c r="C11" s="447"/>
      <c r="D11" s="448"/>
      <c r="E11" s="449"/>
      <c r="F11" s="450"/>
      <c r="G11" s="451"/>
      <c r="H11" s="452"/>
      <c r="I11" s="450"/>
      <c r="J11" s="463"/>
      <c r="K11" s="464"/>
      <c r="L11" s="465">
        <f t="shared" ref="L11" si="2">J11+K11</f>
        <v>0</v>
      </c>
      <c r="M11" s="466">
        <f>SUMIF(货款付款统计表!$C$4:$C$20,供应商货款!D11,货款付款统计表!$H$4:$H$20)</f>
        <v>0</v>
      </c>
      <c r="N11" s="466">
        <f>SUMIF(货款付款统计表!C21:C41,D11,货款付款统计表!G21:G41)</f>
        <v>0</v>
      </c>
      <c r="O11" s="466">
        <f t="shared" si="0"/>
        <v>0</v>
      </c>
      <c r="P11" s="467" t="e">
        <f t="shared" si="1"/>
        <v>#DIV/0!</v>
      </c>
      <c r="Q11" s="474"/>
    </row>
    <row r="12" ht="16.35" spans="1:17">
      <c r="A12" s="453"/>
      <c r="B12" s="454" t="s">
        <v>82</v>
      </c>
      <c r="C12" s="455"/>
      <c r="D12" s="455"/>
      <c r="E12" s="455"/>
      <c r="F12" s="455"/>
      <c r="G12" s="455"/>
      <c r="H12" s="455"/>
      <c r="I12" s="455"/>
      <c r="J12" s="468">
        <f t="shared" ref="J12:O12" si="3">SUM(J5:J11)</f>
        <v>0</v>
      </c>
      <c r="K12" s="468">
        <f t="shared" si="3"/>
        <v>0</v>
      </c>
      <c r="L12" s="468">
        <f t="shared" si="3"/>
        <v>0</v>
      </c>
      <c r="M12" s="468">
        <f t="shared" si="3"/>
        <v>0</v>
      </c>
      <c r="N12" s="468">
        <f t="shared" si="3"/>
        <v>0</v>
      </c>
      <c r="O12" s="468">
        <f t="shared" si="3"/>
        <v>0</v>
      </c>
      <c r="P12" s="469" t="e">
        <f t="shared" si="1"/>
        <v>#DIV/0!</v>
      </c>
      <c r="Q12" s="475"/>
    </row>
    <row r="13" s="432" customFormat="1" ht="12.75" spans="13:15">
      <c r="M13" s="470">
        <f>M12-货款付款统计表!F21</f>
        <v>0</v>
      </c>
      <c r="N13" s="470">
        <f>N12-货款付款统计表!G21</f>
        <v>0</v>
      </c>
      <c r="O13" s="470">
        <f>O12-货款付款统计表!H21</f>
        <v>0</v>
      </c>
    </row>
    <row r="15" spans="13:13">
      <c r="M15" s="471" t="s">
        <v>159</v>
      </c>
    </row>
    <row r="16" spans="13:15">
      <c r="M16" s="472" t="e">
        <f>(M12-#REF!)/J12</f>
        <v>#REF!</v>
      </c>
      <c r="O16" s="268"/>
    </row>
    <row r="17" spans="15:15">
      <c r="O17" s="268"/>
    </row>
  </sheetData>
  <protectedRanges>
    <protectedRange sqref="J5:K11" name="区域2"/>
    <protectedRange sqref="I5:I11 D5:H9 C5:C11 H10:H11 D10:G11" name="区域1"/>
  </protectedRanges>
  <mergeCells count="16">
    <mergeCell ref="J3:L3"/>
    <mergeCell ref="M3:O3"/>
    <mergeCell ref="B12:I12"/>
    <mergeCell ref="A3:A4"/>
    <mergeCell ref="A5:A12"/>
    <mergeCell ref="B3:B4"/>
    <mergeCell ref="C3:C4"/>
    <mergeCell ref="D3:D4"/>
    <mergeCell ref="E3:E4"/>
    <mergeCell ref="F3:F4"/>
    <mergeCell ref="G3:G4"/>
    <mergeCell ref="H3:H4"/>
    <mergeCell ref="I3:I4"/>
    <mergeCell ref="P3:P4"/>
    <mergeCell ref="Q3:Q4"/>
    <mergeCell ref="A1:Q2"/>
  </mergeCells>
  <pageMargins left="0.699305555555556" right="0.699305555555556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5"/>
  <sheetViews>
    <sheetView topLeftCell="A53" workbookViewId="0">
      <selection activeCell="B12" sqref="B12"/>
    </sheetView>
  </sheetViews>
  <sheetFormatPr defaultColWidth="9" defaultRowHeight="13.2"/>
  <cols>
    <col min="1" max="1" width="9.25925925925926" style="354" customWidth="1"/>
    <col min="2" max="2" width="18.8796296296296" style="355" customWidth="1"/>
    <col min="3" max="3" width="17.2592592592593" style="355" customWidth="1"/>
    <col min="4" max="4" width="29.6296296296296" style="356" customWidth="1"/>
    <col min="5" max="5" width="16.1296296296296" style="356" customWidth="1"/>
    <col min="6" max="6" width="7.5" style="356" hidden="1" customWidth="1"/>
    <col min="7" max="7" width="8.87962962962963" style="356" customWidth="1"/>
    <col min="8" max="8" width="7.5" style="356" hidden="1" customWidth="1"/>
    <col min="9" max="9" width="12.8796296296296" style="357" customWidth="1"/>
    <col min="10" max="11" width="14.3796296296296" style="357" customWidth="1"/>
    <col min="12" max="12" width="28.8796296296296" style="355" customWidth="1"/>
    <col min="13" max="13" width="7.5" style="356" customWidth="1"/>
    <col min="14" max="14" width="4.5" style="358" customWidth="1"/>
    <col min="15" max="15" width="7.12962962962963" style="355" customWidth="1"/>
    <col min="16" max="16" width="11.6296296296296" style="355" customWidth="1"/>
    <col min="17" max="16384" width="9" style="355"/>
  </cols>
  <sheetData>
    <row r="1" ht="17.4" spans="1:8">
      <c r="A1" s="359" t="s">
        <v>160</v>
      </c>
      <c r="B1" s="359"/>
      <c r="C1" s="359"/>
      <c r="D1" s="359"/>
      <c r="E1" s="359"/>
      <c r="F1" s="360"/>
      <c r="G1" s="361" t="s">
        <v>144</v>
      </c>
      <c r="H1" s="362"/>
    </row>
    <row r="2" ht="17.4" spans="1:8">
      <c r="A2" s="359"/>
      <c r="B2" s="359"/>
      <c r="C2" s="359"/>
      <c r="D2" s="359"/>
      <c r="E2" s="359"/>
      <c r="F2" s="360"/>
      <c r="G2" s="363">
        <v>1</v>
      </c>
      <c r="H2" s="362"/>
    </row>
    <row r="3" ht="16.2" spans="1:8">
      <c r="A3" s="364"/>
      <c r="B3" s="365" t="s">
        <v>161</v>
      </c>
      <c r="C3" s="365" t="s">
        <v>162</v>
      </c>
      <c r="D3" s="365" t="s">
        <v>163</v>
      </c>
      <c r="E3" s="366" t="s">
        <v>164</v>
      </c>
      <c r="F3" s="367"/>
      <c r="G3" s="368"/>
      <c r="H3" s="355"/>
    </row>
    <row r="4" ht="16.2" spans="1:8">
      <c r="A4" s="369" t="s">
        <v>165</v>
      </c>
      <c r="B4" s="370">
        <v>11874653.38</v>
      </c>
      <c r="C4" s="371">
        <f>SUMIF(F:F,$G$2,I:I)</f>
        <v>1308197.35</v>
      </c>
      <c r="D4" s="372">
        <f>SUMIF(H11:H502,G2,I11:I502)</f>
        <v>712456.77</v>
      </c>
      <c r="E4" s="371">
        <f>B4+C4-D4</f>
        <v>12470393.96</v>
      </c>
      <c r="F4" s="373"/>
      <c r="G4" s="355"/>
      <c r="H4" s="355"/>
    </row>
    <row r="5" ht="16.2" spans="1:8">
      <c r="A5" s="369" t="s">
        <v>166</v>
      </c>
      <c r="B5" s="370">
        <v>5512314.35</v>
      </c>
      <c r="C5" s="374">
        <f>SUMIF(F11:F502,G2,J11:J502)</f>
        <v>654098.68</v>
      </c>
      <c r="D5" s="374">
        <f>SUMIF(H11:H502,G2,J11:J502)</f>
        <v>284982.71</v>
      </c>
      <c r="E5" s="371">
        <f>B5+C5-D5</f>
        <v>5881430.32</v>
      </c>
      <c r="F5" s="373"/>
      <c r="G5" s="355"/>
      <c r="H5" s="355"/>
    </row>
    <row r="6" ht="16.2" spans="1:8">
      <c r="A6" s="369" t="s">
        <v>167</v>
      </c>
      <c r="B6" s="370">
        <v>6362339.03</v>
      </c>
      <c r="C6" s="375">
        <f>C4-C5</f>
        <v>654098.67</v>
      </c>
      <c r="D6" s="375">
        <f t="shared" ref="D6:E6" si="0">D4-D5</f>
        <v>427474.06</v>
      </c>
      <c r="E6" s="375">
        <f t="shared" si="0"/>
        <v>6588963.64</v>
      </c>
      <c r="F6" s="376"/>
      <c r="G6" s="355"/>
      <c r="H6" s="355"/>
    </row>
    <row r="7" spans="2:3">
      <c r="B7" s="377"/>
      <c r="C7" s="378">
        <f>C4-货款付款统计表!$G$21</f>
        <v>1308197.35</v>
      </c>
    </row>
    <row r="8" spans="2:2">
      <c r="B8" s="377"/>
    </row>
    <row r="9" ht="16.2" spans="1:14">
      <c r="A9" s="379" t="s">
        <v>168</v>
      </c>
      <c r="B9" s="380"/>
      <c r="C9" s="380"/>
      <c r="D9" s="380"/>
      <c r="E9" s="380"/>
      <c r="F9" s="380"/>
      <c r="G9" s="380"/>
      <c r="H9" s="380"/>
      <c r="I9" s="380"/>
      <c r="J9" s="380"/>
      <c r="K9" s="380"/>
      <c r="L9" s="380"/>
      <c r="M9" s="380"/>
      <c r="N9" s="408"/>
    </row>
    <row r="10" s="354" customFormat="1" spans="1:14">
      <c r="A10" s="381" t="s">
        <v>169</v>
      </c>
      <c r="B10" s="382" t="s">
        <v>170</v>
      </c>
      <c r="C10" s="382" t="s">
        <v>171</v>
      </c>
      <c r="D10" s="382" t="s">
        <v>172</v>
      </c>
      <c r="E10" s="382" t="s">
        <v>173</v>
      </c>
      <c r="F10" s="382" t="s">
        <v>174</v>
      </c>
      <c r="G10" s="382" t="s">
        <v>175</v>
      </c>
      <c r="H10" s="382" t="s">
        <v>176</v>
      </c>
      <c r="I10" s="409" t="s">
        <v>177</v>
      </c>
      <c r="J10" s="409" t="s">
        <v>178</v>
      </c>
      <c r="K10" s="409" t="s">
        <v>179</v>
      </c>
      <c r="L10" s="409" t="s">
        <v>180</v>
      </c>
      <c r="M10" s="382" t="s">
        <v>181</v>
      </c>
      <c r="N10" s="382" t="s">
        <v>155</v>
      </c>
    </row>
    <row r="11" ht="15" customHeight="1" spans="1:14">
      <c r="A11" s="383">
        <v>44</v>
      </c>
      <c r="B11" s="384" t="s">
        <v>182</v>
      </c>
      <c r="C11" s="385"/>
      <c r="D11" s="386"/>
      <c r="E11" s="387">
        <v>43020</v>
      </c>
      <c r="F11" s="386">
        <f t="shared" ref="F11:F27" si="1">MONTH(E11)</f>
        <v>10</v>
      </c>
      <c r="G11" s="387">
        <v>43202</v>
      </c>
      <c r="H11" s="386">
        <f t="shared" ref="H11:H27" si="2">MONTH(G11)</f>
        <v>4</v>
      </c>
      <c r="I11" s="410">
        <v>200000</v>
      </c>
      <c r="J11" s="410">
        <v>2711000</v>
      </c>
      <c r="K11" s="410">
        <v>2710355.97</v>
      </c>
      <c r="L11" s="411"/>
      <c r="M11" s="411"/>
      <c r="N11" s="411"/>
    </row>
    <row r="12" ht="15" customHeight="1" spans="1:14">
      <c r="A12" s="381">
        <v>45</v>
      </c>
      <c r="B12" s="388" t="s">
        <v>182</v>
      </c>
      <c r="C12" s="388"/>
      <c r="D12" s="389"/>
      <c r="E12" s="390">
        <v>43020</v>
      </c>
      <c r="F12" s="389">
        <f t="shared" si="1"/>
        <v>10</v>
      </c>
      <c r="G12" s="390">
        <v>43202</v>
      </c>
      <c r="H12" s="389">
        <f t="shared" si="2"/>
        <v>4</v>
      </c>
      <c r="I12" s="14">
        <v>200000</v>
      </c>
      <c r="J12" s="410"/>
      <c r="K12" s="410"/>
      <c r="L12" s="412"/>
      <c r="M12" s="412"/>
      <c r="N12" s="412"/>
    </row>
    <row r="13" ht="15" customHeight="1" spans="1:14">
      <c r="A13" s="381">
        <v>46</v>
      </c>
      <c r="B13" s="388" t="s">
        <v>182</v>
      </c>
      <c r="C13" s="388"/>
      <c r="D13" s="389"/>
      <c r="E13" s="390">
        <v>43020</v>
      </c>
      <c r="F13" s="389">
        <f t="shared" si="1"/>
        <v>10</v>
      </c>
      <c r="G13" s="390">
        <v>43202</v>
      </c>
      <c r="H13" s="389">
        <f t="shared" si="2"/>
        <v>4</v>
      </c>
      <c r="I13" s="14">
        <v>200000</v>
      </c>
      <c r="J13" s="410"/>
      <c r="K13" s="410"/>
      <c r="L13" s="412"/>
      <c r="M13" s="412"/>
      <c r="N13" s="412"/>
    </row>
    <row r="14" ht="15" customHeight="1" spans="1:14">
      <c r="A14" s="381">
        <v>47</v>
      </c>
      <c r="B14" s="388" t="s">
        <v>182</v>
      </c>
      <c r="C14" s="388"/>
      <c r="D14" s="389"/>
      <c r="E14" s="390">
        <v>43020</v>
      </c>
      <c r="F14" s="389">
        <f t="shared" si="1"/>
        <v>10</v>
      </c>
      <c r="G14" s="390">
        <v>43202</v>
      </c>
      <c r="H14" s="389">
        <f t="shared" si="2"/>
        <v>4</v>
      </c>
      <c r="I14" s="14">
        <v>200000</v>
      </c>
      <c r="J14" s="410"/>
      <c r="K14" s="410"/>
      <c r="L14" s="412"/>
      <c r="M14" s="412"/>
      <c r="N14" s="412"/>
    </row>
    <row r="15" ht="15" customHeight="1" spans="1:14">
      <c r="A15" s="381">
        <v>48</v>
      </c>
      <c r="B15" s="388" t="s">
        <v>182</v>
      </c>
      <c r="C15" s="388"/>
      <c r="D15" s="389"/>
      <c r="E15" s="390">
        <v>43020</v>
      </c>
      <c r="F15" s="389">
        <f t="shared" si="1"/>
        <v>10</v>
      </c>
      <c r="G15" s="390">
        <v>43202</v>
      </c>
      <c r="H15" s="389">
        <f t="shared" si="2"/>
        <v>4</v>
      </c>
      <c r="I15" s="14">
        <v>200000</v>
      </c>
      <c r="J15" s="410"/>
      <c r="K15" s="410"/>
      <c r="L15" s="412"/>
      <c r="M15" s="412"/>
      <c r="N15" s="412"/>
    </row>
    <row r="16" ht="15" customHeight="1" spans="1:14">
      <c r="A16" s="381">
        <v>49</v>
      </c>
      <c r="B16" s="388" t="s">
        <v>182</v>
      </c>
      <c r="C16" s="388"/>
      <c r="D16" s="389"/>
      <c r="E16" s="390">
        <v>43020</v>
      </c>
      <c r="F16" s="389">
        <f t="shared" si="1"/>
        <v>10</v>
      </c>
      <c r="G16" s="390">
        <v>43202</v>
      </c>
      <c r="H16" s="389">
        <f t="shared" si="2"/>
        <v>4</v>
      </c>
      <c r="I16" s="14">
        <v>200000</v>
      </c>
      <c r="J16" s="410"/>
      <c r="K16" s="410"/>
      <c r="L16" s="412"/>
      <c r="M16" s="412"/>
      <c r="N16" s="412"/>
    </row>
    <row r="17" ht="15" customHeight="1" spans="1:14">
      <c r="A17" s="381">
        <v>50</v>
      </c>
      <c r="B17" s="388" t="s">
        <v>182</v>
      </c>
      <c r="C17" s="388"/>
      <c r="D17" s="389"/>
      <c r="E17" s="390">
        <v>43020</v>
      </c>
      <c r="F17" s="389">
        <f t="shared" si="1"/>
        <v>10</v>
      </c>
      <c r="G17" s="390">
        <v>43202</v>
      </c>
      <c r="H17" s="389">
        <f t="shared" si="2"/>
        <v>4</v>
      </c>
      <c r="I17" s="14">
        <v>200000</v>
      </c>
      <c r="J17" s="410"/>
      <c r="K17" s="410"/>
      <c r="L17" s="412"/>
      <c r="M17" s="412"/>
      <c r="N17" s="412"/>
    </row>
    <row r="18" ht="15" customHeight="1" spans="1:14">
      <c r="A18" s="381">
        <v>51</v>
      </c>
      <c r="B18" s="388" t="s">
        <v>182</v>
      </c>
      <c r="C18" s="388"/>
      <c r="D18" s="389"/>
      <c r="E18" s="390">
        <v>43020</v>
      </c>
      <c r="F18" s="389">
        <f t="shared" si="1"/>
        <v>10</v>
      </c>
      <c r="G18" s="390">
        <v>43202</v>
      </c>
      <c r="H18" s="389">
        <f t="shared" si="2"/>
        <v>4</v>
      </c>
      <c r="I18" s="14">
        <v>200000</v>
      </c>
      <c r="J18" s="410"/>
      <c r="K18" s="410"/>
      <c r="L18" s="412"/>
      <c r="M18" s="412"/>
      <c r="N18" s="412"/>
    </row>
    <row r="19" ht="15" customHeight="1" spans="1:14">
      <c r="A19" s="381">
        <v>52</v>
      </c>
      <c r="B19" s="388" t="s">
        <v>182</v>
      </c>
      <c r="C19" s="388"/>
      <c r="D19" s="389"/>
      <c r="E19" s="390">
        <v>43020</v>
      </c>
      <c r="F19" s="389">
        <f t="shared" si="1"/>
        <v>10</v>
      </c>
      <c r="G19" s="390">
        <v>43202</v>
      </c>
      <c r="H19" s="389">
        <f t="shared" si="2"/>
        <v>4</v>
      </c>
      <c r="I19" s="14">
        <v>144241</v>
      </c>
      <c r="J19" s="410"/>
      <c r="K19" s="410"/>
      <c r="L19" s="412"/>
      <c r="M19" s="412"/>
      <c r="N19" s="412"/>
    </row>
    <row r="20" ht="15" customHeight="1" spans="1:14">
      <c r="A20" s="381">
        <v>53</v>
      </c>
      <c r="B20" s="388" t="s">
        <v>182</v>
      </c>
      <c r="C20" s="388"/>
      <c r="D20" s="389"/>
      <c r="E20" s="390">
        <v>43020</v>
      </c>
      <c r="F20" s="389">
        <f t="shared" si="1"/>
        <v>10</v>
      </c>
      <c r="G20" s="390">
        <v>43202</v>
      </c>
      <c r="H20" s="389">
        <f t="shared" si="2"/>
        <v>4</v>
      </c>
      <c r="I20" s="14">
        <v>200000</v>
      </c>
      <c r="J20" s="410"/>
      <c r="K20" s="410"/>
      <c r="L20" s="412"/>
      <c r="M20" s="412"/>
      <c r="N20" s="412"/>
    </row>
    <row r="21" ht="15" customHeight="1" spans="1:14">
      <c r="A21" s="381">
        <v>54</v>
      </c>
      <c r="B21" s="388" t="s">
        <v>182</v>
      </c>
      <c r="C21" s="388"/>
      <c r="D21" s="389"/>
      <c r="E21" s="390">
        <v>43020</v>
      </c>
      <c r="F21" s="389">
        <f t="shared" si="1"/>
        <v>10</v>
      </c>
      <c r="G21" s="390">
        <v>43202</v>
      </c>
      <c r="H21" s="389">
        <f t="shared" si="2"/>
        <v>4</v>
      </c>
      <c r="I21" s="14">
        <v>200000</v>
      </c>
      <c r="J21" s="410"/>
      <c r="K21" s="410"/>
      <c r="L21" s="412"/>
      <c r="M21" s="412"/>
      <c r="N21" s="412"/>
    </row>
    <row r="22" ht="15" customHeight="1" spans="1:14">
      <c r="A22" s="381">
        <v>55</v>
      </c>
      <c r="B22" s="388" t="s">
        <v>182</v>
      </c>
      <c r="C22" s="388"/>
      <c r="D22" s="389"/>
      <c r="E22" s="390">
        <v>43020</v>
      </c>
      <c r="F22" s="389">
        <f t="shared" si="1"/>
        <v>10</v>
      </c>
      <c r="G22" s="390">
        <v>43202</v>
      </c>
      <c r="H22" s="389">
        <f t="shared" si="2"/>
        <v>4</v>
      </c>
      <c r="I22" s="14">
        <v>200000</v>
      </c>
      <c r="J22" s="410"/>
      <c r="K22" s="410"/>
      <c r="L22" s="412"/>
      <c r="M22" s="412"/>
      <c r="N22" s="412"/>
    </row>
    <row r="23" ht="15" customHeight="1" spans="1:14">
      <c r="A23" s="381">
        <v>56</v>
      </c>
      <c r="B23" s="388" t="s">
        <v>182</v>
      </c>
      <c r="C23" s="388"/>
      <c r="D23" s="389"/>
      <c r="E23" s="390">
        <v>43020</v>
      </c>
      <c r="F23" s="389">
        <f t="shared" si="1"/>
        <v>10</v>
      </c>
      <c r="G23" s="390">
        <v>43202</v>
      </c>
      <c r="H23" s="389">
        <f t="shared" si="2"/>
        <v>4</v>
      </c>
      <c r="I23" s="14">
        <v>200000</v>
      </c>
      <c r="J23" s="410"/>
      <c r="K23" s="410"/>
      <c r="L23" s="412"/>
      <c r="M23" s="412"/>
      <c r="N23" s="412"/>
    </row>
    <row r="24" ht="15" customHeight="1" spans="1:14">
      <c r="A24" s="381">
        <v>57</v>
      </c>
      <c r="B24" s="388" t="s">
        <v>182</v>
      </c>
      <c r="C24" s="388"/>
      <c r="D24" s="389"/>
      <c r="E24" s="390">
        <v>43020</v>
      </c>
      <c r="F24" s="389">
        <f t="shared" si="1"/>
        <v>10</v>
      </c>
      <c r="G24" s="390">
        <v>43202</v>
      </c>
      <c r="H24" s="389">
        <f t="shared" si="2"/>
        <v>4</v>
      </c>
      <c r="I24" s="14">
        <v>1224065.46</v>
      </c>
      <c r="J24" s="410"/>
      <c r="K24" s="410"/>
      <c r="L24" s="412"/>
      <c r="M24" s="412"/>
      <c r="N24" s="412"/>
    </row>
    <row r="25" ht="15" customHeight="1" spans="1:14">
      <c r="A25" s="381">
        <v>58</v>
      </c>
      <c r="B25" s="388" t="s">
        <v>182</v>
      </c>
      <c r="C25" s="388"/>
      <c r="D25" s="389"/>
      <c r="E25" s="390">
        <v>43020</v>
      </c>
      <c r="F25" s="389">
        <f t="shared" si="1"/>
        <v>10</v>
      </c>
      <c r="G25" s="390">
        <v>43202</v>
      </c>
      <c r="H25" s="389">
        <f t="shared" si="2"/>
        <v>4</v>
      </c>
      <c r="I25" s="14">
        <v>1453049.51</v>
      </c>
      <c r="J25" s="410"/>
      <c r="K25" s="410"/>
      <c r="L25" s="412"/>
      <c r="M25" s="412"/>
      <c r="N25" s="412"/>
    </row>
    <row r="26" ht="15" customHeight="1" spans="1:14">
      <c r="A26" s="391">
        <v>59</v>
      </c>
      <c r="B26" s="392" t="s">
        <v>182</v>
      </c>
      <c r="C26" s="392"/>
      <c r="D26" s="393"/>
      <c r="E26" s="394">
        <v>43020</v>
      </c>
      <c r="F26" s="393">
        <f t="shared" si="1"/>
        <v>10</v>
      </c>
      <c r="G26" s="394">
        <v>43202</v>
      </c>
      <c r="H26" s="393">
        <f t="shared" si="2"/>
        <v>4</v>
      </c>
      <c r="I26" s="413">
        <v>200000</v>
      </c>
      <c r="J26" s="413"/>
      <c r="K26" s="413"/>
      <c r="L26" s="414"/>
      <c r="M26" s="414"/>
      <c r="N26" s="414"/>
    </row>
    <row r="27" ht="15" customHeight="1" spans="1:14">
      <c r="A27" s="395">
        <v>60</v>
      </c>
      <c r="B27" s="396" t="s">
        <v>183</v>
      </c>
      <c r="C27" s="396"/>
      <c r="D27" s="397"/>
      <c r="E27" s="387">
        <v>43034</v>
      </c>
      <c r="F27" s="386">
        <f t="shared" si="1"/>
        <v>10</v>
      </c>
      <c r="G27" s="387">
        <v>43123</v>
      </c>
      <c r="H27" s="386">
        <f t="shared" si="2"/>
        <v>1</v>
      </c>
      <c r="I27" s="415">
        <v>112456.77</v>
      </c>
      <c r="J27" s="416">
        <v>284982.71</v>
      </c>
      <c r="K27" s="416">
        <v>427474.06</v>
      </c>
      <c r="L27" s="410"/>
      <c r="M27" s="410"/>
      <c r="N27" s="410"/>
    </row>
    <row r="28" ht="15" customHeight="1" spans="1:14">
      <c r="A28" s="395">
        <v>61</v>
      </c>
      <c r="B28" s="388" t="s">
        <v>183</v>
      </c>
      <c r="C28" s="396"/>
      <c r="D28" s="397"/>
      <c r="E28" s="390">
        <v>43034</v>
      </c>
      <c r="F28" s="389">
        <f t="shared" ref="F28:F47" si="3">MONTH(E28)</f>
        <v>10</v>
      </c>
      <c r="G28" s="390">
        <v>43123</v>
      </c>
      <c r="H28" s="389">
        <f t="shared" ref="H28:H61" si="4">MONTH(G28)</f>
        <v>1</v>
      </c>
      <c r="I28" s="417">
        <v>200000</v>
      </c>
      <c r="J28" s="410"/>
      <c r="K28" s="410"/>
      <c r="L28" s="14"/>
      <c r="M28" s="14"/>
      <c r="N28" s="14"/>
    </row>
    <row r="29" ht="15" customHeight="1" spans="1:14">
      <c r="A29" s="395">
        <v>62</v>
      </c>
      <c r="B29" s="388" t="s">
        <v>183</v>
      </c>
      <c r="C29" s="388"/>
      <c r="D29" s="397"/>
      <c r="E29" s="390">
        <v>43034</v>
      </c>
      <c r="F29" s="389">
        <f t="shared" si="3"/>
        <v>10</v>
      </c>
      <c r="G29" s="390">
        <v>43123</v>
      </c>
      <c r="H29" s="389">
        <f t="shared" si="4"/>
        <v>1</v>
      </c>
      <c r="I29" s="417">
        <v>200000</v>
      </c>
      <c r="J29" s="410"/>
      <c r="K29" s="410"/>
      <c r="L29" s="14"/>
      <c r="M29" s="14"/>
      <c r="N29" s="14"/>
    </row>
    <row r="30" ht="15" customHeight="1" spans="1:14">
      <c r="A30" s="391">
        <v>63</v>
      </c>
      <c r="B30" s="392" t="s">
        <v>183</v>
      </c>
      <c r="C30" s="392"/>
      <c r="D30" s="393"/>
      <c r="E30" s="394">
        <v>43034</v>
      </c>
      <c r="F30" s="393">
        <f t="shared" si="3"/>
        <v>10</v>
      </c>
      <c r="G30" s="394">
        <v>43123</v>
      </c>
      <c r="H30" s="393">
        <f t="shared" si="4"/>
        <v>1</v>
      </c>
      <c r="I30" s="418">
        <v>200000</v>
      </c>
      <c r="J30" s="413"/>
      <c r="K30" s="413"/>
      <c r="L30" s="413"/>
      <c r="M30" s="413"/>
      <c r="N30" s="413"/>
    </row>
    <row r="31" ht="15" customHeight="1" spans="1:14">
      <c r="A31" s="398">
        <v>64</v>
      </c>
      <c r="B31" s="385" t="s">
        <v>184</v>
      </c>
      <c r="C31" s="396"/>
      <c r="D31" s="399"/>
      <c r="E31" s="387">
        <v>43039</v>
      </c>
      <c r="F31" s="386">
        <f t="shared" si="3"/>
        <v>10</v>
      </c>
      <c r="G31" s="387">
        <v>43220</v>
      </c>
      <c r="H31" s="386">
        <f t="shared" si="4"/>
        <v>4</v>
      </c>
      <c r="I31" s="419">
        <v>100000</v>
      </c>
      <c r="J31" s="416">
        <v>1099976.92</v>
      </c>
      <c r="K31" s="416">
        <v>1099976.92</v>
      </c>
      <c r="L31" s="411"/>
      <c r="M31" s="411"/>
      <c r="N31" s="411"/>
    </row>
    <row r="32" ht="15" customHeight="1" spans="1:14">
      <c r="A32" s="395">
        <v>65</v>
      </c>
      <c r="B32" s="388" t="s">
        <v>184</v>
      </c>
      <c r="C32" s="396"/>
      <c r="D32" s="397"/>
      <c r="E32" s="390">
        <v>43039</v>
      </c>
      <c r="F32" s="389">
        <f t="shared" si="3"/>
        <v>10</v>
      </c>
      <c r="G32" s="390">
        <v>43220</v>
      </c>
      <c r="H32" s="389">
        <f t="shared" si="4"/>
        <v>4</v>
      </c>
      <c r="I32" s="417">
        <v>100000</v>
      </c>
      <c r="J32" s="410"/>
      <c r="K32" s="410"/>
      <c r="L32" s="412"/>
      <c r="M32" s="412"/>
      <c r="N32" s="412"/>
    </row>
    <row r="33" ht="15" customHeight="1" spans="1:14">
      <c r="A33" s="398">
        <v>66</v>
      </c>
      <c r="B33" s="388" t="s">
        <v>184</v>
      </c>
      <c r="C33" s="396"/>
      <c r="D33" s="397"/>
      <c r="E33" s="390">
        <v>43039</v>
      </c>
      <c r="F33" s="389">
        <f t="shared" si="3"/>
        <v>10</v>
      </c>
      <c r="G33" s="390">
        <v>43220</v>
      </c>
      <c r="H33" s="389">
        <f t="shared" si="4"/>
        <v>4</v>
      </c>
      <c r="I33" s="417">
        <v>100000</v>
      </c>
      <c r="J33" s="410"/>
      <c r="K33" s="410"/>
      <c r="L33" s="412"/>
      <c r="M33" s="412"/>
      <c r="N33" s="412"/>
    </row>
    <row r="34" ht="15" customHeight="1" spans="1:14">
      <c r="A34" s="395">
        <v>67</v>
      </c>
      <c r="B34" s="388" t="s">
        <v>184</v>
      </c>
      <c r="C34" s="396"/>
      <c r="D34" s="397"/>
      <c r="E34" s="390">
        <v>43039</v>
      </c>
      <c r="F34" s="389">
        <f t="shared" si="3"/>
        <v>10</v>
      </c>
      <c r="G34" s="390">
        <v>43220</v>
      </c>
      <c r="H34" s="389">
        <f t="shared" si="4"/>
        <v>4</v>
      </c>
      <c r="I34" s="417">
        <v>100000</v>
      </c>
      <c r="J34" s="410"/>
      <c r="K34" s="410"/>
      <c r="L34" s="412"/>
      <c r="M34" s="412"/>
      <c r="N34" s="412"/>
    </row>
    <row r="35" ht="15" customHeight="1" spans="1:14">
      <c r="A35" s="398">
        <v>68</v>
      </c>
      <c r="B35" s="388" t="s">
        <v>184</v>
      </c>
      <c r="C35" s="396"/>
      <c r="D35" s="397"/>
      <c r="E35" s="390">
        <v>43039</v>
      </c>
      <c r="F35" s="389">
        <f t="shared" si="3"/>
        <v>10</v>
      </c>
      <c r="G35" s="390">
        <v>43220</v>
      </c>
      <c r="H35" s="389">
        <f t="shared" si="4"/>
        <v>4</v>
      </c>
      <c r="I35" s="417">
        <v>100000</v>
      </c>
      <c r="J35" s="410"/>
      <c r="K35" s="410"/>
      <c r="L35" s="412"/>
      <c r="M35" s="412"/>
      <c r="N35" s="412"/>
    </row>
    <row r="36" ht="15" customHeight="1" spans="1:14">
      <c r="A36" s="395">
        <v>69</v>
      </c>
      <c r="B36" s="388" t="s">
        <v>184</v>
      </c>
      <c r="C36" s="396"/>
      <c r="D36" s="397"/>
      <c r="E36" s="390">
        <v>43039</v>
      </c>
      <c r="F36" s="389">
        <f t="shared" si="3"/>
        <v>10</v>
      </c>
      <c r="G36" s="390">
        <v>43220</v>
      </c>
      <c r="H36" s="389">
        <f t="shared" si="4"/>
        <v>4</v>
      </c>
      <c r="I36" s="417">
        <v>129434</v>
      </c>
      <c r="J36" s="410"/>
      <c r="K36" s="410"/>
      <c r="L36" s="412"/>
      <c r="M36" s="412"/>
      <c r="N36" s="412"/>
    </row>
    <row r="37" ht="15" customHeight="1" spans="1:14">
      <c r="A37" s="398">
        <v>70</v>
      </c>
      <c r="B37" s="388" t="s">
        <v>184</v>
      </c>
      <c r="C37" s="396"/>
      <c r="D37" s="397"/>
      <c r="E37" s="390">
        <v>43039</v>
      </c>
      <c r="F37" s="389">
        <f t="shared" si="3"/>
        <v>10</v>
      </c>
      <c r="G37" s="390">
        <v>43220</v>
      </c>
      <c r="H37" s="389">
        <f t="shared" si="4"/>
        <v>4</v>
      </c>
      <c r="I37" s="417">
        <v>100000</v>
      </c>
      <c r="J37" s="410"/>
      <c r="K37" s="410"/>
      <c r="L37" s="412"/>
      <c r="M37" s="412"/>
      <c r="N37" s="412"/>
    </row>
    <row r="38" ht="15" customHeight="1" spans="1:14">
      <c r="A38" s="395">
        <v>71</v>
      </c>
      <c r="B38" s="388" t="s">
        <v>184</v>
      </c>
      <c r="C38" s="396"/>
      <c r="D38" s="397"/>
      <c r="E38" s="390">
        <v>43039</v>
      </c>
      <c r="F38" s="389">
        <f t="shared" si="3"/>
        <v>10</v>
      </c>
      <c r="G38" s="390">
        <v>43220</v>
      </c>
      <c r="H38" s="389">
        <f t="shared" si="4"/>
        <v>4</v>
      </c>
      <c r="I38" s="417">
        <v>760661.84</v>
      </c>
      <c r="J38" s="410"/>
      <c r="K38" s="410"/>
      <c r="L38" s="412"/>
      <c r="M38" s="412"/>
      <c r="N38" s="412"/>
    </row>
    <row r="39" ht="15" customHeight="1" spans="1:14">
      <c r="A39" s="398">
        <v>72</v>
      </c>
      <c r="B39" s="388" t="s">
        <v>184</v>
      </c>
      <c r="C39" s="396"/>
      <c r="D39" s="397"/>
      <c r="E39" s="390">
        <v>43039</v>
      </c>
      <c r="F39" s="389">
        <f t="shared" si="3"/>
        <v>10</v>
      </c>
      <c r="G39" s="390">
        <v>43220</v>
      </c>
      <c r="H39" s="389">
        <f t="shared" si="4"/>
        <v>4</v>
      </c>
      <c r="I39" s="417">
        <v>90607</v>
      </c>
      <c r="J39" s="410"/>
      <c r="K39" s="410"/>
      <c r="L39" s="412"/>
      <c r="M39" s="412"/>
      <c r="N39" s="412"/>
    </row>
    <row r="40" ht="15" customHeight="1" spans="1:14">
      <c r="A40" s="395">
        <v>73</v>
      </c>
      <c r="B40" s="388" t="s">
        <v>184</v>
      </c>
      <c r="C40" s="396"/>
      <c r="D40" s="397"/>
      <c r="E40" s="390">
        <v>43039</v>
      </c>
      <c r="F40" s="389">
        <f t="shared" si="3"/>
        <v>10</v>
      </c>
      <c r="G40" s="390">
        <v>43220</v>
      </c>
      <c r="H40" s="389">
        <f t="shared" si="4"/>
        <v>4</v>
      </c>
      <c r="I40" s="417">
        <v>100000</v>
      </c>
      <c r="J40" s="410"/>
      <c r="K40" s="410"/>
      <c r="L40" s="412"/>
      <c r="M40" s="412"/>
      <c r="N40" s="412"/>
    </row>
    <row r="41" ht="15" customHeight="1" spans="1:14">
      <c r="A41" s="398">
        <v>74</v>
      </c>
      <c r="B41" s="388" t="s">
        <v>184</v>
      </c>
      <c r="C41" s="396"/>
      <c r="D41" s="397"/>
      <c r="E41" s="390">
        <v>43039</v>
      </c>
      <c r="F41" s="389">
        <f t="shared" si="3"/>
        <v>10</v>
      </c>
      <c r="G41" s="390">
        <v>43220</v>
      </c>
      <c r="H41" s="389">
        <f t="shared" si="4"/>
        <v>4</v>
      </c>
      <c r="I41" s="417">
        <v>100000</v>
      </c>
      <c r="J41" s="410"/>
      <c r="K41" s="410"/>
      <c r="L41" s="412"/>
      <c r="M41" s="412"/>
      <c r="N41" s="412"/>
    </row>
    <row r="42" ht="15" customHeight="1" spans="1:14">
      <c r="A42" s="395">
        <v>75</v>
      </c>
      <c r="B42" s="388" t="s">
        <v>184</v>
      </c>
      <c r="C42" s="396"/>
      <c r="D42" s="397"/>
      <c r="E42" s="390">
        <v>43039</v>
      </c>
      <c r="F42" s="389">
        <f t="shared" si="3"/>
        <v>10</v>
      </c>
      <c r="G42" s="390">
        <v>43220</v>
      </c>
      <c r="H42" s="389">
        <f t="shared" si="4"/>
        <v>4</v>
      </c>
      <c r="I42" s="417">
        <v>19251</v>
      </c>
      <c r="J42" s="410"/>
      <c r="K42" s="410"/>
      <c r="L42" s="412"/>
      <c r="M42" s="412"/>
      <c r="N42" s="412"/>
    </row>
    <row r="43" ht="15" customHeight="1" spans="1:14">
      <c r="A43" s="398">
        <v>76</v>
      </c>
      <c r="B43" s="388" t="s">
        <v>184</v>
      </c>
      <c r="C43" s="396"/>
      <c r="D43" s="397"/>
      <c r="E43" s="390">
        <v>43039</v>
      </c>
      <c r="F43" s="389">
        <f t="shared" si="3"/>
        <v>10</v>
      </c>
      <c r="G43" s="390">
        <v>43220</v>
      </c>
      <c r="H43" s="389">
        <f t="shared" si="4"/>
        <v>4</v>
      </c>
      <c r="I43" s="417">
        <v>100000</v>
      </c>
      <c r="J43" s="410"/>
      <c r="K43" s="410"/>
      <c r="L43" s="412"/>
      <c r="M43" s="412"/>
      <c r="N43" s="412"/>
    </row>
    <row r="44" ht="15" customHeight="1" spans="1:14">
      <c r="A44" s="395">
        <v>77</v>
      </c>
      <c r="B44" s="388" t="s">
        <v>184</v>
      </c>
      <c r="C44" s="396"/>
      <c r="D44" s="397"/>
      <c r="E44" s="390">
        <v>43039</v>
      </c>
      <c r="F44" s="389">
        <f t="shared" si="3"/>
        <v>10</v>
      </c>
      <c r="G44" s="390">
        <v>43220</v>
      </c>
      <c r="H44" s="389">
        <f t="shared" si="4"/>
        <v>4</v>
      </c>
      <c r="I44" s="417">
        <v>100000</v>
      </c>
      <c r="J44" s="410"/>
      <c r="K44" s="410"/>
      <c r="L44" s="412"/>
      <c r="M44" s="412"/>
      <c r="N44" s="412"/>
    </row>
    <row r="45" ht="15" customHeight="1" spans="1:14">
      <c r="A45" s="398">
        <v>78</v>
      </c>
      <c r="B45" s="388" t="s">
        <v>184</v>
      </c>
      <c r="C45" s="388"/>
      <c r="D45" s="397"/>
      <c r="E45" s="390">
        <v>43039</v>
      </c>
      <c r="F45" s="389">
        <f t="shared" si="3"/>
        <v>10</v>
      </c>
      <c r="G45" s="390">
        <v>43220</v>
      </c>
      <c r="H45" s="389">
        <f t="shared" si="4"/>
        <v>4</v>
      </c>
      <c r="I45" s="417">
        <v>100000</v>
      </c>
      <c r="J45" s="410"/>
      <c r="K45" s="410"/>
      <c r="L45" s="412"/>
      <c r="M45" s="412"/>
      <c r="N45" s="412"/>
    </row>
    <row r="46" ht="15" customHeight="1" spans="1:14">
      <c r="A46" s="391">
        <v>79</v>
      </c>
      <c r="B46" s="392" t="s">
        <v>184</v>
      </c>
      <c r="C46" s="392"/>
      <c r="D46" s="393"/>
      <c r="E46" s="394">
        <v>43039</v>
      </c>
      <c r="F46" s="393">
        <f t="shared" si="3"/>
        <v>10</v>
      </c>
      <c r="G46" s="394">
        <v>43220</v>
      </c>
      <c r="H46" s="393">
        <f t="shared" si="4"/>
        <v>4</v>
      </c>
      <c r="I46" s="418">
        <v>100000</v>
      </c>
      <c r="J46" s="413"/>
      <c r="K46" s="413"/>
      <c r="L46" s="413"/>
      <c r="M46" s="413"/>
      <c r="N46" s="413"/>
    </row>
    <row r="47" ht="15" customHeight="1" spans="1:14">
      <c r="A47" s="400">
        <v>80</v>
      </c>
      <c r="B47" s="401" t="s">
        <v>183</v>
      </c>
      <c r="C47" s="385"/>
      <c r="D47" s="386"/>
      <c r="E47" s="387">
        <v>43069</v>
      </c>
      <c r="F47" s="386">
        <f t="shared" si="3"/>
        <v>11</v>
      </c>
      <c r="G47" s="387">
        <v>43248</v>
      </c>
      <c r="H47" s="386">
        <f t="shared" si="4"/>
        <v>5</v>
      </c>
      <c r="I47" s="420">
        <v>135730.35</v>
      </c>
      <c r="J47" s="416">
        <v>1416354.72</v>
      </c>
      <c r="K47" s="416">
        <v>2124532.08</v>
      </c>
      <c r="L47" s="411"/>
      <c r="M47" s="411"/>
      <c r="N47" s="411"/>
    </row>
    <row r="48" ht="15" customHeight="1" spans="1:14">
      <c r="A48" s="381">
        <v>81</v>
      </c>
      <c r="B48" s="388" t="s">
        <v>183</v>
      </c>
      <c r="C48" s="388"/>
      <c r="D48" s="389"/>
      <c r="E48" s="390">
        <v>43069</v>
      </c>
      <c r="F48" s="389">
        <f t="shared" ref="F48:F61" si="5">MONTH(E48)</f>
        <v>11</v>
      </c>
      <c r="G48" s="390">
        <v>43248</v>
      </c>
      <c r="H48" s="389">
        <f t="shared" si="4"/>
        <v>5</v>
      </c>
      <c r="I48" s="14">
        <v>200000</v>
      </c>
      <c r="J48" s="410"/>
      <c r="K48" s="410"/>
      <c r="L48" s="412"/>
      <c r="M48" s="412"/>
      <c r="N48" s="412"/>
    </row>
    <row r="49" ht="15" customHeight="1" spans="1:14">
      <c r="A49" s="400">
        <v>82</v>
      </c>
      <c r="B49" s="388" t="s">
        <v>183</v>
      </c>
      <c r="C49" s="388"/>
      <c r="D49" s="389"/>
      <c r="E49" s="390">
        <v>43069</v>
      </c>
      <c r="F49" s="389">
        <f t="shared" si="5"/>
        <v>11</v>
      </c>
      <c r="G49" s="390">
        <v>43248</v>
      </c>
      <c r="H49" s="389">
        <f t="shared" si="4"/>
        <v>5</v>
      </c>
      <c r="I49" s="14">
        <v>200000</v>
      </c>
      <c r="J49" s="410"/>
      <c r="K49" s="410"/>
      <c r="L49" s="412"/>
      <c r="M49" s="412"/>
      <c r="N49" s="412"/>
    </row>
    <row r="50" ht="15" customHeight="1" spans="1:14">
      <c r="A50" s="381">
        <v>83</v>
      </c>
      <c r="B50" s="388" t="s">
        <v>183</v>
      </c>
      <c r="C50" s="388"/>
      <c r="D50" s="389"/>
      <c r="E50" s="390">
        <v>43069</v>
      </c>
      <c r="F50" s="389">
        <f t="shared" si="5"/>
        <v>11</v>
      </c>
      <c r="G50" s="390">
        <v>43248</v>
      </c>
      <c r="H50" s="389">
        <f t="shared" si="4"/>
        <v>5</v>
      </c>
      <c r="I50" s="14">
        <v>200000</v>
      </c>
      <c r="J50" s="410"/>
      <c r="K50" s="410"/>
      <c r="L50" s="412"/>
      <c r="M50" s="412"/>
      <c r="N50" s="412"/>
    </row>
    <row r="51" ht="15" customHeight="1" spans="1:14">
      <c r="A51" s="400">
        <v>84</v>
      </c>
      <c r="B51" s="388" t="s">
        <v>183</v>
      </c>
      <c r="C51" s="388"/>
      <c r="D51" s="389"/>
      <c r="E51" s="390">
        <v>43069</v>
      </c>
      <c r="F51" s="389">
        <f t="shared" si="5"/>
        <v>11</v>
      </c>
      <c r="G51" s="390">
        <v>43248</v>
      </c>
      <c r="H51" s="389">
        <f t="shared" si="4"/>
        <v>5</v>
      </c>
      <c r="I51" s="14">
        <v>200000</v>
      </c>
      <c r="J51" s="410"/>
      <c r="K51" s="410"/>
      <c r="L51" s="412"/>
      <c r="M51" s="412"/>
      <c r="N51" s="412"/>
    </row>
    <row r="52" ht="15" customHeight="1" spans="1:14">
      <c r="A52" s="381">
        <v>85</v>
      </c>
      <c r="B52" s="388" t="s">
        <v>183</v>
      </c>
      <c r="C52" s="388"/>
      <c r="D52" s="389"/>
      <c r="E52" s="390">
        <v>43069</v>
      </c>
      <c r="F52" s="389">
        <f t="shared" si="5"/>
        <v>11</v>
      </c>
      <c r="G52" s="390">
        <v>43248</v>
      </c>
      <c r="H52" s="389">
        <f t="shared" si="4"/>
        <v>5</v>
      </c>
      <c r="I52" s="14">
        <v>200000</v>
      </c>
      <c r="J52" s="410"/>
      <c r="K52" s="410"/>
      <c r="L52" s="412"/>
      <c r="M52" s="412"/>
      <c r="N52" s="412"/>
    </row>
    <row r="53" ht="15" customHeight="1" spans="1:14">
      <c r="A53" s="400">
        <v>86</v>
      </c>
      <c r="B53" s="388" t="s">
        <v>183</v>
      </c>
      <c r="C53" s="388"/>
      <c r="D53" s="389"/>
      <c r="E53" s="390">
        <v>43069</v>
      </c>
      <c r="F53" s="389">
        <f t="shared" si="5"/>
        <v>11</v>
      </c>
      <c r="G53" s="390">
        <v>43248</v>
      </c>
      <c r="H53" s="389">
        <f t="shared" si="4"/>
        <v>5</v>
      </c>
      <c r="I53" s="14">
        <v>200000</v>
      </c>
      <c r="J53" s="410"/>
      <c r="K53" s="410"/>
      <c r="L53" s="412"/>
      <c r="M53" s="412"/>
      <c r="N53" s="412"/>
    </row>
    <row r="54" ht="15" customHeight="1" spans="1:14">
      <c r="A54" s="381">
        <v>87</v>
      </c>
      <c r="B54" s="388" t="s">
        <v>183</v>
      </c>
      <c r="C54" s="388"/>
      <c r="D54" s="389"/>
      <c r="E54" s="390">
        <v>43069</v>
      </c>
      <c r="F54" s="389">
        <f t="shared" si="5"/>
        <v>11</v>
      </c>
      <c r="G54" s="390">
        <v>43248</v>
      </c>
      <c r="H54" s="389">
        <f t="shared" si="4"/>
        <v>5</v>
      </c>
      <c r="I54" s="14">
        <v>200000</v>
      </c>
      <c r="J54" s="410"/>
      <c r="K54" s="410"/>
      <c r="L54" s="412"/>
      <c r="M54" s="412"/>
      <c r="N54" s="412"/>
    </row>
    <row r="55" ht="15" customHeight="1" spans="1:14">
      <c r="A55" s="400">
        <v>88</v>
      </c>
      <c r="B55" s="388" t="s">
        <v>183</v>
      </c>
      <c r="C55" s="388"/>
      <c r="D55" s="389"/>
      <c r="E55" s="390">
        <v>43069</v>
      </c>
      <c r="F55" s="389">
        <f t="shared" si="5"/>
        <v>11</v>
      </c>
      <c r="G55" s="390">
        <v>43248</v>
      </c>
      <c r="H55" s="389">
        <f t="shared" si="4"/>
        <v>5</v>
      </c>
      <c r="I55" s="14">
        <v>200000</v>
      </c>
      <c r="J55" s="410"/>
      <c r="K55" s="410"/>
      <c r="L55" s="412"/>
      <c r="M55" s="412"/>
      <c r="N55" s="412"/>
    </row>
    <row r="56" ht="15" customHeight="1" spans="1:14">
      <c r="A56" s="381">
        <v>89</v>
      </c>
      <c r="B56" s="388" t="s">
        <v>183</v>
      </c>
      <c r="C56" s="388"/>
      <c r="D56" s="389"/>
      <c r="E56" s="390">
        <v>43069</v>
      </c>
      <c r="F56" s="389">
        <f t="shared" si="5"/>
        <v>11</v>
      </c>
      <c r="G56" s="390">
        <v>43248</v>
      </c>
      <c r="H56" s="389">
        <f t="shared" si="4"/>
        <v>5</v>
      </c>
      <c r="I56" s="14">
        <v>200000</v>
      </c>
      <c r="J56" s="410"/>
      <c r="K56" s="410"/>
      <c r="L56" s="412"/>
      <c r="M56" s="412"/>
      <c r="N56" s="412"/>
    </row>
    <row r="57" ht="15" customHeight="1" spans="1:14">
      <c r="A57" s="400">
        <v>90</v>
      </c>
      <c r="B57" s="388" t="s">
        <v>183</v>
      </c>
      <c r="C57" s="388"/>
      <c r="D57" s="389"/>
      <c r="E57" s="390">
        <v>43069</v>
      </c>
      <c r="F57" s="389">
        <f t="shared" si="5"/>
        <v>11</v>
      </c>
      <c r="G57" s="390">
        <v>43248</v>
      </c>
      <c r="H57" s="389">
        <f t="shared" si="4"/>
        <v>5</v>
      </c>
      <c r="I57" s="14">
        <v>200000</v>
      </c>
      <c r="J57" s="410"/>
      <c r="K57" s="410"/>
      <c r="L57" s="412"/>
      <c r="M57" s="412"/>
      <c r="N57" s="412"/>
    </row>
    <row r="58" ht="15" customHeight="1" spans="1:14">
      <c r="A58" s="381">
        <v>91</v>
      </c>
      <c r="B58" s="388" t="s">
        <v>183</v>
      </c>
      <c r="C58" s="388"/>
      <c r="D58" s="389"/>
      <c r="E58" s="390">
        <v>43069</v>
      </c>
      <c r="F58" s="389">
        <f t="shared" si="5"/>
        <v>11</v>
      </c>
      <c r="G58" s="390">
        <v>43248</v>
      </c>
      <c r="H58" s="389">
        <f t="shared" si="4"/>
        <v>5</v>
      </c>
      <c r="I58" s="14">
        <v>81135.5</v>
      </c>
      <c r="J58" s="410"/>
      <c r="K58" s="410"/>
      <c r="L58" s="412"/>
      <c r="M58" s="412"/>
      <c r="N58" s="412"/>
    </row>
    <row r="59" ht="15" customHeight="1" spans="1:14">
      <c r="A59" s="381">
        <v>92</v>
      </c>
      <c r="B59" s="388" t="s">
        <v>183</v>
      </c>
      <c r="C59" s="388"/>
      <c r="D59" s="389"/>
      <c r="E59" s="390">
        <v>43069</v>
      </c>
      <c r="F59" s="389">
        <f t="shared" si="5"/>
        <v>11</v>
      </c>
      <c r="G59" s="390">
        <v>43248</v>
      </c>
      <c r="H59" s="389">
        <f t="shared" si="4"/>
        <v>5</v>
      </c>
      <c r="I59" s="14">
        <v>918538.55</v>
      </c>
      <c r="J59" s="410"/>
      <c r="K59" s="410"/>
      <c r="L59" s="412"/>
      <c r="M59" s="412"/>
      <c r="N59" s="412"/>
    </row>
    <row r="60" ht="15" customHeight="1" spans="1:14">
      <c r="A60" s="391">
        <v>93</v>
      </c>
      <c r="B60" s="392" t="s">
        <v>183</v>
      </c>
      <c r="C60" s="392"/>
      <c r="D60" s="393"/>
      <c r="E60" s="394">
        <v>43069</v>
      </c>
      <c r="F60" s="393">
        <f t="shared" si="5"/>
        <v>11</v>
      </c>
      <c r="G60" s="394">
        <v>43248</v>
      </c>
      <c r="H60" s="393">
        <f t="shared" si="4"/>
        <v>5</v>
      </c>
      <c r="I60" s="418">
        <v>405482.4</v>
      </c>
      <c r="J60" s="413"/>
      <c r="K60" s="413"/>
      <c r="L60" s="413"/>
      <c r="M60" s="413"/>
      <c r="N60" s="413"/>
    </row>
    <row r="61" ht="15.75" spans="1:14">
      <c r="A61" s="381">
        <v>94</v>
      </c>
      <c r="B61" s="402" t="s">
        <v>184</v>
      </c>
      <c r="C61" s="402"/>
      <c r="D61" s="403"/>
      <c r="E61" s="390">
        <v>43110</v>
      </c>
      <c r="F61" s="389">
        <f t="shared" si="5"/>
        <v>1</v>
      </c>
      <c r="G61" s="390">
        <v>43291</v>
      </c>
      <c r="H61" s="389">
        <f t="shared" si="4"/>
        <v>7</v>
      </c>
      <c r="I61" s="421">
        <v>137986.63</v>
      </c>
      <c r="J61" s="422">
        <v>268993.32</v>
      </c>
      <c r="K61" s="422">
        <v>268993.31</v>
      </c>
      <c r="L61" s="423"/>
      <c r="M61" s="389"/>
      <c r="N61" s="424"/>
    </row>
    <row r="62" ht="16.5" customHeight="1" spans="1:14">
      <c r="A62" s="381">
        <v>95</v>
      </c>
      <c r="B62" s="402" t="s">
        <v>184</v>
      </c>
      <c r="C62" s="402"/>
      <c r="D62" s="403"/>
      <c r="E62" s="390">
        <v>43110</v>
      </c>
      <c r="F62" s="389">
        <f t="shared" ref="F62" si="6">MONTH(E62)</f>
        <v>1</v>
      </c>
      <c r="G62" s="390">
        <v>43291</v>
      </c>
      <c r="H62" s="389">
        <f t="shared" ref="H62" si="7">MONTH(G62)</f>
        <v>7</v>
      </c>
      <c r="I62" s="421">
        <v>200000</v>
      </c>
      <c r="J62" s="420"/>
      <c r="K62" s="420"/>
      <c r="L62" s="423"/>
      <c r="M62" s="389"/>
      <c r="N62" s="424"/>
    </row>
    <row r="63" ht="16.5" customHeight="1" spans="1:14">
      <c r="A63" s="391">
        <v>96</v>
      </c>
      <c r="B63" s="404" t="s">
        <v>184</v>
      </c>
      <c r="C63" s="404"/>
      <c r="D63" s="393"/>
      <c r="E63" s="394">
        <v>43110</v>
      </c>
      <c r="F63" s="393">
        <f t="shared" ref="F63:F64" si="8">MONTH(E63)</f>
        <v>1</v>
      </c>
      <c r="G63" s="394">
        <v>43291</v>
      </c>
      <c r="H63" s="393">
        <f t="shared" ref="H63:H64" si="9">MONTH(G63)</f>
        <v>7</v>
      </c>
      <c r="I63" s="425">
        <v>200000</v>
      </c>
      <c r="J63" s="426"/>
      <c r="K63" s="426"/>
      <c r="L63" s="413"/>
      <c r="M63" s="413"/>
      <c r="N63" s="413"/>
    </row>
    <row r="64" ht="16.5" customHeight="1" spans="1:14">
      <c r="A64" s="405">
        <v>97</v>
      </c>
      <c r="B64" s="406" t="s">
        <v>184</v>
      </c>
      <c r="C64" s="406"/>
      <c r="D64" s="407"/>
      <c r="E64" s="387">
        <v>43131</v>
      </c>
      <c r="F64" s="386">
        <f t="shared" si="8"/>
        <v>1</v>
      </c>
      <c r="G64" s="387">
        <v>43220</v>
      </c>
      <c r="H64" s="386">
        <f t="shared" si="9"/>
        <v>4</v>
      </c>
      <c r="I64" s="427">
        <v>200000</v>
      </c>
      <c r="J64" s="422">
        <v>385105.36</v>
      </c>
      <c r="K64" s="422">
        <v>385105.36</v>
      </c>
      <c r="L64" s="428"/>
      <c r="M64" s="386"/>
      <c r="N64" s="429"/>
    </row>
    <row r="65" ht="16.5" customHeight="1" spans="1:14">
      <c r="A65" s="381">
        <v>98</v>
      </c>
      <c r="B65" s="402" t="s">
        <v>184</v>
      </c>
      <c r="C65" s="402"/>
      <c r="D65" s="403"/>
      <c r="E65" s="390">
        <v>43131</v>
      </c>
      <c r="F65" s="389">
        <f t="shared" ref="F65:F67" si="10">MONTH(E65)</f>
        <v>1</v>
      </c>
      <c r="G65" s="390">
        <v>43220</v>
      </c>
      <c r="H65" s="389">
        <f t="shared" ref="H65:H67" si="11">MONTH(G65)</f>
        <v>4</v>
      </c>
      <c r="I65" s="421">
        <v>111334.27</v>
      </c>
      <c r="J65" s="420"/>
      <c r="K65" s="420"/>
      <c r="L65" s="423"/>
      <c r="M65" s="389"/>
      <c r="N65" s="424"/>
    </row>
    <row r="66" ht="16.5" customHeight="1" spans="1:14">
      <c r="A66" s="381">
        <v>99</v>
      </c>
      <c r="B66" s="402" t="s">
        <v>184</v>
      </c>
      <c r="C66" s="402"/>
      <c r="D66" s="403"/>
      <c r="E66" s="390">
        <v>43131</v>
      </c>
      <c r="F66" s="389">
        <f t="shared" si="10"/>
        <v>1</v>
      </c>
      <c r="G66" s="390">
        <v>43220</v>
      </c>
      <c r="H66" s="389">
        <f t="shared" si="11"/>
        <v>4</v>
      </c>
      <c r="I66" s="421">
        <v>40956.21</v>
      </c>
      <c r="J66" s="420"/>
      <c r="K66" s="420"/>
      <c r="L66" s="423"/>
      <c r="M66" s="389"/>
      <c r="N66" s="424"/>
    </row>
    <row r="67" ht="16.5" customHeight="1" spans="1:14">
      <c r="A67" s="381">
        <v>100</v>
      </c>
      <c r="B67" s="402" t="s">
        <v>184</v>
      </c>
      <c r="C67" s="402"/>
      <c r="D67" s="403"/>
      <c r="E67" s="390">
        <v>43131</v>
      </c>
      <c r="F67" s="389">
        <f t="shared" si="10"/>
        <v>1</v>
      </c>
      <c r="G67" s="390">
        <v>43220</v>
      </c>
      <c r="H67" s="389">
        <f t="shared" si="11"/>
        <v>4</v>
      </c>
      <c r="I67" s="421">
        <v>217920.24</v>
      </c>
      <c r="J67" s="420"/>
      <c r="K67" s="420"/>
      <c r="L67" s="423"/>
      <c r="M67" s="389"/>
      <c r="N67" s="424"/>
    </row>
    <row r="68" ht="15.75" spans="1:14">
      <c r="A68" s="391">
        <v>101</v>
      </c>
      <c r="B68" s="404" t="s">
        <v>184</v>
      </c>
      <c r="C68" s="404"/>
      <c r="D68" s="393"/>
      <c r="E68" s="394">
        <v>43131</v>
      </c>
      <c r="F68" s="393">
        <v>1</v>
      </c>
      <c r="G68" s="394">
        <v>43220</v>
      </c>
      <c r="H68" s="393">
        <v>4</v>
      </c>
      <c r="I68" s="425">
        <v>200000</v>
      </c>
      <c r="J68" s="426"/>
      <c r="K68" s="426"/>
      <c r="L68" s="413"/>
      <c r="M68" s="413"/>
      <c r="N68" s="413"/>
    </row>
    <row r="69" ht="13.95"/>
    <row r="245" spans="12:12">
      <c r="L245" s="430" t="s">
        <v>185</v>
      </c>
    </row>
  </sheetData>
  <mergeCells count="14">
    <mergeCell ref="A9:N9"/>
    <mergeCell ref="J11:J26"/>
    <mergeCell ref="J27:J30"/>
    <mergeCell ref="J31:J46"/>
    <mergeCell ref="J47:J60"/>
    <mergeCell ref="J61:J63"/>
    <mergeCell ref="J64:J68"/>
    <mergeCell ref="K11:K26"/>
    <mergeCell ref="K27:K30"/>
    <mergeCell ref="K31:K46"/>
    <mergeCell ref="K47:K60"/>
    <mergeCell ref="K61:K63"/>
    <mergeCell ref="K64:K68"/>
    <mergeCell ref="A1:E2"/>
  </mergeCells>
  <pageMargins left="0.699305555555556" right="0.699305555555556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zoomScale="130" zoomScaleNormal="130" topLeftCell="A17" workbookViewId="0">
      <selection activeCell="I13" sqref="I13"/>
    </sheetView>
  </sheetViews>
  <sheetFormatPr defaultColWidth="9" defaultRowHeight="15.6"/>
  <cols>
    <col min="1" max="1" width="8" style="108" customWidth="1"/>
    <col min="2" max="2" width="13.1296296296296" style="108" customWidth="1"/>
    <col min="3" max="3" width="8" style="108" customWidth="1"/>
    <col min="4" max="4" width="11.6296296296296" style="108" customWidth="1"/>
    <col min="5" max="5" width="12.6666666666667" style="108" customWidth="1"/>
    <col min="6" max="6" width="15.7222222222222" style="108" customWidth="1"/>
    <col min="7" max="7" width="13.3796296296296" style="108" customWidth="1"/>
    <col min="8" max="8" width="14.25" style="108" customWidth="1"/>
    <col min="9" max="9" width="16.2222222222222" style="108" customWidth="1"/>
    <col min="10" max="10" width="15.1296296296296" style="108" customWidth="1"/>
    <col min="11" max="11" width="11.6296296296296" style="108" customWidth="1"/>
    <col min="12" max="16384" width="9" style="108"/>
  </cols>
  <sheetData>
    <row r="1" s="298" customFormat="1" ht="16.5" customHeight="1" spans="1:12">
      <c r="A1" s="114" t="s">
        <v>186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</row>
    <row r="2" s="298" customFormat="1" ht="17.25" customHeight="1" spans="1:12">
      <c r="A2" s="177"/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</row>
    <row r="3" s="299" customFormat="1" ht="16.5" customHeight="1" spans="1:12">
      <c r="A3" s="303" t="s">
        <v>187</v>
      </c>
      <c r="B3" s="304" t="s">
        <v>188</v>
      </c>
      <c r="C3" s="305" t="s">
        <v>100</v>
      </c>
      <c r="D3" s="306" t="s">
        <v>158</v>
      </c>
      <c r="E3" s="304"/>
      <c r="F3" s="304"/>
      <c r="G3" s="304"/>
      <c r="H3" s="304"/>
      <c r="I3" s="304"/>
      <c r="J3" s="304"/>
      <c r="K3" s="304"/>
      <c r="L3" s="345"/>
    </row>
    <row r="4" s="34" customFormat="1" ht="16.5" customHeight="1" spans="1:12">
      <c r="A4" s="307"/>
      <c r="B4" s="135"/>
      <c r="C4" s="133"/>
      <c r="D4" s="307" t="s">
        <v>189</v>
      </c>
      <c r="E4" s="133"/>
      <c r="F4" s="133"/>
      <c r="G4" s="133"/>
      <c r="H4" s="133" t="s">
        <v>190</v>
      </c>
      <c r="I4" s="133"/>
      <c r="J4" s="133"/>
      <c r="K4" s="133"/>
      <c r="L4" s="346" t="s">
        <v>5</v>
      </c>
    </row>
    <row r="5" s="300" customFormat="1" ht="31.95" spans="1:12">
      <c r="A5" s="308"/>
      <c r="B5" s="309"/>
      <c r="C5" s="310"/>
      <c r="D5" s="308" t="s">
        <v>191</v>
      </c>
      <c r="E5" s="310" t="s">
        <v>192</v>
      </c>
      <c r="F5" s="310" t="s">
        <v>193</v>
      </c>
      <c r="G5" s="310" t="s">
        <v>121</v>
      </c>
      <c r="H5" s="310" t="s">
        <v>191</v>
      </c>
      <c r="I5" s="310" t="s">
        <v>192</v>
      </c>
      <c r="J5" s="310" t="s">
        <v>193</v>
      </c>
      <c r="K5" s="310" t="s">
        <v>121</v>
      </c>
      <c r="L5" s="347"/>
    </row>
    <row r="6" s="299" customFormat="1" ht="15" hidden="1" spans="1:12">
      <c r="A6" s="311" t="s">
        <v>194</v>
      </c>
      <c r="B6" s="312" t="s">
        <v>195</v>
      </c>
      <c r="C6" s="313" t="s">
        <v>196</v>
      </c>
      <c r="D6" s="314"/>
      <c r="E6" s="315"/>
      <c r="F6" s="315"/>
      <c r="G6" s="316">
        <f>D6+E6+F6</f>
        <v>0</v>
      </c>
      <c r="H6" s="199"/>
      <c r="I6" s="199"/>
      <c r="J6" s="199"/>
      <c r="K6" s="316">
        <f>H6+I6+J6</f>
        <v>0</v>
      </c>
      <c r="L6" s="348" t="e">
        <f>K6/G6</f>
        <v>#DIV/0!</v>
      </c>
    </row>
    <row r="7" s="299" customFormat="1" ht="15" spans="1:12">
      <c r="A7" s="317"/>
      <c r="B7" s="318"/>
      <c r="C7" s="272"/>
      <c r="D7" s="319">
        <v>40000</v>
      </c>
      <c r="E7" s="51"/>
      <c r="F7" s="51"/>
      <c r="G7" s="320">
        <f t="shared" ref="G7:G18" si="0">D7+E7+F7</f>
        <v>40000</v>
      </c>
      <c r="H7" s="204">
        <f>收款日报表!$G$135</f>
        <v>39549</v>
      </c>
      <c r="I7" s="204"/>
      <c r="J7" s="204"/>
      <c r="K7" s="320">
        <f t="shared" ref="K7:K30" si="1">H7+I7+J7</f>
        <v>39549</v>
      </c>
      <c r="L7" s="349">
        <f t="shared" ref="L7:L31" si="2">K7/G7</f>
        <v>0.988725</v>
      </c>
    </row>
    <row r="8" s="299" customFormat="1" ht="15" spans="1:12">
      <c r="A8" s="317"/>
      <c r="B8" s="318"/>
      <c r="C8" s="272"/>
      <c r="D8" s="319">
        <v>29000</v>
      </c>
      <c r="E8" s="51"/>
      <c r="F8" s="51"/>
      <c r="G8" s="320">
        <f t="shared" si="0"/>
        <v>29000</v>
      </c>
      <c r="H8" s="204">
        <f>收款日报表!$G$130</f>
        <v>24522</v>
      </c>
      <c r="I8" s="204"/>
      <c r="J8" s="204"/>
      <c r="K8" s="320">
        <f t="shared" si="1"/>
        <v>24522</v>
      </c>
      <c r="L8" s="349">
        <f t="shared" si="2"/>
        <v>0.845586206896552</v>
      </c>
    </row>
    <row r="9" s="299" customFormat="1" ht="15" spans="1:12">
      <c r="A9" s="317"/>
      <c r="B9" s="318"/>
      <c r="C9" s="272"/>
      <c r="D9" s="319">
        <v>22000</v>
      </c>
      <c r="E9" s="51"/>
      <c r="F9" s="51"/>
      <c r="G9" s="320">
        <f t="shared" si="0"/>
        <v>22000</v>
      </c>
      <c r="H9" s="204">
        <f>收款日报表!$G$133</f>
        <v>27099</v>
      </c>
      <c r="I9" s="204"/>
      <c r="J9" s="204"/>
      <c r="K9" s="320">
        <f t="shared" si="1"/>
        <v>27099</v>
      </c>
      <c r="L9" s="349">
        <f t="shared" si="2"/>
        <v>1.23177272727273</v>
      </c>
    </row>
    <row r="10" s="299" customFormat="1" ht="15" spans="1:12">
      <c r="A10" s="317"/>
      <c r="B10" s="318"/>
      <c r="C10" s="272"/>
      <c r="D10" s="319">
        <v>29600</v>
      </c>
      <c r="E10" s="51"/>
      <c r="F10" s="51"/>
      <c r="G10" s="320">
        <f t="shared" si="0"/>
        <v>29600</v>
      </c>
      <c r="H10" s="204">
        <f>收款日报表!$G$137</f>
        <v>60955</v>
      </c>
      <c r="I10" s="204"/>
      <c r="J10" s="204"/>
      <c r="K10" s="320">
        <f t="shared" si="1"/>
        <v>60955</v>
      </c>
      <c r="L10" s="349">
        <f t="shared" si="2"/>
        <v>2.05929054054054</v>
      </c>
    </row>
    <row r="11" s="299" customFormat="1" ht="15" spans="1:12">
      <c r="A11" s="317"/>
      <c r="B11" s="318"/>
      <c r="C11" s="272"/>
      <c r="D11" s="319">
        <v>56900</v>
      </c>
      <c r="E11" s="51"/>
      <c r="F11" s="51"/>
      <c r="G11" s="320">
        <f t="shared" si="0"/>
        <v>56900</v>
      </c>
      <c r="H11" s="204">
        <f>收款日报表!$G$134</f>
        <v>46908</v>
      </c>
      <c r="I11" s="204"/>
      <c r="J11" s="204"/>
      <c r="K11" s="320">
        <f t="shared" si="1"/>
        <v>46908</v>
      </c>
      <c r="L11" s="349">
        <f t="shared" si="2"/>
        <v>0.824393673110721</v>
      </c>
    </row>
    <row r="12" s="299" customFormat="1" ht="15" spans="1:12">
      <c r="A12" s="317"/>
      <c r="B12" s="318"/>
      <c r="C12" s="272"/>
      <c r="D12" s="319">
        <v>20000</v>
      </c>
      <c r="E12" s="51"/>
      <c r="F12" s="51"/>
      <c r="G12" s="320">
        <f t="shared" si="0"/>
        <v>20000</v>
      </c>
      <c r="H12" s="204">
        <f>收款日报表!$G$132</f>
        <v>12200</v>
      </c>
      <c r="I12" s="204"/>
      <c r="J12" s="204"/>
      <c r="K12" s="320">
        <f t="shared" si="1"/>
        <v>12200</v>
      </c>
      <c r="L12" s="349">
        <f t="shared" si="2"/>
        <v>0.61</v>
      </c>
    </row>
    <row r="13" s="299" customFormat="1" ht="15" spans="1:12">
      <c r="A13" s="317"/>
      <c r="B13" s="318"/>
      <c r="C13" s="272"/>
      <c r="D13" s="319">
        <v>25000</v>
      </c>
      <c r="E13" s="51"/>
      <c r="F13" s="51"/>
      <c r="G13" s="320">
        <f t="shared" si="0"/>
        <v>25000</v>
      </c>
      <c r="H13" s="204">
        <f>收款日报表!$G$141</f>
        <v>23323</v>
      </c>
      <c r="I13" s="204"/>
      <c r="J13" s="204"/>
      <c r="K13" s="320">
        <f t="shared" si="1"/>
        <v>23323</v>
      </c>
      <c r="L13" s="349">
        <f t="shared" si="2"/>
        <v>0.93292</v>
      </c>
    </row>
    <row r="14" s="299" customFormat="1" ht="15" spans="1:12">
      <c r="A14" s="317"/>
      <c r="B14" s="318"/>
      <c r="C14" s="272"/>
      <c r="D14" s="319">
        <v>30000</v>
      </c>
      <c r="E14" s="51"/>
      <c r="F14" s="51"/>
      <c r="G14" s="320">
        <f t="shared" si="0"/>
        <v>30000</v>
      </c>
      <c r="H14" s="204">
        <f>收款日报表!$G$136</f>
        <v>36074</v>
      </c>
      <c r="I14" s="204"/>
      <c r="J14" s="204"/>
      <c r="K14" s="320">
        <f t="shared" si="1"/>
        <v>36074</v>
      </c>
      <c r="L14" s="349">
        <f t="shared" si="2"/>
        <v>1.20246666666667</v>
      </c>
    </row>
    <row r="15" s="299" customFormat="1" ht="15" spans="1:12">
      <c r="A15" s="317"/>
      <c r="B15" s="318"/>
      <c r="C15" s="272"/>
      <c r="D15" s="319">
        <v>32700</v>
      </c>
      <c r="E15" s="51"/>
      <c r="F15" s="51"/>
      <c r="G15" s="320">
        <f t="shared" si="0"/>
        <v>32700</v>
      </c>
      <c r="H15" s="204">
        <f>收款日报表!$G$140</f>
        <v>36332</v>
      </c>
      <c r="I15" s="204"/>
      <c r="J15" s="204"/>
      <c r="K15" s="320">
        <f t="shared" si="1"/>
        <v>36332</v>
      </c>
      <c r="L15" s="349">
        <f t="shared" si="2"/>
        <v>1.11107033639144</v>
      </c>
    </row>
    <row r="16" s="299" customFormat="1" ht="15" spans="1:12">
      <c r="A16" s="317"/>
      <c r="B16" s="318"/>
      <c r="C16" s="272"/>
      <c r="D16" s="319">
        <v>30000</v>
      </c>
      <c r="E16" s="51"/>
      <c r="F16" s="51"/>
      <c r="G16" s="320">
        <f t="shared" si="0"/>
        <v>30000</v>
      </c>
      <c r="H16" s="204">
        <f>收款日报表!$G$142</f>
        <v>45168</v>
      </c>
      <c r="I16" s="204"/>
      <c r="J16" s="204"/>
      <c r="K16" s="320">
        <f t="shared" si="1"/>
        <v>45168</v>
      </c>
      <c r="L16" s="349">
        <f t="shared" si="2"/>
        <v>1.5056</v>
      </c>
    </row>
    <row r="17" s="299" customFormat="1" ht="15" spans="1:12">
      <c r="A17" s="321"/>
      <c r="B17" s="322"/>
      <c r="C17" s="290"/>
      <c r="D17" s="323">
        <v>20000</v>
      </c>
      <c r="E17" s="324"/>
      <c r="F17" s="324"/>
      <c r="G17" s="320">
        <f t="shared" si="0"/>
        <v>20000</v>
      </c>
      <c r="H17" s="325">
        <f>收款日报表!$G$143</f>
        <v>19941.1</v>
      </c>
      <c r="I17" s="325"/>
      <c r="J17" s="325"/>
      <c r="K17" s="320">
        <f t="shared" si="1"/>
        <v>19941.1</v>
      </c>
      <c r="L17" s="349">
        <f t="shared" si="2"/>
        <v>0.997055</v>
      </c>
    </row>
    <row r="18" s="299" customFormat="1" ht="15" spans="1:12">
      <c r="A18" s="321"/>
      <c r="B18" s="322"/>
      <c r="C18" s="290"/>
      <c r="D18" s="323">
        <v>20000</v>
      </c>
      <c r="E18" s="324"/>
      <c r="F18" s="324"/>
      <c r="G18" s="320">
        <f t="shared" si="0"/>
        <v>20000</v>
      </c>
      <c r="H18" s="325">
        <f>收款日报表!$G$144</f>
        <v>65566</v>
      </c>
      <c r="I18" s="325"/>
      <c r="J18" s="325"/>
      <c r="K18" s="320">
        <f t="shared" si="1"/>
        <v>65566</v>
      </c>
      <c r="L18" s="349">
        <f t="shared" si="2"/>
        <v>3.2783</v>
      </c>
    </row>
    <row r="19" s="301" customFormat="1" ht="16.35" spans="1:12">
      <c r="A19" s="326"/>
      <c r="B19" s="327" t="s">
        <v>141</v>
      </c>
      <c r="C19" s="327"/>
      <c r="D19" s="328">
        <f t="shared" ref="D19:J19" si="3">SUM(D6:D18)</f>
        <v>355200</v>
      </c>
      <c r="E19" s="329">
        <f t="shared" si="3"/>
        <v>0</v>
      </c>
      <c r="F19" s="329">
        <f t="shared" si="3"/>
        <v>0</v>
      </c>
      <c r="G19" s="329">
        <f t="shared" si="3"/>
        <v>355200</v>
      </c>
      <c r="H19" s="329">
        <f t="shared" si="3"/>
        <v>437637.1</v>
      </c>
      <c r="I19" s="329">
        <f t="shared" si="3"/>
        <v>0</v>
      </c>
      <c r="J19" s="329">
        <f t="shared" si="3"/>
        <v>0</v>
      </c>
      <c r="K19" s="329">
        <f t="shared" si="1"/>
        <v>437637.1</v>
      </c>
      <c r="L19" s="350">
        <f t="shared" si="2"/>
        <v>1.23208643018018</v>
      </c>
    </row>
    <row r="20" s="299" customFormat="1" ht="15" spans="1:12">
      <c r="A20" s="311" t="s">
        <v>197</v>
      </c>
      <c r="B20" s="312"/>
      <c r="C20" s="330"/>
      <c r="D20" s="314">
        <v>32888.1</v>
      </c>
      <c r="E20" s="315"/>
      <c r="F20" s="315"/>
      <c r="G20" s="316">
        <f t="shared" ref="G20:G27" si="4">D20+E20+F20</f>
        <v>32888.1</v>
      </c>
      <c r="H20" s="199">
        <f>收款日报表!$G$127</f>
        <v>32888.1</v>
      </c>
      <c r="I20" s="199"/>
      <c r="J20" s="199"/>
      <c r="K20" s="316">
        <f t="shared" si="1"/>
        <v>32888.1</v>
      </c>
      <c r="L20" s="348">
        <f t="shared" si="2"/>
        <v>1</v>
      </c>
    </row>
    <row r="21" s="299" customFormat="1" ht="15" spans="1:12">
      <c r="A21" s="317"/>
      <c r="B21" s="318"/>
      <c r="C21" s="331"/>
      <c r="D21" s="319">
        <v>25928.28</v>
      </c>
      <c r="E21" s="51"/>
      <c r="F21" s="51"/>
      <c r="G21" s="320">
        <f t="shared" si="4"/>
        <v>25928.28</v>
      </c>
      <c r="H21" s="204">
        <f>收款日报表!$G$138</f>
        <v>25928.28</v>
      </c>
      <c r="I21" s="204"/>
      <c r="J21" s="204"/>
      <c r="K21" s="320">
        <f t="shared" si="1"/>
        <v>25928.28</v>
      </c>
      <c r="L21" s="349">
        <f t="shared" si="2"/>
        <v>1</v>
      </c>
    </row>
    <row r="22" s="299" customFormat="1" ht="15" spans="1:12">
      <c r="A22" s="317"/>
      <c r="B22" s="318"/>
      <c r="C22" s="331"/>
      <c r="D22" s="319">
        <v>5645.64</v>
      </c>
      <c r="E22" s="51"/>
      <c r="F22" s="51"/>
      <c r="G22" s="320">
        <f t="shared" si="4"/>
        <v>5645.64</v>
      </c>
      <c r="H22" s="204">
        <f>收款日报表!$G$145</f>
        <v>5645.64</v>
      </c>
      <c r="I22" s="204"/>
      <c r="J22" s="204"/>
      <c r="K22" s="320">
        <f t="shared" si="1"/>
        <v>5645.64</v>
      </c>
      <c r="L22" s="349">
        <f t="shared" si="2"/>
        <v>1</v>
      </c>
    </row>
    <row r="23" s="299" customFormat="1" ht="15" spans="1:12">
      <c r="A23" s="317"/>
      <c r="B23" s="318"/>
      <c r="C23" s="331"/>
      <c r="D23" s="319">
        <v>28755.3</v>
      </c>
      <c r="E23" s="51"/>
      <c r="F23" s="51"/>
      <c r="G23" s="320">
        <f t="shared" si="4"/>
        <v>28755.3</v>
      </c>
      <c r="H23" s="204">
        <f>收款日报表!$G$147</f>
        <v>28755.3</v>
      </c>
      <c r="I23" s="204"/>
      <c r="J23" s="204"/>
      <c r="K23" s="320">
        <f t="shared" si="1"/>
        <v>28755.3</v>
      </c>
      <c r="L23" s="349">
        <f t="shared" si="2"/>
        <v>1</v>
      </c>
    </row>
    <row r="24" s="299" customFormat="1" ht="15" spans="1:12">
      <c r="A24" s="317"/>
      <c r="B24" s="318"/>
      <c r="C24" s="331"/>
      <c r="D24" s="319"/>
      <c r="E24" s="51"/>
      <c r="F24" s="51"/>
      <c r="G24" s="320">
        <f t="shared" si="4"/>
        <v>0</v>
      </c>
      <c r="H24" s="204">
        <f>收款日报表!$G$148</f>
        <v>0</v>
      </c>
      <c r="I24" s="204"/>
      <c r="J24" s="204"/>
      <c r="K24" s="320">
        <f t="shared" si="1"/>
        <v>0</v>
      </c>
      <c r="L24" s="349" t="e">
        <f t="shared" si="2"/>
        <v>#DIV/0!</v>
      </c>
    </row>
    <row r="25" s="299" customFormat="1" ht="15" spans="1:12">
      <c r="A25" s="317"/>
      <c r="B25" s="318"/>
      <c r="C25" s="331"/>
      <c r="D25" s="319"/>
      <c r="E25" s="51"/>
      <c r="F25" s="51"/>
      <c r="G25" s="320">
        <f t="shared" si="4"/>
        <v>0</v>
      </c>
      <c r="H25" s="204">
        <f>收款日报表!$G$146</f>
        <v>0</v>
      </c>
      <c r="I25" s="204"/>
      <c r="J25" s="204"/>
      <c r="K25" s="320">
        <f t="shared" si="1"/>
        <v>0</v>
      </c>
      <c r="L25" s="349" t="e">
        <f t="shared" si="2"/>
        <v>#DIV/0!</v>
      </c>
    </row>
    <row r="26" s="299" customFormat="1" ht="15" spans="1:12">
      <c r="A26" s="317"/>
      <c r="B26" s="318"/>
      <c r="C26" s="331"/>
      <c r="D26" s="319"/>
      <c r="E26" s="51"/>
      <c r="F26" s="51"/>
      <c r="G26" s="320">
        <f t="shared" si="4"/>
        <v>0</v>
      </c>
      <c r="H26" s="204">
        <f>收款日报表!$G$149</f>
        <v>0</v>
      </c>
      <c r="I26" s="204"/>
      <c r="J26" s="204"/>
      <c r="K26" s="320">
        <f t="shared" si="1"/>
        <v>0</v>
      </c>
      <c r="L26" s="349" t="e">
        <f t="shared" si="2"/>
        <v>#DIV/0!</v>
      </c>
    </row>
    <row r="27" s="299" customFormat="1" ht="15" spans="1:12">
      <c r="A27" s="317"/>
      <c r="B27" s="318"/>
      <c r="C27" s="331"/>
      <c r="D27" s="319"/>
      <c r="E27" s="51"/>
      <c r="F27" s="51"/>
      <c r="G27" s="320">
        <f t="shared" si="4"/>
        <v>0</v>
      </c>
      <c r="H27" s="204">
        <f>收款日报表!$G$150</f>
        <v>0</v>
      </c>
      <c r="I27" s="204"/>
      <c r="J27" s="204"/>
      <c r="K27" s="320">
        <f t="shared" si="1"/>
        <v>0</v>
      </c>
      <c r="L27" s="349" t="e">
        <f t="shared" si="2"/>
        <v>#DIV/0!</v>
      </c>
    </row>
    <row r="28" s="301" customFormat="1" ht="16.35" spans="1:12">
      <c r="A28" s="326"/>
      <c r="B28" s="327" t="s">
        <v>141</v>
      </c>
      <c r="C28" s="327"/>
      <c r="D28" s="328">
        <f>SUM(D20:D27)</f>
        <v>93217.32</v>
      </c>
      <c r="E28" s="329">
        <f>SUM(E20:E27)</f>
        <v>0</v>
      </c>
      <c r="F28" s="329">
        <f>SUM(F20:F27)</f>
        <v>0</v>
      </c>
      <c r="G28" s="329">
        <f>SUM(G20:G27)</f>
        <v>93217.32</v>
      </c>
      <c r="H28" s="329">
        <f>SUM(H20:H27)</f>
        <v>93217.32</v>
      </c>
      <c r="I28" s="329">
        <f t="shared" ref="I28:J28" si="5">SUM(I20:I27)</f>
        <v>0</v>
      </c>
      <c r="J28" s="329">
        <f t="shared" si="5"/>
        <v>0</v>
      </c>
      <c r="K28" s="329">
        <f t="shared" si="1"/>
        <v>93217.32</v>
      </c>
      <c r="L28" s="350">
        <f t="shared" si="2"/>
        <v>1</v>
      </c>
    </row>
    <row r="29" s="302" customFormat="1" spans="1:12">
      <c r="A29" s="332" t="s">
        <v>82</v>
      </c>
      <c r="B29" s="333"/>
      <c r="C29" s="334" t="s">
        <v>196</v>
      </c>
      <c r="D29" s="335">
        <f>SUMIF($C6:C$28,$C$29,D6:D28)</f>
        <v>0</v>
      </c>
      <c r="E29" s="336">
        <f ca="1">SUMIF($C6:D$28,$C$29,E6:E28)</f>
        <v>0</v>
      </c>
      <c r="F29" s="336">
        <f ca="1">SUMIF($C6:E$28,$C$29,F6:F28)</f>
        <v>0</v>
      </c>
      <c r="G29" s="336">
        <f ca="1">D29+E29+F29</f>
        <v>0</v>
      </c>
      <c r="H29" s="336">
        <f ca="1">SUMIF($C6:G$28,$C$29,H6:H28)</f>
        <v>0</v>
      </c>
      <c r="I29" s="336">
        <f ca="1">SUMIF($C6:H$28,$C$29,I6:I28)</f>
        <v>0</v>
      </c>
      <c r="J29" s="336">
        <f ca="1">SUMIF($C6:I$28,$C$29,J6:J28)</f>
        <v>0</v>
      </c>
      <c r="K29" s="336">
        <f ca="1" t="shared" si="1"/>
        <v>0</v>
      </c>
      <c r="L29" s="351" t="e">
        <f ca="1" t="shared" si="2"/>
        <v>#DIV/0!</v>
      </c>
    </row>
    <row r="30" s="302" customFormat="1" spans="1:12">
      <c r="A30" s="337"/>
      <c r="B30" s="338"/>
      <c r="C30" s="339" t="s">
        <v>198</v>
      </c>
      <c r="D30" s="340">
        <f>SUMIF($C7:C$28,$C$30,D7:D29)</f>
        <v>0</v>
      </c>
      <c r="E30" s="341">
        <f ca="1">SUMIF($C7:D$28,$C$30,E7:E29)</f>
        <v>0</v>
      </c>
      <c r="F30" s="341">
        <f ca="1">SUMIF($C7:E$28,$C$30,F7:F29)</f>
        <v>0</v>
      </c>
      <c r="G30" s="341">
        <f ca="1">D30+E30+F30</f>
        <v>0</v>
      </c>
      <c r="H30" s="341">
        <f ca="1">SUMIF($C7:G$28,$C$30,H7:H29)</f>
        <v>0</v>
      </c>
      <c r="I30" s="341">
        <f ca="1">SUMIF($C7:H$28,$C$30,I7:I29)</f>
        <v>0</v>
      </c>
      <c r="J30" s="341">
        <f ca="1">SUMIF($C7:I$28,$C$30,J7:J29)</f>
        <v>0</v>
      </c>
      <c r="K30" s="341">
        <f ca="1" t="shared" si="1"/>
        <v>0</v>
      </c>
      <c r="L30" s="352" t="e">
        <f ca="1" t="shared" si="2"/>
        <v>#DIV/0!</v>
      </c>
    </row>
    <row r="31" s="302" customFormat="1" ht="16.35" spans="1:12">
      <c r="A31" s="342"/>
      <c r="B31" s="343"/>
      <c r="C31" s="344" t="s">
        <v>199</v>
      </c>
      <c r="D31" s="328">
        <f>SUM(D29:D30)</f>
        <v>0</v>
      </c>
      <c r="E31" s="329">
        <f ca="1" t="shared" ref="E31:K31" si="6">SUM(E29:E30)</f>
        <v>0</v>
      </c>
      <c r="F31" s="329">
        <f ca="1" t="shared" si="6"/>
        <v>0</v>
      </c>
      <c r="G31" s="329">
        <f ca="1" t="shared" si="6"/>
        <v>0</v>
      </c>
      <c r="H31" s="329">
        <f ca="1" t="shared" si="6"/>
        <v>0</v>
      </c>
      <c r="I31" s="329">
        <f ca="1" t="shared" si="6"/>
        <v>0</v>
      </c>
      <c r="J31" s="329">
        <f ca="1" t="shared" si="6"/>
        <v>0</v>
      </c>
      <c r="K31" s="329">
        <f ca="1" t="shared" si="6"/>
        <v>0</v>
      </c>
      <c r="L31" s="353" t="e">
        <f ca="1" t="shared" si="2"/>
        <v>#DIV/0!</v>
      </c>
    </row>
    <row r="32" spans="8:8">
      <c r="H32" s="109">
        <f ca="1">H31-运营收款预算表!J29</f>
        <v>0</v>
      </c>
    </row>
  </sheetData>
  <protectedRanges>
    <protectedRange sqref="D6:F27" name="区域1"/>
  </protectedRanges>
  <mergeCells count="11">
    <mergeCell ref="D3:L3"/>
    <mergeCell ref="D4:G4"/>
    <mergeCell ref="H4:K4"/>
    <mergeCell ref="A3:A5"/>
    <mergeCell ref="A6:A19"/>
    <mergeCell ref="A20:A28"/>
    <mergeCell ref="B3:B5"/>
    <mergeCell ref="C3:C5"/>
    <mergeCell ref="L4:L5"/>
    <mergeCell ref="A29:B31"/>
    <mergeCell ref="A1:L2"/>
  </mergeCells>
  <pageMargins left="0.699305555555556" right="0.699305555555556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opLeftCell="A2" workbookViewId="0">
      <selection activeCell="I22" sqref="I22"/>
    </sheetView>
  </sheetViews>
  <sheetFormatPr defaultColWidth="9" defaultRowHeight="15.6" outlineLevelCol="6"/>
  <cols>
    <col min="1" max="1" width="15.3796296296296" style="2" customWidth="1"/>
    <col min="2" max="2" width="39.4444444444444" style="2" customWidth="1"/>
    <col min="3" max="4" width="17.7592592592593" style="2" customWidth="1"/>
    <col min="5" max="5" width="7.62962962962963" style="2" customWidth="1"/>
    <col min="6" max="6" width="13.8796296296296" style="2" customWidth="1"/>
    <col min="7" max="7" width="5.75925925925926" style="2" customWidth="1"/>
    <col min="8" max="16384" width="9" style="2"/>
  </cols>
  <sheetData>
    <row r="1" ht="35.25" customHeight="1" spans="2:5">
      <c r="B1" s="114" t="s">
        <v>200</v>
      </c>
      <c r="C1" s="114"/>
      <c r="D1" s="114"/>
      <c r="E1" s="114"/>
    </row>
    <row r="2" spans="1:5">
      <c r="A2" s="275" t="s">
        <v>201</v>
      </c>
      <c r="B2" s="276" t="s">
        <v>202</v>
      </c>
      <c r="C2" s="277" t="s">
        <v>158</v>
      </c>
      <c r="D2" s="278"/>
      <c r="E2" s="279"/>
    </row>
    <row r="3" ht="14.4" spans="1:6">
      <c r="A3" s="280"/>
      <c r="B3" s="281"/>
      <c r="C3" s="282" t="s">
        <v>189</v>
      </c>
      <c r="D3" s="133" t="s">
        <v>190</v>
      </c>
      <c r="E3" s="283" t="s">
        <v>5</v>
      </c>
      <c r="F3" s="284" t="s">
        <v>203</v>
      </c>
    </row>
    <row r="4" ht="14.4" spans="1:6">
      <c r="A4" s="280"/>
      <c r="B4" s="281"/>
      <c r="C4" s="285"/>
      <c r="D4" s="133"/>
      <c r="E4" s="286"/>
      <c r="F4" s="284"/>
    </row>
    <row r="5" spans="1:6">
      <c r="A5" s="272" t="s">
        <v>204</v>
      </c>
      <c r="B5" s="287" t="s">
        <v>205</v>
      </c>
      <c r="C5" s="129">
        <v>10000</v>
      </c>
      <c r="D5" s="288">
        <f>付款统计表!$D$4</f>
        <v>0</v>
      </c>
      <c r="E5" s="289">
        <f>D5/C5</f>
        <v>0</v>
      </c>
      <c r="F5" s="273">
        <f>C5-D5</f>
        <v>10000</v>
      </c>
    </row>
    <row r="6" spans="1:6">
      <c r="A6" s="272" t="s">
        <v>206</v>
      </c>
      <c r="B6" s="287" t="s">
        <v>207</v>
      </c>
      <c r="C6" s="129">
        <v>1199402.88</v>
      </c>
      <c r="D6" s="288">
        <f>付款统计表!$D$57</f>
        <v>1224144.26</v>
      </c>
      <c r="E6" s="289">
        <f t="shared" ref="E6:E26" si="0">D6/C6</f>
        <v>1.02062808119987</v>
      </c>
      <c r="F6" s="273">
        <f>C6-D6</f>
        <v>-24741.3800000001</v>
      </c>
    </row>
    <row r="7" spans="1:7">
      <c r="A7" s="272"/>
      <c r="B7" s="287" t="s">
        <v>208</v>
      </c>
      <c r="C7" s="129">
        <v>151183.2</v>
      </c>
      <c r="D7" s="288">
        <f>付款统计表!$D$58</f>
        <v>170248.09</v>
      </c>
      <c r="E7" s="289">
        <f t="shared" si="0"/>
        <v>1.12610455394515</v>
      </c>
      <c r="F7" s="273">
        <f t="shared" ref="F7:F25" si="1">C7-D7</f>
        <v>-19064.89</v>
      </c>
      <c r="G7" s="122"/>
    </row>
    <row r="8" spans="1:6">
      <c r="A8" s="272"/>
      <c r="B8" s="287" t="s">
        <v>209</v>
      </c>
      <c r="C8" s="129">
        <v>46386</v>
      </c>
      <c r="D8" s="288">
        <f>付款统计表!$D$56</f>
        <v>37918</v>
      </c>
      <c r="E8" s="289">
        <f t="shared" si="0"/>
        <v>0.817444918725478</v>
      </c>
      <c r="F8" s="273">
        <f t="shared" si="1"/>
        <v>8468</v>
      </c>
    </row>
    <row r="9" spans="1:6">
      <c r="A9" s="272"/>
      <c r="B9" s="287" t="s">
        <v>210</v>
      </c>
      <c r="C9" s="129">
        <v>139787.02</v>
      </c>
      <c r="D9" s="288">
        <f>付款统计表!$D$59</f>
        <v>147063.27</v>
      </c>
      <c r="E9" s="289">
        <f t="shared" si="0"/>
        <v>1.05205240085954</v>
      </c>
      <c r="F9" s="273">
        <f t="shared" si="1"/>
        <v>-7276.25</v>
      </c>
    </row>
    <row r="10" spans="1:6">
      <c r="A10" s="272" t="s">
        <v>211</v>
      </c>
      <c r="B10" s="287" t="s">
        <v>212</v>
      </c>
      <c r="C10" s="129">
        <v>2000</v>
      </c>
      <c r="D10" s="288">
        <f>付款统计表!$D$88</f>
        <v>1414</v>
      </c>
      <c r="E10" s="289">
        <f t="shared" si="0"/>
        <v>0.707</v>
      </c>
      <c r="F10" s="273">
        <f t="shared" si="1"/>
        <v>586</v>
      </c>
    </row>
    <row r="11" spans="1:6">
      <c r="A11" s="272"/>
      <c r="B11" s="287" t="s">
        <v>213</v>
      </c>
      <c r="C11" s="129">
        <v>30000</v>
      </c>
      <c r="D11" s="288">
        <v>587.5</v>
      </c>
      <c r="E11" s="289">
        <f t="shared" si="0"/>
        <v>0.0195833333333333</v>
      </c>
      <c r="F11" s="273">
        <f t="shared" si="1"/>
        <v>29412.5</v>
      </c>
    </row>
    <row r="12" spans="1:6">
      <c r="A12" s="272" t="s">
        <v>214</v>
      </c>
      <c r="B12" s="287" t="s">
        <v>215</v>
      </c>
      <c r="C12" s="129">
        <v>6000</v>
      </c>
      <c r="D12" s="288">
        <f>付款统计表!$D$77</f>
        <v>10000</v>
      </c>
      <c r="E12" s="289">
        <f t="shared" si="0"/>
        <v>1.66666666666667</v>
      </c>
      <c r="F12" s="273">
        <f t="shared" si="1"/>
        <v>-4000</v>
      </c>
    </row>
    <row r="13" spans="1:6">
      <c r="A13" s="274" t="s">
        <v>216</v>
      </c>
      <c r="B13" s="287" t="s">
        <v>217</v>
      </c>
      <c r="C13" s="129">
        <v>1500</v>
      </c>
      <c r="D13" s="288">
        <f>付款统计表!$D$79</f>
        <v>1460</v>
      </c>
      <c r="E13" s="289">
        <f t="shared" si="0"/>
        <v>0.973333333333333</v>
      </c>
      <c r="F13" s="273">
        <f t="shared" si="1"/>
        <v>40</v>
      </c>
    </row>
    <row r="14" spans="1:6">
      <c r="A14" s="274"/>
      <c r="B14" s="287" t="s">
        <v>218</v>
      </c>
      <c r="C14" s="129">
        <v>3000</v>
      </c>
      <c r="D14" s="288">
        <f>付款统计表!$D$89-D11</f>
        <v>2956.55</v>
      </c>
      <c r="E14" s="289">
        <f t="shared" si="0"/>
        <v>0.985516666666667</v>
      </c>
      <c r="F14" s="273">
        <f t="shared" si="1"/>
        <v>43.4499999999998</v>
      </c>
    </row>
    <row r="15" spans="1:6">
      <c r="A15" s="274"/>
      <c r="B15" s="287" t="s">
        <v>219</v>
      </c>
      <c r="C15" s="129">
        <v>3500</v>
      </c>
      <c r="D15" s="288">
        <f>付款统计表!$D$78</f>
        <v>5068.09</v>
      </c>
      <c r="E15" s="289">
        <f t="shared" si="0"/>
        <v>1.44802571428571</v>
      </c>
      <c r="F15" s="273">
        <f t="shared" si="1"/>
        <v>-1568.09</v>
      </c>
    </row>
    <row r="16" spans="1:6">
      <c r="A16" s="203" t="s">
        <v>220</v>
      </c>
      <c r="B16" s="287" t="s">
        <v>221</v>
      </c>
      <c r="C16" s="129">
        <v>5000</v>
      </c>
      <c r="D16" s="288">
        <f>付款统计表!$D$70</f>
        <v>809</v>
      </c>
      <c r="E16" s="289">
        <f t="shared" si="0"/>
        <v>0.1618</v>
      </c>
      <c r="F16" s="273">
        <f t="shared" si="1"/>
        <v>4191</v>
      </c>
    </row>
    <row r="17" spans="1:6">
      <c r="A17" s="272" t="s">
        <v>222</v>
      </c>
      <c r="B17" s="287" t="s">
        <v>223</v>
      </c>
      <c r="C17" s="129">
        <v>35000</v>
      </c>
      <c r="D17" s="288">
        <f>付款统计表!$D$84</f>
        <v>59569.81</v>
      </c>
      <c r="E17" s="289">
        <f t="shared" si="0"/>
        <v>1.70199457142857</v>
      </c>
      <c r="F17" s="273">
        <f t="shared" si="1"/>
        <v>-24569.81</v>
      </c>
    </row>
    <row r="18" spans="1:6">
      <c r="A18" s="274" t="s">
        <v>224</v>
      </c>
      <c r="B18" s="287" t="s">
        <v>225</v>
      </c>
      <c r="C18" s="129">
        <v>196000</v>
      </c>
      <c r="D18" s="288">
        <f>付款统计表!$D$5</f>
        <v>196530.32</v>
      </c>
      <c r="E18" s="289">
        <f t="shared" si="0"/>
        <v>1.00270571428571</v>
      </c>
      <c r="F18" s="273">
        <f t="shared" si="1"/>
        <v>-530.320000000007</v>
      </c>
    </row>
    <row r="19" spans="1:6">
      <c r="A19" s="274"/>
      <c r="B19" s="287" t="s">
        <v>226</v>
      </c>
      <c r="C19" s="129">
        <v>25000</v>
      </c>
      <c r="D19" s="288">
        <f>付款统计表!$D$6</f>
        <v>19226.22</v>
      </c>
      <c r="E19" s="289">
        <f t="shared" si="0"/>
        <v>0.7690488</v>
      </c>
      <c r="F19" s="273">
        <f t="shared" si="1"/>
        <v>5773.78</v>
      </c>
    </row>
    <row r="20" spans="1:6">
      <c r="A20" s="274"/>
      <c r="B20" s="287" t="s">
        <v>227</v>
      </c>
      <c r="C20" s="129">
        <v>3550</v>
      </c>
      <c r="D20" s="288">
        <f>付款统计表!$D$83</f>
        <v>3400</v>
      </c>
      <c r="E20" s="289">
        <f t="shared" si="0"/>
        <v>0.957746478873239</v>
      </c>
      <c r="F20" s="273">
        <f t="shared" si="1"/>
        <v>150</v>
      </c>
    </row>
    <row r="21" spans="1:6">
      <c r="A21" s="274"/>
      <c r="B21" s="287" t="s">
        <v>228</v>
      </c>
      <c r="C21" s="129">
        <v>500</v>
      </c>
      <c r="D21" s="288">
        <f>付款统计表!$D$82</f>
        <v>3700</v>
      </c>
      <c r="E21" s="289">
        <f t="shared" si="0"/>
        <v>7.4</v>
      </c>
      <c r="F21" s="273">
        <f t="shared" si="1"/>
        <v>-3200</v>
      </c>
    </row>
    <row r="22" spans="1:6">
      <c r="A22" s="290" t="s">
        <v>229</v>
      </c>
      <c r="B22" s="291" t="s">
        <v>230</v>
      </c>
      <c r="C22" s="129">
        <v>0</v>
      </c>
      <c r="D22" s="288">
        <f>付款统计表!$D$90</f>
        <v>0</v>
      </c>
      <c r="E22" s="289" t="e">
        <f t="shared" si="0"/>
        <v>#DIV/0!</v>
      </c>
      <c r="F22" s="273">
        <f t="shared" si="1"/>
        <v>0</v>
      </c>
    </row>
    <row r="23" spans="1:6">
      <c r="A23" s="292"/>
      <c r="B23" s="291" t="s">
        <v>222</v>
      </c>
      <c r="C23" s="129">
        <v>300</v>
      </c>
      <c r="D23" s="288">
        <f>付款统计表!$D$85+付款统计表!$D$86</f>
        <v>474.47</v>
      </c>
      <c r="E23" s="289">
        <f t="shared" si="0"/>
        <v>1.58156666666667</v>
      </c>
      <c r="F23" s="273">
        <f t="shared" si="1"/>
        <v>-174.47</v>
      </c>
    </row>
    <row r="24" spans="1:6">
      <c r="A24" s="293"/>
      <c r="B24" s="291" t="s">
        <v>231</v>
      </c>
      <c r="C24" s="129">
        <v>1500</v>
      </c>
      <c r="D24" s="288">
        <f>付款统计表!$D$87</f>
        <v>3308.54</v>
      </c>
      <c r="E24" s="289">
        <f t="shared" si="0"/>
        <v>2.20569333333333</v>
      </c>
      <c r="F24" s="273">
        <f t="shared" si="1"/>
        <v>-1808.54</v>
      </c>
    </row>
    <row r="25" spans="1:6">
      <c r="A25" s="272" t="s">
        <v>139</v>
      </c>
      <c r="B25" s="291" t="s">
        <v>139</v>
      </c>
      <c r="C25" s="129">
        <v>17000</v>
      </c>
      <c r="D25" s="288">
        <f>81500+付款统计表!$D$94-SUM(人力资源部!D5:D24)</f>
        <v>123234.96</v>
      </c>
      <c r="E25" s="289">
        <f t="shared" si="0"/>
        <v>7.24911529411764</v>
      </c>
      <c r="F25" s="273">
        <f t="shared" si="1"/>
        <v>-106234.96</v>
      </c>
    </row>
    <row r="26" ht="16.35" spans="1:7">
      <c r="A26" s="294" t="s">
        <v>232</v>
      </c>
      <c r="B26" s="294"/>
      <c r="C26" s="295">
        <f>SUM(C5:C25)</f>
        <v>1876609.1</v>
      </c>
      <c r="D26" s="296">
        <f>SUM(D5:D25)</f>
        <v>2011113.08</v>
      </c>
      <c r="E26" s="297">
        <f t="shared" si="0"/>
        <v>1.07167394637487</v>
      </c>
      <c r="F26" s="273">
        <f>SUM(F5:F25)</f>
        <v>-134503.98</v>
      </c>
      <c r="G26" s="122">
        <f>D26-付款统计表!D94-81500</f>
        <v>0</v>
      </c>
    </row>
    <row r="27" hidden="1" spans="2:4">
      <c r="B27" s="2" t="s">
        <v>233</v>
      </c>
      <c r="C27" s="122">
        <f>SUM(C6:C9)</f>
        <v>1536759.1</v>
      </c>
      <c r="D27" s="122">
        <f>SUM(D6:D9)</f>
        <v>1579373.62</v>
      </c>
    </row>
    <row r="28" hidden="1" spans="1:4">
      <c r="A28" s="132"/>
      <c r="B28" s="2" t="s">
        <v>234</v>
      </c>
      <c r="C28" s="122">
        <f>C18+C19</f>
        <v>221000</v>
      </c>
      <c r="D28" s="122">
        <f>D18+D19</f>
        <v>215756.54</v>
      </c>
    </row>
    <row r="29" hidden="1" spans="2:5">
      <c r="B29" s="2" t="s">
        <v>235</v>
      </c>
      <c r="C29" s="122">
        <f>SUM(C22:C24)+C14+C10+C11</f>
        <v>36800</v>
      </c>
      <c r="D29" s="122">
        <f>SUM(D22:D24)</f>
        <v>3783.01</v>
      </c>
      <c r="E29" s="3"/>
    </row>
    <row r="30" hidden="1" spans="2:5">
      <c r="B30" s="2" t="s">
        <v>236</v>
      </c>
      <c r="C30" s="122">
        <f>C26-C27-C28-C29</f>
        <v>82050</v>
      </c>
      <c r="D30" s="122">
        <f>D26-D27-D28-D29</f>
        <v>212199.91</v>
      </c>
      <c r="E30" s="3"/>
    </row>
    <row r="31" hidden="1" spans="5:5">
      <c r="E31" s="3"/>
    </row>
    <row r="32" spans="5:5">
      <c r="E32" s="3"/>
    </row>
    <row r="33" spans="5:5">
      <c r="E33" s="3"/>
    </row>
    <row r="34" spans="5:5">
      <c r="E34" s="3"/>
    </row>
    <row r="35" spans="5:5">
      <c r="E35" s="3"/>
    </row>
    <row r="36" spans="5:5">
      <c r="E36" s="3"/>
    </row>
  </sheetData>
  <protectedRanges>
    <protectedRange sqref="C5:C25" name="区域1"/>
  </protectedRanges>
  <mergeCells count="14">
    <mergeCell ref="B1:E1"/>
    <mergeCell ref="C2:E2"/>
    <mergeCell ref="A26:B26"/>
    <mergeCell ref="A2:A4"/>
    <mergeCell ref="A6:A9"/>
    <mergeCell ref="A10:A11"/>
    <mergeCell ref="A13:A15"/>
    <mergeCell ref="A18:A21"/>
    <mergeCell ref="A22:A24"/>
    <mergeCell ref="B2:B4"/>
    <mergeCell ref="C3:C4"/>
    <mergeCell ref="D3:D4"/>
    <mergeCell ref="E3:E4"/>
    <mergeCell ref="F3:F4"/>
  </mergeCells>
  <pageMargins left="0.699305555555556" right="0.699305555555556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8"/>
  <sheetViews>
    <sheetView zoomScale="115" zoomScaleNormal="115" topLeftCell="A7" workbookViewId="0">
      <selection activeCell="B19" sqref="B19"/>
    </sheetView>
  </sheetViews>
  <sheetFormatPr defaultColWidth="9" defaultRowHeight="15.6"/>
  <cols>
    <col min="1" max="5" width="17.5" style="2" customWidth="1"/>
    <col min="6" max="6" width="13" style="2" hidden="1" customWidth="1"/>
    <col min="7" max="7" width="13" style="3" customWidth="1"/>
    <col min="8" max="8" width="13.1296296296296" style="2" customWidth="1"/>
    <col min="9" max="9" width="13" style="2" customWidth="1"/>
    <col min="10" max="16384" width="9" style="2"/>
  </cols>
  <sheetData>
    <row r="1" ht="20.4" spans="2:5">
      <c r="B1" s="114" t="s">
        <v>237</v>
      </c>
      <c r="C1" s="114"/>
      <c r="D1" s="114"/>
      <c r="E1" s="114"/>
    </row>
    <row r="2" spans="1:6">
      <c r="A2" s="133" t="s">
        <v>201</v>
      </c>
      <c r="B2" s="133" t="s">
        <v>202</v>
      </c>
      <c r="C2" s="133" t="s">
        <v>158</v>
      </c>
      <c r="D2" s="133"/>
      <c r="E2" s="133"/>
      <c r="F2" s="164" t="s">
        <v>203</v>
      </c>
    </row>
    <row r="3" spans="1:6">
      <c r="A3" s="133"/>
      <c r="B3" s="133"/>
      <c r="C3" s="133" t="s">
        <v>189</v>
      </c>
      <c r="D3" s="133" t="s">
        <v>190</v>
      </c>
      <c r="E3" s="133" t="s">
        <v>5</v>
      </c>
      <c r="F3" s="164"/>
    </row>
    <row r="4" spans="1:6">
      <c r="A4" s="272" t="s">
        <v>238</v>
      </c>
      <c r="B4" s="141" t="s">
        <v>239</v>
      </c>
      <c r="C4" s="129">
        <v>200000</v>
      </c>
      <c r="D4" s="120">
        <f>付款统计表!$E$68</f>
        <v>200000</v>
      </c>
      <c r="E4" s="121">
        <f>D4/C4</f>
        <v>1</v>
      </c>
      <c r="F4" s="273">
        <f>C4-D4</f>
        <v>0</v>
      </c>
    </row>
    <row r="5" spans="1:6">
      <c r="A5" s="272" t="s">
        <v>240</v>
      </c>
      <c r="B5" s="141" t="s">
        <v>241</v>
      </c>
      <c r="C5" s="129">
        <v>286324.06</v>
      </c>
      <c r="D5" s="120">
        <f>付款统计表!$E$60</f>
        <v>286324.06</v>
      </c>
      <c r="E5" s="121">
        <f t="shared" ref="E5:E26" si="0">D5/C5</f>
        <v>1</v>
      </c>
      <c r="F5" s="273">
        <f t="shared" ref="F5:F25" si="1">C5-D5</f>
        <v>0</v>
      </c>
    </row>
    <row r="6" spans="1:6">
      <c r="A6" s="272"/>
      <c r="B6" s="141" t="s">
        <v>242</v>
      </c>
      <c r="C6" s="129">
        <v>0</v>
      </c>
      <c r="D6" s="120">
        <f>付款统计表!$E$66</f>
        <v>0</v>
      </c>
      <c r="E6" s="121" t="e">
        <f t="shared" si="0"/>
        <v>#DIV/0!</v>
      </c>
      <c r="F6" s="273">
        <f t="shared" si="1"/>
        <v>0</v>
      </c>
    </row>
    <row r="7" spans="1:6">
      <c r="A7" s="272"/>
      <c r="B7" s="141" t="s">
        <v>243</v>
      </c>
      <c r="C7" s="129">
        <v>34358.9</v>
      </c>
      <c r="D7" s="120">
        <f>付款统计表!$E$62+付款统计表!$E$63+付款统计表!$E$61</f>
        <v>34358.9</v>
      </c>
      <c r="E7" s="121">
        <f t="shared" si="0"/>
        <v>1</v>
      </c>
      <c r="F7" s="273">
        <f t="shared" si="1"/>
        <v>0</v>
      </c>
    </row>
    <row r="8" spans="1:6">
      <c r="A8" s="272"/>
      <c r="B8" s="141" t="s">
        <v>244</v>
      </c>
      <c r="C8" s="129">
        <v>1141385.51</v>
      </c>
      <c r="D8" s="120">
        <f>付款统计表!$E$67</f>
        <v>1141385.51</v>
      </c>
      <c r="E8" s="121">
        <f t="shared" si="0"/>
        <v>1</v>
      </c>
      <c r="F8" s="273">
        <f t="shared" si="1"/>
        <v>0</v>
      </c>
    </row>
    <row r="9" spans="1:6">
      <c r="A9" s="272"/>
      <c r="B9" s="141" t="s">
        <v>245</v>
      </c>
      <c r="C9" s="129">
        <v>90880.5</v>
      </c>
      <c r="D9" s="120">
        <f>付款统计表!$E$65</f>
        <v>90880.5</v>
      </c>
      <c r="E9" s="121">
        <f t="shared" si="0"/>
        <v>1</v>
      </c>
      <c r="F9" s="273">
        <f t="shared" si="1"/>
        <v>0</v>
      </c>
    </row>
    <row r="10" spans="1:6">
      <c r="A10" s="272"/>
      <c r="B10" s="141" t="s">
        <v>246</v>
      </c>
      <c r="C10" s="129">
        <v>0</v>
      </c>
      <c r="D10" s="120">
        <f>付款统计表!$E$64</f>
        <v>0</v>
      </c>
      <c r="E10" s="121" t="e">
        <f t="shared" si="0"/>
        <v>#DIV/0!</v>
      </c>
      <c r="F10" s="273">
        <f t="shared" si="1"/>
        <v>0</v>
      </c>
    </row>
    <row r="11" spans="1:6">
      <c r="A11" s="272" t="s">
        <v>247</v>
      </c>
      <c r="B11" s="141" t="s">
        <v>248</v>
      </c>
      <c r="C11" s="129">
        <v>800</v>
      </c>
      <c r="D11" s="120">
        <f>付款统计表!$E$71</f>
        <v>1131.07</v>
      </c>
      <c r="E11" s="121">
        <f t="shared" si="0"/>
        <v>1.4138375</v>
      </c>
      <c r="F11" s="273">
        <f t="shared" si="1"/>
        <v>-331.07</v>
      </c>
    </row>
    <row r="12" spans="1:6">
      <c r="A12" s="272"/>
      <c r="B12" s="141" t="s">
        <v>249</v>
      </c>
      <c r="C12" s="129">
        <v>20000</v>
      </c>
      <c r="D12" s="120">
        <f>付款统计表!$E$69</f>
        <v>18912.83</v>
      </c>
      <c r="E12" s="121">
        <f t="shared" si="0"/>
        <v>0.9456415</v>
      </c>
      <c r="F12" s="273">
        <f t="shared" si="1"/>
        <v>1087.17</v>
      </c>
    </row>
    <row r="13" spans="1:6">
      <c r="A13" s="274" t="s">
        <v>250</v>
      </c>
      <c r="B13" s="141" t="s">
        <v>251</v>
      </c>
      <c r="C13" s="129">
        <v>0</v>
      </c>
      <c r="D13" s="120">
        <f>付款统计表!$E$52</f>
        <v>7628.98</v>
      </c>
      <c r="E13" s="121" t="e">
        <f t="shared" si="0"/>
        <v>#DIV/0!</v>
      </c>
      <c r="F13" s="273">
        <f t="shared" si="1"/>
        <v>-7628.98</v>
      </c>
    </row>
    <row r="14" spans="1:6">
      <c r="A14" s="274"/>
      <c r="B14" s="141" t="s">
        <v>252</v>
      </c>
      <c r="C14" s="129">
        <v>2784.5</v>
      </c>
      <c r="D14" s="120">
        <f>付款统计表!$E$51</f>
        <v>2784.5</v>
      </c>
      <c r="E14" s="121">
        <f t="shared" si="0"/>
        <v>1</v>
      </c>
      <c r="F14" s="273"/>
    </row>
    <row r="15" spans="1:6">
      <c r="A15" s="274"/>
      <c r="B15" s="141" t="s">
        <v>253</v>
      </c>
      <c r="C15" s="129">
        <v>16161.14</v>
      </c>
      <c r="D15" s="120">
        <f>付款统计表!$E$50</f>
        <v>16161.14</v>
      </c>
      <c r="E15" s="121">
        <f t="shared" si="0"/>
        <v>1</v>
      </c>
      <c r="F15" s="273">
        <f t="shared" si="1"/>
        <v>0</v>
      </c>
    </row>
    <row r="16" spans="1:8">
      <c r="A16" s="274"/>
      <c r="B16" s="141" t="s">
        <v>254</v>
      </c>
      <c r="C16" s="129">
        <v>95200</v>
      </c>
      <c r="D16" s="120">
        <v>102221.27</v>
      </c>
      <c r="E16" s="121">
        <f t="shared" si="0"/>
        <v>1.07375283613445</v>
      </c>
      <c r="F16" s="273">
        <f t="shared" si="1"/>
        <v>-7021.27</v>
      </c>
      <c r="H16" s="122"/>
    </row>
    <row r="17" spans="1:6">
      <c r="A17" s="203" t="s">
        <v>255</v>
      </c>
      <c r="B17" s="141" t="s">
        <v>255</v>
      </c>
      <c r="C17" s="129">
        <v>159500</v>
      </c>
      <c r="D17" s="120">
        <f>付款统计表!$T$49</f>
        <v>160172</v>
      </c>
      <c r="E17" s="121">
        <f t="shared" si="0"/>
        <v>1.0042131661442</v>
      </c>
      <c r="F17" s="273">
        <f t="shared" si="1"/>
        <v>-672</v>
      </c>
    </row>
    <row r="18" spans="1:9">
      <c r="A18" s="272" t="s">
        <v>256</v>
      </c>
      <c r="B18" s="141" t="s">
        <v>257</v>
      </c>
      <c r="C18" s="129">
        <v>0</v>
      </c>
      <c r="D18" s="120">
        <f>付款统计表!$E$73</f>
        <v>0</v>
      </c>
      <c r="E18" s="121" t="e">
        <f t="shared" si="0"/>
        <v>#DIV/0!</v>
      </c>
      <c r="F18" s="273">
        <f t="shared" si="1"/>
        <v>0</v>
      </c>
      <c r="H18" s="3"/>
      <c r="I18" s="3"/>
    </row>
    <row r="19" spans="1:9">
      <c r="A19" s="272" t="s">
        <v>258</v>
      </c>
      <c r="B19" s="141" t="s">
        <v>259</v>
      </c>
      <c r="C19" s="129">
        <v>0</v>
      </c>
      <c r="D19" s="120">
        <f>付款统计表!$E$5+付款统计表!$E$6+付款统计表!$E$80+付款统计表!$E$81+付款统计表!$E$82+付款统计表!$E$83</f>
        <v>0</v>
      </c>
      <c r="E19" s="121" t="e">
        <f t="shared" si="0"/>
        <v>#DIV/0!</v>
      </c>
      <c r="F19" s="273">
        <f t="shared" si="1"/>
        <v>0</v>
      </c>
      <c r="I19" s="122"/>
    </row>
    <row r="20" spans="1:6">
      <c r="A20" s="272" t="s">
        <v>260</v>
      </c>
      <c r="B20" s="141" t="s">
        <v>261</v>
      </c>
      <c r="C20" s="129">
        <v>0</v>
      </c>
      <c r="D20" s="120">
        <f>付款统计表!$E$55</f>
        <v>0</v>
      </c>
      <c r="E20" s="121" t="e">
        <f t="shared" si="0"/>
        <v>#DIV/0!</v>
      </c>
      <c r="F20" s="273">
        <f t="shared" si="1"/>
        <v>0</v>
      </c>
    </row>
    <row r="21" spans="1:8">
      <c r="A21" s="272" t="s">
        <v>139</v>
      </c>
      <c r="B21" s="141" t="s">
        <v>262</v>
      </c>
      <c r="C21" s="129"/>
      <c r="D21" s="120">
        <f>付款统计表!$E$94-SUM(财务部!D4:D15)-SUM(财务部!D17:D20)-SUM(财务部!D22:D25)</f>
        <v>1837.00000000022</v>
      </c>
      <c r="E21" s="121" t="e">
        <f t="shared" si="0"/>
        <v>#DIV/0!</v>
      </c>
      <c r="F21" s="273">
        <f t="shared" si="1"/>
        <v>-1837.00000000022</v>
      </c>
      <c r="H21" s="122"/>
    </row>
    <row r="22" spans="1:6">
      <c r="A22" s="272" t="s">
        <v>229</v>
      </c>
      <c r="B22" s="118" t="s">
        <v>230</v>
      </c>
      <c r="C22" s="129">
        <v>0</v>
      </c>
      <c r="D22" s="120">
        <f>付款统计表!$E$90</f>
        <v>0</v>
      </c>
      <c r="E22" s="121" t="e">
        <f t="shared" si="0"/>
        <v>#DIV/0!</v>
      </c>
      <c r="F22" s="273">
        <f t="shared" si="1"/>
        <v>0</v>
      </c>
    </row>
    <row r="23" spans="1:6">
      <c r="A23" s="272"/>
      <c r="B23" s="118" t="s">
        <v>222</v>
      </c>
      <c r="C23" s="129">
        <v>800</v>
      </c>
      <c r="D23" s="120">
        <f>付款统计表!$E$85+付款统计表!$E$86</f>
        <v>860.24</v>
      </c>
      <c r="E23" s="121">
        <f t="shared" si="0"/>
        <v>1.0753</v>
      </c>
      <c r="F23" s="273">
        <f t="shared" si="1"/>
        <v>-60.2399999999999</v>
      </c>
    </row>
    <row r="24" spans="1:6">
      <c r="A24" s="272"/>
      <c r="B24" s="118" t="s">
        <v>263</v>
      </c>
      <c r="C24" s="129">
        <v>0</v>
      </c>
      <c r="D24" s="120">
        <f>付款统计表!$E$87</f>
        <v>0</v>
      </c>
      <c r="E24" s="121" t="e">
        <f t="shared" si="0"/>
        <v>#DIV/0!</v>
      </c>
      <c r="F24" s="273">
        <f t="shared" si="1"/>
        <v>0</v>
      </c>
    </row>
    <row r="25" spans="1:6">
      <c r="A25" s="272"/>
      <c r="B25" s="118" t="s">
        <v>264</v>
      </c>
      <c r="C25" s="129">
        <v>200</v>
      </c>
      <c r="D25" s="120"/>
      <c r="E25" s="121">
        <f t="shared" si="0"/>
        <v>0</v>
      </c>
      <c r="F25" s="122">
        <f t="shared" si="1"/>
        <v>200</v>
      </c>
    </row>
    <row r="26" spans="1:6">
      <c r="A26" s="5" t="s">
        <v>232</v>
      </c>
      <c r="B26" s="5"/>
      <c r="C26" s="125">
        <f>SUM(C4:C25)</f>
        <v>2048394.61</v>
      </c>
      <c r="D26" s="125">
        <f>SUM(D4:D25)</f>
        <v>2064658</v>
      </c>
      <c r="E26" s="121">
        <f t="shared" si="0"/>
        <v>1.00793957859516</v>
      </c>
      <c r="F26" s="122">
        <f>SUM(F4:F25)</f>
        <v>-16263.3900000002</v>
      </c>
    </row>
    <row r="27" hidden="1" spans="2:4">
      <c r="B27" s="2" t="s">
        <v>235</v>
      </c>
      <c r="C27" s="122">
        <f>C22+C23+C24+C25</f>
        <v>1000</v>
      </c>
      <c r="D27" s="122">
        <f>D22+D23+D24+D25</f>
        <v>860.24</v>
      </c>
    </row>
    <row r="28" hidden="1" spans="2:6">
      <c r="B28" s="2" t="s">
        <v>236</v>
      </c>
      <c r="C28" s="3">
        <f>C11+C18+C19+C20+C21</f>
        <v>800</v>
      </c>
      <c r="D28" s="3">
        <f>D26-D27-SUM(D5:D10)-SUM(D13:D16)-D17-D4-D12</f>
        <v>2968.07000000025</v>
      </c>
      <c r="E28" s="3"/>
      <c r="F28" s="3"/>
    </row>
    <row r="29" spans="3:6">
      <c r="C29" s="3"/>
      <c r="D29" s="3"/>
      <c r="E29" s="3"/>
      <c r="F29" s="3"/>
    </row>
    <row r="30" spans="3:6">
      <c r="C30" s="3"/>
      <c r="D30" s="3"/>
      <c r="E30" s="3"/>
      <c r="F30" s="3"/>
    </row>
    <row r="31" spans="3:6">
      <c r="C31" s="3"/>
      <c r="D31" s="3"/>
      <c r="E31" s="3"/>
      <c r="F31" s="3"/>
    </row>
    <row r="32" spans="3:6">
      <c r="C32" s="3"/>
      <c r="D32" s="3"/>
      <c r="E32" s="3"/>
      <c r="F32" s="3"/>
    </row>
    <row r="33" spans="3:6">
      <c r="C33" s="3"/>
      <c r="D33" s="3"/>
      <c r="E33" s="3"/>
      <c r="F33" s="3"/>
    </row>
    <row r="34" spans="3:6">
      <c r="C34" s="3"/>
      <c r="D34" s="3"/>
      <c r="E34" s="3"/>
      <c r="F34" s="3"/>
    </row>
    <row r="35" spans="3:6">
      <c r="C35" s="3"/>
      <c r="D35" s="3"/>
      <c r="E35" s="3"/>
      <c r="F35" s="3"/>
    </row>
    <row r="36" spans="3:6">
      <c r="C36" s="3"/>
      <c r="D36" s="3"/>
      <c r="E36" s="3"/>
      <c r="F36" s="3"/>
    </row>
    <row r="37" spans="3:6">
      <c r="C37" s="3"/>
      <c r="D37" s="3"/>
      <c r="E37" s="3"/>
      <c r="F37" s="3"/>
    </row>
    <row r="38" spans="3:6">
      <c r="C38" s="3"/>
      <c r="D38" s="3"/>
      <c r="E38" s="3"/>
      <c r="F38" s="3"/>
    </row>
  </sheetData>
  <protectedRanges>
    <protectedRange sqref="C4:C25" name="区域1"/>
  </protectedRanges>
  <mergeCells count="10">
    <mergeCell ref="B1:E1"/>
    <mergeCell ref="C2:E2"/>
    <mergeCell ref="A26:B26"/>
    <mergeCell ref="A2:A3"/>
    <mergeCell ref="A5:A10"/>
    <mergeCell ref="A11:A12"/>
    <mergeCell ref="A13:A16"/>
    <mergeCell ref="A22:A25"/>
    <mergeCell ref="B2:B3"/>
    <mergeCell ref="F2:F3"/>
  </mergeCells>
  <pageMargins left="0.699305555555556" right="0.699305555555556" top="0.75" bottom="0.75" header="0.3" footer="0.3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2"/>
  <sheetViews>
    <sheetView zoomScale="85" zoomScaleNormal="85" topLeftCell="B1" workbookViewId="0">
      <pane xSplit="2" ySplit="4" topLeftCell="D5" activePane="bottomRight" state="frozen"/>
      <selection/>
      <selection pane="topRight"/>
      <selection pane="bottomLeft"/>
      <selection pane="bottomRight" activeCell="C30" sqref="C30"/>
    </sheetView>
  </sheetViews>
  <sheetFormatPr defaultColWidth="9" defaultRowHeight="15.6"/>
  <cols>
    <col min="1" max="1" width="14.3796296296296" hidden="1" customWidth="1"/>
    <col min="2" max="2" width="9.25925925925926" customWidth="1"/>
    <col min="3" max="3" width="15" customWidth="1"/>
    <col min="4" max="4" width="16.7314814814815" customWidth="1"/>
    <col min="5" max="5" width="15.2962962962963" customWidth="1"/>
    <col min="6" max="6" width="9" customWidth="1"/>
    <col min="7" max="7" width="15.4166666666667" customWidth="1"/>
    <col min="8" max="8" width="17.25" customWidth="1"/>
    <col min="9" max="9" width="9" customWidth="1"/>
    <col min="10" max="10" width="14.3703703703704" customWidth="1"/>
    <col min="11" max="11" width="15.287037037037" customWidth="1"/>
    <col min="12" max="12" width="9" customWidth="1"/>
    <col min="13" max="13" width="15.7592592592593" style="2" customWidth="1"/>
    <col min="14" max="14" width="16.8888888888889" customWidth="1"/>
    <col min="15" max="15" width="20.7592592592593" style="213" customWidth="1"/>
  </cols>
  <sheetData>
    <row r="1" ht="21.15" spans="1:12">
      <c r="A1" s="177" t="s">
        <v>265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</row>
    <row r="2" ht="16.5" customHeight="1" spans="1:12">
      <c r="A2" s="214" t="s">
        <v>266</v>
      </c>
      <c r="B2" s="215" t="s">
        <v>267</v>
      </c>
      <c r="C2" s="216" t="s">
        <v>268</v>
      </c>
      <c r="D2" s="217" t="s">
        <v>158</v>
      </c>
      <c r="E2" s="217"/>
      <c r="F2" s="218"/>
      <c r="G2" s="217" t="s">
        <v>269</v>
      </c>
      <c r="H2" s="217"/>
      <c r="I2" s="218"/>
      <c r="J2" s="217" t="s">
        <v>270</v>
      </c>
      <c r="K2" s="217"/>
      <c r="L2" s="218"/>
    </row>
    <row r="3" ht="16.5" customHeight="1" spans="1:13">
      <c r="A3" s="219"/>
      <c r="B3" s="220"/>
      <c r="C3" s="221"/>
      <c r="D3" s="222" t="s">
        <v>271</v>
      </c>
      <c r="E3" s="223" t="s">
        <v>154</v>
      </c>
      <c r="F3" s="223" t="s">
        <v>5</v>
      </c>
      <c r="G3" s="222" t="s">
        <v>271</v>
      </c>
      <c r="H3" s="223" t="s">
        <v>154</v>
      </c>
      <c r="I3" s="223" t="s">
        <v>5</v>
      </c>
      <c r="J3" s="222" t="s">
        <v>271</v>
      </c>
      <c r="K3" s="223" t="s">
        <v>154</v>
      </c>
      <c r="L3" s="223" t="s">
        <v>5</v>
      </c>
      <c r="M3" s="164" t="s">
        <v>106</v>
      </c>
    </row>
    <row r="4" ht="15.15" spans="1:13">
      <c r="A4" s="219"/>
      <c r="B4" s="224"/>
      <c r="C4" s="225"/>
      <c r="D4" s="226"/>
      <c r="E4" s="227"/>
      <c r="F4" s="227"/>
      <c r="G4" s="226"/>
      <c r="H4" s="227"/>
      <c r="I4" s="227"/>
      <c r="J4" s="226"/>
      <c r="K4" s="227"/>
      <c r="L4" s="227"/>
      <c r="M4" s="164"/>
    </row>
    <row r="5" spans="1:13">
      <c r="A5" s="228">
        <v>6601.016</v>
      </c>
      <c r="B5" s="229" t="s">
        <v>272</v>
      </c>
      <c r="C5" s="230" t="s">
        <v>273</v>
      </c>
      <c r="D5" s="231"/>
      <c r="E5" s="232"/>
      <c r="F5" s="233"/>
      <c r="G5" s="231"/>
      <c r="H5" s="232"/>
      <c r="I5" s="233"/>
      <c r="J5" s="231"/>
      <c r="K5" s="232"/>
      <c r="L5" s="233"/>
      <c r="M5" s="122">
        <f>D5-E5</f>
        <v>0</v>
      </c>
    </row>
    <row r="6" spans="1:13">
      <c r="A6" s="228">
        <v>6601.016</v>
      </c>
      <c r="B6" s="234"/>
      <c r="C6" s="235" t="s">
        <v>274</v>
      </c>
      <c r="D6" s="154"/>
      <c r="E6" s="236"/>
      <c r="F6" s="237"/>
      <c r="G6" s="154"/>
      <c r="H6" s="236"/>
      <c r="I6" s="237"/>
      <c r="J6" s="154"/>
      <c r="K6" s="236"/>
      <c r="L6" s="237"/>
      <c r="M6" s="122">
        <f t="shared" ref="M6:M28" si="0">D6-E6</f>
        <v>0</v>
      </c>
    </row>
    <row r="7" spans="1:13">
      <c r="A7" s="228">
        <v>6601.016</v>
      </c>
      <c r="B7" s="234"/>
      <c r="C7" s="235" t="s">
        <v>275</v>
      </c>
      <c r="D7" s="154"/>
      <c r="E7" s="236"/>
      <c r="F7" s="237"/>
      <c r="G7" s="154"/>
      <c r="H7" s="236"/>
      <c r="I7" s="237"/>
      <c r="J7" s="154"/>
      <c r="K7" s="236"/>
      <c r="L7" s="237"/>
      <c r="M7" s="122">
        <f t="shared" si="0"/>
        <v>0</v>
      </c>
    </row>
    <row r="8" spans="1:13">
      <c r="A8" s="228">
        <v>6601.016</v>
      </c>
      <c r="B8" s="234"/>
      <c r="C8" s="235" t="s">
        <v>276</v>
      </c>
      <c r="D8" s="154"/>
      <c r="E8" s="236"/>
      <c r="F8" s="237"/>
      <c r="G8" s="154"/>
      <c r="H8" s="236"/>
      <c r="I8" s="237"/>
      <c r="J8" s="154"/>
      <c r="K8" s="236"/>
      <c r="L8" s="237"/>
      <c r="M8" s="122">
        <f t="shared" si="0"/>
        <v>0</v>
      </c>
    </row>
    <row r="9" spans="1:13">
      <c r="A9" s="228">
        <v>6601.016</v>
      </c>
      <c r="B9" s="234"/>
      <c r="C9" s="235" t="s">
        <v>277</v>
      </c>
      <c r="D9" s="154"/>
      <c r="E9" s="236"/>
      <c r="F9" s="237"/>
      <c r="G9" s="154"/>
      <c r="H9" s="236"/>
      <c r="I9" s="237"/>
      <c r="J9" s="154"/>
      <c r="K9" s="236"/>
      <c r="L9" s="237"/>
      <c r="M9" s="122">
        <f t="shared" si="0"/>
        <v>0</v>
      </c>
    </row>
    <row r="10" spans="1:13">
      <c r="A10" s="228">
        <v>6601.016</v>
      </c>
      <c r="B10" s="234"/>
      <c r="C10" s="235" t="s">
        <v>278</v>
      </c>
      <c r="D10" s="154"/>
      <c r="E10" s="236"/>
      <c r="F10" s="237"/>
      <c r="G10" s="154"/>
      <c r="H10" s="236"/>
      <c r="I10" s="237"/>
      <c r="J10" s="154"/>
      <c r="K10" s="236"/>
      <c r="L10" s="237"/>
      <c r="M10" s="122">
        <f t="shared" si="0"/>
        <v>0</v>
      </c>
    </row>
    <row r="11" spans="1:13">
      <c r="A11" s="228">
        <v>6601.016</v>
      </c>
      <c r="B11" s="234"/>
      <c r="C11" s="235" t="s">
        <v>279</v>
      </c>
      <c r="D11" s="154"/>
      <c r="E11" s="236"/>
      <c r="F11" s="237"/>
      <c r="G11" s="154"/>
      <c r="H11" s="236"/>
      <c r="I11" s="237"/>
      <c r="J11" s="154"/>
      <c r="K11" s="236"/>
      <c r="L11" s="237"/>
      <c r="M11" s="122">
        <f t="shared" si="0"/>
        <v>0</v>
      </c>
    </row>
    <row r="12" spans="1:13">
      <c r="A12" s="228"/>
      <c r="B12" s="238"/>
      <c r="C12" s="235" t="s">
        <v>280</v>
      </c>
      <c r="D12" s="239"/>
      <c r="E12" s="240"/>
      <c r="F12" s="237"/>
      <c r="G12" s="239"/>
      <c r="H12" s="240"/>
      <c r="I12" s="237"/>
      <c r="J12" s="239"/>
      <c r="K12" s="240"/>
      <c r="L12" s="237"/>
      <c r="M12" s="122"/>
    </row>
    <row r="13" s="212" customFormat="1" ht="16.95" spans="1:15">
      <c r="A13" s="241"/>
      <c r="B13" s="242"/>
      <c r="C13" s="243" t="s">
        <v>141</v>
      </c>
      <c r="D13" s="244">
        <f t="shared" ref="D13:H13" si="1">SUM(D5:D12)</f>
        <v>0</v>
      </c>
      <c r="E13" s="244">
        <f t="shared" si="1"/>
        <v>0</v>
      </c>
      <c r="F13" s="245" t="e">
        <f>E13/D13</f>
        <v>#DIV/0!</v>
      </c>
      <c r="G13" s="244">
        <f t="shared" si="1"/>
        <v>0</v>
      </c>
      <c r="H13" s="244">
        <f t="shared" si="1"/>
        <v>0</v>
      </c>
      <c r="I13" s="245" t="e">
        <f>H13/G13</f>
        <v>#DIV/0!</v>
      </c>
      <c r="J13" s="244">
        <f>SUM(J5:J12)</f>
        <v>0</v>
      </c>
      <c r="K13" s="244">
        <f>SUM(K5:K12)</f>
        <v>0</v>
      </c>
      <c r="L13" s="245" t="e">
        <f>K13/J13</f>
        <v>#DIV/0!</v>
      </c>
      <c r="M13" s="173">
        <f t="shared" si="0"/>
        <v>0</v>
      </c>
      <c r="N13" s="266"/>
      <c r="O13" s="267"/>
    </row>
    <row r="14" spans="1:15">
      <c r="A14" s="663" t="s">
        <v>281</v>
      </c>
      <c r="B14" s="246" t="s">
        <v>282</v>
      </c>
      <c r="C14" s="230" t="s">
        <v>283</v>
      </c>
      <c r="D14" s="231"/>
      <c r="E14" s="232"/>
      <c r="F14" s="233"/>
      <c r="G14" s="231"/>
      <c r="H14" s="232"/>
      <c r="I14" s="233"/>
      <c r="J14" s="231"/>
      <c r="K14" s="232"/>
      <c r="L14" s="233"/>
      <c r="M14" s="122">
        <f t="shared" si="0"/>
        <v>0</v>
      </c>
      <c r="O14" s="268"/>
    </row>
    <row r="15" spans="1:13">
      <c r="A15" s="663" t="s">
        <v>281</v>
      </c>
      <c r="B15" s="247"/>
      <c r="C15" s="235" t="s">
        <v>284</v>
      </c>
      <c r="D15" s="154"/>
      <c r="E15" s="236"/>
      <c r="F15" s="237"/>
      <c r="G15" s="154"/>
      <c r="H15" s="236"/>
      <c r="I15" s="237"/>
      <c r="J15" s="154"/>
      <c r="K15" s="236"/>
      <c r="L15" s="237"/>
      <c r="M15" s="122">
        <f t="shared" si="0"/>
        <v>0</v>
      </c>
    </row>
    <row r="16" spans="1:13">
      <c r="A16" s="663" t="s">
        <v>281</v>
      </c>
      <c r="B16" s="247"/>
      <c r="C16" s="235" t="s">
        <v>285</v>
      </c>
      <c r="D16" s="154"/>
      <c r="E16" s="236"/>
      <c r="F16" s="237"/>
      <c r="G16" s="154"/>
      <c r="H16" s="236"/>
      <c r="I16" s="237"/>
      <c r="J16" s="154"/>
      <c r="K16" s="236"/>
      <c r="L16" s="237"/>
      <c r="M16" s="122">
        <f t="shared" si="0"/>
        <v>0</v>
      </c>
    </row>
    <row r="17" spans="1:13">
      <c r="A17" s="663" t="s">
        <v>281</v>
      </c>
      <c r="B17" s="247"/>
      <c r="C17" s="235" t="s">
        <v>286</v>
      </c>
      <c r="D17" s="154"/>
      <c r="E17" s="236"/>
      <c r="F17" s="237"/>
      <c r="G17" s="154"/>
      <c r="H17" s="236"/>
      <c r="I17" s="237"/>
      <c r="J17" s="154"/>
      <c r="K17" s="236"/>
      <c r="L17" s="237"/>
      <c r="M17" s="122">
        <f t="shared" si="0"/>
        <v>0</v>
      </c>
    </row>
    <row r="18" spans="1:13">
      <c r="A18" s="228"/>
      <c r="B18" s="247"/>
      <c r="C18" s="235" t="s">
        <v>287</v>
      </c>
      <c r="D18" s="154"/>
      <c r="E18" s="236"/>
      <c r="F18" s="237"/>
      <c r="G18" s="154"/>
      <c r="H18" s="236"/>
      <c r="I18" s="237"/>
      <c r="J18" s="154"/>
      <c r="K18" s="236"/>
      <c r="L18" s="237"/>
      <c r="M18" s="122">
        <f t="shared" si="0"/>
        <v>0</v>
      </c>
    </row>
    <row r="19" spans="1:16">
      <c r="A19" s="663" t="s">
        <v>281</v>
      </c>
      <c r="B19" s="247"/>
      <c r="C19" s="235" t="s">
        <v>288</v>
      </c>
      <c r="D19" s="154"/>
      <c r="E19" s="236"/>
      <c r="F19" s="237"/>
      <c r="G19" s="154"/>
      <c r="H19" s="236"/>
      <c r="I19" s="237"/>
      <c r="J19" s="154"/>
      <c r="K19" s="236"/>
      <c r="L19" s="237"/>
      <c r="M19" s="122">
        <f t="shared" si="0"/>
        <v>0</v>
      </c>
      <c r="P19" s="269"/>
    </row>
    <row r="20" s="212" customFormat="1" ht="16.95" spans="1:16">
      <c r="A20" s="248"/>
      <c r="B20" s="249"/>
      <c r="C20" s="243" t="s">
        <v>141</v>
      </c>
      <c r="D20" s="250">
        <f t="shared" ref="D20:H20" si="2">SUM(D14:D19)</f>
        <v>0</v>
      </c>
      <c r="E20" s="244">
        <f t="shared" si="2"/>
        <v>0</v>
      </c>
      <c r="F20" s="245" t="e">
        <f>E20/D20</f>
        <v>#DIV/0!</v>
      </c>
      <c r="G20" s="250">
        <f t="shared" si="2"/>
        <v>0</v>
      </c>
      <c r="H20" s="244">
        <f t="shared" si="2"/>
        <v>0</v>
      </c>
      <c r="I20" s="245" t="e">
        <f>H20/G20</f>
        <v>#DIV/0!</v>
      </c>
      <c r="J20" s="250">
        <f>SUM(J14:J19)</f>
        <v>0</v>
      </c>
      <c r="K20" s="244">
        <f>SUM(K14:K19)</f>
        <v>0</v>
      </c>
      <c r="L20" s="245" t="e">
        <f>K20/J20</f>
        <v>#DIV/0!</v>
      </c>
      <c r="M20" s="173">
        <f t="shared" si="0"/>
        <v>0</v>
      </c>
      <c r="O20" s="213"/>
      <c r="P20" s="269"/>
    </row>
    <row r="21" spans="1:16">
      <c r="A21" s="251" t="s">
        <v>289</v>
      </c>
      <c r="B21" s="246" t="s">
        <v>290</v>
      </c>
      <c r="C21" s="252" t="s">
        <v>291</v>
      </c>
      <c r="D21" s="231"/>
      <c r="E21" s="253"/>
      <c r="F21" s="233"/>
      <c r="G21" s="231"/>
      <c r="H21" s="253"/>
      <c r="I21" s="233"/>
      <c r="J21" s="231"/>
      <c r="K21" s="253"/>
      <c r="L21" s="233"/>
      <c r="M21" s="122">
        <f t="shared" si="0"/>
        <v>0</v>
      </c>
      <c r="P21" s="270"/>
    </row>
    <row r="22" spans="1:16">
      <c r="A22" s="251" t="s">
        <v>289</v>
      </c>
      <c r="B22" s="247"/>
      <c r="C22" s="254" t="s">
        <v>139</v>
      </c>
      <c r="D22" s="154"/>
      <c r="E22" s="205"/>
      <c r="F22" s="237"/>
      <c r="G22" s="154"/>
      <c r="H22" s="205"/>
      <c r="I22" s="237"/>
      <c r="J22" s="154"/>
      <c r="K22" s="205"/>
      <c r="L22" s="237"/>
      <c r="M22" s="122">
        <f t="shared" si="0"/>
        <v>0</v>
      </c>
      <c r="P22" s="270"/>
    </row>
    <row r="23" s="212" customFormat="1" ht="16.95" spans="1:16">
      <c r="A23" s="248"/>
      <c r="B23" s="249"/>
      <c r="C23" s="243" t="s">
        <v>141</v>
      </c>
      <c r="D23" s="250">
        <f t="shared" ref="D23:E23" si="3">SUM(D21:D22)</f>
        <v>0</v>
      </c>
      <c r="E23" s="244">
        <f t="shared" si="3"/>
        <v>0</v>
      </c>
      <c r="F23" s="245" t="e">
        <f>E23/D23</f>
        <v>#DIV/0!</v>
      </c>
      <c r="G23" s="250">
        <f t="shared" ref="G23:K23" si="4">SUM(G21:G22)</f>
        <v>0</v>
      </c>
      <c r="H23" s="244">
        <f t="shared" si="4"/>
        <v>0</v>
      </c>
      <c r="I23" s="245" t="e">
        <f>H23/G23</f>
        <v>#DIV/0!</v>
      </c>
      <c r="J23" s="250">
        <f t="shared" si="4"/>
        <v>0</v>
      </c>
      <c r="K23" s="244">
        <f t="shared" si="4"/>
        <v>0</v>
      </c>
      <c r="L23" s="245" t="e">
        <f>K23/J23</f>
        <v>#DIV/0!</v>
      </c>
      <c r="M23" s="173">
        <f t="shared" si="0"/>
        <v>0</v>
      </c>
      <c r="O23" s="213"/>
      <c r="P23" s="270"/>
    </row>
    <row r="24" spans="1:16">
      <c r="A24" s="251" t="s">
        <v>292</v>
      </c>
      <c r="B24" s="255" t="s">
        <v>229</v>
      </c>
      <c r="C24" s="252" t="s">
        <v>222</v>
      </c>
      <c r="D24" s="231"/>
      <c r="E24" s="200"/>
      <c r="F24" s="233"/>
      <c r="G24" s="231"/>
      <c r="H24" s="200"/>
      <c r="I24" s="233"/>
      <c r="J24" s="231"/>
      <c r="K24" s="200"/>
      <c r="L24" s="233"/>
      <c r="M24" s="122">
        <f t="shared" si="0"/>
        <v>0</v>
      </c>
      <c r="P24" s="269"/>
    </row>
    <row r="25" spans="1:16">
      <c r="A25" s="251" t="s">
        <v>293</v>
      </c>
      <c r="B25" s="256"/>
      <c r="C25" s="254" t="s">
        <v>294</v>
      </c>
      <c r="D25" s="154"/>
      <c r="E25" s="205"/>
      <c r="F25" s="237"/>
      <c r="G25" s="154"/>
      <c r="H25" s="205"/>
      <c r="I25" s="237"/>
      <c r="J25" s="154"/>
      <c r="K25" s="205"/>
      <c r="L25" s="237"/>
      <c r="M25" s="122">
        <f t="shared" si="0"/>
        <v>0</v>
      </c>
      <c r="P25" s="269"/>
    </row>
    <row r="26" spans="1:16">
      <c r="A26" s="251" t="s">
        <v>295</v>
      </c>
      <c r="B26" s="256"/>
      <c r="C26" s="254" t="s">
        <v>139</v>
      </c>
      <c r="D26" s="154"/>
      <c r="E26" s="205"/>
      <c r="F26" s="237"/>
      <c r="G26" s="154"/>
      <c r="H26" s="205"/>
      <c r="I26" s="237"/>
      <c r="J26" s="154"/>
      <c r="K26" s="205"/>
      <c r="L26" s="237"/>
      <c r="M26" s="122">
        <f t="shared" si="0"/>
        <v>0</v>
      </c>
      <c r="P26" s="269"/>
    </row>
    <row r="27" s="212" customFormat="1" ht="16.95" spans="1:16">
      <c r="A27" s="257"/>
      <c r="B27" s="256"/>
      <c r="C27" s="258" t="s">
        <v>141</v>
      </c>
      <c r="D27" s="259">
        <f t="shared" ref="D27:E27" si="5">SUM(D24:D26)</f>
        <v>0</v>
      </c>
      <c r="E27" s="259">
        <f t="shared" si="5"/>
        <v>0</v>
      </c>
      <c r="F27" s="260" t="e">
        <f>E27/D27</f>
        <v>#DIV/0!</v>
      </c>
      <c r="G27" s="259">
        <f t="shared" ref="G27:K27" si="6">SUM(G24:G26)</f>
        <v>0</v>
      </c>
      <c r="H27" s="259">
        <f t="shared" si="6"/>
        <v>0</v>
      </c>
      <c r="I27" s="260" t="e">
        <f>H27/G27</f>
        <v>#DIV/0!</v>
      </c>
      <c r="J27" s="259">
        <f t="shared" si="6"/>
        <v>0</v>
      </c>
      <c r="K27" s="259">
        <f t="shared" si="6"/>
        <v>0</v>
      </c>
      <c r="L27" s="260" t="e">
        <f>K27/J27</f>
        <v>#DIV/0!</v>
      </c>
      <c r="M27" s="173">
        <f t="shared" si="0"/>
        <v>0</v>
      </c>
      <c r="O27" s="213"/>
      <c r="P27" s="270"/>
    </row>
    <row r="28" s="212" customFormat="1" ht="16.95" spans="1:16">
      <c r="A28" s="261" t="s">
        <v>199</v>
      </c>
      <c r="B28" s="262"/>
      <c r="C28" s="263"/>
      <c r="D28" s="264">
        <f t="shared" ref="D28:H28" si="7">SUM(D13+D20+D23+D27)</f>
        <v>0</v>
      </c>
      <c r="E28" s="264">
        <f t="shared" si="7"/>
        <v>0</v>
      </c>
      <c r="F28" s="265" t="e">
        <f>E28/D28</f>
        <v>#DIV/0!</v>
      </c>
      <c r="G28" s="264">
        <f t="shared" si="7"/>
        <v>0</v>
      </c>
      <c r="H28" s="264">
        <f t="shared" si="7"/>
        <v>0</v>
      </c>
      <c r="I28" s="265" t="e">
        <f>H28/G28</f>
        <v>#DIV/0!</v>
      </c>
      <c r="J28" s="264">
        <f>SUM(J13+J20+J23+J27)</f>
        <v>0</v>
      </c>
      <c r="K28" s="264">
        <f>SUM(K13+K20+K23+K27)</f>
        <v>0</v>
      </c>
      <c r="L28" s="265" t="e">
        <f>K28/J28</f>
        <v>#DIV/0!</v>
      </c>
      <c r="M28" s="173">
        <f t="shared" si="0"/>
        <v>0</v>
      </c>
      <c r="N28" s="271">
        <f>E28-E23-付款统计表!$I$94</f>
        <v>-409048.99</v>
      </c>
      <c r="O28" s="213"/>
      <c r="P28" s="269"/>
    </row>
    <row r="29" spans="13:16">
      <c r="M29" s="122">
        <f>E28-付款统计表!I94-E21</f>
        <v>-409048.99</v>
      </c>
      <c r="P29" s="269"/>
    </row>
    <row r="30" spans="16:16">
      <c r="P30" s="269"/>
    </row>
    <row r="31" spans="16:16">
      <c r="P31" s="269"/>
    </row>
    <row r="32" spans="16:16">
      <c r="P32" s="269"/>
    </row>
    <row r="33" spans="16:16">
      <c r="P33" s="269"/>
    </row>
    <row r="34" spans="16:16">
      <c r="P34" s="269"/>
    </row>
    <row r="35" spans="16:16">
      <c r="P35" s="269"/>
    </row>
    <row r="36" spans="16:16">
      <c r="P36" s="269"/>
    </row>
    <row r="37" spans="16:16">
      <c r="P37" s="269"/>
    </row>
    <row r="38" spans="16:16">
      <c r="P38" s="269"/>
    </row>
    <row r="39" spans="16:16">
      <c r="P39" s="269"/>
    </row>
    <row r="40" spans="16:16">
      <c r="P40" s="269"/>
    </row>
    <row r="41" spans="16:16">
      <c r="P41" s="269"/>
    </row>
    <row r="42" spans="16:16">
      <c r="P42" s="269"/>
    </row>
  </sheetData>
  <mergeCells count="22">
    <mergeCell ref="A1:F1"/>
    <mergeCell ref="D2:F2"/>
    <mergeCell ref="G2:I2"/>
    <mergeCell ref="J2:L2"/>
    <mergeCell ref="A28:C28"/>
    <mergeCell ref="A2:A4"/>
    <mergeCell ref="B2:B4"/>
    <mergeCell ref="B5:B13"/>
    <mergeCell ref="B14:B20"/>
    <mergeCell ref="B21:B23"/>
    <mergeCell ref="B24:B27"/>
    <mergeCell ref="C2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ageMargins left="0.699305555555556" right="0.699305555555556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8"/>
  <sheetViews>
    <sheetView topLeftCell="B1" workbookViewId="0">
      <selection activeCell="O20" sqref="O20"/>
    </sheetView>
  </sheetViews>
  <sheetFormatPr defaultColWidth="9" defaultRowHeight="14.4" outlineLevelRow="7" outlineLevelCol="6"/>
  <cols>
    <col min="1" max="1" width="14.3796296296296" hidden="1" customWidth="1"/>
    <col min="2" max="2" width="9.25925925925926" customWidth="1"/>
    <col min="3" max="3" width="13.8796296296296" customWidth="1"/>
    <col min="4" max="4" width="12.5" customWidth="1"/>
    <col min="5" max="5" width="8.5" customWidth="1"/>
    <col min="6" max="6" width="7.62962962962963" customWidth="1"/>
  </cols>
  <sheetData>
    <row r="1" ht="21.15" spans="1:6">
      <c r="A1" s="177" t="s">
        <v>296</v>
      </c>
      <c r="B1" s="177"/>
      <c r="C1" s="177"/>
      <c r="D1" s="177"/>
      <c r="E1" s="177"/>
      <c r="F1" s="177"/>
    </row>
    <row r="2" ht="15.6" spans="1:6">
      <c r="A2" s="178" t="s">
        <v>266</v>
      </c>
      <c r="B2" s="179" t="s">
        <v>267</v>
      </c>
      <c r="C2" s="180" t="s">
        <v>268</v>
      </c>
      <c r="D2" s="181" t="s">
        <v>297</v>
      </c>
      <c r="E2" s="182"/>
      <c r="F2" s="183"/>
    </row>
    <row r="3" ht="13.5" customHeight="1" spans="1:6">
      <c r="A3" s="184"/>
      <c r="B3" s="185"/>
      <c r="C3" s="186"/>
      <c r="D3" s="187" t="s">
        <v>271</v>
      </c>
      <c r="E3" s="188" t="s">
        <v>154</v>
      </c>
      <c r="F3" s="189" t="s">
        <v>5</v>
      </c>
    </row>
    <row r="4" ht="14.25" customHeight="1" spans="1:6">
      <c r="A4" s="190"/>
      <c r="B4" s="191"/>
      <c r="C4" s="192"/>
      <c r="D4" s="193"/>
      <c r="E4" s="194"/>
      <c r="F4" s="195"/>
    </row>
    <row r="5" ht="15" spans="1:6">
      <c r="A5" s="196" t="s">
        <v>292</v>
      </c>
      <c r="B5" s="197" t="s">
        <v>229</v>
      </c>
      <c r="C5" s="198" t="s">
        <v>222</v>
      </c>
      <c r="D5" s="199">
        <v>0</v>
      </c>
      <c r="E5" s="200">
        <f>付款统计表!$M$85+付款统计表!$M$86</f>
        <v>130</v>
      </c>
      <c r="F5" s="201" t="e">
        <f t="shared" ref="F5:F8" si="0">E5/D5</f>
        <v>#DIV/0!</v>
      </c>
    </row>
    <row r="6" ht="15" spans="1:6">
      <c r="A6" s="202" t="s">
        <v>293</v>
      </c>
      <c r="B6" s="156"/>
      <c r="C6" s="203" t="s">
        <v>294</v>
      </c>
      <c r="D6" s="204">
        <v>0</v>
      </c>
      <c r="E6" s="205">
        <f>付款统计表!$M$90</f>
        <v>0</v>
      </c>
      <c r="F6" s="206" t="e">
        <f t="shared" si="0"/>
        <v>#DIV/0!</v>
      </c>
    </row>
    <row r="7" ht="15" spans="1:6">
      <c r="A7" s="202" t="s">
        <v>295</v>
      </c>
      <c r="B7" s="156"/>
      <c r="C7" s="203" t="s">
        <v>139</v>
      </c>
      <c r="D7" s="204">
        <v>0</v>
      </c>
      <c r="E7" s="205">
        <f>付款统计表!$M$94-销售支持组!E5-销售支持组!E6</f>
        <v>0</v>
      </c>
      <c r="F7" s="206" t="e">
        <f t="shared" si="0"/>
        <v>#DIV/0!</v>
      </c>
    </row>
    <row r="8" ht="16.35" spans="1:7">
      <c r="A8" s="207"/>
      <c r="B8" s="208"/>
      <c r="C8" s="209" t="s">
        <v>82</v>
      </c>
      <c r="D8" s="210">
        <f>SUM(D5:D7)</f>
        <v>0</v>
      </c>
      <c r="E8" s="210">
        <f t="shared" ref="E8" si="1">SUM(E5:E7)</f>
        <v>130</v>
      </c>
      <c r="F8" s="211" t="e">
        <f t="shared" si="0"/>
        <v>#DIV/0!</v>
      </c>
      <c r="G8" s="93">
        <f>E8-付款统计表!M94</f>
        <v>0</v>
      </c>
    </row>
  </sheetData>
  <protectedRanges>
    <protectedRange sqref="D5:D7" name="区域1"/>
  </protectedRanges>
  <mergeCells count="9">
    <mergeCell ref="A1:F1"/>
    <mergeCell ref="D2:F2"/>
    <mergeCell ref="A2:A4"/>
    <mergeCell ref="B2:B4"/>
    <mergeCell ref="B5:B8"/>
    <mergeCell ref="C2:C4"/>
    <mergeCell ref="D3:D4"/>
    <mergeCell ref="E3:E4"/>
    <mergeCell ref="F3:F4"/>
  </mergeCells>
  <pageMargins left="0.699305555555556" right="0.699305555555556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3"/>
  <sheetViews>
    <sheetView topLeftCell="A18" workbookViewId="0">
      <selection activeCell="J17" sqref="J17"/>
    </sheetView>
  </sheetViews>
  <sheetFormatPr defaultColWidth="9" defaultRowHeight="15.6" outlineLevelCol="7"/>
  <cols>
    <col min="1" max="1" width="9" style="2"/>
    <col min="2" max="2" width="15.7592592592593" style="2" customWidth="1"/>
    <col min="3" max="4" width="11.5" style="2" customWidth="1"/>
    <col min="5" max="5" width="8.37962962962963" style="2" customWidth="1"/>
    <col min="6" max="6" width="35.8796296296296" style="2" customWidth="1"/>
    <col min="7" max="7" width="12.6296296296296" style="2" hidden="1" customWidth="1"/>
    <col min="8" max="16384" width="9" style="2"/>
  </cols>
  <sheetData>
    <row r="1" ht="20.4" spans="1:6">
      <c r="A1" s="163" t="s">
        <v>298</v>
      </c>
      <c r="B1" s="163"/>
      <c r="C1" s="163"/>
      <c r="D1" s="163"/>
      <c r="E1" s="163"/>
      <c r="F1" s="163"/>
    </row>
    <row r="2" spans="1:7">
      <c r="A2" s="133" t="s">
        <v>299</v>
      </c>
      <c r="B2" s="133" t="s">
        <v>300</v>
      </c>
      <c r="C2" s="133" t="s">
        <v>158</v>
      </c>
      <c r="D2" s="133"/>
      <c r="E2" s="133"/>
      <c r="F2" s="133" t="s">
        <v>155</v>
      </c>
      <c r="G2" s="164" t="s">
        <v>203</v>
      </c>
    </row>
    <row r="3" spans="1:7">
      <c r="A3" s="133"/>
      <c r="B3" s="133"/>
      <c r="C3" s="133" t="s">
        <v>189</v>
      </c>
      <c r="D3" s="133" t="s">
        <v>190</v>
      </c>
      <c r="E3" s="133" t="s">
        <v>5</v>
      </c>
      <c r="F3" s="133"/>
      <c r="G3" s="164"/>
    </row>
    <row r="4" spans="1:7">
      <c r="A4" s="165" t="s">
        <v>301</v>
      </c>
      <c r="B4" s="166" t="s">
        <v>302</v>
      </c>
      <c r="C4" s="167">
        <v>250000</v>
      </c>
      <c r="D4" s="168">
        <f>SUMIF(付款统计表!$A$4:$A$93,线下销售部!B4,付款统计表!$H$4:$H$93)</f>
        <v>253114.84</v>
      </c>
      <c r="E4" s="169">
        <f>D4/C4</f>
        <v>1.01245936</v>
      </c>
      <c r="F4" s="123"/>
      <c r="G4" s="122">
        <f>C4-D4</f>
        <v>-3114.84</v>
      </c>
    </row>
    <row r="5" spans="1:7">
      <c r="A5" s="165"/>
      <c r="B5" s="166" t="s">
        <v>303</v>
      </c>
      <c r="C5" s="167">
        <v>4800</v>
      </c>
      <c r="D5" s="168">
        <f>SUMIF(付款统计表!$A$4:$A$93,线下销售部!B5,付款统计表!$H$4:$H$93)</f>
        <v>6798.5</v>
      </c>
      <c r="E5" s="169">
        <f t="shared" ref="E5:E31" si="0">D5/C5</f>
        <v>1.41635416666667</v>
      </c>
      <c r="F5" s="123"/>
      <c r="G5" s="122">
        <f t="shared" ref="G5:G31" si="1">C5-D5</f>
        <v>-1998.5</v>
      </c>
    </row>
    <row r="6" spans="1:7">
      <c r="A6" s="165"/>
      <c r="B6" s="166" t="s">
        <v>304</v>
      </c>
      <c r="C6" s="167">
        <v>4500</v>
      </c>
      <c r="D6" s="168">
        <f>SUMIF(付款统计表!$A$4:$A$93,线下销售部!B6,付款统计表!$H$4:$H$93)</f>
        <v>3415.55</v>
      </c>
      <c r="E6" s="169">
        <f t="shared" si="0"/>
        <v>0.759011111111111</v>
      </c>
      <c r="F6" s="123"/>
      <c r="G6" s="122">
        <f t="shared" si="1"/>
        <v>1084.45</v>
      </c>
    </row>
    <row r="7" spans="1:7">
      <c r="A7" s="165"/>
      <c r="B7" s="166" t="s">
        <v>305</v>
      </c>
      <c r="C7" s="167">
        <v>2600</v>
      </c>
      <c r="D7" s="168">
        <f>SUMIF(付款统计表!$A$4:$A$93,线下销售部!B7,付款统计表!$H$4:$H$93)</f>
        <v>3500</v>
      </c>
      <c r="E7" s="169">
        <f t="shared" si="0"/>
        <v>1.34615384615385</v>
      </c>
      <c r="F7" s="123"/>
      <c r="G7" s="122">
        <f t="shared" si="1"/>
        <v>-900</v>
      </c>
    </row>
    <row r="8" spans="1:7">
      <c r="A8" s="165"/>
      <c r="B8" s="170" t="s">
        <v>306</v>
      </c>
      <c r="C8" s="167">
        <v>1000</v>
      </c>
      <c r="D8" s="168">
        <f>SUMIF(付款统计表!$A$4:$A$93,线下销售部!B8,付款统计表!$H$4:$H$93)</f>
        <v>1172.34</v>
      </c>
      <c r="E8" s="169">
        <f t="shared" si="0"/>
        <v>1.17234</v>
      </c>
      <c r="F8" s="123"/>
      <c r="G8" s="122">
        <f t="shared" si="1"/>
        <v>-172.34</v>
      </c>
    </row>
    <row r="9" ht="16.2" spans="1:7">
      <c r="A9" s="165"/>
      <c r="B9" s="5" t="s">
        <v>141</v>
      </c>
      <c r="C9" s="171">
        <f>SUM(C4:C8)</f>
        <v>262900</v>
      </c>
      <c r="D9" s="171">
        <f>SUM(D4:D8)</f>
        <v>268001.23</v>
      </c>
      <c r="E9" s="172">
        <f t="shared" si="0"/>
        <v>1.01940368961582</v>
      </c>
      <c r="F9" s="123"/>
      <c r="G9" s="173">
        <f t="shared" si="1"/>
        <v>-5101.23000000004</v>
      </c>
    </row>
    <row r="10" spans="1:7">
      <c r="A10" s="174" t="s">
        <v>307</v>
      </c>
      <c r="B10" s="170" t="s">
        <v>308</v>
      </c>
      <c r="C10" s="129"/>
      <c r="D10" s="168">
        <f>SUMIF(付款统计表!$A$4:$A$93,线下销售部!B10,付款统计表!$H$4:$H$93)</f>
        <v>0</v>
      </c>
      <c r="E10" s="169" t="e">
        <f t="shared" si="0"/>
        <v>#DIV/0!</v>
      </c>
      <c r="F10" s="123"/>
      <c r="G10" s="122">
        <f t="shared" si="1"/>
        <v>0</v>
      </c>
    </row>
    <row r="11" spans="1:7">
      <c r="A11" s="174"/>
      <c r="B11" s="170" t="s">
        <v>309</v>
      </c>
      <c r="C11" s="129"/>
      <c r="D11" s="168">
        <f>SUMIF(付款统计表!$A$4:$A$93,线下销售部!B11,付款统计表!$H$4:$H$93)</f>
        <v>0</v>
      </c>
      <c r="E11" s="169" t="e">
        <f t="shared" si="0"/>
        <v>#DIV/0!</v>
      </c>
      <c r="F11" s="123"/>
      <c r="G11" s="122">
        <f t="shared" si="1"/>
        <v>0</v>
      </c>
    </row>
    <row r="12" spans="1:7">
      <c r="A12" s="174"/>
      <c r="B12" s="170" t="s">
        <v>310</v>
      </c>
      <c r="C12" s="129"/>
      <c r="D12" s="168">
        <f>SUMIF(付款统计表!$A$4:$A$93,线下销售部!B12,付款统计表!$H$4:$H$93)</f>
        <v>0</v>
      </c>
      <c r="E12" s="169" t="e">
        <f t="shared" si="0"/>
        <v>#DIV/0!</v>
      </c>
      <c r="F12" s="123"/>
      <c r="G12" s="122">
        <f t="shared" si="1"/>
        <v>0</v>
      </c>
    </row>
    <row r="13" spans="1:7">
      <c r="A13" s="174"/>
      <c r="B13" s="170" t="s">
        <v>311</v>
      </c>
      <c r="C13" s="129"/>
      <c r="D13" s="168">
        <f>SUMIF(付款统计表!$A$4:$A$93,线下销售部!B13,付款统计表!$H$4:$H$93)</f>
        <v>0</v>
      </c>
      <c r="E13" s="169" t="e">
        <f t="shared" si="0"/>
        <v>#DIV/0!</v>
      </c>
      <c r="F13" s="123"/>
      <c r="G13" s="122">
        <f t="shared" si="1"/>
        <v>0</v>
      </c>
    </row>
    <row r="14" spans="1:7">
      <c r="A14" s="174"/>
      <c r="B14" s="170" t="s">
        <v>312</v>
      </c>
      <c r="C14" s="129"/>
      <c r="D14" s="168">
        <f>SUMIF(付款统计表!$A$4:$A$93,线下销售部!B14,付款统计表!$H$4:$H$93)</f>
        <v>0</v>
      </c>
      <c r="E14" s="169" t="e">
        <f t="shared" si="0"/>
        <v>#DIV/0!</v>
      </c>
      <c r="F14" s="123"/>
      <c r="G14" s="122">
        <f t="shared" si="1"/>
        <v>0</v>
      </c>
    </row>
    <row r="15" spans="1:7">
      <c r="A15" s="174"/>
      <c r="B15" s="170" t="s">
        <v>313</v>
      </c>
      <c r="C15" s="129">
        <v>20000</v>
      </c>
      <c r="D15" s="168">
        <f>SUMIF(付款统计表!$A$4:$A$93,线下销售部!B15,付款统计表!$H$4:$H$93)</f>
        <v>0</v>
      </c>
      <c r="E15" s="169">
        <f t="shared" si="0"/>
        <v>0</v>
      </c>
      <c r="F15" s="123"/>
      <c r="G15" s="122">
        <f t="shared" si="1"/>
        <v>20000</v>
      </c>
    </row>
    <row r="16" spans="1:7">
      <c r="A16" s="174"/>
      <c r="B16" s="170" t="s">
        <v>314</v>
      </c>
      <c r="C16" s="129"/>
      <c r="D16" s="168">
        <f>SUMIF(付款统计表!$A$4:$A$93,线下销售部!B16,付款统计表!$H$4:$H$93)</f>
        <v>0</v>
      </c>
      <c r="E16" s="169" t="e">
        <f t="shared" si="0"/>
        <v>#DIV/0!</v>
      </c>
      <c r="F16" s="123"/>
      <c r="G16" s="122">
        <f t="shared" si="1"/>
        <v>0</v>
      </c>
    </row>
    <row r="17" spans="1:7">
      <c r="A17" s="174"/>
      <c r="B17" s="170" t="s">
        <v>315</v>
      </c>
      <c r="C17" s="129"/>
      <c r="D17" s="168">
        <f>SUMIF(付款统计表!$A$4:$A$93,线下销售部!B17,付款统计表!$H$4:$H$93)</f>
        <v>0</v>
      </c>
      <c r="E17" s="169" t="e">
        <f t="shared" si="0"/>
        <v>#DIV/0!</v>
      </c>
      <c r="F17" s="123"/>
      <c r="G17" s="122">
        <f t="shared" si="1"/>
        <v>0</v>
      </c>
    </row>
    <row r="18" ht="16.2" spans="1:7">
      <c r="A18" s="174"/>
      <c r="B18" s="5" t="s">
        <v>141</v>
      </c>
      <c r="C18" s="171">
        <f>SUM(C10:C17)</f>
        <v>20000</v>
      </c>
      <c r="D18" s="171">
        <f>SUM(D10:D17)</f>
        <v>0</v>
      </c>
      <c r="E18" s="172">
        <f t="shared" si="0"/>
        <v>0</v>
      </c>
      <c r="F18" s="123"/>
      <c r="G18" s="173">
        <f t="shared" si="1"/>
        <v>20000</v>
      </c>
    </row>
    <row r="19" spans="1:7">
      <c r="A19" s="174" t="s">
        <v>316</v>
      </c>
      <c r="B19" s="170" t="s">
        <v>317</v>
      </c>
      <c r="C19" s="129"/>
      <c r="D19" s="168">
        <f>SUMIF(付款统计表!$A$4:$A$93,线下销售部!B19,付款统计表!$H$4:$H$93)</f>
        <v>0</v>
      </c>
      <c r="E19" s="169" t="e">
        <f t="shared" si="0"/>
        <v>#DIV/0!</v>
      </c>
      <c r="F19" s="123"/>
      <c r="G19" s="122">
        <f t="shared" si="1"/>
        <v>0</v>
      </c>
    </row>
    <row r="20" spans="1:7">
      <c r="A20" s="174"/>
      <c r="B20" s="170" t="s">
        <v>318</v>
      </c>
      <c r="C20" s="129">
        <v>10000</v>
      </c>
      <c r="D20" s="168">
        <f>SUMIF(付款统计表!$A$4:$A$93,线下销售部!B20,付款统计表!$H$4:$H$93)</f>
        <v>0</v>
      </c>
      <c r="E20" s="169">
        <f t="shared" si="0"/>
        <v>0</v>
      </c>
      <c r="F20" s="123"/>
      <c r="G20" s="122">
        <f t="shared" si="1"/>
        <v>10000</v>
      </c>
    </row>
    <row r="21" spans="1:7">
      <c r="A21" s="174"/>
      <c r="B21" s="170" t="s">
        <v>319</v>
      </c>
      <c r="C21" s="129">
        <v>26165.2</v>
      </c>
      <c r="D21" s="168">
        <f>SUMIF(付款统计表!$A$4:$A$93,线下销售部!B21,付款统计表!$H$4:$H$93)</f>
        <v>26165</v>
      </c>
      <c r="E21" s="169">
        <f t="shared" si="0"/>
        <v>0.999992356259459</v>
      </c>
      <c r="F21" s="123"/>
      <c r="G21" s="122">
        <f t="shared" si="1"/>
        <v>0.200000000000728</v>
      </c>
    </row>
    <row r="22" spans="1:7">
      <c r="A22" s="174"/>
      <c r="B22" s="170" t="s">
        <v>320</v>
      </c>
      <c r="C22" s="129"/>
      <c r="D22" s="168">
        <f>SUMIF(付款统计表!$A$4:$A$93,线下销售部!B22,付款统计表!$H$4:$H$93)</f>
        <v>0</v>
      </c>
      <c r="E22" s="169" t="e">
        <f t="shared" si="0"/>
        <v>#DIV/0!</v>
      </c>
      <c r="F22" s="123"/>
      <c r="G22" s="122">
        <f t="shared" si="1"/>
        <v>0</v>
      </c>
    </row>
    <row r="23" spans="1:7">
      <c r="A23" s="174"/>
      <c r="B23" s="170" t="s">
        <v>321</v>
      </c>
      <c r="C23" s="129"/>
      <c r="D23" s="168">
        <f>SUMIF(付款统计表!$A$4:$A$93,线下销售部!B23,付款统计表!$H$4:$H$93)</f>
        <v>0</v>
      </c>
      <c r="E23" s="169" t="e">
        <f t="shared" si="0"/>
        <v>#DIV/0!</v>
      </c>
      <c r="F23" s="123"/>
      <c r="G23" s="122">
        <f t="shared" si="1"/>
        <v>0</v>
      </c>
    </row>
    <row r="24" spans="1:7">
      <c r="A24" s="174"/>
      <c r="B24" s="170" t="s">
        <v>322</v>
      </c>
      <c r="C24" s="129"/>
      <c r="D24" s="168">
        <f>SUMIF(付款统计表!$A$4:$A$93,线下销售部!B24,付款统计表!$H$4:$H$93)</f>
        <v>14420</v>
      </c>
      <c r="E24" s="169" t="e">
        <f t="shared" si="0"/>
        <v>#DIV/0!</v>
      </c>
      <c r="F24" s="123"/>
      <c r="G24" s="122">
        <f t="shared" si="1"/>
        <v>-14420</v>
      </c>
    </row>
    <row r="25" ht="16.2" spans="1:7">
      <c r="A25" s="174"/>
      <c r="B25" s="5" t="s">
        <v>323</v>
      </c>
      <c r="C25" s="171">
        <f>SUM(C19:C24)</f>
        <v>36165.2</v>
      </c>
      <c r="D25" s="171">
        <f>SUM(D19:D24)</f>
        <v>40585</v>
      </c>
      <c r="E25" s="172">
        <f t="shared" si="0"/>
        <v>1.12221140765155</v>
      </c>
      <c r="F25" s="123"/>
      <c r="G25" s="173">
        <f t="shared" si="1"/>
        <v>-4419.8</v>
      </c>
    </row>
    <row r="26" spans="1:7">
      <c r="A26" s="174" t="s">
        <v>229</v>
      </c>
      <c r="B26" s="141" t="s">
        <v>324</v>
      </c>
      <c r="C26" s="129">
        <v>5600</v>
      </c>
      <c r="D26" s="168">
        <f>SUMIF(付款统计表!$A$4:$A$93,线下销售部!B26,付款统计表!$H$4:$H$93)</f>
        <v>5402.58</v>
      </c>
      <c r="E26" s="169">
        <f t="shared" si="0"/>
        <v>0.964746428571429</v>
      </c>
      <c r="F26" s="123"/>
      <c r="G26" s="122">
        <f t="shared" si="1"/>
        <v>197.42</v>
      </c>
    </row>
    <row r="27" spans="1:7">
      <c r="A27" s="174"/>
      <c r="B27" s="118" t="s">
        <v>230</v>
      </c>
      <c r="C27" s="129">
        <v>0</v>
      </c>
      <c r="D27" s="168">
        <f>SUMIF(付款统计表!$A$4:$A$93,线下销售部!B27,付款统计表!$H$4:$H$93)</f>
        <v>2141</v>
      </c>
      <c r="E27" s="169" t="e">
        <f t="shared" si="0"/>
        <v>#DIV/0!</v>
      </c>
      <c r="F27" s="123"/>
      <c r="G27" s="122">
        <f t="shared" si="1"/>
        <v>-2141</v>
      </c>
    </row>
    <row r="28" spans="1:7">
      <c r="A28" s="174"/>
      <c r="B28" s="118" t="s">
        <v>222</v>
      </c>
      <c r="C28" s="129">
        <v>5000</v>
      </c>
      <c r="D28" s="168">
        <f>SUMIF(付款统计表!$A$4:$A$93,线下销售部!B28,付款统计表!$H$4:$H$93)+付款统计表!$H$86</f>
        <v>5555.2</v>
      </c>
      <c r="E28" s="169">
        <f t="shared" si="0"/>
        <v>1.11104</v>
      </c>
      <c r="F28" s="123"/>
      <c r="G28" s="122">
        <f t="shared" si="1"/>
        <v>-555.2</v>
      </c>
    </row>
    <row r="29" spans="1:7">
      <c r="A29" s="174"/>
      <c r="B29" s="118" t="s">
        <v>264</v>
      </c>
      <c r="C29" s="129"/>
      <c r="D29" s="168">
        <f>付款统计表!$H$94-线下销售部!D9-线下销售部!D18-线下销售部!D25-线下销售部!D26-线下销售部!D27-线下销售部!D28+20000</f>
        <v>58365</v>
      </c>
      <c r="E29" s="169" t="e">
        <f t="shared" si="0"/>
        <v>#DIV/0!</v>
      </c>
      <c r="F29" s="123"/>
      <c r="G29" s="122">
        <f t="shared" si="1"/>
        <v>-58365</v>
      </c>
    </row>
    <row r="30" ht="16.2" spans="1:7">
      <c r="A30" s="174"/>
      <c r="B30" s="175" t="s">
        <v>141</v>
      </c>
      <c r="C30" s="171">
        <f>SUM(C26:C29)</f>
        <v>10600</v>
      </c>
      <c r="D30" s="171">
        <f>SUM(D26:D29)</f>
        <v>71463.78</v>
      </c>
      <c r="E30" s="172">
        <f t="shared" si="0"/>
        <v>6.74186603773585</v>
      </c>
      <c r="F30" s="123"/>
      <c r="G30" s="173">
        <f t="shared" si="1"/>
        <v>-60863.78</v>
      </c>
    </row>
    <row r="31" ht="16.2" spans="1:8">
      <c r="A31" s="5" t="s">
        <v>232</v>
      </c>
      <c r="B31" s="5"/>
      <c r="C31" s="125">
        <f>C9+C18+C25+C30</f>
        <v>329665.2</v>
      </c>
      <c r="D31" s="125">
        <f>D9+D18+D25+D30</f>
        <v>380050.01</v>
      </c>
      <c r="E31" s="176">
        <f t="shared" si="0"/>
        <v>1.15283630179952</v>
      </c>
      <c r="F31" s="123"/>
      <c r="G31" s="173">
        <f t="shared" si="1"/>
        <v>-50384.8100000001</v>
      </c>
      <c r="H31" s="122">
        <f>D31-付款统计表!H94-20000</f>
        <v>0</v>
      </c>
    </row>
    <row r="33" spans="3:6">
      <c r="C33" s="3"/>
      <c r="D33" s="3"/>
      <c r="E33" s="3"/>
      <c r="F33" s="3"/>
    </row>
    <row r="34" spans="3:6">
      <c r="C34" s="3"/>
      <c r="D34" s="3"/>
      <c r="E34" s="3"/>
      <c r="F34" s="3"/>
    </row>
    <row r="35" spans="3:6">
      <c r="C35" s="3"/>
      <c r="D35" s="3"/>
      <c r="E35" s="3"/>
      <c r="F35" s="3"/>
    </row>
    <row r="36" spans="3:6">
      <c r="C36" s="3"/>
      <c r="D36" s="3"/>
      <c r="E36" s="3"/>
      <c r="F36" s="3"/>
    </row>
    <row r="37" spans="3:6">
      <c r="C37" s="3"/>
      <c r="D37" s="3"/>
      <c r="E37" s="3"/>
      <c r="F37" s="3"/>
    </row>
    <row r="38" spans="3:6">
      <c r="C38" s="3"/>
      <c r="D38" s="3"/>
      <c r="E38" s="3"/>
      <c r="F38" s="3"/>
    </row>
    <row r="39" spans="3:6">
      <c r="C39" s="3"/>
      <c r="D39" s="3"/>
      <c r="E39" s="3"/>
      <c r="F39" s="3"/>
    </row>
    <row r="40" spans="3:6">
      <c r="C40" s="3"/>
      <c r="D40" s="3"/>
      <c r="E40" s="3"/>
      <c r="F40" s="3"/>
    </row>
    <row r="41" spans="3:6">
      <c r="C41" s="3"/>
      <c r="D41" s="3"/>
      <c r="E41" s="3"/>
      <c r="F41" s="3"/>
    </row>
    <row r="42" spans="3:6">
      <c r="C42" s="3"/>
      <c r="D42" s="3"/>
      <c r="E42" s="3"/>
      <c r="F42" s="3"/>
    </row>
    <row r="43" spans="3:6">
      <c r="C43" s="3"/>
      <c r="D43" s="3"/>
      <c r="E43" s="3"/>
      <c r="F43" s="3"/>
    </row>
  </sheetData>
  <protectedRanges>
    <protectedRange sqref="C9:C30 D9 D18 D25 D30" name="区域1"/>
  </protectedRanges>
  <mergeCells count="11">
    <mergeCell ref="A1:F1"/>
    <mergeCell ref="C2:E2"/>
    <mergeCell ref="A31:B31"/>
    <mergeCell ref="A2:A3"/>
    <mergeCell ref="A4:A9"/>
    <mergeCell ref="A10:A18"/>
    <mergeCell ref="A19:A25"/>
    <mergeCell ref="A26:A30"/>
    <mergeCell ref="B2:B3"/>
    <mergeCell ref="F2:F3"/>
    <mergeCell ref="G2:G3"/>
  </mergeCells>
  <pageMargins left="0.699305555555556" right="0.699305555555556" top="0.75" bottom="0.75" header="0.3" footer="0.3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8"/>
  <sheetViews>
    <sheetView topLeftCell="A9" workbookViewId="0">
      <selection activeCell="E15" sqref="E15"/>
    </sheetView>
  </sheetViews>
  <sheetFormatPr defaultColWidth="9" defaultRowHeight="15.6" outlineLevelCol="5"/>
  <cols>
    <col min="1" max="1" width="17.6296296296296" style="2" customWidth="1"/>
    <col min="2" max="3" width="14.8796296296296" style="2" customWidth="1"/>
    <col min="4" max="4" width="9.5" style="2" customWidth="1"/>
    <col min="5" max="5" width="23.7592592592593" style="2" customWidth="1"/>
    <col min="6" max="6" width="9" style="2" hidden="1" customWidth="1"/>
    <col min="7" max="16384" width="9" style="2"/>
  </cols>
  <sheetData>
    <row r="1" ht="20.4" spans="1:4">
      <c r="A1" s="114" t="s">
        <v>325</v>
      </c>
      <c r="B1" s="114"/>
      <c r="C1" s="114"/>
      <c r="D1" s="114"/>
    </row>
    <row r="2" ht="23.25" customHeight="1" spans="1:4">
      <c r="A2" s="133" t="s">
        <v>1</v>
      </c>
      <c r="B2" s="133" t="s">
        <v>189</v>
      </c>
      <c r="C2" s="133" t="s">
        <v>190</v>
      </c>
      <c r="D2" s="133" t="s">
        <v>5</v>
      </c>
    </row>
    <row r="3" spans="1:6">
      <c r="A3" s="141" t="s">
        <v>326</v>
      </c>
      <c r="B3" s="129"/>
      <c r="C3" s="120">
        <f>SUMIF(付款统计表!$A$4:$A$93,市场部!A3,付款统计表!$G$4:$G$93)</f>
        <v>0</v>
      </c>
      <c r="D3" s="130" t="e">
        <f>C3/B3</f>
        <v>#DIV/0!</v>
      </c>
      <c r="F3" s="122">
        <f t="shared" ref="F3:F10" si="0">B3-C3</f>
        <v>0</v>
      </c>
    </row>
    <row r="4" spans="1:6">
      <c r="A4" s="141" t="s">
        <v>327</v>
      </c>
      <c r="B4" s="129"/>
      <c r="C4" s="120">
        <f>SUMIF(付款统计表!$A$4:$A$93,市场部!A4,付款统计表!$G$4:$G$93)</f>
        <v>0</v>
      </c>
      <c r="D4" s="130" t="e">
        <f t="shared" ref="D4:D11" si="1">C4/B4</f>
        <v>#DIV/0!</v>
      </c>
      <c r="F4" s="122">
        <f t="shared" si="0"/>
        <v>0</v>
      </c>
    </row>
    <row r="5" spans="1:6">
      <c r="A5" s="141" t="s">
        <v>328</v>
      </c>
      <c r="B5" s="129"/>
      <c r="C5" s="120">
        <f>SUMIF(付款统计表!$A$4:$A$93,市场部!A5,付款统计表!$G$4:$G$93)</f>
        <v>0</v>
      </c>
      <c r="D5" s="130" t="e">
        <f t="shared" si="1"/>
        <v>#DIV/0!</v>
      </c>
      <c r="F5" s="122">
        <f t="shared" si="0"/>
        <v>0</v>
      </c>
    </row>
    <row r="6" spans="1:6">
      <c r="A6" s="141" t="s">
        <v>329</v>
      </c>
      <c r="B6" s="129">
        <v>1390</v>
      </c>
      <c r="C6" s="120">
        <f>SUMIF(付款统计表!$A$4:$A$93,市场部!A6,付款统计表!$G$4:$G$93)</f>
        <v>1390</v>
      </c>
      <c r="D6" s="130">
        <f t="shared" si="1"/>
        <v>1</v>
      </c>
      <c r="F6" s="122">
        <f t="shared" si="0"/>
        <v>0</v>
      </c>
    </row>
    <row r="7" spans="1:6">
      <c r="A7" s="118" t="s">
        <v>230</v>
      </c>
      <c r="B7" s="129"/>
      <c r="C7" s="120">
        <f>SUMIF(付款统计表!$A$4:$A$93,市场部!A7,付款统计表!$G$4:$G$93)</f>
        <v>0</v>
      </c>
      <c r="D7" s="130" t="e">
        <f t="shared" si="1"/>
        <v>#DIV/0!</v>
      </c>
      <c r="F7" s="122">
        <f t="shared" si="0"/>
        <v>0</v>
      </c>
    </row>
    <row r="8" spans="1:6">
      <c r="A8" s="118" t="s">
        <v>222</v>
      </c>
      <c r="B8" s="129"/>
      <c r="C8" s="120">
        <f>SUMIF(付款统计表!$A$4:$A$93,市场部!A8,付款统计表!$G$4:$G$93)+付款统计表!$G$86</f>
        <v>0</v>
      </c>
      <c r="D8" s="130" t="e">
        <f t="shared" si="1"/>
        <v>#DIV/0!</v>
      </c>
      <c r="F8" s="122">
        <f t="shared" si="0"/>
        <v>0</v>
      </c>
    </row>
    <row r="9" spans="1:6">
      <c r="A9" s="118" t="s">
        <v>263</v>
      </c>
      <c r="B9" s="129"/>
      <c r="C9" s="120">
        <f>SUMIF(付款统计表!$A$4:$A$93,市场部!A9,付款统计表!$G$4:$G$93)</f>
        <v>0</v>
      </c>
      <c r="D9" s="130" t="e">
        <f t="shared" si="1"/>
        <v>#DIV/0!</v>
      </c>
      <c r="F9" s="122">
        <f t="shared" si="0"/>
        <v>0</v>
      </c>
    </row>
    <row r="10" spans="1:6">
      <c r="A10" s="118" t="s">
        <v>264</v>
      </c>
      <c r="B10" s="129"/>
      <c r="C10" s="120">
        <f>付款统计表!$G$94-SUM(市场部!C3:C9)</f>
        <v>0</v>
      </c>
      <c r="D10" s="130" t="e">
        <f t="shared" si="1"/>
        <v>#DIV/0!</v>
      </c>
      <c r="F10" s="122">
        <f t="shared" si="0"/>
        <v>0</v>
      </c>
    </row>
    <row r="11" spans="1:6">
      <c r="A11" s="5" t="s">
        <v>232</v>
      </c>
      <c r="B11" s="125">
        <f t="shared" ref="B11:C11" si="2">SUM(B3:B10)</f>
        <v>1390</v>
      </c>
      <c r="C11" s="125">
        <f t="shared" si="2"/>
        <v>1390</v>
      </c>
      <c r="D11" s="131">
        <f t="shared" si="1"/>
        <v>1</v>
      </c>
      <c r="F11" s="122">
        <f>C11-付款统计表!G94</f>
        <v>0</v>
      </c>
    </row>
    <row r="13" spans="2:5">
      <c r="B13" s="3"/>
      <c r="C13" s="3"/>
      <c r="D13" s="3"/>
      <c r="E13" s="3"/>
    </row>
    <row r="14" spans="2:5">
      <c r="B14" s="3"/>
      <c r="C14" s="3"/>
      <c r="D14" s="3"/>
      <c r="E14" s="3"/>
    </row>
    <row r="15" spans="2:5">
      <c r="B15" s="3"/>
      <c r="C15" s="3"/>
      <c r="D15" s="3"/>
      <c r="E15" s="3"/>
    </row>
    <row r="16" spans="2:5">
      <c r="B16" s="3"/>
      <c r="C16" s="3"/>
      <c r="D16" s="3"/>
      <c r="E16" s="3"/>
    </row>
    <row r="17" ht="14.4" spans="1:5">
      <c r="A17" s="144" t="s">
        <v>330</v>
      </c>
      <c r="B17" s="144"/>
      <c r="C17" s="144"/>
      <c r="D17" s="144"/>
      <c r="E17" s="144"/>
    </row>
    <row r="18" ht="14.4" spans="1:5">
      <c r="A18" s="145"/>
      <c r="B18" s="145"/>
      <c r="C18" s="145"/>
      <c r="D18" s="145"/>
      <c r="E18" s="145"/>
    </row>
    <row r="19" ht="14.4" spans="1:5">
      <c r="A19" s="146" t="s">
        <v>268</v>
      </c>
      <c r="B19" s="147" t="s">
        <v>331</v>
      </c>
      <c r="C19" s="147" t="s">
        <v>332</v>
      </c>
      <c r="D19" s="148" t="s">
        <v>42</v>
      </c>
      <c r="E19" s="149" t="s">
        <v>155</v>
      </c>
    </row>
    <row r="20" ht="14.4" spans="1:5">
      <c r="A20" s="146"/>
      <c r="B20" s="147"/>
      <c r="C20" s="147"/>
      <c r="D20" s="150"/>
      <c r="E20" s="151"/>
    </row>
    <row r="21" ht="15" spans="1:5">
      <c r="A21" s="152" t="s">
        <v>329</v>
      </c>
      <c r="B21" s="153"/>
      <c r="C21" s="153"/>
      <c r="D21" s="154">
        <v>1390</v>
      </c>
      <c r="E21" s="155" t="s">
        <v>333</v>
      </c>
    </row>
    <row r="22" ht="15" spans="1:5">
      <c r="A22" s="156"/>
      <c r="B22" s="153"/>
      <c r="C22" s="153"/>
      <c r="D22" s="154"/>
      <c r="E22" s="155"/>
    </row>
    <row r="23" spans="1:5">
      <c r="A23" s="157"/>
      <c r="B23" s="158" t="s">
        <v>141</v>
      </c>
      <c r="C23" s="158"/>
      <c r="D23" s="159">
        <f>SUM(D21:D22)</f>
        <v>1390</v>
      </c>
      <c r="E23" s="160"/>
    </row>
    <row r="24" ht="15" spans="1:5">
      <c r="A24" s="152" t="s">
        <v>334</v>
      </c>
      <c r="B24" s="153"/>
      <c r="C24" s="153"/>
      <c r="D24" s="154"/>
      <c r="E24" s="155"/>
    </row>
    <row r="25" ht="15" spans="1:5">
      <c r="A25" s="156"/>
      <c r="B25" s="153"/>
      <c r="C25" s="153"/>
      <c r="D25" s="154"/>
      <c r="E25" s="155"/>
    </row>
    <row r="26" ht="15" spans="1:5">
      <c r="A26" s="156"/>
      <c r="B26" s="153"/>
      <c r="C26" s="153"/>
      <c r="D26" s="154"/>
      <c r="E26" s="155"/>
    </row>
    <row r="27" spans="1:5">
      <c r="A27" s="156"/>
      <c r="B27" s="158" t="s">
        <v>141</v>
      </c>
      <c r="C27" s="158"/>
      <c r="D27" s="159">
        <f>SUM(D24:D26)</f>
        <v>0</v>
      </c>
      <c r="E27" s="160"/>
    </row>
    <row r="28" spans="1:5">
      <c r="A28" s="161" t="s">
        <v>82</v>
      </c>
      <c r="B28" s="162"/>
      <c r="C28" s="158"/>
      <c r="D28" s="159">
        <f>D23+D27</f>
        <v>1390</v>
      </c>
      <c r="E28" s="155"/>
    </row>
  </sheetData>
  <protectedRanges>
    <protectedRange sqref="B3:B10" name="区域1"/>
  </protectedRanges>
  <mergeCells count="10">
    <mergeCell ref="A1:D1"/>
    <mergeCell ref="A28:B28"/>
    <mergeCell ref="A19:A20"/>
    <mergeCell ref="A21:A23"/>
    <mergeCell ref="A24:A27"/>
    <mergeCell ref="B19:B20"/>
    <mergeCell ref="C19:C20"/>
    <mergeCell ref="D19:D20"/>
    <mergeCell ref="E19:E20"/>
    <mergeCell ref="A17:E18"/>
  </mergeCells>
  <pageMargins left="0.699305555555556" right="0.699305555555556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F3" sqref="F3:F6"/>
    </sheetView>
  </sheetViews>
  <sheetFormatPr defaultColWidth="9" defaultRowHeight="15.6" outlineLevelCol="5"/>
  <cols>
    <col min="1" max="1" width="22.7777777777778" style="2" customWidth="1"/>
    <col min="2" max="3" width="18.1296296296296" style="2" customWidth="1"/>
    <col min="4" max="4" width="7.62962962962963" style="2" customWidth="1"/>
    <col min="5" max="5" width="11.3796296296296" style="2" hidden="1" customWidth="1"/>
    <col min="6" max="6" width="29.3796296296296" style="2" customWidth="1"/>
    <col min="7" max="16384" width="9" style="2"/>
  </cols>
  <sheetData>
    <row r="1" ht="20.4" spans="1:4">
      <c r="A1" s="114" t="s">
        <v>335</v>
      </c>
      <c r="B1" s="114"/>
      <c r="C1" s="114"/>
      <c r="D1" s="114"/>
    </row>
    <row r="2" ht="21" customHeight="1" spans="1:6">
      <c r="A2" s="133" t="s">
        <v>1</v>
      </c>
      <c r="B2" s="133" t="s">
        <v>189</v>
      </c>
      <c r="C2" s="133" t="s">
        <v>190</v>
      </c>
      <c r="D2" s="133" t="s">
        <v>5</v>
      </c>
      <c r="E2" s="140"/>
      <c r="F2" s="133" t="s">
        <v>155</v>
      </c>
    </row>
    <row r="3" s="132" customFormat="1" ht="15" spans="1:6">
      <c r="A3" s="141" t="s">
        <v>336</v>
      </c>
      <c r="B3" s="129">
        <v>250000</v>
      </c>
      <c r="C3" s="120">
        <f>付款统计表!$F$48</f>
        <v>136935</v>
      </c>
      <c r="D3" s="130">
        <f>C3/B3</f>
        <v>0.54774</v>
      </c>
      <c r="E3" s="142">
        <f>B3-C3</f>
        <v>113065</v>
      </c>
      <c r="F3" s="138" t="s">
        <v>337</v>
      </c>
    </row>
    <row r="4" s="132" customFormat="1" ht="15" spans="1:6">
      <c r="A4" s="118" t="s">
        <v>294</v>
      </c>
      <c r="B4" s="129">
        <v>0</v>
      </c>
      <c r="C4" s="120">
        <f>付款统计表!$F$90</f>
        <v>0</v>
      </c>
      <c r="D4" s="130" t="e">
        <f t="shared" ref="D4:D8" si="0">C4/B4</f>
        <v>#DIV/0!</v>
      </c>
      <c r="E4" s="142">
        <f t="shared" ref="E4:E8" si="1">B4-C4</f>
        <v>0</v>
      </c>
      <c r="F4" s="138"/>
    </row>
    <row r="5" s="132" customFormat="1" ht="15" spans="1:6">
      <c r="A5" s="118" t="s">
        <v>222</v>
      </c>
      <c r="B5" s="120">
        <v>6000</v>
      </c>
      <c r="C5" s="120">
        <f>付款统计表!$F$85+付款统计表!$F$86</f>
        <v>3582.66</v>
      </c>
      <c r="D5" s="130">
        <f t="shared" si="0"/>
        <v>0.59711</v>
      </c>
      <c r="E5" s="142">
        <f t="shared" si="1"/>
        <v>2417.34</v>
      </c>
      <c r="F5" s="138" t="s">
        <v>338</v>
      </c>
    </row>
    <row r="6" s="132" customFormat="1" ht="15" spans="1:6">
      <c r="A6" s="118" t="s">
        <v>263</v>
      </c>
      <c r="B6" s="120">
        <v>20000</v>
      </c>
      <c r="C6" s="120">
        <f>付款统计表!$F$87</f>
        <v>0</v>
      </c>
      <c r="D6" s="130">
        <f t="shared" si="0"/>
        <v>0</v>
      </c>
      <c r="E6" s="142">
        <f t="shared" si="1"/>
        <v>20000</v>
      </c>
      <c r="F6" s="138" t="s">
        <v>339</v>
      </c>
    </row>
    <row r="7" s="132" customFormat="1" ht="15" spans="1:6">
      <c r="A7" s="118" t="s">
        <v>264</v>
      </c>
      <c r="B7" s="129"/>
      <c r="C7" s="120">
        <f>付款统计表!$F$94-SUM(电商设计部!C3:C6)</f>
        <v>0</v>
      </c>
      <c r="D7" s="130" t="e">
        <f t="shared" si="0"/>
        <v>#DIV/0!</v>
      </c>
      <c r="E7" s="142">
        <f t="shared" si="1"/>
        <v>0</v>
      </c>
      <c r="F7" s="138"/>
    </row>
    <row r="8" s="132" customFormat="1" spans="1:6">
      <c r="A8" s="5" t="s">
        <v>232</v>
      </c>
      <c r="B8" s="125">
        <f>SUM(B3:B7)</f>
        <v>276000</v>
      </c>
      <c r="C8" s="125">
        <f>SUM(C3:C7)</f>
        <v>140517.66</v>
      </c>
      <c r="D8" s="131">
        <f t="shared" si="0"/>
        <v>0.509121956521739</v>
      </c>
      <c r="E8" s="142">
        <f t="shared" si="1"/>
        <v>135482.34</v>
      </c>
      <c r="F8" s="143">
        <f>C8-付款统计表!F94</f>
        <v>0</v>
      </c>
    </row>
    <row r="10" spans="2:4">
      <c r="B10" s="3"/>
      <c r="C10" s="3"/>
      <c r="D10" s="3"/>
    </row>
    <row r="11" spans="2:4">
      <c r="B11" s="3"/>
      <c r="C11" s="3"/>
      <c r="D11" s="3"/>
    </row>
    <row r="12" spans="2:4">
      <c r="B12" s="3"/>
      <c r="C12" s="3"/>
      <c r="D12" s="3"/>
    </row>
    <row r="13" spans="2:4">
      <c r="B13" s="3"/>
      <c r="C13" s="3"/>
      <c r="D13" s="3"/>
    </row>
    <row r="14" spans="2:4">
      <c r="B14" s="3"/>
      <c r="C14" s="3"/>
      <c r="D14" s="3"/>
    </row>
    <row r="15" spans="2:4">
      <c r="B15" s="3"/>
      <c r="C15" s="3"/>
      <c r="D15" s="3"/>
    </row>
    <row r="16" spans="2:4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5">
      <c r="B20" s="3"/>
      <c r="C20" s="3"/>
      <c r="D20" s="3"/>
      <c r="E20" s="3"/>
    </row>
  </sheetData>
  <protectedRanges>
    <protectedRange sqref="B3:B4 B7" name="区域1"/>
  </protectedRanges>
  <mergeCells count="1">
    <mergeCell ref="A1:D1"/>
  </mergeCells>
  <pageMargins left="0.699305555555556" right="0.699305555555556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J15" sqref="J15"/>
    </sheetView>
  </sheetViews>
  <sheetFormatPr defaultColWidth="9" defaultRowHeight="15.6" outlineLevelCol="5"/>
  <cols>
    <col min="1" max="1" width="20.3796296296296" style="2" customWidth="1"/>
    <col min="2" max="3" width="13" style="2" customWidth="1"/>
    <col min="4" max="4" width="7.62962962962963" style="2" customWidth="1"/>
    <col min="5" max="5" width="11.7592592592593" style="2" hidden="1" customWidth="1"/>
    <col min="6" max="6" width="27.6296296296296" style="2" customWidth="1"/>
    <col min="7" max="16384" width="9" style="2"/>
  </cols>
  <sheetData>
    <row r="1" ht="20.4" spans="1:6">
      <c r="A1" s="114" t="s">
        <v>340</v>
      </c>
      <c r="B1" s="114"/>
      <c r="C1" s="114"/>
      <c r="D1" s="114"/>
      <c r="E1" s="114"/>
      <c r="F1" s="114"/>
    </row>
    <row r="2" spans="1:6">
      <c r="A2" s="133" t="s">
        <v>1</v>
      </c>
      <c r="B2" s="133" t="s">
        <v>158</v>
      </c>
      <c r="C2" s="133"/>
      <c r="D2" s="133"/>
      <c r="E2" s="134" t="s">
        <v>106</v>
      </c>
      <c r="F2" s="135" t="s">
        <v>155</v>
      </c>
    </row>
    <row r="3" spans="1:6">
      <c r="A3" s="133"/>
      <c r="B3" s="133" t="s">
        <v>189</v>
      </c>
      <c r="C3" s="133" t="s">
        <v>190</v>
      </c>
      <c r="D3" s="133" t="s">
        <v>5</v>
      </c>
      <c r="E3" s="134"/>
      <c r="F3" s="135"/>
    </row>
    <row r="4" spans="1:6">
      <c r="A4" s="118" t="s">
        <v>222</v>
      </c>
      <c r="B4" s="136">
        <v>10000</v>
      </c>
      <c r="C4" s="120">
        <f>付款统计表!$O$85+付款统计表!$O$86</f>
        <v>8689.46</v>
      </c>
      <c r="D4" s="121">
        <f t="shared" ref="D4:D9" si="0">C4/B4</f>
        <v>0.868946</v>
      </c>
      <c r="E4" s="122">
        <f>B4-C4</f>
        <v>1310.54</v>
      </c>
      <c r="F4" s="123"/>
    </row>
    <row r="5" spans="1:6">
      <c r="A5" s="118" t="s">
        <v>263</v>
      </c>
      <c r="B5" s="136"/>
      <c r="C5" s="120">
        <f>付款统计表!$O$87</f>
        <v>0</v>
      </c>
      <c r="D5" s="121" t="e">
        <f t="shared" si="0"/>
        <v>#DIV/0!</v>
      </c>
      <c r="E5" s="122">
        <f t="shared" ref="E5:E8" si="1">B5-C5</f>
        <v>0</v>
      </c>
      <c r="F5" s="123"/>
    </row>
    <row r="6" spans="1:6">
      <c r="A6" s="118" t="s">
        <v>324</v>
      </c>
      <c r="B6" s="137">
        <v>9000</v>
      </c>
      <c r="C6" s="120">
        <f>付款统计表!$O$91</f>
        <v>8306.18</v>
      </c>
      <c r="D6" s="121">
        <f t="shared" si="0"/>
        <v>0.922908888888889</v>
      </c>
      <c r="E6" s="122">
        <f t="shared" si="1"/>
        <v>693.82</v>
      </c>
      <c r="F6" s="123"/>
    </row>
    <row r="7" spans="1:6">
      <c r="A7" s="118" t="s">
        <v>341</v>
      </c>
      <c r="B7" s="137">
        <v>12000</v>
      </c>
      <c r="C7" s="120">
        <v>2945</v>
      </c>
      <c r="D7" s="121">
        <f t="shared" si="0"/>
        <v>0.245416666666667</v>
      </c>
      <c r="E7" s="122">
        <f t="shared" si="1"/>
        <v>9055</v>
      </c>
      <c r="F7" s="138" t="s">
        <v>342</v>
      </c>
    </row>
    <row r="8" spans="1:6">
      <c r="A8" s="118" t="s">
        <v>139</v>
      </c>
      <c r="B8" s="137">
        <v>25000</v>
      </c>
      <c r="C8" s="120">
        <f>付款统计表!$O$94-SUM(产品设计部!C4:C7)</f>
        <v>12600</v>
      </c>
      <c r="D8" s="121">
        <f t="shared" si="0"/>
        <v>0.504</v>
      </c>
      <c r="E8" s="122">
        <f t="shared" si="1"/>
        <v>12400</v>
      </c>
      <c r="F8" s="138" t="s">
        <v>343</v>
      </c>
    </row>
    <row r="9" spans="1:6">
      <c r="A9" s="124" t="s">
        <v>232</v>
      </c>
      <c r="B9" s="125">
        <f>SUM(B4:B8)</f>
        <v>56000</v>
      </c>
      <c r="C9" s="125">
        <f>SUM(C4:C8)</f>
        <v>32540.64</v>
      </c>
      <c r="D9" s="126">
        <f t="shared" si="0"/>
        <v>0.581082857142857</v>
      </c>
      <c r="E9" s="122">
        <f t="shared" ref="E9" si="2">B9-C9</f>
        <v>23459.36</v>
      </c>
      <c r="F9" s="127">
        <f>C9-付款统计表!O94</f>
        <v>0</v>
      </c>
    </row>
    <row r="11" spans="1:5">
      <c r="A11" s="139"/>
      <c r="B11" s="3"/>
      <c r="C11" s="3"/>
      <c r="D11" s="3"/>
      <c r="E11" s="3"/>
    </row>
    <row r="12" spans="2:5">
      <c r="B12" s="3"/>
      <c r="C12" s="3"/>
      <c r="D12" s="3"/>
      <c r="E12" s="3"/>
    </row>
    <row r="13" spans="2:5">
      <c r="B13" s="3"/>
      <c r="C13" s="3"/>
      <c r="D13" s="3"/>
      <c r="E13" s="3"/>
    </row>
    <row r="14" spans="2:5">
      <c r="B14" s="3"/>
      <c r="C14" s="3"/>
      <c r="D14" s="3"/>
      <c r="E14" s="3"/>
    </row>
    <row r="15" spans="2:5">
      <c r="B15" s="3"/>
      <c r="C15" s="3"/>
      <c r="D15" s="3"/>
      <c r="E15" s="3"/>
    </row>
    <row r="16" spans="2:5">
      <c r="B16" s="3"/>
      <c r="C16" s="3"/>
      <c r="D16" s="3"/>
      <c r="E16" s="3"/>
    </row>
    <row r="17" spans="2:5">
      <c r="B17" s="3"/>
      <c r="C17" s="3"/>
      <c r="D17" s="3"/>
      <c r="E17" s="3"/>
    </row>
    <row r="18" spans="2:5">
      <c r="B18" s="3"/>
      <c r="C18" s="3"/>
      <c r="D18" s="3"/>
      <c r="E18" s="3"/>
    </row>
    <row r="19" spans="2:5">
      <c r="B19" s="3"/>
      <c r="C19" s="3"/>
      <c r="D19" s="3"/>
      <c r="E19" s="3"/>
    </row>
    <row r="20" spans="2:5">
      <c r="B20" s="3"/>
      <c r="C20" s="3"/>
      <c r="D20" s="3"/>
      <c r="E20" s="3"/>
    </row>
    <row r="21" spans="2:5">
      <c r="B21" s="3"/>
      <c r="C21" s="3"/>
      <c r="D21" s="3"/>
      <c r="E21" s="3"/>
    </row>
    <row r="22" spans="2:5">
      <c r="B22" s="3"/>
      <c r="C22" s="3"/>
      <c r="D22" s="3"/>
      <c r="E22" s="3"/>
    </row>
  </sheetData>
  <protectedRanges>
    <protectedRange sqref="B6:B8" name="区域1"/>
    <protectedRange sqref="B4:B5" name="区域1_2"/>
  </protectedRanges>
  <mergeCells count="5">
    <mergeCell ref="A1:F1"/>
    <mergeCell ref="B2:D2"/>
    <mergeCell ref="A2:A3"/>
    <mergeCell ref="E2:E3"/>
    <mergeCell ref="F2:F3"/>
  </mergeCells>
  <pageMargins left="0.699305555555556" right="0.699305555555556" top="0.75" bottom="0.75" header="0.3" footer="0.3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M16" sqref="M16"/>
    </sheetView>
  </sheetViews>
  <sheetFormatPr defaultColWidth="9" defaultRowHeight="15.6" outlineLevelCol="5"/>
  <cols>
    <col min="1" max="1" width="21.2222222222222" style="2" customWidth="1"/>
    <col min="2" max="3" width="20.7592592592593" style="2" customWidth="1"/>
    <col min="4" max="4" width="6.37962962962963" style="2" customWidth="1"/>
    <col min="5" max="5" width="11.3796296296296" style="2" hidden="1" customWidth="1"/>
    <col min="6" max="6" width="5.75925925925926" style="2" customWidth="1"/>
    <col min="7" max="16384" width="9" style="2"/>
  </cols>
  <sheetData>
    <row r="1" ht="20.4" spans="1:4">
      <c r="A1" s="114" t="s">
        <v>344</v>
      </c>
      <c r="B1" s="114"/>
      <c r="C1" s="114"/>
      <c r="D1" s="114"/>
    </row>
    <row r="2" ht="24.75" customHeight="1" spans="1:5">
      <c r="A2" s="115" t="s">
        <v>1</v>
      </c>
      <c r="B2" s="115" t="s">
        <v>189</v>
      </c>
      <c r="C2" s="115" t="s">
        <v>190</v>
      </c>
      <c r="D2" s="115" t="s">
        <v>5</v>
      </c>
      <c r="E2" s="128"/>
    </row>
    <row r="3" spans="1:5">
      <c r="A3" s="118" t="s">
        <v>222</v>
      </c>
      <c r="B3" s="129">
        <v>3800</v>
      </c>
      <c r="C3" s="120">
        <f>付款统计表!$P$85+付款统计表!$Q$85+付款统计表!$P$86+付款统计表!$Q$86</f>
        <v>6733.76</v>
      </c>
      <c r="D3" s="130">
        <f t="shared" ref="D3:D7" si="0">C3/B3</f>
        <v>1.77204210526316</v>
      </c>
      <c r="E3" s="122">
        <f t="shared" ref="E3:E7" si="1">B3-C3</f>
        <v>-2933.76</v>
      </c>
    </row>
    <row r="4" spans="1:5">
      <c r="A4" s="118" t="s">
        <v>263</v>
      </c>
      <c r="B4" s="129">
        <v>1000</v>
      </c>
      <c r="C4" s="120">
        <f>付款统计表!$P$87+付款统计表!$Q$87</f>
        <v>1595</v>
      </c>
      <c r="D4" s="130">
        <f t="shared" si="0"/>
        <v>1.595</v>
      </c>
      <c r="E4" s="122">
        <f t="shared" si="1"/>
        <v>-595</v>
      </c>
    </row>
    <row r="5" spans="1:5">
      <c r="A5" s="118" t="s">
        <v>345</v>
      </c>
      <c r="B5" s="129">
        <v>2000</v>
      </c>
      <c r="C5" s="120">
        <f>付款统计表!$P$91+付款统计表!$Q$91</f>
        <v>1580.59</v>
      </c>
      <c r="D5" s="130">
        <f t="shared" si="0"/>
        <v>0.790295</v>
      </c>
      <c r="E5" s="122">
        <f t="shared" si="1"/>
        <v>419.41</v>
      </c>
    </row>
    <row r="6" spans="1:5">
      <c r="A6" s="118" t="s">
        <v>264</v>
      </c>
      <c r="B6" s="129">
        <v>1600</v>
      </c>
      <c r="C6" s="120">
        <f>付款统计表!$P$94+付款统计表!$Q$94-SUM(C3:C5)</f>
        <v>1551</v>
      </c>
      <c r="D6" s="130">
        <f t="shared" si="0"/>
        <v>0.969375</v>
      </c>
      <c r="E6" s="122">
        <f t="shared" si="1"/>
        <v>49</v>
      </c>
    </row>
    <row r="7" spans="1:6">
      <c r="A7" s="124" t="s">
        <v>346</v>
      </c>
      <c r="B7" s="125">
        <f>SUM(B3:B6)</f>
        <v>8400</v>
      </c>
      <c r="C7" s="125">
        <f>SUM(C3:C6)</f>
        <v>11460.35</v>
      </c>
      <c r="D7" s="131">
        <f t="shared" si="0"/>
        <v>1.36432738095238</v>
      </c>
      <c r="E7" s="122">
        <f t="shared" si="1"/>
        <v>-3060.35</v>
      </c>
      <c r="F7" s="122">
        <f>C7-付款统计表!P94-付款统计表!Q94</f>
        <v>0</v>
      </c>
    </row>
    <row r="9" ht="15" spans="1:1">
      <c r="A9" s="132"/>
    </row>
    <row r="10" ht="16.5" customHeight="1"/>
    <row r="13" spans="2:5">
      <c r="B13" s="3"/>
      <c r="C13" s="3"/>
      <c r="D13" s="3"/>
      <c r="E13" s="3"/>
    </row>
    <row r="14" spans="2:5">
      <c r="B14" s="3"/>
      <c r="C14" s="3"/>
      <c r="D14" s="3"/>
      <c r="E14" s="3"/>
    </row>
    <row r="15" spans="2:5">
      <c r="B15" s="3"/>
      <c r="C15" s="3"/>
      <c r="D15" s="3"/>
      <c r="E15" s="3"/>
    </row>
    <row r="16" spans="2:5">
      <c r="B16" s="3"/>
      <c r="C16" s="3"/>
      <c r="D16" s="3"/>
      <c r="E16" s="3"/>
    </row>
    <row r="17" spans="2:5">
      <c r="B17" s="3"/>
      <c r="C17" s="3"/>
      <c r="D17" s="3"/>
      <c r="E17" s="3"/>
    </row>
    <row r="18" spans="2:5">
      <c r="B18" s="3"/>
      <c r="C18" s="3"/>
      <c r="D18" s="3"/>
      <c r="E18" s="3"/>
    </row>
    <row r="19" spans="2:5">
      <c r="B19" s="3"/>
      <c r="C19" s="3"/>
      <c r="D19" s="3"/>
      <c r="E19" s="3"/>
    </row>
    <row r="20" spans="2:5">
      <c r="B20" s="3"/>
      <c r="C20" s="3"/>
      <c r="D20" s="3"/>
      <c r="E20" s="3"/>
    </row>
    <row r="21" spans="2:5">
      <c r="B21" s="3"/>
      <c r="C21" s="3"/>
      <c r="D21" s="3"/>
      <c r="E21" s="3"/>
    </row>
    <row r="22" spans="2:5">
      <c r="B22" s="3"/>
      <c r="C22" s="3"/>
      <c r="D22" s="3"/>
      <c r="E22" s="3"/>
    </row>
    <row r="23" spans="2:5">
      <c r="B23" s="3"/>
      <c r="C23" s="3"/>
      <c r="D23" s="3"/>
      <c r="E23" s="3"/>
    </row>
    <row r="24" spans="2:5">
      <c r="B24" s="3"/>
      <c r="C24" s="3"/>
      <c r="D24" s="3"/>
      <c r="E24" s="3"/>
    </row>
  </sheetData>
  <mergeCells count="1">
    <mergeCell ref="A1:D1"/>
  </mergeCells>
  <pageMargins left="0.699305555555556" right="0.699305555555556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K21" sqref="K21"/>
    </sheetView>
  </sheetViews>
  <sheetFormatPr defaultColWidth="9" defaultRowHeight="15.6" outlineLevelCol="5"/>
  <cols>
    <col min="1" max="1" width="20.3796296296296" style="2" customWidth="1"/>
    <col min="2" max="4" width="11.5" style="2" customWidth="1"/>
    <col min="5" max="5" width="11.7592592592593" style="2" hidden="1" customWidth="1"/>
    <col min="6" max="6" width="15.3796296296296" style="2" customWidth="1"/>
    <col min="7" max="16384" width="9" style="2"/>
  </cols>
  <sheetData>
    <row r="1" ht="20.4" spans="1:6">
      <c r="A1" s="114" t="s">
        <v>347</v>
      </c>
      <c r="B1" s="114"/>
      <c r="C1" s="114"/>
      <c r="D1" s="114"/>
      <c r="E1" s="114"/>
      <c r="F1" s="114"/>
    </row>
    <row r="2" s="113" customFormat="1" ht="18" customHeight="1" spans="1:6">
      <c r="A2" s="115" t="s">
        <v>1</v>
      </c>
      <c r="B2" s="115" t="s">
        <v>189</v>
      </c>
      <c r="C2" s="115" t="s">
        <v>190</v>
      </c>
      <c r="D2" s="115" t="s">
        <v>5</v>
      </c>
      <c r="E2" s="116"/>
      <c r="F2" s="117" t="s">
        <v>155</v>
      </c>
    </row>
    <row r="3" spans="1:6">
      <c r="A3" s="118" t="s">
        <v>348</v>
      </c>
      <c r="B3" s="119">
        <v>60000</v>
      </c>
      <c r="C3" s="120"/>
      <c r="D3" s="121">
        <f t="shared" ref="D3:D8" si="0">C3/B3</f>
        <v>0</v>
      </c>
      <c r="E3" s="122">
        <f t="shared" ref="E3:E8" si="1">B3-C3</f>
        <v>60000</v>
      </c>
      <c r="F3" s="123"/>
    </row>
    <row r="4" spans="1:6">
      <c r="A4" s="118" t="s">
        <v>349</v>
      </c>
      <c r="B4" s="119">
        <v>15000</v>
      </c>
      <c r="C4" s="120">
        <f>付款统计表!$C$75+付款统计表!$C$76+付款统计表!$C$73+3620</f>
        <v>6742.5</v>
      </c>
      <c r="D4" s="121">
        <f t="shared" si="0"/>
        <v>0.4495</v>
      </c>
      <c r="E4" s="122">
        <f t="shared" si="1"/>
        <v>8257.5</v>
      </c>
      <c r="F4" s="123"/>
    </row>
    <row r="5" spans="1:6">
      <c r="A5" s="118" t="s">
        <v>294</v>
      </c>
      <c r="B5" s="119">
        <v>40000</v>
      </c>
      <c r="C5" s="120">
        <f>付款统计表!$C$90</f>
        <v>32401.77</v>
      </c>
      <c r="D5" s="121">
        <f t="shared" si="0"/>
        <v>0.81004425</v>
      </c>
      <c r="E5" s="122">
        <f t="shared" si="1"/>
        <v>7598.23</v>
      </c>
      <c r="F5" s="123"/>
    </row>
    <row r="6" spans="1:6">
      <c r="A6" s="118" t="s">
        <v>222</v>
      </c>
      <c r="B6" s="119"/>
      <c r="C6" s="120">
        <v>42.5</v>
      </c>
      <c r="D6" s="121" t="e">
        <f t="shared" si="0"/>
        <v>#DIV/0!</v>
      </c>
      <c r="E6" s="122">
        <f t="shared" si="1"/>
        <v>-42.5</v>
      </c>
      <c r="F6" s="123"/>
    </row>
    <row r="7" spans="1:6">
      <c r="A7" s="118" t="s">
        <v>264</v>
      </c>
      <c r="B7" s="119">
        <v>50000</v>
      </c>
      <c r="C7" s="120">
        <v>27249.64</v>
      </c>
      <c r="D7" s="121">
        <f t="shared" si="0"/>
        <v>0.5449928</v>
      </c>
      <c r="E7" s="122">
        <f t="shared" si="1"/>
        <v>22750.36</v>
      </c>
      <c r="F7" s="123"/>
    </row>
    <row r="8" spans="1:6">
      <c r="A8" s="124" t="s">
        <v>346</v>
      </c>
      <c r="B8" s="125">
        <f>SUM(B3:B7)</f>
        <v>165000</v>
      </c>
      <c r="C8" s="125">
        <f>SUM(C3:C7)</f>
        <v>66436.41</v>
      </c>
      <c r="D8" s="126">
        <f t="shared" si="0"/>
        <v>0.402644909090909</v>
      </c>
      <c r="E8" s="122">
        <f t="shared" si="1"/>
        <v>98563.59</v>
      </c>
      <c r="F8" s="127"/>
    </row>
    <row r="10" spans="2:5">
      <c r="B10" s="3"/>
      <c r="C10" s="3"/>
      <c r="D10" s="3"/>
      <c r="E10" s="3"/>
    </row>
    <row r="11" spans="2:5">
      <c r="B11" s="3"/>
      <c r="C11" s="3"/>
      <c r="D11" s="3"/>
      <c r="E11" s="3"/>
    </row>
    <row r="12" spans="2:5">
      <c r="B12" s="3"/>
      <c r="C12" s="3"/>
      <c r="D12" s="3"/>
      <c r="E12" s="3"/>
    </row>
    <row r="13" spans="2:5">
      <c r="B13" s="3"/>
      <c r="C13" s="3"/>
      <c r="D13" s="3"/>
      <c r="E13" s="3"/>
    </row>
    <row r="14" spans="2:4">
      <c r="B14" s="3"/>
      <c r="C14" s="3"/>
      <c r="D14" s="3"/>
    </row>
    <row r="15" spans="2:4">
      <c r="B15" s="3"/>
      <c r="C15" s="3"/>
      <c r="D15" s="3"/>
    </row>
    <row r="16" spans="2:4">
      <c r="B16" s="3"/>
      <c r="C16" s="3"/>
      <c r="D16" s="3"/>
    </row>
    <row r="17" spans="2:4">
      <c r="B17" s="3"/>
      <c r="C17" s="3"/>
      <c r="D17" s="3"/>
    </row>
    <row r="18" spans="2:4">
      <c r="B18" s="3"/>
      <c r="C18" s="3"/>
      <c r="D18" s="3"/>
    </row>
    <row r="19" spans="2:4">
      <c r="B19" s="3"/>
      <c r="C19" s="3"/>
      <c r="D19" s="3"/>
    </row>
    <row r="20" spans="2:4">
      <c r="B20" s="3"/>
      <c r="C20" s="3"/>
      <c r="D20" s="3"/>
    </row>
  </sheetData>
  <protectedRanges>
    <protectedRange sqref="B3:B7" name="区域1"/>
  </protectedRanges>
  <mergeCells count="1">
    <mergeCell ref="A1:F1"/>
  </mergeCells>
  <pageMargins left="0.699305555555556" right="0.699305555555556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"/>
  <sheetViews>
    <sheetView topLeftCell="A8" workbookViewId="0">
      <selection activeCell="M21" sqref="M21:M27"/>
    </sheetView>
  </sheetViews>
  <sheetFormatPr defaultColWidth="9" defaultRowHeight="14.4"/>
  <cols>
    <col min="1" max="1" width="20.5" customWidth="1"/>
    <col min="2" max="2" width="12.5" customWidth="1"/>
    <col min="3" max="3" width="11.3796296296296" customWidth="1"/>
    <col min="4" max="4" width="11.6296296296296" customWidth="1"/>
    <col min="5" max="5" width="10.5" customWidth="1"/>
    <col min="6" max="6" width="11.3796296296296" customWidth="1"/>
    <col min="7" max="8" width="9.5" customWidth="1"/>
    <col min="9" max="9" width="11.8888888888889" customWidth="1"/>
    <col min="10" max="10" width="12.5" customWidth="1"/>
    <col min="11" max="11" width="14" customWidth="1"/>
    <col min="12" max="12" width="11.6296296296296" customWidth="1"/>
    <col min="13" max="13" width="10.5" customWidth="1"/>
    <col min="14" max="14" width="15.7592592592593" customWidth="1"/>
    <col min="15" max="15" width="10.5" customWidth="1"/>
    <col min="16" max="16" width="12.2592592592593" customWidth="1"/>
  </cols>
  <sheetData>
    <row r="1" ht="27" customHeight="1" spans="1:16">
      <c r="A1" s="101" t="s">
        <v>350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</row>
    <row r="2" ht="24" spans="1:16">
      <c r="A2" s="102"/>
      <c r="B2" s="102" t="s">
        <v>351</v>
      </c>
      <c r="C2" s="102" t="s">
        <v>352</v>
      </c>
      <c r="D2" s="102" t="s">
        <v>353</v>
      </c>
      <c r="E2" s="102" t="s">
        <v>354</v>
      </c>
      <c r="F2" s="102" t="s">
        <v>355</v>
      </c>
      <c r="G2" s="102" t="s">
        <v>356</v>
      </c>
      <c r="H2" s="102" t="s">
        <v>357</v>
      </c>
      <c r="I2" s="102" t="s">
        <v>358</v>
      </c>
      <c r="J2" s="102" t="s">
        <v>359</v>
      </c>
      <c r="K2" s="102" t="s">
        <v>360</v>
      </c>
      <c r="L2" s="102" t="s">
        <v>361</v>
      </c>
      <c r="M2" s="102" t="s">
        <v>362</v>
      </c>
      <c r="N2" s="102" t="s">
        <v>363</v>
      </c>
      <c r="O2" s="110" t="s">
        <v>364</v>
      </c>
      <c r="P2" s="110" t="s">
        <v>199</v>
      </c>
    </row>
    <row r="3" ht="15" spans="1:16">
      <c r="A3" s="103" t="s">
        <v>205</v>
      </c>
      <c r="B3" s="104"/>
      <c r="C3" s="104"/>
      <c r="D3" s="104"/>
      <c r="E3" s="104"/>
      <c r="F3" s="104"/>
      <c r="G3" s="104"/>
      <c r="H3" s="104"/>
      <c r="I3" s="104"/>
      <c r="J3" s="104"/>
      <c r="K3" s="104">
        <f>人力资源部!$F$5</f>
        <v>10000</v>
      </c>
      <c r="L3" s="104"/>
      <c r="M3" s="104"/>
      <c r="N3" s="104"/>
      <c r="O3" s="104"/>
      <c r="P3" s="111">
        <f t="shared" ref="P3:P28" si="0">SUM(B3:O3)</f>
        <v>10000</v>
      </c>
    </row>
    <row r="4" ht="15" spans="1:16">
      <c r="A4" s="103" t="s">
        <v>365</v>
      </c>
      <c r="B4" s="104"/>
      <c r="C4" s="104"/>
      <c r="D4" s="104"/>
      <c r="E4" s="104"/>
      <c r="F4" s="104"/>
      <c r="G4" s="104"/>
      <c r="H4" s="104"/>
      <c r="I4" s="104"/>
      <c r="J4" s="104">
        <f>财务部!$F$19</f>
        <v>0</v>
      </c>
      <c r="K4" s="104">
        <f>人力资源部!$F$18+人力资源部!$F$19</f>
        <v>5243.45999999999</v>
      </c>
      <c r="L4" s="104"/>
      <c r="M4" s="104"/>
      <c r="N4" s="104"/>
      <c r="O4" s="104"/>
      <c r="P4" s="111">
        <f t="shared" si="0"/>
        <v>5243.45999999999</v>
      </c>
    </row>
    <row r="5" ht="15" spans="1:16">
      <c r="A5" s="103" t="s">
        <v>301</v>
      </c>
      <c r="B5" s="104"/>
      <c r="C5" s="104"/>
      <c r="D5" s="104"/>
      <c r="E5" s="104"/>
      <c r="F5" s="104">
        <f>线下销售部!$G$9</f>
        <v>-5101.23000000004</v>
      </c>
      <c r="G5" s="104"/>
      <c r="H5" s="104"/>
      <c r="I5" s="104"/>
      <c r="J5" s="104"/>
      <c r="K5" s="104"/>
      <c r="L5" s="104"/>
      <c r="M5" s="104"/>
      <c r="N5" s="104"/>
      <c r="O5" s="104"/>
      <c r="P5" s="111">
        <f t="shared" si="0"/>
        <v>-5101.23000000004</v>
      </c>
    </row>
    <row r="6" ht="15" spans="1:16">
      <c r="A6" s="103" t="s">
        <v>307</v>
      </c>
      <c r="B6" s="104"/>
      <c r="C6" s="104"/>
      <c r="D6" s="104"/>
      <c r="E6" s="104"/>
      <c r="F6" s="104">
        <f>线下销售部!$G$18</f>
        <v>20000</v>
      </c>
      <c r="G6" s="104"/>
      <c r="H6" s="104"/>
      <c r="I6" s="104"/>
      <c r="J6" s="104"/>
      <c r="K6" s="104"/>
      <c r="L6" s="104"/>
      <c r="M6" s="104"/>
      <c r="N6" s="104"/>
      <c r="O6" s="104"/>
      <c r="P6" s="111">
        <f t="shared" si="0"/>
        <v>20000</v>
      </c>
    </row>
    <row r="7" ht="15" spans="1:16">
      <c r="A7" s="103" t="s">
        <v>316</v>
      </c>
      <c r="B7" s="104"/>
      <c r="C7" s="104"/>
      <c r="D7" s="104"/>
      <c r="E7" s="104"/>
      <c r="F7" s="104">
        <f>线下销售部!$G$25</f>
        <v>-4419.8</v>
      </c>
      <c r="G7" s="104"/>
      <c r="H7" s="104"/>
      <c r="I7" s="104"/>
      <c r="J7" s="104"/>
      <c r="K7" s="104"/>
      <c r="L7" s="104"/>
      <c r="M7" s="104"/>
      <c r="N7" s="104"/>
      <c r="O7" s="104"/>
      <c r="P7" s="111">
        <f t="shared" si="0"/>
        <v>-4419.8</v>
      </c>
    </row>
    <row r="8" ht="15" spans="1:16">
      <c r="A8" s="103" t="s">
        <v>366</v>
      </c>
      <c r="B8" s="104">
        <f>电商!$M$13</f>
        <v>0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  <c r="P8" s="111">
        <f t="shared" si="0"/>
        <v>0</v>
      </c>
    </row>
    <row r="9" ht="15" spans="1:16">
      <c r="A9" s="103" t="s">
        <v>367</v>
      </c>
      <c r="B9" s="104">
        <f>电商!$M$20</f>
        <v>0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11">
        <f t="shared" si="0"/>
        <v>0</v>
      </c>
    </row>
    <row r="10" ht="15" spans="1:16">
      <c r="A10" s="103" t="s">
        <v>290</v>
      </c>
      <c r="B10" s="104">
        <f>电商!$M$23</f>
        <v>0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11">
        <f t="shared" si="0"/>
        <v>0</v>
      </c>
    </row>
    <row r="11" ht="15" spans="1:16">
      <c r="A11" s="105" t="s">
        <v>326</v>
      </c>
      <c r="B11" s="104"/>
      <c r="C11" s="104"/>
      <c r="D11" s="104"/>
      <c r="E11" s="104"/>
      <c r="F11" s="104"/>
      <c r="G11" s="104">
        <f>市场部!$F$3</f>
        <v>0</v>
      </c>
      <c r="H11" s="104"/>
      <c r="I11" s="104"/>
      <c r="J11" s="104"/>
      <c r="K11" s="104"/>
      <c r="L11" s="104"/>
      <c r="M11" s="104"/>
      <c r="N11" s="104"/>
      <c r="O11" s="104"/>
      <c r="P11" s="111">
        <f t="shared" si="0"/>
        <v>0</v>
      </c>
    </row>
    <row r="12" ht="15" spans="1:16">
      <c r="A12" s="105" t="s">
        <v>327</v>
      </c>
      <c r="B12" s="104"/>
      <c r="C12" s="104"/>
      <c r="D12" s="104"/>
      <c r="E12" s="104"/>
      <c r="F12" s="104"/>
      <c r="G12" s="104">
        <f>市场部!$F$4</f>
        <v>0</v>
      </c>
      <c r="H12" s="104"/>
      <c r="I12" s="104"/>
      <c r="J12" s="104"/>
      <c r="K12" s="104"/>
      <c r="L12" s="104"/>
      <c r="M12" s="104"/>
      <c r="N12" s="104"/>
      <c r="O12" s="104"/>
      <c r="P12" s="111">
        <f t="shared" si="0"/>
        <v>0</v>
      </c>
    </row>
    <row r="13" ht="15" spans="1:16">
      <c r="A13" s="105" t="s">
        <v>328</v>
      </c>
      <c r="B13" s="104"/>
      <c r="C13" s="104"/>
      <c r="D13" s="104"/>
      <c r="E13" s="104"/>
      <c r="F13" s="104"/>
      <c r="G13" s="104">
        <f>市场部!$F$5</f>
        <v>0</v>
      </c>
      <c r="H13" s="104"/>
      <c r="I13" s="104"/>
      <c r="J13" s="104"/>
      <c r="K13" s="104"/>
      <c r="L13" s="104"/>
      <c r="M13" s="104"/>
      <c r="N13" s="104"/>
      <c r="O13" s="104"/>
      <c r="P13" s="111">
        <f t="shared" si="0"/>
        <v>0</v>
      </c>
    </row>
    <row r="14" ht="15" spans="1:16">
      <c r="A14" s="105" t="s">
        <v>329</v>
      </c>
      <c r="B14" s="104"/>
      <c r="C14" s="104"/>
      <c r="D14" s="104"/>
      <c r="E14" s="104"/>
      <c r="F14" s="104"/>
      <c r="G14" s="104">
        <f>市场部!$F$6</f>
        <v>0</v>
      </c>
      <c r="H14" s="104"/>
      <c r="I14" s="104"/>
      <c r="J14" s="104"/>
      <c r="K14" s="104"/>
      <c r="L14" s="104"/>
      <c r="M14" s="104"/>
      <c r="N14" s="104"/>
      <c r="O14" s="104"/>
      <c r="P14" s="111">
        <f t="shared" si="0"/>
        <v>0</v>
      </c>
    </row>
    <row r="15" ht="15" spans="1:16">
      <c r="A15" s="103" t="s">
        <v>368</v>
      </c>
      <c r="B15" s="104"/>
      <c r="C15" s="104"/>
      <c r="D15" s="104"/>
      <c r="E15" s="104"/>
      <c r="F15" s="104"/>
      <c r="G15" s="104"/>
      <c r="H15" s="104"/>
      <c r="I15" s="104"/>
      <c r="J15" s="104">
        <f>财务部!$F$17</f>
        <v>-672</v>
      </c>
      <c r="K15" s="104"/>
      <c r="L15" s="104"/>
      <c r="M15" s="104"/>
      <c r="N15" s="104"/>
      <c r="O15" s="104"/>
      <c r="P15" s="111">
        <f t="shared" si="0"/>
        <v>-672</v>
      </c>
    </row>
    <row r="16" ht="15" spans="1:16">
      <c r="A16" s="103" t="s">
        <v>369</v>
      </c>
      <c r="B16" s="104"/>
      <c r="C16" s="104"/>
      <c r="D16" s="104"/>
      <c r="E16" s="104"/>
      <c r="F16" s="104"/>
      <c r="G16" s="104"/>
      <c r="H16" s="104"/>
      <c r="I16" s="104"/>
      <c r="J16" s="104">
        <f>财务部!$F$13+财务部!$F$15+财务部!$F$16</f>
        <v>-14650.25</v>
      </c>
      <c r="K16" s="104">
        <f>人力资源部!$F$16</f>
        <v>4191</v>
      </c>
      <c r="L16" s="104"/>
      <c r="M16" s="104"/>
      <c r="N16" s="104"/>
      <c r="O16" s="104"/>
      <c r="P16" s="111">
        <f t="shared" si="0"/>
        <v>-10459.25</v>
      </c>
    </row>
    <row r="17" ht="15" spans="1:16">
      <c r="A17" s="103" t="s">
        <v>348</v>
      </c>
      <c r="B17" s="104"/>
      <c r="C17" s="104"/>
      <c r="D17" s="104"/>
      <c r="E17" s="104"/>
      <c r="F17" s="104"/>
      <c r="G17" s="104"/>
      <c r="H17" s="104"/>
      <c r="I17" s="104">
        <f>行政部!$E$3</f>
        <v>60000</v>
      </c>
      <c r="J17" s="104"/>
      <c r="K17" s="104"/>
      <c r="L17" s="104"/>
      <c r="M17" s="104"/>
      <c r="N17" s="104"/>
      <c r="O17" s="104"/>
      <c r="P17" s="111">
        <f t="shared" si="0"/>
        <v>60000</v>
      </c>
    </row>
    <row r="18" ht="15" spans="1:16">
      <c r="A18" s="103" t="s">
        <v>349</v>
      </c>
      <c r="B18" s="104"/>
      <c r="C18" s="104"/>
      <c r="D18" s="104"/>
      <c r="E18" s="104"/>
      <c r="F18" s="104"/>
      <c r="G18" s="104"/>
      <c r="H18" s="104"/>
      <c r="I18" s="104">
        <f>行政部!$E$4</f>
        <v>8257.5</v>
      </c>
      <c r="J18" s="104">
        <f>财务部!$F$18</f>
        <v>0</v>
      </c>
      <c r="K18" s="104">
        <f>人力资源部!$F$17</f>
        <v>-24569.81</v>
      </c>
      <c r="L18" s="104"/>
      <c r="M18" s="104"/>
      <c r="N18" s="104"/>
      <c r="O18" s="104"/>
      <c r="P18" s="111">
        <f t="shared" si="0"/>
        <v>-16312.31</v>
      </c>
    </row>
    <row r="19" ht="15" spans="1:16">
      <c r="A19" s="103" t="s">
        <v>370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>
        <f>人力资源部!$F$6+人力资源部!$F$7+人力资源部!$F$8+人力资源部!$F$9</f>
        <v>-42614.5200000001</v>
      </c>
      <c r="L19" s="104"/>
      <c r="M19" s="104"/>
      <c r="N19" s="104"/>
      <c r="O19" s="104"/>
      <c r="P19" s="111">
        <f t="shared" si="0"/>
        <v>-42614.5200000001</v>
      </c>
    </row>
    <row r="20" ht="15" spans="1:16">
      <c r="A20" s="103" t="s">
        <v>240</v>
      </c>
      <c r="B20" s="104"/>
      <c r="C20" s="104"/>
      <c r="D20" s="104"/>
      <c r="E20" s="104"/>
      <c r="F20" s="104"/>
      <c r="G20" s="104"/>
      <c r="H20" s="104"/>
      <c r="I20" s="104"/>
      <c r="J20" s="104">
        <f>财务部!$F$5+财务部!$F$6+财务部!$F$7+财务部!$F$8+财务部!$F$9+财务部!$F$10</f>
        <v>0</v>
      </c>
      <c r="K20" s="104"/>
      <c r="L20" s="104"/>
      <c r="M20" s="104"/>
      <c r="N20" s="104"/>
      <c r="O20" s="104"/>
      <c r="P20" s="111">
        <f t="shared" si="0"/>
        <v>0</v>
      </c>
    </row>
    <row r="21" ht="15" spans="1:16">
      <c r="A21" s="103" t="s">
        <v>371</v>
      </c>
      <c r="B21" s="104"/>
      <c r="C21" s="104"/>
      <c r="D21" s="104"/>
      <c r="E21" s="104"/>
      <c r="F21" s="104"/>
      <c r="G21" s="104"/>
      <c r="H21" s="104"/>
      <c r="I21" s="104"/>
      <c r="J21" s="104">
        <f>财务部!$F$4+财务部!$F$12</f>
        <v>1087.17</v>
      </c>
      <c r="K21" s="104"/>
      <c r="L21" s="104"/>
      <c r="M21" s="104"/>
      <c r="N21" s="104"/>
      <c r="O21" s="104"/>
      <c r="P21" s="111">
        <f t="shared" si="0"/>
        <v>1087.17</v>
      </c>
    </row>
    <row r="22" ht="15" spans="1:16">
      <c r="A22" s="103" t="s">
        <v>230</v>
      </c>
      <c r="B22" s="104"/>
      <c r="C22" s="104"/>
      <c r="D22" s="104"/>
      <c r="E22" s="104"/>
      <c r="F22" s="104">
        <f>线下销售部!$G$27</f>
        <v>-2141</v>
      </c>
      <c r="G22" s="104">
        <f>市场部!$F$7</f>
        <v>0</v>
      </c>
      <c r="H22" s="104"/>
      <c r="I22" s="104">
        <f>行政部!$E$5</f>
        <v>7598.23</v>
      </c>
      <c r="J22" s="104">
        <f>财务部!$F$22</f>
        <v>0</v>
      </c>
      <c r="K22" s="104"/>
      <c r="L22" s="104"/>
      <c r="M22" s="104"/>
      <c r="N22" s="104"/>
      <c r="O22" s="104"/>
      <c r="P22" s="111">
        <f t="shared" si="0"/>
        <v>5457.23</v>
      </c>
    </row>
    <row r="23" ht="15" spans="1:16">
      <c r="A23" s="103" t="s">
        <v>222</v>
      </c>
      <c r="B23" s="104">
        <f>电商!$M$24</f>
        <v>0</v>
      </c>
      <c r="C23" s="104"/>
      <c r="D23" s="104"/>
      <c r="E23" s="104"/>
      <c r="F23" s="104">
        <f>线下销售部!$G$28</f>
        <v>-555.2</v>
      </c>
      <c r="G23" s="104">
        <f>市场部!$F$8</f>
        <v>0</v>
      </c>
      <c r="H23" s="104"/>
      <c r="I23" s="104">
        <f>行政部!$E$6</f>
        <v>-42.5</v>
      </c>
      <c r="J23" s="104">
        <f>财务部!$F$23</f>
        <v>-60.2399999999999</v>
      </c>
      <c r="K23" s="104"/>
      <c r="L23" s="104">
        <f>电商设计部!$E$5</f>
        <v>2417.34</v>
      </c>
      <c r="M23" s="104"/>
      <c r="N23" s="112">
        <f>采购部!$E$3</f>
        <v>-2933.76</v>
      </c>
      <c r="O23" s="104">
        <f>产品设计部!E4</f>
        <v>1310.54</v>
      </c>
      <c r="P23" s="111">
        <f t="shared" si="0"/>
        <v>136.18</v>
      </c>
    </row>
    <row r="24" ht="15" spans="1:16">
      <c r="A24" s="103" t="s">
        <v>324</v>
      </c>
      <c r="B24" s="104"/>
      <c r="C24" s="104"/>
      <c r="D24" s="104"/>
      <c r="E24" s="104"/>
      <c r="F24" s="104">
        <f>线下销售部!$G$26</f>
        <v>197.42</v>
      </c>
      <c r="G24" s="104"/>
      <c r="H24" s="104"/>
      <c r="I24" s="104"/>
      <c r="J24" s="104"/>
      <c r="K24" s="104"/>
      <c r="L24" s="104"/>
      <c r="M24" s="104"/>
      <c r="N24" s="104">
        <f>采购部!$E$5</f>
        <v>419.41</v>
      </c>
      <c r="O24" s="104">
        <f>产品设计部!E6</f>
        <v>693.82</v>
      </c>
      <c r="P24" s="111">
        <f t="shared" si="0"/>
        <v>1310.65</v>
      </c>
    </row>
    <row r="25" ht="15" spans="1:16">
      <c r="A25" s="103" t="s">
        <v>372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11">
        <f t="shared" si="0"/>
        <v>0</v>
      </c>
    </row>
    <row r="26" ht="15" spans="1:16">
      <c r="A26" s="103" t="s">
        <v>263</v>
      </c>
      <c r="B26" s="104"/>
      <c r="C26" s="104"/>
      <c r="D26" s="104"/>
      <c r="E26" s="104"/>
      <c r="F26" s="104"/>
      <c r="G26" s="104">
        <f>市场部!$F$9</f>
        <v>0</v>
      </c>
      <c r="H26" s="104"/>
      <c r="I26" s="104"/>
      <c r="J26" s="104">
        <f>财务部!$F$24</f>
        <v>0</v>
      </c>
      <c r="K26" s="104">
        <f>人力资源部!$F$13+人力资源部!$F$15+人力资源部!$F$24</f>
        <v>-3336.63</v>
      </c>
      <c r="L26" s="104">
        <f>电商设计部!$E$6</f>
        <v>20000</v>
      </c>
      <c r="M26" s="104"/>
      <c r="N26" s="104">
        <f>采购部!$E$4</f>
        <v>-595</v>
      </c>
      <c r="O26" s="104">
        <f>产品设计部!E5</f>
        <v>0</v>
      </c>
      <c r="P26" s="111">
        <f t="shared" si="0"/>
        <v>16068.37</v>
      </c>
    </row>
    <row r="27" ht="15" spans="1:16">
      <c r="A27" s="103" t="s">
        <v>139</v>
      </c>
      <c r="B27" s="104">
        <f>电商!$M$28-SUM(B3:B26)</f>
        <v>0</v>
      </c>
      <c r="C27" s="104"/>
      <c r="D27" s="104"/>
      <c r="E27" s="104"/>
      <c r="F27" s="104">
        <f>线下销售部!$G$31-SUM(差异明细!F3:F26)</f>
        <v>-58365</v>
      </c>
      <c r="G27" s="104">
        <f>市场部!$F$11-SUM(差异明细!G3:G26)</f>
        <v>0</v>
      </c>
      <c r="H27" s="104"/>
      <c r="I27" s="104">
        <f>行政部!$E$7</f>
        <v>22750.36</v>
      </c>
      <c r="J27" s="104">
        <f>财务部!$F$26-SUM(差异明细!J3:J26)</f>
        <v>-1968.07000000022</v>
      </c>
      <c r="K27" s="104">
        <f>人力资源部!$F$26-SUM(差异明细!K3:K26)</f>
        <v>-83417.48</v>
      </c>
      <c r="L27" s="104">
        <f>电商设计部!$E$8-SUM(差异明细!L3:L26)</f>
        <v>113065</v>
      </c>
      <c r="M27" s="104"/>
      <c r="N27" s="104">
        <f>采购部!$E$7-SUM(差异明细!N3:N26)</f>
        <v>49</v>
      </c>
      <c r="O27" s="104">
        <f>产品设计部!E7+产品设计部!E8</f>
        <v>21455</v>
      </c>
      <c r="P27" s="111">
        <f t="shared" si="0"/>
        <v>13568.8099999998</v>
      </c>
    </row>
    <row r="28" ht="15.6" spans="1:16">
      <c r="A28" s="106" t="s">
        <v>346</v>
      </c>
      <c r="B28" s="107">
        <f>SUM(B3:B27)</f>
        <v>0</v>
      </c>
      <c r="C28" s="107">
        <f t="shared" ref="C28:O28" si="1">SUM(C3:C27)</f>
        <v>0</v>
      </c>
      <c r="D28" s="107">
        <f t="shared" si="1"/>
        <v>0</v>
      </c>
      <c r="E28" s="107">
        <f t="shared" si="1"/>
        <v>0</v>
      </c>
      <c r="F28" s="107">
        <f t="shared" si="1"/>
        <v>-50384.81</v>
      </c>
      <c r="G28" s="107">
        <f t="shared" si="1"/>
        <v>0</v>
      </c>
      <c r="H28" s="107">
        <f t="shared" si="1"/>
        <v>0</v>
      </c>
      <c r="I28" s="107">
        <f t="shared" si="1"/>
        <v>98563.59</v>
      </c>
      <c r="J28" s="107">
        <f t="shared" si="1"/>
        <v>-16263.3900000002</v>
      </c>
      <c r="K28" s="107">
        <f t="shared" si="1"/>
        <v>-134503.98</v>
      </c>
      <c r="L28" s="107">
        <f t="shared" si="1"/>
        <v>135482.34</v>
      </c>
      <c r="M28" s="107">
        <f t="shared" si="1"/>
        <v>0</v>
      </c>
      <c r="N28" s="107">
        <f t="shared" si="1"/>
        <v>-3060.35</v>
      </c>
      <c r="O28" s="107">
        <f t="shared" si="1"/>
        <v>23459.36</v>
      </c>
      <c r="P28" s="107">
        <f t="shared" si="0"/>
        <v>53292.7599999996</v>
      </c>
    </row>
    <row r="29" ht="15.6" spans="1:16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</row>
    <row r="31" ht="15.6" spans="1:1">
      <c r="A31" s="2" t="s">
        <v>373</v>
      </c>
    </row>
  </sheetData>
  <mergeCells count="1">
    <mergeCell ref="A1:P1"/>
  </mergeCells>
  <pageMargins left="0.699305555555556" right="0.699305555555556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86"/>
  <sheetViews>
    <sheetView zoomScale="85" zoomScaleNormal="85" workbookViewId="0">
      <pane xSplit="1" ySplit="3" topLeftCell="B25" activePane="bottomRight" state="frozenSplit"/>
      <selection/>
      <selection pane="topRight"/>
      <selection pane="bottomLeft"/>
      <selection pane="bottomRight" activeCell="L289" sqref="L289"/>
    </sheetView>
  </sheetViews>
  <sheetFormatPr defaultColWidth="9" defaultRowHeight="14.4"/>
  <cols>
    <col min="1" max="1" width="20.5" customWidth="1"/>
    <col min="2" max="2" width="10.5555555555556" customWidth="1"/>
    <col min="3" max="3" width="10.2592592592593" customWidth="1"/>
    <col min="4" max="4" width="13.2222222222222" customWidth="1"/>
    <col min="5" max="5" width="12.7592592592593" customWidth="1"/>
    <col min="6" max="6" width="11.462962962963" customWidth="1"/>
    <col min="8" max="8" width="10.2592592592593" customWidth="1"/>
    <col min="9" max="9" width="11.8796296296296" customWidth="1"/>
    <col min="10" max="10" width="12" customWidth="1"/>
    <col min="11" max="11" width="17.8796296296296" customWidth="1"/>
    <col min="15" max="15" width="10.5555555555556" customWidth="1"/>
    <col min="19" max="19" width="10.8796296296296" customWidth="1"/>
    <col min="20" max="20" width="14.6666666666667" customWidth="1"/>
  </cols>
  <sheetData>
    <row r="1" ht="40.5" customHeight="1" spans="1:19">
      <c r="A1" s="81" t="s">
        <v>374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</row>
    <row r="2" ht="16.5" customHeight="1" spans="1:20">
      <c r="A2" s="82" t="s">
        <v>375</v>
      </c>
      <c r="B2" s="83" t="s">
        <v>357</v>
      </c>
      <c r="C2" s="83" t="s">
        <v>358</v>
      </c>
      <c r="D2" s="83" t="s">
        <v>360</v>
      </c>
      <c r="E2" s="83" t="s">
        <v>359</v>
      </c>
      <c r="F2" s="83" t="s">
        <v>361</v>
      </c>
      <c r="G2" s="83" t="s">
        <v>356</v>
      </c>
      <c r="H2" s="83" t="s">
        <v>355</v>
      </c>
      <c r="I2" s="83" t="s">
        <v>376</v>
      </c>
      <c r="J2" s="83" t="s">
        <v>377</v>
      </c>
      <c r="K2" s="83" t="s">
        <v>378</v>
      </c>
      <c r="L2" s="83" t="s">
        <v>379</v>
      </c>
      <c r="M2" s="83" t="s">
        <v>380</v>
      </c>
      <c r="N2" s="83" t="s">
        <v>381</v>
      </c>
      <c r="O2" s="83" t="s">
        <v>364</v>
      </c>
      <c r="P2" s="83" t="s">
        <v>382</v>
      </c>
      <c r="Q2" s="83" t="s">
        <v>383</v>
      </c>
      <c r="R2" s="83" t="s">
        <v>362</v>
      </c>
      <c r="S2" s="83" t="s">
        <v>139</v>
      </c>
      <c r="T2" s="88" t="s">
        <v>199</v>
      </c>
    </row>
    <row r="3" ht="15.6" spans="1:20">
      <c r="A3" s="84" t="s">
        <v>300</v>
      </c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9"/>
    </row>
    <row r="4" ht="15" spans="1:20">
      <c r="A4" s="86" t="s">
        <v>205</v>
      </c>
      <c r="B4" s="87">
        <v>0</v>
      </c>
      <c r="C4" s="87">
        <v>0</v>
      </c>
      <c r="D4" s="87">
        <v>0</v>
      </c>
      <c r="E4" s="87">
        <v>0</v>
      </c>
      <c r="F4" s="87">
        <v>0</v>
      </c>
      <c r="G4" s="87">
        <v>0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  <c r="P4" s="87">
        <v>0</v>
      </c>
      <c r="Q4" s="87">
        <v>0</v>
      </c>
      <c r="R4" s="87">
        <v>0</v>
      </c>
      <c r="S4" s="87">
        <v>0</v>
      </c>
      <c r="T4" s="90">
        <f t="shared" ref="T4:T67" si="0">SUM(B4:S4)</f>
        <v>0</v>
      </c>
    </row>
    <row r="5" ht="15" spans="1:20">
      <c r="A5" s="86" t="s">
        <v>384</v>
      </c>
      <c r="B5" s="87">
        <v>0</v>
      </c>
      <c r="C5" s="87">
        <v>0</v>
      </c>
      <c r="D5" s="87">
        <v>196530.32</v>
      </c>
      <c r="E5" s="87">
        <v>0</v>
      </c>
      <c r="F5" s="87">
        <v>0</v>
      </c>
      <c r="G5" s="87">
        <v>0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  <c r="P5" s="87">
        <v>0</v>
      </c>
      <c r="Q5" s="87">
        <v>0</v>
      </c>
      <c r="R5" s="87">
        <v>0</v>
      </c>
      <c r="S5" s="87">
        <v>0</v>
      </c>
      <c r="T5" s="90">
        <f t="shared" si="0"/>
        <v>196530.32</v>
      </c>
    </row>
    <row r="6" ht="15" spans="1:20">
      <c r="A6" s="86" t="s">
        <v>385</v>
      </c>
      <c r="B6" s="87">
        <v>0</v>
      </c>
      <c r="C6" s="87">
        <v>0</v>
      </c>
      <c r="D6" s="87">
        <v>19226.22</v>
      </c>
      <c r="E6" s="87">
        <v>0</v>
      </c>
      <c r="F6" s="87">
        <v>0</v>
      </c>
      <c r="G6" s="87">
        <v>0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  <c r="P6" s="87">
        <v>0</v>
      </c>
      <c r="Q6" s="87">
        <v>0</v>
      </c>
      <c r="R6" s="87">
        <v>0</v>
      </c>
      <c r="S6" s="87">
        <v>0</v>
      </c>
      <c r="T6" s="90">
        <f t="shared" si="0"/>
        <v>19226.22</v>
      </c>
    </row>
    <row r="7" ht="15" spans="1:20">
      <c r="A7" s="86" t="s">
        <v>302</v>
      </c>
      <c r="B7" s="87">
        <v>0</v>
      </c>
      <c r="C7" s="87">
        <v>0</v>
      </c>
      <c r="D7" s="87">
        <v>0</v>
      </c>
      <c r="E7" s="87">
        <v>0</v>
      </c>
      <c r="F7" s="87">
        <v>0</v>
      </c>
      <c r="G7" s="87">
        <v>0</v>
      </c>
      <c r="H7" s="87">
        <v>253114.84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  <c r="P7" s="87">
        <v>0</v>
      </c>
      <c r="Q7" s="87">
        <v>0</v>
      </c>
      <c r="R7" s="87">
        <v>0</v>
      </c>
      <c r="S7" s="87">
        <v>0</v>
      </c>
      <c r="T7" s="90">
        <f t="shared" si="0"/>
        <v>253114.84</v>
      </c>
    </row>
    <row r="8" ht="15" spans="1:20">
      <c r="A8" s="86" t="s">
        <v>303</v>
      </c>
      <c r="B8" s="87">
        <v>0</v>
      </c>
      <c r="C8" s="87">
        <v>0</v>
      </c>
      <c r="D8" s="87">
        <v>0</v>
      </c>
      <c r="E8" s="87">
        <v>0</v>
      </c>
      <c r="F8" s="87">
        <v>0</v>
      </c>
      <c r="G8" s="87">
        <v>0</v>
      </c>
      <c r="H8" s="87">
        <v>6798.5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  <c r="P8" s="87">
        <v>0</v>
      </c>
      <c r="Q8" s="87">
        <v>0</v>
      </c>
      <c r="R8" s="87">
        <v>0</v>
      </c>
      <c r="S8" s="87">
        <v>0</v>
      </c>
      <c r="T8" s="90">
        <f t="shared" si="0"/>
        <v>6798.5</v>
      </c>
    </row>
    <row r="9" ht="15" spans="1:20">
      <c r="A9" s="86" t="s">
        <v>304</v>
      </c>
      <c r="B9" s="87">
        <v>0</v>
      </c>
      <c r="C9" s="87">
        <v>0</v>
      </c>
      <c r="D9" s="87">
        <v>0</v>
      </c>
      <c r="E9" s="87">
        <v>0</v>
      </c>
      <c r="F9" s="87">
        <v>0</v>
      </c>
      <c r="G9" s="87">
        <v>0</v>
      </c>
      <c r="H9" s="87">
        <v>3415.55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  <c r="P9" s="87">
        <v>0</v>
      </c>
      <c r="Q9" s="87">
        <v>0</v>
      </c>
      <c r="R9" s="87">
        <v>0</v>
      </c>
      <c r="S9" s="87">
        <v>0</v>
      </c>
      <c r="T9" s="90">
        <f t="shared" si="0"/>
        <v>3415.55</v>
      </c>
    </row>
    <row r="10" ht="15" spans="1:20">
      <c r="A10" s="86" t="s">
        <v>305</v>
      </c>
      <c r="B10" s="87">
        <v>0</v>
      </c>
      <c r="C10" s="87">
        <v>0</v>
      </c>
      <c r="D10" s="87">
        <v>0</v>
      </c>
      <c r="E10" s="87">
        <v>0</v>
      </c>
      <c r="F10" s="87">
        <v>0</v>
      </c>
      <c r="G10" s="87">
        <v>0</v>
      </c>
      <c r="H10" s="87">
        <v>3500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  <c r="P10" s="87">
        <v>0</v>
      </c>
      <c r="Q10" s="87">
        <v>0</v>
      </c>
      <c r="R10" s="87">
        <v>0</v>
      </c>
      <c r="S10" s="87">
        <v>0</v>
      </c>
      <c r="T10" s="90">
        <f t="shared" si="0"/>
        <v>3500</v>
      </c>
    </row>
    <row r="11" ht="15" spans="1:20">
      <c r="A11" s="86" t="s">
        <v>306</v>
      </c>
      <c r="B11" s="87">
        <v>0</v>
      </c>
      <c r="C11" s="87">
        <v>0</v>
      </c>
      <c r="D11" s="87">
        <v>0</v>
      </c>
      <c r="E11" s="87">
        <v>0</v>
      </c>
      <c r="F11" s="87">
        <v>0</v>
      </c>
      <c r="G11" s="87">
        <v>0</v>
      </c>
      <c r="H11" s="87">
        <v>1172.34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  <c r="P11" s="87">
        <v>0</v>
      </c>
      <c r="Q11" s="87">
        <v>0</v>
      </c>
      <c r="R11" s="87">
        <v>0</v>
      </c>
      <c r="S11" s="87">
        <v>0</v>
      </c>
      <c r="T11" s="90">
        <f t="shared" si="0"/>
        <v>1172.34</v>
      </c>
    </row>
    <row r="12" ht="15" spans="1:20">
      <c r="A12" s="86" t="s">
        <v>308</v>
      </c>
      <c r="B12" s="87">
        <v>0</v>
      </c>
      <c r="C12" s="87">
        <v>0</v>
      </c>
      <c r="D12" s="87">
        <v>0</v>
      </c>
      <c r="E12" s="87">
        <v>0</v>
      </c>
      <c r="F12" s="87">
        <v>0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  <c r="P12" s="87">
        <v>0</v>
      </c>
      <c r="Q12" s="87">
        <v>0</v>
      </c>
      <c r="R12" s="87">
        <v>0</v>
      </c>
      <c r="S12" s="87">
        <v>0</v>
      </c>
      <c r="T12" s="90">
        <f t="shared" si="0"/>
        <v>0</v>
      </c>
    </row>
    <row r="13" ht="15" spans="1:20">
      <c r="A13" s="86" t="s">
        <v>309</v>
      </c>
      <c r="B13" s="87">
        <v>0</v>
      </c>
      <c r="C13" s="87">
        <v>0</v>
      </c>
      <c r="D13" s="87">
        <v>0</v>
      </c>
      <c r="E13" s="87">
        <v>0</v>
      </c>
      <c r="F13" s="87">
        <v>0</v>
      </c>
      <c r="G13" s="87">
        <v>0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  <c r="P13" s="87">
        <v>0</v>
      </c>
      <c r="Q13" s="87">
        <v>0</v>
      </c>
      <c r="R13" s="87">
        <v>0</v>
      </c>
      <c r="S13" s="87">
        <v>0</v>
      </c>
      <c r="T13" s="90">
        <f t="shared" si="0"/>
        <v>0</v>
      </c>
    </row>
    <row r="14" ht="15" spans="1:20">
      <c r="A14" s="86" t="s">
        <v>310</v>
      </c>
      <c r="B14" s="87">
        <v>0</v>
      </c>
      <c r="C14" s="87">
        <v>0</v>
      </c>
      <c r="D14" s="87">
        <v>0</v>
      </c>
      <c r="E14" s="87">
        <v>0</v>
      </c>
      <c r="F14" s="87">
        <v>0</v>
      </c>
      <c r="G14" s="87">
        <v>0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  <c r="P14" s="87">
        <v>0</v>
      </c>
      <c r="Q14" s="87">
        <v>0</v>
      </c>
      <c r="R14" s="87">
        <v>0</v>
      </c>
      <c r="S14" s="87">
        <v>0</v>
      </c>
      <c r="T14" s="90">
        <f t="shared" si="0"/>
        <v>0</v>
      </c>
    </row>
    <row r="15" ht="15" spans="1:20">
      <c r="A15" s="86" t="s">
        <v>311</v>
      </c>
      <c r="B15" s="87">
        <v>0</v>
      </c>
      <c r="C15" s="87">
        <v>0</v>
      </c>
      <c r="D15" s="87">
        <v>0</v>
      </c>
      <c r="E15" s="87">
        <v>0</v>
      </c>
      <c r="F15" s="87">
        <v>0</v>
      </c>
      <c r="G15" s="87">
        <v>0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  <c r="P15" s="87">
        <v>0</v>
      </c>
      <c r="Q15" s="87">
        <v>0</v>
      </c>
      <c r="R15" s="87">
        <v>0</v>
      </c>
      <c r="S15" s="87">
        <v>0</v>
      </c>
      <c r="T15" s="90">
        <f t="shared" si="0"/>
        <v>0</v>
      </c>
    </row>
    <row r="16" ht="15" spans="1:20">
      <c r="A16" s="86" t="s">
        <v>312</v>
      </c>
      <c r="B16" s="87">
        <v>0</v>
      </c>
      <c r="C16" s="87">
        <v>0</v>
      </c>
      <c r="D16" s="87">
        <v>0</v>
      </c>
      <c r="E16" s="87">
        <v>0</v>
      </c>
      <c r="F16" s="87">
        <v>0</v>
      </c>
      <c r="G16" s="87">
        <v>0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  <c r="P16" s="87">
        <v>0</v>
      </c>
      <c r="Q16" s="87">
        <v>0</v>
      </c>
      <c r="R16" s="87">
        <v>0</v>
      </c>
      <c r="S16" s="87">
        <v>0</v>
      </c>
      <c r="T16" s="90">
        <f t="shared" si="0"/>
        <v>0</v>
      </c>
    </row>
    <row r="17" ht="15" spans="1:20">
      <c r="A17" s="86" t="s">
        <v>313</v>
      </c>
      <c r="B17" s="87">
        <v>0</v>
      </c>
      <c r="C17" s="87">
        <v>0</v>
      </c>
      <c r="D17" s="87">
        <v>0</v>
      </c>
      <c r="E17" s="87">
        <v>0</v>
      </c>
      <c r="F17" s="87">
        <v>0</v>
      </c>
      <c r="G17" s="87">
        <v>0</v>
      </c>
      <c r="H17" s="87">
        <v>0</v>
      </c>
      <c r="I17" s="87">
        <v>0</v>
      </c>
      <c r="J17" s="87">
        <v>0</v>
      </c>
      <c r="K17" s="87">
        <v>0</v>
      </c>
      <c r="L17" s="87">
        <v>0</v>
      </c>
      <c r="M17" s="87">
        <v>0</v>
      </c>
      <c r="N17" s="87">
        <v>0</v>
      </c>
      <c r="O17" s="87">
        <v>0</v>
      </c>
      <c r="P17" s="87">
        <v>0</v>
      </c>
      <c r="Q17" s="87">
        <v>0</v>
      </c>
      <c r="R17" s="87">
        <v>0</v>
      </c>
      <c r="S17" s="87">
        <v>0</v>
      </c>
      <c r="T17" s="90">
        <f t="shared" si="0"/>
        <v>0</v>
      </c>
    </row>
    <row r="18" ht="15" spans="1:20">
      <c r="A18" s="86" t="s">
        <v>314</v>
      </c>
      <c r="B18" s="87">
        <v>0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0</v>
      </c>
      <c r="I18" s="87">
        <v>0</v>
      </c>
      <c r="J18" s="87">
        <v>0</v>
      </c>
      <c r="K18" s="87">
        <v>0</v>
      </c>
      <c r="L18" s="87">
        <v>0</v>
      </c>
      <c r="M18" s="87">
        <v>0</v>
      </c>
      <c r="N18" s="87">
        <v>0</v>
      </c>
      <c r="O18" s="87">
        <v>0</v>
      </c>
      <c r="P18" s="87">
        <v>0</v>
      </c>
      <c r="Q18" s="87">
        <v>0</v>
      </c>
      <c r="R18" s="87">
        <v>0</v>
      </c>
      <c r="S18" s="87">
        <v>0</v>
      </c>
      <c r="T18" s="90">
        <f t="shared" si="0"/>
        <v>0</v>
      </c>
    </row>
    <row r="19" ht="15" spans="1:20">
      <c r="A19" s="86" t="s">
        <v>315</v>
      </c>
      <c r="B19" s="87">
        <v>0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0</v>
      </c>
      <c r="I19" s="87">
        <v>0</v>
      </c>
      <c r="J19" s="87">
        <v>0</v>
      </c>
      <c r="K19" s="87">
        <v>0</v>
      </c>
      <c r="L19" s="87">
        <v>0</v>
      </c>
      <c r="M19" s="87">
        <v>0</v>
      </c>
      <c r="N19" s="87">
        <v>0</v>
      </c>
      <c r="O19" s="87">
        <v>0</v>
      </c>
      <c r="P19" s="87">
        <v>0</v>
      </c>
      <c r="Q19" s="87">
        <v>0</v>
      </c>
      <c r="R19" s="87">
        <v>0</v>
      </c>
      <c r="S19" s="87">
        <v>0</v>
      </c>
      <c r="T19" s="90">
        <f t="shared" si="0"/>
        <v>0</v>
      </c>
    </row>
    <row r="20" ht="15" spans="1:20">
      <c r="A20" s="86" t="s">
        <v>317</v>
      </c>
      <c r="B20" s="87">
        <v>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0</v>
      </c>
      <c r="I20" s="87">
        <v>0</v>
      </c>
      <c r="J20" s="87">
        <v>0</v>
      </c>
      <c r="K20" s="87">
        <v>0</v>
      </c>
      <c r="L20" s="87">
        <v>0</v>
      </c>
      <c r="M20" s="87">
        <v>0</v>
      </c>
      <c r="N20" s="87">
        <v>0</v>
      </c>
      <c r="O20" s="87">
        <v>0</v>
      </c>
      <c r="P20" s="87">
        <v>0</v>
      </c>
      <c r="Q20" s="87">
        <v>0</v>
      </c>
      <c r="R20" s="87">
        <v>0</v>
      </c>
      <c r="S20" s="87">
        <v>0</v>
      </c>
      <c r="T20" s="90">
        <f t="shared" si="0"/>
        <v>0</v>
      </c>
    </row>
    <row r="21" ht="15" spans="1:20">
      <c r="A21" s="86" t="s">
        <v>318</v>
      </c>
      <c r="B21" s="87">
        <v>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0</v>
      </c>
      <c r="I21" s="87">
        <v>0</v>
      </c>
      <c r="J21" s="87">
        <v>0</v>
      </c>
      <c r="K21" s="87">
        <v>0</v>
      </c>
      <c r="L21" s="87">
        <v>0</v>
      </c>
      <c r="M21" s="87">
        <v>0</v>
      </c>
      <c r="N21" s="87">
        <v>0</v>
      </c>
      <c r="O21" s="87">
        <v>0</v>
      </c>
      <c r="P21" s="87">
        <v>0</v>
      </c>
      <c r="Q21" s="87">
        <v>0</v>
      </c>
      <c r="R21" s="87">
        <v>0</v>
      </c>
      <c r="S21" s="87">
        <v>0</v>
      </c>
      <c r="T21" s="90">
        <f t="shared" si="0"/>
        <v>0</v>
      </c>
    </row>
    <row r="22" ht="15" spans="1:20">
      <c r="A22" s="86" t="s">
        <v>319</v>
      </c>
      <c r="B22" s="87">
        <v>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26165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90">
        <f t="shared" si="0"/>
        <v>26165</v>
      </c>
    </row>
    <row r="23" ht="15" spans="1:20">
      <c r="A23" s="86" t="s">
        <v>320</v>
      </c>
      <c r="B23" s="87">
        <v>0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0</v>
      </c>
      <c r="I23" s="87">
        <v>0</v>
      </c>
      <c r="J23" s="87">
        <v>0</v>
      </c>
      <c r="K23" s="87">
        <v>0</v>
      </c>
      <c r="L23" s="87">
        <v>0</v>
      </c>
      <c r="M23" s="87">
        <v>0</v>
      </c>
      <c r="N23" s="87">
        <v>0</v>
      </c>
      <c r="O23" s="87">
        <v>0</v>
      </c>
      <c r="P23" s="87">
        <v>0</v>
      </c>
      <c r="Q23" s="87">
        <v>0</v>
      </c>
      <c r="R23" s="87">
        <v>0</v>
      </c>
      <c r="S23" s="87">
        <v>0</v>
      </c>
      <c r="T23" s="90">
        <f t="shared" si="0"/>
        <v>0</v>
      </c>
    </row>
    <row r="24" ht="15" spans="1:20">
      <c r="A24" s="86" t="s">
        <v>321</v>
      </c>
      <c r="B24" s="87">
        <v>0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0</v>
      </c>
      <c r="I24" s="87">
        <v>0</v>
      </c>
      <c r="J24" s="87">
        <v>0</v>
      </c>
      <c r="K24" s="87">
        <v>0</v>
      </c>
      <c r="L24" s="87">
        <v>0</v>
      </c>
      <c r="M24" s="87">
        <v>0</v>
      </c>
      <c r="N24" s="87">
        <v>0</v>
      </c>
      <c r="O24" s="87">
        <v>0</v>
      </c>
      <c r="P24" s="87">
        <v>0</v>
      </c>
      <c r="Q24" s="87">
        <v>0</v>
      </c>
      <c r="R24" s="87">
        <v>0</v>
      </c>
      <c r="S24" s="87">
        <v>0</v>
      </c>
      <c r="T24" s="90">
        <f t="shared" si="0"/>
        <v>0</v>
      </c>
    </row>
    <row r="25" ht="15" spans="1:20">
      <c r="A25" s="86" t="s">
        <v>322</v>
      </c>
      <c r="B25" s="87">
        <v>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14420</v>
      </c>
      <c r="I25" s="87">
        <v>0</v>
      </c>
      <c r="J25" s="87">
        <v>0</v>
      </c>
      <c r="K25" s="87">
        <v>0</v>
      </c>
      <c r="L25" s="87">
        <v>0</v>
      </c>
      <c r="M25" s="87">
        <v>0</v>
      </c>
      <c r="N25" s="87">
        <v>0</v>
      </c>
      <c r="O25" s="87">
        <v>0</v>
      </c>
      <c r="P25" s="87">
        <v>0</v>
      </c>
      <c r="Q25" s="87">
        <v>0</v>
      </c>
      <c r="R25" s="87">
        <v>0</v>
      </c>
      <c r="S25" s="87">
        <v>0</v>
      </c>
      <c r="T25" s="90">
        <f t="shared" si="0"/>
        <v>14420</v>
      </c>
    </row>
    <row r="26" ht="15" spans="1:20">
      <c r="A26" s="86" t="s">
        <v>273</v>
      </c>
      <c r="B26" s="87">
        <v>0</v>
      </c>
      <c r="C26" s="87">
        <v>0</v>
      </c>
      <c r="D26" s="87">
        <v>0</v>
      </c>
      <c r="E26" s="87">
        <v>0</v>
      </c>
      <c r="F26" s="87">
        <v>0</v>
      </c>
      <c r="G26" s="87">
        <v>0</v>
      </c>
      <c r="H26" s="87">
        <v>0</v>
      </c>
      <c r="I26" s="87">
        <v>50000</v>
      </c>
      <c r="J26" s="87">
        <v>0</v>
      </c>
      <c r="K26" s="87">
        <v>0</v>
      </c>
      <c r="L26" s="87">
        <v>0</v>
      </c>
      <c r="M26" s="87">
        <v>0</v>
      </c>
      <c r="N26" s="87">
        <v>0</v>
      </c>
      <c r="O26" s="87">
        <v>0</v>
      </c>
      <c r="P26" s="87">
        <v>0</v>
      </c>
      <c r="Q26" s="87">
        <v>0</v>
      </c>
      <c r="R26" s="87">
        <v>0</v>
      </c>
      <c r="S26" s="87">
        <v>0</v>
      </c>
      <c r="T26" s="90">
        <f t="shared" si="0"/>
        <v>50000</v>
      </c>
    </row>
    <row r="27" ht="15" spans="1:20">
      <c r="A27" s="86" t="s">
        <v>274</v>
      </c>
      <c r="B27" s="87">
        <v>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140800</v>
      </c>
      <c r="J27" s="87">
        <v>10000</v>
      </c>
      <c r="K27" s="87">
        <v>0</v>
      </c>
      <c r="L27" s="87">
        <v>0</v>
      </c>
      <c r="M27" s="87">
        <v>0</v>
      </c>
      <c r="N27" s="87">
        <v>0</v>
      </c>
      <c r="O27" s="87">
        <v>0</v>
      </c>
      <c r="P27" s="87">
        <v>0</v>
      </c>
      <c r="Q27" s="87">
        <v>0</v>
      </c>
      <c r="R27" s="87">
        <v>0</v>
      </c>
      <c r="S27" s="87">
        <v>0</v>
      </c>
      <c r="T27" s="90">
        <f t="shared" si="0"/>
        <v>150800</v>
      </c>
    </row>
    <row r="28" ht="15" spans="1:20">
      <c r="A28" s="86" t="s">
        <v>275</v>
      </c>
      <c r="B28" s="87">
        <v>0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50000</v>
      </c>
      <c r="J28" s="87">
        <v>0</v>
      </c>
      <c r="K28" s="87">
        <v>0</v>
      </c>
      <c r="L28" s="87">
        <v>0</v>
      </c>
      <c r="M28" s="87">
        <v>0</v>
      </c>
      <c r="N28" s="87">
        <v>0</v>
      </c>
      <c r="O28" s="87">
        <v>0</v>
      </c>
      <c r="P28" s="87">
        <v>0</v>
      </c>
      <c r="Q28" s="87">
        <v>0</v>
      </c>
      <c r="R28" s="87">
        <v>0</v>
      </c>
      <c r="S28" s="87">
        <v>0</v>
      </c>
      <c r="T28" s="90">
        <f t="shared" si="0"/>
        <v>50000</v>
      </c>
    </row>
    <row r="29" ht="15" spans="1:20">
      <c r="A29" s="86" t="s">
        <v>276</v>
      </c>
      <c r="B29" s="87">
        <v>0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0</v>
      </c>
      <c r="M29" s="87">
        <v>0</v>
      </c>
      <c r="N29" s="87">
        <v>0</v>
      </c>
      <c r="O29" s="87">
        <v>0</v>
      </c>
      <c r="P29" s="87">
        <v>0</v>
      </c>
      <c r="Q29" s="87">
        <v>0</v>
      </c>
      <c r="R29" s="87">
        <v>0</v>
      </c>
      <c r="S29" s="87">
        <v>0</v>
      </c>
      <c r="T29" s="90">
        <f t="shared" si="0"/>
        <v>0</v>
      </c>
    </row>
    <row r="30" ht="15" spans="1:20">
      <c r="A30" s="86" t="s">
        <v>277</v>
      </c>
      <c r="B30" s="87">
        <v>0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90000</v>
      </c>
      <c r="J30" s="87">
        <v>0</v>
      </c>
      <c r="K30" s="87">
        <v>0</v>
      </c>
      <c r="L30" s="87">
        <v>0</v>
      </c>
      <c r="M30" s="87">
        <v>0</v>
      </c>
      <c r="N30" s="87">
        <v>0</v>
      </c>
      <c r="O30" s="87">
        <v>0</v>
      </c>
      <c r="P30" s="87">
        <v>0</v>
      </c>
      <c r="Q30" s="87">
        <v>0</v>
      </c>
      <c r="R30" s="87">
        <v>0</v>
      </c>
      <c r="S30" s="87">
        <v>0</v>
      </c>
      <c r="T30" s="90">
        <f t="shared" si="0"/>
        <v>90000</v>
      </c>
    </row>
    <row r="31" ht="15" spans="1:20">
      <c r="A31" s="86" t="s">
        <v>278</v>
      </c>
      <c r="B31" s="87">
        <v>0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54611</v>
      </c>
      <c r="J31" s="87">
        <v>0</v>
      </c>
      <c r="K31" s="87">
        <v>0</v>
      </c>
      <c r="L31" s="87">
        <v>0</v>
      </c>
      <c r="M31" s="87">
        <v>0</v>
      </c>
      <c r="N31" s="87">
        <v>0</v>
      </c>
      <c r="O31" s="87">
        <v>0</v>
      </c>
      <c r="P31" s="87">
        <v>0</v>
      </c>
      <c r="Q31" s="87">
        <v>0</v>
      </c>
      <c r="R31" s="87">
        <v>0</v>
      </c>
      <c r="S31" s="87">
        <v>0</v>
      </c>
      <c r="T31" s="90">
        <f t="shared" si="0"/>
        <v>54611</v>
      </c>
    </row>
    <row r="32" ht="15" spans="1:20">
      <c r="A32" s="86" t="s">
        <v>287</v>
      </c>
      <c r="B32" s="87">
        <v>0</v>
      </c>
      <c r="C32" s="87">
        <v>0</v>
      </c>
      <c r="D32" s="87">
        <v>0</v>
      </c>
      <c r="E32" s="87">
        <v>0</v>
      </c>
      <c r="F32" s="87">
        <v>0</v>
      </c>
      <c r="G32" s="87">
        <v>0</v>
      </c>
      <c r="H32" s="87">
        <v>0</v>
      </c>
      <c r="I32" s="87">
        <v>16952</v>
      </c>
      <c r="J32" s="87">
        <v>1017</v>
      </c>
      <c r="K32" s="87">
        <v>0</v>
      </c>
      <c r="L32" s="87">
        <v>0</v>
      </c>
      <c r="M32" s="87">
        <v>0</v>
      </c>
      <c r="N32" s="87">
        <v>0</v>
      </c>
      <c r="O32" s="87">
        <v>0</v>
      </c>
      <c r="P32" s="87">
        <v>0</v>
      </c>
      <c r="Q32" s="87">
        <v>0</v>
      </c>
      <c r="R32" s="87">
        <v>0</v>
      </c>
      <c r="S32" s="87">
        <v>0</v>
      </c>
      <c r="T32" s="90">
        <f t="shared" si="0"/>
        <v>17969</v>
      </c>
    </row>
    <row r="33" ht="15" spans="1:20">
      <c r="A33" s="86" t="s">
        <v>279</v>
      </c>
      <c r="B33" s="87">
        <v>0</v>
      </c>
      <c r="C33" s="87">
        <v>0</v>
      </c>
      <c r="D33" s="87">
        <v>0</v>
      </c>
      <c r="E33" s="87">
        <v>0</v>
      </c>
      <c r="F33" s="87">
        <v>0</v>
      </c>
      <c r="G33" s="87">
        <v>0</v>
      </c>
      <c r="H33" s="87">
        <v>0</v>
      </c>
      <c r="I33" s="87">
        <v>5500</v>
      </c>
      <c r="J33" s="87">
        <v>1398</v>
      </c>
      <c r="K33" s="87">
        <v>0</v>
      </c>
      <c r="L33" s="87">
        <v>0</v>
      </c>
      <c r="M33" s="87">
        <v>0</v>
      </c>
      <c r="N33" s="87">
        <v>0</v>
      </c>
      <c r="O33" s="87">
        <v>0</v>
      </c>
      <c r="P33" s="87">
        <v>0</v>
      </c>
      <c r="Q33" s="87">
        <v>0</v>
      </c>
      <c r="R33" s="87">
        <v>0</v>
      </c>
      <c r="S33" s="87">
        <v>0</v>
      </c>
      <c r="T33" s="90">
        <f t="shared" si="0"/>
        <v>6898</v>
      </c>
    </row>
    <row r="34" ht="15" spans="1:20">
      <c r="A34" s="86" t="s">
        <v>283</v>
      </c>
      <c r="B34" s="87">
        <v>0</v>
      </c>
      <c r="C34" s="87">
        <v>0</v>
      </c>
      <c r="D34" s="87">
        <v>0</v>
      </c>
      <c r="E34" s="87">
        <v>0</v>
      </c>
      <c r="F34" s="87">
        <v>0</v>
      </c>
      <c r="G34" s="87">
        <v>0</v>
      </c>
      <c r="H34" s="87">
        <v>0</v>
      </c>
      <c r="I34" s="87">
        <v>0</v>
      </c>
      <c r="J34" s="87">
        <v>0</v>
      </c>
      <c r="K34" s="87">
        <v>0</v>
      </c>
      <c r="L34" s="87">
        <v>0</v>
      </c>
      <c r="M34" s="87">
        <v>0</v>
      </c>
      <c r="N34" s="87">
        <v>0</v>
      </c>
      <c r="O34" s="87">
        <v>0</v>
      </c>
      <c r="P34" s="87">
        <v>0</v>
      </c>
      <c r="Q34" s="87">
        <v>0</v>
      </c>
      <c r="R34" s="87">
        <v>0</v>
      </c>
      <c r="S34" s="87">
        <v>0</v>
      </c>
      <c r="T34" s="90">
        <f t="shared" si="0"/>
        <v>0</v>
      </c>
    </row>
    <row r="35" ht="15" spans="1:20">
      <c r="A35" s="86" t="s">
        <v>284</v>
      </c>
      <c r="B35" s="87">
        <v>0</v>
      </c>
      <c r="C35" s="87">
        <v>0</v>
      </c>
      <c r="D35" s="87">
        <v>0</v>
      </c>
      <c r="E35" s="87">
        <v>0</v>
      </c>
      <c r="F35" s="87">
        <v>0</v>
      </c>
      <c r="G35" s="87">
        <v>0</v>
      </c>
      <c r="H35" s="87">
        <v>0</v>
      </c>
      <c r="I35" s="87">
        <v>0</v>
      </c>
      <c r="J35" s="87">
        <v>0</v>
      </c>
      <c r="K35" s="87">
        <v>0</v>
      </c>
      <c r="L35" s="87">
        <v>0</v>
      </c>
      <c r="M35" s="87">
        <v>0</v>
      </c>
      <c r="N35" s="87">
        <v>0</v>
      </c>
      <c r="O35" s="87">
        <v>0</v>
      </c>
      <c r="P35" s="87">
        <v>0</v>
      </c>
      <c r="Q35" s="87">
        <v>0</v>
      </c>
      <c r="R35" s="87">
        <v>0</v>
      </c>
      <c r="S35" s="87">
        <v>0</v>
      </c>
      <c r="T35" s="90">
        <f t="shared" si="0"/>
        <v>0</v>
      </c>
    </row>
    <row r="36" ht="15" spans="1:20">
      <c r="A36" s="86" t="s">
        <v>285</v>
      </c>
      <c r="B36" s="87">
        <v>0</v>
      </c>
      <c r="C36" s="87">
        <v>0</v>
      </c>
      <c r="D36" s="87">
        <v>0</v>
      </c>
      <c r="E36" s="87">
        <v>0</v>
      </c>
      <c r="F36" s="87">
        <v>0</v>
      </c>
      <c r="G36" s="87">
        <v>0</v>
      </c>
      <c r="H36" s="87">
        <v>0</v>
      </c>
      <c r="I36" s="87">
        <v>0</v>
      </c>
      <c r="J36" s="87">
        <v>0</v>
      </c>
      <c r="K36" s="87">
        <v>0</v>
      </c>
      <c r="L36" s="87">
        <v>0</v>
      </c>
      <c r="M36" s="87">
        <v>0</v>
      </c>
      <c r="N36" s="87">
        <v>0</v>
      </c>
      <c r="O36" s="87">
        <v>0</v>
      </c>
      <c r="P36" s="87">
        <v>0</v>
      </c>
      <c r="Q36" s="87">
        <v>0</v>
      </c>
      <c r="R36" s="87">
        <v>0</v>
      </c>
      <c r="S36" s="87">
        <v>0</v>
      </c>
      <c r="T36" s="90">
        <f t="shared" si="0"/>
        <v>0</v>
      </c>
    </row>
    <row r="37" ht="15" spans="1:20">
      <c r="A37" s="86" t="s">
        <v>386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0</v>
      </c>
      <c r="M37" s="87">
        <v>0</v>
      </c>
      <c r="N37" s="87">
        <v>0</v>
      </c>
      <c r="O37" s="87">
        <v>0</v>
      </c>
      <c r="P37" s="87">
        <v>0</v>
      </c>
      <c r="Q37" s="87">
        <v>0</v>
      </c>
      <c r="R37" s="87">
        <v>0</v>
      </c>
      <c r="S37" s="87">
        <v>0</v>
      </c>
      <c r="T37" s="90">
        <f t="shared" si="0"/>
        <v>0</v>
      </c>
    </row>
    <row r="38" ht="15" spans="1:20">
      <c r="A38" s="86" t="s">
        <v>286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</v>
      </c>
      <c r="N38" s="87">
        <v>0</v>
      </c>
      <c r="O38" s="87">
        <v>0</v>
      </c>
      <c r="P38" s="87">
        <v>0</v>
      </c>
      <c r="Q38" s="87">
        <v>0</v>
      </c>
      <c r="R38" s="87">
        <v>0</v>
      </c>
      <c r="S38" s="87">
        <v>0</v>
      </c>
      <c r="T38" s="90">
        <f t="shared" si="0"/>
        <v>0</v>
      </c>
    </row>
    <row r="39" ht="15" spans="1:20">
      <c r="A39" s="86" t="s">
        <v>288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15120</v>
      </c>
      <c r="K39" s="87">
        <v>0</v>
      </c>
      <c r="L39" s="87">
        <v>0</v>
      </c>
      <c r="M39" s="87">
        <v>0</v>
      </c>
      <c r="N39" s="87">
        <v>0</v>
      </c>
      <c r="O39" s="87">
        <v>0</v>
      </c>
      <c r="P39" s="87">
        <v>0</v>
      </c>
      <c r="Q39" s="87">
        <v>0</v>
      </c>
      <c r="R39" s="87">
        <v>0</v>
      </c>
      <c r="S39" s="87">
        <v>0</v>
      </c>
      <c r="T39" s="90">
        <f t="shared" si="0"/>
        <v>15120</v>
      </c>
    </row>
    <row r="40" ht="15" spans="1:20">
      <c r="A40" s="86" t="s">
        <v>387</v>
      </c>
      <c r="B40" s="87">
        <v>0</v>
      </c>
      <c r="C40" s="87">
        <v>0</v>
      </c>
      <c r="D40" s="87">
        <v>0</v>
      </c>
      <c r="E40" s="87">
        <v>0</v>
      </c>
      <c r="F40" s="87">
        <v>0</v>
      </c>
      <c r="G40" s="87">
        <v>0</v>
      </c>
      <c r="H40" s="87">
        <v>0</v>
      </c>
      <c r="I40" s="87">
        <v>0</v>
      </c>
      <c r="J40" s="87">
        <v>0</v>
      </c>
      <c r="K40" s="87">
        <v>30000</v>
      </c>
      <c r="L40" s="87">
        <v>0</v>
      </c>
      <c r="M40" s="87">
        <v>0</v>
      </c>
      <c r="N40" s="87">
        <v>0</v>
      </c>
      <c r="O40" s="87">
        <v>0</v>
      </c>
      <c r="P40" s="87">
        <v>0</v>
      </c>
      <c r="Q40" s="87">
        <v>0</v>
      </c>
      <c r="R40" s="87">
        <v>0</v>
      </c>
      <c r="S40" s="87">
        <v>0</v>
      </c>
      <c r="T40" s="90">
        <f t="shared" si="0"/>
        <v>30000</v>
      </c>
    </row>
    <row r="41" ht="15" spans="1:20">
      <c r="A41" s="86" t="s">
        <v>388</v>
      </c>
      <c r="B41" s="87">
        <v>0</v>
      </c>
      <c r="C41" s="87">
        <v>0</v>
      </c>
      <c r="D41" s="87">
        <v>0</v>
      </c>
      <c r="E41" s="87">
        <v>0</v>
      </c>
      <c r="F41" s="87">
        <v>0</v>
      </c>
      <c r="G41" s="87">
        <v>0</v>
      </c>
      <c r="H41" s="87">
        <v>0</v>
      </c>
      <c r="I41" s="87">
        <v>0</v>
      </c>
      <c r="J41" s="87">
        <v>0</v>
      </c>
      <c r="K41" s="87">
        <v>0</v>
      </c>
      <c r="L41" s="87">
        <v>0</v>
      </c>
      <c r="M41" s="87">
        <v>0</v>
      </c>
      <c r="N41" s="87">
        <v>0</v>
      </c>
      <c r="O41" s="87">
        <v>0</v>
      </c>
      <c r="P41" s="87">
        <v>0</v>
      </c>
      <c r="Q41" s="87">
        <v>0</v>
      </c>
      <c r="R41" s="87">
        <v>0</v>
      </c>
      <c r="S41" s="87">
        <v>0</v>
      </c>
      <c r="T41" s="90">
        <f t="shared" si="0"/>
        <v>0</v>
      </c>
    </row>
    <row r="42" ht="15" spans="1:20">
      <c r="A42" s="86" t="s">
        <v>389</v>
      </c>
      <c r="B42" s="87">
        <v>0</v>
      </c>
      <c r="C42" s="87">
        <v>0</v>
      </c>
      <c r="D42" s="87">
        <v>0</v>
      </c>
      <c r="E42" s="87">
        <v>0</v>
      </c>
      <c r="F42" s="87">
        <v>0</v>
      </c>
      <c r="G42" s="87">
        <v>0</v>
      </c>
      <c r="H42" s="87">
        <v>0</v>
      </c>
      <c r="I42" s="87">
        <v>0</v>
      </c>
      <c r="J42" s="87">
        <v>0</v>
      </c>
      <c r="K42" s="87">
        <v>594535.84</v>
      </c>
      <c r="L42" s="87">
        <v>0</v>
      </c>
      <c r="M42" s="87">
        <v>0</v>
      </c>
      <c r="N42" s="87">
        <v>0</v>
      </c>
      <c r="O42" s="87">
        <v>0</v>
      </c>
      <c r="P42" s="87">
        <v>0</v>
      </c>
      <c r="Q42" s="87">
        <v>0</v>
      </c>
      <c r="R42" s="87">
        <v>0</v>
      </c>
      <c r="S42" s="87">
        <v>0</v>
      </c>
      <c r="T42" s="90">
        <f t="shared" si="0"/>
        <v>594535.84</v>
      </c>
    </row>
    <row r="43" ht="15" spans="1:20">
      <c r="A43" s="86" t="s">
        <v>86</v>
      </c>
      <c r="B43" s="87">
        <v>0</v>
      </c>
      <c r="C43" s="87">
        <v>0</v>
      </c>
      <c r="D43" s="87">
        <v>0</v>
      </c>
      <c r="E43" s="87">
        <v>0</v>
      </c>
      <c r="F43" s="87">
        <v>0</v>
      </c>
      <c r="G43" s="87">
        <v>0</v>
      </c>
      <c r="H43" s="87">
        <v>0</v>
      </c>
      <c r="I43" s="87">
        <v>0</v>
      </c>
      <c r="J43" s="87">
        <v>0</v>
      </c>
      <c r="K43" s="87">
        <v>0</v>
      </c>
      <c r="L43" s="87">
        <v>0</v>
      </c>
      <c r="M43" s="87">
        <v>0</v>
      </c>
      <c r="N43" s="87">
        <v>0</v>
      </c>
      <c r="O43" s="87">
        <v>0</v>
      </c>
      <c r="P43" s="87">
        <v>0</v>
      </c>
      <c r="Q43" s="87">
        <v>0</v>
      </c>
      <c r="R43" s="87">
        <v>0</v>
      </c>
      <c r="S43" s="87">
        <v>0</v>
      </c>
      <c r="T43" s="90">
        <f t="shared" si="0"/>
        <v>0</v>
      </c>
    </row>
    <row r="44" ht="15" spans="1:20">
      <c r="A44" s="86" t="s">
        <v>326</v>
      </c>
      <c r="B44" s="87">
        <v>0</v>
      </c>
      <c r="C44" s="87">
        <v>0</v>
      </c>
      <c r="D44" s="87">
        <v>0</v>
      </c>
      <c r="E44" s="87">
        <v>0</v>
      </c>
      <c r="F44" s="87">
        <v>0</v>
      </c>
      <c r="G44" s="87">
        <v>0</v>
      </c>
      <c r="H44" s="87">
        <v>0</v>
      </c>
      <c r="I44" s="87">
        <v>0</v>
      </c>
      <c r="J44" s="87">
        <v>0</v>
      </c>
      <c r="K44" s="87">
        <v>0</v>
      </c>
      <c r="L44" s="87">
        <v>0</v>
      </c>
      <c r="M44" s="87">
        <v>0</v>
      </c>
      <c r="N44" s="87">
        <v>0</v>
      </c>
      <c r="O44" s="87">
        <v>0</v>
      </c>
      <c r="P44" s="87">
        <v>0</v>
      </c>
      <c r="Q44" s="87">
        <v>0</v>
      </c>
      <c r="R44" s="87">
        <v>0</v>
      </c>
      <c r="S44" s="87">
        <v>0</v>
      </c>
      <c r="T44" s="90">
        <f t="shared" si="0"/>
        <v>0</v>
      </c>
    </row>
    <row r="45" ht="15" spans="1:20">
      <c r="A45" s="86" t="s">
        <v>327</v>
      </c>
      <c r="B45" s="87">
        <v>0</v>
      </c>
      <c r="C45" s="87">
        <v>0</v>
      </c>
      <c r="D45" s="87">
        <v>0</v>
      </c>
      <c r="E45" s="87">
        <v>0</v>
      </c>
      <c r="F45" s="87">
        <v>0</v>
      </c>
      <c r="G45" s="87">
        <v>0</v>
      </c>
      <c r="H45" s="87">
        <v>0</v>
      </c>
      <c r="I45" s="87">
        <v>0</v>
      </c>
      <c r="J45" s="87">
        <v>0</v>
      </c>
      <c r="K45" s="87">
        <v>0</v>
      </c>
      <c r="L45" s="87">
        <v>0</v>
      </c>
      <c r="M45" s="87">
        <v>0</v>
      </c>
      <c r="N45" s="87">
        <v>0</v>
      </c>
      <c r="O45" s="87">
        <v>0</v>
      </c>
      <c r="P45" s="87">
        <v>0</v>
      </c>
      <c r="Q45" s="87">
        <v>0</v>
      </c>
      <c r="R45" s="87">
        <v>0</v>
      </c>
      <c r="S45" s="87">
        <v>0</v>
      </c>
      <c r="T45" s="90">
        <f t="shared" si="0"/>
        <v>0</v>
      </c>
    </row>
    <row r="46" ht="15" spans="1:20">
      <c r="A46" s="86" t="s">
        <v>328</v>
      </c>
      <c r="B46" s="87">
        <v>0</v>
      </c>
      <c r="C46" s="87">
        <v>0</v>
      </c>
      <c r="D46" s="87">
        <v>0</v>
      </c>
      <c r="E46" s="87">
        <v>0</v>
      </c>
      <c r="F46" s="87">
        <v>0</v>
      </c>
      <c r="G46" s="87">
        <v>0</v>
      </c>
      <c r="H46" s="87">
        <v>0</v>
      </c>
      <c r="I46" s="87">
        <v>0</v>
      </c>
      <c r="J46" s="87">
        <v>0</v>
      </c>
      <c r="K46" s="87">
        <v>0</v>
      </c>
      <c r="L46" s="87">
        <v>0</v>
      </c>
      <c r="M46" s="87">
        <v>0</v>
      </c>
      <c r="N46" s="87">
        <v>0</v>
      </c>
      <c r="O46" s="87">
        <v>0</v>
      </c>
      <c r="P46" s="87">
        <v>0</v>
      </c>
      <c r="Q46" s="87">
        <v>0</v>
      </c>
      <c r="R46" s="87">
        <v>0</v>
      </c>
      <c r="S46" s="87">
        <v>0</v>
      </c>
      <c r="T46" s="90">
        <f t="shared" si="0"/>
        <v>0</v>
      </c>
    </row>
    <row r="47" ht="15" spans="1:20">
      <c r="A47" s="86" t="s">
        <v>329</v>
      </c>
      <c r="B47" s="87">
        <v>0</v>
      </c>
      <c r="C47" s="87">
        <v>0</v>
      </c>
      <c r="D47" s="87">
        <v>0</v>
      </c>
      <c r="E47" s="87">
        <v>0</v>
      </c>
      <c r="F47" s="87">
        <v>0</v>
      </c>
      <c r="G47" s="87">
        <v>1390</v>
      </c>
      <c r="H47" s="87">
        <v>0</v>
      </c>
      <c r="I47" s="87">
        <v>0</v>
      </c>
      <c r="J47" s="87">
        <v>0</v>
      </c>
      <c r="K47" s="87">
        <v>0</v>
      </c>
      <c r="L47" s="87">
        <v>0</v>
      </c>
      <c r="M47" s="87">
        <v>0</v>
      </c>
      <c r="N47" s="87">
        <v>0</v>
      </c>
      <c r="O47" s="87">
        <v>0</v>
      </c>
      <c r="P47" s="87">
        <v>0</v>
      </c>
      <c r="Q47" s="87">
        <v>0</v>
      </c>
      <c r="R47" s="87">
        <v>0</v>
      </c>
      <c r="S47" s="87">
        <v>0</v>
      </c>
      <c r="T47" s="90">
        <f t="shared" si="0"/>
        <v>1390</v>
      </c>
    </row>
    <row r="48" ht="15" spans="1:20">
      <c r="A48" s="86" t="s">
        <v>336</v>
      </c>
      <c r="B48" s="87">
        <v>0</v>
      </c>
      <c r="C48" s="87">
        <v>0</v>
      </c>
      <c r="D48" s="87">
        <v>0</v>
      </c>
      <c r="E48" s="87">
        <v>0</v>
      </c>
      <c r="F48" s="87">
        <v>136935</v>
      </c>
      <c r="G48" s="87">
        <v>0</v>
      </c>
      <c r="H48" s="87">
        <v>0</v>
      </c>
      <c r="I48" s="87">
        <v>0</v>
      </c>
      <c r="J48" s="87">
        <v>0</v>
      </c>
      <c r="K48" s="87">
        <v>0</v>
      </c>
      <c r="L48" s="87">
        <v>0</v>
      </c>
      <c r="M48" s="87">
        <v>0</v>
      </c>
      <c r="N48" s="87">
        <v>0</v>
      </c>
      <c r="O48" s="87">
        <v>0</v>
      </c>
      <c r="P48" s="87">
        <v>0</v>
      </c>
      <c r="Q48" s="87">
        <v>0</v>
      </c>
      <c r="R48" s="87">
        <v>0</v>
      </c>
      <c r="S48" s="87">
        <v>0</v>
      </c>
      <c r="T48" s="90">
        <f t="shared" si="0"/>
        <v>136935</v>
      </c>
    </row>
    <row r="49" ht="15" spans="1:20">
      <c r="A49" s="86" t="s">
        <v>368</v>
      </c>
      <c r="B49" s="87">
        <v>0</v>
      </c>
      <c r="C49" s="87">
        <v>0</v>
      </c>
      <c r="D49" s="87">
        <v>0</v>
      </c>
      <c r="E49" s="87">
        <v>160172</v>
      </c>
      <c r="F49" s="87">
        <v>0</v>
      </c>
      <c r="G49" s="87">
        <v>0</v>
      </c>
      <c r="H49" s="87">
        <v>0</v>
      </c>
      <c r="I49" s="87">
        <v>0</v>
      </c>
      <c r="J49" s="87">
        <v>0</v>
      </c>
      <c r="K49" s="87">
        <v>0</v>
      </c>
      <c r="L49" s="87">
        <v>0</v>
      </c>
      <c r="M49" s="87">
        <v>0</v>
      </c>
      <c r="N49" s="87">
        <v>0</v>
      </c>
      <c r="O49" s="87">
        <v>0</v>
      </c>
      <c r="P49" s="87">
        <v>0</v>
      </c>
      <c r="Q49" s="87">
        <v>0</v>
      </c>
      <c r="R49" s="87">
        <v>0</v>
      </c>
      <c r="S49" s="87">
        <v>0</v>
      </c>
      <c r="T49" s="90">
        <f t="shared" si="0"/>
        <v>160172</v>
      </c>
    </row>
    <row r="50" ht="15" spans="1:20">
      <c r="A50" s="86" t="s">
        <v>253</v>
      </c>
      <c r="B50" s="87">
        <v>0</v>
      </c>
      <c r="C50" s="87">
        <v>0</v>
      </c>
      <c r="D50" s="87">
        <v>0</v>
      </c>
      <c r="E50" s="87">
        <v>16161.14</v>
      </c>
      <c r="F50" s="87">
        <v>0</v>
      </c>
      <c r="G50" s="87">
        <v>0</v>
      </c>
      <c r="H50" s="87">
        <v>0</v>
      </c>
      <c r="I50" s="87">
        <v>0</v>
      </c>
      <c r="J50" s="87">
        <v>0</v>
      </c>
      <c r="K50" s="87">
        <v>0</v>
      </c>
      <c r="L50" s="87">
        <v>0</v>
      </c>
      <c r="M50" s="87">
        <v>0</v>
      </c>
      <c r="N50" s="87">
        <v>0</v>
      </c>
      <c r="O50" s="87">
        <v>0</v>
      </c>
      <c r="P50" s="87">
        <v>0</v>
      </c>
      <c r="Q50" s="87">
        <v>0</v>
      </c>
      <c r="R50" s="87">
        <v>0</v>
      </c>
      <c r="S50" s="87">
        <v>0</v>
      </c>
      <c r="T50" s="90">
        <f t="shared" si="0"/>
        <v>16161.14</v>
      </c>
    </row>
    <row r="51" ht="15" spans="1:20">
      <c r="A51" s="86" t="s">
        <v>252</v>
      </c>
      <c r="B51" s="87">
        <v>0</v>
      </c>
      <c r="C51" s="87">
        <v>0</v>
      </c>
      <c r="D51" s="87">
        <v>0</v>
      </c>
      <c r="E51" s="87">
        <v>2784.5</v>
      </c>
      <c r="F51" s="87">
        <v>0</v>
      </c>
      <c r="G51" s="87">
        <v>0</v>
      </c>
      <c r="H51" s="87">
        <v>0</v>
      </c>
      <c r="I51" s="87">
        <v>0</v>
      </c>
      <c r="J51" s="87">
        <v>0</v>
      </c>
      <c r="K51" s="87">
        <v>0</v>
      </c>
      <c r="L51" s="87">
        <v>0</v>
      </c>
      <c r="M51" s="87">
        <v>0</v>
      </c>
      <c r="N51" s="87">
        <v>0</v>
      </c>
      <c r="O51" s="87">
        <v>0</v>
      </c>
      <c r="P51" s="87">
        <v>0</v>
      </c>
      <c r="Q51" s="87">
        <v>0</v>
      </c>
      <c r="R51" s="87">
        <v>0</v>
      </c>
      <c r="S51" s="87">
        <v>0</v>
      </c>
      <c r="T51" s="90">
        <f t="shared" si="0"/>
        <v>2784.5</v>
      </c>
    </row>
    <row r="52" ht="15" spans="1:20">
      <c r="A52" s="86" t="s">
        <v>390</v>
      </c>
      <c r="B52" s="87">
        <v>0</v>
      </c>
      <c r="C52" s="87">
        <v>0</v>
      </c>
      <c r="D52" s="87">
        <v>0</v>
      </c>
      <c r="E52" s="87">
        <v>7628.98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</v>
      </c>
      <c r="N52" s="87">
        <v>0</v>
      </c>
      <c r="O52" s="87">
        <v>0</v>
      </c>
      <c r="P52" s="87">
        <v>0</v>
      </c>
      <c r="Q52" s="87">
        <v>0</v>
      </c>
      <c r="R52" s="87">
        <v>0</v>
      </c>
      <c r="S52" s="87">
        <v>0</v>
      </c>
      <c r="T52" s="90">
        <f t="shared" si="0"/>
        <v>7628.98</v>
      </c>
    </row>
    <row r="53" ht="15" spans="1:20">
      <c r="A53" s="86" t="s">
        <v>254</v>
      </c>
      <c r="B53" s="87">
        <v>0</v>
      </c>
      <c r="C53" s="87">
        <v>0</v>
      </c>
      <c r="D53" s="87">
        <v>0</v>
      </c>
      <c r="E53" s="87">
        <v>0</v>
      </c>
      <c r="F53" s="87">
        <v>0</v>
      </c>
      <c r="G53" s="87">
        <v>0</v>
      </c>
      <c r="H53" s="87">
        <v>0</v>
      </c>
      <c r="I53" s="87">
        <v>0</v>
      </c>
      <c r="J53" s="87">
        <v>0</v>
      </c>
      <c r="K53" s="87">
        <v>0</v>
      </c>
      <c r="L53" s="87">
        <v>0</v>
      </c>
      <c r="M53" s="87">
        <v>0</v>
      </c>
      <c r="N53" s="87">
        <v>0</v>
      </c>
      <c r="O53" s="87">
        <v>0</v>
      </c>
      <c r="P53" s="87">
        <v>0</v>
      </c>
      <c r="Q53" s="87">
        <v>0</v>
      </c>
      <c r="R53" s="87">
        <v>0</v>
      </c>
      <c r="S53" s="87">
        <v>0</v>
      </c>
      <c r="T53" s="90">
        <f t="shared" si="0"/>
        <v>0</v>
      </c>
    </row>
    <row r="54" ht="15" spans="1:20">
      <c r="A54" s="86" t="s">
        <v>391</v>
      </c>
      <c r="B54" s="87">
        <v>0</v>
      </c>
      <c r="C54" s="87">
        <v>0</v>
      </c>
      <c r="D54" s="87">
        <v>0</v>
      </c>
      <c r="E54" s="87">
        <v>0</v>
      </c>
      <c r="F54" s="87">
        <v>0</v>
      </c>
      <c r="G54" s="87">
        <v>0</v>
      </c>
      <c r="H54" s="87">
        <v>0</v>
      </c>
      <c r="I54" s="87">
        <v>0</v>
      </c>
      <c r="J54" s="87">
        <v>0</v>
      </c>
      <c r="K54" s="87">
        <v>0</v>
      </c>
      <c r="L54" s="87">
        <v>0</v>
      </c>
      <c r="M54" s="87">
        <v>0</v>
      </c>
      <c r="N54" s="87">
        <v>0</v>
      </c>
      <c r="O54" s="87">
        <v>0</v>
      </c>
      <c r="P54" s="87">
        <v>0</v>
      </c>
      <c r="Q54" s="87">
        <v>0</v>
      </c>
      <c r="R54" s="87">
        <v>0</v>
      </c>
      <c r="S54" s="87">
        <v>0</v>
      </c>
      <c r="T54" s="90">
        <f t="shared" si="0"/>
        <v>0</v>
      </c>
    </row>
    <row r="55" ht="15" spans="1:20">
      <c r="A55" s="86" t="s">
        <v>260</v>
      </c>
      <c r="B55" s="87">
        <v>0</v>
      </c>
      <c r="C55" s="87">
        <v>0</v>
      </c>
      <c r="D55" s="87">
        <v>0</v>
      </c>
      <c r="E55" s="87">
        <v>0</v>
      </c>
      <c r="F55" s="87">
        <v>0</v>
      </c>
      <c r="G55" s="87">
        <v>0</v>
      </c>
      <c r="H55" s="87">
        <v>0</v>
      </c>
      <c r="I55" s="87">
        <v>0</v>
      </c>
      <c r="J55" s="87">
        <v>0</v>
      </c>
      <c r="K55" s="87">
        <v>0</v>
      </c>
      <c r="L55" s="87">
        <v>0</v>
      </c>
      <c r="M55" s="87">
        <v>0</v>
      </c>
      <c r="N55" s="87">
        <v>0</v>
      </c>
      <c r="O55" s="87">
        <v>0</v>
      </c>
      <c r="P55" s="87">
        <v>0</v>
      </c>
      <c r="Q55" s="87">
        <v>0</v>
      </c>
      <c r="R55" s="87">
        <v>0</v>
      </c>
      <c r="S55" s="87">
        <v>0</v>
      </c>
      <c r="T55" s="90">
        <f t="shared" si="0"/>
        <v>0</v>
      </c>
    </row>
    <row r="56" ht="15" spans="1:20">
      <c r="A56" s="86" t="s">
        <v>209</v>
      </c>
      <c r="B56" s="87">
        <v>0</v>
      </c>
      <c r="C56" s="87">
        <v>0</v>
      </c>
      <c r="D56" s="87">
        <v>37918</v>
      </c>
      <c r="E56" s="87">
        <v>0</v>
      </c>
      <c r="F56" s="87">
        <v>0</v>
      </c>
      <c r="G56" s="87">
        <v>0</v>
      </c>
      <c r="H56" s="87">
        <v>0</v>
      </c>
      <c r="I56" s="87">
        <v>0</v>
      </c>
      <c r="J56" s="87">
        <v>0</v>
      </c>
      <c r="K56" s="87">
        <v>0</v>
      </c>
      <c r="L56" s="87">
        <v>0</v>
      </c>
      <c r="M56" s="87">
        <v>0</v>
      </c>
      <c r="N56" s="87">
        <v>0</v>
      </c>
      <c r="O56" s="87">
        <v>0</v>
      </c>
      <c r="P56" s="87">
        <v>0</v>
      </c>
      <c r="Q56" s="87">
        <v>0</v>
      </c>
      <c r="R56" s="87">
        <v>0</v>
      </c>
      <c r="S56" s="87">
        <v>0</v>
      </c>
      <c r="T56" s="90">
        <f t="shared" si="0"/>
        <v>37918</v>
      </c>
    </row>
    <row r="57" ht="15" spans="1:20">
      <c r="A57" s="86" t="s">
        <v>207</v>
      </c>
      <c r="B57" s="87">
        <v>0</v>
      </c>
      <c r="C57" s="87">
        <v>0</v>
      </c>
      <c r="D57" s="87">
        <v>1224144.26</v>
      </c>
      <c r="E57" s="87">
        <v>0</v>
      </c>
      <c r="F57" s="87">
        <v>0</v>
      </c>
      <c r="G57" s="87">
        <v>0</v>
      </c>
      <c r="H57" s="87">
        <v>0</v>
      </c>
      <c r="I57" s="87">
        <v>0</v>
      </c>
      <c r="J57" s="87">
        <v>0</v>
      </c>
      <c r="K57" s="87">
        <v>0</v>
      </c>
      <c r="L57" s="87">
        <v>0</v>
      </c>
      <c r="M57" s="87">
        <v>0</v>
      </c>
      <c r="N57" s="87">
        <v>0</v>
      </c>
      <c r="O57" s="87">
        <v>0</v>
      </c>
      <c r="P57" s="87">
        <v>0</v>
      </c>
      <c r="Q57" s="87">
        <v>0</v>
      </c>
      <c r="R57" s="87">
        <v>0</v>
      </c>
      <c r="S57" s="87">
        <v>0</v>
      </c>
      <c r="T57" s="90">
        <f t="shared" si="0"/>
        <v>1224144.26</v>
      </c>
    </row>
    <row r="58" ht="15" spans="1:20">
      <c r="A58" s="86" t="s">
        <v>392</v>
      </c>
      <c r="B58" s="87">
        <v>0</v>
      </c>
      <c r="C58" s="87">
        <v>0</v>
      </c>
      <c r="D58" s="87">
        <v>170248.09</v>
      </c>
      <c r="E58" s="87">
        <v>0</v>
      </c>
      <c r="F58" s="87">
        <v>0</v>
      </c>
      <c r="G58" s="87">
        <v>0</v>
      </c>
      <c r="H58" s="87">
        <v>0</v>
      </c>
      <c r="I58" s="87">
        <v>0</v>
      </c>
      <c r="J58" s="87">
        <v>0</v>
      </c>
      <c r="K58" s="87">
        <v>0</v>
      </c>
      <c r="L58" s="87">
        <v>0</v>
      </c>
      <c r="M58" s="87">
        <v>0</v>
      </c>
      <c r="N58" s="87">
        <v>0</v>
      </c>
      <c r="O58" s="87">
        <v>0</v>
      </c>
      <c r="P58" s="87">
        <v>0</v>
      </c>
      <c r="Q58" s="87">
        <v>0</v>
      </c>
      <c r="R58" s="87">
        <v>0</v>
      </c>
      <c r="S58" s="87">
        <v>0</v>
      </c>
      <c r="T58" s="90">
        <f t="shared" si="0"/>
        <v>170248.09</v>
      </c>
    </row>
    <row r="59" ht="15" spans="1:20">
      <c r="A59" s="86" t="s">
        <v>210</v>
      </c>
      <c r="B59" s="87">
        <v>0</v>
      </c>
      <c r="C59" s="87">
        <v>0</v>
      </c>
      <c r="D59" s="87">
        <v>147063.27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90">
        <f t="shared" si="0"/>
        <v>147063.27</v>
      </c>
    </row>
    <row r="60" ht="15" spans="1:20">
      <c r="A60" s="86" t="s">
        <v>241</v>
      </c>
      <c r="B60" s="87">
        <v>0</v>
      </c>
      <c r="C60" s="87">
        <v>0</v>
      </c>
      <c r="D60" s="87">
        <v>0</v>
      </c>
      <c r="E60" s="87">
        <v>286324.06</v>
      </c>
      <c r="F60" s="87">
        <v>0</v>
      </c>
      <c r="G60" s="87">
        <v>0</v>
      </c>
      <c r="H60" s="87">
        <v>0</v>
      </c>
      <c r="I60" s="87">
        <v>0</v>
      </c>
      <c r="J60" s="87">
        <v>0</v>
      </c>
      <c r="K60" s="87">
        <v>0</v>
      </c>
      <c r="L60" s="87">
        <v>0</v>
      </c>
      <c r="M60" s="87">
        <v>0</v>
      </c>
      <c r="N60" s="87">
        <v>0</v>
      </c>
      <c r="O60" s="87">
        <v>0</v>
      </c>
      <c r="P60" s="87">
        <v>0</v>
      </c>
      <c r="Q60" s="87">
        <v>0</v>
      </c>
      <c r="R60" s="87">
        <v>0</v>
      </c>
      <c r="S60" s="87">
        <v>0</v>
      </c>
      <c r="T60" s="90">
        <f t="shared" si="0"/>
        <v>286324.06</v>
      </c>
    </row>
    <row r="61" ht="15" spans="1:20">
      <c r="A61" s="86" t="s">
        <v>393</v>
      </c>
      <c r="B61" s="87">
        <v>0</v>
      </c>
      <c r="C61" s="87">
        <v>0</v>
      </c>
      <c r="D61" s="87">
        <v>0</v>
      </c>
      <c r="E61" s="87">
        <v>20042.69</v>
      </c>
      <c r="F61" s="87">
        <v>0</v>
      </c>
      <c r="G61" s="87">
        <v>0</v>
      </c>
      <c r="H61" s="87">
        <v>0</v>
      </c>
      <c r="I61" s="87">
        <v>0</v>
      </c>
      <c r="J61" s="87">
        <v>0</v>
      </c>
      <c r="K61" s="87">
        <v>0</v>
      </c>
      <c r="L61" s="87">
        <v>0</v>
      </c>
      <c r="M61" s="87">
        <v>0</v>
      </c>
      <c r="N61" s="87">
        <v>0</v>
      </c>
      <c r="O61" s="87">
        <v>0</v>
      </c>
      <c r="P61" s="87">
        <v>0</v>
      </c>
      <c r="Q61" s="87">
        <v>0</v>
      </c>
      <c r="R61" s="87">
        <v>0</v>
      </c>
      <c r="S61" s="87">
        <v>0</v>
      </c>
      <c r="T61" s="90">
        <f t="shared" si="0"/>
        <v>20042.69</v>
      </c>
    </row>
    <row r="62" ht="15" spans="1:20">
      <c r="A62" s="86" t="s">
        <v>394</v>
      </c>
      <c r="B62" s="87">
        <v>0</v>
      </c>
      <c r="C62" s="87">
        <v>0</v>
      </c>
      <c r="D62" s="87">
        <v>0</v>
      </c>
      <c r="E62" s="87">
        <v>8589.72</v>
      </c>
      <c r="F62" s="87">
        <v>0</v>
      </c>
      <c r="G62" s="87">
        <v>0</v>
      </c>
      <c r="H62" s="87">
        <v>0</v>
      </c>
      <c r="I62" s="87">
        <v>0</v>
      </c>
      <c r="J62" s="87">
        <v>0</v>
      </c>
      <c r="K62" s="87">
        <v>0</v>
      </c>
      <c r="L62" s="87">
        <v>0</v>
      </c>
      <c r="M62" s="87">
        <v>0</v>
      </c>
      <c r="N62" s="87">
        <v>0</v>
      </c>
      <c r="O62" s="87">
        <v>0</v>
      </c>
      <c r="P62" s="87">
        <v>0</v>
      </c>
      <c r="Q62" s="87">
        <v>0</v>
      </c>
      <c r="R62" s="87">
        <v>0</v>
      </c>
      <c r="S62" s="87">
        <v>0</v>
      </c>
      <c r="T62" s="90">
        <f t="shared" si="0"/>
        <v>8589.72</v>
      </c>
    </row>
    <row r="63" ht="15" spans="1:20">
      <c r="A63" s="86" t="s">
        <v>395</v>
      </c>
      <c r="B63" s="87">
        <v>0</v>
      </c>
      <c r="C63" s="87">
        <v>0</v>
      </c>
      <c r="D63" s="87">
        <v>0</v>
      </c>
      <c r="E63" s="87">
        <v>5726.49</v>
      </c>
      <c r="F63" s="87">
        <v>0</v>
      </c>
      <c r="G63" s="87">
        <v>0</v>
      </c>
      <c r="H63" s="87">
        <v>0</v>
      </c>
      <c r="I63" s="87">
        <v>0</v>
      </c>
      <c r="J63" s="87">
        <v>0</v>
      </c>
      <c r="K63" s="87">
        <v>0</v>
      </c>
      <c r="L63" s="87">
        <v>0</v>
      </c>
      <c r="M63" s="87">
        <v>0</v>
      </c>
      <c r="N63" s="87">
        <v>0</v>
      </c>
      <c r="O63" s="87">
        <v>0</v>
      </c>
      <c r="P63" s="87">
        <v>0</v>
      </c>
      <c r="Q63" s="87">
        <v>0</v>
      </c>
      <c r="R63" s="87">
        <v>0</v>
      </c>
      <c r="S63" s="87">
        <v>0</v>
      </c>
      <c r="T63" s="90">
        <f t="shared" si="0"/>
        <v>5726.49</v>
      </c>
    </row>
    <row r="64" ht="15" spans="1:20">
      <c r="A64" s="86" t="s">
        <v>396</v>
      </c>
      <c r="B64" s="87">
        <v>0</v>
      </c>
      <c r="C64" s="87">
        <v>0</v>
      </c>
      <c r="D64" s="87">
        <v>0</v>
      </c>
      <c r="E64" s="87">
        <v>0</v>
      </c>
      <c r="F64" s="87">
        <v>0</v>
      </c>
      <c r="G64" s="87">
        <v>0</v>
      </c>
      <c r="H64" s="87">
        <v>0</v>
      </c>
      <c r="I64" s="87">
        <v>0</v>
      </c>
      <c r="J64" s="87">
        <v>0</v>
      </c>
      <c r="K64" s="87">
        <v>0</v>
      </c>
      <c r="L64" s="87">
        <v>0</v>
      </c>
      <c r="M64" s="87">
        <v>0</v>
      </c>
      <c r="N64" s="87">
        <v>0</v>
      </c>
      <c r="O64" s="87">
        <v>0</v>
      </c>
      <c r="P64" s="87">
        <v>0</v>
      </c>
      <c r="Q64" s="87">
        <v>0</v>
      </c>
      <c r="R64" s="87">
        <v>0</v>
      </c>
      <c r="S64" s="87">
        <v>0</v>
      </c>
      <c r="T64" s="90">
        <f t="shared" si="0"/>
        <v>0</v>
      </c>
    </row>
    <row r="65" ht="15" spans="1:20">
      <c r="A65" s="86" t="s">
        <v>245</v>
      </c>
      <c r="B65" s="87">
        <v>0</v>
      </c>
      <c r="C65" s="87">
        <v>0</v>
      </c>
      <c r="D65" s="87">
        <v>0</v>
      </c>
      <c r="E65" s="87">
        <v>90880.5</v>
      </c>
      <c r="F65" s="87">
        <v>0</v>
      </c>
      <c r="G65" s="87">
        <v>0</v>
      </c>
      <c r="H65" s="87">
        <v>0</v>
      </c>
      <c r="I65" s="87">
        <v>0</v>
      </c>
      <c r="J65" s="87">
        <v>0</v>
      </c>
      <c r="K65" s="87">
        <v>0</v>
      </c>
      <c r="L65" s="87">
        <v>0</v>
      </c>
      <c r="M65" s="87">
        <v>0</v>
      </c>
      <c r="N65" s="87">
        <v>0</v>
      </c>
      <c r="O65" s="87">
        <v>0</v>
      </c>
      <c r="P65" s="87">
        <v>0</v>
      </c>
      <c r="Q65" s="87">
        <v>0</v>
      </c>
      <c r="R65" s="87">
        <v>0</v>
      </c>
      <c r="S65" s="87">
        <v>0</v>
      </c>
      <c r="T65" s="90">
        <f t="shared" si="0"/>
        <v>90880.5</v>
      </c>
    </row>
    <row r="66" ht="15" spans="1:20">
      <c r="A66" s="86" t="s">
        <v>242</v>
      </c>
      <c r="B66" s="87">
        <v>0</v>
      </c>
      <c r="C66" s="87">
        <v>0</v>
      </c>
      <c r="D66" s="87">
        <v>0</v>
      </c>
      <c r="E66" s="87">
        <v>0</v>
      </c>
      <c r="F66" s="87">
        <v>0</v>
      </c>
      <c r="G66" s="87">
        <v>0</v>
      </c>
      <c r="H66" s="87">
        <v>0</v>
      </c>
      <c r="I66" s="87">
        <v>0</v>
      </c>
      <c r="J66" s="87">
        <v>0</v>
      </c>
      <c r="K66" s="87">
        <v>0</v>
      </c>
      <c r="L66" s="87">
        <v>0</v>
      </c>
      <c r="M66" s="87">
        <v>0</v>
      </c>
      <c r="N66" s="87">
        <v>0</v>
      </c>
      <c r="O66" s="87">
        <v>0</v>
      </c>
      <c r="P66" s="87">
        <v>0</v>
      </c>
      <c r="Q66" s="87">
        <v>0</v>
      </c>
      <c r="R66" s="87">
        <v>0</v>
      </c>
      <c r="S66" s="87">
        <v>0</v>
      </c>
      <c r="T66" s="90">
        <f t="shared" si="0"/>
        <v>0</v>
      </c>
    </row>
    <row r="67" ht="15" spans="1:20">
      <c r="A67" s="86" t="s">
        <v>244</v>
      </c>
      <c r="B67" s="87">
        <v>0</v>
      </c>
      <c r="C67" s="87">
        <v>0</v>
      </c>
      <c r="D67" s="87">
        <v>0</v>
      </c>
      <c r="E67" s="87">
        <v>1141385.51</v>
      </c>
      <c r="F67" s="87">
        <v>0</v>
      </c>
      <c r="G67" s="87">
        <v>0</v>
      </c>
      <c r="H67" s="87">
        <v>0</v>
      </c>
      <c r="I67" s="87">
        <v>0</v>
      </c>
      <c r="J67" s="87">
        <v>0</v>
      </c>
      <c r="K67" s="87">
        <v>0</v>
      </c>
      <c r="L67" s="87">
        <v>0</v>
      </c>
      <c r="M67" s="87">
        <v>0</v>
      </c>
      <c r="N67" s="87">
        <v>0</v>
      </c>
      <c r="O67" s="87">
        <v>0</v>
      </c>
      <c r="P67" s="87">
        <v>0</v>
      </c>
      <c r="Q67" s="87">
        <v>0</v>
      </c>
      <c r="R67" s="87">
        <v>0</v>
      </c>
      <c r="S67" s="87">
        <v>0</v>
      </c>
      <c r="T67" s="90">
        <f t="shared" si="0"/>
        <v>1141385.51</v>
      </c>
    </row>
    <row r="68" ht="15" spans="1:20">
      <c r="A68" s="86" t="s">
        <v>397</v>
      </c>
      <c r="B68" s="87">
        <v>0</v>
      </c>
      <c r="C68" s="87">
        <v>0</v>
      </c>
      <c r="D68" s="87">
        <v>0</v>
      </c>
      <c r="E68" s="87">
        <v>200000</v>
      </c>
      <c r="F68" s="87">
        <v>0</v>
      </c>
      <c r="G68" s="87">
        <v>0</v>
      </c>
      <c r="H68" s="87">
        <v>0</v>
      </c>
      <c r="I68" s="87">
        <v>0</v>
      </c>
      <c r="J68" s="87">
        <v>0</v>
      </c>
      <c r="K68" s="87">
        <v>0</v>
      </c>
      <c r="L68" s="87">
        <v>0</v>
      </c>
      <c r="M68" s="87">
        <v>0</v>
      </c>
      <c r="N68" s="87">
        <v>0</v>
      </c>
      <c r="O68" s="87">
        <v>0</v>
      </c>
      <c r="P68" s="87">
        <v>0</v>
      </c>
      <c r="Q68" s="87">
        <v>0</v>
      </c>
      <c r="R68" s="87">
        <v>0</v>
      </c>
      <c r="S68" s="87">
        <v>0</v>
      </c>
      <c r="T68" s="90">
        <f t="shared" ref="T68:T93" si="1">SUM(B68:S68)</f>
        <v>200000</v>
      </c>
    </row>
    <row r="69" ht="15" spans="1:20">
      <c r="A69" s="86" t="s">
        <v>398</v>
      </c>
      <c r="B69" s="87">
        <v>0</v>
      </c>
      <c r="C69" s="87">
        <v>0</v>
      </c>
      <c r="D69" s="87">
        <v>0</v>
      </c>
      <c r="E69" s="87">
        <v>18912.83</v>
      </c>
      <c r="F69" s="87">
        <v>0</v>
      </c>
      <c r="G69" s="87">
        <v>0</v>
      </c>
      <c r="H69" s="87">
        <v>0</v>
      </c>
      <c r="I69" s="87">
        <v>0</v>
      </c>
      <c r="J69" s="87">
        <v>0</v>
      </c>
      <c r="K69" s="87">
        <v>0</v>
      </c>
      <c r="L69" s="87">
        <v>0</v>
      </c>
      <c r="M69" s="87">
        <v>0</v>
      </c>
      <c r="N69" s="87">
        <v>0</v>
      </c>
      <c r="O69" s="87">
        <v>0</v>
      </c>
      <c r="P69" s="87">
        <v>0</v>
      </c>
      <c r="Q69" s="87">
        <v>0</v>
      </c>
      <c r="R69" s="87">
        <v>0</v>
      </c>
      <c r="S69" s="87">
        <v>0</v>
      </c>
      <c r="T69" s="90">
        <f t="shared" si="1"/>
        <v>18912.83</v>
      </c>
    </row>
    <row r="70" ht="15" spans="1:20">
      <c r="A70" s="86" t="s">
        <v>399</v>
      </c>
      <c r="B70" s="87">
        <v>0</v>
      </c>
      <c r="C70" s="87">
        <v>0</v>
      </c>
      <c r="D70" s="87">
        <v>809</v>
      </c>
      <c r="E70" s="87">
        <v>0</v>
      </c>
      <c r="F70" s="87">
        <v>0</v>
      </c>
      <c r="G70" s="87">
        <v>0</v>
      </c>
      <c r="H70" s="87">
        <v>0</v>
      </c>
      <c r="I70" s="87">
        <v>0</v>
      </c>
      <c r="J70" s="87">
        <v>0</v>
      </c>
      <c r="K70" s="87">
        <v>1288.1</v>
      </c>
      <c r="L70" s="87">
        <v>0</v>
      </c>
      <c r="M70" s="87">
        <v>0</v>
      </c>
      <c r="N70" s="87">
        <v>0</v>
      </c>
      <c r="O70" s="87">
        <v>0</v>
      </c>
      <c r="P70" s="87">
        <v>0</v>
      </c>
      <c r="Q70" s="87">
        <v>0</v>
      </c>
      <c r="R70" s="87">
        <v>0</v>
      </c>
      <c r="S70" s="87">
        <v>0</v>
      </c>
      <c r="T70" s="90">
        <f t="shared" si="1"/>
        <v>2097.1</v>
      </c>
    </row>
    <row r="71" ht="15" spans="1:20">
      <c r="A71" s="86" t="s">
        <v>248</v>
      </c>
      <c r="B71" s="87">
        <v>0</v>
      </c>
      <c r="C71" s="87">
        <v>0</v>
      </c>
      <c r="D71" s="87">
        <v>0</v>
      </c>
      <c r="E71" s="87">
        <v>1131.07</v>
      </c>
      <c r="F71" s="87">
        <v>0</v>
      </c>
      <c r="G71" s="87">
        <v>0</v>
      </c>
      <c r="H71" s="87">
        <v>0</v>
      </c>
      <c r="I71" s="87">
        <v>0</v>
      </c>
      <c r="J71" s="87">
        <v>0</v>
      </c>
      <c r="K71" s="87">
        <v>0</v>
      </c>
      <c r="L71" s="87">
        <v>0</v>
      </c>
      <c r="M71" s="87">
        <v>0</v>
      </c>
      <c r="N71" s="87">
        <v>0</v>
      </c>
      <c r="O71" s="87">
        <v>0</v>
      </c>
      <c r="P71" s="87">
        <v>0</v>
      </c>
      <c r="Q71" s="87">
        <v>0</v>
      </c>
      <c r="R71" s="87">
        <v>0</v>
      </c>
      <c r="S71" s="87">
        <v>0</v>
      </c>
      <c r="T71" s="90">
        <f t="shared" si="1"/>
        <v>1131.07</v>
      </c>
    </row>
    <row r="72" ht="15" spans="1:20">
      <c r="A72" s="86" t="s">
        <v>400</v>
      </c>
      <c r="B72" s="87">
        <v>0</v>
      </c>
      <c r="C72" s="87">
        <v>0</v>
      </c>
      <c r="D72" s="87">
        <v>0</v>
      </c>
      <c r="E72" s="87">
        <v>0</v>
      </c>
      <c r="F72" s="87">
        <v>0</v>
      </c>
      <c r="G72" s="87">
        <v>0</v>
      </c>
      <c r="H72" s="87">
        <v>0</v>
      </c>
      <c r="I72" s="87">
        <v>0</v>
      </c>
      <c r="J72" s="87">
        <v>0</v>
      </c>
      <c r="K72" s="87">
        <v>0</v>
      </c>
      <c r="L72" s="87">
        <v>0</v>
      </c>
      <c r="M72" s="87">
        <v>0</v>
      </c>
      <c r="N72" s="87">
        <v>0</v>
      </c>
      <c r="O72" s="87">
        <v>0</v>
      </c>
      <c r="P72" s="87">
        <v>0</v>
      </c>
      <c r="Q72" s="87">
        <v>0</v>
      </c>
      <c r="R72" s="87">
        <v>0</v>
      </c>
      <c r="S72" s="87">
        <v>0</v>
      </c>
      <c r="T72" s="90">
        <f t="shared" si="1"/>
        <v>0</v>
      </c>
    </row>
    <row r="73" ht="15" spans="1:20">
      <c r="A73" s="86" t="s">
        <v>401</v>
      </c>
      <c r="B73" s="87">
        <v>0</v>
      </c>
      <c r="C73" s="87">
        <v>3122.5</v>
      </c>
      <c r="D73" s="87">
        <v>0</v>
      </c>
      <c r="E73" s="87">
        <v>0</v>
      </c>
      <c r="F73" s="87">
        <v>0</v>
      </c>
      <c r="G73" s="87">
        <v>0</v>
      </c>
      <c r="H73" s="87">
        <v>0</v>
      </c>
      <c r="I73" s="87">
        <v>0</v>
      </c>
      <c r="J73" s="87">
        <v>0</v>
      </c>
      <c r="K73" s="87">
        <v>0</v>
      </c>
      <c r="L73" s="87">
        <v>0</v>
      </c>
      <c r="M73" s="87">
        <v>0</v>
      </c>
      <c r="N73" s="87">
        <v>0</v>
      </c>
      <c r="O73" s="87">
        <v>0</v>
      </c>
      <c r="P73" s="87">
        <v>0</v>
      </c>
      <c r="Q73" s="87">
        <v>0</v>
      </c>
      <c r="R73" s="87">
        <v>0</v>
      </c>
      <c r="S73" s="87">
        <v>0</v>
      </c>
      <c r="T73" s="90">
        <f t="shared" si="1"/>
        <v>3122.5</v>
      </c>
    </row>
    <row r="74" ht="15" spans="1:20">
      <c r="A74" s="86" t="s">
        <v>348</v>
      </c>
      <c r="B74" s="87">
        <v>0</v>
      </c>
      <c r="C74" s="87">
        <v>3620</v>
      </c>
      <c r="D74" s="87">
        <v>0</v>
      </c>
      <c r="E74" s="87">
        <v>0</v>
      </c>
      <c r="F74" s="87">
        <v>0</v>
      </c>
      <c r="G74" s="87">
        <v>0</v>
      </c>
      <c r="H74" s="87">
        <v>0</v>
      </c>
      <c r="I74" s="87">
        <v>0</v>
      </c>
      <c r="J74" s="87">
        <v>0</v>
      </c>
      <c r="K74" s="87">
        <v>0</v>
      </c>
      <c r="L74" s="87">
        <v>0</v>
      </c>
      <c r="M74" s="87">
        <v>0</v>
      </c>
      <c r="N74" s="87">
        <v>0</v>
      </c>
      <c r="O74" s="87">
        <v>0</v>
      </c>
      <c r="P74" s="87">
        <v>0</v>
      </c>
      <c r="Q74" s="87">
        <v>0</v>
      </c>
      <c r="R74" s="87">
        <v>0</v>
      </c>
      <c r="S74" s="87">
        <v>0</v>
      </c>
      <c r="T74" s="90">
        <f t="shared" si="1"/>
        <v>3620</v>
      </c>
    </row>
    <row r="75" ht="15" spans="1:20">
      <c r="A75" s="86" t="s">
        <v>402</v>
      </c>
      <c r="B75" s="87">
        <v>0</v>
      </c>
      <c r="C75" s="87">
        <v>0</v>
      </c>
      <c r="D75" s="87">
        <v>0</v>
      </c>
      <c r="E75" s="87">
        <v>1820</v>
      </c>
      <c r="F75" s="87">
        <v>0</v>
      </c>
      <c r="G75" s="87">
        <v>0</v>
      </c>
      <c r="H75" s="87">
        <v>0</v>
      </c>
      <c r="I75" s="87">
        <v>0</v>
      </c>
      <c r="J75" s="87">
        <v>0</v>
      </c>
      <c r="K75" s="87">
        <v>0</v>
      </c>
      <c r="L75" s="87">
        <v>0</v>
      </c>
      <c r="M75" s="87">
        <v>0</v>
      </c>
      <c r="N75" s="87">
        <v>0</v>
      </c>
      <c r="O75" s="87">
        <v>0</v>
      </c>
      <c r="P75" s="87">
        <v>0</v>
      </c>
      <c r="Q75" s="87">
        <v>0</v>
      </c>
      <c r="R75" s="87">
        <v>0</v>
      </c>
      <c r="S75" s="87">
        <v>0</v>
      </c>
      <c r="T75" s="90">
        <f t="shared" si="1"/>
        <v>1820</v>
      </c>
    </row>
    <row r="76" ht="15" spans="1:20">
      <c r="A76" s="86" t="s">
        <v>403</v>
      </c>
      <c r="B76" s="87">
        <v>0</v>
      </c>
      <c r="C76" s="87">
        <v>0</v>
      </c>
      <c r="D76" s="87">
        <v>0</v>
      </c>
      <c r="E76" s="87">
        <v>0</v>
      </c>
      <c r="F76" s="87">
        <v>0</v>
      </c>
      <c r="G76" s="87">
        <v>0</v>
      </c>
      <c r="H76" s="87">
        <v>0</v>
      </c>
      <c r="I76" s="87">
        <v>0</v>
      </c>
      <c r="J76" s="87">
        <v>0</v>
      </c>
      <c r="K76" s="87">
        <v>0</v>
      </c>
      <c r="L76" s="87">
        <v>0</v>
      </c>
      <c r="M76" s="87">
        <v>0</v>
      </c>
      <c r="N76" s="87">
        <v>0</v>
      </c>
      <c r="O76" s="87">
        <v>0</v>
      </c>
      <c r="P76" s="87">
        <v>0</v>
      </c>
      <c r="Q76" s="87">
        <v>0</v>
      </c>
      <c r="R76" s="87">
        <v>0</v>
      </c>
      <c r="S76" s="87">
        <v>0</v>
      </c>
      <c r="T76" s="90">
        <f t="shared" si="1"/>
        <v>0</v>
      </c>
    </row>
    <row r="77" ht="15" spans="1:20">
      <c r="A77" s="86" t="s">
        <v>214</v>
      </c>
      <c r="B77" s="87">
        <v>0</v>
      </c>
      <c r="C77" s="87">
        <v>0</v>
      </c>
      <c r="D77" s="87">
        <v>10000</v>
      </c>
      <c r="E77" s="87">
        <v>0</v>
      </c>
      <c r="F77" s="87">
        <v>0</v>
      </c>
      <c r="G77" s="87">
        <v>0</v>
      </c>
      <c r="H77" s="87">
        <v>0</v>
      </c>
      <c r="I77" s="87">
        <v>0</v>
      </c>
      <c r="J77" s="87">
        <v>0</v>
      </c>
      <c r="K77" s="87">
        <v>0</v>
      </c>
      <c r="L77" s="87">
        <v>0</v>
      </c>
      <c r="M77" s="87">
        <v>0</v>
      </c>
      <c r="N77" s="87">
        <v>0</v>
      </c>
      <c r="O77" s="87">
        <v>0</v>
      </c>
      <c r="P77" s="87">
        <v>0</v>
      </c>
      <c r="Q77" s="87">
        <v>0</v>
      </c>
      <c r="R77" s="87">
        <v>0</v>
      </c>
      <c r="S77" s="87">
        <v>0</v>
      </c>
      <c r="T77" s="90">
        <f t="shared" si="1"/>
        <v>10000</v>
      </c>
    </row>
    <row r="78" ht="15" spans="1:20">
      <c r="A78" s="86" t="s">
        <v>219</v>
      </c>
      <c r="B78" s="87">
        <v>0</v>
      </c>
      <c r="C78" s="87">
        <v>0</v>
      </c>
      <c r="D78" s="87">
        <v>5068.09</v>
      </c>
      <c r="E78" s="87">
        <v>0</v>
      </c>
      <c r="F78" s="87">
        <v>0</v>
      </c>
      <c r="G78" s="87">
        <v>0</v>
      </c>
      <c r="H78" s="87">
        <v>0</v>
      </c>
      <c r="I78" s="87">
        <v>0</v>
      </c>
      <c r="J78" s="87">
        <v>0</v>
      </c>
      <c r="K78" s="87">
        <v>0</v>
      </c>
      <c r="L78" s="87">
        <v>0</v>
      </c>
      <c r="M78" s="87">
        <v>0</v>
      </c>
      <c r="N78" s="87">
        <v>0</v>
      </c>
      <c r="O78" s="87">
        <v>0</v>
      </c>
      <c r="P78" s="87">
        <v>0</v>
      </c>
      <c r="Q78" s="87">
        <v>0</v>
      </c>
      <c r="R78" s="87">
        <v>0</v>
      </c>
      <c r="S78" s="87">
        <v>0</v>
      </c>
      <c r="T78" s="90">
        <f t="shared" si="1"/>
        <v>5068.09</v>
      </c>
    </row>
    <row r="79" ht="15" spans="1:20">
      <c r="A79" s="86" t="s">
        <v>404</v>
      </c>
      <c r="B79" s="87">
        <v>0</v>
      </c>
      <c r="C79" s="87">
        <v>0</v>
      </c>
      <c r="D79" s="87">
        <v>1460</v>
      </c>
      <c r="E79" s="87">
        <v>0</v>
      </c>
      <c r="F79" s="87">
        <v>0</v>
      </c>
      <c r="G79" s="87">
        <v>0</v>
      </c>
      <c r="H79" s="87">
        <v>0</v>
      </c>
      <c r="I79" s="87">
        <v>0</v>
      </c>
      <c r="J79" s="87">
        <v>0</v>
      </c>
      <c r="K79" s="87">
        <v>0</v>
      </c>
      <c r="L79" s="87">
        <v>0</v>
      </c>
      <c r="M79" s="87">
        <v>0</v>
      </c>
      <c r="N79" s="87">
        <v>0</v>
      </c>
      <c r="O79" s="87">
        <v>0</v>
      </c>
      <c r="P79" s="87">
        <v>0</v>
      </c>
      <c r="Q79" s="87">
        <v>0</v>
      </c>
      <c r="R79" s="87">
        <v>0</v>
      </c>
      <c r="S79" s="87">
        <v>0</v>
      </c>
      <c r="T79" s="90">
        <f t="shared" si="1"/>
        <v>1460</v>
      </c>
    </row>
    <row r="80" ht="15" spans="1:20">
      <c r="A80" s="86" t="s">
        <v>372</v>
      </c>
      <c r="B80" s="87">
        <v>0</v>
      </c>
      <c r="C80" s="87">
        <v>0</v>
      </c>
      <c r="D80" s="87">
        <v>0</v>
      </c>
      <c r="E80" s="87">
        <v>0</v>
      </c>
      <c r="F80" s="87">
        <v>0</v>
      </c>
      <c r="G80" s="87">
        <v>0</v>
      </c>
      <c r="H80" s="87">
        <v>0</v>
      </c>
      <c r="I80" s="87">
        <v>0</v>
      </c>
      <c r="J80" s="87">
        <v>0</v>
      </c>
      <c r="K80" s="87">
        <v>0</v>
      </c>
      <c r="L80" s="87">
        <v>0</v>
      </c>
      <c r="M80" s="87">
        <v>0</v>
      </c>
      <c r="N80" s="87">
        <v>0</v>
      </c>
      <c r="O80" s="87">
        <v>0</v>
      </c>
      <c r="P80" s="87">
        <v>0</v>
      </c>
      <c r="Q80" s="87">
        <v>0</v>
      </c>
      <c r="R80" s="87">
        <v>2139.77</v>
      </c>
      <c r="S80" s="87">
        <v>0</v>
      </c>
      <c r="T80" s="90">
        <f t="shared" si="1"/>
        <v>2139.77</v>
      </c>
    </row>
    <row r="81" ht="15" spans="1:20">
      <c r="A81" s="86" t="s">
        <v>405</v>
      </c>
      <c r="B81" s="87">
        <v>0</v>
      </c>
      <c r="C81" s="87">
        <v>0</v>
      </c>
      <c r="D81" s="87">
        <v>0</v>
      </c>
      <c r="E81" s="87">
        <v>0</v>
      </c>
      <c r="F81" s="87">
        <v>0</v>
      </c>
      <c r="G81" s="87">
        <v>0</v>
      </c>
      <c r="H81" s="87">
        <v>0</v>
      </c>
      <c r="I81" s="87">
        <v>0</v>
      </c>
      <c r="J81" s="87">
        <v>0</v>
      </c>
      <c r="K81" s="87">
        <v>0</v>
      </c>
      <c r="L81" s="87">
        <v>0</v>
      </c>
      <c r="M81" s="87">
        <v>0</v>
      </c>
      <c r="N81" s="87">
        <v>0</v>
      </c>
      <c r="O81" s="87">
        <v>0</v>
      </c>
      <c r="P81" s="87">
        <v>0</v>
      </c>
      <c r="Q81" s="87">
        <v>0</v>
      </c>
      <c r="R81" s="87">
        <v>0</v>
      </c>
      <c r="S81" s="87">
        <v>0</v>
      </c>
      <c r="T81" s="90">
        <f t="shared" si="1"/>
        <v>0</v>
      </c>
    </row>
    <row r="82" ht="15" spans="1:20">
      <c r="A82" s="86" t="s">
        <v>406</v>
      </c>
      <c r="B82" s="87">
        <v>0</v>
      </c>
      <c r="C82" s="87">
        <v>0</v>
      </c>
      <c r="D82" s="87">
        <v>3700</v>
      </c>
      <c r="E82" s="87">
        <v>0</v>
      </c>
      <c r="F82" s="87">
        <v>0</v>
      </c>
      <c r="G82" s="87">
        <v>0</v>
      </c>
      <c r="H82" s="87">
        <v>0</v>
      </c>
      <c r="I82" s="87">
        <v>0</v>
      </c>
      <c r="J82" s="87">
        <v>0</v>
      </c>
      <c r="K82" s="87">
        <v>0</v>
      </c>
      <c r="L82" s="87">
        <v>0</v>
      </c>
      <c r="M82" s="87">
        <v>0</v>
      </c>
      <c r="N82" s="87">
        <v>0</v>
      </c>
      <c r="O82" s="87">
        <v>0</v>
      </c>
      <c r="P82" s="87">
        <v>0</v>
      </c>
      <c r="Q82" s="87">
        <v>0</v>
      </c>
      <c r="R82" s="87">
        <v>0</v>
      </c>
      <c r="S82" s="87">
        <v>0</v>
      </c>
      <c r="T82" s="90">
        <f t="shared" si="1"/>
        <v>3700</v>
      </c>
    </row>
    <row r="83" ht="15" spans="1:20">
      <c r="A83" s="86" t="s">
        <v>407</v>
      </c>
      <c r="B83" s="87">
        <v>0</v>
      </c>
      <c r="C83" s="87">
        <v>0</v>
      </c>
      <c r="D83" s="87">
        <v>3400</v>
      </c>
      <c r="E83" s="87">
        <v>0</v>
      </c>
      <c r="F83" s="87">
        <v>0</v>
      </c>
      <c r="G83" s="87">
        <v>0</v>
      </c>
      <c r="H83" s="87">
        <v>0</v>
      </c>
      <c r="I83" s="87">
        <v>0</v>
      </c>
      <c r="J83" s="87">
        <v>0</v>
      </c>
      <c r="K83" s="87">
        <v>0</v>
      </c>
      <c r="L83" s="87">
        <v>0</v>
      </c>
      <c r="M83" s="87">
        <v>0</v>
      </c>
      <c r="N83" s="87">
        <v>0</v>
      </c>
      <c r="O83" s="87">
        <v>0</v>
      </c>
      <c r="P83" s="87">
        <v>0</v>
      </c>
      <c r="Q83" s="87">
        <v>0</v>
      </c>
      <c r="R83" s="87">
        <v>0</v>
      </c>
      <c r="S83" s="87">
        <v>0</v>
      </c>
      <c r="T83" s="90">
        <f t="shared" si="1"/>
        <v>3400</v>
      </c>
    </row>
    <row r="84" ht="15" spans="1:20">
      <c r="A84" s="86" t="s">
        <v>408</v>
      </c>
      <c r="B84" s="87">
        <v>0</v>
      </c>
      <c r="C84" s="87">
        <v>0</v>
      </c>
      <c r="D84" s="87">
        <v>59569.81</v>
      </c>
      <c r="E84" s="87">
        <v>0</v>
      </c>
      <c r="F84" s="87">
        <v>0</v>
      </c>
      <c r="G84" s="87">
        <v>0</v>
      </c>
      <c r="H84" s="87">
        <v>0</v>
      </c>
      <c r="I84" s="87">
        <v>0</v>
      </c>
      <c r="J84" s="87">
        <v>0</v>
      </c>
      <c r="K84" s="87">
        <v>0</v>
      </c>
      <c r="L84" s="87">
        <v>0</v>
      </c>
      <c r="M84" s="87">
        <v>0</v>
      </c>
      <c r="N84" s="87">
        <v>0</v>
      </c>
      <c r="O84" s="87">
        <v>0</v>
      </c>
      <c r="P84" s="87">
        <v>0</v>
      </c>
      <c r="Q84" s="87">
        <v>0</v>
      </c>
      <c r="R84" s="87">
        <v>0</v>
      </c>
      <c r="S84" s="87">
        <v>0</v>
      </c>
      <c r="T84" s="90">
        <f t="shared" si="1"/>
        <v>59569.81</v>
      </c>
    </row>
    <row r="85" ht="15" spans="1:20">
      <c r="A85" s="86" t="s">
        <v>222</v>
      </c>
      <c r="B85" s="87">
        <v>1690.7</v>
      </c>
      <c r="C85" s="87">
        <v>2175.2</v>
      </c>
      <c r="D85" s="87">
        <v>83</v>
      </c>
      <c r="E85" s="87">
        <v>283.4</v>
      </c>
      <c r="F85" s="87">
        <v>3326.71</v>
      </c>
      <c r="G85" s="87">
        <v>0</v>
      </c>
      <c r="H85" s="87">
        <v>5555.2</v>
      </c>
      <c r="I85" s="87">
        <v>0</v>
      </c>
      <c r="J85" s="87">
        <v>998</v>
      </c>
      <c r="K85" s="87">
        <v>1017.35</v>
      </c>
      <c r="L85" s="87">
        <v>0</v>
      </c>
      <c r="M85" s="87">
        <v>130</v>
      </c>
      <c r="N85" s="87">
        <v>0</v>
      </c>
      <c r="O85" s="87">
        <v>8689.46</v>
      </c>
      <c r="P85" s="87">
        <v>3192</v>
      </c>
      <c r="Q85" s="87">
        <v>3399.76</v>
      </c>
      <c r="R85" s="87">
        <v>0</v>
      </c>
      <c r="S85" s="87">
        <v>0</v>
      </c>
      <c r="T85" s="90">
        <f t="shared" si="1"/>
        <v>30540.78</v>
      </c>
    </row>
    <row r="86" ht="15" spans="1:20">
      <c r="A86" s="86" t="s">
        <v>409</v>
      </c>
      <c r="B86" s="87">
        <v>0</v>
      </c>
      <c r="C86" s="87">
        <v>0</v>
      </c>
      <c r="D86" s="87">
        <v>391.47</v>
      </c>
      <c r="E86" s="87">
        <v>576.84</v>
      </c>
      <c r="F86" s="87">
        <v>255.95</v>
      </c>
      <c r="G86" s="87">
        <v>0</v>
      </c>
      <c r="H86" s="87">
        <v>0</v>
      </c>
      <c r="I86" s="87">
        <v>460.99</v>
      </c>
      <c r="J86" s="87">
        <v>1771.66</v>
      </c>
      <c r="K86" s="87">
        <v>139.08</v>
      </c>
      <c r="L86" s="87">
        <v>28.5</v>
      </c>
      <c r="M86" s="87">
        <v>0</v>
      </c>
      <c r="N86" s="87">
        <v>0</v>
      </c>
      <c r="O86" s="87">
        <v>0</v>
      </c>
      <c r="P86" s="87">
        <v>0</v>
      </c>
      <c r="Q86" s="87">
        <v>142</v>
      </c>
      <c r="R86" s="87">
        <v>0</v>
      </c>
      <c r="S86" s="87">
        <v>0</v>
      </c>
      <c r="T86" s="90">
        <f t="shared" si="1"/>
        <v>3766.49</v>
      </c>
    </row>
    <row r="87" ht="15" spans="1:20">
      <c r="A87" s="86" t="s">
        <v>263</v>
      </c>
      <c r="B87" s="87">
        <v>0</v>
      </c>
      <c r="C87" s="87">
        <v>0</v>
      </c>
      <c r="D87" s="87">
        <v>3308.54</v>
      </c>
      <c r="E87" s="87">
        <v>0</v>
      </c>
      <c r="F87" s="87">
        <v>0</v>
      </c>
      <c r="G87" s="87">
        <v>0</v>
      </c>
      <c r="H87" s="87">
        <v>0</v>
      </c>
      <c r="I87" s="87">
        <v>0</v>
      </c>
      <c r="J87" s="87">
        <v>0</v>
      </c>
      <c r="K87" s="87">
        <v>0</v>
      </c>
      <c r="L87" s="87">
        <v>0</v>
      </c>
      <c r="M87" s="87">
        <v>0</v>
      </c>
      <c r="N87" s="87">
        <v>0</v>
      </c>
      <c r="O87" s="87">
        <v>0</v>
      </c>
      <c r="P87" s="87">
        <v>1485</v>
      </c>
      <c r="Q87" s="87">
        <v>110</v>
      </c>
      <c r="R87" s="87">
        <v>214.7</v>
      </c>
      <c r="S87" s="87">
        <v>0</v>
      </c>
      <c r="T87" s="90">
        <f t="shared" si="1"/>
        <v>5118.24</v>
      </c>
    </row>
    <row r="88" ht="15" spans="1:20">
      <c r="A88" s="86" t="s">
        <v>410</v>
      </c>
      <c r="B88" s="87">
        <v>0</v>
      </c>
      <c r="C88" s="87">
        <v>0</v>
      </c>
      <c r="D88" s="87">
        <v>1414</v>
      </c>
      <c r="E88" s="87">
        <v>0</v>
      </c>
      <c r="F88" s="87">
        <v>0</v>
      </c>
      <c r="G88" s="87">
        <v>0</v>
      </c>
      <c r="H88" s="87">
        <v>0</v>
      </c>
      <c r="I88" s="87">
        <v>0</v>
      </c>
      <c r="J88" s="87">
        <v>0</v>
      </c>
      <c r="K88" s="87">
        <v>0</v>
      </c>
      <c r="L88" s="87">
        <v>0</v>
      </c>
      <c r="M88" s="87">
        <v>0</v>
      </c>
      <c r="N88" s="87">
        <v>0</v>
      </c>
      <c r="O88" s="87">
        <v>0</v>
      </c>
      <c r="P88" s="87">
        <v>0</v>
      </c>
      <c r="Q88" s="87">
        <v>0</v>
      </c>
      <c r="R88" s="87">
        <v>0</v>
      </c>
      <c r="S88" s="87">
        <v>0</v>
      </c>
      <c r="T88" s="90">
        <f t="shared" si="1"/>
        <v>1414</v>
      </c>
    </row>
    <row r="89" ht="15" spans="1:20">
      <c r="A89" s="86" t="s">
        <v>411</v>
      </c>
      <c r="B89" s="87">
        <v>0</v>
      </c>
      <c r="C89" s="87">
        <v>8394</v>
      </c>
      <c r="D89" s="87">
        <v>3544.05</v>
      </c>
      <c r="E89" s="87">
        <v>0</v>
      </c>
      <c r="F89" s="87">
        <v>0</v>
      </c>
      <c r="G89" s="87">
        <v>0</v>
      </c>
      <c r="H89" s="87">
        <v>0</v>
      </c>
      <c r="I89" s="87">
        <v>0</v>
      </c>
      <c r="J89" s="87">
        <v>0</v>
      </c>
      <c r="K89" s="87">
        <v>0</v>
      </c>
      <c r="L89" s="87">
        <v>0</v>
      </c>
      <c r="M89" s="87">
        <v>0</v>
      </c>
      <c r="N89" s="87">
        <v>0</v>
      </c>
      <c r="O89" s="87">
        <v>0</v>
      </c>
      <c r="P89" s="87">
        <v>0</v>
      </c>
      <c r="Q89" s="87">
        <v>0</v>
      </c>
      <c r="R89" s="87">
        <v>0</v>
      </c>
      <c r="S89" s="87">
        <v>0</v>
      </c>
      <c r="T89" s="90">
        <f t="shared" si="1"/>
        <v>11938.05</v>
      </c>
    </row>
    <row r="90" ht="15" spans="1:20">
      <c r="A90" s="86" t="s">
        <v>230</v>
      </c>
      <c r="B90" s="87">
        <v>0</v>
      </c>
      <c r="C90" s="87">
        <v>32401.77</v>
      </c>
      <c r="D90" s="87">
        <v>0</v>
      </c>
      <c r="E90" s="87">
        <v>0</v>
      </c>
      <c r="F90" s="87">
        <v>0</v>
      </c>
      <c r="G90" s="87">
        <v>0</v>
      </c>
      <c r="H90" s="87">
        <v>2141</v>
      </c>
      <c r="I90" s="87">
        <v>0</v>
      </c>
      <c r="J90" s="87">
        <v>0</v>
      </c>
      <c r="K90" s="87">
        <v>0</v>
      </c>
      <c r="L90" s="87">
        <v>0</v>
      </c>
      <c r="M90" s="87">
        <v>0</v>
      </c>
      <c r="N90" s="87">
        <v>0</v>
      </c>
      <c r="O90" s="87">
        <v>0</v>
      </c>
      <c r="P90" s="87">
        <v>0</v>
      </c>
      <c r="Q90" s="87">
        <v>0</v>
      </c>
      <c r="R90" s="87">
        <v>0</v>
      </c>
      <c r="S90" s="87">
        <v>0</v>
      </c>
      <c r="T90" s="90">
        <f t="shared" si="1"/>
        <v>34542.77</v>
      </c>
    </row>
    <row r="91" ht="15" spans="1:20">
      <c r="A91" s="86" t="s">
        <v>324</v>
      </c>
      <c r="B91" s="87">
        <v>0</v>
      </c>
      <c r="C91" s="87">
        <v>0</v>
      </c>
      <c r="D91" s="87">
        <v>0</v>
      </c>
      <c r="E91" s="87">
        <v>0</v>
      </c>
      <c r="F91" s="87">
        <v>0</v>
      </c>
      <c r="G91" s="87">
        <v>0</v>
      </c>
      <c r="H91" s="87">
        <v>5402.58</v>
      </c>
      <c r="I91" s="87">
        <v>0</v>
      </c>
      <c r="J91" s="87">
        <v>0</v>
      </c>
      <c r="K91" s="87">
        <v>0</v>
      </c>
      <c r="L91" s="87">
        <v>0</v>
      </c>
      <c r="M91" s="87">
        <v>0</v>
      </c>
      <c r="N91" s="87">
        <v>0</v>
      </c>
      <c r="O91" s="87">
        <v>8306.18</v>
      </c>
      <c r="P91" s="87">
        <v>1580.59</v>
      </c>
      <c r="Q91" s="87">
        <v>0</v>
      </c>
      <c r="R91" s="87">
        <v>0</v>
      </c>
      <c r="S91" s="87">
        <v>0</v>
      </c>
      <c r="T91" s="90">
        <f t="shared" si="1"/>
        <v>15289.35</v>
      </c>
    </row>
    <row r="92" ht="15" spans="1:20">
      <c r="A92" s="86" t="s">
        <v>412</v>
      </c>
      <c r="B92" s="87">
        <v>0</v>
      </c>
      <c r="C92" s="87">
        <v>3827.42</v>
      </c>
      <c r="D92" s="87">
        <v>0</v>
      </c>
      <c r="E92" s="87">
        <v>0</v>
      </c>
      <c r="F92" s="87">
        <v>0</v>
      </c>
      <c r="G92" s="87">
        <v>0</v>
      </c>
      <c r="H92" s="87">
        <v>0</v>
      </c>
      <c r="I92" s="87">
        <v>0</v>
      </c>
      <c r="J92" s="87">
        <v>0</v>
      </c>
      <c r="K92" s="87">
        <v>0</v>
      </c>
      <c r="L92" s="87">
        <v>0</v>
      </c>
      <c r="M92" s="87">
        <v>0</v>
      </c>
      <c r="N92" s="87">
        <v>0</v>
      </c>
      <c r="O92" s="87">
        <v>0</v>
      </c>
      <c r="P92" s="87">
        <v>0</v>
      </c>
      <c r="Q92" s="87">
        <v>1206</v>
      </c>
      <c r="R92" s="87">
        <v>0</v>
      </c>
      <c r="S92" s="87">
        <v>0</v>
      </c>
      <c r="T92" s="90">
        <f t="shared" si="1"/>
        <v>5033.42</v>
      </c>
    </row>
    <row r="93" ht="15" spans="1:20">
      <c r="A93" s="86" t="s">
        <v>139</v>
      </c>
      <c r="B93" s="87">
        <v>27056</v>
      </c>
      <c r="C93" s="87">
        <v>12895.52</v>
      </c>
      <c r="D93" s="87">
        <v>41734.96</v>
      </c>
      <c r="E93" s="87">
        <v>17</v>
      </c>
      <c r="F93" s="87">
        <v>0</v>
      </c>
      <c r="G93" s="87">
        <v>0</v>
      </c>
      <c r="H93" s="87">
        <v>38365</v>
      </c>
      <c r="I93" s="87">
        <v>725</v>
      </c>
      <c r="J93" s="87">
        <v>0</v>
      </c>
      <c r="K93" s="87">
        <v>0</v>
      </c>
      <c r="L93" s="87">
        <v>2000</v>
      </c>
      <c r="M93" s="87">
        <v>0</v>
      </c>
      <c r="N93" s="87">
        <v>0</v>
      </c>
      <c r="O93" s="87">
        <v>15545</v>
      </c>
      <c r="P93" s="87">
        <v>0</v>
      </c>
      <c r="Q93" s="87">
        <v>345</v>
      </c>
      <c r="R93" s="87">
        <v>150</v>
      </c>
      <c r="S93" s="87">
        <v>0</v>
      </c>
      <c r="T93" s="90">
        <f t="shared" si="1"/>
        <v>138833.48</v>
      </c>
    </row>
    <row r="94" ht="15.15" spans="1:21">
      <c r="A94" s="91" t="s">
        <v>199</v>
      </c>
      <c r="B94" s="92">
        <f>SUM(B4:B93)</f>
        <v>28746.7</v>
      </c>
      <c r="C94" s="92">
        <f t="shared" ref="C94:T94" si="2">SUM(C4:C93)</f>
        <v>66436.41</v>
      </c>
      <c r="D94" s="92">
        <f t="shared" si="2"/>
        <v>1929613.08</v>
      </c>
      <c r="E94" s="92">
        <f t="shared" si="2"/>
        <v>1962436.73</v>
      </c>
      <c r="F94" s="92">
        <f t="shared" si="2"/>
        <v>140517.66</v>
      </c>
      <c r="G94" s="92">
        <f t="shared" si="2"/>
        <v>1390</v>
      </c>
      <c r="H94" s="92">
        <f t="shared" si="2"/>
        <v>360050.01</v>
      </c>
      <c r="I94" s="92">
        <f t="shared" si="2"/>
        <v>409048.99</v>
      </c>
      <c r="J94" s="92">
        <f t="shared" si="2"/>
        <v>30304.66</v>
      </c>
      <c r="K94" s="92">
        <f t="shared" si="2"/>
        <v>626980.37</v>
      </c>
      <c r="L94" s="92">
        <f t="shared" si="2"/>
        <v>2028.5</v>
      </c>
      <c r="M94" s="92">
        <f t="shared" si="2"/>
        <v>130</v>
      </c>
      <c r="N94" s="92">
        <f t="shared" si="2"/>
        <v>0</v>
      </c>
      <c r="O94" s="92">
        <f t="shared" si="2"/>
        <v>32540.64</v>
      </c>
      <c r="P94" s="92">
        <f t="shared" si="2"/>
        <v>6257.59</v>
      </c>
      <c r="Q94" s="92">
        <f t="shared" si="2"/>
        <v>5202.76</v>
      </c>
      <c r="R94" s="92">
        <f t="shared" si="2"/>
        <v>2504.47</v>
      </c>
      <c r="S94" s="92">
        <f t="shared" si="2"/>
        <v>0</v>
      </c>
      <c r="T94" s="95">
        <f t="shared" si="2"/>
        <v>5604188.57</v>
      </c>
      <c r="U94" s="96"/>
    </row>
    <row r="96" spans="5:5">
      <c r="E96" s="93"/>
    </row>
    <row r="98" ht="39.75" hidden="1" customHeight="1" spans="1:19">
      <c r="A98" s="81" t="s">
        <v>413</v>
      </c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</row>
    <row r="99" ht="16.5" hidden="1" customHeight="1" spans="1:20">
      <c r="A99" s="82" t="s">
        <v>375</v>
      </c>
      <c r="B99" s="83" t="s">
        <v>357</v>
      </c>
      <c r="C99" s="83" t="s">
        <v>358</v>
      </c>
      <c r="D99" s="83" t="s">
        <v>360</v>
      </c>
      <c r="E99" s="83" t="s">
        <v>359</v>
      </c>
      <c r="F99" s="83" t="s">
        <v>361</v>
      </c>
      <c r="G99" s="83" t="s">
        <v>356</v>
      </c>
      <c r="H99" s="83" t="s">
        <v>355</v>
      </c>
      <c r="I99" s="83" t="s">
        <v>376</v>
      </c>
      <c r="J99" s="83" t="s">
        <v>377</v>
      </c>
      <c r="K99" s="83" t="s">
        <v>378</v>
      </c>
      <c r="L99" s="83" t="s">
        <v>379</v>
      </c>
      <c r="M99" s="83" t="s">
        <v>380</v>
      </c>
      <c r="N99" s="83" t="s">
        <v>381</v>
      </c>
      <c r="O99" s="83" t="s">
        <v>364</v>
      </c>
      <c r="P99" s="83" t="s">
        <v>382</v>
      </c>
      <c r="Q99" s="83" t="s">
        <v>383</v>
      </c>
      <c r="R99" s="83" t="s">
        <v>362</v>
      </c>
      <c r="S99" s="83" t="s">
        <v>139</v>
      </c>
      <c r="T99" s="88" t="s">
        <v>199</v>
      </c>
    </row>
    <row r="100" ht="15.6" hidden="1" spans="1:20">
      <c r="A100" s="84" t="s">
        <v>300</v>
      </c>
      <c r="B100" s="85"/>
      <c r="C100" s="85"/>
      <c r="D100" s="85"/>
      <c r="E100" s="85"/>
      <c r="F100" s="85"/>
      <c r="G100" s="85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9"/>
    </row>
    <row r="101" ht="15" hidden="1" spans="1:20">
      <c r="A101" s="86" t="s">
        <v>205</v>
      </c>
      <c r="B101" s="94">
        <v>0</v>
      </c>
      <c r="C101" s="94">
        <v>0</v>
      </c>
      <c r="D101" s="94">
        <v>0</v>
      </c>
      <c r="E101" s="94">
        <v>0</v>
      </c>
      <c r="F101" s="94">
        <v>0</v>
      </c>
      <c r="G101" s="94">
        <v>0</v>
      </c>
      <c r="H101" s="94">
        <v>0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7">
        <f t="shared" ref="T101:T132" si="3">SUM(B101:S101)</f>
        <v>0</v>
      </c>
    </row>
    <row r="102" ht="15" hidden="1" spans="1:20">
      <c r="A102" s="86" t="s">
        <v>384</v>
      </c>
      <c r="B102" s="94">
        <v>0</v>
      </c>
      <c r="C102" s="94">
        <v>0</v>
      </c>
      <c r="D102" s="94">
        <v>0</v>
      </c>
      <c r="E102" s="94">
        <v>0</v>
      </c>
      <c r="F102" s="94">
        <v>0</v>
      </c>
      <c r="G102" s="94">
        <v>0</v>
      </c>
      <c r="H102" s="94">
        <v>0</v>
      </c>
      <c r="I102" s="94">
        <v>0</v>
      </c>
      <c r="J102" s="94">
        <v>0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0</v>
      </c>
      <c r="Q102" s="94">
        <v>0</v>
      </c>
      <c r="R102" s="94">
        <v>0</v>
      </c>
      <c r="S102" s="94">
        <v>0</v>
      </c>
      <c r="T102" s="97">
        <f t="shared" si="3"/>
        <v>0</v>
      </c>
    </row>
    <row r="103" ht="15" hidden="1" spans="1:20">
      <c r="A103" s="86" t="s">
        <v>385</v>
      </c>
      <c r="B103" s="94">
        <v>0</v>
      </c>
      <c r="C103" s="94">
        <v>0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7">
        <f t="shared" si="3"/>
        <v>0</v>
      </c>
    </row>
    <row r="104" ht="15" hidden="1" spans="1:20">
      <c r="A104" s="86" t="s">
        <v>302</v>
      </c>
      <c r="B104" s="94">
        <v>0</v>
      </c>
      <c r="C104" s="94">
        <v>0</v>
      </c>
      <c r="D104" s="94">
        <v>0</v>
      </c>
      <c r="E104" s="94">
        <v>0</v>
      </c>
      <c r="F104" s="94">
        <v>0</v>
      </c>
      <c r="G104" s="94">
        <v>0</v>
      </c>
      <c r="H104" s="94">
        <v>22146.04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7">
        <f t="shared" si="3"/>
        <v>22146.04</v>
      </c>
    </row>
    <row r="105" ht="15" hidden="1" spans="1:20">
      <c r="A105" s="86" t="s">
        <v>303</v>
      </c>
      <c r="B105" s="94">
        <v>0</v>
      </c>
      <c r="C105" s="94">
        <v>0</v>
      </c>
      <c r="D105" s="94">
        <v>0</v>
      </c>
      <c r="E105" s="94">
        <v>0</v>
      </c>
      <c r="F105" s="94">
        <v>0</v>
      </c>
      <c r="G105" s="94">
        <v>0</v>
      </c>
      <c r="H105" s="94">
        <v>496.8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7">
        <f t="shared" si="3"/>
        <v>496.8</v>
      </c>
    </row>
    <row r="106" ht="15" hidden="1" spans="1:20">
      <c r="A106" s="86" t="s">
        <v>304</v>
      </c>
      <c r="B106" s="94">
        <v>0</v>
      </c>
      <c r="C106" s="94">
        <v>0</v>
      </c>
      <c r="D106" s="94">
        <v>0</v>
      </c>
      <c r="E106" s="94">
        <v>0</v>
      </c>
      <c r="F106" s="94">
        <v>0</v>
      </c>
      <c r="G106" s="94">
        <v>0</v>
      </c>
      <c r="H106" s="94">
        <v>441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7">
        <f t="shared" si="3"/>
        <v>441</v>
      </c>
    </row>
    <row r="107" ht="15" hidden="1" spans="1:20">
      <c r="A107" s="86" t="s">
        <v>305</v>
      </c>
      <c r="B107" s="94">
        <v>0</v>
      </c>
      <c r="C107" s="94">
        <v>0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7">
        <f t="shared" si="3"/>
        <v>0</v>
      </c>
    </row>
    <row r="108" ht="15" hidden="1" spans="1:20">
      <c r="A108" s="86" t="s">
        <v>306</v>
      </c>
      <c r="B108" s="94">
        <v>0</v>
      </c>
      <c r="C108" s="94">
        <v>0</v>
      </c>
      <c r="D108" s="94">
        <v>0</v>
      </c>
      <c r="E108" s="94">
        <v>0</v>
      </c>
      <c r="F108" s="94">
        <v>0</v>
      </c>
      <c r="G108" s="94">
        <v>0</v>
      </c>
      <c r="H108" s="94">
        <v>3200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0</v>
      </c>
      <c r="P108" s="94">
        <v>0</v>
      </c>
      <c r="Q108" s="94">
        <v>0</v>
      </c>
      <c r="R108" s="94">
        <v>0</v>
      </c>
      <c r="S108" s="94">
        <v>0</v>
      </c>
      <c r="T108" s="97">
        <f t="shared" si="3"/>
        <v>3200</v>
      </c>
    </row>
    <row r="109" ht="15" hidden="1" spans="1:20">
      <c r="A109" s="86" t="s">
        <v>308</v>
      </c>
      <c r="B109" s="94">
        <v>0</v>
      </c>
      <c r="C109" s="94">
        <v>0</v>
      </c>
      <c r="D109" s="94">
        <v>0</v>
      </c>
      <c r="E109" s="94">
        <v>0</v>
      </c>
      <c r="F109" s="94">
        <v>0</v>
      </c>
      <c r="G109" s="94">
        <v>0</v>
      </c>
      <c r="H109" s="94">
        <v>0</v>
      </c>
      <c r="I109" s="94">
        <v>0</v>
      </c>
      <c r="J109" s="94">
        <v>0</v>
      </c>
      <c r="K109" s="94">
        <v>0</v>
      </c>
      <c r="L109" s="94">
        <v>0</v>
      </c>
      <c r="M109" s="94">
        <v>0</v>
      </c>
      <c r="N109" s="94">
        <v>0</v>
      </c>
      <c r="O109" s="94">
        <v>0</v>
      </c>
      <c r="P109" s="94">
        <v>0</v>
      </c>
      <c r="Q109" s="94">
        <v>0</v>
      </c>
      <c r="R109" s="94">
        <v>0</v>
      </c>
      <c r="S109" s="94">
        <v>0</v>
      </c>
      <c r="T109" s="97">
        <f t="shared" si="3"/>
        <v>0</v>
      </c>
    </row>
    <row r="110" ht="15" hidden="1" spans="1:20">
      <c r="A110" s="86" t="s">
        <v>309</v>
      </c>
      <c r="B110" s="94">
        <v>0</v>
      </c>
      <c r="C110" s="94">
        <v>0</v>
      </c>
      <c r="D110" s="94">
        <v>0</v>
      </c>
      <c r="E110" s="94">
        <v>0</v>
      </c>
      <c r="F110" s="94">
        <v>0</v>
      </c>
      <c r="G110" s="94">
        <v>0</v>
      </c>
      <c r="H110" s="94">
        <v>0</v>
      </c>
      <c r="I110" s="94">
        <v>0</v>
      </c>
      <c r="J110" s="94">
        <v>0</v>
      </c>
      <c r="K110" s="94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0</v>
      </c>
      <c r="S110" s="94">
        <v>0</v>
      </c>
      <c r="T110" s="97">
        <f t="shared" si="3"/>
        <v>0</v>
      </c>
    </row>
    <row r="111" ht="15" hidden="1" spans="1:20">
      <c r="A111" s="86" t="s">
        <v>310</v>
      </c>
      <c r="B111" s="94">
        <v>0</v>
      </c>
      <c r="C111" s="94">
        <v>0</v>
      </c>
      <c r="D111" s="94">
        <v>0</v>
      </c>
      <c r="E111" s="94">
        <v>0</v>
      </c>
      <c r="F111" s="94">
        <v>0</v>
      </c>
      <c r="G111" s="94">
        <v>0</v>
      </c>
      <c r="H111" s="94">
        <v>0</v>
      </c>
      <c r="I111" s="94">
        <v>0</v>
      </c>
      <c r="J111" s="94">
        <v>0</v>
      </c>
      <c r="K111" s="94">
        <v>0</v>
      </c>
      <c r="L111" s="94">
        <v>0</v>
      </c>
      <c r="M111" s="94">
        <v>0</v>
      </c>
      <c r="N111" s="94">
        <v>0</v>
      </c>
      <c r="O111" s="94">
        <v>0</v>
      </c>
      <c r="P111" s="94">
        <v>0</v>
      </c>
      <c r="Q111" s="94">
        <v>0</v>
      </c>
      <c r="R111" s="94">
        <v>0</v>
      </c>
      <c r="S111" s="94">
        <v>0</v>
      </c>
      <c r="T111" s="97">
        <f t="shared" si="3"/>
        <v>0</v>
      </c>
    </row>
    <row r="112" ht="15" hidden="1" spans="1:20">
      <c r="A112" s="86" t="s">
        <v>311</v>
      </c>
      <c r="B112" s="94">
        <v>0</v>
      </c>
      <c r="C112" s="94">
        <v>0</v>
      </c>
      <c r="D112" s="94">
        <v>0</v>
      </c>
      <c r="E112" s="94">
        <v>0</v>
      </c>
      <c r="F112" s="94">
        <v>0</v>
      </c>
      <c r="G112" s="94">
        <v>0</v>
      </c>
      <c r="H112" s="94">
        <v>0</v>
      </c>
      <c r="I112" s="94">
        <v>0</v>
      </c>
      <c r="J112" s="94">
        <v>0</v>
      </c>
      <c r="K112" s="94">
        <v>0</v>
      </c>
      <c r="L112" s="94">
        <v>0</v>
      </c>
      <c r="M112" s="94">
        <v>0</v>
      </c>
      <c r="N112" s="94">
        <v>0</v>
      </c>
      <c r="O112" s="94">
        <v>0</v>
      </c>
      <c r="P112" s="94">
        <v>0</v>
      </c>
      <c r="Q112" s="94">
        <v>0</v>
      </c>
      <c r="R112" s="94">
        <v>0</v>
      </c>
      <c r="S112" s="94">
        <v>0</v>
      </c>
      <c r="T112" s="97">
        <f t="shared" si="3"/>
        <v>0</v>
      </c>
    </row>
    <row r="113" ht="15" hidden="1" spans="1:20">
      <c r="A113" s="86" t="s">
        <v>312</v>
      </c>
      <c r="B113" s="94">
        <v>0</v>
      </c>
      <c r="C113" s="94">
        <v>0</v>
      </c>
      <c r="D113" s="94">
        <v>0</v>
      </c>
      <c r="E113" s="94">
        <v>0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0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7">
        <f t="shared" si="3"/>
        <v>0</v>
      </c>
    </row>
    <row r="114" ht="15" hidden="1" spans="1:20">
      <c r="A114" s="86" t="s">
        <v>313</v>
      </c>
      <c r="B114" s="94">
        <v>0</v>
      </c>
      <c r="C114" s="94">
        <v>0</v>
      </c>
      <c r="D114" s="94">
        <v>0</v>
      </c>
      <c r="E114" s="94">
        <v>0</v>
      </c>
      <c r="F114" s="94">
        <v>0</v>
      </c>
      <c r="G114" s="94">
        <v>0</v>
      </c>
      <c r="H114" s="94">
        <v>0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7">
        <f t="shared" si="3"/>
        <v>0</v>
      </c>
    </row>
    <row r="115" ht="15" hidden="1" spans="1:20">
      <c r="A115" s="86" t="s">
        <v>314</v>
      </c>
      <c r="B115" s="94">
        <v>0</v>
      </c>
      <c r="C115" s="94">
        <v>0</v>
      </c>
      <c r="D115" s="94">
        <v>0</v>
      </c>
      <c r="E115" s="94">
        <v>0</v>
      </c>
      <c r="F115" s="94">
        <v>0</v>
      </c>
      <c r="G115" s="94">
        <v>0</v>
      </c>
      <c r="H115" s="94">
        <v>0</v>
      </c>
      <c r="I115" s="94">
        <v>0</v>
      </c>
      <c r="J115" s="94">
        <v>0</v>
      </c>
      <c r="K115" s="94">
        <v>0</v>
      </c>
      <c r="L115" s="94">
        <v>0</v>
      </c>
      <c r="M115" s="94">
        <v>0</v>
      </c>
      <c r="N115" s="94">
        <v>0</v>
      </c>
      <c r="O115" s="94">
        <v>0</v>
      </c>
      <c r="P115" s="94">
        <v>0</v>
      </c>
      <c r="Q115" s="94">
        <v>0</v>
      </c>
      <c r="R115" s="94">
        <v>0</v>
      </c>
      <c r="S115" s="94">
        <v>0</v>
      </c>
      <c r="T115" s="97">
        <f t="shared" si="3"/>
        <v>0</v>
      </c>
    </row>
    <row r="116" ht="15" hidden="1" spans="1:20">
      <c r="A116" s="86" t="s">
        <v>315</v>
      </c>
      <c r="B116" s="94">
        <v>0</v>
      </c>
      <c r="C116" s="94">
        <v>0</v>
      </c>
      <c r="D116" s="94">
        <v>0</v>
      </c>
      <c r="E116" s="94">
        <v>0</v>
      </c>
      <c r="F116" s="94">
        <v>0</v>
      </c>
      <c r="G116" s="94">
        <v>0</v>
      </c>
      <c r="H116" s="94">
        <v>0</v>
      </c>
      <c r="I116" s="94">
        <v>0</v>
      </c>
      <c r="J116" s="94">
        <v>0</v>
      </c>
      <c r="K116" s="94">
        <v>0</v>
      </c>
      <c r="L116" s="94">
        <v>0</v>
      </c>
      <c r="M116" s="94">
        <v>0</v>
      </c>
      <c r="N116" s="94">
        <v>0</v>
      </c>
      <c r="O116" s="94">
        <v>0</v>
      </c>
      <c r="P116" s="94">
        <v>0</v>
      </c>
      <c r="Q116" s="94">
        <v>0</v>
      </c>
      <c r="R116" s="94">
        <v>0</v>
      </c>
      <c r="S116" s="94">
        <v>0</v>
      </c>
      <c r="T116" s="97">
        <f t="shared" si="3"/>
        <v>0</v>
      </c>
    </row>
    <row r="117" ht="15" hidden="1" spans="1:20">
      <c r="A117" s="86" t="s">
        <v>317</v>
      </c>
      <c r="B117" s="94">
        <v>0</v>
      </c>
      <c r="C117" s="94">
        <v>0</v>
      </c>
      <c r="D117" s="94">
        <v>0</v>
      </c>
      <c r="E117" s="94">
        <v>0</v>
      </c>
      <c r="F117" s="94">
        <v>0</v>
      </c>
      <c r="G117" s="94">
        <v>0</v>
      </c>
      <c r="H117" s="94">
        <v>0</v>
      </c>
      <c r="I117" s="94">
        <v>0</v>
      </c>
      <c r="J117" s="94">
        <v>0</v>
      </c>
      <c r="K117" s="94">
        <v>0</v>
      </c>
      <c r="L117" s="94">
        <v>0</v>
      </c>
      <c r="M117" s="94">
        <v>0</v>
      </c>
      <c r="N117" s="94">
        <v>0</v>
      </c>
      <c r="O117" s="94">
        <v>0</v>
      </c>
      <c r="P117" s="94">
        <v>0</v>
      </c>
      <c r="Q117" s="94">
        <v>0</v>
      </c>
      <c r="R117" s="94">
        <v>0</v>
      </c>
      <c r="S117" s="94">
        <v>0</v>
      </c>
      <c r="T117" s="97">
        <f t="shared" si="3"/>
        <v>0</v>
      </c>
    </row>
    <row r="118" ht="15" hidden="1" spans="1:20">
      <c r="A118" s="86" t="s">
        <v>318</v>
      </c>
      <c r="B118" s="94">
        <v>0</v>
      </c>
      <c r="C118" s="94">
        <v>0</v>
      </c>
      <c r="D118" s="94">
        <v>0</v>
      </c>
      <c r="E118" s="94">
        <v>0</v>
      </c>
      <c r="F118" s="94">
        <v>0</v>
      </c>
      <c r="G118" s="94">
        <v>0</v>
      </c>
      <c r="H118" s="94">
        <v>5217</v>
      </c>
      <c r="I118" s="94">
        <v>0</v>
      </c>
      <c r="J118" s="94">
        <v>0</v>
      </c>
      <c r="K118" s="94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7">
        <f t="shared" si="3"/>
        <v>5217</v>
      </c>
    </row>
    <row r="119" ht="15" hidden="1" spans="1:20">
      <c r="A119" s="86" t="s">
        <v>319</v>
      </c>
      <c r="B119" s="94">
        <v>0</v>
      </c>
      <c r="C119" s="94">
        <v>0</v>
      </c>
      <c r="D119" s="94">
        <v>0</v>
      </c>
      <c r="E119" s="94">
        <v>0</v>
      </c>
      <c r="F119" s="94">
        <v>0</v>
      </c>
      <c r="G119" s="94">
        <v>0</v>
      </c>
      <c r="H119" s="94">
        <v>0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0</v>
      </c>
      <c r="P119" s="94">
        <v>0</v>
      </c>
      <c r="Q119" s="94">
        <v>0</v>
      </c>
      <c r="R119" s="94">
        <v>0</v>
      </c>
      <c r="S119" s="94">
        <v>0</v>
      </c>
      <c r="T119" s="97">
        <f t="shared" si="3"/>
        <v>0</v>
      </c>
    </row>
    <row r="120" ht="15" hidden="1" spans="1:20">
      <c r="A120" s="86" t="s">
        <v>320</v>
      </c>
      <c r="B120" s="94">
        <v>0</v>
      </c>
      <c r="C120" s="94">
        <v>0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7">
        <f t="shared" si="3"/>
        <v>0</v>
      </c>
    </row>
    <row r="121" ht="15" hidden="1" spans="1:20">
      <c r="A121" s="86" t="s">
        <v>321</v>
      </c>
      <c r="B121" s="94">
        <v>0</v>
      </c>
      <c r="C121" s="94">
        <v>0</v>
      </c>
      <c r="D121" s="94">
        <v>0</v>
      </c>
      <c r="E121" s="94">
        <v>0</v>
      </c>
      <c r="F121" s="94">
        <v>0</v>
      </c>
      <c r="G121" s="94">
        <v>0</v>
      </c>
      <c r="H121" s="94">
        <v>0</v>
      </c>
      <c r="I121" s="94">
        <v>0</v>
      </c>
      <c r="J121" s="94">
        <v>0</v>
      </c>
      <c r="K121" s="94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7">
        <f t="shared" si="3"/>
        <v>0</v>
      </c>
    </row>
    <row r="122" ht="15" hidden="1" spans="1:20">
      <c r="A122" s="86" t="s">
        <v>322</v>
      </c>
      <c r="B122" s="94">
        <v>0</v>
      </c>
      <c r="C122" s="94">
        <v>0</v>
      </c>
      <c r="D122" s="94">
        <v>0</v>
      </c>
      <c r="E122" s="94">
        <v>0</v>
      </c>
      <c r="F122" s="94">
        <v>0</v>
      </c>
      <c r="G122" s="94">
        <v>0</v>
      </c>
      <c r="H122" s="94">
        <v>0</v>
      </c>
      <c r="I122" s="94">
        <v>0</v>
      </c>
      <c r="J122" s="94">
        <v>0</v>
      </c>
      <c r="K122" s="94">
        <v>0</v>
      </c>
      <c r="L122" s="94">
        <v>0</v>
      </c>
      <c r="M122" s="94">
        <v>0</v>
      </c>
      <c r="N122" s="94">
        <v>0</v>
      </c>
      <c r="O122" s="94">
        <v>0</v>
      </c>
      <c r="P122" s="94">
        <v>0</v>
      </c>
      <c r="Q122" s="94">
        <v>0</v>
      </c>
      <c r="R122" s="94">
        <v>0</v>
      </c>
      <c r="S122" s="94">
        <v>0</v>
      </c>
      <c r="T122" s="97">
        <f t="shared" si="3"/>
        <v>0</v>
      </c>
    </row>
    <row r="123" ht="15" hidden="1" spans="1:20">
      <c r="A123" s="86" t="s">
        <v>273</v>
      </c>
      <c r="B123" s="94">
        <v>0</v>
      </c>
      <c r="C123" s="94">
        <v>0</v>
      </c>
      <c r="D123" s="94">
        <v>0</v>
      </c>
      <c r="E123" s="94">
        <v>0</v>
      </c>
      <c r="F123" s="94">
        <v>0</v>
      </c>
      <c r="G123" s="94">
        <v>0</v>
      </c>
      <c r="H123" s="94">
        <v>0</v>
      </c>
      <c r="I123" s="94">
        <v>30000</v>
      </c>
      <c r="J123" s="94">
        <v>155000</v>
      </c>
      <c r="K123" s="94">
        <v>0</v>
      </c>
      <c r="L123" s="94">
        <v>0</v>
      </c>
      <c r="M123" s="94">
        <v>0</v>
      </c>
      <c r="N123" s="94">
        <v>0</v>
      </c>
      <c r="O123" s="94">
        <v>0</v>
      </c>
      <c r="P123" s="94">
        <v>0</v>
      </c>
      <c r="Q123" s="94">
        <v>0</v>
      </c>
      <c r="R123" s="94">
        <v>0</v>
      </c>
      <c r="S123" s="94">
        <v>0</v>
      </c>
      <c r="T123" s="97">
        <f t="shared" si="3"/>
        <v>185000</v>
      </c>
    </row>
    <row r="124" ht="15" hidden="1" spans="1:20">
      <c r="A124" s="86" t="s">
        <v>274</v>
      </c>
      <c r="B124" s="94">
        <v>0</v>
      </c>
      <c r="C124" s="94">
        <v>0</v>
      </c>
      <c r="D124" s="94">
        <v>0</v>
      </c>
      <c r="E124" s="94">
        <v>0</v>
      </c>
      <c r="F124" s="94">
        <v>0</v>
      </c>
      <c r="G124" s="94">
        <v>0</v>
      </c>
      <c r="H124" s="94">
        <v>0</v>
      </c>
      <c r="I124" s="94">
        <v>0</v>
      </c>
      <c r="J124" s="94">
        <v>15000</v>
      </c>
      <c r="K124" s="94">
        <v>0</v>
      </c>
      <c r="L124" s="94">
        <v>0</v>
      </c>
      <c r="M124" s="94">
        <v>0</v>
      </c>
      <c r="N124" s="94">
        <v>0</v>
      </c>
      <c r="O124" s="94">
        <v>0</v>
      </c>
      <c r="P124" s="94">
        <v>0</v>
      </c>
      <c r="Q124" s="94">
        <v>0</v>
      </c>
      <c r="R124" s="94">
        <v>0</v>
      </c>
      <c r="S124" s="94">
        <v>0</v>
      </c>
      <c r="T124" s="97">
        <f t="shared" si="3"/>
        <v>15000</v>
      </c>
    </row>
    <row r="125" ht="15" hidden="1" spans="1:20">
      <c r="A125" s="86" t="s">
        <v>275</v>
      </c>
      <c r="B125" s="94">
        <v>0</v>
      </c>
      <c r="C125" s="94">
        <v>0</v>
      </c>
      <c r="D125" s="94">
        <v>0</v>
      </c>
      <c r="E125" s="94">
        <v>0</v>
      </c>
      <c r="F125" s="94">
        <v>0</v>
      </c>
      <c r="G125" s="94">
        <v>0</v>
      </c>
      <c r="H125" s="94">
        <v>0</v>
      </c>
      <c r="I125" s="94">
        <v>0</v>
      </c>
      <c r="J125" s="94">
        <v>80000</v>
      </c>
      <c r="K125" s="94">
        <v>0</v>
      </c>
      <c r="L125" s="94">
        <v>0</v>
      </c>
      <c r="M125" s="94">
        <v>0</v>
      </c>
      <c r="N125" s="94">
        <v>0</v>
      </c>
      <c r="O125" s="94">
        <v>0</v>
      </c>
      <c r="P125" s="94">
        <v>0</v>
      </c>
      <c r="Q125" s="94">
        <v>0</v>
      </c>
      <c r="R125" s="94">
        <v>0</v>
      </c>
      <c r="S125" s="94">
        <v>0</v>
      </c>
      <c r="T125" s="97">
        <f t="shared" si="3"/>
        <v>80000</v>
      </c>
    </row>
    <row r="126" ht="15" hidden="1" spans="1:20">
      <c r="A126" s="86" t="s">
        <v>276</v>
      </c>
      <c r="B126" s="94">
        <v>0</v>
      </c>
      <c r="C126" s="94">
        <v>0</v>
      </c>
      <c r="D126" s="94">
        <v>0</v>
      </c>
      <c r="E126" s="94">
        <v>0</v>
      </c>
      <c r="F126" s="94">
        <v>0</v>
      </c>
      <c r="G126" s="94">
        <v>0</v>
      </c>
      <c r="H126" s="94">
        <v>0</v>
      </c>
      <c r="I126" s="94">
        <v>0</v>
      </c>
      <c r="J126" s="94">
        <v>0</v>
      </c>
      <c r="K126" s="94">
        <v>0</v>
      </c>
      <c r="L126" s="94">
        <v>0</v>
      </c>
      <c r="M126" s="94">
        <v>0</v>
      </c>
      <c r="N126" s="94">
        <v>0</v>
      </c>
      <c r="O126" s="94">
        <v>0</v>
      </c>
      <c r="P126" s="94">
        <v>0</v>
      </c>
      <c r="Q126" s="94">
        <v>0</v>
      </c>
      <c r="R126" s="94">
        <v>0</v>
      </c>
      <c r="S126" s="94">
        <v>0</v>
      </c>
      <c r="T126" s="97">
        <f t="shared" si="3"/>
        <v>0</v>
      </c>
    </row>
    <row r="127" ht="15" hidden="1" spans="1:20">
      <c r="A127" s="86" t="s">
        <v>277</v>
      </c>
      <c r="B127" s="94">
        <v>0</v>
      </c>
      <c r="C127" s="94">
        <v>0</v>
      </c>
      <c r="D127" s="94">
        <v>0</v>
      </c>
      <c r="E127" s="94">
        <v>0</v>
      </c>
      <c r="F127" s="94">
        <v>0</v>
      </c>
      <c r="G127" s="94">
        <v>0</v>
      </c>
      <c r="H127" s="94">
        <v>0</v>
      </c>
      <c r="I127" s="94">
        <v>97000</v>
      </c>
      <c r="J127" s="94">
        <v>0</v>
      </c>
      <c r="K127" s="94">
        <v>0</v>
      </c>
      <c r="L127" s="94">
        <v>0</v>
      </c>
      <c r="M127" s="94">
        <v>0</v>
      </c>
      <c r="N127" s="94">
        <v>0</v>
      </c>
      <c r="O127" s="94">
        <v>0</v>
      </c>
      <c r="P127" s="94">
        <v>0</v>
      </c>
      <c r="Q127" s="94">
        <v>0</v>
      </c>
      <c r="R127" s="94">
        <v>0</v>
      </c>
      <c r="S127" s="94">
        <v>0</v>
      </c>
      <c r="T127" s="97">
        <f t="shared" si="3"/>
        <v>97000</v>
      </c>
    </row>
    <row r="128" ht="15" hidden="1" spans="1:20">
      <c r="A128" s="86" t="s">
        <v>278</v>
      </c>
      <c r="B128" s="94">
        <v>0</v>
      </c>
      <c r="C128" s="94">
        <v>0</v>
      </c>
      <c r="D128" s="94">
        <v>0</v>
      </c>
      <c r="E128" s="94">
        <v>0</v>
      </c>
      <c r="F128" s="94">
        <v>0</v>
      </c>
      <c r="G128" s="94">
        <v>0</v>
      </c>
      <c r="H128" s="94">
        <v>0</v>
      </c>
      <c r="I128" s="94">
        <v>4148</v>
      </c>
      <c r="J128" s="94">
        <v>3885</v>
      </c>
      <c r="K128" s="94">
        <v>0</v>
      </c>
      <c r="L128" s="94">
        <v>0</v>
      </c>
      <c r="M128" s="94">
        <v>0</v>
      </c>
      <c r="N128" s="94">
        <v>0</v>
      </c>
      <c r="O128" s="94">
        <v>0</v>
      </c>
      <c r="P128" s="94">
        <v>0</v>
      </c>
      <c r="Q128" s="94">
        <v>0</v>
      </c>
      <c r="R128" s="94">
        <v>0</v>
      </c>
      <c r="S128" s="94">
        <v>0</v>
      </c>
      <c r="T128" s="97">
        <f t="shared" si="3"/>
        <v>8033</v>
      </c>
    </row>
    <row r="129" ht="15" hidden="1" spans="1:20">
      <c r="A129" s="86" t="s">
        <v>287</v>
      </c>
      <c r="B129" s="94">
        <v>0</v>
      </c>
      <c r="C129" s="94">
        <v>0</v>
      </c>
      <c r="D129" s="94">
        <v>0</v>
      </c>
      <c r="E129" s="94">
        <v>0</v>
      </c>
      <c r="F129" s="94">
        <v>0</v>
      </c>
      <c r="G129" s="94">
        <v>0</v>
      </c>
      <c r="H129" s="94">
        <v>0</v>
      </c>
      <c r="I129" s="94">
        <v>0</v>
      </c>
      <c r="J129" s="94">
        <v>232</v>
      </c>
      <c r="K129" s="94">
        <v>0</v>
      </c>
      <c r="L129" s="94">
        <v>0</v>
      </c>
      <c r="M129" s="94">
        <v>0</v>
      </c>
      <c r="N129" s="94">
        <v>0</v>
      </c>
      <c r="O129" s="94">
        <v>0</v>
      </c>
      <c r="P129" s="94">
        <v>0</v>
      </c>
      <c r="Q129" s="94">
        <v>0</v>
      </c>
      <c r="R129" s="94">
        <v>0</v>
      </c>
      <c r="S129" s="94">
        <v>0</v>
      </c>
      <c r="T129" s="97">
        <f t="shared" si="3"/>
        <v>232</v>
      </c>
    </row>
    <row r="130" ht="15" hidden="1" spans="1:20">
      <c r="A130" s="86" t="s">
        <v>279</v>
      </c>
      <c r="B130" s="94">
        <v>0</v>
      </c>
      <c r="C130" s="94">
        <v>0</v>
      </c>
      <c r="D130" s="94">
        <v>0</v>
      </c>
      <c r="E130" s="94">
        <v>0</v>
      </c>
      <c r="F130" s="94">
        <v>0</v>
      </c>
      <c r="G130" s="94">
        <v>0</v>
      </c>
      <c r="H130" s="94">
        <v>0</v>
      </c>
      <c r="I130" s="94">
        <v>0</v>
      </c>
      <c r="J130" s="94">
        <v>948</v>
      </c>
      <c r="K130" s="94">
        <v>0</v>
      </c>
      <c r="L130" s="94">
        <v>0</v>
      </c>
      <c r="M130" s="94">
        <v>0</v>
      </c>
      <c r="N130" s="94">
        <v>0</v>
      </c>
      <c r="O130" s="94">
        <v>0</v>
      </c>
      <c r="P130" s="94">
        <v>0</v>
      </c>
      <c r="Q130" s="94">
        <v>0</v>
      </c>
      <c r="R130" s="94">
        <v>0</v>
      </c>
      <c r="S130" s="94">
        <v>0</v>
      </c>
      <c r="T130" s="97">
        <f t="shared" si="3"/>
        <v>948</v>
      </c>
    </row>
    <row r="131" ht="15" hidden="1" spans="1:20">
      <c r="A131" s="86" t="s">
        <v>283</v>
      </c>
      <c r="B131" s="94">
        <v>0</v>
      </c>
      <c r="C131" s="94">
        <v>0</v>
      </c>
      <c r="D131" s="94">
        <v>0</v>
      </c>
      <c r="E131" s="94">
        <v>0</v>
      </c>
      <c r="F131" s="94">
        <v>0</v>
      </c>
      <c r="G131" s="94">
        <v>0</v>
      </c>
      <c r="H131" s="94">
        <v>0</v>
      </c>
      <c r="I131" s="94">
        <v>0</v>
      </c>
      <c r="J131" s="94">
        <v>0</v>
      </c>
      <c r="K131" s="94">
        <v>0</v>
      </c>
      <c r="L131" s="94">
        <v>0</v>
      </c>
      <c r="M131" s="94">
        <v>0</v>
      </c>
      <c r="N131" s="94">
        <v>0</v>
      </c>
      <c r="O131" s="94">
        <v>0</v>
      </c>
      <c r="P131" s="94">
        <v>0</v>
      </c>
      <c r="Q131" s="94">
        <v>0</v>
      </c>
      <c r="R131" s="94">
        <v>0</v>
      </c>
      <c r="S131" s="94">
        <v>0</v>
      </c>
      <c r="T131" s="97">
        <f t="shared" si="3"/>
        <v>0</v>
      </c>
    </row>
    <row r="132" ht="15" hidden="1" spans="1:20">
      <c r="A132" s="86" t="s">
        <v>284</v>
      </c>
      <c r="B132" s="94">
        <v>0</v>
      </c>
      <c r="C132" s="94">
        <v>0</v>
      </c>
      <c r="D132" s="94">
        <v>0</v>
      </c>
      <c r="E132" s="94">
        <v>0</v>
      </c>
      <c r="F132" s="94">
        <v>0</v>
      </c>
      <c r="G132" s="94">
        <v>0</v>
      </c>
      <c r="H132" s="94">
        <v>0</v>
      </c>
      <c r="I132" s="94">
        <v>25000</v>
      </c>
      <c r="J132" s="94">
        <v>0</v>
      </c>
      <c r="K132" s="94">
        <v>0</v>
      </c>
      <c r="L132" s="94">
        <v>0</v>
      </c>
      <c r="M132" s="94">
        <v>0</v>
      </c>
      <c r="N132" s="94">
        <v>0</v>
      </c>
      <c r="O132" s="94">
        <v>0</v>
      </c>
      <c r="P132" s="94">
        <v>0</v>
      </c>
      <c r="Q132" s="94">
        <v>0</v>
      </c>
      <c r="R132" s="94">
        <v>0</v>
      </c>
      <c r="S132" s="94">
        <v>0</v>
      </c>
      <c r="T132" s="97">
        <f t="shared" si="3"/>
        <v>25000</v>
      </c>
    </row>
    <row r="133" ht="15" hidden="1" spans="1:20">
      <c r="A133" s="86" t="s">
        <v>285</v>
      </c>
      <c r="B133" s="94">
        <v>0</v>
      </c>
      <c r="C133" s="94">
        <v>0</v>
      </c>
      <c r="D133" s="94">
        <v>0</v>
      </c>
      <c r="E133" s="94">
        <v>0</v>
      </c>
      <c r="F133" s="94">
        <v>0</v>
      </c>
      <c r="G133" s="94">
        <v>0</v>
      </c>
      <c r="H133" s="94">
        <v>0</v>
      </c>
      <c r="I133" s="94">
        <v>0</v>
      </c>
      <c r="J133" s="94">
        <v>0</v>
      </c>
      <c r="K133" s="94">
        <v>0</v>
      </c>
      <c r="L133" s="94">
        <v>0</v>
      </c>
      <c r="M133" s="94">
        <v>0</v>
      </c>
      <c r="N133" s="94">
        <v>0</v>
      </c>
      <c r="O133" s="94">
        <v>0</v>
      </c>
      <c r="P133" s="94">
        <v>0</v>
      </c>
      <c r="Q133" s="94">
        <v>0</v>
      </c>
      <c r="R133" s="94">
        <v>0</v>
      </c>
      <c r="S133" s="94">
        <v>0</v>
      </c>
      <c r="T133" s="97">
        <f t="shared" ref="T133:T164" si="4">SUM(B133:S133)</f>
        <v>0</v>
      </c>
    </row>
    <row r="134" ht="15" hidden="1" spans="1:20">
      <c r="A134" s="86" t="s">
        <v>386</v>
      </c>
      <c r="B134" s="94">
        <v>0</v>
      </c>
      <c r="C134" s="94">
        <v>0</v>
      </c>
      <c r="D134" s="94">
        <v>0</v>
      </c>
      <c r="E134" s="94">
        <v>0</v>
      </c>
      <c r="F134" s="94">
        <v>0</v>
      </c>
      <c r="G134" s="94">
        <v>0</v>
      </c>
      <c r="H134" s="94">
        <v>0</v>
      </c>
      <c r="I134" s="94">
        <v>0</v>
      </c>
      <c r="J134" s="94">
        <v>0</v>
      </c>
      <c r="K134" s="94">
        <v>0</v>
      </c>
      <c r="L134" s="94">
        <v>0</v>
      </c>
      <c r="M134" s="94">
        <v>0</v>
      </c>
      <c r="N134" s="94">
        <v>0</v>
      </c>
      <c r="O134" s="94">
        <v>0</v>
      </c>
      <c r="P134" s="94">
        <v>0</v>
      </c>
      <c r="Q134" s="94">
        <v>0</v>
      </c>
      <c r="R134" s="94">
        <v>0</v>
      </c>
      <c r="S134" s="94">
        <v>0</v>
      </c>
      <c r="T134" s="97">
        <f t="shared" si="4"/>
        <v>0</v>
      </c>
    </row>
    <row r="135" ht="15" hidden="1" spans="1:20">
      <c r="A135" s="86" t="s">
        <v>286</v>
      </c>
      <c r="B135" s="94">
        <v>0</v>
      </c>
      <c r="C135" s="94">
        <v>0</v>
      </c>
      <c r="D135" s="94">
        <v>0</v>
      </c>
      <c r="E135" s="94">
        <v>0</v>
      </c>
      <c r="F135" s="94">
        <v>0</v>
      </c>
      <c r="G135" s="94">
        <v>0</v>
      </c>
      <c r="H135" s="94">
        <v>0</v>
      </c>
      <c r="I135" s="94">
        <v>0</v>
      </c>
      <c r="J135" s="94">
        <v>0</v>
      </c>
      <c r="K135" s="94">
        <v>0</v>
      </c>
      <c r="L135" s="94">
        <v>0</v>
      </c>
      <c r="M135" s="94">
        <v>0</v>
      </c>
      <c r="N135" s="94">
        <v>0</v>
      </c>
      <c r="O135" s="94">
        <v>0</v>
      </c>
      <c r="P135" s="94">
        <v>0</v>
      </c>
      <c r="Q135" s="94">
        <v>0</v>
      </c>
      <c r="R135" s="94">
        <v>0</v>
      </c>
      <c r="S135" s="94">
        <v>0</v>
      </c>
      <c r="T135" s="97">
        <f t="shared" si="4"/>
        <v>0</v>
      </c>
    </row>
    <row r="136" ht="15" hidden="1" spans="1:20">
      <c r="A136" s="86" t="s">
        <v>288</v>
      </c>
      <c r="B136" s="94">
        <v>0</v>
      </c>
      <c r="C136" s="94">
        <v>0</v>
      </c>
      <c r="D136" s="94">
        <v>0</v>
      </c>
      <c r="E136" s="94">
        <v>0</v>
      </c>
      <c r="F136" s="94">
        <v>0</v>
      </c>
      <c r="G136" s="94">
        <v>0</v>
      </c>
      <c r="H136" s="94">
        <v>0</v>
      </c>
      <c r="I136" s="94">
        <v>0</v>
      </c>
      <c r="J136" s="94">
        <v>0</v>
      </c>
      <c r="K136" s="94">
        <v>0</v>
      </c>
      <c r="L136" s="94">
        <v>0</v>
      </c>
      <c r="M136" s="94">
        <v>0</v>
      </c>
      <c r="N136" s="94">
        <v>0</v>
      </c>
      <c r="O136" s="94">
        <v>0</v>
      </c>
      <c r="P136" s="94">
        <v>0</v>
      </c>
      <c r="Q136" s="94">
        <v>0</v>
      </c>
      <c r="R136" s="94">
        <v>0</v>
      </c>
      <c r="S136" s="94">
        <v>0</v>
      </c>
      <c r="T136" s="97">
        <f t="shared" si="4"/>
        <v>0</v>
      </c>
    </row>
    <row r="137" ht="15" hidden="1" spans="1:20">
      <c r="A137" s="86" t="s">
        <v>387</v>
      </c>
      <c r="B137" s="94">
        <v>0</v>
      </c>
      <c r="C137" s="94">
        <v>0</v>
      </c>
      <c r="D137" s="94">
        <v>0</v>
      </c>
      <c r="E137" s="94">
        <v>0</v>
      </c>
      <c r="F137" s="94">
        <v>0</v>
      </c>
      <c r="G137" s="94">
        <v>0</v>
      </c>
      <c r="H137" s="94">
        <v>0</v>
      </c>
      <c r="I137" s="94">
        <v>0</v>
      </c>
      <c r="J137" s="94">
        <v>0</v>
      </c>
      <c r="K137" s="94">
        <v>0</v>
      </c>
      <c r="L137" s="94">
        <v>0</v>
      </c>
      <c r="M137" s="94">
        <v>0</v>
      </c>
      <c r="N137" s="94">
        <v>0</v>
      </c>
      <c r="O137" s="94">
        <v>0</v>
      </c>
      <c r="P137" s="94">
        <v>0</v>
      </c>
      <c r="Q137" s="94">
        <v>0</v>
      </c>
      <c r="R137" s="94">
        <v>0</v>
      </c>
      <c r="S137" s="94">
        <v>0</v>
      </c>
      <c r="T137" s="97">
        <f t="shared" si="4"/>
        <v>0</v>
      </c>
    </row>
    <row r="138" ht="15" hidden="1" spans="1:20">
      <c r="A138" s="86" t="s">
        <v>388</v>
      </c>
      <c r="B138" s="94">
        <v>0</v>
      </c>
      <c r="C138" s="94">
        <v>0</v>
      </c>
      <c r="D138" s="94">
        <v>0</v>
      </c>
      <c r="E138" s="94">
        <v>0</v>
      </c>
      <c r="F138" s="94">
        <v>0</v>
      </c>
      <c r="G138" s="94">
        <v>0</v>
      </c>
      <c r="H138" s="94">
        <v>0</v>
      </c>
      <c r="I138" s="94">
        <v>0</v>
      </c>
      <c r="J138" s="94">
        <v>0</v>
      </c>
      <c r="K138" s="94">
        <v>0</v>
      </c>
      <c r="L138" s="94">
        <v>0</v>
      </c>
      <c r="M138" s="94">
        <v>0</v>
      </c>
      <c r="N138" s="94">
        <v>0</v>
      </c>
      <c r="O138" s="94">
        <v>0</v>
      </c>
      <c r="P138" s="94">
        <v>0</v>
      </c>
      <c r="Q138" s="94">
        <v>0</v>
      </c>
      <c r="R138" s="94">
        <v>0</v>
      </c>
      <c r="S138" s="94">
        <v>0</v>
      </c>
      <c r="T138" s="97">
        <f t="shared" si="4"/>
        <v>0</v>
      </c>
    </row>
    <row r="139" ht="15" hidden="1" spans="1:20">
      <c r="A139" s="86" t="s">
        <v>389</v>
      </c>
      <c r="B139" s="94">
        <v>0</v>
      </c>
      <c r="C139" s="94">
        <v>0</v>
      </c>
      <c r="D139" s="94">
        <v>0</v>
      </c>
      <c r="E139" s="94">
        <v>0</v>
      </c>
      <c r="F139" s="94">
        <v>0</v>
      </c>
      <c r="G139" s="94">
        <v>0</v>
      </c>
      <c r="H139" s="94">
        <v>0</v>
      </c>
      <c r="I139" s="94">
        <v>0</v>
      </c>
      <c r="J139" s="94">
        <v>0</v>
      </c>
      <c r="K139" s="94">
        <v>0</v>
      </c>
      <c r="L139" s="94">
        <v>0</v>
      </c>
      <c r="M139" s="94">
        <v>0</v>
      </c>
      <c r="N139" s="94">
        <v>0</v>
      </c>
      <c r="O139" s="94">
        <v>0</v>
      </c>
      <c r="P139" s="94">
        <v>0</v>
      </c>
      <c r="Q139" s="94">
        <v>0</v>
      </c>
      <c r="R139" s="94">
        <v>0</v>
      </c>
      <c r="S139" s="94">
        <v>0</v>
      </c>
      <c r="T139" s="97">
        <f t="shared" si="4"/>
        <v>0</v>
      </c>
    </row>
    <row r="140" ht="15" hidden="1" spans="1:20">
      <c r="A140" s="86" t="s">
        <v>86</v>
      </c>
      <c r="B140" s="94">
        <v>0</v>
      </c>
      <c r="C140" s="94">
        <v>0</v>
      </c>
      <c r="D140" s="94">
        <v>0</v>
      </c>
      <c r="E140" s="94">
        <v>0</v>
      </c>
      <c r="F140" s="94">
        <v>0</v>
      </c>
      <c r="G140" s="94">
        <v>0</v>
      </c>
      <c r="H140" s="94">
        <v>0</v>
      </c>
      <c r="I140" s="94">
        <v>0</v>
      </c>
      <c r="J140" s="94">
        <v>0</v>
      </c>
      <c r="K140" s="94">
        <v>0</v>
      </c>
      <c r="L140" s="94">
        <v>0</v>
      </c>
      <c r="M140" s="94">
        <v>0</v>
      </c>
      <c r="N140" s="94">
        <v>0</v>
      </c>
      <c r="O140" s="94">
        <v>0</v>
      </c>
      <c r="P140" s="94">
        <v>0</v>
      </c>
      <c r="Q140" s="94">
        <v>0</v>
      </c>
      <c r="R140" s="94">
        <v>0</v>
      </c>
      <c r="S140" s="94">
        <v>0</v>
      </c>
      <c r="T140" s="97">
        <f t="shared" si="4"/>
        <v>0</v>
      </c>
    </row>
    <row r="141" ht="15" hidden="1" spans="1:20">
      <c r="A141" s="86" t="s">
        <v>326</v>
      </c>
      <c r="B141" s="94">
        <v>0</v>
      </c>
      <c r="C141" s="94">
        <v>0</v>
      </c>
      <c r="D141" s="94">
        <v>0</v>
      </c>
      <c r="E141" s="94">
        <v>0</v>
      </c>
      <c r="F141" s="94">
        <v>0</v>
      </c>
      <c r="G141" s="94">
        <v>0</v>
      </c>
      <c r="H141" s="94">
        <v>0</v>
      </c>
      <c r="I141" s="94">
        <v>0</v>
      </c>
      <c r="J141" s="94">
        <v>0</v>
      </c>
      <c r="K141" s="94">
        <v>0</v>
      </c>
      <c r="L141" s="94">
        <v>0</v>
      </c>
      <c r="M141" s="94">
        <v>0</v>
      </c>
      <c r="N141" s="94">
        <v>0</v>
      </c>
      <c r="O141" s="94">
        <v>0</v>
      </c>
      <c r="P141" s="94">
        <v>0</v>
      </c>
      <c r="Q141" s="94">
        <v>0</v>
      </c>
      <c r="R141" s="94">
        <v>0</v>
      </c>
      <c r="S141" s="94">
        <v>0</v>
      </c>
      <c r="T141" s="97">
        <f t="shared" si="4"/>
        <v>0</v>
      </c>
    </row>
    <row r="142" ht="15" hidden="1" spans="1:20">
      <c r="A142" s="86" t="s">
        <v>327</v>
      </c>
      <c r="B142" s="94">
        <v>0</v>
      </c>
      <c r="C142" s="94">
        <v>0</v>
      </c>
      <c r="D142" s="94">
        <v>0</v>
      </c>
      <c r="E142" s="94">
        <v>0</v>
      </c>
      <c r="F142" s="94">
        <v>0</v>
      </c>
      <c r="G142" s="94">
        <v>0</v>
      </c>
      <c r="H142" s="94">
        <v>0</v>
      </c>
      <c r="I142" s="94">
        <v>0</v>
      </c>
      <c r="J142" s="94">
        <v>0</v>
      </c>
      <c r="K142" s="94">
        <v>0</v>
      </c>
      <c r="L142" s="94">
        <v>0</v>
      </c>
      <c r="M142" s="94">
        <v>0</v>
      </c>
      <c r="N142" s="94">
        <v>0</v>
      </c>
      <c r="O142" s="94">
        <v>0</v>
      </c>
      <c r="P142" s="94">
        <v>0</v>
      </c>
      <c r="Q142" s="94">
        <v>0</v>
      </c>
      <c r="R142" s="94">
        <v>0</v>
      </c>
      <c r="S142" s="94">
        <v>0</v>
      </c>
      <c r="T142" s="97">
        <f t="shared" si="4"/>
        <v>0</v>
      </c>
    </row>
    <row r="143" ht="15" hidden="1" spans="1:20">
      <c r="A143" s="86" t="s">
        <v>328</v>
      </c>
      <c r="B143" s="94">
        <v>0</v>
      </c>
      <c r="C143" s="94">
        <v>0</v>
      </c>
      <c r="D143" s="94">
        <v>0</v>
      </c>
      <c r="E143" s="94">
        <v>0</v>
      </c>
      <c r="F143" s="94">
        <v>0</v>
      </c>
      <c r="G143" s="94">
        <v>0</v>
      </c>
      <c r="H143" s="94">
        <v>0</v>
      </c>
      <c r="I143" s="94">
        <v>0</v>
      </c>
      <c r="J143" s="94">
        <v>0</v>
      </c>
      <c r="K143" s="94">
        <v>0</v>
      </c>
      <c r="L143" s="94">
        <v>0</v>
      </c>
      <c r="M143" s="94">
        <v>0</v>
      </c>
      <c r="N143" s="94">
        <v>0</v>
      </c>
      <c r="O143" s="94">
        <v>0</v>
      </c>
      <c r="P143" s="94">
        <v>0</v>
      </c>
      <c r="Q143" s="94">
        <v>0</v>
      </c>
      <c r="R143" s="94">
        <v>0</v>
      </c>
      <c r="S143" s="94">
        <v>0</v>
      </c>
      <c r="T143" s="97">
        <f t="shared" si="4"/>
        <v>0</v>
      </c>
    </row>
    <row r="144" ht="15" hidden="1" spans="1:20">
      <c r="A144" s="86" t="s">
        <v>329</v>
      </c>
      <c r="B144" s="94">
        <v>0</v>
      </c>
      <c r="C144" s="94">
        <v>0</v>
      </c>
      <c r="D144" s="94">
        <v>0</v>
      </c>
      <c r="E144" s="94">
        <v>0</v>
      </c>
      <c r="F144" s="94">
        <v>0</v>
      </c>
      <c r="G144" s="94">
        <v>0</v>
      </c>
      <c r="H144" s="94">
        <v>0</v>
      </c>
      <c r="I144" s="94">
        <v>0</v>
      </c>
      <c r="J144" s="94">
        <v>0</v>
      </c>
      <c r="K144" s="94">
        <v>0</v>
      </c>
      <c r="L144" s="94">
        <v>0</v>
      </c>
      <c r="M144" s="94">
        <v>0</v>
      </c>
      <c r="N144" s="94">
        <v>0</v>
      </c>
      <c r="O144" s="94">
        <v>0</v>
      </c>
      <c r="P144" s="94">
        <v>0</v>
      </c>
      <c r="Q144" s="94">
        <v>0</v>
      </c>
      <c r="R144" s="94">
        <v>0</v>
      </c>
      <c r="S144" s="94">
        <v>0</v>
      </c>
      <c r="T144" s="97">
        <f t="shared" si="4"/>
        <v>0</v>
      </c>
    </row>
    <row r="145" ht="15" hidden="1" spans="1:20">
      <c r="A145" s="86" t="s">
        <v>336</v>
      </c>
      <c r="B145" s="94">
        <v>0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0</v>
      </c>
      <c r="J145" s="94">
        <v>0</v>
      </c>
      <c r="K145" s="94">
        <v>0</v>
      </c>
      <c r="L145" s="94">
        <v>0</v>
      </c>
      <c r="M145" s="94">
        <v>0</v>
      </c>
      <c r="N145" s="94">
        <v>0</v>
      </c>
      <c r="O145" s="94">
        <v>0</v>
      </c>
      <c r="P145" s="94">
        <v>0</v>
      </c>
      <c r="Q145" s="94">
        <v>0</v>
      </c>
      <c r="R145" s="94">
        <v>0</v>
      </c>
      <c r="S145" s="94">
        <v>0</v>
      </c>
      <c r="T145" s="97">
        <f t="shared" si="4"/>
        <v>0</v>
      </c>
    </row>
    <row r="146" ht="15" hidden="1" spans="1:20">
      <c r="A146" s="86" t="s">
        <v>368</v>
      </c>
      <c r="B146" s="94">
        <v>0</v>
      </c>
      <c r="C146" s="94">
        <v>0</v>
      </c>
      <c r="D146" s="94">
        <v>0</v>
      </c>
      <c r="E146" s="94">
        <v>0</v>
      </c>
      <c r="F146" s="94">
        <v>0</v>
      </c>
      <c r="G146" s="94">
        <v>0</v>
      </c>
      <c r="H146" s="94">
        <v>0</v>
      </c>
      <c r="I146" s="94">
        <v>0</v>
      </c>
      <c r="J146" s="94">
        <v>0</v>
      </c>
      <c r="K146" s="94">
        <v>0</v>
      </c>
      <c r="L146" s="94">
        <v>0</v>
      </c>
      <c r="M146" s="94">
        <v>0</v>
      </c>
      <c r="N146" s="94">
        <v>0</v>
      </c>
      <c r="O146" s="94">
        <v>0</v>
      </c>
      <c r="P146" s="94">
        <v>0</v>
      </c>
      <c r="Q146" s="94">
        <v>0</v>
      </c>
      <c r="R146" s="94">
        <v>0</v>
      </c>
      <c r="S146" s="94">
        <v>0</v>
      </c>
      <c r="T146" s="97">
        <f t="shared" si="4"/>
        <v>0</v>
      </c>
    </row>
    <row r="147" ht="15" hidden="1" spans="1:20">
      <c r="A147" s="86" t="s">
        <v>253</v>
      </c>
      <c r="B147" s="94">
        <v>0</v>
      </c>
      <c r="C147" s="94">
        <v>0</v>
      </c>
      <c r="D147" s="94">
        <v>0</v>
      </c>
      <c r="E147" s="94">
        <v>0</v>
      </c>
      <c r="F147" s="94">
        <v>0</v>
      </c>
      <c r="G147" s="94">
        <v>0</v>
      </c>
      <c r="H147" s="94">
        <v>0</v>
      </c>
      <c r="I147" s="94">
        <v>0</v>
      </c>
      <c r="J147" s="94">
        <v>0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0</v>
      </c>
      <c r="Q147" s="94">
        <v>0</v>
      </c>
      <c r="R147" s="94">
        <v>0</v>
      </c>
      <c r="S147" s="94">
        <v>0</v>
      </c>
      <c r="T147" s="97">
        <f t="shared" si="4"/>
        <v>0</v>
      </c>
    </row>
    <row r="148" ht="15" hidden="1" spans="1:20">
      <c r="A148" s="86" t="s">
        <v>390</v>
      </c>
      <c r="B148" s="94">
        <v>0</v>
      </c>
      <c r="C148" s="94">
        <v>0</v>
      </c>
      <c r="D148" s="94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7">
        <f t="shared" si="4"/>
        <v>0</v>
      </c>
    </row>
    <row r="149" ht="15" hidden="1" spans="1:20">
      <c r="A149" s="86" t="s">
        <v>254</v>
      </c>
      <c r="B149" s="94">
        <v>0</v>
      </c>
      <c r="C149" s="94">
        <v>0</v>
      </c>
      <c r="D149" s="94">
        <v>0</v>
      </c>
      <c r="E149" s="94">
        <v>0</v>
      </c>
      <c r="F149" s="94">
        <v>0</v>
      </c>
      <c r="G149" s="94">
        <v>0</v>
      </c>
      <c r="H149" s="94">
        <v>0</v>
      </c>
      <c r="I149" s="94">
        <v>0</v>
      </c>
      <c r="J149" s="94">
        <v>0</v>
      </c>
      <c r="K149" s="94">
        <v>0</v>
      </c>
      <c r="L149" s="94">
        <v>0</v>
      </c>
      <c r="M149" s="94">
        <v>0</v>
      </c>
      <c r="N149" s="94">
        <v>0</v>
      </c>
      <c r="O149" s="94">
        <v>0</v>
      </c>
      <c r="P149" s="94">
        <v>0</v>
      </c>
      <c r="Q149" s="94">
        <v>0</v>
      </c>
      <c r="R149" s="94">
        <v>0</v>
      </c>
      <c r="S149" s="94">
        <v>0</v>
      </c>
      <c r="T149" s="97">
        <f t="shared" si="4"/>
        <v>0</v>
      </c>
    </row>
    <row r="150" ht="15" hidden="1" spans="1:20">
      <c r="A150" s="86" t="s">
        <v>391</v>
      </c>
      <c r="B150" s="94">
        <v>0</v>
      </c>
      <c r="C150" s="94">
        <v>0</v>
      </c>
      <c r="D150" s="94">
        <v>0</v>
      </c>
      <c r="E150" s="94">
        <v>0</v>
      </c>
      <c r="F150" s="94">
        <v>0</v>
      </c>
      <c r="G150" s="94">
        <v>0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0</v>
      </c>
      <c r="R150" s="94">
        <v>0</v>
      </c>
      <c r="S150" s="94">
        <v>0</v>
      </c>
      <c r="T150" s="97">
        <f t="shared" si="4"/>
        <v>0</v>
      </c>
    </row>
    <row r="151" ht="15" hidden="1" spans="1:20">
      <c r="A151" s="86" t="s">
        <v>414</v>
      </c>
      <c r="B151" s="94">
        <v>0</v>
      </c>
      <c r="C151" s="94">
        <v>0</v>
      </c>
      <c r="D151" s="94">
        <v>0</v>
      </c>
      <c r="E151" s="94">
        <v>0</v>
      </c>
      <c r="F151" s="94">
        <v>0</v>
      </c>
      <c r="G151" s="94">
        <v>0</v>
      </c>
      <c r="H151" s="94">
        <v>0</v>
      </c>
      <c r="I151" s="94">
        <v>0</v>
      </c>
      <c r="J151" s="94">
        <v>0</v>
      </c>
      <c r="K151" s="94">
        <v>0</v>
      </c>
      <c r="L151" s="94">
        <v>0</v>
      </c>
      <c r="M151" s="94">
        <v>0</v>
      </c>
      <c r="N151" s="94">
        <v>0</v>
      </c>
      <c r="O151" s="94">
        <v>0</v>
      </c>
      <c r="P151" s="94">
        <v>0</v>
      </c>
      <c r="Q151" s="94">
        <v>0</v>
      </c>
      <c r="R151" s="94">
        <v>0</v>
      </c>
      <c r="S151" s="94">
        <v>0</v>
      </c>
      <c r="T151" s="97">
        <f t="shared" si="4"/>
        <v>0</v>
      </c>
    </row>
    <row r="152" ht="15" hidden="1" spans="1:20">
      <c r="A152" s="86" t="s">
        <v>209</v>
      </c>
      <c r="B152" s="94">
        <v>0</v>
      </c>
      <c r="C152" s="94">
        <v>0</v>
      </c>
      <c r="D152" s="94">
        <v>0</v>
      </c>
      <c r="E152" s="94">
        <v>0</v>
      </c>
      <c r="F152" s="94">
        <v>0</v>
      </c>
      <c r="G152" s="94">
        <v>0</v>
      </c>
      <c r="H152" s="94">
        <v>0</v>
      </c>
      <c r="I152" s="94">
        <v>0</v>
      </c>
      <c r="J152" s="94">
        <v>0</v>
      </c>
      <c r="K152" s="94">
        <v>0</v>
      </c>
      <c r="L152" s="94">
        <v>0</v>
      </c>
      <c r="M152" s="94">
        <v>0</v>
      </c>
      <c r="N152" s="94">
        <v>0</v>
      </c>
      <c r="O152" s="94">
        <v>0</v>
      </c>
      <c r="P152" s="94">
        <v>0</v>
      </c>
      <c r="Q152" s="94">
        <v>0</v>
      </c>
      <c r="R152" s="94">
        <v>0</v>
      </c>
      <c r="S152" s="94">
        <v>0</v>
      </c>
      <c r="T152" s="97">
        <f t="shared" si="4"/>
        <v>0</v>
      </c>
    </row>
    <row r="153" ht="15" hidden="1" spans="1:20">
      <c r="A153" s="86" t="s">
        <v>207</v>
      </c>
      <c r="B153" s="94">
        <v>0</v>
      </c>
      <c r="C153" s="94">
        <v>0</v>
      </c>
      <c r="D153" s="94">
        <v>4005.3</v>
      </c>
      <c r="E153" s="94">
        <v>0</v>
      </c>
      <c r="F153" s="94">
        <v>0</v>
      </c>
      <c r="G153" s="94">
        <v>0</v>
      </c>
      <c r="H153" s="94">
        <v>0</v>
      </c>
      <c r="I153" s="94">
        <v>0</v>
      </c>
      <c r="J153" s="94">
        <v>0</v>
      </c>
      <c r="K153" s="94">
        <v>0</v>
      </c>
      <c r="L153" s="94">
        <v>0</v>
      </c>
      <c r="M153" s="94">
        <v>0</v>
      </c>
      <c r="N153" s="94">
        <v>0</v>
      </c>
      <c r="O153" s="94">
        <v>0</v>
      </c>
      <c r="P153" s="94">
        <v>0</v>
      </c>
      <c r="Q153" s="94">
        <v>0</v>
      </c>
      <c r="R153" s="94">
        <v>0</v>
      </c>
      <c r="S153" s="94">
        <v>0</v>
      </c>
      <c r="T153" s="97">
        <f t="shared" si="4"/>
        <v>4005.3</v>
      </c>
    </row>
    <row r="154" ht="15" hidden="1" spans="1:20">
      <c r="A154" s="86" t="s">
        <v>392</v>
      </c>
      <c r="B154" s="94">
        <v>0</v>
      </c>
      <c r="C154" s="94">
        <v>0</v>
      </c>
      <c r="D154" s="94">
        <v>0</v>
      </c>
      <c r="E154" s="94">
        <v>0</v>
      </c>
      <c r="F154" s="94">
        <v>0</v>
      </c>
      <c r="G154" s="94">
        <v>0</v>
      </c>
      <c r="H154" s="94">
        <v>0</v>
      </c>
      <c r="I154" s="94">
        <v>0</v>
      </c>
      <c r="J154" s="94">
        <v>0</v>
      </c>
      <c r="K154" s="94">
        <v>0</v>
      </c>
      <c r="L154" s="94">
        <v>0</v>
      </c>
      <c r="M154" s="94">
        <v>0</v>
      </c>
      <c r="N154" s="94">
        <v>0</v>
      </c>
      <c r="O154" s="94">
        <v>0</v>
      </c>
      <c r="P154" s="94">
        <v>0</v>
      </c>
      <c r="Q154" s="94">
        <v>0</v>
      </c>
      <c r="R154" s="94">
        <v>0</v>
      </c>
      <c r="S154" s="94">
        <v>0</v>
      </c>
      <c r="T154" s="97">
        <f t="shared" si="4"/>
        <v>0</v>
      </c>
    </row>
    <row r="155" ht="15" hidden="1" spans="1:20">
      <c r="A155" s="86" t="s">
        <v>210</v>
      </c>
      <c r="B155" s="94">
        <v>0</v>
      </c>
      <c r="C155" s="94">
        <v>0</v>
      </c>
      <c r="D155" s="94">
        <v>0</v>
      </c>
      <c r="E155" s="94">
        <v>0</v>
      </c>
      <c r="F155" s="94">
        <v>0</v>
      </c>
      <c r="G155" s="94">
        <v>0</v>
      </c>
      <c r="H155" s="94">
        <v>0</v>
      </c>
      <c r="I155" s="94">
        <v>0</v>
      </c>
      <c r="J155" s="94">
        <v>0</v>
      </c>
      <c r="K155" s="94">
        <v>0</v>
      </c>
      <c r="L155" s="94">
        <v>0</v>
      </c>
      <c r="M155" s="94">
        <v>0</v>
      </c>
      <c r="N155" s="94">
        <v>0</v>
      </c>
      <c r="O155" s="94">
        <v>0</v>
      </c>
      <c r="P155" s="94">
        <v>0</v>
      </c>
      <c r="Q155" s="94">
        <v>0</v>
      </c>
      <c r="R155" s="94">
        <v>0</v>
      </c>
      <c r="S155" s="94">
        <v>0</v>
      </c>
      <c r="T155" s="97">
        <f t="shared" si="4"/>
        <v>0</v>
      </c>
    </row>
    <row r="156" ht="15" hidden="1" spans="1:20">
      <c r="A156" s="86" t="s">
        <v>241</v>
      </c>
      <c r="B156" s="94">
        <v>0</v>
      </c>
      <c r="C156" s="94">
        <v>0</v>
      </c>
      <c r="D156" s="94">
        <v>0</v>
      </c>
      <c r="E156" s="94">
        <v>0</v>
      </c>
      <c r="F156" s="94">
        <v>0</v>
      </c>
      <c r="G156" s="94">
        <v>0</v>
      </c>
      <c r="H156" s="94">
        <v>0</v>
      </c>
      <c r="I156" s="94">
        <v>0</v>
      </c>
      <c r="J156" s="94">
        <v>0</v>
      </c>
      <c r="K156" s="94">
        <v>0</v>
      </c>
      <c r="L156" s="94">
        <v>0</v>
      </c>
      <c r="M156" s="94">
        <v>0</v>
      </c>
      <c r="N156" s="94">
        <v>0</v>
      </c>
      <c r="O156" s="94">
        <v>0</v>
      </c>
      <c r="P156" s="94">
        <v>0</v>
      </c>
      <c r="Q156" s="94">
        <v>0</v>
      </c>
      <c r="R156" s="94">
        <v>0</v>
      </c>
      <c r="S156" s="94">
        <v>0</v>
      </c>
      <c r="T156" s="97">
        <f t="shared" si="4"/>
        <v>0</v>
      </c>
    </row>
    <row r="157" ht="15" hidden="1" spans="1:20">
      <c r="A157" s="86" t="s">
        <v>393</v>
      </c>
      <c r="B157" s="94">
        <v>0</v>
      </c>
      <c r="C157" s="94">
        <v>0</v>
      </c>
      <c r="D157" s="94">
        <v>0</v>
      </c>
      <c r="E157" s="94">
        <v>0</v>
      </c>
      <c r="F157" s="94">
        <v>0</v>
      </c>
      <c r="G157" s="94">
        <v>0</v>
      </c>
      <c r="H157" s="94">
        <v>0</v>
      </c>
      <c r="I157" s="94">
        <v>0</v>
      </c>
      <c r="J157" s="94">
        <v>0</v>
      </c>
      <c r="K157" s="94">
        <v>0</v>
      </c>
      <c r="L157" s="94">
        <v>0</v>
      </c>
      <c r="M157" s="94">
        <v>0</v>
      </c>
      <c r="N157" s="94">
        <v>0</v>
      </c>
      <c r="O157" s="94">
        <v>0</v>
      </c>
      <c r="P157" s="94">
        <v>0</v>
      </c>
      <c r="Q157" s="94">
        <v>0</v>
      </c>
      <c r="R157" s="94">
        <v>0</v>
      </c>
      <c r="S157" s="94">
        <v>0</v>
      </c>
      <c r="T157" s="97">
        <f t="shared" si="4"/>
        <v>0</v>
      </c>
    </row>
    <row r="158" ht="15" hidden="1" spans="1:20">
      <c r="A158" s="86" t="s">
        <v>394</v>
      </c>
      <c r="B158" s="94">
        <v>0</v>
      </c>
      <c r="C158" s="94">
        <v>0</v>
      </c>
      <c r="D158" s="94">
        <v>0</v>
      </c>
      <c r="E158" s="94">
        <v>0</v>
      </c>
      <c r="F158" s="94">
        <v>0</v>
      </c>
      <c r="G158" s="94">
        <v>0</v>
      </c>
      <c r="H158" s="94">
        <v>0</v>
      </c>
      <c r="I158" s="94">
        <v>0</v>
      </c>
      <c r="J158" s="94">
        <v>0</v>
      </c>
      <c r="K158" s="94">
        <v>0</v>
      </c>
      <c r="L158" s="94">
        <v>0</v>
      </c>
      <c r="M158" s="94">
        <v>0</v>
      </c>
      <c r="N158" s="94">
        <v>0</v>
      </c>
      <c r="O158" s="94">
        <v>0</v>
      </c>
      <c r="P158" s="94">
        <v>0</v>
      </c>
      <c r="Q158" s="94">
        <v>0</v>
      </c>
      <c r="R158" s="94">
        <v>0</v>
      </c>
      <c r="S158" s="94">
        <v>0</v>
      </c>
      <c r="T158" s="97">
        <f t="shared" si="4"/>
        <v>0</v>
      </c>
    </row>
    <row r="159" ht="15" hidden="1" spans="1:20">
      <c r="A159" s="86" t="s">
        <v>395</v>
      </c>
      <c r="B159" s="94">
        <v>0</v>
      </c>
      <c r="C159" s="94">
        <v>0</v>
      </c>
      <c r="D159" s="94">
        <v>0</v>
      </c>
      <c r="E159" s="94">
        <v>0</v>
      </c>
      <c r="F159" s="94">
        <v>0</v>
      </c>
      <c r="G159" s="94">
        <v>0</v>
      </c>
      <c r="H159" s="94">
        <v>0</v>
      </c>
      <c r="I159" s="94">
        <v>0</v>
      </c>
      <c r="J159" s="94">
        <v>0</v>
      </c>
      <c r="K159" s="94">
        <v>0</v>
      </c>
      <c r="L159" s="94">
        <v>0</v>
      </c>
      <c r="M159" s="94">
        <v>0</v>
      </c>
      <c r="N159" s="94">
        <v>0</v>
      </c>
      <c r="O159" s="94">
        <v>0</v>
      </c>
      <c r="P159" s="94">
        <v>0</v>
      </c>
      <c r="Q159" s="94">
        <v>0</v>
      </c>
      <c r="R159" s="94">
        <v>0</v>
      </c>
      <c r="S159" s="94">
        <v>0</v>
      </c>
      <c r="T159" s="97">
        <f t="shared" si="4"/>
        <v>0</v>
      </c>
    </row>
    <row r="160" ht="15" hidden="1" spans="1:20">
      <c r="A160" s="86" t="s">
        <v>396</v>
      </c>
      <c r="B160" s="94">
        <v>0</v>
      </c>
      <c r="C160" s="94">
        <v>0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97">
        <f t="shared" si="4"/>
        <v>0</v>
      </c>
    </row>
    <row r="161" ht="15" hidden="1" spans="1:20">
      <c r="A161" s="86" t="s">
        <v>245</v>
      </c>
      <c r="B161" s="94">
        <v>0</v>
      </c>
      <c r="C161" s="94">
        <v>0</v>
      </c>
      <c r="D161" s="94">
        <v>0</v>
      </c>
      <c r="E161" s="94">
        <v>0</v>
      </c>
      <c r="F161" s="94">
        <v>0</v>
      </c>
      <c r="G161" s="94">
        <v>0</v>
      </c>
      <c r="H161" s="94">
        <v>0</v>
      </c>
      <c r="I161" s="94">
        <v>0</v>
      </c>
      <c r="J161" s="94">
        <v>0</v>
      </c>
      <c r="K161" s="94">
        <v>0</v>
      </c>
      <c r="L161" s="94">
        <v>0</v>
      </c>
      <c r="M161" s="94">
        <v>0</v>
      </c>
      <c r="N161" s="94">
        <v>0</v>
      </c>
      <c r="O161" s="94">
        <v>0</v>
      </c>
      <c r="P161" s="94">
        <v>0</v>
      </c>
      <c r="Q161" s="94">
        <v>0</v>
      </c>
      <c r="R161" s="94">
        <v>0</v>
      </c>
      <c r="S161" s="94">
        <v>0</v>
      </c>
      <c r="T161" s="97">
        <f t="shared" si="4"/>
        <v>0</v>
      </c>
    </row>
    <row r="162" ht="15" hidden="1" spans="1:20">
      <c r="A162" s="86" t="s">
        <v>242</v>
      </c>
      <c r="B162" s="94">
        <v>0</v>
      </c>
      <c r="C162" s="94">
        <v>0</v>
      </c>
      <c r="D162" s="94">
        <v>0</v>
      </c>
      <c r="E162" s="94">
        <v>0</v>
      </c>
      <c r="F162" s="94">
        <v>0</v>
      </c>
      <c r="G162" s="94">
        <v>0</v>
      </c>
      <c r="H162" s="94">
        <v>0</v>
      </c>
      <c r="I162" s="94">
        <v>0</v>
      </c>
      <c r="J162" s="94">
        <v>0</v>
      </c>
      <c r="K162" s="94">
        <v>0</v>
      </c>
      <c r="L162" s="94">
        <v>0</v>
      </c>
      <c r="M162" s="94">
        <v>0</v>
      </c>
      <c r="N162" s="94">
        <v>0</v>
      </c>
      <c r="O162" s="94">
        <v>0</v>
      </c>
      <c r="P162" s="94">
        <v>0</v>
      </c>
      <c r="Q162" s="94">
        <v>0</v>
      </c>
      <c r="R162" s="94">
        <v>0</v>
      </c>
      <c r="S162" s="94">
        <v>0</v>
      </c>
      <c r="T162" s="97">
        <f t="shared" si="4"/>
        <v>0</v>
      </c>
    </row>
    <row r="163" ht="15" hidden="1" spans="1:20">
      <c r="A163" s="86" t="s">
        <v>244</v>
      </c>
      <c r="B163" s="94">
        <v>0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7">
        <f t="shared" si="4"/>
        <v>0</v>
      </c>
    </row>
    <row r="164" ht="15" hidden="1" spans="1:20">
      <c r="A164" s="86" t="s">
        <v>397</v>
      </c>
      <c r="B164" s="94">
        <v>0</v>
      </c>
      <c r="C164" s="94">
        <v>0</v>
      </c>
      <c r="D164" s="94">
        <v>0</v>
      </c>
      <c r="E164" s="94">
        <v>0</v>
      </c>
      <c r="F164" s="94">
        <v>0</v>
      </c>
      <c r="G164" s="94">
        <v>0</v>
      </c>
      <c r="H164" s="94">
        <v>0</v>
      </c>
      <c r="I164" s="94">
        <v>0</v>
      </c>
      <c r="J164" s="94">
        <v>0</v>
      </c>
      <c r="K164" s="94">
        <v>0</v>
      </c>
      <c r="L164" s="94">
        <v>0</v>
      </c>
      <c r="M164" s="94">
        <v>0</v>
      </c>
      <c r="N164" s="94">
        <v>0</v>
      </c>
      <c r="O164" s="94">
        <v>0</v>
      </c>
      <c r="P164" s="94">
        <v>0</v>
      </c>
      <c r="Q164" s="94">
        <v>0</v>
      </c>
      <c r="R164" s="94">
        <v>0</v>
      </c>
      <c r="S164" s="94">
        <v>0</v>
      </c>
      <c r="T164" s="97">
        <f t="shared" si="4"/>
        <v>0</v>
      </c>
    </row>
    <row r="165" ht="15" hidden="1" spans="1:20">
      <c r="A165" s="86" t="s">
        <v>398</v>
      </c>
      <c r="B165" s="94">
        <v>0</v>
      </c>
      <c r="C165" s="94">
        <v>0</v>
      </c>
      <c r="D165" s="94">
        <v>0</v>
      </c>
      <c r="E165" s="94">
        <v>0</v>
      </c>
      <c r="F165" s="94">
        <v>0</v>
      </c>
      <c r="G165" s="94">
        <v>0</v>
      </c>
      <c r="H165" s="94">
        <v>0</v>
      </c>
      <c r="I165" s="94">
        <v>0</v>
      </c>
      <c r="J165" s="94">
        <v>0</v>
      </c>
      <c r="K165" s="94">
        <v>0</v>
      </c>
      <c r="L165" s="94">
        <v>0</v>
      </c>
      <c r="M165" s="94">
        <v>0</v>
      </c>
      <c r="N165" s="94">
        <v>0</v>
      </c>
      <c r="O165" s="94">
        <v>0</v>
      </c>
      <c r="P165" s="94">
        <v>0</v>
      </c>
      <c r="Q165" s="94">
        <v>0</v>
      </c>
      <c r="R165" s="94">
        <v>0</v>
      </c>
      <c r="S165" s="94">
        <v>0</v>
      </c>
      <c r="T165" s="97">
        <f t="shared" ref="T165:T188" si="5">SUM(B165:S165)</f>
        <v>0</v>
      </c>
    </row>
    <row r="166" ht="15" hidden="1" spans="1:20">
      <c r="A166" s="86" t="s">
        <v>399</v>
      </c>
      <c r="B166" s="94">
        <v>0</v>
      </c>
      <c r="C166" s="94">
        <v>0</v>
      </c>
      <c r="D166" s="94">
        <v>0</v>
      </c>
      <c r="E166" s="94">
        <v>0</v>
      </c>
      <c r="F166" s="94">
        <v>0</v>
      </c>
      <c r="G166" s="94">
        <v>0</v>
      </c>
      <c r="H166" s="94">
        <v>0</v>
      </c>
      <c r="I166" s="94">
        <v>0</v>
      </c>
      <c r="J166" s="94">
        <v>0</v>
      </c>
      <c r="K166" s="94">
        <v>0</v>
      </c>
      <c r="L166" s="94">
        <v>0</v>
      </c>
      <c r="M166" s="94">
        <v>0</v>
      </c>
      <c r="N166" s="94">
        <v>0</v>
      </c>
      <c r="O166" s="94">
        <v>0</v>
      </c>
      <c r="P166" s="94">
        <v>0</v>
      </c>
      <c r="Q166" s="94">
        <v>0</v>
      </c>
      <c r="R166" s="94">
        <v>0</v>
      </c>
      <c r="S166" s="94">
        <v>0</v>
      </c>
      <c r="T166" s="97">
        <f t="shared" si="5"/>
        <v>0</v>
      </c>
    </row>
    <row r="167" ht="15" hidden="1" spans="1:20">
      <c r="A167" s="86" t="s">
        <v>248</v>
      </c>
      <c r="B167" s="94">
        <v>0</v>
      </c>
      <c r="C167" s="94">
        <v>0</v>
      </c>
      <c r="D167" s="94">
        <v>0</v>
      </c>
      <c r="E167" s="94">
        <v>0</v>
      </c>
      <c r="F167" s="94">
        <v>0</v>
      </c>
      <c r="G167" s="94">
        <v>0</v>
      </c>
      <c r="H167" s="94">
        <v>0</v>
      </c>
      <c r="I167" s="94">
        <v>0</v>
      </c>
      <c r="J167" s="94">
        <v>0</v>
      </c>
      <c r="K167" s="94">
        <v>0</v>
      </c>
      <c r="L167" s="94">
        <v>0</v>
      </c>
      <c r="M167" s="94">
        <v>0</v>
      </c>
      <c r="N167" s="94">
        <v>0</v>
      </c>
      <c r="O167" s="94">
        <v>0</v>
      </c>
      <c r="P167" s="94">
        <v>0</v>
      </c>
      <c r="Q167" s="94">
        <v>0</v>
      </c>
      <c r="R167" s="94">
        <v>0</v>
      </c>
      <c r="S167" s="94">
        <v>0</v>
      </c>
      <c r="T167" s="97">
        <f t="shared" si="5"/>
        <v>0</v>
      </c>
    </row>
    <row r="168" ht="15" hidden="1" spans="1:20">
      <c r="A168" s="86" t="s">
        <v>400</v>
      </c>
      <c r="B168" s="94">
        <v>0</v>
      </c>
      <c r="C168" s="94">
        <v>0</v>
      </c>
      <c r="D168" s="94">
        <v>0</v>
      </c>
      <c r="E168" s="94">
        <v>0</v>
      </c>
      <c r="F168" s="94">
        <v>0</v>
      </c>
      <c r="G168" s="94">
        <v>0</v>
      </c>
      <c r="H168" s="94">
        <v>0</v>
      </c>
      <c r="I168" s="94">
        <v>0</v>
      </c>
      <c r="J168" s="94">
        <v>0</v>
      </c>
      <c r="K168" s="94">
        <v>0</v>
      </c>
      <c r="L168" s="94">
        <v>0</v>
      </c>
      <c r="M168" s="94">
        <v>0</v>
      </c>
      <c r="N168" s="94">
        <v>0</v>
      </c>
      <c r="O168" s="94">
        <v>0</v>
      </c>
      <c r="P168" s="94">
        <v>0</v>
      </c>
      <c r="Q168" s="94">
        <v>0</v>
      </c>
      <c r="R168" s="94">
        <v>0</v>
      </c>
      <c r="S168" s="94">
        <v>0</v>
      </c>
      <c r="T168" s="97">
        <f t="shared" si="5"/>
        <v>0</v>
      </c>
    </row>
    <row r="169" ht="15" hidden="1" spans="1:20">
      <c r="A169" s="86" t="s">
        <v>348</v>
      </c>
      <c r="B169" s="94">
        <v>0</v>
      </c>
      <c r="C169" s="94">
        <v>0</v>
      </c>
      <c r="D169" s="94">
        <v>0</v>
      </c>
      <c r="E169" s="94">
        <v>0</v>
      </c>
      <c r="F169" s="94">
        <v>0</v>
      </c>
      <c r="G169" s="94">
        <v>0</v>
      </c>
      <c r="H169" s="94">
        <v>0</v>
      </c>
      <c r="I169" s="94">
        <v>0</v>
      </c>
      <c r="J169" s="94">
        <v>0</v>
      </c>
      <c r="K169" s="94">
        <v>0</v>
      </c>
      <c r="L169" s="94">
        <v>0</v>
      </c>
      <c r="M169" s="94">
        <v>0</v>
      </c>
      <c r="N169" s="94">
        <v>0</v>
      </c>
      <c r="O169" s="94">
        <v>0</v>
      </c>
      <c r="P169" s="94">
        <v>0</v>
      </c>
      <c r="Q169" s="94">
        <v>0</v>
      </c>
      <c r="R169" s="94">
        <v>0</v>
      </c>
      <c r="S169" s="94">
        <v>0</v>
      </c>
      <c r="T169" s="97">
        <f t="shared" si="5"/>
        <v>0</v>
      </c>
    </row>
    <row r="170" ht="15" hidden="1" spans="1:20">
      <c r="A170" s="86" t="s">
        <v>402</v>
      </c>
      <c r="B170" s="94">
        <v>0</v>
      </c>
      <c r="C170" s="94">
        <v>0</v>
      </c>
      <c r="D170" s="94">
        <v>0</v>
      </c>
      <c r="E170" s="94">
        <v>0</v>
      </c>
      <c r="F170" s="94">
        <v>0</v>
      </c>
      <c r="G170" s="94">
        <v>0</v>
      </c>
      <c r="H170" s="94">
        <v>0</v>
      </c>
      <c r="I170" s="94">
        <v>0</v>
      </c>
      <c r="J170" s="94">
        <v>0</v>
      </c>
      <c r="K170" s="94">
        <v>0</v>
      </c>
      <c r="L170" s="94">
        <v>0</v>
      </c>
      <c r="M170" s="94">
        <v>0</v>
      </c>
      <c r="N170" s="94">
        <v>0</v>
      </c>
      <c r="O170" s="94">
        <v>0</v>
      </c>
      <c r="P170" s="94">
        <v>0</v>
      </c>
      <c r="Q170" s="94">
        <v>0</v>
      </c>
      <c r="R170" s="94">
        <v>0</v>
      </c>
      <c r="S170" s="94">
        <v>0</v>
      </c>
      <c r="T170" s="97">
        <f t="shared" si="5"/>
        <v>0</v>
      </c>
    </row>
    <row r="171" ht="15" hidden="1" spans="1:20">
      <c r="A171" s="86" t="s">
        <v>403</v>
      </c>
      <c r="B171" s="94">
        <v>0</v>
      </c>
      <c r="C171" s="94">
        <v>0</v>
      </c>
      <c r="D171" s="94">
        <v>0</v>
      </c>
      <c r="E171" s="94">
        <v>0</v>
      </c>
      <c r="F171" s="94">
        <v>0</v>
      </c>
      <c r="G171" s="94">
        <v>0</v>
      </c>
      <c r="H171" s="94">
        <v>0</v>
      </c>
      <c r="I171" s="94">
        <v>0</v>
      </c>
      <c r="J171" s="94">
        <v>0</v>
      </c>
      <c r="K171" s="94">
        <v>0</v>
      </c>
      <c r="L171" s="94">
        <v>0</v>
      </c>
      <c r="M171" s="94">
        <v>0</v>
      </c>
      <c r="N171" s="94">
        <v>0</v>
      </c>
      <c r="O171" s="94">
        <v>0</v>
      </c>
      <c r="P171" s="94">
        <v>0</v>
      </c>
      <c r="Q171" s="94">
        <v>0</v>
      </c>
      <c r="R171" s="94">
        <v>0</v>
      </c>
      <c r="S171" s="94">
        <v>0</v>
      </c>
      <c r="T171" s="97">
        <f t="shared" si="5"/>
        <v>0</v>
      </c>
    </row>
    <row r="172" ht="15" hidden="1" spans="1:20">
      <c r="A172" s="86" t="s">
        <v>214</v>
      </c>
      <c r="B172" s="94">
        <v>0</v>
      </c>
      <c r="C172" s="94">
        <v>0</v>
      </c>
      <c r="D172" s="94">
        <v>0</v>
      </c>
      <c r="E172" s="94">
        <v>0</v>
      </c>
      <c r="F172" s="94">
        <v>0</v>
      </c>
      <c r="G172" s="94">
        <v>0</v>
      </c>
      <c r="H172" s="94">
        <v>0</v>
      </c>
      <c r="I172" s="94">
        <v>0</v>
      </c>
      <c r="J172" s="94">
        <v>0</v>
      </c>
      <c r="K172" s="94">
        <v>0</v>
      </c>
      <c r="L172" s="94">
        <v>0</v>
      </c>
      <c r="M172" s="94">
        <v>0</v>
      </c>
      <c r="N172" s="94">
        <v>0</v>
      </c>
      <c r="O172" s="94">
        <v>0</v>
      </c>
      <c r="P172" s="94">
        <v>0</v>
      </c>
      <c r="Q172" s="94">
        <v>0</v>
      </c>
      <c r="R172" s="94">
        <v>0</v>
      </c>
      <c r="S172" s="94">
        <v>0</v>
      </c>
      <c r="T172" s="97">
        <f t="shared" si="5"/>
        <v>0</v>
      </c>
    </row>
    <row r="173" ht="15" hidden="1" spans="1:20">
      <c r="A173" s="86" t="s">
        <v>219</v>
      </c>
      <c r="B173" s="94">
        <v>0</v>
      </c>
      <c r="C173" s="94">
        <v>0</v>
      </c>
      <c r="D173" s="94">
        <v>0</v>
      </c>
      <c r="E173" s="94">
        <v>0</v>
      </c>
      <c r="F173" s="94">
        <v>0</v>
      </c>
      <c r="G173" s="94">
        <v>0</v>
      </c>
      <c r="H173" s="94">
        <v>0</v>
      </c>
      <c r="I173" s="94">
        <v>0</v>
      </c>
      <c r="J173" s="94">
        <v>0</v>
      </c>
      <c r="K173" s="94">
        <v>0</v>
      </c>
      <c r="L173" s="94">
        <v>0</v>
      </c>
      <c r="M173" s="94">
        <v>0</v>
      </c>
      <c r="N173" s="94">
        <v>0</v>
      </c>
      <c r="O173" s="94">
        <v>0</v>
      </c>
      <c r="P173" s="94">
        <v>0</v>
      </c>
      <c r="Q173" s="94">
        <v>0</v>
      </c>
      <c r="R173" s="94">
        <v>0</v>
      </c>
      <c r="S173" s="94">
        <v>0</v>
      </c>
      <c r="T173" s="97">
        <f t="shared" si="5"/>
        <v>0</v>
      </c>
    </row>
    <row r="174" ht="15" hidden="1" spans="1:20">
      <c r="A174" s="86" t="s">
        <v>404</v>
      </c>
      <c r="B174" s="94">
        <v>0</v>
      </c>
      <c r="C174" s="94">
        <v>0</v>
      </c>
      <c r="D174" s="94">
        <v>0</v>
      </c>
      <c r="E174" s="94">
        <v>0</v>
      </c>
      <c r="F174" s="94">
        <v>0</v>
      </c>
      <c r="G174" s="94">
        <v>0</v>
      </c>
      <c r="H174" s="94">
        <v>0</v>
      </c>
      <c r="I174" s="94">
        <v>0</v>
      </c>
      <c r="J174" s="94">
        <v>0</v>
      </c>
      <c r="K174" s="94">
        <v>0</v>
      </c>
      <c r="L174" s="94">
        <v>0</v>
      </c>
      <c r="M174" s="94">
        <v>0</v>
      </c>
      <c r="N174" s="94">
        <v>0</v>
      </c>
      <c r="O174" s="94">
        <v>0</v>
      </c>
      <c r="P174" s="94">
        <v>0</v>
      </c>
      <c r="Q174" s="94">
        <v>0</v>
      </c>
      <c r="R174" s="94">
        <v>0</v>
      </c>
      <c r="S174" s="94">
        <v>0</v>
      </c>
      <c r="T174" s="97">
        <f t="shared" si="5"/>
        <v>0</v>
      </c>
    </row>
    <row r="175" ht="15" hidden="1" spans="1:20">
      <c r="A175" s="86" t="s">
        <v>372</v>
      </c>
      <c r="B175" s="94">
        <v>0</v>
      </c>
      <c r="C175" s="94">
        <v>0</v>
      </c>
      <c r="D175" s="94">
        <v>0</v>
      </c>
      <c r="E175" s="94">
        <v>0</v>
      </c>
      <c r="F175" s="94">
        <v>0</v>
      </c>
      <c r="G175" s="94">
        <v>0</v>
      </c>
      <c r="H175" s="94">
        <v>0</v>
      </c>
      <c r="I175" s="94">
        <v>0</v>
      </c>
      <c r="J175" s="94">
        <v>0</v>
      </c>
      <c r="K175" s="94">
        <v>0</v>
      </c>
      <c r="L175" s="94">
        <v>0</v>
      </c>
      <c r="M175" s="94">
        <v>0</v>
      </c>
      <c r="N175" s="94">
        <v>0</v>
      </c>
      <c r="O175" s="94">
        <v>0</v>
      </c>
      <c r="P175" s="94">
        <v>0</v>
      </c>
      <c r="Q175" s="94">
        <v>0</v>
      </c>
      <c r="R175" s="94">
        <v>1350</v>
      </c>
      <c r="S175" s="94">
        <v>0</v>
      </c>
      <c r="T175" s="97">
        <f t="shared" si="5"/>
        <v>1350</v>
      </c>
    </row>
    <row r="176" ht="15" hidden="1" spans="1:20">
      <c r="A176" s="86" t="s">
        <v>405</v>
      </c>
      <c r="B176" s="94">
        <v>0</v>
      </c>
      <c r="C176" s="94">
        <v>0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7">
        <f t="shared" si="5"/>
        <v>0</v>
      </c>
    </row>
    <row r="177" ht="15" hidden="1" spans="1:20">
      <c r="A177" s="86" t="s">
        <v>406</v>
      </c>
      <c r="B177" s="94">
        <v>0</v>
      </c>
      <c r="C177" s="94">
        <v>0</v>
      </c>
      <c r="D177" s="94">
        <v>2452</v>
      </c>
      <c r="E177" s="94">
        <v>0</v>
      </c>
      <c r="F177" s="94">
        <v>0</v>
      </c>
      <c r="G177" s="94">
        <v>0</v>
      </c>
      <c r="H177" s="94">
        <v>0</v>
      </c>
      <c r="I177" s="94">
        <v>0</v>
      </c>
      <c r="J177" s="94">
        <v>0</v>
      </c>
      <c r="K177" s="94">
        <v>0</v>
      </c>
      <c r="L177" s="94">
        <v>0</v>
      </c>
      <c r="M177" s="94">
        <v>0</v>
      </c>
      <c r="N177" s="94">
        <v>0</v>
      </c>
      <c r="O177" s="94">
        <v>0</v>
      </c>
      <c r="P177" s="94">
        <v>0</v>
      </c>
      <c r="Q177" s="94">
        <v>0</v>
      </c>
      <c r="R177" s="94">
        <v>0</v>
      </c>
      <c r="S177" s="94">
        <v>0</v>
      </c>
      <c r="T177" s="97">
        <f t="shared" si="5"/>
        <v>2452</v>
      </c>
    </row>
    <row r="178" ht="15" hidden="1" spans="1:20">
      <c r="A178" s="86" t="s">
        <v>407</v>
      </c>
      <c r="B178" s="94">
        <v>0</v>
      </c>
      <c r="C178" s="94">
        <v>0</v>
      </c>
      <c r="D178" s="94">
        <v>0</v>
      </c>
      <c r="E178" s="94">
        <v>0</v>
      </c>
      <c r="F178" s="94">
        <v>0</v>
      </c>
      <c r="G178" s="94">
        <v>0</v>
      </c>
      <c r="H178" s="94">
        <v>0</v>
      </c>
      <c r="I178" s="94">
        <v>0</v>
      </c>
      <c r="J178" s="94">
        <v>0</v>
      </c>
      <c r="K178" s="94">
        <v>0</v>
      </c>
      <c r="L178" s="94">
        <v>0</v>
      </c>
      <c r="M178" s="94">
        <v>0</v>
      </c>
      <c r="N178" s="94">
        <v>0</v>
      </c>
      <c r="O178" s="94">
        <v>0</v>
      </c>
      <c r="P178" s="94">
        <v>0</v>
      </c>
      <c r="Q178" s="94">
        <v>0</v>
      </c>
      <c r="R178" s="94">
        <v>0</v>
      </c>
      <c r="S178" s="94">
        <v>0</v>
      </c>
      <c r="T178" s="97">
        <f t="shared" si="5"/>
        <v>0</v>
      </c>
    </row>
    <row r="179" ht="15" hidden="1" spans="1:20">
      <c r="A179" s="86" t="s">
        <v>408</v>
      </c>
      <c r="B179" s="94">
        <v>0</v>
      </c>
      <c r="C179" s="94">
        <v>0</v>
      </c>
      <c r="D179" s="94">
        <v>0</v>
      </c>
      <c r="E179" s="94">
        <v>0</v>
      </c>
      <c r="F179" s="94">
        <v>0</v>
      </c>
      <c r="G179" s="94">
        <v>0</v>
      </c>
      <c r="H179" s="94">
        <v>0</v>
      </c>
      <c r="I179" s="94">
        <v>0</v>
      </c>
      <c r="J179" s="94">
        <v>0</v>
      </c>
      <c r="K179" s="94">
        <v>0</v>
      </c>
      <c r="L179" s="94">
        <v>0</v>
      </c>
      <c r="M179" s="94">
        <v>0</v>
      </c>
      <c r="N179" s="94">
        <v>0</v>
      </c>
      <c r="O179" s="94">
        <v>0</v>
      </c>
      <c r="P179" s="94">
        <v>0</v>
      </c>
      <c r="Q179" s="94">
        <v>0</v>
      </c>
      <c r="R179" s="94">
        <v>0</v>
      </c>
      <c r="S179" s="94">
        <v>0</v>
      </c>
      <c r="T179" s="97">
        <f t="shared" si="5"/>
        <v>0</v>
      </c>
    </row>
    <row r="180" ht="15" hidden="1" spans="1:20">
      <c r="A180" s="86" t="s">
        <v>222</v>
      </c>
      <c r="B180" s="94">
        <v>0</v>
      </c>
      <c r="C180" s="94">
        <v>0</v>
      </c>
      <c r="D180" s="94">
        <v>0</v>
      </c>
      <c r="E180" s="94">
        <v>0</v>
      </c>
      <c r="F180" s="94">
        <v>0</v>
      </c>
      <c r="G180" s="94">
        <v>0</v>
      </c>
      <c r="H180" s="94">
        <v>0</v>
      </c>
      <c r="I180" s="94">
        <v>0</v>
      </c>
      <c r="J180" s="94">
        <v>0</v>
      </c>
      <c r="K180" s="94">
        <v>0</v>
      </c>
      <c r="L180" s="94">
        <v>0</v>
      </c>
      <c r="M180" s="94">
        <v>0</v>
      </c>
      <c r="N180" s="94">
        <v>0</v>
      </c>
      <c r="O180" s="94">
        <v>0</v>
      </c>
      <c r="P180" s="94">
        <v>0</v>
      </c>
      <c r="Q180" s="94">
        <v>0</v>
      </c>
      <c r="R180" s="94">
        <v>0</v>
      </c>
      <c r="S180" s="94">
        <v>0</v>
      </c>
      <c r="T180" s="97">
        <f t="shared" si="5"/>
        <v>0</v>
      </c>
    </row>
    <row r="181" ht="15" hidden="1" spans="1:20">
      <c r="A181" s="86" t="s">
        <v>409</v>
      </c>
      <c r="B181" s="94">
        <v>0</v>
      </c>
      <c r="C181" s="94">
        <v>0</v>
      </c>
      <c r="D181" s="94">
        <v>0</v>
      </c>
      <c r="E181" s="94">
        <v>0</v>
      </c>
      <c r="F181" s="94">
        <v>0</v>
      </c>
      <c r="G181" s="94">
        <v>0</v>
      </c>
      <c r="H181" s="94">
        <v>0</v>
      </c>
      <c r="I181" s="94">
        <v>0</v>
      </c>
      <c r="J181" s="94">
        <v>0</v>
      </c>
      <c r="K181" s="94">
        <v>0</v>
      </c>
      <c r="L181" s="94">
        <v>0</v>
      </c>
      <c r="M181" s="94">
        <v>0</v>
      </c>
      <c r="N181" s="94">
        <v>0</v>
      </c>
      <c r="O181" s="94">
        <v>0</v>
      </c>
      <c r="P181" s="94">
        <v>0</v>
      </c>
      <c r="Q181" s="94">
        <v>0</v>
      </c>
      <c r="R181" s="94">
        <v>0</v>
      </c>
      <c r="S181" s="94">
        <v>0</v>
      </c>
      <c r="T181" s="97">
        <f t="shared" si="5"/>
        <v>0</v>
      </c>
    </row>
    <row r="182" ht="15" hidden="1" spans="1:20">
      <c r="A182" s="86" t="s">
        <v>263</v>
      </c>
      <c r="B182" s="94">
        <v>0</v>
      </c>
      <c r="C182" s="94">
        <v>0</v>
      </c>
      <c r="D182" s="94">
        <v>0</v>
      </c>
      <c r="E182" s="94">
        <v>0</v>
      </c>
      <c r="F182" s="94">
        <v>0</v>
      </c>
      <c r="G182" s="94">
        <v>0</v>
      </c>
      <c r="H182" s="94">
        <v>0</v>
      </c>
      <c r="I182" s="94">
        <v>0</v>
      </c>
      <c r="J182" s="94">
        <v>0</v>
      </c>
      <c r="K182" s="94">
        <v>0</v>
      </c>
      <c r="L182" s="94">
        <v>0</v>
      </c>
      <c r="M182" s="94">
        <v>0</v>
      </c>
      <c r="N182" s="94">
        <v>0</v>
      </c>
      <c r="O182" s="94">
        <v>0</v>
      </c>
      <c r="P182" s="94">
        <v>0</v>
      </c>
      <c r="Q182" s="94">
        <v>0</v>
      </c>
      <c r="R182" s="94">
        <v>0</v>
      </c>
      <c r="S182" s="94">
        <v>10800</v>
      </c>
      <c r="T182" s="97">
        <f t="shared" si="5"/>
        <v>10800</v>
      </c>
    </row>
    <row r="183" ht="15" hidden="1" spans="1:20">
      <c r="A183" s="86" t="s">
        <v>410</v>
      </c>
      <c r="B183" s="94">
        <v>0</v>
      </c>
      <c r="C183" s="94">
        <v>0</v>
      </c>
      <c r="D183" s="94">
        <v>0</v>
      </c>
      <c r="E183" s="94">
        <v>0</v>
      </c>
      <c r="F183" s="94">
        <v>0</v>
      </c>
      <c r="G183" s="94">
        <v>0</v>
      </c>
      <c r="H183" s="94">
        <v>0</v>
      </c>
      <c r="I183" s="94">
        <v>0</v>
      </c>
      <c r="J183" s="94">
        <v>0</v>
      </c>
      <c r="K183" s="94">
        <v>0</v>
      </c>
      <c r="L183" s="94">
        <v>0</v>
      </c>
      <c r="M183" s="94">
        <v>0</v>
      </c>
      <c r="N183" s="94">
        <v>0</v>
      </c>
      <c r="O183" s="94">
        <v>0</v>
      </c>
      <c r="P183" s="94">
        <v>0</v>
      </c>
      <c r="Q183" s="94">
        <v>0</v>
      </c>
      <c r="R183" s="94">
        <v>0</v>
      </c>
      <c r="S183" s="94">
        <v>0</v>
      </c>
      <c r="T183" s="97">
        <f t="shared" si="5"/>
        <v>0</v>
      </c>
    </row>
    <row r="184" ht="15" hidden="1" spans="1:20">
      <c r="A184" s="86" t="s">
        <v>411</v>
      </c>
      <c r="B184" s="94">
        <v>0</v>
      </c>
      <c r="C184" s="94">
        <v>0</v>
      </c>
      <c r="D184" s="94">
        <v>0</v>
      </c>
      <c r="E184" s="94">
        <v>0</v>
      </c>
      <c r="F184" s="94">
        <v>0</v>
      </c>
      <c r="G184" s="94">
        <v>0</v>
      </c>
      <c r="H184" s="94">
        <v>0</v>
      </c>
      <c r="I184" s="94">
        <v>0</v>
      </c>
      <c r="J184" s="94">
        <v>0</v>
      </c>
      <c r="K184" s="94">
        <v>0</v>
      </c>
      <c r="L184" s="94">
        <v>0</v>
      </c>
      <c r="M184" s="94">
        <v>0</v>
      </c>
      <c r="N184" s="94">
        <v>0</v>
      </c>
      <c r="O184" s="94">
        <v>0</v>
      </c>
      <c r="P184" s="94">
        <v>0</v>
      </c>
      <c r="Q184" s="94">
        <v>0</v>
      </c>
      <c r="R184" s="94">
        <v>0</v>
      </c>
      <c r="S184" s="94">
        <v>0</v>
      </c>
      <c r="T184" s="97">
        <f t="shared" si="5"/>
        <v>0</v>
      </c>
    </row>
    <row r="185" ht="15" hidden="1" spans="1:20">
      <c r="A185" s="86" t="s">
        <v>230</v>
      </c>
      <c r="B185" s="94">
        <v>0</v>
      </c>
      <c r="C185" s="94">
        <v>0</v>
      </c>
      <c r="D185" s="94">
        <v>0</v>
      </c>
      <c r="E185" s="94">
        <v>0</v>
      </c>
      <c r="F185" s="94">
        <v>0</v>
      </c>
      <c r="G185" s="94">
        <v>0</v>
      </c>
      <c r="H185" s="94">
        <v>0</v>
      </c>
      <c r="I185" s="94">
        <v>0</v>
      </c>
      <c r="J185" s="94">
        <v>0</v>
      </c>
      <c r="K185" s="94">
        <v>0</v>
      </c>
      <c r="L185" s="94">
        <v>0</v>
      </c>
      <c r="M185" s="94">
        <v>0</v>
      </c>
      <c r="N185" s="94">
        <v>0</v>
      </c>
      <c r="O185" s="94">
        <v>0</v>
      </c>
      <c r="P185" s="94">
        <v>0</v>
      </c>
      <c r="Q185" s="94">
        <v>0</v>
      </c>
      <c r="R185" s="94">
        <v>0</v>
      </c>
      <c r="S185" s="94">
        <v>0</v>
      </c>
      <c r="T185" s="97">
        <f t="shared" si="5"/>
        <v>0</v>
      </c>
    </row>
    <row r="186" ht="15" hidden="1" spans="1:20">
      <c r="A186" s="86" t="s">
        <v>324</v>
      </c>
      <c r="B186" s="94">
        <v>0</v>
      </c>
      <c r="C186" s="94">
        <v>0</v>
      </c>
      <c r="D186" s="94">
        <v>0</v>
      </c>
      <c r="E186" s="94">
        <v>0</v>
      </c>
      <c r="F186" s="94">
        <v>0</v>
      </c>
      <c r="G186" s="94">
        <v>0</v>
      </c>
      <c r="H186" s="94">
        <v>0</v>
      </c>
      <c r="I186" s="94">
        <v>0</v>
      </c>
      <c r="J186" s="94">
        <v>0</v>
      </c>
      <c r="K186" s="94">
        <v>0</v>
      </c>
      <c r="L186" s="94">
        <v>0</v>
      </c>
      <c r="M186" s="94">
        <v>0</v>
      </c>
      <c r="N186" s="94">
        <v>0</v>
      </c>
      <c r="O186" s="94">
        <v>0</v>
      </c>
      <c r="P186" s="94">
        <v>0</v>
      </c>
      <c r="Q186" s="94">
        <v>0</v>
      </c>
      <c r="R186" s="94">
        <v>0</v>
      </c>
      <c r="S186" s="94">
        <v>0</v>
      </c>
      <c r="T186" s="97">
        <f t="shared" si="5"/>
        <v>0</v>
      </c>
    </row>
    <row r="187" ht="15" hidden="1" spans="1:20">
      <c r="A187" s="86" t="s">
        <v>412</v>
      </c>
      <c r="B187" s="94">
        <v>0</v>
      </c>
      <c r="C187" s="94">
        <v>0</v>
      </c>
      <c r="D187" s="94">
        <v>0</v>
      </c>
      <c r="E187" s="94">
        <v>0</v>
      </c>
      <c r="F187" s="94">
        <v>0</v>
      </c>
      <c r="G187" s="94">
        <v>0</v>
      </c>
      <c r="H187" s="94">
        <v>0</v>
      </c>
      <c r="I187" s="94">
        <v>0</v>
      </c>
      <c r="J187" s="94">
        <v>0</v>
      </c>
      <c r="K187" s="94">
        <v>0</v>
      </c>
      <c r="L187" s="94">
        <v>0</v>
      </c>
      <c r="M187" s="94">
        <v>0</v>
      </c>
      <c r="N187" s="94">
        <v>0</v>
      </c>
      <c r="O187" s="94">
        <v>0</v>
      </c>
      <c r="P187" s="94">
        <v>0</v>
      </c>
      <c r="Q187" s="94">
        <v>0</v>
      </c>
      <c r="R187" s="94">
        <v>0</v>
      </c>
      <c r="S187" s="94">
        <v>0</v>
      </c>
      <c r="T187" s="97">
        <f t="shared" si="5"/>
        <v>0</v>
      </c>
    </row>
    <row r="188" ht="15" hidden="1" spans="1:20">
      <c r="A188" s="86" t="s">
        <v>139</v>
      </c>
      <c r="B188" s="94">
        <v>0</v>
      </c>
      <c r="C188" s="94">
        <v>0</v>
      </c>
      <c r="D188" s="94">
        <v>0</v>
      </c>
      <c r="E188" s="94">
        <v>0</v>
      </c>
      <c r="F188" s="94">
        <v>50000</v>
      </c>
      <c r="G188" s="94">
        <v>0</v>
      </c>
      <c r="H188" s="94">
        <v>0</v>
      </c>
      <c r="I188" s="94">
        <v>0</v>
      </c>
      <c r="J188" s="94">
        <v>0</v>
      </c>
      <c r="K188" s="94">
        <v>0</v>
      </c>
      <c r="L188" s="94">
        <v>0</v>
      </c>
      <c r="M188" s="94">
        <v>0</v>
      </c>
      <c r="N188" s="94">
        <v>0</v>
      </c>
      <c r="O188" s="94">
        <v>0</v>
      </c>
      <c r="P188" s="94">
        <v>0</v>
      </c>
      <c r="Q188" s="94">
        <v>0</v>
      </c>
      <c r="R188" s="94">
        <v>0</v>
      </c>
      <c r="S188" s="94">
        <v>59197.75</v>
      </c>
      <c r="T188" s="97">
        <f t="shared" si="5"/>
        <v>109197.75</v>
      </c>
    </row>
    <row r="189" ht="15.15" hidden="1" spans="1:20">
      <c r="A189" s="91" t="s">
        <v>199</v>
      </c>
      <c r="B189" s="98">
        <f>SUM(B101:B188)</f>
        <v>0</v>
      </c>
      <c r="C189" s="98">
        <f t="shared" ref="C189:T189" si="6">SUM(C101:C188)</f>
        <v>0</v>
      </c>
      <c r="D189" s="98">
        <f t="shared" si="6"/>
        <v>6457.3</v>
      </c>
      <c r="E189" s="98">
        <f t="shared" si="6"/>
        <v>0</v>
      </c>
      <c r="F189" s="98">
        <f t="shared" si="6"/>
        <v>50000</v>
      </c>
      <c r="G189" s="98">
        <f t="shared" si="6"/>
        <v>0</v>
      </c>
      <c r="H189" s="98">
        <f t="shared" si="6"/>
        <v>31500.84</v>
      </c>
      <c r="I189" s="98">
        <f t="shared" si="6"/>
        <v>156148</v>
      </c>
      <c r="J189" s="98">
        <f t="shared" si="6"/>
        <v>255065</v>
      </c>
      <c r="K189" s="98">
        <f t="shared" si="6"/>
        <v>0</v>
      </c>
      <c r="L189" s="98">
        <f t="shared" si="6"/>
        <v>0</v>
      </c>
      <c r="M189" s="98">
        <f t="shared" si="6"/>
        <v>0</v>
      </c>
      <c r="N189" s="98">
        <f t="shared" si="6"/>
        <v>0</v>
      </c>
      <c r="O189" s="98">
        <f t="shared" si="6"/>
        <v>0</v>
      </c>
      <c r="P189" s="98">
        <f t="shared" si="6"/>
        <v>0</v>
      </c>
      <c r="Q189" s="98">
        <f t="shared" si="6"/>
        <v>0</v>
      </c>
      <c r="R189" s="98">
        <f t="shared" si="6"/>
        <v>1350</v>
      </c>
      <c r="S189" s="98">
        <f t="shared" si="6"/>
        <v>69997.75</v>
      </c>
      <c r="T189" s="98">
        <f t="shared" si="6"/>
        <v>570518.89</v>
      </c>
    </row>
    <row r="190" ht="15" hidden="1" customHeight="1" spans="2:19">
      <c r="B190" s="99"/>
      <c r="C190" s="99"/>
      <c r="D190" s="99"/>
      <c r="E190" s="99"/>
      <c r="F190" s="99"/>
      <c r="G190" s="99"/>
      <c r="H190" s="99"/>
      <c r="I190" s="99"/>
      <c r="J190" s="99"/>
      <c r="K190" s="99"/>
      <c r="L190" s="99"/>
      <c r="M190" s="99"/>
      <c r="N190" s="99"/>
      <c r="O190" s="99"/>
      <c r="P190" s="99"/>
      <c r="Q190" s="99"/>
      <c r="R190" s="99"/>
      <c r="S190" s="99"/>
    </row>
    <row r="191" hidden="1" spans="2:19">
      <c r="B191" s="99"/>
      <c r="C191" s="99"/>
      <c r="D191" s="99"/>
      <c r="E191" s="99"/>
      <c r="F191" s="99"/>
      <c r="G191" s="99"/>
      <c r="H191" s="99"/>
      <c r="I191" s="99"/>
      <c r="J191" s="99"/>
      <c r="K191" s="99"/>
      <c r="L191" s="99"/>
      <c r="M191" s="99"/>
      <c r="N191" s="99"/>
      <c r="O191" s="99"/>
      <c r="P191" s="99"/>
      <c r="Q191" s="99"/>
      <c r="R191" s="99"/>
      <c r="S191" s="99"/>
    </row>
    <row r="192" hidden="1"/>
    <row r="193" hidden="1"/>
    <row r="194" ht="50.25" hidden="1" customHeight="1" spans="1:19">
      <c r="A194" s="81" t="s">
        <v>415</v>
      </c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</row>
    <row r="195" ht="16.5" hidden="1" customHeight="1" spans="1:20">
      <c r="A195" s="82" t="s">
        <v>375</v>
      </c>
      <c r="B195" s="83" t="s">
        <v>357</v>
      </c>
      <c r="C195" s="83" t="s">
        <v>358</v>
      </c>
      <c r="D195" s="83" t="s">
        <v>360</v>
      </c>
      <c r="E195" s="83" t="s">
        <v>359</v>
      </c>
      <c r="F195" s="83" t="s">
        <v>361</v>
      </c>
      <c r="G195" s="83" t="s">
        <v>356</v>
      </c>
      <c r="H195" s="83" t="s">
        <v>355</v>
      </c>
      <c r="I195" s="83" t="s">
        <v>376</v>
      </c>
      <c r="J195" s="83" t="s">
        <v>377</v>
      </c>
      <c r="K195" s="83" t="s">
        <v>378</v>
      </c>
      <c r="L195" s="83" t="s">
        <v>379</v>
      </c>
      <c r="M195" s="83" t="s">
        <v>380</v>
      </c>
      <c r="N195" s="83" t="s">
        <v>381</v>
      </c>
      <c r="O195" s="83" t="s">
        <v>364</v>
      </c>
      <c r="P195" s="83" t="s">
        <v>382</v>
      </c>
      <c r="Q195" s="83" t="s">
        <v>383</v>
      </c>
      <c r="R195" s="83" t="s">
        <v>362</v>
      </c>
      <c r="S195" s="83" t="s">
        <v>139</v>
      </c>
      <c r="T195" s="88" t="s">
        <v>199</v>
      </c>
    </row>
    <row r="196" ht="15.6" hidden="1" spans="1:20">
      <c r="A196" s="84" t="s">
        <v>300</v>
      </c>
      <c r="B196" s="85"/>
      <c r="C196" s="85"/>
      <c r="D196" s="85"/>
      <c r="E196" s="85"/>
      <c r="F196" s="85"/>
      <c r="G196" s="85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9"/>
    </row>
    <row r="197" ht="15" hidden="1" spans="1:20">
      <c r="A197" s="86" t="s">
        <v>205</v>
      </c>
      <c r="B197" s="94">
        <v>0</v>
      </c>
      <c r="C197" s="94">
        <v>0</v>
      </c>
      <c r="D197" s="94">
        <v>0</v>
      </c>
      <c r="E197" s="94">
        <v>0</v>
      </c>
      <c r="F197" s="94">
        <v>0</v>
      </c>
      <c r="G197" s="94">
        <v>0</v>
      </c>
      <c r="H197" s="94">
        <v>0</v>
      </c>
      <c r="I197" s="94">
        <v>0</v>
      </c>
      <c r="J197" s="94">
        <v>0</v>
      </c>
      <c r="K197" s="94">
        <v>0</v>
      </c>
      <c r="L197" s="94">
        <v>0</v>
      </c>
      <c r="M197" s="94">
        <v>0</v>
      </c>
      <c r="N197" s="94">
        <v>0</v>
      </c>
      <c r="O197" s="94">
        <v>0</v>
      </c>
      <c r="P197" s="94">
        <v>0</v>
      </c>
      <c r="Q197" s="94">
        <v>0</v>
      </c>
      <c r="R197" s="94">
        <v>0</v>
      </c>
      <c r="S197" s="94">
        <v>0</v>
      </c>
      <c r="T197" s="97">
        <f t="shared" ref="T197:T228" si="7">SUM(B197:S197)</f>
        <v>0</v>
      </c>
    </row>
    <row r="198" ht="15" hidden="1" spans="1:20">
      <c r="A198" s="86" t="s">
        <v>384</v>
      </c>
      <c r="B198" s="94">
        <v>0</v>
      </c>
      <c r="C198" s="94">
        <v>0</v>
      </c>
      <c r="D198" s="94">
        <v>0</v>
      </c>
      <c r="E198" s="94">
        <v>0</v>
      </c>
      <c r="F198" s="94">
        <v>0</v>
      </c>
      <c r="G198" s="94">
        <v>0</v>
      </c>
      <c r="H198" s="94">
        <v>0</v>
      </c>
      <c r="I198" s="94">
        <v>0</v>
      </c>
      <c r="J198" s="94">
        <v>0</v>
      </c>
      <c r="K198" s="94">
        <v>0</v>
      </c>
      <c r="L198" s="94">
        <v>0</v>
      </c>
      <c r="M198" s="94">
        <v>0</v>
      </c>
      <c r="N198" s="94">
        <v>0</v>
      </c>
      <c r="O198" s="94">
        <v>0</v>
      </c>
      <c r="P198" s="94">
        <v>0</v>
      </c>
      <c r="Q198" s="94">
        <v>0</v>
      </c>
      <c r="R198" s="94">
        <v>0</v>
      </c>
      <c r="S198" s="94">
        <v>0</v>
      </c>
      <c r="T198" s="97">
        <f t="shared" si="7"/>
        <v>0</v>
      </c>
    </row>
    <row r="199" ht="15" hidden="1" spans="1:20">
      <c r="A199" s="86" t="s">
        <v>385</v>
      </c>
      <c r="B199" s="94">
        <v>0</v>
      </c>
      <c r="C199" s="94">
        <v>0</v>
      </c>
      <c r="D199" s="94">
        <v>0</v>
      </c>
      <c r="E199" s="94">
        <v>0</v>
      </c>
      <c r="F199" s="94">
        <v>0</v>
      </c>
      <c r="G199" s="94">
        <v>0</v>
      </c>
      <c r="H199" s="94">
        <v>0</v>
      </c>
      <c r="I199" s="94">
        <v>0</v>
      </c>
      <c r="J199" s="94">
        <v>0</v>
      </c>
      <c r="K199" s="94">
        <v>0</v>
      </c>
      <c r="L199" s="94">
        <v>0</v>
      </c>
      <c r="M199" s="94">
        <v>0</v>
      </c>
      <c r="N199" s="94">
        <v>0</v>
      </c>
      <c r="O199" s="94">
        <v>0</v>
      </c>
      <c r="P199" s="94">
        <v>121</v>
      </c>
      <c r="Q199" s="94">
        <v>0</v>
      </c>
      <c r="R199" s="94">
        <v>0</v>
      </c>
      <c r="S199" s="94">
        <v>0</v>
      </c>
      <c r="T199" s="97">
        <f t="shared" si="7"/>
        <v>121</v>
      </c>
    </row>
    <row r="200" ht="15" hidden="1" spans="1:20">
      <c r="A200" s="86" t="s">
        <v>302</v>
      </c>
      <c r="B200" s="94">
        <v>0</v>
      </c>
      <c r="C200" s="94">
        <v>0</v>
      </c>
      <c r="D200" s="94">
        <v>0</v>
      </c>
      <c r="E200" s="94">
        <v>0</v>
      </c>
      <c r="F200" s="94">
        <v>0</v>
      </c>
      <c r="G200" s="94">
        <v>0</v>
      </c>
      <c r="H200" s="94">
        <v>0</v>
      </c>
      <c r="I200" s="94">
        <v>0</v>
      </c>
      <c r="J200" s="94">
        <v>0</v>
      </c>
      <c r="K200" s="94">
        <v>0</v>
      </c>
      <c r="L200" s="94">
        <v>0</v>
      </c>
      <c r="M200" s="94">
        <v>0</v>
      </c>
      <c r="N200" s="94">
        <v>0</v>
      </c>
      <c r="O200" s="94">
        <v>0</v>
      </c>
      <c r="P200" s="94">
        <v>0</v>
      </c>
      <c r="Q200" s="94">
        <v>0</v>
      </c>
      <c r="R200" s="94">
        <v>0</v>
      </c>
      <c r="S200" s="94">
        <v>0</v>
      </c>
      <c r="T200" s="97">
        <f t="shared" si="7"/>
        <v>0</v>
      </c>
    </row>
    <row r="201" ht="15" hidden="1" spans="1:20">
      <c r="A201" s="86" t="s">
        <v>303</v>
      </c>
      <c r="B201" s="94">
        <v>0</v>
      </c>
      <c r="C201" s="94">
        <v>0</v>
      </c>
      <c r="D201" s="94">
        <v>0</v>
      </c>
      <c r="E201" s="94">
        <v>0</v>
      </c>
      <c r="F201" s="94">
        <v>0</v>
      </c>
      <c r="G201" s="94">
        <v>0</v>
      </c>
      <c r="H201" s="94">
        <v>0</v>
      </c>
      <c r="I201" s="94">
        <v>0</v>
      </c>
      <c r="J201" s="94">
        <v>0</v>
      </c>
      <c r="K201" s="94">
        <v>0</v>
      </c>
      <c r="L201" s="94">
        <v>0</v>
      </c>
      <c r="M201" s="94">
        <v>0</v>
      </c>
      <c r="N201" s="94">
        <v>0</v>
      </c>
      <c r="O201" s="94">
        <v>0</v>
      </c>
      <c r="P201" s="94">
        <v>0</v>
      </c>
      <c r="Q201" s="94">
        <v>0</v>
      </c>
      <c r="R201" s="94">
        <v>0</v>
      </c>
      <c r="S201" s="94">
        <v>0</v>
      </c>
      <c r="T201" s="97">
        <f t="shared" si="7"/>
        <v>0</v>
      </c>
    </row>
    <row r="202" ht="15" hidden="1" spans="1:20">
      <c r="A202" s="86" t="s">
        <v>304</v>
      </c>
      <c r="B202" s="94">
        <v>0</v>
      </c>
      <c r="C202" s="94">
        <v>0</v>
      </c>
      <c r="D202" s="94">
        <v>0</v>
      </c>
      <c r="E202" s="94">
        <v>0</v>
      </c>
      <c r="F202" s="94">
        <v>0</v>
      </c>
      <c r="G202" s="94">
        <v>0</v>
      </c>
      <c r="H202" s="94">
        <v>0</v>
      </c>
      <c r="I202" s="94">
        <v>0</v>
      </c>
      <c r="J202" s="94">
        <v>0</v>
      </c>
      <c r="K202" s="94">
        <v>0</v>
      </c>
      <c r="L202" s="94">
        <v>0</v>
      </c>
      <c r="M202" s="94">
        <v>0</v>
      </c>
      <c r="N202" s="94">
        <v>0</v>
      </c>
      <c r="O202" s="94">
        <v>0</v>
      </c>
      <c r="P202" s="94">
        <v>0</v>
      </c>
      <c r="Q202" s="94">
        <v>0</v>
      </c>
      <c r="R202" s="94">
        <v>0</v>
      </c>
      <c r="S202" s="94">
        <v>0</v>
      </c>
      <c r="T202" s="97">
        <f t="shared" si="7"/>
        <v>0</v>
      </c>
    </row>
    <row r="203" ht="15" hidden="1" spans="1:20">
      <c r="A203" s="86" t="s">
        <v>305</v>
      </c>
      <c r="B203" s="94">
        <v>0</v>
      </c>
      <c r="C203" s="94">
        <v>0</v>
      </c>
      <c r="D203" s="94">
        <v>0</v>
      </c>
      <c r="E203" s="94">
        <v>0</v>
      </c>
      <c r="F203" s="94">
        <v>0</v>
      </c>
      <c r="G203" s="94">
        <v>0</v>
      </c>
      <c r="H203" s="94">
        <v>0</v>
      </c>
      <c r="I203" s="94">
        <v>0</v>
      </c>
      <c r="J203" s="94">
        <v>0</v>
      </c>
      <c r="K203" s="94">
        <v>0</v>
      </c>
      <c r="L203" s="94">
        <v>0</v>
      </c>
      <c r="M203" s="94">
        <v>0</v>
      </c>
      <c r="N203" s="94">
        <v>0</v>
      </c>
      <c r="O203" s="94">
        <v>0</v>
      </c>
      <c r="P203" s="94">
        <v>0</v>
      </c>
      <c r="Q203" s="94">
        <v>0</v>
      </c>
      <c r="R203" s="94">
        <v>0</v>
      </c>
      <c r="S203" s="94">
        <v>0</v>
      </c>
      <c r="T203" s="97">
        <f t="shared" si="7"/>
        <v>0</v>
      </c>
    </row>
    <row r="204" ht="15" hidden="1" spans="1:20">
      <c r="A204" s="86" t="s">
        <v>306</v>
      </c>
      <c r="B204" s="94">
        <v>0</v>
      </c>
      <c r="C204" s="94">
        <v>0</v>
      </c>
      <c r="D204" s="94">
        <v>0</v>
      </c>
      <c r="E204" s="94">
        <v>0</v>
      </c>
      <c r="F204" s="94">
        <v>0</v>
      </c>
      <c r="G204" s="94">
        <v>0</v>
      </c>
      <c r="H204" s="94">
        <v>0</v>
      </c>
      <c r="I204" s="94">
        <v>0</v>
      </c>
      <c r="J204" s="94">
        <v>0</v>
      </c>
      <c r="K204" s="94">
        <v>0</v>
      </c>
      <c r="L204" s="94">
        <v>0</v>
      </c>
      <c r="M204" s="94">
        <v>0</v>
      </c>
      <c r="N204" s="94">
        <v>0</v>
      </c>
      <c r="O204" s="94">
        <v>0</v>
      </c>
      <c r="P204" s="94">
        <v>0</v>
      </c>
      <c r="Q204" s="94">
        <v>0</v>
      </c>
      <c r="R204" s="94">
        <v>0</v>
      </c>
      <c r="S204" s="94">
        <v>0</v>
      </c>
      <c r="T204" s="97">
        <f t="shared" si="7"/>
        <v>0</v>
      </c>
    </row>
    <row r="205" ht="15" hidden="1" spans="1:20">
      <c r="A205" s="86" t="s">
        <v>308</v>
      </c>
      <c r="B205" s="94">
        <v>0</v>
      </c>
      <c r="C205" s="94">
        <v>0</v>
      </c>
      <c r="D205" s="94">
        <v>0</v>
      </c>
      <c r="E205" s="94">
        <v>0</v>
      </c>
      <c r="F205" s="94">
        <v>0</v>
      </c>
      <c r="G205" s="94">
        <v>0</v>
      </c>
      <c r="H205" s="94">
        <v>0</v>
      </c>
      <c r="I205" s="94">
        <v>0</v>
      </c>
      <c r="J205" s="94">
        <v>0</v>
      </c>
      <c r="K205" s="94">
        <v>0</v>
      </c>
      <c r="L205" s="94">
        <v>0</v>
      </c>
      <c r="M205" s="94">
        <v>0</v>
      </c>
      <c r="N205" s="94">
        <v>0</v>
      </c>
      <c r="O205" s="94">
        <v>0</v>
      </c>
      <c r="P205" s="94">
        <v>0</v>
      </c>
      <c r="Q205" s="94">
        <v>0</v>
      </c>
      <c r="R205" s="94">
        <v>0</v>
      </c>
      <c r="S205" s="94">
        <v>0</v>
      </c>
      <c r="T205" s="97">
        <f t="shared" si="7"/>
        <v>0</v>
      </c>
    </row>
    <row r="206" ht="15" hidden="1" spans="1:20">
      <c r="A206" s="86" t="s">
        <v>309</v>
      </c>
      <c r="B206" s="94">
        <v>0</v>
      </c>
      <c r="C206" s="94">
        <v>0</v>
      </c>
      <c r="D206" s="94">
        <v>0</v>
      </c>
      <c r="E206" s="94">
        <v>0</v>
      </c>
      <c r="F206" s="94">
        <v>0</v>
      </c>
      <c r="G206" s="94">
        <v>0</v>
      </c>
      <c r="H206" s="94">
        <v>0</v>
      </c>
      <c r="I206" s="94">
        <v>0</v>
      </c>
      <c r="J206" s="94">
        <v>0</v>
      </c>
      <c r="K206" s="94">
        <v>0</v>
      </c>
      <c r="L206" s="94">
        <v>0</v>
      </c>
      <c r="M206" s="94">
        <v>0</v>
      </c>
      <c r="N206" s="94">
        <v>0</v>
      </c>
      <c r="O206" s="94">
        <v>0</v>
      </c>
      <c r="P206" s="94">
        <v>0</v>
      </c>
      <c r="Q206" s="94">
        <v>0</v>
      </c>
      <c r="R206" s="94">
        <v>0</v>
      </c>
      <c r="S206" s="94">
        <v>0</v>
      </c>
      <c r="T206" s="97">
        <f t="shared" si="7"/>
        <v>0</v>
      </c>
    </row>
    <row r="207" ht="15" hidden="1" spans="1:20">
      <c r="A207" s="86" t="s">
        <v>310</v>
      </c>
      <c r="B207" s="94">
        <v>0</v>
      </c>
      <c r="C207" s="94">
        <v>0</v>
      </c>
      <c r="D207" s="94">
        <v>0</v>
      </c>
      <c r="E207" s="94">
        <v>0</v>
      </c>
      <c r="F207" s="94">
        <v>0</v>
      </c>
      <c r="G207" s="94">
        <v>0</v>
      </c>
      <c r="H207" s="94">
        <v>0</v>
      </c>
      <c r="I207" s="94">
        <v>0</v>
      </c>
      <c r="J207" s="94">
        <v>0</v>
      </c>
      <c r="K207" s="94">
        <v>0</v>
      </c>
      <c r="L207" s="94">
        <v>0</v>
      </c>
      <c r="M207" s="94">
        <v>0</v>
      </c>
      <c r="N207" s="94">
        <v>0</v>
      </c>
      <c r="O207" s="94">
        <v>0</v>
      </c>
      <c r="P207" s="94">
        <v>0</v>
      </c>
      <c r="Q207" s="94">
        <v>0</v>
      </c>
      <c r="R207" s="94">
        <v>0</v>
      </c>
      <c r="S207" s="94">
        <v>0</v>
      </c>
      <c r="T207" s="97">
        <f t="shared" si="7"/>
        <v>0</v>
      </c>
    </row>
    <row r="208" ht="15" hidden="1" spans="1:20">
      <c r="A208" s="86" t="s">
        <v>311</v>
      </c>
      <c r="B208" s="94">
        <v>0</v>
      </c>
      <c r="C208" s="94">
        <v>0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0</v>
      </c>
      <c r="M208" s="94">
        <v>0</v>
      </c>
      <c r="N208" s="94">
        <v>0</v>
      </c>
      <c r="O208" s="94">
        <v>0</v>
      </c>
      <c r="P208" s="94">
        <v>0</v>
      </c>
      <c r="Q208" s="94">
        <v>0</v>
      </c>
      <c r="R208" s="94">
        <v>0</v>
      </c>
      <c r="S208" s="94">
        <v>0</v>
      </c>
      <c r="T208" s="97">
        <f t="shared" si="7"/>
        <v>0</v>
      </c>
    </row>
    <row r="209" ht="15" hidden="1" spans="1:20">
      <c r="A209" s="86" t="s">
        <v>312</v>
      </c>
      <c r="B209" s="94">
        <v>0</v>
      </c>
      <c r="C209" s="94">
        <v>0</v>
      </c>
      <c r="D209" s="94">
        <v>0</v>
      </c>
      <c r="E209" s="94">
        <v>0</v>
      </c>
      <c r="F209" s="94">
        <v>0</v>
      </c>
      <c r="G209" s="94">
        <v>0</v>
      </c>
      <c r="H209" s="94">
        <v>0</v>
      </c>
      <c r="I209" s="94">
        <v>0</v>
      </c>
      <c r="J209" s="94">
        <v>0</v>
      </c>
      <c r="K209" s="94">
        <v>0</v>
      </c>
      <c r="L209" s="94">
        <v>0</v>
      </c>
      <c r="M209" s="94">
        <v>0</v>
      </c>
      <c r="N209" s="94">
        <v>0</v>
      </c>
      <c r="O209" s="94">
        <v>0</v>
      </c>
      <c r="P209" s="94">
        <v>0</v>
      </c>
      <c r="Q209" s="94">
        <v>0</v>
      </c>
      <c r="R209" s="94">
        <v>0</v>
      </c>
      <c r="S209" s="94">
        <v>0</v>
      </c>
      <c r="T209" s="97">
        <f t="shared" si="7"/>
        <v>0</v>
      </c>
    </row>
    <row r="210" ht="15" hidden="1" spans="1:20">
      <c r="A210" s="86" t="s">
        <v>313</v>
      </c>
      <c r="B210" s="94">
        <v>0</v>
      </c>
      <c r="C210" s="94">
        <v>0</v>
      </c>
      <c r="D210" s="94">
        <v>0</v>
      </c>
      <c r="E210" s="94">
        <v>0</v>
      </c>
      <c r="F210" s="94">
        <v>0</v>
      </c>
      <c r="G210" s="94">
        <v>0</v>
      </c>
      <c r="H210" s="94">
        <v>0</v>
      </c>
      <c r="I210" s="94">
        <v>0</v>
      </c>
      <c r="J210" s="94">
        <v>0</v>
      </c>
      <c r="K210" s="94">
        <v>0</v>
      </c>
      <c r="L210" s="94">
        <v>0</v>
      </c>
      <c r="M210" s="94">
        <v>0</v>
      </c>
      <c r="N210" s="94">
        <v>0</v>
      </c>
      <c r="O210" s="94">
        <v>0</v>
      </c>
      <c r="P210" s="94">
        <v>0</v>
      </c>
      <c r="Q210" s="94">
        <v>0</v>
      </c>
      <c r="R210" s="94">
        <v>0</v>
      </c>
      <c r="S210" s="94">
        <v>0</v>
      </c>
      <c r="T210" s="97">
        <f t="shared" si="7"/>
        <v>0</v>
      </c>
    </row>
    <row r="211" ht="15" hidden="1" spans="1:20">
      <c r="A211" s="86" t="s">
        <v>314</v>
      </c>
      <c r="B211" s="94">
        <v>0</v>
      </c>
      <c r="C211" s="94">
        <v>0</v>
      </c>
      <c r="D211" s="94">
        <v>0</v>
      </c>
      <c r="E211" s="94">
        <v>0</v>
      </c>
      <c r="F211" s="94">
        <v>0</v>
      </c>
      <c r="G211" s="94">
        <v>0</v>
      </c>
      <c r="H211" s="94">
        <v>0</v>
      </c>
      <c r="I211" s="94">
        <v>0</v>
      </c>
      <c r="J211" s="94">
        <v>0</v>
      </c>
      <c r="K211" s="94">
        <v>0</v>
      </c>
      <c r="L211" s="94">
        <v>0</v>
      </c>
      <c r="M211" s="94">
        <v>0</v>
      </c>
      <c r="N211" s="94">
        <v>0</v>
      </c>
      <c r="O211" s="94">
        <v>0</v>
      </c>
      <c r="P211" s="94">
        <v>0</v>
      </c>
      <c r="Q211" s="94">
        <v>0</v>
      </c>
      <c r="R211" s="94">
        <v>0</v>
      </c>
      <c r="S211" s="94">
        <v>0</v>
      </c>
      <c r="T211" s="97">
        <f t="shared" si="7"/>
        <v>0</v>
      </c>
    </row>
    <row r="212" ht="15" hidden="1" spans="1:20">
      <c r="A212" s="86" t="s">
        <v>315</v>
      </c>
      <c r="B212" s="94">
        <v>0</v>
      </c>
      <c r="C212" s="94">
        <v>0</v>
      </c>
      <c r="D212" s="94">
        <v>0</v>
      </c>
      <c r="E212" s="94">
        <v>0</v>
      </c>
      <c r="F212" s="94">
        <v>0</v>
      </c>
      <c r="G212" s="94">
        <v>0</v>
      </c>
      <c r="H212" s="94">
        <v>0</v>
      </c>
      <c r="I212" s="94">
        <v>0</v>
      </c>
      <c r="J212" s="94">
        <v>0</v>
      </c>
      <c r="K212" s="94">
        <v>0</v>
      </c>
      <c r="L212" s="94">
        <v>0</v>
      </c>
      <c r="M212" s="94">
        <v>0</v>
      </c>
      <c r="N212" s="94">
        <v>0</v>
      </c>
      <c r="O212" s="94">
        <v>0</v>
      </c>
      <c r="P212" s="94">
        <v>0</v>
      </c>
      <c r="Q212" s="94">
        <v>0</v>
      </c>
      <c r="R212" s="94">
        <v>0</v>
      </c>
      <c r="S212" s="94">
        <v>0</v>
      </c>
      <c r="T212" s="97">
        <f t="shared" si="7"/>
        <v>0</v>
      </c>
    </row>
    <row r="213" ht="15" hidden="1" spans="1:20">
      <c r="A213" s="86" t="s">
        <v>317</v>
      </c>
      <c r="B213" s="94">
        <v>0</v>
      </c>
      <c r="C213" s="94">
        <v>0</v>
      </c>
      <c r="D213" s="94">
        <v>0</v>
      </c>
      <c r="E213" s="94">
        <v>0</v>
      </c>
      <c r="F213" s="94">
        <v>0</v>
      </c>
      <c r="G213" s="94">
        <v>0</v>
      </c>
      <c r="H213" s="94">
        <v>0</v>
      </c>
      <c r="I213" s="94">
        <v>0</v>
      </c>
      <c r="J213" s="94">
        <v>0</v>
      </c>
      <c r="K213" s="94">
        <v>0</v>
      </c>
      <c r="L213" s="94">
        <v>0</v>
      </c>
      <c r="M213" s="94">
        <v>0</v>
      </c>
      <c r="N213" s="94">
        <v>0</v>
      </c>
      <c r="O213" s="94">
        <v>0</v>
      </c>
      <c r="P213" s="94">
        <v>0</v>
      </c>
      <c r="Q213" s="94">
        <v>0</v>
      </c>
      <c r="R213" s="94">
        <v>0</v>
      </c>
      <c r="S213" s="94">
        <v>0</v>
      </c>
      <c r="T213" s="97">
        <f t="shared" si="7"/>
        <v>0</v>
      </c>
    </row>
    <row r="214" ht="15" hidden="1" spans="1:20">
      <c r="A214" s="86" t="s">
        <v>318</v>
      </c>
      <c r="B214" s="94">
        <v>0</v>
      </c>
      <c r="C214" s="94">
        <v>0</v>
      </c>
      <c r="D214" s="94">
        <v>0</v>
      </c>
      <c r="E214" s="94">
        <v>0</v>
      </c>
      <c r="F214" s="94">
        <v>0</v>
      </c>
      <c r="G214" s="94">
        <v>0</v>
      </c>
      <c r="H214" s="94">
        <v>0</v>
      </c>
      <c r="I214" s="94">
        <v>0</v>
      </c>
      <c r="J214" s="94">
        <v>0</v>
      </c>
      <c r="K214" s="94">
        <v>0</v>
      </c>
      <c r="L214" s="94">
        <v>0</v>
      </c>
      <c r="M214" s="94">
        <v>0</v>
      </c>
      <c r="N214" s="94">
        <v>0</v>
      </c>
      <c r="O214" s="94">
        <v>0</v>
      </c>
      <c r="P214" s="94">
        <v>0</v>
      </c>
      <c r="Q214" s="94">
        <v>0</v>
      </c>
      <c r="R214" s="94">
        <v>0</v>
      </c>
      <c r="S214" s="94">
        <v>0</v>
      </c>
      <c r="T214" s="97">
        <f t="shared" si="7"/>
        <v>0</v>
      </c>
    </row>
    <row r="215" ht="15" hidden="1" spans="1:20">
      <c r="A215" s="86" t="s">
        <v>319</v>
      </c>
      <c r="B215" s="94">
        <v>0</v>
      </c>
      <c r="C215" s="94">
        <v>0</v>
      </c>
      <c r="D215" s="94">
        <v>0</v>
      </c>
      <c r="E215" s="94">
        <v>0</v>
      </c>
      <c r="F215" s="94">
        <v>0</v>
      </c>
      <c r="G215" s="94">
        <v>0</v>
      </c>
      <c r="H215" s="94">
        <v>0</v>
      </c>
      <c r="I215" s="94">
        <v>0</v>
      </c>
      <c r="J215" s="94">
        <v>0</v>
      </c>
      <c r="K215" s="94">
        <v>0</v>
      </c>
      <c r="L215" s="94">
        <v>0</v>
      </c>
      <c r="M215" s="94">
        <v>0</v>
      </c>
      <c r="N215" s="94">
        <v>0</v>
      </c>
      <c r="O215" s="94">
        <v>0</v>
      </c>
      <c r="P215" s="94">
        <v>0</v>
      </c>
      <c r="Q215" s="94">
        <v>0</v>
      </c>
      <c r="R215" s="94">
        <v>0</v>
      </c>
      <c r="S215" s="94">
        <v>0</v>
      </c>
      <c r="T215" s="97">
        <f t="shared" si="7"/>
        <v>0</v>
      </c>
    </row>
    <row r="216" ht="15" hidden="1" spans="1:20">
      <c r="A216" s="86" t="s">
        <v>320</v>
      </c>
      <c r="B216" s="94">
        <v>0</v>
      </c>
      <c r="C216" s="94">
        <v>0</v>
      </c>
      <c r="D216" s="94">
        <v>0</v>
      </c>
      <c r="E216" s="94">
        <v>0</v>
      </c>
      <c r="F216" s="94">
        <v>0</v>
      </c>
      <c r="G216" s="94">
        <v>0</v>
      </c>
      <c r="H216" s="94">
        <v>0</v>
      </c>
      <c r="I216" s="94">
        <v>0</v>
      </c>
      <c r="J216" s="94">
        <v>0</v>
      </c>
      <c r="K216" s="94">
        <v>0</v>
      </c>
      <c r="L216" s="94">
        <v>0</v>
      </c>
      <c r="M216" s="94">
        <v>0</v>
      </c>
      <c r="N216" s="94">
        <v>0</v>
      </c>
      <c r="O216" s="94">
        <v>0</v>
      </c>
      <c r="P216" s="94">
        <v>0</v>
      </c>
      <c r="Q216" s="94">
        <v>0</v>
      </c>
      <c r="R216" s="94">
        <v>0</v>
      </c>
      <c r="S216" s="94">
        <v>0</v>
      </c>
      <c r="T216" s="97">
        <f t="shared" si="7"/>
        <v>0</v>
      </c>
    </row>
    <row r="217" ht="15" hidden="1" spans="1:20">
      <c r="A217" s="86" t="s">
        <v>321</v>
      </c>
      <c r="B217" s="94">
        <v>0</v>
      </c>
      <c r="C217" s="94">
        <v>0</v>
      </c>
      <c r="D217" s="94">
        <v>0</v>
      </c>
      <c r="E217" s="94">
        <v>0</v>
      </c>
      <c r="F217" s="94">
        <v>0</v>
      </c>
      <c r="G217" s="94">
        <v>0</v>
      </c>
      <c r="H217" s="94">
        <v>0</v>
      </c>
      <c r="I217" s="94">
        <v>0</v>
      </c>
      <c r="J217" s="94">
        <v>0</v>
      </c>
      <c r="K217" s="94">
        <v>0</v>
      </c>
      <c r="L217" s="94">
        <v>0</v>
      </c>
      <c r="M217" s="94">
        <v>0</v>
      </c>
      <c r="N217" s="94">
        <v>0</v>
      </c>
      <c r="O217" s="94">
        <v>0</v>
      </c>
      <c r="P217" s="94">
        <v>0</v>
      </c>
      <c r="Q217" s="94">
        <v>0</v>
      </c>
      <c r="R217" s="94">
        <v>0</v>
      </c>
      <c r="S217" s="94">
        <v>0</v>
      </c>
      <c r="T217" s="97">
        <f t="shared" si="7"/>
        <v>0</v>
      </c>
    </row>
    <row r="218" ht="15" hidden="1" spans="1:20">
      <c r="A218" s="86" t="s">
        <v>322</v>
      </c>
      <c r="B218" s="94">
        <v>0</v>
      </c>
      <c r="C218" s="94">
        <v>0</v>
      </c>
      <c r="D218" s="94">
        <v>0</v>
      </c>
      <c r="E218" s="94">
        <v>0</v>
      </c>
      <c r="F218" s="94">
        <v>0</v>
      </c>
      <c r="G218" s="94">
        <v>0</v>
      </c>
      <c r="H218" s="94">
        <v>0</v>
      </c>
      <c r="I218" s="94">
        <v>0</v>
      </c>
      <c r="J218" s="94">
        <v>0</v>
      </c>
      <c r="K218" s="94">
        <v>0</v>
      </c>
      <c r="L218" s="94">
        <v>0</v>
      </c>
      <c r="M218" s="94">
        <v>0</v>
      </c>
      <c r="N218" s="94">
        <v>0</v>
      </c>
      <c r="O218" s="94">
        <v>0</v>
      </c>
      <c r="P218" s="94">
        <v>0</v>
      </c>
      <c r="Q218" s="94">
        <v>0</v>
      </c>
      <c r="R218" s="94">
        <v>0</v>
      </c>
      <c r="S218" s="94">
        <v>0</v>
      </c>
      <c r="T218" s="97">
        <f t="shared" si="7"/>
        <v>0</v>
      </c>
    </row>
    <row r="219" ht="15" hidden="1" spans="1:20">
      <c r="A219" s="86" t="s">
        <v>273</v>
      </c>
      <c r="B219" s="94">
        <v>0</v>
      </c>
      <c r="C219" s="94">
        <v>0</v>
      </c>
      <c r="D219" s="94">
        <v>0</v>
      </c>
      <c r="E219" s="94">
        <v>0</v>
      </c>
      <c r="F219" s="94">
        <v>0</v>
      </c>
      <c r="G219" s="94">
        <v>0</v>
      </c>
      <c r="H219" s="94">
        <v>0</v>
      </c>
      <c r="I219" s="94">
        <v>0</v>
      </c>
      <c r="J219" s="94">
        <v>5000</v>
      </c>
      <c r="K219" s="94">
        <v>0</v>
      </c>
      <c r="L219" s="94">
        <v>0</v>
      </c>
      <c r="M219" s="94">
        <v>0</v>
      </c>
      <c r="N219" s="94">
        <v>0</v>
      </c>
      <c r="O219" s="94">
        <v>0</v>
      </c>
      <c r="P219" s="94">
        <v>0</v>
      </c>
      <c r="Q219" s="94">
        <v>0</v>
      </c>
      <c r="R219" s="94">
        <v>0</v>
      </c>
      <c r="S219" s="94">
        <v>0</v>
      </c>
      <c r="T219" s="97">
        <f t="shared" si="7"/>
        <v>5000</v>
      </c>
    </row>
    <row r="220" ht="15" hidden="1" spans="1:20">
      <c r="A220" s="86" t="s">
        <v>274</v>
      </c>
      <c r="B220" s="94">
        <v>0</v>
      </c>
      <c r="C220" s="94">
        <v>0</v>
      </c>
      <c r="D220" s="94">
        <v>0</v>
      </c>
      <c r="E220" s="94">
        <v>0</v>
      </c>
      <c r="F220" s="94">
        <v>0</v>
      </c>
      <c r="G220" s="94">
        <v>0</v>
      </c>
      <c r="H220" s="94">
        <v>0</v>
      </c>
      <c r="I220" s="94">
        <v>0</v>
      </c>
      <c r="J220" s="94">
        <v>3000</v>
      </c>
      <c r="K220" s="94">
        <v>0</v>
      </c>
      <c r="L220" s="94">
        <v>0</v>
      </c>
      <c r="M220" s="94">
        <v>0</v>
      </c>
      <c r="N220" s="94">
        <v>0</v>
      </c>
      <c r="O220" s="94">
        <v>0</v>
      </c>
      <c r="P220" s="94">
        <v>0</v>
      </c>
      <c r="Q220" s="94">
        <v>0</v>
      </c>
      <c r="R220" s="94">
        <v>0</v>
      </c>
      <c r="S220" s="94">
        <v>0</v>
      </c>
      <c r="T220" s="97">
        <f t="shared" si="7"/>
        <v>3000</v>
      </c>
    </row>
    <row r="221" ht="15" hidden="1" spans="1:20">
      <c r="A221" s="86" t="s">
        <v>275</v>
      </c>
      <c r="B221" s="94">
        <v>0</v>
      </c>
      <c r="C221" s="94">
        <v>0</v>
      </c>
      <c r="D221" s="94">
        <v>0</v>
      </c>
      <c r="E221" s="94">
        <v>0</v>
      </c>
      <c r="F221" s="94">
        <v>0</v>
      </c>
      <c r="G221" s="94">
        <v>0</v>
      </c>
      <c r="H221" s="94">
        <v>0</v>
      </c>
      <c r="I221" s="94">
        <v>0</v>
      </c>
      <c r="J221" s="94">
        <v>0</v>
      </c>
      <c r="K221" s="94">
        <v>0</v>
      </c>
      <c r="L221" s="94">
        <v>0</v>
      </c>
      <c r="M221" s="94">
        <v>0</v>
      </c>
      <c r="N221" s="94">
        <v>0</v>
      </c>
      <c r="O221" s="94">
        <v>0</v>
      </c>
      <c r="P221" s="94">
        <v>0</v>
      </c>
      <c r="Q221" s="94">
        <v>0</v>
      </c>
      <c r="R221" s="94">
        <v>0</v>
      </c>
      <c r="S221" s="94">
        <v>0</v>
      </c>
      <c r="T221" s="97">
        <f t="shared" si="7"/>
        <v>0</v>
      </c>
    </row>
    <row r="222" ht="15" hidden="1" spans="1:20">
      <c r="A222" s="86" t="s">
        <v>276</v>
      </c>
      <c r="B222" s="94">
        <v>0</v>
      </c>
      <c r="C222" s="94">
        <v>0</v>
      </c>
      <c r="D222" s="94">
        <v>0</v>
      </c>
      <c r="E222" s="94">
        <v>0</v>
      </c>
      <c r="F222" s="94">
        <v>0</v>
      </c>
      <c r="G222" s="94">
        <v>0</v>
      </c>
      <c r="H222" s="94">
        <v>0</v>
      </c>
      <c r="I222" s="94">
        <v>0</v>
      </c>
      <c r="J222" s="94">
        <v>0</v>
      </c>
      <c r="K222" s="94">
        <v>0</v>
      </c>
      <c r="L222" s="94">
        <v>0</v>
      </c>
      <c r="M222" s="94">
        <v>0</v>
      </c>
      <c r="N222" s="94">
        <v>0</v>
      </c>
      <c r="O222" s="94">
        <v>0</v>
      </c>
      <c r="P222" s="94">
        <v>0</v>
      </c>
      <c r="Q222" s="94">
        <v>0</v>
      </c>
      <c r="R222" s="94">
        <v>0</v>
      </c>
      <c r="S222" s="94">
        <v>0</v>
      </c>
      <c r="T222" s="97">
        <f t="shared" si="7"/>
        <v>0</v>
      </c>
    </row>
    <row r="223" ht="15" hidden="1" spans="1:20">
      <c r="A223" s="86" t="s">
        <v>277</v>
      </c>
      <c r="B223" s="94">
        <v>0</v>
      </c>
      <c r="C223" s="94">
        <v>0</v>
      </c>
      <c r="D223" s="94">
        <v>0</v>
      </c>
      <c r="E223" s="94">
        <v>0</v>
      </c>
      <c r="F223" s="94">
        <v>0</v>
      </c>
      <c r="G223" s="94">
        <v>0</v>
      </c>
      <c r="H223" s="94">
        <v>0</v>
      </c>
      <c r="I223" s="94">
        <v>0</v>
      </c>
      <c r="J223" s="94">
        <v>0</v>
      </c>
      <c r="K223" s="94">
        <v>0</v>
      </c>
      <c r="L223" s="94">
        <v>0</v>
      </c>
      <c r="M223" s="94">
        <v>0</v>
      </c>
      <c r="N223" s="94">
        <v>0</v>
      </c>
      <c r="O223" s="94">
        <v>0</v>
      </c>
      <c r="P223" s="94">
        <v>0</v>
      </c>
      <c r="Q223" s="94">
        <v>0</v>
      </c>
      <c r="R223" s="94">
        <v>0</v>
      </c>
      <c r="S223" s="94">
        <v>0</v>
      </c>
      <c r="T223" s="97">
        <f t="shared" si="7"/>
        <v>0</v>
      </c>
    </row>
    <row r="224" ht="15" hidden="1" spans="1:20">
      <c r="A224" s="86" t="s">
        <v>278</v>
      </c>
      <c r="B224" s="94">
        <v>0</v>
      </c>
      <c r="C224" s="94">
        <v>0</v>
      </c>
      <c r="D224" s="94">
        <v>0</v>
      </c>
      <c r="E224" s="94">
        <v>0</v>
      </c>
      <c r="F224" s="94">
        <v>0</v>
      </c>
      <c r="G224" s="94">
        <v>0</v>
      </c>
      <c r="H224" s="94">
        <v>0</v>
      </c>
      <c r="I224" s="94">
        <v>0</v>
      </c>
      <c r="J224" s="94">
        <v>0</v>
      </c>
      <c r="K224" s="94">
        <v>0</v>
      </c>
      <c r="L224" s="94">
        <v>0</v>
      </c>
      <c r="M224" s="94">
        <v>0</v>
      </c>
      <c r="N224" s="94">
        <v>0</v>
      </c>
      <c r="O224" s="94">
        <v>0</v>
      </c>
      <c r="P224" s="94">
        <v>0</v>
      </c>
      <c r="Q224" s="94">
        <v>0</v>
      </c>
      <c r="R224" s="94">
        <v>0</v>
      </c>
      <c r="S224" s="94">
        <v>0</v>
      </c>
      <c r="T224" s="97">
        <f t="shared" si="7"/>
        <v>0</v>
      </c>
    </row>
    <row r="225" ht="15" hidden="1" spans="1:20">
      <c r="A225" s="86" t="s">
        <v>287</v>
      </c>
      <c r="B225" s="94">
        <v>0</v>
      </c>
      <c r="C225" s="94">
        <v>0</v>
      </c>
      <c r="D225" s="94">
        <v>0</v>
      </c>
      <c r="E225" s="94">
        <v>0</v>
      </c>
      <c r="F225" s="94">
        <v>0</v>
      </c>
      <c r="G225" s="94">
        <v>0</v>
      </c>
      <c r="H225" s="94">
        <v>0</v>
      </c>
      <c r="I225" s="94">
        <v>0</v>
      </c>
      <c r="J225" s="94">
        <v>0</v>
      </c>
      <c r="K225" s="94">
        <v>0</v>
      </c>
      <c r="L225" s="94">
        <v>0</v>
      </c>
      <c r="M225" s="94">
        <v>0</v>
      </c>
      <c r="N225" s="94">
        <v>0</v>
      </c>
      <c r="O225" s="94">
        <v>0</v>
      </c>
      <c r="P225" s="94">
        <v>0</v>
      </c>
      <c r="Q225" s="94">
        <v>0</v>
      </c>
      <c r="R225" s="94">
        <v>0</v>
      </c>
      <c r="S225" s="94">
        <v>0</v>
      </c>
      <c r="T225" s="97">
        <f t="shared" si="7"/>
        <v>0</v>
      </c>
    </row>
    <row r="226" ht="15" hidden="1" spans="1:20">
      <c r="A226" s="86" t="s">
        <v>279</v>
      </c>
      <c r="B226" s="94">
        <v>0</v>
      </c>
      <c r="C226" s="94">
        <v>0</v>
      </c>
      <c r="D226" s="94">
        <v>0</v>
      </c>
      <c r="E226" s="94">
        <v>0</v>
      </c>
      <c r="F226" s="94">
        <v>0</v>
      </c>
      <c r="G226" s="94">
        <v>0</v>
      </c>
      <c r="H226" s="94">
        <v>0</v>
      </c>
      <c r="I226" s="94">
        <v>0</v>
      </c>
      <c r="J226" s="94">
        <v>0</v>
      </c>
      <c r="K226" s="94">
        <v>0</v>
      </c>
      <c r="L226" s="94">
        <v>0</v>
      </c>
      <c r="M226" s="94">
        <v>0</v>
      </c>
      <c r="N226" s="94">
        <v>0</v>
      </c>
      <c r="O226" s="94">
        <v>0</v>
      </c>
      <c r="P226" s="94">
        <v>0</v>
      </c>
      <c r="Q226" s="94">
        <v>0</v>
      </c>
      <c r="R226" s="94">
        <v>0</v>
      </c>
      <c r="S226" s="94">
        <v>0</v>
      </c>
      <c r="T226" s="97">
        <f t="shared" si="7"/>
        <v>0</v>
      </c>
    </row>
    <row r="227" ht="15" hidden="1" spans="1:20">
      <c r="A227" s="86" t="s">
        <v>283</v>
      </c>
      <c r="B227" s="94">
        <v>0</v>
      </c>
      <c r="C227" s="94">
        <v>0</v>
      </c>
      <c r="D227" s="94">
        <v>0</v>
      </c>
      <c r="E227" s="94">
        <v>0</v>
      </c>
      <c r="F227" s="94">
        <v>0</v>
      </c>
      <c r="G227" s="94">
        <v>0</v>
      </c>
      <c r="H227" s="94">
        <v>0</v>
      </c>
      <c r="I227" s="94">
        <v>0</v>
      </c>
      <c r="J227" s="94">
        <v>0</v>
      </c>
      <c r="K227" s="94">
        <v>0</v>
      </c>
      <c r="L227" s="94">
        <v>0</v>
      </c>
      <c r="M227" s="94">
        <v>0</v>
      </c>
      <c r="N227" s="94">
        <v>0</v>
      </c>
      <c r="O227" s="94">
        <v>0</v>
      </c>
      <c r="P227" s="94">
        <v>0</v>
      </c>
      <c r="Q227" s="94">
        <v>0</v>
      </c>
      <c r="R227" s="94">
        <v>0</v>
      </c>
      <c r="S227" s="94">
        <v>0</v>
      </c>
      <c r="T227" s="97">
        <f t="shared" si="7"/>
        <v>0</v>
      </c>
    </row>
    <row r="228" ht="15" hidden="1" spans="1:20">
      <c r="A228" s="86" t="s">
        <v>284</v>
      </c>
      <c r="B228" s="94">
        <v>0</v>
      </c>
      <c r="C228" s="94">
        <v>0</v>
      </c>
      <c r="D228" s="94">
        <v>0</v>
      </c>
      <c r="E228" s="94">
        <v>0</v>
      </c>
      <c r="F228" s="94">
        <v>0</v>
      </c>
      <c r="G228" s="94">
        <v>0</v>
      </c>
      <c r="H228" s="94">
        <v>0</v>
      </c>
      <c r="I228" s="94">
        <v>0</v>
      </c>
      <c r="J228" s="94">
        <v>0</v>
      </c>
      <c r="K228" s="94">
        <v>0</v>
      </c>
      <c r="L228" s="94">
        <v>0</v>
      </c>
      <c r="M228" s="94">
        <v>0</v>
      </c>
      <c r="N228" s="94">
        <v>0</v>
      </c>
      <c r="O228" s="94">
        <v>0</v>
      </c>
      <c r="P228" s="94">
        <v>0</v>
      </c>
      <c r="Q228" s="94">
        <v>0</v>
      </c>
      <c r="R228" s="94">
        <v>0</v>
      </c>
      <c r="S228" s="94">
        <v>0</v>
      </c>
      <c r="T228" s="97">
        <f t="shared" si="7"/>
        <v>0</v>
      </c>
    </row>
    <row r="229" ht="15" hidden="1" spans="1:20">
      <c r="A229" s="86" t="s">
        <v>285</v>
      </c>
      <c r="B229" s="94">
        <v>0</v>
      </c>
      <c r="C229" s="94">
        <v>0</v>
      </c>
      <c r="D229" s="94">
        <v>0</v>
      </c>
      <c r="E229" s="94">
        <v>0</v>
      </c>
      <c r="F229" s="94">
        <v>0</v>
      </c>
      <c r="G229" s="94">
        <v>0</v>
      </c>
      <c r="H229" s="94">
        <v>0</v>
      </c>
      <c r="I229" s="94">
        <v>0</v>
      </c>
      <c r="J229" s="94">
        <v>0</v>
      </c>
      <c r="K229" s="94">
        <v>0</v>
      </c>
      <c r="L229" s="94">
        <v>0</v>
      </c>
      <c r="M229" s="94">
        <v>0</v>
      </c>
      <c r="N229" s="94">
        <v>0</v>
      </c>
      <c r="O229" s="94">
        <v>0</v>
      </c>
      <c r="P229" s="94">
        <v>0</v>
      </c>
      <c r="Q229" s="94">
        <v>0</v>
      </c>
      <c r="R229" s="94">
        <v>0</v>
      </c>
      <c r="S229" s="94">
        <v>0</v>
      </c>
      <c r="T229" s="97">
        <f t="shared" ref="T229:T260" si="8">SUM(B229:S229)</f>
        <v>0</v>
      </c>
    </row>
    <row r="230" ht="15" hidden="1" spans="1:20">
      <c r="A230" s="86" t="s">
        <v>386</v>
      </c>
      <c r="B230" s="94">
        <v>0</v>
      </c>
      <c r="C230" s="94">
        <v>0</v>
      </c>
      <c r="D230" s="94">
        <v>0</v>
      </c>
      <c r="E230" s="94">
        <v>0</v>
      </c>
      <c r="F230" s="94">
        <v>0</v>
      </c>
      <c r="G230" s="94">
        <v>0</v>
      </c>
      <c r="H230" s="94">
        <v>0</v>
      </c>
      <c r="I230" s="94">
        <v>0</v>
      </c>
      <c r="J230" s="94">
        <v>0</v>
      </c>
      <c r="K230" s="94">
        <v>0</v>
      </c>
      <c r="L230" s="94">
        <v>0</v>
      </c>
      <c r="M230" s="94">
        <v>0</v>
      </c>
      <c r="N230" s="94">
        <v>0</v>
      </c>
      <c r="O230" s="94">
        <v>0</v>
      </c>
      <c r="P230" s="94">
        <v>0</v>
      </c>
      <c r="Q230" s="94">
        <v>0</v>
      </c>
      <c r="R230" s="94">
        <v>0</v>
      </c>
      <c r="S230" s="94">
        <v>0</v>
      </c>
      <c r="T230" s="97">
        <f t="shared" si="8"/>
        <v>0</v>
      </c>
    </row>
    <row r="231" ht="15" hidden="1" spans="1:20">
      <c r="A231" s="86" t="s">
        <v>286</v>
      </c>
      <c r="B231" s="94">
        <v>0</v>
      </c>
      <c r="C231" s="94">
        <v>0</v>
      </c>
      <c r="D231" s="94">
        <v>0</v>
      </c>
      <c r="E231" s="94">
        <v>0</v>
      </c>
      <c r="F231" s="94">
        <v>0</v>
      </c>
      <c r="G231" s="94">
        <v>0</v>
      </c>
      <c r="H231" s="94">
        <v>0</v>
      </c>
      <c r="I231" s="94">
        <v>0</v>
      </c>
      <c r="J231" s="94">
        <v>0</v>
      </c>
      <c r="K231" s="94">
        <v>0</v>
      </c>
      <c r="L231" s="94">
        <v>0</v>
      </c>
      <c r="M231" s="94">
        <v>0</v>
      </c>
      <c r="N231" s="94">
        <v>0</v>
      </c>
      <c r="O231" s="94">
        <v>0</v>
      </c>
      <c r="P231" s="94">
        <v>0</v>
      </c>
      <c r="Q231" s="94">
        <v>0</v>
      </c>
      <c r="R231" s="94">
        <v>0</v>
      </c>
      <c r="S231" s="94">
        <v>0</v>
      </c>
      <c r="T231" s="97">
        <f t="shared" si="8"/>
        <v>0</v>
      </c>
    </row>
    <row r="232" ht="15" hidden="1" spans="1:20">
      <c r="A232" s="86" t="s">
        <v>288</v>
      </c>
      <c r="B232" s="94">
        <v>0</v>
      </c>
      <c r="C232" s="94">
        <v>0</v>
      </c>
      <c r="D232" s="94">
        <v>0</v>
      </c>
      <c r="E232" s="94">
        <v>0</v>
      </c>
      <c r="F232" s="94">
        <v>0</v>
      </c>
      <c r="G232" s="94">
        <v>0</v>
      </c>
      <c r="H232" s="94">
        <v>0</v>
      </c>
      <c r="I232" s="94">
        <v>0</v>
      </c>
      <c r="J232" s="94">
        <v>0</v>
      </c>
      <c r="K232" s="94">
        <v>0</v>
      </c>
      <c r="L232" s="94">
        <v>0</v>
      </c>
      <c r="M232" s="94">
        <v>0</v>
      </c>
      <c r="N232" s="94">
        <v>0</v>
      </c>
      <c r="O232" s="94">
        <v>0</v>
      </c>
      <c r="P232" s="94">
        <v>0</v>
      </c>
      <c r="Q232" s="94">
        <v>0</v>
      </c>
      <c r="R232" s="94">
        <v>0</v>
      </c>
      <c r="S232" s="94">
        <v>0</v>
      </c>
      <c r="T232" s="97">
        <f t="shared" si="8"/>
        <v>0</v>
      </c>
    </row>
    <row r="233" ht="15" hidden="1" spans="1:20">
      <c r="A233" s="86" t="s">
        <v>387</v>
      </c>
      <c r="B233" s="94">
        <v>0</v>
      </c>
      <c r="C233" s="94">
        <v>0</v>
      </c>
      <c r="D233" s="94">
        <v>0</v>
      </c>
      <c r="E233" s="94">
        <v>0</v>
      </c>
      <c r="F233" s="94">
        <v>0</v>
      </c>
      <c r="G233" s="94">
        <v>0</v>
      </c>
      <c r="H233" s="94">
        <v>0</v>
      </c>
      <c r="I233" s="94">
        <v>0</v>
      </c>
      <c r="J233" s="94">
        <v>0</v>
      </c>
      <c r="K233" s="94">
        <v>0</v>
      </c>
      <c r="L233" s="94">
        <v>0</v>
      </c>
      <c r="M233" s="94">
        <v>0</v>
      </c>
      <c r="N233" s="94">
        <v>0</v>
      </c>
      <c r="O233" s="94">
        <v>0</v>
      </c>
      <c r="P233" s="94">
        <v>0</v>
      </c>
      <c r="Q233" s="94">
        <v>0</v>
      </c>
      <c r="R233" s="94">
        <v>0</v>
      </c>
      <c r="S233" s="94">
        <v>0</v>
      </c>
      <c r="T233" s="97">
        <f t="shared" si="8"/>
        <v>0</v>
      </c>
    </row>
    <row r="234" ht="15" hidden="1" spans="1:20">
      <c r="A234" s="86" t="s">
        <v>388</v>
      </c>
      <c r="B234" s="94">
        <v>0</v>
      </c>
      <c r="C234" s="94">
        <v>0</v>
      </c>
      <c r="D234" s="94">
        <v>0</v>
      </c>
      <c r="E234" s="94">
        <v>0</v>
      </c>
      <c r="F234" s="94">
        <v>0</v>
      </c>
      <c r="G234" s="94">
        <v>0</v>
      </c>
      <c r="H234" s="94">
        <v>0</v>
      </c>
      <c r="I234" s="94">
        <v>0</v>
      </c>
      <c r="J234" s="94">
        <v>0</v>
      </c>
      <c r="K234" s="94">
        <v>0</v>
      </c>
      <c r="L234" s="94">
        <v>0</v>
      </c>
      <c r="M234" s="94">
        <v>0</v>
      </c>
      <c r="N234" s="94">
        <v>0</v>
      </c>
      <c r="O234" s="94">
        <v>0</v>
      </c>
      <c r="P234" s="94">
        <v>0</v>
      </c>
      <c r="Q234" s="94">
        <v>0</v>
      </c>
      <c r="R234" s="94">
        <v>0</v>
      </c>
      <c r="S234" s="94">
        <v>0</v>
      </c>
      <c r="T234" s="97">
        <f t="shared" si="8"/>
        <v>0</v>
      </c>
    </row>
    <row r="235" ht="15" hidden="1" spans="1:20">
      <c r="A235" s="86" t="s">
        <v>389</v>
      </c>
      <c r="B235" s="94">
        <v>0</v>
      </c>
      <c r="C235" s="94">
        <v>0</v>
      </c>
      <c r="D235" s="94">
        <v>0</v>
      </c>
      <c r="E235" s="94">
        <v>0</v>
      </c>
      <c r="F235" s="94">
        <v>0</v>
      </c>
      <c r="G235" s="94">
        <v>0</v>
      </c>
      <c r="H235" s="94">
        <v>0</v>
      </c>
      <c r="I235" s="94">
        <v>0</v>
      </c>
      <c r="J235" s="94">
        <v>0</v>
      </c>
      <c r="K235" s="94">
        <v>0</v>
      </c>
      <c r="L235" s="94">
        <v>0</v>
      </c>
      <c r="M235" s="94">
        <v>0</v>
      </c>
      <c r="N235" s="94">
        <v>0</v>
      </c>
      <c r="O235" s="94">
        <v>0</v>
      </c>
      <c r="P235" s="94">
        <v>0</v>
      </c>
      <c r="Q235" s="94">
        <v>0</v>
      </c>
      <c r="R235" s="94">
        <v>0</v>
      </c>
      <c r="S235" s="94">
        <v>0</v>
      </c>
      <c r="T235" s="97">
        <f t="shared" si="8"/>
        <v>0</v>
      </c>
    </row>
    <row r="236" ht="15" hidden="1" spans="1:20">
      <c r="A236" s="86" t="s">
        <v>86</v>
      </c>
      <c r="B236" s="94">
        <v>0</v>
      </c>
      <c r="C236" s="94">
        <v>0</v>
      </c>
      <c r="D236" s="94">
        <v>0</v>
      </c>
      <c r="E236" s="94">
        <v>0</v>
      </c>
      <c r="F236" s="94">
        <v>0</v>
      </c>
      <c r="G236" s="94">
        <v>0</v>
      </c>
      <c r="H236" s="94">
        <v>0</v>
      </c>
      <c r="I236" s="94">
        <v>0</v>
      </c>
      <c r="J236" s="94">
        <v>0</v>
      </c>
      <c r="K236" s="94">
        <v>0</v>
      </c>
      <c r="L236" s="94">
        <v>0</v>
      </c>
      <c r="M236" s="94">
        <v>0</v>
      </c>
      <c r="N236" s="94">
        <v>0</v>
      </c>
      <c r="O236" s="94">
        <v>0</v>
      </c>
      <c r="P236" s="94">
        <v>0</v>
      </c>
      <c r="Q236" s="94">
        <v>0</v>
      </c>
      <c r="R236" s="94">
        <v>0</v>
      </c>
      <c r="S236" s="94">
        <v>0</v>
      </c>
      <c r="T236" s="97">
        <f t="shared" si="8"/>
        <v>0</v>
      </c>
    </row>
    <row r="237" ht="15" hidden="1" spans="1:20">
      <c r="A237" s="86" t="s">
        <v>326</v>
      </c>
      <c r="B237" s="94">
        <v>0</v>
      </c>
      <c r="C237" s="94">
        <v>0</v>
      </c>
      <c r="D237" s="94">
        <v>0</v>
      </c>
      <c r="E237" s="94">
        <v>0</v>
      </c>
      <c r="F237" s="94">
        <v>0</v>
      </c>
      <c r="G237" s="94">
        <v>0</v>
      </c>
      <c r="H237" s="94">
        <v>0</v>
      </c>
      <c r="I237" s="94">
        <v>0</v>
      </c>
      <c r="J237" s="94">
        <v>0</v>
      </c>
      <c r="K237" s="94">
        <v>0</v>
      </c>
      <c r="L237" s="94">
        <v>0</v>
      </c>
      <c r="M237" s="94">
        <v>0</v>
      </c>
      <c r="N237" s="94">
        <v>0</v>
      </c>
      <c r="O237" s="94">
        <v>0</v>
      </c>
      <c r="P237" s="94">
        <v>0</v>
      </c>
      <c r="Q237" s="94">
        <v>0</v>
      </c>
      <c r="R237" s="94">
        <v>0</v>
      </c>
      <c r="S237" s="94">
        <v>0</v>
      </c>
      <c r="T237" s="97">
        <f t="shared" si="8"/>
        <v>0</v>
      </c>
    </row>
    <row r="238" ht="15" hidden="1" spans="1:20">
      <c r="A238" s="86" t="s">
        <v>327</v>
      </c>
      <c r="B238" s="94">
        <v>0</v>
      </c>
      <c r="C238" s="94">
        <v>0</v>
      </c>
      <c r="D238" s="94">
        <v>0</v>
      </c>
      <c r="E238" s="94">
        <v>0</v>
      </c>
      <c r="F238" s="94">
        <v>0</v>
      </c>
      <c r="G238" s="94">
        <v>0</v>
      </c>
      <c r="H238" s="94">
        <v>0</v>
      </c>
      <c r="I238" s="94">
        <v>0</v>
      </c>
      <c r="J238" s="94">
        <v>0</v>
      </c>
      <c r="K238" s="94">
        <v>0</v>
      </c>
      <c r="L238" s="94">
        <v>0</v>
      </c>
      <c r="M238" s="94">
        <v>0</v>
      </c>
      <c r="N238" s="94">
        <v>0</v>
      </c>
      <c r="O238" s="94">
        <v>0</v>
      </c>
      <c r="P238" s="94">
        <v>0</v>
      </c>
      <c r="Q238" s="94">
        <v>0</v>
      </c>
      <c r="R238" s="94">
        <v>0</v>
      </c>
      <c r="S238" s="94">
        <v>0</v>
      </c>
      <c r="T238" s="97">
        <f t="shared" si="8"/>
        <v>0</v>
      </c>
    </row>
    <row r="239" ht="15" hidden="1" spans="1:20">
      <c r="A239" s="86" t="s">
        <v>328</v>
      </c>
      <c r="B239" s="94">
        <v>0</v>
      </c>
      <c r="C239" s="94">
        <v>0</v>
      </c>
      <c r="D239" s="94">
        <v>0</v>
      </c>
      <c r="E239" s="94">
        <v>0</v>
      </c>
      <c r="F239" s="94">
        <v>0</v>
      </c>
      <c r="G239" s="94">
        <v>0</v>
      </c>
      <c r="H239" s="94">
        <v>0</v>
      </c>
      <c r="I239" s="94">
        <v>0</v>
      </c>
      <c r="J239" s="94">
        <v>0</v>
      </c>
      <c r="K239" s="94">
        <v>0</v>
      </c>
      <c r="L239" s="94">
        <v>0</v>
      </c>
      <c r="M239" s="94">
        <v>0</v>
      </c>
      <c r="N239" s="94">
        <v>0</v>
      </c>
      <c r="O239" s="94">
        <v>0</v>
      </c>
      <c r="P239" s="94">
        <v>0</v>
      </c>
      <c r="Q239" s="94">
        <v>0</v>
      </c>
      <c r="R239" s="94">
        <v>0</v>
      </c>
      <c r="S239" s="94">
        <v>0</v>
      </c>
      <c r="T239" s="97">
        <f t="shared" si="8"/>
        <v>0</v>
      </c>
    </row>
    <row r="240" ht="15" hidden="1" spans="1:20">
      <c r="A240" s="86" t="s">
        <v>329</v>
      </c>
      <c r="B240" s="94">
        <v>0</v>
      </c>
      <c r="C240" s="94">
        <v>0</v>
      </c>
      <c r="D240" s="94">
        <v>0</v>
      </c>
      <c r="E240" s="94">
        <v>0</v>
      </c>
      <c r="F240" s="94">
        <v>0</v>
      </c>
      <c r="G240" s="94">
        <v>0</v>
      </c>
      <c r="H240" s="94">
        <v>0</v>
      </c>
      <c r="I240" s="94">
        <v>0</v>
      </c>
      <c r="J240" s="94">
        <v>0</v>
      </c>
      <c r="K240" s="94">
        <v>0</v>
      </c>
      <c r="L240" s="94">
        <v>0</v>
      </c>
      <c r="M240" s="94">
        <v>0</v>
      </c>
      <c r="N240" s="94">
        <v>0</v>
      </c>
      <c r="O240" s="94">
        <v>0</v>
      </c>
      <c r="P240" s="94">
        <v>0</v>
      </c>
      <c r="Q240" s="94">
        <v>0</v>
      </c>
      <c r="R240" s="94">
        <v>0</v>
      </c>
      <c r="S240" s="94">
        <v>0</v>
      </c>
      <c r="T240" s="97">
        <f t="shared" si="8"/>
        <v>0</v>
      </c>
    </row>
    <row r="241" ht="15" hidden="1" spans="1:20">
      <c r="A241" s="86" t="s">
        <v>336</v>
      </c>
      <c r="B241" s="94">
        <v>0</v>
      </c>
      <c r="C241" s="94">
        <v>0</v>
      </c>
      <c r="D241" s="94">
        <v>0</v>
      </c>
      <c r="E241" s="94">
        <v>0</v>
      </c>
      <c r="F241" s="94">
        <v>0</v>
      </c>
      <c r="G241" s="94">
        <v>0</v>
      </c>
      <c r="H241" s="94">
        <v>0</v>
      </c>
      <c r="I241" s="94">
        <v>0</v>
      </c>
      <c r="J241" s="94">
        <v>0</v>
      </c>
      <c r="K241" s="94">
        <v>0</v>
      </c>
      <c r="L241" s="94">
        <v>0</v>
      </c>
      <c r="M241" s="94">
        <v>0</v>
      </c>
      <c r="N241" s="94">
        <v>0</v>
      </c>
      <c r="O241" s="94">
        <v>0</v>
      </c>
      <c r="P241" s="94">
        <v>0</v>
      </c>
      <c r="Q241" s="94">
        <v>0</v>
      </c>
      <c r="R241" s="94">
        <v>0</v>
      </c>
      <c r="S241" s="94">
        <v>0</v>
      </c>
      <c r="T241" s="97">
        <f t="shared" si="8"/>
        <v>0</v>
      </c>
    </row>
    <row r="242" ht="15" hidden="1" spans="1:20">
      <c r="A242" s="86" t="s">
        <v>368</v>
      </c>
      <c r="B242" s="94">
        <v>0</v>
      </c>
      <c r="C242" s="94">
        <v>0</v>
      </c>
      <c r="D242" s="94">
        <v>0</v>
      </c>
      <c r="E242" s="94">
        <v>0</v>
      </c>
      <c r="F242" s="94">
        <v>0</v>
      </c>
      <c r="G242" s="94">
        <v>0</v>
      </c>
      <c r="H242" s="94">
        <v>0</v>
      </c>
      <c r="I242" s="94">
        <v>0</v>
      </c>
      <c r="J242" s="94">
        <v>0</v>
      </c>
      <c r="K242" s="94">
        <v>0</v>
      </c>
      <c r="L242" s="94">
        <v>0</v>
      </c>
      <c r="M242" s="94">
        <v>0</v>
      </c>
      <c r="N242" s="94">
        <v>0</v>
      </c>
      <c r="O242" s="94">
        <v>0</v>
      </c>
      <c r="P242" s="94">
        <v>0</v>
      </c>
      <c r="Q242" s="94">
        <v>0</v>
      </c>
      <c r="R242" s="94">
        <v>0</v>
      </c>
      <c r="S242" s="94">
        <v>0</v>
      </c>
      <c r="T242" s="97">
        <f t="shared" si="8"/>
        <v>0</v>
      </c>
    </row>
    <row r="243" ht="15" hidden="1" spans="1:20">
      <c r="A243" s="86" t="s">
        <v>253</v>
      </c>
      <c r="B243" s="94">
        <v>0</v>
      </c>
      <c r="C243" s="94">
        <v>0</v>
      </c>
      <c r="D243" s="94">
        <v>0</v>
      </c>
      <c r="E243" s="94">
        <v>0</v>
      </c>
      <c r="F243" s="94">
        <v>0</v>
      </c>
      <c r="G243" s="94">
        <v>0</v>
      </c>
      <c r="H243" s="94">
        <v>0</v>
      </c>
      <c r="I243" s="94">
        <v>0</v>
      </c>
      <c r="J243" s="94">
        <v>0</v>
      </c>
      <c r="K243" s="94">
        <v>0</v>
      </c>
      <c r="L243" s="94">
        <v>0</v>
      </c>
      <c r="M243" s="94">
        <v>0</v>
      </c>
      <c r="N243" s="94">
        <v>0</v>
      </c>
      <c r="O243" s="94">
        <v>0</v>
      </c>
      <c r="P243" s="94">
        <v>0</v>
      </c>
      <c r="Q243" s="94">
        <v>0</v>
      </c>
      <c r="R243" s="94">
        <v>0</v>
      </c>
      <c r="S243" s="94">
        <v>0</v>
      </c>
      <c r="T243" s="97">
        <f t="shared" si="8"/>
        <v>0</v>
      </c>
    </row>
    <row r="244" ht="15" hidden="1" spans="1:20">
      <c r="A244" s="86" t="s">
        <v>390</v>
      </c>
      <c r="B244" s="94">
        <v>0</v>
      </c>
      <c r="C244" s="94">
        <v>0</v>
      </c>
      <c r="D244" s="94">
        <v>0</v>
      </c>
      <c r="E244" s="94">
        <v>0</v>
      </c>
      <c r="F244" s="94">
        <v>0</v>
      </c>
      <c r="G244" s="94">
        <v>0</v>
      </c>
      <c r="H244" s="94">
        <v>0</v>
      </c>
      <c r="I244" s="94">
        <v>0</v>
      </c>
      <c r="J244" s="94">
        <v>0</v>
      </c>
      <c r="K244" s="94">
        <v>0</v>
      </c>
      <c r="L244" s="94">
        <v>0</v>
      </c>
      <c r="M244" s="94">
        <v>0</v>
      </c>
      <c r="N244" s="94">
        <v>0</v>
      </c>
      <c r="O244" s="94">
        <v>0</v>
      </c>
      <c r="P244" s="94">
        <v>0</v>
      </c>
      <c r="Q244" s="94">
        <v>0</v>
      </c>
      <c r="R244" s="94">
        <v>0</v>
      </c>
      <c r="S244" s="94">
        <v>0</v>
      </c>
      <c r="T244" s="97">
        <f t="shared" si="8"/>
        <v>0</v>
      </c>
    </row>
    <row r="245" ht="15" hidden="1" spans="1:20">
      <c r="A245" s="86" t="s">
        <v>254</v>
      </c>
      <c r="B245" s="94">
        <v>0</v>
      </c>
      <c r="C245" s="94">
        <v>0</v>
      </c>
      <c r="D245" s="94">
        <v>0</v>
      </c>
      <c r="E245" s="94">
        <v>0</v>
      </c>
      <c r="F245" s="94">
        <v>0</v>
      </c>
      <c r="G245" s="94">
        <v>0</v>
      </c>
      <c r="H245" s="94">
        <v>0</v>
      </c>
      <c r="I245" s="94">
        <v>0</v>
      </c>
      <c r="J245" s="94">
        <v>0</v>
      </c>
      <c r="K245" s="94">
        <v>0</v>
      </c>
      <c r="L245" s="94">
        <v>0</v>
      </c>
      <c r="M245" s="94">
        <v>0</v>
      </c>
      <c r="N245" s="94">
        <v>0</v>
      </c>
      <c r="O245" s="94">
        <v>0</v>
      </c>
      <c r="P245" s="94">
        <v>0</v>
      </c>
      <c r="Q245" s="94">
        <v>0</v>
      </c>
      <c r="R245" s="94">
        <v>0</v>
      </c>
      <c r="S245" s="94">
        <v>0</v>
      </c>
      <c r="T245" s="97">
        <f t="shared" si="8"/>
        <v>0</v>
      </c>
    </row>
    <row r="246" ht="15" hidden="1" spans="1:20">
      <c r="A246" s="86" t="s">
        <v>391</v>
      </c>
      <c r="B246" s="94">
        <v>0</v>
      </c>
      <c r="C246" s="94">
        <v>0</v>
      </c>
      <c r="D246" s="94">
        <v>0</v>
      </c>
      <c r="E246" s="94">
        <v>0</v>
      </c>
      <c r="F246" s="94">
        <v>0</v>
      </c>
      <c r="G246" s="94">
        <v>0</v>
      </c>
      <c r="H246" s="94">
        <v>0</v>
      </c>
      <c r="I246" s="94">
        <v>0</v>
      </c>
      <c r="J246" s="94">
        <v>0</v>
      </c>
      <c r="K246" s="94">
        <v>0</v>
      </c>
      <c r="L246" s="94">
        <v>0</v>
      </c>
      <c r="M246" s="94">
        <v>0</v>
      </c>
      <c r="N246" s="94">
        <v>0</v>
      </c>
      <c r="O246" s="94">
        <v>24</v>
      </c>
      <c r="P246" s="94">
        <v>0</v>
      </c>
      <c r="Q246" s="94">
        <v>0</v>
      </c>
      <c r="R246" s="94">
        <v>0</v>
      </c>
      <c r="S246" s="94">
        <v>0</v>
      </c>
      <c r="T246" s="97">
        <f t="shared" si="8"/>
        <v>24</v>
      </c>
    </row>
    <row r="247" ht="15" hidden="1" spans="1:20">
      <c r="A247" s="86" t="s">
        <v>414</v>
      </c>
      <c r="B247" s="94">
        <v>0</v>
      </c>
      <c r="C247" s="94">
        <v>0</v>
      </c>
      <c r="D247" s="94">
        <v>0</v>
      </c>
      <c r="E247" s="94">
        <v>0</v>
      </c>
      <c r="F247" s="94">
        <v>0</v>
      </c>
      <c r="G247" s="94">
        <v>0</v>
      </c>
      <c r="H247" s="94">
        <v>0</v>
      </c>
      <c r="I247" s="94">
        <v>0</v>
      </c>
      <c r="J247" s="94">
        <v>0</v>
      </c>
      <c r="K247" s="94">
        <v>0</v>
      </c>
      <c r="L247" s="94">
        <v>0</v>
      </c>
      <c r="M247" s="94">
        <v>0</v>
      </c>
      <c r="N247" s="94">
        <v>0</v>
      </c>
      <c r="O247" s="94">
        <v>0</v>
      </c>
      <c r="P247" s="94">
        <v>0</v>
      </c>
      <c r="Q247" s="94">
        <v>0</v>
      </c>
      <c r="R247" s="94">
        <v>0</v>
      </c>
      <c r="S247" s="94">
        <v>0</v>
      </c>
      <c r="T247" s="97">
        <f t="shared" si="8"/>
        <v>0</v>
      </c>
    </row>
    <row r="248" ht="15" hidden="1" spans="1:20">
      <c r="A248" s="86" t="s">
        <v>209</v>
      </c>
      <c r="B248" s="94">
        <v>0</v>
      </c>
      <c r="C248" s="94">
        <v>0</v>
      </c>
      <c r="D248" s="94">
        <v>0</v>
      </c>
      <c r="E248" s="94">
        <v>0</v>
      </c>
      <c r="F248" s="94">
        <v>0</v>
      </c>
      <c r="G248" s="94">
        <v>0</v>
      </c>
      <c r="H248" s="94">
        <v>0</v>
      </c>
      <c r="I248" s="94">
        <v>0</v>
      </c>
      <c r="J248" s="94">
        <v>0</v>
      </c>
      <c r="K248" s="94">
        <v>0</v>
      </c>
      <c r="L248" s="94">
        <v>0</v>
      </c>
      <c r="M248" s="94">
        <v>0</v>
      </c>
      <c r="N248" s="94">
        <v>0</v>
      </c>
      <c r="O248" s="94">
        <v>0</v>
      </c>
      <c r="P248" s="94">
        <v>0</v>
      </c>
      <c r="Q248" s="94">
        <v>0</v>
      </c>
      <c r="R248" s="94">
        <v>0</v>
      </c>
      <c r="S248" s="94">
        <v>0</v>
      </c>
      <c r="T248" s="97">
        <f t="shared" si="8"/>
        <v>0</v>
      </c>
    </row>
    <row r="249" ht="15" hidden="1" spans="1:20">
      <c r="A249" s="86" t="s">
        <v>207</v>
      </c>
      <c r="B249" s="94">
        <v>0</v>
      </c>
      <c r="C249" s="94">
        <v>0</v>
      </c>
      <c r="D249" s="94">
        <v>0</v>
      </c>
      <c r="E249" s="94">
        <v>0</v>
      </c>
      <c r="F249" s="94">
        <v>0</v>
      </c>
      <c r="G249" s="94">
        <v>0</v>
      </c>
      <c r="H249" s="94">
        <v>0</v>
      </c>
      <c r="I249" s="94">
        <v>0</v>
      </c>
      <c r="J249" s="94">
        <v>0</v>
      </c>
      <c r="K249" s="94">
        <v>0</v>
      </c>
      <c r="L249" s="94">
        <v>0</v>
      </c>
      <c r="M249" s="94">
        <v>0</v>
      </c>
      <c r="N249" s="94">
        <v>0</v>
      </c>
      <c r="O249" s="94">
        <v>0</v>
      </c>
      <c r="P249" s="94">
        <v>0</v>
      </c>
      <c r="Q249" s="94">
        <v>0</v>
      </c>
      <c r="R249" s="94">
        <v>0</v>
      </c>
      <c r="S249" s="94">
        <v>0</v>
      </c>
      <c r="T249" s="97">
        <f t="shared" si="8"/>
        <v>0</v>
      </c>
    </row>
    <row r="250" ht="15" hidden="1" spans="1:20">
      <c r="A250" s="86" t="s">
        <v>392</v>
      </c>
      <c r="B250" s="94">
        <v>0</v>
      </c>
      <c r="C250" s="94">
        <v>0</v>
      </c>
      <c r="D250" s="94">
        <v>0</v>
      </c>
      <c r="E250" s="94">
        <v>0</v>
      </c>
      <c r="F250" s="94">
        <v>0</v>
      </c>
      <c r="G250" s="94">
        <v>0</v>
      </c>
      <c r="H250" s="94">
        <v>0</v>
      </c>
      <c r="I250" s="94">
        <v>0</v>
      </c>
      <c r="J250" s="94">
        <v>0</v>
      </c>
      <c r="K250" s="94">
        <v>0</v>
      </c>
      <c r="L250" s="94">
        <v>0</v>
      </c>
      <c r="M250" s="94">
        <v>0</v>
      </c>
      <c r="N250" s="94">
        <v>0</v>
      </c>
      <c r="O250" s="94">
        <v>0</v>
      </c>
      <c r="P250" s="94">
        <v>0</v>
      </c>
      <c r="Q250" s="94">
        <v>0</v>
      </c>
      <c r="R250" s="94">
        <v>0</v>
      </c>
      <c r="S250" s="94">
        <v>0</v>
      </c>
      <c r="T250" s="97">
        <f t="shared" si="8"/>
        <v>0</v>
      </c>
    </row>
    <row r="251" ht="15" hidden="1" spans="1:20">
      <c r="A251" s="86" t="s">
        <v>210</v>
      </c>
      <c r="B251" s="94">
        <v>0</v>
      </c>
      <c r="C251" s="94">
        <v>0</v>
      </c>
      <c r="D251" s="94">
        <v>0</v>
      </c>
      <c r="E251" s="94">
        <v>0</v>
      </c>
      <c r="F251" s="94">
        <v>0</v>
      </c>
      <c r="G251" s="94">
        <v>0</v>
      </c>
      <c r="H251" s="94">
        <v>0</v>
      </c>
      <c r="I251" s="94">
        <v>0</v>
      </c>
      <c r="J251" s="94">
        <v>0</v>
      </c>
      <c r="K251" s="94">
        <v>0</v>
      </c>
      <c r="L251" s="94">
        <v>0</v>
      </c>
      <c r="M251" s="94">
        <v>0</v>
      </c>
      <c r="N251" s="94">
        <v>0</v>
      </c>
      <c r="O251" s="94">
        <v>0</v>
      </c>
      <c r="P251" s="94">
        <v>0</v>
      </c>
      <c r="Q251" s="94">
        <v>0</v>
      </c>
      <c r="R251" s="94">
        <v>0</v>
      </c>
      <c r="S251" s="94">
        <v>0</v>
      </c>
      <c r="T251" s="97">
        <f t="shared" si="8"/>
        <v>0</v>
      </c>
    </row>
    <row r="252" ht="15" hidden="1" spans="1:20">
      <c r="A252" s="86" t="s">
        <v>241</v>
      </c>
      <c r="B252" s="94">
        <v>0</v>
      </c>
      <c r="C252" s="94">
        <v>0</v>
      </c>
      <c r="D252" s="94">
        <v>0</v>
      </c>
      <c r="E252" s="94">
        <v>0</v>
      </c>
      <c r="F252" s="94">
        <v>0</v>
      </c>
      <c r="G252" s="94">
        <v>0</v>
      </c>
      <c r="H252" s="94">
        <v>0</v>
      </c>
      <c r="I252" s="94">
        <v>0</v>
      </c>
      <c r="J252" s="94">
        <v>0</v>
      </c>
      <c r="K252" s="94">
        <v>0</v>
      </c>
      <c r="L252" s="94">
        <v>0</v>
      </c>
      <c r="M252" s="94">
        <v>0</v>
      </c>
      <c r="N252" s="94">
        <v>0</v>
      </c>
      <c r="O252" s="94">
        <v>0</v>
      </c>
      <c r="P252" s="94">
        <v>0</v>
      </c>
      <c r="Q252" s="94">
        <v>0</v>
      </c>
      <c r="R252" s="94">
        <v>0</v>
      </c>
      <c r="S252" s="94">
        <v>0</v>
      </c>
      <c r="T252" s="97">
        <f t="shared" si="8"/>
        <v>0</v>
      </c>
    </row>
    <row r="253" ht="15" hidden="1" spans="1:20">
      <c r="A253" s="86" t="s">
        <v>393</v>
      </c>
      <c r="B253" s="94">
        <v>0</v>
      </c>
      <c r="C253" s="94">
        <v>0</v>
      </c>
      <c r="D253" s="94">
        <v>0</v>
      </c>
      <c r="E253" s="94">
        <v>0</v>
      </c>
      <c r="F253" s="94">
        <v>0</v>
      </c>
      <c r="G253" s="94">
        <v>0</v>
      </c>
      <c r="H253" s="94">
        <v>0</v>
      </c>
      <c r="I253" s="94">
        <v>0</v>
      </c>
      <c r="J253" s="94">
        <v>0</v>
      </c>
      <c r="K253" s="94">
        <v>0</v>
      </c>
      <c r="L253" s="94">
        <v>0</v>
      </c>
      <c r="M253" s="94">
        <v>0</v>
      </c>
      <c r="N253" s="94">
        <v>0</v>
      </c>
      <c r="O253" s="94">
        <v>0</v>
      </c>
      <c r="P253" s="94">
        <v>0</v>
      </c>
      <c r="Q253" s="94">
        <v>0</v>
      </c>
      <c r="R253" s="94">
        <v>0</v>
      </c>
      <c r="S253" s="94">
        <v>0</v>
      </c>
      <c r="T253" s="97">
        <f t="shared" si="8"/>
        <v>0</v>
      </c>
    </row>
    <row r="254" ht="15" hidden="1" spans="1:20">
      <c r="A254" s="86" t="s">
        <v>394</v>
      </c>
      <c r="B254" s="94">
        <v>0</v>
      </c>
      <c r="C254" s="94">
        <v>0</v>
      </c>
      <c r="D254" s="94">
        <v>0</v>
      </c>
      <c r="E254" s="94">
        <v>0</v>
      </c>
      <c r="F254" s="94">
        <v>0</v>
      </c>
      <c r="G254" s="94">
        <v>0</v>
      </c>
      <c r="H254" s="94">
        <v>0</v>
      </c>
      <c r="I254" s="94">
        <v>0</v>
      </c>
      <c r="J254" s="94">
        <v>0</v>
      </c>
      <c r="K254" s="94">
        <v>0</v>
      </c>
      <c r="L254" s="94">
        <v>0</v>
      </c>
      <c r="M254" s="94">
        <v>0</v>
      </c>
      <c r="N254" s="94">
        <v>0</v>
      </c>
      <c r="O254" s="94">
        <v>0</v>
      </c>
      <c r="P254" s="94">
        <v>0</v>
      </c>
      <c r="Q254" s="94">
        <v>0</v>
      </c>
      <c r="R254" s="94">
        <v>0</v>
      </c>
      <c r="S254" s="94">
        <v>0</v>
      </c>
      <c r="T254" s="97">
        <f t="shared" si="8"/>
        <v>0</v>
      </c>
    </row>
    <row r="255" ht="15" hidden="1" spans="1:20">
      <c r="A255" s="86" t="s">
        <v>395</v>
      </c>
      <c r="B255" s="94">
        <v>0</v>
      </c>
      <c r="C255" s="94">
        <v>0</v>
      </c>
      <c r="D255" s="94">
        <v>0</v>
      </c>
      <c r="E255" s="94">
        <v>0</v>
      </c>
      <c r="F255" s="94">
        <v>0</v>
      </c>
      <c r="G255" s="94">
        <v>0</v>
      </c>
      <c r="H255" s="94">
        <v>0</v>
      </c>
      <c r="I255" s="94">
        <v>0</v>
      </c>
      <c r="J255" s="94">
        <v>0</v>
      </c>
      <c r="K255" s="94">
        <v>0</v>
      </c>
      <c r="L255" s="94">
        <v>0</v>
      </c>
      <c r="M255" s="94">
        <v>0</v>
      </c>
      <c r="N255" s="94">
        <v>0</v>
      </c>
      <c r="O255" s="94">
        <v>0</v>
      </c>
      <c r="P255" s="94">
        <v>0</v>
      </c>
      <c r="Q255" s="94">
        <v>0</v>
      </c>
      <c r="R255" s="94">
        <v>0</v>
      </c>
      <c r="S255" s="94">
        <v>0</v>
      </c>
      <c r="T255" s="97">
        <f t="shared" si="8"/>
        <v>0</v>
      </c>
    </row>
    <row r="256" ht="15" hidden="1" spans="1:20">
      <c r="A256" s="86" t="s">
        <v>396</v>
      </c>
      <c r="B256" s="94">
        <v>0</v>
      </c>
      <c r="C256" s="94">
        <v>0</v>
      </c>
      <c r="D256" s="94">
        <v>0</v>
      </c>
      <c r="E256" s="94">
        <v>0</v>
      </c>
      <c r="F256" s="94">
        <v>0</v>
      </c>
      <c r="G256" s="94">
        <v>0</v>
      </c>
      <c r="H256" s="94">
        <v>0</v>
      </c>
      <c r="I256" s="94">
        <v>0</v>
      </c>
      <c r="J256" s="94">
        <v>0</v>
      </c>
      <c r="K256" s="94">
        <v>0</v>
      </c>
      <c r="L256" s="94">
        <v>0</v>
      </c>
      <c r="M256" s="94">
        <v>0</v>
      </c>
      <c r="N256" s="94">
        <v>0</v>
      </c>
      <c r="O256" s="94">
        <v>0</v>
      </c>
      <c r="P256" s="94">
        <v>0</v>
      </c>
      <c r="Q256" s="94">
        <v>0</v>
      </c>
      <c r="R256" s="94">
        <v>0</v>
      </c>
      <c r="S256" s="94">
        <v>0</v>
      </c>
      <c r="T256" s="97">
        <f t="shared" si="8"/>
        <v>0</v>
      </c>
    </row>
    <row r="257" ht="15" hidden="1" spans="1:20">
      <c r="A257" s="86" t="s">
        <v>245</v>
      </c>
      <c r="B257" s="94">
        <v>0</v>
      </c>
      <c r="C257" s="94">
        <v>0</v>
      </c>
      <c r="D257" s="94">
        <v>0</v>
      </c>
      <c r="E257" s="94">
        <v>0</v>
      </c>
      <c r="F257" s="94">
        <v>0</v>
      </c>
      <c r="G257" s="94">
        <v>0</v>
      </c>
      <c r="H257" s="94">
        <v>0</v>
      </c>
      <c r="I257" s="94">
        <v>0</v>
      </c>
      <c r="J257" s="94">
        <v>0</v>
      </c>
      <c r="K257" s="94">
        <v>0</v>
      </c>
      <c r="L257" s="94">
        <v>0</v>
      </c>
      <c r="M257" s="94">
        <v>0</v>
      </c>
      <c r="N257" s="94">
        <v>0</v>
      </c>
      <c r="O257" s="94">
        <v>0</v>
      </c>
      <c r="P257" s="94">
        <v>0</v>
      </c>
      <c r="Q257" s="94">
        <v>0</v>
      </c>
      <c r="R257" s="94">
        <v>0</v>
      </c>
      <c r="S257" s="94">
        <v>0</v>
      </c>
      <c r="T257" s="97">
        <f t="shared" si="8"/>
        <v>0</v>
      </c>
    </row>
    <row r="258" ht="15" hidden="1" spans="1:20">
      <c r="A258" s="86" t="s">
        <v>242</v>
      </c>
      <c r="B258" s="94">
        <v>0</v>
      </c>
      <c r="C258" s="94">
        <v>0</v>
      </c>
      <c r="D258" s="94">
        <v>0</v>
      </c>
      <c r="E258" s="94">
        <v>0</v>
      </c>
      <c r="F258" s="94">
        <v>0</v>
      </c>
      <c r="G258" s="94">
        <v>0</v>
      </c>
      <c r="H258" s="94">
        <v>0</v>
      </c>
      <c r="I258" s="94">
        <v>0</v>
      </c>
      <c r="J258" s="94">
        <v>0</v>
      </c>
      <c r="K258" s="94">
        <v>0</v>
      </c>
      <c r="L258" s="94">
        <v>0</v>
      </c>
      <c r="M258" s="94">
        <v>0</v>
      </c>
      <c r="N258" s="94">
        <v>0</v>
      </c>
      <c r="O258" s="94">
        <v>0</v>
      </c>
      <c r="P258" s="94">
        <v>0</v>
      </c>
      <c r="Q258" s="94">
        <v>0</v>
      </c>
      <c r="R258" s="94">
        <v>0</v>
      </c>
      <c r="S258" s="94">
        <v>0</v>
      </c>
      <c r="T258" s="97">
        <f t="shared" si="8"/>
        <v>0</v>
      </c>
    </row>
    <row r="259" ht="15" hidden="1" spans="1:20">
      <c r="A259" s="86" t="s">
        <v>244</v>
      </c>
      <c r="B259" s="94">
        <v>0</v>
      </c>
      <c r="C259" s="94">
        <v>0</v>
      </c>
      <c r="D259" s="94">
        <v>0</v>
      </c>
      <c r="E259" s="94">
        <v>0</v>
      </c>
      <c r="F259" s="94">
        <v>0</v>
      </c>
      <c r="G259" s="94">
        <v>0</v>
      </c>
      <c r="H259" s="94">
        <v>0</v>
      </c>
      <c r="I259" s="94">
        <v>0</v>
      </c>
      <c r="J259" s="94">
        <v>0</v>
      </c>
      <c r="K259" s="94">
        <v>0</v>
      </c>
      <c r="L259" s="94">
        <v>0</v>
      </c>
      <c r="M259" s="94">
        <v>0</v>
      </c>
      <c r="N259" s="94">
        <v>0</v>
      </c>
      <c r="O259" s="94">
        <v>0</v>
      </c>
      <c r="P259" s="94">
        <v>0</v>
      </c>
      <c r="Q259" s="94">
        <v>0</v>
      </c>
      <c r="R259" s="94">
        <v>0</v>
      </c>
      <c r="S259" s="94">
        <v>0</v>
      </c>
      <c r="T259" s="97">
        <f t="shared" si="8"/>
        <v>0</v>
      </c>
    </row>
    <row r="260" ht="15" hidden="1" spans="1:20">
      <c r="A260" s="86" t="s">
        <v>397</v>
      </c>
      <c r="B260" s="94">
        <v>0</v>
      </c>
      <c r="C260" s="94">
        <v>0</v>
      </c>
      <c r="D260" s="94">
        <v>0</v>
      </c>
      <c r="E260" s="94">
        <v>0</v>
      </c>
      <c r="F260" s="94">
        <v>0</v>
      </c>
      <c r="G260" s="94">
        <v>0</v>
      </c>
      <c r="H260" s="94">
        <v>0</v>
      </c>
      <c r="I260" s="94">
        <v>0</v>
      </c>
      <c r="J260" s="94">
        <v>0</v>
      </c>
      <c r="K260" s="94">
        <v>0</v>
      </c>
      <c r="L260" s="94">
        <v>0</v>
      </c>
      <c r="M260" s="94">
        <v>0</v>
      </c>
      <c r="N260" s="94">
        <v>0</v>
      </c>
      <c r="O260" s="94">
        <v>0</v>
      </c>
      <c r="P260" s="94">
        <v>0</v>
      </c>
      <c r="Q260" s="94">
        <v>0</v>
      </c>
      <c r="R260" s="94">
        <v>0</v>
      </c>
      <c r="S260" s="94">
        <v>0</v>
      </c>
      <c r="T260" s="97">
        <f t="shared" si="8"/>
        <v>0</v>
      </c>
    </row>
    <row r="261" ht="15" hidden="1" spans="1:20">
      <c r="A261" s="86" t="s">
        <v>398</v>
      </c>
      <c r="B261" s="94">
        <v>0</v>
      </c>
      <c r="C261" s="94">
        <v>0</v>
      </c>
      <c r="D261" s="94">
        <v>0</v>
      </c>
      <c r="E261" s="94">
        <v>0</v>
      </c>
      <c r="F261" s="94">
        <v>0</v>
      </c>
      <c r="G261" s="94">
        <v>0</v>
      </c>
      <c r="H261" s="94">
        <v>0</v>
      </c>
      <c r="I261" s="94">
        <v>0</v>
      </c>
      <c r="J261" s="94">
        <v>0</v>
      </c>
      <c r="K261" s="94">
        <v>0</v>
      </c>
      <c r="L261" s="94">
        <v>0</v>
      </c>
      <c r="M261" s="94">
        <v>0</v>
      </c>
      <c r="N261" s="94">
        <v>0</v>
      </c>
      <c r="O261" s="94">
        <v>0</v>
      </c>
      <c r="P261" s="94">
        <v>0</v>
      </c>
      <c r="Q261" s="94">
        <v>0</v>
      </c>
      <c r="R261" s="94">
        <v>0</v>
      </c>
      <c r="S261" s="94">
        <v>0</v>
      </c>
      <c r="T261" s="97">
        <f t="shared" ref="T261:T284" si="9">SUM(B261:S261)</f>
        <v>0</v>
      </c>
    </row>
    <row r="262" ht="15" hidden="1" spans="1:20">
      <c r="A262" s="86" t="s">
        <v>399</v>
      </c>
      <c r="B262" s="94">
        <v>0</v>
      </c>
      <c r="C262" s="94">
        <v>0</v>
      </c>
      <c r="D262" s="94">
        <v>0</v>
      </c>
      <c r="E262" s="94">
        <v>0</v>
      </c>
      <c r="F262" s="94">
        <v>0</v>
      </c>
      <c r="G262" s="94">
        <v>0</v>
      </c>
      <c r="H262" s="94">
        <v>0</v>
      </c>
      <c r="I262" s="94">
        <v>0</v>
      </c>
      <c r="J262" s="94">
        <v>0</v>
      </c>
      <c r="K262" s="94">
        <v>0</v>
      </c>
      <c r="L262" s="94">
        <v>0</v>
      </c>
      <c r="M262" s="94">
        <v>0</v>
      </c>
      <c r="N262" s="94">
        <v>0</v>
      </c>
      <c r="O262" s="94">
        <v>0</v>
      </c>
      <c r="P262" s="94">
        <v>0</v>
      </c>
      <c r="Q262" s="94">
        <v>0</v>
      </c>
      <c r="R262" s="94">
        <v>0</v>
      </c>
      <c r="S262" s="94">
        <v>0</v>
      </c>
      <c r="T262" s="97">
        <f t="shared" si="9"/>
        <v>0</v>
      </c>
    </row>
    <row r="263" ht="15" hidden="1" spans="1:20">
      <c r="A263" s="86" t="s">
        <v>248</v>
      </c>
      <c r="B263" s="94">
        <v>0</v>
      </c>
      <c r="C263" s="94">
        <v>0</v>
      </c>
      <c r="D263" s="94">
        <v>0</v>
      </c>
      <c r="E263" s="94">
        <v>0</v>
      </c>
      <c r="F263" s="94">
        <v>0</v>
      </c>
      <c r="G263" s="94">
        <v>0</v>
      </c>
      <c r="H263" s="94">
        <v>0</v>
      </c>
      <c r="I263" s="94">
        <v>0</v>
      </c>
      <c r="J263" s="94">
        <v>0</v>
      </c>
      <c r="K263" s="94">
        <v>0</v>
      </c>
      <c r="L263" s="94">
        <v>0</v>
      </c>
      <c r="M263" s="94">
        <v>0</v>
      </c>
      <c r="N263" s="94">
        <v>0</v>
      </c>
      <c r="O263" s="94">
        <v>0</v>
      </c>
      <c r="P263" s="94">
        <v>0</v>
      </c>
      <c r="Q263" s="94">
        <v>0</v>
      </c>
      <c r="R263" s="94">
        <v>0</v>
      </c>
      <c r="S263" s="94">
        <v>0</v>
      </c>
      <c r="T263" s="97">
        <f t="shared" si="9"/>
        <v>0</v>
      </c>
    </row>
    <row r="264" ht="15" hidden="1" spans="1:20">
      <c r="A264" s="86" t="s">
        <v>400</v>
      </c>
      <c r="B264" s="94">
        <v>0</v>
      </c>
      <c r="C264" s="94">
        <v>0</v>
      </c>
      <c r="D264" s="94">
        <v>0</v>
      </c>
      <c r="E264" s="94">
        <v>0</v>
      </c>
      <c r="F264" s="94">
        <v>0</v>
      </c>
      <c r="G264" s="94">
        <v>0</v>
      </c>
      <c r="H264" s="94">
        <v>0</v>
      </c>
      <c r="I264" s="94">
        <v>0</v>
      </c>
      <c r="J264" s="94">
        <v>0</v>
      </c>
      <c r="K264" s="94">
        <v>0</v>
      </c>
      <c r="L264" s="94">
        <v>0</v>
      </c>
      <c r="M264" s="94">
        <v>0</v>
      </c>
      <c r="N264" s="94">
        <v>0</v>
      </c>
      <c r="O264" s="94">
        <v>0</v>
      </c>
      <c r="P264" s="94">
        <v>0</v>
      </c>
      <c r="Q264" s="94">
        <v>0</v>
      </c>
      <c r="R264" s="94">
        <v>0</v>
      </c>
      <c r="S264" s="94">
        <v>0</v>
      </c>
      <c r="T264" s="97">
        <f t="shared" si="9"/>
        <v>0</v>
      </c>
    </row>
    <row r="265" ht="15" hidden="1" spans="1:20">
      <c r="A265" s="86" t="s">
        <v>348</v>
      </c>
      <c r="B265" s="94">
        <v>0</v>
      </c>
      <c r="C265" s="94">
        <v>0</v>
      </c>
      <c r="D265" s="94">
        <v>0</v>
      </c>
      <c r="E265" s="94">
        <v>0</v>
      </c>
      <c r="F265" s="94">
        <v>0</v>
      </c>
      <c r="G265" s="94">
        <v>0</v>
      </c>
      <c r="H265" s="94">
        <v>0</v>
      </c>
      <c r="I265" s="94">
        <v>0</v>
      </c>
      <c r="J265" s="94">
        <v>0</v>
      </c>
      <c r="K265" s="94">
        <v>0</v>
      </c>
      <c r="L265" s="94">
        <v>0</v>
      </c>
      <c r="M265" s="94">
        <v>0</v>
      </c>
      <c r="N265" s="94">
        <v>0</v>
      </c>
      <c r="O265" s="94">
        <v>0</v>
      </c>
      <c r="P265" s="94">
        <v>0</v>
      </c>
      <c r="Q265" s="94">
        <v>0</v>
      </c>
      <c r="R265" s="94">
        <v>0</v>
      </c>
      <c r="S265" s="94">
        <v>0</v>
      </c>
      <c r="T265" s="97">
        <f t="shared" si="9"/>
        <v>0</v>
      </c>
    </row>
    <row r="266" ht="15" hidden="1" spans="1:20">
      <c r="A266" s="86" t="s">
        <v>402</v>
      </c>
      <c r="B266" s="94">
        <v>0</v>
      </c>
      <c r="C266" s="94">
        <v>0</v>
      </c>
      <c r="D266" s="94">
        <v>0</v>
      </c>
      <c r="E266" s="94">
        <v>1260</v>
      </c>
      <c r="F266" s="94">
        <v>0</v>
      </c>
      <c r="G266" s="94">
        <v>0</v>
      </c>
      <c r="H266" s="94">
        <v>0</v>
      </c>
      <c r="I266" s="94">
        <v>0</v>
      </c>
      <c r="J266" s="94">
        <v>0</v>
      </c>
      <c r="K266" s="94">
        <v>0</v>
      </c>
      <c r="L266" s="94">
        <v>0</v>
      </c>
      <c r="M266" s="94">
        <v>0</v>
      </c>
      <c r="N266" s="94">
        <v>0</v>
      </c>
      <c r="O266" s="94">
        <v>0</v>
      </c>
      <c r="P266" s="94">
        <v>0</v>
      </c>
      <c r="Q266" s="94">
        <v>0</v>
      </c>
      <c r="R266" s="94">
        <v>0</v>
      </c>
      <c r="S266" s="94">
        <v>0</v>
      </c>
      <c r="T266" s="97">
        <f t="shared" si="9"/>
        <v>1260</v>
      </c>
    </row>
    <row r="267" ht="15" hidden="1" spans="1:20">
      <c r="A267" s="86" t="s">
        <v>403</v>
      </c>
      <c r="B267" s="94">
        <v>0</v>
      </c>
      <c r="C267" s="94">
        <v>0</v>
      </c>
      <c r="D267" s="94">
        <v>0</v>
      </c>
      <c r="E267" s="94">
        <v>0</v>
      </c>
      <c r="F267" s="94">
        <v>0</v>
      </c>
      <c r="G267" s="94">
        <v>0</v>
      </c>
      <c r="H267" s="94">
        <v>0</v>
      </c>
      <c r="I267" s="94">
        <v>0</v>
      </c>
      <c r="J267" s="94">
        <v>0</v>
      </c>
      <c r="K267" s="94">
        <v>0</v>
      </c>
      <c r="L267" s="94">
        <v>0</v>
      </c>
      <c r="M267" s="94">
        <v>0</v>
      </c>
      <c r="N267" s="94">
        <v>0</v>
      </c>
      <c r="O267" s="94">
        <v>0</v>
      </c>
      <c r="P267" s="94">
        <v>0</v>
      </c>
      <c r="Q267" s="94">
        <v>0</v>
      </c>
      <c r="R267" s="94">
        <v>0</v>
      </c>
      <c r="S267" s="94">
        <v>0</v>
      </c>
      <c r="T267" s="97">
        <f t="shared" si="9"/>
        <v>0</v>
      </c>
    </row>
    <row r="268" ht="15" hidden="1" spans="1:20">
      <c r="A268" s="86" t="s">
        <v>214</v>
      </c>
      <c r="B268" s="94">
        <v>0</v>
      </c>
      <c r="C268" s="94">
        <v>0</v>
      </c>
      <c r="D268" s="94">
        <v>0</v>
      </c>
      <c r="E268" s="94">
        <v>0</v>
      </c>
      <c r="F268" s="94">
        <v>0</v>
      </c>
      <c r="G268" s="94">
        <v>0</v>
      </c>
      <c r="H268" s="94">
        <v>0</v>
      </c>
      <c r="I268" s="94">
        <v>0</v>
      </c>
      <c r="J268" s="94">
        <v>0</v>
      </c>
      <c r="K268" s="94">
        <v>0</v>
      </c>
      <c r="L268" s="94">
        <v>0</v>
      </c>
      <c r="M268" s="94">
        <v>0</v>
      </c>
      <c r="N268" s="94">
        <v>0</v>
      </c>
      <c r="O268" s="94">
        <v>0</v>
      </c>
      <c r="P268" s="94">
        <v>0</v>
      </c>
      <c r="Q268" s="94">
        <v>0</v>
      </c>
      <c r="R268" s="94">
        <v>0</v>
      </c>
      <c r="S268" s="94">
        <v>0</v>
      </c>
      <c r="T268" s="97">
        <f t="shared" si="9"/>
        <v>0</v>
      </c>
    </row>
    <row r="269" ht="15" hidden="1" spans="1:20">
      <c r="A269" s="86" t="s">
        <v>219</v>
      </c>
      <c r="B269" s="94">
        <v>0</v>
      </c>
      <c r="C269" s="94">
        <v>0</v>
      </c>
      <c r="D269" s="94">
        <v>0</v>
      </c>
      <c r="E269" s="94">
        <v>0</v>
      </c>
      <c r="F269" s="94">
        <v>0</v>
      </c>
      <c r="G269" s="94">
        <v>0</v>
      </c>
      <c r="H269" s="94">
        <v>0</v>
      </c>
      <c r="I269" s="94">
        <v>0</v>
      </c>
      <c r="J269" s="94">
        <v>0</v>
      </c>
      <c r="K269" s="94">
        <v>0</v>
      </c>
      <c r="L269" s="94">
        <v>0</v>
      </c>
      <c r="M269" s="94">
        <v>0</v>
      </c>
      <c r="N269" s="94">
        <v>0</v>
      </c>
      <c r="O269" s="94">
        <v>0</v>
      </c>
      <c r="P269" s="94">
        <v>0</v>
      </c>
      <c r="Q269" s="94">
        <v>0</v>
      </c>
      <c r="R269" s="94">
        <v>0</v>
      </c>
      <c r="S269" s="94">
        <v>0</v>
      </c>
      <c r="T269" s="97">
        <f t="shared" si="9"/>
        <v>0</v>
      </c>
    </row>
    <row r="270" ht="15" hidden="1" spans="1:20">
      <c r="A270" s="86" t="s">
        <v>404</v>
      </c>
      <c r="B270" s="94">
        <v>0</v>
      </c>
      <c r="C270" s="94">
        <v>0</v>
      </c>
      <c r="D270" s="94">
        <v>0</v>
      </c>
      <c r="E270" s="94">
        <v>0</v>
      </c>
      <c r="F270" s="94">
        <v>0</v>
      </c>
      <c r="G270" s="94">
        <v>0</v>
      </c>
      <c r="H270" s="94">
        <v>0</v>
      </c>
      <c r="I270" s="94">
        <v>0</v>
      </c>
      <c r="J270" s="94">
        <v>0</v>
      </c>
      <c r="K270" s="94">
        <v>0</v>
      </c>
      <c r="L270" s="94">
        <v>0</v>
      </c>
      <c r="M270" s="94">
        <v>0</v>
      </c>
      <c r="N270" s="94">
        <v>0</v>
      </c>
      <c r="O270" s="94">
        <v>0</v>
      </c>
      <c r="P270" s="94">
        <v>0</v>
      </c>
      <c r="Q270" s="94">
        <v>0</v>
      </c>
      <c r="R270" s="94">
        <v>0</v>
      </c>
      <c r="S270" s="94">
        <v>0</v>
      </c>
      <c r="T270" s="97">
        <f t="shared" si="9"/>
        <v>0</v>
      </c>
    </row>
    <row r="271" ht="15" hidden="1" spans="1:20">
      <c r="A271" s="86" t="s">
        <v>372</v>
      </c>
      <c r="B271" s="94">
        <v>0</v>
      </c>
      <c r="C271" s="94">
        <v>0</v>
      </c>
      <c r="D271" s="94">
        <v>0</v>
      </c>
      <c r="E271" s="94">
        <v>0</v>
      </c>
      <c r="F271" s="94">
        <v>0</v>
      </c>
      <c r="G271" s="94">
        <v>0</v>
      </c>
      <c r="H271" s="94">
        <v>0</v>
      </c>
      <c r="I271" s="94">
        <v>0</v>
      </c>
      <c r="J271" s="94">
        <v>0</v>
      </c>
      <c r="K271" s="94">
        <v>0</v>
      </c>
      <c r="L271" s="94">
        <v>0</v>
      </c>
      <c r="M271" s="94">
        <v>0</v>
      </c>
      <c r="N271" s="94">
        <v>0</v>
      </c>
      <c r="O271" s="94">
        <v>0</v>
      </c>
      <c r="P271" s="94">
        <v>0</v>
      </c>
      <c r="Q271" s="94">
        <v>0</v>
      </c>
      <c r="R271" s="94">
        <v>0</v>
      </c>
      <c r="S271" s="94">
        <v>0</v>
      </c>
      <c r="T271" s="97">
        <f t="shared" si="9"/>
        <v>0</v>
      </c>
    </row>
    <row r="272" ht="15" hidden="1" spans="1:20">
      <c r="A272" s="86" t="s">
        <v>405</v>
      </c>
      <c r="B272" s="94">
        <v>0</v>
      </c>
      <c r="C272" s="94">
        <v>0</v>
      </c>
      <c r="D272" s="94">
        <v>0</v>
      </c>
      <c r="E272" s="94">
        <v>0</v>
      </c>
      <c r="F272" s="94">
        <v>0</v>
      </c>
      <c r="G272" s="94">
        <v>0</v>
      </c>
      <c r="H272" s="94">
        <v>0</v>
      </c>
      <c r="I272" s="94">
        <v>0</v>
      </c>
      <c r="J272" s="94">
        <v>0</v>
      </c>
      <c r="K272" s="94">
        <v>0</v>
      </c>
      <c r="L272" s="94">
        <v>0</v>
      </c>
      <c r="M272" s="94">
        <v>0</v>
      </c>
      <c r="N272" s="94">
        <v>0</v>
      </c>
      <c r="O272" s="94">
        <v>0</v>
      </c>
      <c r="P272" s="94">
        <v>0</v>
      </c>
      <c r="Q272" s="94">
        <v>0</v>
      </c>
      <c r="R272" s="94">
        <v>0</v>
      </c>
      <c r="S272" s="94">
        <v>0</v>
      </c>
      <c r="T272" s="97">
        <f t="shared" si="9"/>
        <v>0</v>
      </c>
    </row>
    <row r="273" ht="15" hidden="1" spans="1:20">
      <c r="A273" s="86" t="s">
        <v>406</v>
      </c>
      <c r="B273" s="94">
        <v>0</v>
      </c>
      <c r="C273" s="94">
        <v>0</v>
      </c>
      <c r="D273" s="94">
        <v>0</v>
      </c>
      <c r="E273" s="94">
        <v>0</v>
      </c>
      <c r="F273" s="94">
        <v>0</v>
      </c>
      <c r="G273" s="94">
        <v>0</v>
      </c>
      <c r="H273" s="94">
        <v>0</v>
      </c>
      <c r="I273" s="94">
        <v>0</v>
      </c>
      <c r="J273" s="94">
        <v>0</v>
      </c>
      <c r="K273" s="94">
        <v>0</v>
      </c>
      <c r="L273" s="94">
        <v>0</v>
      </c>
      <c r="M273" s="94">
        <v>0</v>
      </c>
      <c r="N273" s="94">
        <v>0</v>
      </c>
      <c r="O273" s="94">
        <v>0</v>
      </c>
      <c r="P273" s="94">
        <v>0</v>
      </c>
      <c r="Q273" s="94">
        <v>0</v>
      </c>
      <c r="R273" s="94">
        <v>0</v>
      </c>
      <c r="S273" s="94">
        <v>0</v>
      </c>
      <c r="T273" s="97">
        <f t="shared" si="9"/>
        <v>0</v>
      </c>
    </row>
    <row r="274" ht="15" hidden="1" spans="1:20">
      <c r="A274" s="86" t="s">
        <v>407</v>
      </c>
      <c r="B274" s="94">
        <v>0</v>
      </c>
      <c r="C274" s="94">
        <v>0</v>
      </c>
      <c r="D274" s="94">
        <v>0</v>
      </c>
      <c r="E274" s="94">
        <v>0</v>
      </c>
      <c r="F274" s="94">
        <v>0</v>
      </c>
      <c r="G274" s="94">
        <v>0</v>
      </c>
      <c r="H274" s="94">
        <v>0</v>
      </c>
      <c r="I274" s="94">
        <v>0</v>
      </c>
      <c r="J274" s="94">
        <v>0</v>
      </c>
      <c r="K274" s="94">
        <v>0</v>
      </c>
      <c r="L274" s="94">
        <v>0</v>
      </c>
      <c r="M274" s="94">
        <v>0</v>
      </c>
      <c r="N274" s="94">
        <v>0</v>
      </c>
      <c r="O274" s="94">
        <v>0</v>
      </c>
      <c r="P274" s="94">
        <v>0</v>
      </c>
      <c r="Q274" s="94">
        <v>0</v>
      </c>
      <c r="R274" s="94">
        <v>0</v>
      </c>
      <c r="S274" s="94">
        <v>0</v>
      </c>
      <c r="T274" s="97">
        <f t="shared" si="9"/>
        <v>0</v>
      </c>
    </row>
    <row r="275" ht="15" hidden="1" spans="1:20">
      <c r="A275" s="86" t="s">
        <v>408</v>
      </c>
      <c r="B275" s="94">
        <v>0</v>
      </c>
      <c r="C275" s="94">
        <v>0</v>
      </c>
      <c r="D275" s="94">
        <v>0</v>
      </c>
      <c r="E275" s="94">
        <v>0</v>
      </c>
      <c r="F275" s="94">
        <v>0</v>
      </c>
      <c r="G275" s="94">
        <v>0</v>
      </c>
      <c r="H275" s="94">
        <v>0</v>
      </c>
      <c r="I275" s="94">
        <v>0</v>
      </c>
      <c r="J275" s="94">
        <v>0</v>
      </c>
      <c r="K275" s="94">
        <v>0</v>
      </c>
      <c r="L275" s="94">
        <v>0</v>
      </c>
      <c r="M275" s="94">
        <v>0</v>
      </c>
      <c r="N275" s="94">
        <v>0</v>
      </c>
      <c r="O275" s="94">
        <v>0</v>
      </c>
      <c r="P275" s="94">
        <v>0</v>
      </c>
      <c r="Q275" s="94">
        <v>0</v>
      </c>
      <c r="R275" s="94">
        <v>0</v>
      </c>
      <c r="S275" s="94">
        <v>0</v>
      </c>
      <c r="T275" s="97">
        <f t="shared" si="9"/>
        <v>0</v>
      </c>
    </row>
    <row r="276" ht="15" hidden="1" spans="1:20">
      <c r="A276" s="86" t="s">
        <v>222</v>
      </c>
      <c r="B276" s="94">
        <v>0</v>
      </c>
      <c r="C276" s="94">
        <v>0</v>
      </c>
      <c r="D276" s="94">
        <v>0</v>
      </c>
      <c r="E276" s="94">
        <v>317.46</v>
      </c>
      <c r="F276" s="94">
        <v>51</v>
      </c>
      <c r="G276" s="94">
        <v>171.15</v>
      </c>
      <c r="H276" s="94">
        <v>2492.5</v>
      </c>
      <c r="I276" s="94">
        <v>0</v>
      </c>
      <c r="J276" s="94">
        <v>875.5</v>
      </c>
      <c r="K276" s="94">
        <v>0</v>
      </c>
      <c r="L276" s="94">
        <v>1321.51</v>
      </c>
      <c r="M276" s="94">
        <v>0</v>
      </c>
      <c r="N276" s="94">
        <v>0</v>
      </c>
      <c r="O276" s="94">
        <v>0</v>
      </c>
      <c r="P276" s="94">
        <v>0</v>
      </c>
      <c r="Q276" s="94">
        <v>534</v>
      </c>
      <c r="R276" s="94">
        <v>0</v>
      </c>
      <c r="S276" s="94">
        <v>800.1</v>
      </c>
      <c r="T276" s="97">
        <f t="shared" si="9"/>
        <v>6563.22</v>
      </c>
    </row>
    <row r="277" ht="15" hidden="1" spans="1:20">
      <c r="A277" s="86" t="s">
        <v>409</v>
      </c>
      <c r="B277" s="94">
        <v>0</v>
      </c>
      <c r="C277" s="94">
        <v>0</v>
      </c>
      <c r="D277" s="94">
        <v>0</v>
      </c>
      <c r="E277" s="94">
        <v>0</v>
      </c>
      <c r="F277" s="94">
        <v>0</v>
      </c>
      <c r="G277" s="94">
        <v>0</v>
      </c>
      <c r="H277" s="94">
        <v>0</v>
      </c>
      <c r="I277" s="94">
        <v>0</v>
      </c>
      <c r="J277" s="94">
        <v>0</v>
      </c>
      <c r="K277" s="94">
        <v>0</v>
      </c>
      <c r="L277" s="94">
        <v>0</v>
      </c>
      <c r="M277" s="94">
        <v>0</v>
      </c>
      <c r="N277" s="94">
        <v>0</v>
      </c>
      <c r="O277" s="94">
        <v>0</v>
      </c>
      <c r="P277" s="94">
        <v>0</v>
      </c>
      <c r="Q277" s="94">
        <v>0</v>
      </c>
      <c r="R277" s="94">
        <v>80</v>
      </c>
      <c r="S277" s="94">
        <v>0</v>
      </c>
      <c r="T277" s="97">
        <f t="shared" si="9"/>
        <v>80</v>
      </c>
    </row>
    <row r="278" ht="15" hidden="1" spans="1:20">
      <c r="A278" s="86" t="s">
        <v>263</v>
      </c>
      <c r="B278" s="94">
        <v>0</v>
      </c>
      <c r="C278" s="94">
        <v>0</v>
      </c>
      <c r="D278" s="94">
        <v>0</v>
      </c>
      <c r="E278" s="94">
        <v>0</v>
      </c>
      <c r="F278" s="94">
        <v>110</v>
      </c>
      <c r="G278" s="94">
        <v>17.5</v>
      </c>
      <c r="H278" s="94">
        <v>0</v>
      </c>
      <c r="I278" s="94">
        <v>185</v>
      </c>
      <c r="J278" s="94">
        <v>0</v>
      </c>
      <c r="K278" s="94">
        <v>0</v>
      </c>
      <c r="L278" s="94">
        <v>0</v>
      </c>
      <c r="M278" s="94">
        <v>0</v>
      </c>
      <c r="N278" s="94">
        <v>0</v>
      </c>
      <c r="O278" s="94">
        <v>0</v>
      </c>
      <c r="P278" s="94">
        <v>2800</v>
      </c>
      <c r="Q278" s="94">
        <v>0</v>
      </c>
      <c r="R278" s="94">
        <v>0</v>
      </c>
      <c r="S278" s="94">
        <v>271.9</v>
      </c>
      <c r="T278" s="97">
        <f t="shared" si="9"/>
        <v>3384.4</v>
      </c>
    </row>
    <row r="279" ht="15" hidden="1" spans="1:20">
      <c r="A279" s="86" t="s">
        <v>410</v>
      </c>
      <c r="B279" s="94">
        <v>0</v>
      </c>
      <c r="C279" s="94">
        <v>0</v>
      </c>
      <c r="D279" s="94">
        <v>0</v>
      </c>
      <c r="E279" s="94">
        <v>0</v>
      </c>
      <c r="F279" s="94">
        <v>0</v>
      </c>
      <c r="G279" s="94">
        <v>0</v>
      </c>
      <c r="H279" s="94">
        <v>0</v>
      </c>
      <c r="I279" s="94">
        <v>0</v>
      </c>
      <c r="J279" s="94">
        <v>0</v>
      </c>
      <c r="K279" s="94">
        <v>0</v>
      </c>
      <c r="L279" s="94">
        <v>0</v>
      </c>
      <c r="M279" s="94">
        <v>0</v>
      </c>
      <c r="N279" s="94">
        <v>0</v>
      </c>
      <c r="O279" s="94">
        <v>0</v>
      </c>
      <c r="P279" s="94">
        <v>0</v>
      </c>
      <c r="Q279" s="94">
        <v>0</v>
      </c>
      <c r="R279" s="94">
        <v>0</v>
      </c>
      <c r="S279" s="94">
        <v>0</v>
      </c>
      <c r="T279" s="97">
        <f t="shared" si="9"/>
        <v>0</v>
      </c>
    </row>
    <row r="280" ht="15" hidden="1" spans="1:20">
      <c r="A280" s="86" t="s">
        <v>411</v>
      </c>
      <c r="B280" s="94">
        <v>0</v>
      </c>
      <c r="C280" s="94">
        <v>0</v>
      </c>
      <c r="D280" s="94">
        <v>0</v>
      </c>
      <c r="E280" s="94">
        <v>0</v>
      </c>
      <c r="F280" s="94">
        <v>0</v>
      </c>
      <c r="G280" s="94">
        <v>0</v>
      </c>
      <c r="H280" s="94">
        <v>0</v>
      </c>
      <c r="I280" s="94">
        <v>0</v>
      </c>
      <c r="J280" s="94">
        <v>0</v>
      </c>
      <c r="K280" s="94">
        <v>0</v>
      </c>
      <c r="L280" s="94">
        <v>0</v>
      </c>
      <c r="M280" s="94">
        <v>0</v>
      </c>
      <c r="N280" s="94">
        <v>0</v>
      </c>
      <c r="O280" s="94">
        <v>0</v>
      </c>
      <c r="P280" s="94">
        <v>0</v>
      </c>
      <c r="Q280" s="94">
        <v>0</v>
      </c>
      <c r="R280" s="94">
        <v>0</v>
      </c>
      <c r="S280" s="94">
        <v>0</v>
      </c>
      <c r="T280" s="97">
        <f t="shared" si="9"/>
        <v>0</v>
      </c>
    </row>
    <row r="281" ht="15" hidden="1" spans="1:20">
      <c r="A281" s="86" t="s">
        <v>230</v>
      </c>
      <c r="B281" s="94">
        <v>0</v>
      </c>
      <c r="C281" s="94">
        <v>0</v>
      </c>
      <c r="D281" s="94">
        <v>0</v>
      </c>
      <c r="E281" s="94">
        <v>0</v>
      </c>
      <c r="F281" s="94">
        <v>0</v>
      </c>
      <c r="G281" s="94">
        <v>0</v>
      </c>
      <c r="H281" s="94">
        <v>859</v>
      </c>
      <c r="I281" s="94">
        <v>0</v>
      </c>
      <c r="J281" s="94">
        <v>0</v>
      </c>
      <c r="K281" s="94">
        <v>0</v>
      </c>
      <c r="L281" s="94">
        <v>0</v>
      </c>
      <c r="M281" s="94">
        <v>0</v>
      </c>
      <c r="N281" s="94">
        <v>0</v>
      </c>
      <c r="O281" s="94">
        <v>0</v>
      </c>
      <c r="P281" s="94">
        <v>0</v>
      </c>
      <c r="Q281" s="94">
        <v>0</v>
      </c>
      <c r="R281" s="94">
        <v>0</v>
      </c>
      <c r="S281" s="94">
        <v>0</v>
      </c>
      <c r="T281" s="97">
        <f t="shared" si="9"/>
        <v>859</v>
      </c>
    </row>
    <row r="282" ht="15" hidden="1" spans="1:20">
      <c r="A282" s="86" t="s">
        <v>324</v>
      </c>
      <c r="B282" s="94">
        <v>0</v>
      </c>
      <c r="C282" s="94">
        <v>0</v>
      </c>
      <c r="D282" s="94">
        <v>0</v>
      </c>
      <c r="E282" s="94">
        <v>0</v>
      </c>
      <c r="F282" s="94">
        <v>0</v>
      </c>
      <c r="G282" s="94">
        <v>0</v>
      </c>
      <c r="H282" s="94">
        <v>0</v>
      </c>
      <c r="I282" s="94">
        <v>0</v>
      </c>
      <c r="J282" s="94">
        <v>0</v>
      </c>
      <c r="K282" s="94">
        <v>0</v>
      </c>
      <c r="L282" s="94">
        <v>0</v>
      </c>
      <c r="M282" s="94">
        <v>0</v>
      </c>
      <c r="N282" s="94">
        <v>0</v>
      </c>
      <c r="O282" s="94">
        <v>0</v>
      </c>
      <c r="P282" s="94">
        <v>0</v>
      </c>
      <c r="Q282" s="94">
        <v>0</v>
      </c>
      <c r="R282" s="94">
        <v>0</v>
      </c>
      <c r="S282" s="94">
        <v>0</v>
      </c>
      <c r="T282" s="97">
        <f t="shared" si="9"/>
        <v>0</v>
      </c>
    </row>
    <row r="283" ht="15" hidden="1" spans="1:20">
      <c r="A283" s="86" t="s">
        <v>412</v>
      </c>
      <c r="B283" s="94">
        <v>0</v>
      </c>
      <c r="C283" s="94">
        <v>0</v>
      </c>
      <c r="D283" s="94">
        <v>0</v>
      </c>
      <c r="E283" s="94">
        <v>0</v>
      </c>
      <c r="F283" s="94">
        <v>0</v>
      </c>
      <c r="G283" s="94">
        <v>0</v>
      </c>
      <c r="H283" s="94">
        <v>0</v>
      </c>
      <c r="I283" s="94">
        <v>0</v>
      </c>
      <c r="J283" s="94">
        <v>10403</v>
      </c>
      <c r="K283" s="94">
        <v>0</v>
      </c>
      <c r="L283" s="94">
        <v>0</v>
      </c>
      <c r="M283" s="94">
        <v>0</v>
      </c>
      <c r="N283" s="94">
        <v>0</v>
      </c>
      <c r="O283" s="94">
        <v>0</v>
      </c>
      <c r="P283" s="94">
        <v>0</v>
      </c>
      <c r="Q283" s="94">
        <v>0</v>
      </c>
      <c r="R283" s="94">
        <v>0</v>
      </c>
      <c r="S283" s="94">
        <v>0</v>
      </c>
      <c r="T283" s="97">
        <f t="shared" si="9"/>
        <v>10403</v>
      </c>
    </row>
    <row r="284" ht="15" hidden="1" spans="1:20">
      <c r="A284" s="86" t="s">
        <v>139</v>
      </c>
      <c r="B284" s="94">
        <v>0</v>
      </c>
      <c r="C284" s="94">
        <v>0</v>
      </c>
      <c r="D284" s="94">
        <v>0</v>
      </c>
      <c r="E284" s="94">
        <v>0</v>
      </c>
      <c r="F284" s="94">
        <v>0</v>
      </c>
      <c r="G284" s="94">
        <v>0</v>
      </c>
      <c r="H284" s="94">
        <v>0</v>
      </c>
      <c r="I284" s="94">
        <v>0</v>
      </c>
      <c r="J284" s="94">
        <v>0</v>
      </c>
      <c r="K284" s="94">
        <v>0</v>
      </c>
      <c r="L284" s="94">
        <v>0</v>
      </c>
      <c r="M284" s="94">
        <v>0</v>
      </c>
      <c r="N284" s="94">
        <v>0</v>
      </c>
      <c r="O284" s="94">
        <v>0</v>
      </c>
      <c r="P284" s="94">
        <v>0</v>
      </c>
      <c r="Q284" s="94">
        <v>0</v>
      </c>
      <c r="R284" s="94">
        <v>0</v>
      </c>
      <c r="S284" s="94">
        <v>0</v>
      </c>
      <c r="T284" s="97">
        <f t="shared" si="9"/>
        <v>0</v>
      </c>
    </row>
    <row r="285" ht="15.15" hidden="1" spans="1:20">
      <c r="A285" s="91" t="s">
        <v>199</v>
      </c>
      <c r="B285" s="98">
        <f>SUM(B197:B284)</f>
        <v>0</v>
      </c>
      <c r="C285" s="98">
        <f t="shared" ref="C285:T285" si="10">SUM(C197:C284)</f>
        <v>0</v>
      </c>
      <c r="D285" s="98">
        <f t="shared" si="10"/>
        <v>0</v>
      </c>
      <c r="E285" s="98">
        <f t="shared" si="10"/>
        <v>1577.46</v>
      </c>
      <c r="F285" s="98">
        <f t="shared" si="10"/>
        <v>161</v>
      </c>
      <c r="G285" s="98">
        <f t="shared" si="10"/>
        <v>188.65</v>
      </c>
      <c r="H285" s="98">
        <f t="shared" si="10"/>
        <v>3351.5</v>
      </c>
      <c r="I285" s="98">
        <f t="shared" si="10"/>
        <v>185</v>
      </c>
      <c r="J285" s="98">
        <f t="shared" si="10"/>
        <v>19278.5</v>
      </c>
      <c r="K285" s="98">
        <f t="shared" si="10"/>
        <v>0</v>
      </c>
      <c r="L285" s="98">
        <f t="shared" si="10"/>
        <v>1321.51</v>
      </c>
      <c r="M285" s="98">
        <f t="shared" si="10"/>
        <v>0</v>
      </c>
      <c r="N285" s="98">
        <f t="shared" si="10"/>
        <v>0</v>
      </c>
      <c r="O285" s="98">
        <f t="shared" si="10"/>
        <v>24</v>
      </c>
      <c r="P285" s="98">
        <f t="shared" si="10"/>
        <v>2921</v>
      </c>
      <c r="Q285" s="98">
        <f t="shared" si="10"/>
        <v>534</v>
      </c>
      <c r="R285" s="98">
        <f t="shared" si="10"/>
        <v>80</v>
      </c>
      <c r="S285" s="98">
        <f t="shared" si="10"/>
        <v>1072</v>
      </c>
      <c r="T285" s="100">
        <f t="shared" si="10"/>
        <v>30694.62</v>
      </c>
    </row>
    <row r="286" hidden="1"/>
  </sheetData>
  <mergeCells count="60">
    <mergeCell ref="A1:S1"/>
    <mergeCell ref="A98:S98"/>
    <mergeCell ref="A194:S194"/>
    <mergeCell ref="B2:B3"/>
    <mergeCell ref="B99:B100"/>
    <mergeCell ref="B195:B196"/>
    <mergeCell ref="C2:C3"/>
    <mergeCell ref="C99:C100"/>
    <mergeCell ref="C195:C196"/>
    <mergeCell ref="D2:D3"/>
    <mergeCell ref="D99:D100"/>
    <mergeCell ref="D195:D196"/>
    <mergeCell ref="E2:E3"/>
    <mergeCell ref="E99:E100"/>
    <mergeCell ref="E195:E196"/>
    <mergeCell ref="F2:F3"/>
    <mergeCell ref="F99:F100"/>
    <mergeCell ref="F195:F196"/>
    <mergeCell ref="G2:G3"/>
    <mergeCell ref="G99:G100"/>
    <mergeCell ref="G195:G196"/>
    <mergeCell ref="H2:H3"/>
    <mergeCell ref="H99:H100"/>
    <mergeCell ref="H195:H196"/>
    <mergeCell ref="I2:I3"/>
    <mergeCell ref="I99:I100"/>
    <mergeCell ref="I195:I196"/>
    <mergeCell ref="J2:J3"/>
    <mergeCell ref="J99:J100"/>
    <mergeCell ref="J195:J196"/>
    <mergeCell ref="K2:K3"/>
    <mergeCell ref="K99:K100"/>
    <mergeCell ref="K195:K196"/>
    <mergeCell ref="L2:L3"/>
    <mergeCell ref="L99:L100"/>
    <mergeCell ref="L195:L196"/>
    <mergeCell ref="M2:M3"/>
    <mergeCell ref="M99:M100"/>
    <mergeCell ref="M195:M196"/>
    <mergeCell ref="N2:N3"/>
    <mergeCell ref="N99:N100"/>
    <mergeCell ref="N195:N196"/>
    <mergeCell ref="O2:O3"/>
    <mergeCell ref="O99:O100"/>
    <mergeCell ref="O195:O196"/>
    <mergeCell ref="P2:P3"/>
    <mergeCell ref="P99:P100"/>
    <mergeCell ref="P195:P196"/>
    <mergeCell ref="Q2:Q3"/>
    <mergeCell ref="Q99:Q100"/>
    <mergeCell ref="Q195:Q196"/>
    <mergeCell ref="R2:R3"/>
    <mergeCell ref="R99:R100"/>
    <mergeCell ref="R195:R196"/>
    <mergeCell ref="S2:S3"/>
    <mergeCell ref="S99:S100"/>
    <mergeCell ref="S195:S196"/>
    <mergeCell ref="T2:T3"/>
    <mergeCell ref="T99:T100"/>
    <mergeCell ref="T195:T196"/>
  </mergeCells>
  <pageMargins left="0.699305555555556" right="0.699305555555556" top="0.75" bottom="0.75" header="0.3" footer="0.3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S154"/>
  <sheetViews>
    <sheetView zoomScale="70" zoomScaleNormal="70" topLeftCell="D26" workbookViewId="0">
      <selection activeCell="S38" sqref="S38"/>
    </sheetView>
  </sheetViews>
  <sheetFormatPr defaultColWidth="9" defaultRowHeight="15"/>
  <cols>
    <col min="1" max="1" width="4.62962962962963" style="36" customWidth="1"/>
    <col min="2" max="2" width="10.5" style="37" customWidth="1"/>
    <col min="3" max="3" width="8.37962962962963" style="36" customWidth="1"/>
    <col min="4" max="4" width="12.5" style="36" customWidth="1"/>
    <col min="5" max="5" width="24" style="36" customWidth="1"/>
    <col min="6" max="6" width="34.8796296296296" style="38" customWidth="1"/>
    <col min="7" max="7" width="14.8796296296296" style="39" customWidth="1"/>
    <col min="8" max="38" width="15.5" style="39" customWidth="1"/>
    <col min="39" max="16384" width="9" style="37"/>
  </cols>
  <sheetData>
    <row r="1" ht="25.5" customHeight="1" spans="1:38">
      <c r="A1" s="40" t="s">
        <v>416</v>
      </c>
      <c r="B1" s="40"/>
      <c r="C1" s="40"/>
      <c r="D1" s="40"/>
      <c r="E1" s="40"/>
      <c r="F1" s="40"/>
      <c r="G1" s="40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</row>
    <row r="2" s="32" customFormat="1" ht="18.75" customHeight="1" spans="1:38">
      <c r="A2" s="42" t="s">
        <v>169</v>
      </c>
      <c r="B2" s="43" t="s">
        <v>68</v>
      </c>
      <c r="C2" s="43" t="s">
        <v>417</v>
      </c>
      <c r="D2" s="43" t="s">
        <v>101</v>
      </c>
      <c r="E2" s="43" t="s">
        <v>418</v>
      </c>
      <c r="F2" s="44" t="s">
        <v>419</v>
      </c>
      <c r="G2" s="45" t="s">
        <v>420</v>
      </c>
      <c r="H2" s="45">
        <v>1</v>
      </c>
      <c r="I2" s="45">
        <v>2</v>
      </c>
      <c r="J2" s="45">
        <v>3</v>
      </c>
      <c r="K2" s="45">
        <v>4</v>
      </c>
      <c r="L2" s="45">
        <v>5</v>
      </c>
      <c r="M2" s="45">
        <v>6</v>
      </c>
      <c r="N2" s="45">
        <v>7</v>
      </c>
      <c r="O2" s="45">
        <v>8</v>
      </c>
      <c r="P2" s="45">
        <v>9</v>
      </c>
      <c r="Q2" s="45">
        <v>10</v>
      </c>
      <c r="R2" s="45">
        <v>11</v>
      </c>
      <c r="S2" s="45">
        <v>12</v>
      </c>
      <c r="T2" s="45">
        <v>13</v>
      </c>
      <c r="U2" s="45">
        <v>14</v>
      </c>
      <c r="V2" s="45">
        <v>15</v>
      </c>
      <c r="W2" s="45">
        <v>16</v>
      </c>
      <c r="X2" s="45">
        <v>17</v>
      </c>
      <c r="Y2" s="45">
        <v>18</v>
      </c>
      <c r="Z2" s="45">
        <v>19</v>
      </c>
      <c r="AA2" s="45">
        <v>20</v>
      </c>
      <c r="AB2" s="45">
        <v>21</v>
      </c>
      <c r="AC2" s="45">
        <v>22</v>
      </c>
      <c r="AD2" s="45">
        <v>23</v>
      </c>
      <c r="AE2" s="45">
        <v>24</v>
      </c>
      <c r="AF2" s="45">
        <v>25</v>
      </c>
      <c r="AG2" s="45">
        <v>26</v>
      </c>
      <c r="AH2" s="45">
        <v>27</v>
      </c>
      <c r="AI2" s="45">
        <v>28</v>
      </c>
      <c r="AJ2" s="45">
        <v>29</v>
      </c>
      <c r="AK2" s="45">
        <v>30</v>
      </c>
      <c r="AL2" s="45">
        <v>31</v>
      </c>
    </row>
    <row r="3" s="33" customFormat="1" ht="16.5" hidden="1" customHeight="1" spans="1:38">
      <c r="A3" s="46">
        <v>1</v>
      </c>
      <c r="B3" s="47" t="s">
        <v>421</v>
      </c>
      <c r="C3" s="48" t="s">
        <v>422</v>
      </c>
      <c r="D3" s="49" t="s">
        <v>423</v>
      </c>
      <c r="E3" s="49" t="s">
        <v>424</v>
      </c>
      <c r="F3" s="50" t="s">
        <v>425</v>
      </c>
      <c r="G3" s="51">
        <f t="shared" ref="G3:G67" si="0">SUM(H3:AL3)</f>
        <v>1266179.56</v>
      </c>
      <c r="H3" s="51">
        <v>-157713.99</v>
      </c>
      <c r="I3" s="51">
        <v>228594.22</v>
      </c>
      <c r="J3" s="51">
        <v>29178.05</v>
      </c>
      <c r="K3" s="51">
        <v>15263.97</v>
      </c>
      <c r="L3" s="51">
        <v>28394.89</v>
      </c>
      <c r="M3" s="51"/>
      <c r="N3" s="51"/>
      <c r="O3" s="51">
        <v>185070.11</v>
      </c>
      <c r="P3" s="51">
        <v>29093.59</v>
      </c>
      <c r="Q3" s="51">
        <v>22479.13</v>
      </c>
      <c r="R3" s="68">
        <f>22163-864.7</f>
        <v>21298.3</v>
      </c>
      <c r="S3" s="51">
        <v>33448.57</v>
      </c>
      <c r="T3" s="51"/>
      <c r="U3" s="51"/>
      <c r="V3" s="51">
        <v>227567.7</v>
      </c>
      <c r="W3" s="51">
        <v>27654.3</v>
      </c>
      <c r="X3" s="51">
        <v>23483.05</v>
      </c>
      <c r="Y3" s="51">
        <v>13767.97</v>
      </c>
      <c r="Z3" s="51">
        <v>19446</v>
      </c>
      <c r="AA3" s="51"/>
      <c r="AB3" s="51"/>
      <c r="AC3" s="51">
        <v>186441.3</v>
      </c>
      <c r="AD3" s="51">
        <v>26194</v>
      </c>
      <c r="AE3" s="51">
        <v>17080.5</v>
      </c>
      <c r="AF3" s="51">
        <v>12238.2</v>
      </c>
      <c r="AG3" s="51">
        <v>27043.68</v>
      </c>
      <c r="AH3" s="51"/>
      <c r="AI3" s="51"/>
      <c r="AJ3" s="51">
        <v>169174.05</v>
      </c>
      <c r="AK3" s="51">
        <v>39406.83</v>
      </c>
      <c r="AL3" s="51">
        <v>41575.14</v>
      </c>
    </row>
    <row r="4" s="33" customFormat="1" ht="16.5" hidden="1" customHeight="1" spans="1:38">
      <c r="A4" s="46">
        <v>2</v>
      </c>
      <c r="B4" s="47" t="s">
        <v>421</v>
      </c>
      <c r="C4" s="52"/>
      <c r="D4" s="49" t="s">
        <v>426</v>
      </c>
      <c r="E4" s="49" t="s">
        <v>427</v>
      </c>
      <c r="F4" s="50" t="s">
        <v>428</v>
      </c>
      <c r="G4" s="51">
        <f t="shared" si="0"/>
        <v>272666.15</v>
      </c>
      <c r="H4" s="51">
        <v>-18354.05</v>
      </c>
      <c r="I4" s="51">
        <v>31232.42</v>
      </c>
      <c r="J4" s="51">
        <v>8417.18</v>
      </c>
      <c r="K4" s="51">
        <v>8125.12</v>
      </c>
      <c r="L4" s="51">
        <v>5395.46</v>
      </c>
      <c r="M4" s="51"/>
      <c r="N4" s="51"/>
      <c r="O4" s="51">
        <v>19380.19</v>
      </c>
      <c r="P4" s="51">
        <v>5186</v>
      </c>
      <c r="Q4" s="51">
        <v>4563.01</v>
      </c>
      <c r="R4" s="68">
        <f>6763-179</f>
        <v>6584</v>
      </c>
      <c r="S4" s="51">
        <v>6228</v>
      </c>
      <c r="T4" s="51"/>
      <c r="U4" s="51"/>
      <c r="V4" s="51">
        <v>33556.12</v>
      </c>
      <c r="W4" s="51">
        <v>8187</v>
      </c>
      <c r="X4" s="51">
        <v>8280</v>
      </c>
      <c r="Y4" s="51">
        <v>7512</v>
      </c>
      <c r="Z4" s="51">
        <v>9353</v>
      </c>
      <c r="AA4" s="51"/>
      <c r="AB4" s="51"/>
      <c r="AC4" s="51">
        <v>44024.53</v>
      </c>
      <c r="AD4" s="51">
        <v>8479.1</v>
      </c>
      <c r="AE4" s="51">
        <v>20885.74</v>
      </c>
      <c r="AF4" s="51">
        <v>5516.74</v>
      </c>
      <c r="AG4" s="51">
        <v>5733</v>
      </c>
      <c r="AH4" s="51"/>
      <c r="AI4" s="51"/>
      <c r="AJ4" s="51">
        <v>27040.51</v>
      </c>
      <c r="AK4" s="51">
        <v>6147.08</v>
      </c>
      <c r="AL4" s="51">
        <v>11194</v>
      </c>
    </row>
    <row r="5" s="33" customFormat="1" ht="16.5" customHeight="1" spans="1:38">
      <c r="A5" s="46">
        <v>3</v>
      </c>
      <c r="B5" s="47" t="s">
        <v>93</v>
      </c>
      <c r="C5" s="46"/>
      <c r="D5" s="53" t="s">
        <v>429</v>
      </c>
      <c r="E5" s="54"/>
      <c r="F5" s="55"/>
      <c r="G5" s="51">
        <f t="shared" si="0"/>
        <v>0</v>
      </c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</row>
    <row r="6" s="34" customFormat="1" ht="16.5" hidden="1" customHeight="1" spans="1:38">
      <c r="A6" s="46">
        <v>4</v>
      </c>
      <c r="B6" s="47" t="s">
        <v>421</v>
      </c>
      <c r="C6" s="48" t="s">
        <v>196</v>
      </c>
      <c r="D6" s="56" t="s">
        <v>430</v>
      </c>
      <c r="E6" s="56" t="s">
        <v>431</v>
      </c>
      <c r="F6" s="57" t="s">
        <v>432</v>
      </c>
      <c r="G6" s="51">
        <f t="shared" si="0"/>
        <v>115053.26</v>
      </c>
      <c r="H6" s="51">
        <v>-14595.38</v>
      </c>
      <c r="I6" s="51">
        <v>23251.06</v>
      </c>
      <c r="J6" s="67">
        <f>4140.54</f>
        <v>4140.54</v>
      </c>
      <c r="K6" s="51">
        <v>2152.9</v>
      </c>
      <c r="L6" s="51">
        <v>3276.9</v>
      </c>
      <c r="M6" s="51"/>
      <c r="N6" s="51"/>
      <c r="O6" s="51">
        <v>12335.54</v>
      </c>
      <c r="P6" s="51">
        <v>4838</v>
      </c>
      <c r="Q6" s="51">
        <v>4594</v>
      </c>
      <c r="R6" s="51">
        <v>5401</v>
      </c>
      <c r="S6" s="51">
        <v>3679</v>
      </c>
      <c r="T6" s="51"/>
      <c r="U6" s="51"/>
      <c r="V6" s="68">
        <f>12984</f>
        <v>12984</v>
      </c>
      <c r="W6" s="51">
        <v>12483</v>
      </c>
      <c r="X6" s="51">
        <v>3310.04</v>
      </c>
      <c r="Y6" s="51">
        <v>3741</v>
      </c>
      <c r="Z6" s="51">
        <v>2712</v>
      </c>
      <c r="AA6" s="51"/>
      <c r="AB6" s="51"/>
      <c r="AC6" s="68">
        <f>9356-50</f>
        <v>9306</v>
      </c>
      <c r="AD6" s="68">
        <f>3667</f>
        <v>3667</v>
      </c>
      <c r="AE6" s="51">
        <v>1001</v>
      </c>
      <c r="AF6" s="51">
        <v>2131</v>
      </c>
      <c r="AG6" s="51">
        <v>2450.11</v>
      </c>
      <c r="AH6" s="51"/>
      <c r="AI6" s="51"/>
      <c r="AJ6" s="51">
        <v>7664.01</v>
      </c>
      <c r="AK6" s="51">
        <v>1903.52</v>
      </c>
      <c r="AL6" s="51">
        <v>2627.02</v>
      </c>
    </row>
    <row r="7" s="33" customFormat="1" ht="16.5" hidden="1" customHeight="1" spans="1:38">
      <c r="A7" s="46">
        <v>5</v>
      </c>
      <c r="B7" s="58" t="s">
        <v>433</v>
      </c>
      <c r="C7" s="52"/>
      <c r="D7" s="56" t="s">
        <v>434</v>
      </c>
      <c r="E7" s="54" t="s">
        <v>87</v>
      </c>
      <c r="F7" s="57" t="s">
        <v>435</v>
      </c>
      <c r="G7" s="51">
        <f t="shared" si="0"/>
        <v>60772.78</v>
      </c>
      <c r="H7" s="51"/>
      <c r="I7" s="51">
        <v>2462.89</v>
      </c>
      <c r="J7" s="51">
        <v>8168.86</v>
      </c>
      <c r="K7" s="51">
        <v>2958.24000000001</v>
      </c>
      <c r="L7" s="51">
        <v>906.739999999998</v>
      </c>
      <c r="M7" s="51"/>
      <c r="N7" s="51"/>
      <c r="O7" s="51">
        <v>63.9499999999971</v>
      </c>
      <c r="P7" s="51">
        <v>4967.11</v>
      </c>
      <c r="Q7" s="51">
        <v>2415.57</v>
      </c>
      <c r="R7" s="51">
        <v>1147.23</v>
      </c>
      <c r="S7" s="51">
        <v>1045.09</v>
      </c>
      <c r="T7" s="51"/>
      <c r="U7" s="51"/>
      <c r="V7" s="51">
        <v>4590.14</v>
      </c>
      <c r="W7" s="51">
        <v>1748.35000000001</v>
      </c>
      <c r="X7" s="51">
        <v>2813.87999999999</v>
      </c>
      <c r="Y7" s="51">
        <v>1142.53000000001</v>
      </c>
      <c r="Z7" s="51">
        <v>6578.96999999999</v>
      </c>
      <c r="AA7" s="51"/>
      <c r="AB7" s="51"/>
      <c r="AC7" s="51">
        <v>2107.46000000001</v>
      </c>
      <c r="AD7" s="51">
        <v>3066.75999999999</v>
      </c>
      <c r="AE7" s="51">
        <v>230.910000000003</v>
      </c>
      <c r="AF7" s="51">
        <v>771.449999999997</v>
      </c>
      <c r="AG7" s="51">
        <v>-48.8300000000017</v>
      </c>
      <c r="AH7" s="51"/>
      <c r="AI7" s="51"/>
      <c r="AJ7" s="51">
        <v>7803.38</v>
      </c>
      <c r="AK7" s="51">
        <v>3616.85000000001</v>
      </c>
      <c r="AL7" s="51">
        <v>2215.25</v>
      </c>
    </row>
    <row r="8" s="33" customFormat="1" ht="16.5" hidden="1" customHeight="1" spans="1:38">
      <c r="A8" s="46">
        <v>6</v>
      </c>
      <c r="B8" s="58" t="s">
        <v>433</v>
      </c>
      <c r="C8" s="52"/>
      <c r="D8" s="56" t="s">
        <v>436</v>
      </c>
      <c r="E8" s="56" t="s">
        <v>437</v>
      </c>
      <c r="F8" s="57" t="s">
        <v>438</v>
      </c>
      <c r="G8" s="51">
        <f t="shared" si="0"/>
        <v>116770.2</v>
      </c>
      <c r="H8" s="51">
        <f>9918.87+-27462</f>
        <v>-17543.13</v>
      </c>
      <c r="I8" s="51">
        <v>27462</v>
      </c>
      <c r="J8" s="51">
        <v>3635.4</v>
      </c>
      <c r="K8" s="67">
        <v>3633</v>
      </c>
      <c r="L8" s="51">
        <v>2621</v>
      </c>
      <c r="M8" s="51"/>
      <c r="N8" s="51"/>
      <c r="O8" s="51">
        <v>12026</v>
      </c>
      <c r="P8" s="51">
        <v>7281</v>
      </c>
      <c r="Q8" s="51">
        <v>4960</v>
      </c>
      <c r="R8" s="51">
        <v>3526.5</v>
      </c>
      <c r="S8" s="51">
        <v>4036</v>
      </c>
      <c r="T8" s="51"/>
      <c r="U8" s="51"/>
      <c r="V8" s="51">
        <v>17442.43</v>
      </c>
      <c r="W8" s="51">
        <v>3557</v>
      </c>
      <c r="X8" s="51">
        <v>4229</v>
      </c>
      <c r="Y8" s="51">
        <v>2697</v>
      </c>
      <c r="Z8" s="51">
        <v>4649</v>
      </c>
      <c r="AA8" s="51"/>
      <c r="AB8" s="67"/>
      <c r="AC8" s="51">
        <v>9330</v>
      </c>
      <c r="AD8" s="51">
        <v>2564</v>
      </c>
      <c r="AE8" s="51">
        <v>2481</v>
      </c>
      <c r="AF8" s="51">
        <v>2196</v>
      </c>
      <c r="AG8" s="51">
        <v>2314</v>
      </c>
      <c r="AH8" s="51"/>
      <c r="AI8" s="51"/>
      <c r="AJ8" s="51">
        <v>6820</v>
      </c>
      <c r="AK8" s="68">
        <f>2791</f>
        <v>2791</v>
      </c>
      <c r="AL8" s="51">
        <v>4062</v>
      </c>
    </row>
    <row r="9" s="33" customFormat="1" ht="16.5" hidden="1" customHeight="1" spans="1:38">
      <c r="A9" s="46">
        <v>7</v>
      </c>
      <c r="B9" s="58" t="s">
        <v>433</v>
      </c>
      <c r="C9" s="52"/>
      <c r="D9" s="56" t="s">
        <v>439</v>
      </c>
      <c r="E9" s="56" t="s">
        <v>86</v>
      </c>
      <c r="F9" s="59" t="s">
        <v>440</v>
      </c>
      <c r="G9" s="51">
        <f t="shared" si="0"/>
        <v>121264.23</v>
      </c>
      <c r="H9" s="51"/>
      <c r="I9" s="51"/>
      <c r="J9" s="51">
        <v>30339.53</v>
      </c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>
        <v>26895.27</v>
      </c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>
        <v>64029.43</v>
      </c>
    </row>
    <row r="10" s="33" customFormat="1" ht="16.5" hidden="1" customHeight="1" spans="1:38">
      <c r="A10" s="46">
        <v>8</v>
      </c>
      <c r="B10" s="58" t="s">
        <v>433</v>
      </c>
      <c r="C10" s="52"/>
      <c r="D10" s="56"/>
      <c r="E10" s="60" t="s">
        <v>441</v>
      </c>
      <c r="F10" s="61"/>
      <c r="G10" s="51">
        <f t="shared" si="0"/>
        <v>1840</v>
      </c>
      <c r="H10" s="51"/>
      <c r="I10" s="51"/>
      <c r="J10" s="51"/>
      <c r="K10" s="51">
        <v>1040</v>
      </c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>
        <v>480</v>
      </c>
      <c r="Z10" s="51">
        <v>320</v>
      </c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</row>
    <row r="11" s="33" customFormat="1" ht="16.5" hidden="1" customHeight="1" spans="1:38">
      <c r="A11" s="46">
        <v>9</v>
      </c>
      <c r="B11" s="59" t="s">
        <v>433</v>
      </c>
      <c r="C11" s="62"/>
      <c r="D11" s="56" t="s">
        <v>434</v>
      </c>
      <c r="E11" s="60" t="s">
        <v>87</v>
      </c>
      <c r="F11" s="61" t="s">
        <v>442</v>
      </c>
      <c r="G11" s="51">
        <f t="shared" si="0"/>
        <v>0</v>
      </c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</row>
    <row r="12" s="33" customFormat="1" ht="16.5" hidden="1" customHeight="1" spans="1:38">
      <c r="A12" s="46">
        <v>10</v>
      </c>
      <c r="B12" s="58" t="s">
        <v>443</v>
      </c>
      <c r="C12" s="48" t="s">
        <v>196</v>
      </c>
      <c r="D12" s="56" t="s">
        <v>444</v>
      </c>
      <c r="E12" s="56"/>
      <c r="F12" s="57" t="s">
        <v>445</v>
      </c>
      <c r="G12" s="51">
        <f t="shared" si="0"/>
        <v>0</v>
      </c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</row>
    <row r="13" s="33" customFormat="1" ht="16.5" hidden="1" customHeight="1" spans="1:38">
      <c r="A13" s="46">
        <v>11</v>
      </c>
      <c r="B13" s="58" t="s">
        <v>443</v>
      </c>
      <c r="C13" s="52"/>
      <c r="D13" s="56" t="s">
        <v>446</v>
      </c>
      <c r="E13" s="56" t="s">
        <v>447</v>
      </c>
      <c r="F13" s="59" t="s">
        <v>448</v>
      </c>
      <c r="G13" s="51">
        <f t="shared" si="0"/>
        <v>0</v>
      </c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</row>
    <row r="14" s="33" customFormat="1" ht="16.5" hidden="1" customHeight="1" spans="1:38">
      <c r="A14" s="46">
        <v>12</v>
      </c>
      <c r="B14" s="58" t="s">
        <v>421</v>
      </c>
      <c r="C14" s="52"/>
      <c r="D14" s="56" t="s">
        <v>449</v>
      </c>
      <c r="E14" s="56" t="s">
        <v>81</v>
      </c>
      <c r="F14" s="59" t="s">
        <v>450</v>
      </c>
      <c r="G14" s="51">
        <f t="shared" si="0"/>
        <v>64714.78</v>
      </c>
      <c r="H14" s="51"/>
      <c r="I14" s="51"/>
      <c r="J14" s="51"/>
      <c r="K14" s="51"/>
      <c r="L14" s="51">
        <v>64714.78</v>
      </c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</row>
    <row r="15" s="33" customFormat="1" ht="16.5" hidden="1" customHeight="1" spans="1:38">
      <c r="A15" s="46">
        <v>13</v>
      </c>
      <c r="B15" s="58" t="s">
        <v>443</v>
      </c>
      <c r="C15" s="52"/>
      <c r="D15" s="56" t="s">
        <v>451</v>
      </c>
      <c r="E15" s="56"/>
      <c r="F15" s="59" t="s">
        <v>452</v>
      </c>
      <c r="G15" s="51">
        <f t="shared" si="0"/>
        <v>0</v>
      </c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</row>
    <row r="16" s="33" customFormat="1" ht="16.5" hidden="1" customHeight="1" spans="1:38">
      <c r="A16" s="46">
        <v>14</v>
      </c>
      <c r="B16" s="58" t="s">
        <v>443</v>
      </c>
      <c r="C16" s="52"/>
      <c r="D16" s="56" t="s">
        <v>453</v>
      </c>
      <c r="E16" s="56" t="s">
        <v>92</v>
      </c>
      <c r="F16" s="57" t="s">
        <v>454</v>
      </c>
      <c r="G16" s="51">
        <f t="shared" si="0"/>
        <v>309931</v>
      </c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>
        <v>49043.95</v>
      </c>
      <c r="Z16" s="51"/>
      <c r="AA16" s="51"/>
      <c r="AB16" s="51"/>
      <c r="AC16" s="51">
        <v>90835.71</v>
      </c>
      <c r="AD16" s="51"/>
      <c r="AE16" s="51"/>
      <c r="AF16" s="51"/>
      <c r="AG16" s="51"/>
      <c r="AH16" s="51"/>
      <c r="AI16" s="51"/>
      <c r="AJ16" s="51"/>
      <c r="AK16" s="51"/>
      <c r="AL16" s="51">
        <v>170051.34</v>
      </c>
    </row>
    <row r="17" s="33" customFormat="1" ht="16.5" hidden="1" customHeight="1" spans="1:38">
      <c r="A17" s="46">
        <v>15</v>
      </c>
      <c r="B17" s="58" t="s">
        <v>443</v>
      </c>
      <c r="C17" s="52"/>
      <c r="D17" s="56" t="s">
        <v>455</v>
      </c>
      <c r="E17" s="56" t="s">
        <v>91</v>
      </c>
      <c r="F17" s="59" t="s">
        <v>456</v>
      </c>
      <c r="G17" s="51">
        <f t="shared" si="0"/>
        <v>0</v>
      </c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</row>
    <row r="18" s="33" customFormat="1" ht="16.5" hidden="1" customHeight="1" spans="1:38">
      <c r="A18" s="46">
        <v>16</v>
      </c>
      <c r="B18" s="58" t="s">
        <v>443</v>
      </c>
      <c r="C18" s="52"/>
      <c r="D18" s="56" t="s">
        <v>455</v>
      </c>
      <c r="E18" s="56" t="s">
        <v>91</v>
      </c>
      <c r="F18" s="59" t="s">
        <v>457</v>
      </c>
      <c r="G18" s="51">
        <f t="shared" si="0"/>
        <v>0</v>
      </c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</row>
    <row r="19" s="33" customFormat="1" ht="16.5" hidden="1" customHeight="1" spans="1:38">
      <c r="A19" s="46">
        <v>17</v>
      </c>
      <c r="B19" s="58" t="s">
        <v>443</v>
      </c>
      <c r="C19" s="52"/>
      <c r="D19" s="56" t="s">
        <v>458</v>
      </c>
      <c r="E19" s="56"/>
      <c r="F19" s="59" t="s">
        <v>459</v>
      </c>
      <c r="G19" s="51">
        <f t="shared" si="0"/>
        <v>0</v>
      </c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</row>
    <row r="20" s="33" customFormat="1" ht="16.5" hidden="1" customHeight="1" spans="1:38">
      <c r="A20" s="46">
        <v>18</v>
      </c>
      <c r="B20" s="63" t="s">
        <v>443</v>
      </c>
      <c r="C20" s="62"/>
      <c r="D20" s="64" t="s">
        <v>460</v>
      </c>
      <c r="E20" s="64" t="s">
        <v>461</v>
      </c>
      <c r="F20" s="65" t="s">
        <v>462</v>
      </c>
      <c r="G20" s="51">
        <f t="shared" si="0"/>
        <v>0</v>
      </c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</row>
    <row r="21" s="33" customFormat="1" ht="16.5" customHeight="1" spans="1:38">
      <c r="A21" s="46">
        <v>19</v>
      </c>
      <c r="B21" s="58" t="s">
        <v>93</v>
      </c>
      <c r="C21" s="48"/>
      <c r="D21" s="56" t="s">
        <v>463</v>
      </c>
      <c r="E21" s="66"/>
      <c r="F21" s="59"/>
      <c r="G21" s="51">
        <f t="shared" si="0"/>
        <v>16004</v>
      </c>
      <c r="H21" s="51">
        <v>-198564.22</v>
      </c>
      <c r="I21" s="51">
        <v>1766.92000000001</v>
      </c>
      <c r="J21" s="51">
        <v>5.89999999999418</v>
      </c>
      <c r="K21" s="51">
        <v>1199.73000000001</v>
      </c>
      <c r="L21" s="51">
        <v>82.6900000000023</v>
      </c>
      <c r="M21" s="51"/>
      <c r="N21" s="51"/>
      <c r="O21" s="51">
        <v>2399.94</v>
      </c>
      <c r="P21" s="51">
        <v>1545.66999999998</v>
      </c>
      <c r="Q21" s="51">
        <v>5.67</v>
      </c>
      <c r="R21" s="51">
        <v>5.65999999997439</v>
      </c>
      <c r="S21" s="51">
        <v>5.64000000001397</v>
      </c>
      <c r="T21" s="51"/>
      <c r="U21" s="51"/>
      <c r="V21" s="51">
        <v>893.580000000016</v>
      </c>
      <c r="W21" s="51">
        <v>-1809.93000000002</v>
      </c>
      <c r="X21" s="51">
        <v>1.11999999999534</v>
      </c>
      <c r="Y21" s="51">
        <v>100955.12</v>
      </c>
      <c r="Z21" s="51">
        <v>102540.11</v>
      </c>
      <c r="AA21" s="51"/>
      <c r="AB21" s="51"/>
      <c r="AC21" s="51">
        <v>1156.23</v>
      </c>
      <c r="AD21" s="51">
        <v>1.1</v>
      </c>
      <c r="AE21" s="51">
        <v>1.08</v>
      </c>
      <c r="AF21" s="51">
        <v>3.18</v>
      </c>
      <c r="AG21" s="51">
        <v>170.23</v>
      </c>
      <c r="AH21" s="51"/>
      <c r="AI21" s="51"/>
      <c r="AJ21" s="51">
        <v>3231.64999999998</v>
      </c>
      <c r="AK21" s="51">
        <v>147.380000000005</v>
      </c>
      <c r="AL21" s="51">
        <v>259.550000000003</v>
      </c>
    </row>
    <row r="22" s="34" customFormat="1" ht="16.5" customHeight="1" spans="1:38">
      <c r="A22" s="46">
        <v>20</v>
      </c>
      <c r="B22" s="58" t="s">
        <v>93</v>
      </c>
      <c r="C22" s="52"/>
      <c r="D22" s="56" t="s">
        <v>464</v>
      </c>
      <c r="E22" s="56"/>
      <c r="F22" s="57"/>
      <c r="G22" s="51">
        <f t="shared" si="0"/>
        <v>0</v>
      </c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</row>
    <row r="23" s="34" customFormat="1" ht="16.5" customHeight="1" spans="1:38">
      <c r="A23" s="46">
        <v>21</v>
      </c>
      <c r="B23" s="58" t="s">
        <v>93</v>
      </c>
      <c r="C23" s="52"/>
      <c r="D23" s="56"/>
      <c r="E23" s="56"/>
      <c r="F23" s="57"/>
      <c r="G23" s="51">
        <f t="shared" si="0"/>
        <v>0</v>
      </c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</row>
    <row r="24" s="33" customFormat="1" ht="16.5" hidden="1" customHeight="1" spans="1:38">
      <c r="A24" s="46">
        <v>22</v>
      </c>
      <c r="B24" s="58" t="s">
        <v>433</v>
      </c>
      <c r="C24" s="52"/>
      <c r="D24" s="56" t="s">
        <v>465</v>
      </c>
      <c r="E24" s="56" t="s">
        <v>88</v>
      </c>
      <c r="F24" s="57" t="s">
        <v>88</v>
      </c>
      <c r="G24" s="51">
        <f t="shared" si="0"/>
        <v>4869.23000000001</v>
      </c>
      <c r="H24" s="51">
        <v>57.19</v>
      </c>
      <c r="I24" s="51">
        <v>136.779999999999</v>
      </c>
      <c r="J24" s="51"/>
      <c r="K24" s="51">
        <v>95.75</v>
      </c>
      <c r="L24" s="51">
        <v>267.389999999999</v>
      </c>
      <c r="M24" s="51"/>
      <c r="N24" s="51"/>
      <c r="O24" s="51"/>
      <c r="P24" s="51">
        <v>728.610000000001</v>
      </c>
      <c r="Q24" s="51"/>
      <c r="R24" s="51">
        <v>-169</v>
      </c>
      <c r="S24" s="51">
        <v>228.620000000003</v>
      </c>
      <c r="T24" s="51"/>
      <c r="U24" s="51"/>
      <c r="V24" s="51">
        <v>161.720000000001</v>
      </c>
      <c r="W24" s="51">
        <v>277.329999999994</v>
      </c>
      <c r="X24" s="51">
        <v>323.440000000002</v>
      </c>
      <c r="Y24" s="51">
        <v>467.57</v>
      </c>
      <c r="Z24" s="51">
        <v>986.529999999999</v>
      </c>
      <c r="AA24" s="51"/>
      <c r="AB24" s="51"/>
      <c r="AC24" s="51">
        <v>437.020000000004</v>
      </c>
      <c r="AD24" s="51">
        <v>224.989999999998</v>
      </c>
      <c r="AE24" s="51"/>
      <c r="AF24" s="51">
        <v>89.4599999999991</v>
      </c>
      <c r="AG24" s="51"/>
      <c r="AH24" s="51"/>
      <c r="AI24" s="51"/>
      <c r="AJ24" s="51"/>
      <c r="AK24" s="51">
        <v>501.969999999994</v>
      </c>
      <c r="AL24" s="51">
        <v>53.8600000000151</v>
      </c>
    </row>
    <row r="25" s="33" customFormat="1" ht="16.5" customHeight="1" spans="1:38">
      <c r="A25" s="46">
        <v>23</v>
      </c>
      <c r="B25" s="58" t="s">
        <v>93</v>
      </c>
      <c r="C25" s="52"/>
      <c r="D25" s="56" t="s">
        <v>466</v>
      </c>
      <c r="E25" s="56"/>
      <c r="F25" s="59"/>
      <c r="G25" s="51">
        <f t="shared" si="0"/>
        <v>0</v>
      </c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</row>
    <row r="26" s="33" customFormat="1" ht="16.5" customHeight="1" spans="1:38">
      <c r="A26" s="46">
        <v>24</v>
      </c>
      <c r="B26" s="58" t="s">
        <v>93</v>
      </c>
      <c r="C26" s="52"/>
      <c r="D26" s="56" t="s">
        <v>467</v>
      </c>
      <c r="E26" s="56"/>
      <c r="F26" s="59"/>
      <c r="G26" s="51">
        <f t="shared" si="0"/>
        <v>0</v>
      </c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</row>
    <row r="27" s="33" customFormat="1" ht="16.5" customHeight="1" spans="1:38">
      <c r="A27" s="46">
        <v>25</v>
      </c>
      <c r="B27" s="58" t="s">
        <v>93</v>
      </c>
      <c r="C27" s="52"/>
      <c r="D27" s="56" t="s">
        <v>468</v>
      </c>
      <c r="E27" s="56"/>
      <c r="F27" s="59"/>
      <c r="G27" s="51">
        <f t="shared" si="0"/>
        <v>295000</v>
      </c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>
        <v>145000</v>
      </c>
      <c r="AF27" s="51">
        <v>150000</v>
      </c>
      <c r="AG27" s="51"/>
      <c r="AH27" s="51"/>
      <c r="AI27" s="51"/>
      <c r="AJ27" s="51"/>
      <c r="AK27" s="51"/>
      <c r="AL27" s="51"/>
    </row>
    <row r="28" s="33" customFormat="1" ht="16.5" customHeight="1" spans="1:38">
      <c r="A28" s="46">
        <v>26</v>
      </c>
      <c r="B28" s="58" t="s">
        <v>93</v>
      </c>
      <c r="C28" s="52"/>
      <c r="D28" s="56" t="s">
        <v>469</v>
      </c>
      <c r="E28" s="56"/>
      <c r="F28" s="59"/>
      <c r="G28" s="51">
        <f t="shared" si="0"/>
        <v>0</v>
      </c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</row>
    <row r="29" s="33" customFormat="1" ht="16.5" customHeight="1" spans="1:38">
      <c r="A29" s="46">
        <v>27</v>
      </c>
      <c r="B29" s="58" t="s">
        <v>93</v>
      </c>
      <c r="C29" s="52"/>
      <c r="D29" s="56" t="s">
        <v>470</v>
      </c>
      <c r="E29" s="56"/>
      <c r="F29" s="59"/>
      <c r="G29" s="51">
        <f t="shared" si="0"/>
        <v>0</v>
      </c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</row>
    <row r="30" s="33" customFormat="1" ht="16.5" customHeight="1" spans="1:38">
      <c r="A30" s="46">
        <v>28</v>
      </c>
      <c r="B30" s="58" t="s">
        <v>93</v>
      </c>
      <c r="C30" s="52"/>
      <c r="D30" s="56" t="s">
        <v>471</v>
      </c>
      <c r="E30" s="46"/>
      <c r="F30" s="59"/>
      <c r="G30" s="51">
        <f t="shared" si="0"/>
        <v>0</v>
      </c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</row>
    <row r="31" s="33" customFormat="1" ht="16.5" customHeight="1" spans="1:38">
      <c r="A31" s="46">
        <v>29</v>
      </c>
      <c r="B31" s="58" t="s">
        <v>93</v>
      </c>
      <c r="C31" s="52"/>
      <c r="D31" s="56" t="s">
        <v>472</v>
      </c>
      <c r="E31" s="56"/>
      <c r="F31" s="59"/>
      <c r="G31" s="51">
        <f t="shared" si="0"/>
        <v>0</v>
      </c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</row>
    <row r="32" s="33" customFormat="1" ht="16.5" customHeight="1" spans="1:38">
      <c r="A32" s="46">
        <v>30</v>
      </c>
      <c r="B32" s="58" t="s">
        <v>93</v>
      </c>
      <c r="C32" s="52"/>
      <c r="D32" s="56" t="s">
        <v>473</v>
      </c>
      <c r="E32" s="60"/>
      <c r="F32" s="61"/>
      <c r="G32" s="51">
        <f t="shared" si="0"/>
        <v>46610</v>
      </c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>
        <v>46610</v>
      </c>
      <c r="AK32" s="51"/>
      <c r="AL32" s="51"/>
    </row>
    <row r="33" s="33" customFormat="1" ht="16.5" customHeight="1" spans="1:38">
      <c r="A33" s="46">
        <v>31</v>
      </c>
      <c r="B33" s="58" t="s">
        <v>93</v>
      </c>
      <c r="C33" s="52"/>
      <c r="D33" s="56" t="s">
        <v>474</v>
      </c>
      <c r="E33" s="60"/>
      <c r="F33" s="61"/>
      <c r="G33" s="51">
        <f t="shared" si="0"/>
        <v>0</v>
      </c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</row>
    <row r="34" s="33" customFormat="1" ht="16.5" customHeight="1" spans="1:38">
      <c r="A34" s="46">
        <v>32</v>
      </c>
      <c r="B34" s="58" t="s">
        <v>93</v>
      </c>
      <c r="C34" s="52"/>
      <c r="D34" s="56" t="s">
        <v>475</v>
      </c>
      <c r="E34" s="60"/>
      <c r="F34" s="61"/>
      <c r="G34" s="51">
        <f t="shared" si="0"/>
        <v>0</v>
      </c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</row>
    <row r="35" s="33" customFormat="1" ht="16.5" customHeight="1" spans="1:38">
      <c r="A35" s="46">
        <v>33</v>
      </c>
      <c r="B35" s="58" t="s">
        <v>93</v>
      </c>
      <c r="C35" s="52"/>
      <c r="D35" s="56" t="s">
        <v>476</v>
      </c>
      <c r="E35" s="60"/>
      <c r="F35" s="61"/>
      <c r="G35" s="51">
        <f t="shared" si="0"/>
        <v>45</v>
      </c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>
        <v>45</v>
      </c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</row>
    <row r="36" s="33" customFormat="1" ht="16.5" customHeight="1" spans="1:38">
      <c r="A36" s="46">
        <v>34</v>
      </c>
      <c r="B36" s="58" t="s">
        <v>93</v>
      </c>
      <c r="C36" s="52"/>
      <c r="D36" s="56" t="s">
        <v>477</v>
      </c>
      <c r="E36" s="46"/>
      <c r="F36" s="57"/>
      <c r="G36" s="51">
        <f t="shared" si="0"/>
        <v>35237.19</v>
      </c>
      <c r="H36" s="51"/>
      <c r="I36" s="51">
        <v>3000</v>
      </c>
      <c r="J36" s="51">
        <v>33</v>
      </c>
      <c r="K36" s="51"/>
      <c r="L36" s="51">
        <v>89</v>
      </c>
      <c r="M36" s="51"/>
      <c r="N36" s="51"/>
      <c r="O36" s="51">
        <v>300</v>
      </c>
      <c r="P36" s="51">
        <v>1295.17</v>
      </c>
      <c r="Q36" s="51">
        <v>120</v>
      </c>
      <c r="R36" s="67">
        <v>0</v>
      </c>
      <c r="S36" s="51">
        <v>0</v>
      </c>
      <c r="T36" s="51"/>
      <c r="U36" s="51"/>
      <c r="V36" s="51">
        <v>103.4</v>
      </c>
      <c r="W36" s="51">
        <v>5.10000000000218</v>
      </c>
      <c r="X36" s="51">
        <v>125</v>
      </c>
      <c r="Y36" s="51">
        <v>60</v>
      </c>
      <c r="Z36" s="51">
        <v>59.239999999998</v>
      </c>
      <c r="AA36" s="51"/>
      <c r="AB36" s="51"/>
      <c r="AC36" s="51"/>
      <c r="AD36" s="51">
        <v>60</v>
      </c>
      <c r="AE36" s="51">
        <v>5092</v>
      </c>
      <c r="AF36" s="51">
        <v>31.1599999999999</v>
      </c>
      <c r="AG36" s="51">
        <v>-1034.42</v>
      </c>
      <c r="AH36" s="51"/>
      <c r="AI36" s="51"/>
      <c r="AJ36" s="51">
        <v>28613.18</v>
      </c>
      <c r="AK36" s="51">
        <v>-1624.16</v>
      </c>
      <c r="AL36" s="51">
        <v>-1090.48</v>
      </c>
    </row>
    <row r="37" s="33" customFormat="1" ht="16.5" customHeight="1" spans="1:38">
      <c r="A37" s="46">
        <v>35</v>
      </c>
      <c r="B37" s="58" t="s">
        <v>93</v>
      </c>
      <c r="C37" s="52"/>
      <c r="D37" s="56" t="s">
        <v>478</v>
      </c>
      <c r="E37" s="56"/>
      <c r="F37" s="57"/>
      <c r="G37" s="51">
        <f t="shared" si="0"/>
        <v>0</v>
      </c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</row>
    <row r="38" s="33" customFormat="1" ht="16.5" customHeight="1" spans="1:38">
      <c r="A38" s="46">
        <v>36</v>
      </c>
      <c r="B38" s="58" t="s">
        <v>93</v>
      </c>
      <c r="C38" s="52"/>
      <c r="D38" s="56" t="s">
        <v>477</v>
      </c>
      <c r="E38" s="56"/>
      <c r="F38" s="57"/>
      <c r="G38" s="51">
        <f t="shared" si="0"/>
        <v>0</v>
      </c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</row>
    <row r="39" s="33" customFormat="1" ht="16.5" customHeight="1" spans="1:38">
      <c r="A39" s="46">
        <v>37</v>
      </c>
      <c r="B39" s="58" t="s">
        <v>93</v>
      </c>
      <c r="C39" s="52"/>
      <c r="D39" s="56" t="s">
        <v>479</v>
      </c>
      <c r="E39" s="56"/>
      <c r="F39" s="57"/>
      <c r="G39" s="51">
        <f t="shared" si="0"/>
        <v>0</v>
      </c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</row>
    <row r="40" s="33" customFormat="1" ht="16.5" customHeight="1" spans="1:38">
      <c r="A40" s="46">
        <v>38</v>
      </c>
      <c r="B40" s="58" t="s">
        <v>93</v>
      </c>
      <c r="C40" s="52"/>
      <c r="D40" s="56" t="s">
        <v>477</v>
      </c>
      <c r="E40" s="46"/>
      <c r="F40" s="59"/>
      <c r="G40" s="51">
        <f t="shared" si="0"/>
        <v>14952.57</v>
      </c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X40" s="51"/>
      <c r="Y40" s="51"/>
      <c r="Z40" s="51"/>
      <c r="AA40" s="51"/>
      <c r="AB40" s="51"/>
      <c r="AC40" s="51"/>
      <c r="AD40" s="51"/>
      <c r="AE40" s="51"/>
      <c r="AF40" s="51">
        <f>10550.57+4402</f>
        <v>14952.57</v>
      </c>
      <c r="AG40" s="51"/>
      <c r="AH40" s="51"/>
      <c r="AI40" s="51"/>
      <c r="AJ40" s="51"/>
      <c r="AK40" s="51"/>
      <c r="AL40" s="51"/>
    </row>
    <row r="41" s="33" customFormat="1" ht="16.5" customHeight="1" spans="1:38">
      <c r="A41" s="46">
        <v>39</v>
      </c>
      <c r="B41" s="58" t="s">
        <v>93</v>
      </c>
      <c r="C41" s="52"/>
      <c r="D41" s="56" t="s">
        <v>477</v>
      </c>
      <c r="E41" s="46"/>
      <c r="F41" s="59"/>
      <c r="G41" s="51">
        <f t="shared" si="0"/>
        <v>0</v>
      </c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</row>
    <row r="42" s="33" customFormat="1" ht="16.5" customHeight="1" spans="1:38">
      <c r="A42" s="46">
        <v>40</v>
      </c>
      <c r="B42" s="58" t="s">
        <v>93</v>
      </c>
      <c r="C42" s="52"/>
      <c r="D42" s="56" t="s">
        <v>477</v>
      </c>
      <c r="E42" s="46"/>
      <c r="F42" s="59"/>
      <c r="G42" s="51">
        <f t="shared" si="0"/>
        <v>0</v>
      </c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  <c r="AB42" s="51"/>
      <c r="AC42" s="51"/>
      <c r="AD42" s="51"/>
      <c r="AE42" s="51"/>
      <c r="AF42" s="51"/>
      <c r="AG42" s="51"/>
      <c r="AH42" s="51"/>
      <c r="AI42" s="51"/>
      <c r="AJ42" s="51"/>
      <c r="AK42" s="51"/>
      <c r="AL42" s="51"/>
    </row>
    <row r="43" s="33" customFormat="1" ht="16.5" customHeight="1" spans="1:38">
      <c r="A43" s="46">
        <v>41</v>
      </c>
      <c r="B43" s="58" t="s">
        <v>93</v>
      </c>
      <c r="C43" s="52"/>
      <c r="D43" s="56" t="s">
        <v>477</v>
      </c>
      <c r="E43" s="46"/>
      <c r="F43" s="59"/>
      <c r="G43" s="51">
        <f t="shared" si="0"/>
        <v>0</v>
      </c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  <c r="AB43" s="51"/>
      <c r="AC43" s="51"/>
      <c r="AD43" s="51"/>
      <c r="AE43" s="51"/>
      <c r="AF43" s="51"/>
      <c r="AG43" s="51"/>
      <c r="AH43" s="51"/>
      <c r="AI43" s="51"/>
      <c r="AJ43" s="51"/>
      <c r="AK43" s="51"/>
      <c r="AL43" s="51"/>
    </row>
    <row r="44" s="33" customFormat="1" ht="16.5" customHeight="1" spans="1:38">
      <c r="A44" s="46">
        <v>42</v>
      </c>
      <c r="B44" s="58" t="s">
        <v>93</v>
      </c>
      <c r="C44" s="52"/>
      <c r="D44" s="56" t="s">
        <v>477</v>
      </c>
      <c r="E44" s="46"/>
      <c r="F44" s="59"/>
      <c r="G44" s="51">
        <f t="shared" si="0"/>
        <v>0</v>
      </c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  <c r="AB44" s="51"/>
      <c r="AC44" s="51"/>
      <c r="AD44" s="51"/>
      <c r="AE44" s="51"/>
      <c r="AF44" s="51"/>
      <c r="AG44" s="51"/>
      <c r="AH44" s="51"/>
      <c r="AI44" s="51"/>
      <c r="AJ44" s="51"/>
      <c r="AK44" s="51"/>
      <c r="AL44" s="51"/>
    </row>
    <row r="45" s="33" customFormat="1" ht="16.5" customHeight="1" spans="1:38">
      <c r="A45" s="46">
        <v>43</v>
      </c>
      <c r="B45" s="58" t="s">
        <v>93</v>
      </c>
      <c r="C45" s="52"/>
      <c r="D45" s="56" t="s">
        <v>477</v>
      </c>
      <c r="E45" s="46"/>
      <c r="F45" s="59"/>
      <c r="G45" s="51">
        <f t="shared" si="0"/>
        <v>0</v>
      </c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</row>
    <row r="46" s="33" customFormat="1" ht="16.5" customHeight="1" spans="1:38">
      <c r="A46" s="46">
        <v>44</v>
      </c>
      <c r="B46" s="58" t="s">
        <v>93</v>
      </c>
      <c r="C46" s="52"/>
      <c r="D46" s="56" t="s">
        <v>477</v>
      </c>
      <c r="E46" s="46"/>
      <c r="F46" s="59"/>
      <c r="G46" s="51">
        <f t="shared" si="0"/>
        <v>0</v>
      </c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</row>
    <row r="47" s="33" customFormat="1" ht="16.5" customHeight="1" spans="1:38">
      <c r="A47" s="46">
        <v>45</v>
      </c>
      <c r="B47" s="58" t="s">
        <v>93</v>
      </c>
      <c r="C47" s="52"/>
      <c r="D47" s="56" t="s">
        <v>477</v>
      </c>
      <c r="E47" s="46"/>
      <c r="F47" s="59"/>
      <c r="G47" s="51">
        <f t="shared" si="0"/>
        <v>20000</v>
      </c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>
        <v>20000</v>
      </c>
      <c r="S47" s="51"/>
      <c r="T47" s="51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  <c r="AI47" s="51"/>
      <c r="AJ47" s="51"/>
      <c r="AK47" s="51"/>
      <c r="AL47" s="51"/>
    </row>
    <row r="48" s="33" customFormat="1" ht="16.5" customHeight="1" spans="1:38">
      <c r="A48" s="46">
        <v>46</v>
      </c>
      <c r="B48" s="58" t="s">
        <v>93</v>
      </c>
      <c r="C48" s="52"/>
      <c r="D48" s="56" t="s">
        <v>477</v>
      </c>
      <c r="E48" s="46"/>
      <c r="F48" s="59"/>
      <c r="G48" s="51">
        <f t="shared" si="0"/>
        <v>0</v>
      </c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</row>
    <row r="49" s="33" customFormat="1" ht="16.5" customHeight="1" spans="1:38">
      <c r="A49" s="46">
        <v>47</v>
      </c>
      <c r="B49" s="58" t="s">
        <v>93</v>
      </c>
      <c r="C49" s="52"/>
      <c r="D49" s="56" t="s">
        <v>477</v>
      </c>
      <c r="E49" s="46"/>
      <c r="F49" s="59"/>
      <c r="G49" s="51">
        <f t="shared" si="0"/>
        <v>0</v>
      </c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</row>
    <row r="50" s="33" customFormat="1" ht="16.5" customHeight="1" spans="1:38">
      <c r="A50" s="46">
        <v>48</v>
      </c>
      <c r="B50" s="58" t="s">
        <v>93</v>
      </c>
      <c r="C50" s="52"/>
      <c r="D50" s="56" t="s">
        <v>477</v>
      </c>
      <c r="E50" s="46"/>
      <c r="F50" s="59"/>
      <c r="G50" s="51">
        <f t="shared" si="0"/>
        <v>0</v>
      </c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</row>
    <row r="51" s="33" customFormat="1" ht="16.5" customHeight="1" spans="1:38">
      <c r="A51" s="46">
        <v>49</v>
      </c>
      <c r="B51" s="58" t="s">
        <v>93</v>
      </c>
      <c r="C51" s="52"/>
      <c r="D51" s="56" t="s">
        <v>477</v>
      </c>
      <c r="E51" s="46"/>
      <c r="F51" s="59"/>
      <c r="G51" s="51">
        <f t="shared" si="0"/>
        <v>0</v>
      </c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1"/>
      <c r="AF51" s="51"/>
      <c r="AG51" s="51"/>
      <c r="AH51" s="51"/>
      <c r="AI51" s="51"/>
      <c r="AJ51" s="51"/>
      <c r="AK51" s="51"/>
      <c r="AL51" s="51"/>
    </row>
    <row r="52" s="33" customFormat="1" ht="16.5" customHeight="1" spans="1:38">
      <c r="A52" s="46">
        <v>50</v>
      </c>
      <c r="B52" s="58" t="s">
        <v>93</v>
      </c>
      <c r="C52" s="52"/>
      <c r="D52" s="56" t="s">
        <v>477</v>
      </c>
      <c r="E52" s="46"/>
      <c r="F52" s="59"/>
      <c r="G52" s="51">
        <f t="shared" si="0"/>
        <v>0</v>
      </c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1"/>
      <c r="AH52" s="51"/>
      <c r="AI52" s="51"/>
      <c r="AJ52" s="51"/>
      <c r="AK52" s="51"/>
      <c r="AL52" s="51"/>
    </row>
    <row r="53" s="33" customFormat="1" ht="16.5" customHeight="1" spans="1:38">
      <c r="A53" s="46">
        <v>51</v>
      </c>
      <c r="B53" s="58" t="s">
        <v>93</v>
      </c>
      <c r="C53" s="52"/>
      <c r="D53" s="56" t="s">
        <v>477</v>
      </c>
      <c r="E53" s="46"/>
      <c r="F53" s="59"/>
      <c r="G53" s="51">
        <f t="shared" si="0"/>
        <v>0</v>
      </c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</row>
    <row r="54" s="33" customFormat="1" ht="16.5" customHeight="1" spans="1:38">
      <c r="A54" s="46">
        <v>52</v>
      </c>
      <c r="B54" s="58" t="s">
        <v>93</v>
      </c>
      <c r="C54" s="52"/>
      <c r="D54" s="56" t="s">
        <v>477</v>
      </c>
      <c r="E54" s="46"/>
      <c r="F54" s="61"/>
      <c r="G54" s="51">
        <f t="shared" si="0"/>
        <v>0</v>
      </c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</row>
    <row r="55" s="33" customFormat="1" ht="16.5" customHeight="1" spans="1:38">
      <c r="A55" s="46">
        <v>53</v>
      </c>
      <c r="B55" s="58" t="s">
        <v>93</v>
      </c>
      <c r="C55" s="52"/>
      <c r="D55" s="56" t="s">
        <v>477</v>
      </c>
      <c r="E55" s="46"/>
      <c r="F55" s="61"/>
      <c r="G55" s="51">
        <f t="shared" si="0"/>
        <v>0</v>
      </c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</row>
    <row r="56" s="33" customFormat="1" ht="16.5" customHeight="1" spans="1:38">
      <c r="A56" s="46">
        <v>54</v>
      </c>
      <c r="B56" s="58" t="s">
        <v>93</v>
      </c>
      <c r="C56" s="52"/>
      <c r="D56" s="56" t="s">
        <v>477</v>
      </c>
      <c r="E56" s="46"/>
      <c r="F56" s="61"/>
      <c r="G56" s="51">
        <f t="shared" si="0"/>
        <v>0</v>
      </c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</row>
    <row r="57" s="33" customFormat="1" ht="16.5" customHeight="1" spans="1:38">
      <c r="A57" s="46">
        <v>55</v>
      </c>
      <c r="B57" s="58" t="s">
        <v>93</v>
      </c>
      <c r="C57" s="52"/>
      <c r="D57" s="56" t="s">
        <v>477</v>
      </c>
      <c r="E57" s="46"/>
      <c r="F57" s="61"/>
      <c r="G57" s="51">
        <f t="shared" si="0"/>
        <v>0</v>
      </c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  <c r="AB57" s="51"/>
      <c r="AC57" s="51"/>
      <c r="AD57" s="51"/>
      <c r="AE57" s="51"/>
      <c r="AF57" s="51"/>
      <c r="AG57" s="51"/>
      <c r="AH57" s="51"/>
      <c r="AI57" s="51"/>
      <c r="AJ57" s="51"/>
      <c r="AK57" s="51"/>
      <c r="AL57" s="51"/>
    </row>
    <row r="58" s="33" customFormat="1" ht="16.5" customHeight="1" spans="1:38">
      <c r="A58" s="46">
        <v>56</v>
      </c>
      <c r="B58" s="58" t="s">
        <v>93</v>
      </c>
      <c r="C58" s="52"/>
      <c r="D58" s="56" t="s">
        <v>477</v>
      </c>
      <c r="E58" s="46"/>
      <c r="F58" s="61"/>
      <c r="G58" s="51">
        <f t="shared" si="0"/>
        <v>0</v>
      </c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  <c r="AB58" s="51"/>
      <c r="AC58" s="51"/>
      <c r="AD58" s="51"/>
      <c r="AE58" s="51"/>
      <c r="AF58" s="51"/>
      <c r="AG58" s="51"/>
      <c r="AH58" s="51"/>
      <c r="AI58" s="51"/>
      <c r="AJ58" s="51"/>
      <c r="AK58" s="51"/>
      <c r="AL58" s="51"/>
    </row>
    <row r="59" s="33" customFormat="1" ht="16.5" customHeight="1" spans="1:38">
      <c r="A59" s="46">
        <v>57</v>
      </c>
      <c r="B59" s="58" t="s">
        <v>93</v>
      </c>
      <c r="C59" s="52"/>
      <c r="D59" s="56" t="s">
        <v>477</v>
      </c>
      <c r="E59" s="46"/>
      <c r="F59" s="61"/>
      <c r="G59" s="51">
        <f t="shared" si="0"/>
        <v>4500</v>
      </c>
      <c r="H59" s="51"/>
      <c r="I59" s="51"/>
      <c r="J59" s="51"/>
      <c r="K59" s="51"/>
      <c r="L59" s="51"/>
      <c r="M59" s="51"/>
      <c r="N59" s="51"/>
      <c r="O59" s="51"/>
      <c r="P59" s="51">
        <v>4500</v>
      </c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</row>
    <row r="60" s="33" customFormat="1" ht="16.5" customHeight="1" spans="1:38">
      <c r="A60" s="46">
        <v>58</v>
      </c>
      <c r="B60" s="58" t="s">
        <v>93</v>
      </c>
      <c r="C60" s="52"/>
      <c r="D60" s="56" t="s">
        <v>477</v>
      </c>
      <c r="E60" s="46"/>
      <c r="F60" s="61"/>
      <c r="G60" s="51">
        <f t="shared" si="0"/>
        <v>0</v>
      </c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</row>
    <row r="61" s="33" customFormat="1" ht="16.5" customHeight="1" spans="1:38">
      <c r="A61" s="46">
        <v>59</v>
      </c>
      <c r="B61" s="58" t="s">
        <v>93</v>
      </c>
      <c r="C61" s="52"/>
      <c r="D61" s="56" t="s">
        <v>477</v>
      </c>
      <c r="E61" s="46"/>
      <c r="F61" s="61"/>
      <c r="G61" s="51">
        <f t="shared" si="0"/>
        <v>0</v>
      </c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</row>
    <row r="62" s="33" customFormat="1" ht="16.5" customHeight="1" spans="1:38">
      <c r="A62" s="46">
        <v>60</v>
      </c>
      <c r="B62" s="58" t="s">
        <v>93</v>
      </c>
      <c r="C62" s="52"/>
      <c r="D62" s="56" t="s">
        <v>477</v>
      </c>
      <c r="E62" s="46"/>
      <c r="F62" s="61"/>
      <c r="G62" s="51">
        <f t="shared" si="0"/>
        <v>0</v>
      </c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</row>
    <row r="63" s="33" customFormat="1" ht="16.5" customHeight="1" spans="1:38">
      <c r="A63" s="46">
        <v>61</v>
      </c>
      <c r="B63" s="58" t="s">
        <v>93</v>
      </c>
      <c r="C63" s="52"/>
      <c r="D63" s="56" t="s">
        <v>477</v>
      </c>
      <c r="E63" s="46"/>
      <c r="F63" s="61"/>
      <c r="G63" s="51">
        <f t="shared" si="0"/>
        <v>0</v>
      </c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</row>
    <row r="64" s="33" customFormat="1" ht="16.5" customHeight="1" spans="1:38">
      <c r="A64" s="46">
        <v>62</v>
      </c>
      <c r="B64" s="58" t="s">
        <v>93</v>
      </c>
      <c r="C64" s="52"/>
      <c r="D64" s="56" t="s">
        <v>477</v>
      </c>
      <c r="E64" s="46"/>
      <c r="F64" s="61"/>
      <c r="G64" s="51">
        <f t="shared" si="0"/>
        <v>0</v>
      </c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  <c r="AB64" s="51"/>
      <c r="AC64" s="51"/>
      <c r="AD64" s="51"/>
      <c r="AE64" s="51"/>
      <c r="AF64" s="51"/>
      <c r="AG64" s="51"/>
      <c r="AH64" s="51"/>
      <c r="AI64" s="51"/>
      <c r="AJ64" s="51"/>
      <c r="AK64" s="51"/>
      <c r="AL64" s="51"/>
    </row>
    <row r="65" s="33" customFormat="1" ht="16.5" customHeight="1" spans="1:38">
      <c r="A65" s="46">
        <v>63</v>
      </c>
      <c r="B65" s="58" t="s">
        <v>93</v>
      </c>
      <c r="C65" s="52"/>
      <c r="D65" s="56" t="s">
        <v>477</v>
      </c>
      <c r="E65" s="46"/>
      <c r="F65" s="61"/>
      <c r="G65" s="51">
        <f t="shared" si="0"/>
        <v>0</v>
      </c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  <c r="AB65" s="51"/>
      <c r="AC65" s="51"/>
      <c r="AD65" s="51"/>
      <c r="AE65" s="51"/>
      <c r="AF65" s="51"/>
      <c r="AG65" s="51"/>
      <c r="AH65" s="51"/>
      <c r="AI65" s="51"/>
      <c r="AJ65" s="51"/>
      <c r="AK65" s="51"/>
      <c r="AL65" s="51"/>
    </row>
    <row r="66" s="33" customFormat="1" ht="16.5" customHeight="1" spans="1:38">
      <c r="A66" s="46">
        <v>64</v>
      </c>
      <c r="B66" s="58" t="s">
        <v>93</v>
      </c>
      <c r="C66" s="52"/>
      <c r="D66" s="56" t="s">
        <v>477</v>
      </c>
      <c r="E66" s="46"/>
      <c r="F66" s="61"/>
      <c r="G66" s="51">
        <f t="shared" si="0"/>
        <v>0</v>
      </c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  <c r="AB66" s="51"/>
      <c r="AC66" s="51"/>
      <c r="AD66" s="51"/>
      <c r="AE66" s="51"/>
      <c r="AF66" s="51"/>
      <c r="AG66" s="51"/>
      <c r="AH66" s="51"/>
      <c r="AI66" s="51"/>
      <c r="AJ66" s="51"/>
      <c r="AK66" s="51"/>
      <c r="AL66" s="51"/>
    </row>
    <row r="67" s="33" customFormat="1" ht="16.5" customHeight="1" spans="1:38">
      <c r="A67" s="46">
        <v>65</v>
      </c>
      <c r="B67" s="58" t="s">
        <v>93</v>
      </c>
      <c r="C67" s="52"/>
      <c r="D67" s="56" t="s">
        <v>477</v>
      </c>
      <c r="E67" s="46"/>
      <c r="F67" s="61"/>
      <c r="G67" s="51">
        <f t="shared" si="0"/>
        <v>0</v>
      </c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  <c r="AB67" s="51"/>
      <c r="AC67" s="51"/>
      <c r="AD67" s="51"/>
      <c r="AE67" s="51"/>
      <c r="AF67" s="51"/>
      <c r="AG67" s="51"/>
      <c r="AH67" s="51"/>
      <c r="AI67" s="51"/>
      <c r="AJ67" s="51"/>
      <c r="AK67" s="51"/>
      <c r="AL67" s="51"/>
    </row>
    <row r="68" s="33" customFormat="1" ht="16.5" customHeight="1" spans="1:38">
      <c r="A68" s="46">
        <v>66</v>
      </c>
      <c r="B68" s="58" t="s">
        <v>93</v>
      </c>
      <c r="C68" s="52"/>
      <c r="D68" s="56" t="s">
        <v>477</v>
      </c>
      <c r="E68" s="46"/>
      <c r="F68" s="61"/>
      <c r="G68" s="51">
        <f t="shared" ref="G68:G132" si="1">SUM(H68:AL68)</f>
        <v>0</v>
      </c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  <c r="AB68" s="51"/>
      <c r="AC68" s="51"/>
      <c r="AD68" s="51"/>
      <c r="AE68" s="51"/>
      <c r="AF68" s="51"/>
      <c r="AG68" s="51"/>
      <c r="AH68" s="51"/>
      <c r="AI68" s="51"/>
      <c r="AJ68" s="51"/>
      <c r="AK68" s="51"/>
      <c r="AL68" s="51"/>
    </row>
    <row r="69" s="33" customFormat="1" ht="16.5" customHeight="1" spans="1:38">
      <c r="A69" s="46">
        <v>67</v>
      </c>
      <c r="B69" s="58" t="s">
        <v>93</v>
      </c>
      <c r="C69" s="52"/>
      <c r="D69" s="56" t="s">
        <v>477</v>
      </c>
      <c r="E69" s="46"/>
      <c r="F69" s="61"/>
      <c r="G69" s="51">
        <f t="shared" si="1"/>
        <v>0</v>
      </c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</row>
    <row r="70" s="33" customFormat="1" ht="16.5" customHeight="1" spans="1:38">
      <c r="A70" s="46">
        <v>68</v>
      </c>
      <c r="B70" s="58" t="s">
        <v>93</v>
      </c>
      <c r="C70" s="52"/>
      <c r="D70" s="56" t="s">
        <v>477</v>
      </c>
      <c r="E70" s="46"/>
      <c r="F70" s="61"/>
      <c r="G70" s="51">
        <f t="shared" si="1"/>
        <v>0</v>
      </c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  <c r="AB70" s="51"/>
      <c r="AC70" s="51"/>
      <c r="AD70" s="51"/>
      <c r="AE70" s="51"/>
      <c r="AF70" s="51"/>
      <c r="AG70" s="51"/>
      <c r="AH70" s="51"/>
      <c r="AI70" s="51"/>
      <c r="AJ70" s="51"/>
      <c r="AK70" s="51"/>
      <c r="AL70" s="51"/>
    </row>
    <row r="71" s="33" customFormat="1" ht="16.5" customHeight="1" spans="1:38">
      <c r="A71" s="46">
        <v>69</v>
      </c>
      <c r="B71" s="58" t="s">
        <v>93</v>
      </c>
      <c r="C71" s="52"/>
      <c r="D71" s="56" t="s">
        <v>477</v>
      </c>
      <c r="E71" s="46"/>
      <c r="F71" s="61"/>
      <c r="G71" s="51">
        <f t="shared" si="1"/>
        <v>0</v>
      </c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  <c r="AB71" s="51"/>
      <c r="AC71" s="51"/>
      <c r="AD71" s="51"/>
      <c r="AE71" s="51"/>
      <c r="AF71" s="51"/>
      <c r="AG71" s="51"/>
      <c r="AH71" s="51"/>
      <c r="AI71" s="51"/>
      <c r="AJ71" s="51"/>
      <c r="AK71" s="51"/>
      <c r="AL71" s="51"/>
    </row>
    <row r="72" s="33" customFormat="1" ht="16.5" customHeight="1" spans="1:38">
      <c r="A72" s="46">
        <v>70</v>
      </c>
      <c r="B72" s="58" t="s">
        <v>93</v>
      </c>
      <c r="C72" s="52"/>
      <c r="D72" s="56" t="s">
        <v>477</v>
      </c>
      <c r="E72" s="46"/>
      <c r="F72" s="61"/>
      <c r="G72" s="51">
        <f t="shared" si="1"/>
        <v>0</v>
      </c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</row>
    <row r="73" s="33" customFormat="1" ht="16.5" customHeight="1" spans="1:38">
      <c r="A73" s="46">
        <v>71</v>
      </c>
      <c r="B73" s="58" t="s">
        <v>93</v>
      </c>
      <c r="C73" s="52"/>
      <c r="D73" s="56" t="s">
        <v>477</v>
      </c>
      <c r="E73" s="46"/>
      <c r="F73" s="61"/>
      <c r="G73" s="51">
        <f t="shared" si="1"/>
        <v>0</v>
      </c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  <c r="AB73" s="51"/>
      <c r="AC73" s="51"/>
      <c r="AD73" s="51"/>
      <c r="AE73" s="51"/>
      <c r="AF73" s="51"/>
      <c r="AG73" s="51"/>
      <c r="AH73" s="51"/>
      <c r="AI73" s="51"/>
      <c r="AJ73" s="51"/>
      <c r="AK73" s="51"/>
      <c r="AL73" s="51"/>
    </row>
    <row r="74" s="33" customFormat="1" ht="16.5" customHeight="1" spans="1:38">
      <c r="A74" s="46">
        <v>72</v>
      </c>
      <c r="B74" s="58" t="s">
        <v>93</v>
      </c>
      <c r="C74" s="52"/>
      <c r="D74" s="56" t="s">
        <v>477</v>
      </c>
      <c r="E74" s="46"/>
      <c r="F74" s="61"/>
      <c r="G74" s="51">
        <f t="shared" si="1"/>
        <v>0</v>
      </c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51"/>
      <c r="AL74" s="51"/>
    </row>
    <row r="75" s="33" customFormat="1" ht="16.5" customHeight="1" spans="1:38">
      <c r="A75" s="46">
        <v>73</v>
      </c>
      <c r="B75" s="58" t="s">
        <v>93</v>
      </c>
      <c r="C75" s="52"/>
      <c r="D75" s="56" t="s">
        <v>477</v>
      </c>
      <c r="E75" s="46"/>
      <c r="F75" s="61"/>
      <c r="G75" s="51">
        <f t="shared" si="1"/>
        <v>0</v>
      </c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</row>
    <row r="76" s="33" customFormat="1" ht="16.5" customHeight="1" spans="1:38">
      <c r="A76" s="46">
        <v>74</v>
      </c>
      <c r="B76" s="58" t="s">
        <v>93</v>
      </c>
      <c r="C76" s="52"/>
      <c r="D76" s="56" t="s">
        <v>477</v>
      </c>
      <c r="E76" s="46"/>
      <c r="F76" s="61"/>
      <c r="G76" s="51">
        <f t="shared" si="1"/>
        <v>25.2</v>
      </c>
      <c r="H76" s="51"/>
      <c r="I76" s="51"/>
      <c r="J76" s="51">
        <v>25.2</v>
      </c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</row>
    <row r="77" s="33" customFormat="1" ht="16.5" customHeight="1" spans="1:38">
      <c r="A77" s="46">
        <v>75</v>
      </c>
      <c r="B77" s="58" t="s">
        <v>93</v>
      </c>
      <c r="C77" s="52"/>
      <c r="D77" s="56" t="s">
        <v>477</v>
      </c>
      <c r="E77" s="46"/>
      <c r="F77" s="61"/>
      <c r="G77" s="51">
        <f t="shared" si="1"/>
        <v>0</v>
      </c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  <c r="AB77" s="51"/>
      <c r="AC77" s="51"/>
      <c r="AD77" s="51"/>
      <c r="AE77" s="51"/>
      <c r="AF77" s="51"/>
      <c r="AG77" s="51"/>
      <c r="AH77" s="51"/>
      <c r="AI77" s="51"/>
      <c r="AJ77" s="51"/>
      <c r="AK77" s="51"/>
      <c r="AL77" s="51"/>
    </row>
    <row r="78" s="33" customFormat="1" ht="16.5" customHeight="1" spans="1:38">
      <c r="A78" s="46">
        <v>76</v>
      </c>
      <c r="B78" s="58" t="s">
        <v>93</v>
      </c>
      <c r="C78" s="52"/>
      <c r="D78" s="56" t="s">
        <v>477</v>
      </c>
      <c r="E78" s="46"/>
      <c r="F78" s="61"/>
      <c r="G78" s="51">
        <f t="shared" si="1"/>
        <v>0</v>
      </c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  <c r="AB78" s="51"/>
      <c r="AC78" s="51"/>
      <c r="AD78" s="51"/>
      <c r="AE78" s="51"/>
      <c r="AF78" s="51"/>
      <c r="AG78" s="51"/>
      <c r="AH78" s="51"/>
      <c r="AI78" s="51"/>
      <c r="AJ78" s="51"/>
      <c r="AK78" s="51"/>
      <c r="AL78" s="51"/>
    </row>
    <row r="79" s="33" customFormat="1" ht="16.5" customHeight="1" spans="1:38">
      <c r="A79" s="46">
        <v>77</v>
      </c>
      <c r="B79" s="58" t="s">
        <v>93</v>
      </c>
      <c r="C79" s="52"/>
      <c r="D79" s="56" t="s">
        <v>477</v>
      </c>
      <c r="E79" s="46"/>
      <c r="F79" s="61"/>
      <c r="G79" s="51">
        <f t="shared" si="1"/>
        <v>0</v>
      </c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</row>
    <row r="80" s="33" customFormat="1" ht="16.5" customHeight="1" spans="1:38">
      <c r="A80" s="46">
        <v>78</v>
      </c>
      <c r="B80" s="58" t="s">
        <v>93</v>
      </c>
      <c r="C80" s="52"/>
      <c r="D80" s="56" t="s">
        <v>477</v>
      </c>
      <c r="E80" s="46"/>
      <c r="F80" s="61"/>
      <c r="G80" s="51">
        <f t="shared" si="1"/>
        <v>0</v>
      </c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  <c r="AB80" s="51"/>
      <c r="AC80" s="51"/>
      <c r="AD80" s="51"/>
      <c r="AE80" s="51"/>
      <c r="AF80" s="51"/>
      <c r="AG80" s="51"/>
      <c r="AH80" s="51"/>
      <c r="AI80" s="51"/>
      <c r="AJ80" s="51"/>
      <c r="AK80" s="51"/>
      <c r="AL80" s="51"/>
    </row>
    <row r="81" s="33" customFormat="1" ht="16.5" customHeight="1" spans="1:38">
      <c r="A81" s="46">
        <v>79</v>
      </c>
      <c r="B81" s="58" t="s">
        <v>93</v>
      </c>
      <c r="C81" s="52"/>
      <c r="D81" s="56" t="s">
        <v>477</v>
      </c>
      <c r="E81" s="46"/>
      <c r="F81" s="61"/>
      <c r="G81" s="51">
        <f t="shared" si="1"/>
        <v>0</v>
      </c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</row>
    <row r="82" s="33" customFormat="1" ht="16.5" customHeight="1" spans="1:38">
      <c r="A82" s="46">
        <v>80</v>
      </c>
      <c r="B82" s="58" t="s">
        <v>93</v>
      </c>
      <c r="C82" s="52"/>
      <c r="D82" s="56" t="s">
        <v>477</v>
      </c>
      <c r="E82" s="46"/>
      <c r="F82" s="69"/>
      <c r="G82" s="51">
        <f t="shared" si="1"/>
        <v>0</v>
      </c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  <c r="AB82" s="51"/>
      <c r="AC82" s="51"/>
      <c r="AD82" s="51"/>
      <c r="AE82" s="51"/>
      <c r="AF82" s="51"/>
      <c r="AG82" s="51"/>
      <c r="AH82" s="51"/>
      <c r="AI82" s="51"/>
      <c r="AJ82" s="51"/>
      <c r="AK82" s="51"/>
      <c r="AL82" s="51"/>
    </row>
    <row r="83" s="33" customFormat="1" ht="16.5" customHeight="1" spans="1:38">
      <c r="A83" s="46">
        <v>81</v>
      </c>
      <c r="B83" s="58" t="s">
        <v>93</v>
      </c>
      <c r="C83" s="52"/>
      <c r="D83" s="56" t="s">
        <v>477</v>
      </c>
      <c r="E83" s="46"/>
      <c r="F83" s="69"/>
      <c r="G83" s="51">
        <f t="shared" si="1"/>
        <v>0</v>
      </c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  <c r="AB83" s="51"/>
      <c r="AC83" s="51"/>
      <c r="AD83" s="51"/>
      <c r="AE83" s="51"/>
      <c r="AF83" s="51"/>
      <c r="AG83" s="51"/>
      <c r="AH83" s="51"/>
      <c r="AI83" s="51"/>
      <c r="AJ83" s="51"/>
      <c r="AK83" s="51"/>
      <c r="AL83" s="51"/>
    </row>
    <row r="84" s="33" customFormat="1" ht="16.5" customHeight="1" spans="1:38">
      <c r="A84" s="46">
        <v>82</v>
      </c>
      <c r="B84" s="58" t="s">
        <v>93</v>
      </c>
      <c r="C84" s="52"/>
      <c r="D84" s="56" t="s">
        <v>477</v>
      </c>
      <c r="E84" s="46"/>
      <c r="F84" s="69"/>
      <c r="G84" s="51">
        <f t="shared" si="1"/>
        <v>0</v>
      </c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  <c r="AB84" s="51"/>
      <c r="AC84" s="51"/>
      <c r="AD84" s="51"/>
      <c r="AE84" s="51"/>
      <c r="AF84" s="51"/>
      <c r="AG84" s="51"/>
      <c r="AH84" s="51"/>
      <c r="AI84" s="51"/>
      <c r="AJ84" s="51"/>
      <c r="AK84" s="51"/>
      <c r="AL84" s="51"/>
    </row>
    <row r="85" s="33" customFormat="1" ht="16.5" customHeight="1" spans="1:38">
      <c r="A85" s="46">
        <v>83</v>
      </c>
      <c r="B85" s="58" t="s">
        <v>93</v>
      </c>
      <c r="C85" s="52"/>
      <c r="D85" s="56" t="s">
        <v>477</v>
      </c>
      <c r="E85" s="46"/>
      <c r="F85" s="69"/>
      <c r="G85" s="51">
        <f t="shared" si="1"/>
        <v>0</v>
      </c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51"/>
      <c r="AI85" s="51"/>
      <c r="AJ85" s="51"/>
      <c r="AK85" s="51"/>
      <c r="AL85" s="51"/>
    </row>
    <row r="86" s="33" customFormat="1" ht="16.5" customHeight="1" spans="1:38">
      <c r="A86" s="46">
        <v>84</v>
      </c>
      <c r="B86" s="58" t="s">
        <v>93</v>
      </c>
      <c r="C86" s="52"/>
      <c r="D86" s="56" t="s">
        <v>477</v>
      </c>
      <c r="E86" s="46"/>
      <c r="F86" s="69"/>
      <c r="G86" s="51">
        <f t="shared" si="1"/>
        <v>0</v>
      </c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51"/>
      <c r="AI86" s="51"/>
      <c r="AJ86" s="51"/>
      <c r="AK86" s="51"/>
      <c r="AL86" s="51"/>
    </row>
    <row r="87" s="33" customFormat="1" ht="16.5" customHeight="1" spans="1:38">
      <c r="A87" s="46">
        <v>85</v>
      </c>
      <c r="B87" s="58" t="s">
        <v>93</v>
      </c>
      <c r="C87" s="52"/>
      <c r="D87" s="56" t="s">
        <v>477</v>
      </c>
      <c r="E87" s="46"/>
      <c r="F87" s="69"/>
      <c r="G87" s="51">
        <f t="shared" si="1"/>
        <v>0</v>
      </c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  <c r="AB87" s="51"/>
      <c r="AC87" s="51"/>
      <c r="AD87" s="51"/>
      <c r="AE87" s="51"/>
      <c r="AF87" s="51"/>
      <c r="AG87" s="51"/>
      <c r="AH87" s="51"/>
      <c r="AI87" s="51"/>
      <c r="AJ87" s="51"/>
      <c r="AK87" s="51"/>
      <c r="AL87" s="51"/>
    </row>
    <row r="88" s="33" customFormat="1" ht="16.5" customHeight="1" spans="1:38">
      <c r="A88" s="46">
        <v>86</v>
      </c>
      <c r="B88" s="58" t="s">
        <v>93</v>
      </c>
      <c r="C88" s="52"/>
      <c r="D88" s="56" t="s">
        <v>477</v>
      </c>
      <c r="E88" s="46"/>
      <c r="F88" s="69"/>
      <c r="G88" s="51">
        <f t="shared" si="1"/>
        <v>0</v>
      </c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51"/>
      <c r="AG88" s="51"/>
      <c r="AH88" s="51"/>
      <c r="AI88" s="51"/>
      <c r="AJ88" s="51"/>
      <c r="AK88" s="51"/>
      <c r="AL88" s="51"/>
    </row>
    <row r="89" s="33" customFormat="1" ht="16.5" customHeight="1" spans="1:38">
      <c r="A89" s="46">
        <v>87</v>
      </c>
      <c r="B89" s="58" t="s">
        <v>93</v>
      </c>
      <c r="C89" s="52"/>
      <c r="D89" s="56" t="s">
        <v>480</v>
      </c>
      <c r="E89" s="70"/>
      <c r="F89" s="69"/>
      <c r="G89" s="51">
        <f t="shared" si="1"/>
        <v>0</v>
      </c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  <c r="AB89" s="51"/>
      <c r="AC89" s="51"/>
      <c r="AD89" s="51"/>
      <c r="AE89" s="51"/>
      <c r="AF89" s="51"/>
      <c r="AG89" s="51"/>
      <c r="AH89" s="51"/>
      <c r="AI89" s="51"/>
      <c r="AJ89" s="51"/>
      <c r="AK89" s="51"/>
      <c r="AL89" s="51"/>
    </row>
    <row r="90" s="33" customFormat="1" ht="16.5" customHeight="1" spans="1:38">
      <c r="A90" s="46">
        <v>88</v>
      </c>
      <c r="B90" s="58" t="s">
        <v>93</v>
      </c>
      <c r="C90" s="52"/>
      <c r="D90" s="56" t="s">
        <v>477</v>
      </c>
      <c r="E90" s="46"/>
      <c r="F90" s="69"/>
      <c r="G90" s="51">
        <f t="shared" si="1"/>
        <v>0</v>
      </c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51"/>
      <c r="AI90" s="51"/>
      <c r="AJ90" s="51"/>
      <c r="AK90" s="51"/>
      <c r="AL90" s="51"/>
    </row>
    <row r="91" s="33" customFormat="1" ht="16.5" customHeight="1" spans="1:38">
      <c r="A91" s="46">
        <v>89</v>
      </c>
      <c r="B91" s="58" t="s">
        <v>93</v>
      </c>
      <c r="C91" s="52"/>
      <c r="D91" s="56" t="s">
        <v>477</v>
      </c>
      <c r="E91" s="46"/>
      <c r="F91" s="69"/>
      <c r="G91" s="51">
        <f t="shared" si="1"/>
        <v>0</v>
      </c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  <c r="AB91" s="51"/>
      <c r="AC91" s="51"/>
      <c r="AD91" s="51"/>
      <c r="AE91" s="51"/>
      <c r="AF91" s="51"/>
      <c r="AG91" s="51"/>
      <c r="AH91" s="51"/>
      <c r="AI91" s="51"/>
      <c r="AJ91" s="51"/>
      <c r="AK91" s="51"/>
      <c r="AL91" s="51"/>
    </row>
    <row r="92" s="33" customFormat="1" ht="16.5" customHeight="1" spans="1:38">
      <c r="A92" s="46">
        <v>90</v>
      </c>
      <c r="B92" s="58" t="s">
        <v>93</v>
      </c>
      <c r="C92" s="52"/>
      <c r="D92" s="56" t="s">
        <v>477</v>
      </c>
      <c r="E92" s="46"/>
      <c r="F92" s="69"/>
      <c r="G92" s="51">
        <f t="shared" si="1"/>
        <v>0</v>
      </c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  <c r="AB92" s="51"/>
      <c r="AC92" s="51"/>
      <c r="AD92" s="51"/>
      <c r="AE92" s="51"/>
      <c r="AF92" s="51"/>
      <c r="AG92" s="51"/>
      <c r="AH92" s="51"/>
      <c r="AI92" s="51"/>
      <c r="AJ92" s="51"/>
      <c r="AK92" s="51"/>
      <c r="AL92" s="51"/>
    </row>
    <row r="93" s="33" customFormat="1" ht="16.5" customHeight="1" spans="1:38">
      <c r="A93" s="46">
        <v>91</v>
      </c>
      <c r="B93" s="58" t="s">
        <v>93</v>
      </c>
      <c r="C93" s="52"/>
      <c r="D93" s="56" t="s">
        <v>477</v>
      </c>
      <c r="E93" s="46"/>
      <c r="F93" s="69"/>
      <c r="G93" s="51">
        <f t="shared" si="1"/>
        <v>0</v>
      </c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</row>
    <row r="94" s="33" customFormat="1" ht="16.5" customHeight="1" spans="1:38">
      <c r="A94" s="46">
        <v>92</v>
      </c>
      <c r="B94" s="58" t="s">
        <v>93</v>
      </c>
      <c r="C94" s="52"/>
      <c r="D94" s="56" t="s">
        <v>477</v>
      </c>
      <c r="E94" s="46"/>
      <c r="F94" s="69"/>
      <c r="G94" s="51">
        <f t="shared" si="1"/>
        <v>0</v>
      </c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51"/>
      <c r="AL94" s="51"/>
    </row>
    <row r="95" s="33" customFormat="1" ht="16.5" customHeight="1" spans="1:38">
      <c r="A95" s="46">
        <v>93</v>
      </c>
      <c r="B95" s="58" t="s">
        <v>93</v>
      </c>
      <c r="C95" s="52"/>
      <c r="D95" s="56" t="s">
        <v>477</v>
      </c>
      <c r="E95" s="46"/>
      <c r="F95" s="69"/>
      <c r="G95" s="51">
        <f t="shared" si="1"/>
        <v>0</v>
      </c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  <c r="AB95" s="51"/>
      <c r="AC95" s="51"/>
      <c r="AD95" s="51"/>
      <c r="AE95" s="51"/>
      <c r="AF95" s="51"/>
      <c r="AG95" s="51"/>
      <c r="AH95" s="51"/>
      <c r="AI95" s="51"/>
      <c r="AJ95" s="51"/>
      <c r="AK95" s="51"/>
      <c r="AL95" s="51"/>
    </row>
    <row r="96" s="33" customFormat="1" ht="16.5" customHeight="1" spans="1:38">
      <c r="A96" s="46">
        <v>94</v>
      </c>
      <c r="B96" s="58" t="s">
        <v>93</v>
      </c>
      <c r="C96" s="52"/>
      <c r="D96" s="56" t="s">
        <v>477</v>
      </c>
      <c r="E96" s="46"/>
      <c r="F96" s="69"/>
      <c r="G96" s="51">
        <f t="shared" si="1"/>
        <v>0</v>
      </c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  <c r="AB96" s="51"/>
      <c r="AC96" s="51"/>
      <c r="AD96" s="51"/>
      <c r="AE96" s="51"/>
      <c r="AF96" s="51"/>
      <c r="AG96" s="51"/>
      <c r="AH96" s="51"/>
      <c r="AI96" s="51"/>
      <c r="AJ96" s="51"/>
      <c r="AK96" s="51"/>
      <c r="AL96" s="51"/>
    </row>
    <row r="97" s="33" customFormat="1" ht="16.5" customHeight="1" spans="1:38">
      <c r="A97" s="46">
        <v>95</v>
      </c>
      <c r="B97" s="58" t="s">
        <v>93</v>
      </c>
      <c r="C97" s="52"/>
      <c r="D97" s="56" t="s">
        <v>477</v>
      </c>
      <c r="E97" s="46"/>
      <c r="F97" s="69"/>
      <c r="G97" s="51">
        <f t="shared" si="1"/>
        <v>0</v>
      </c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</row>
    <row r="98" s="33" customFormat="1" ht="16.5" customHeight="1" spans="1:38">
      <c r="A98" s="46">
        <v>96</v>
      </c>
      <c r="B98" s="58" t="s">
        <v>93</v>
      </c>
      <c r="C98" s="52"/>
      <c r="D98" s="56" t="s">
        <v>477</v>
      </c>
      <c r="E98" s="46"/>
      <c r="F98" s="69"/>
      <c r="G98" s="51">
        <f t="shared" si="1"/>
        <v>0</v>
      </c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</row>
    <row r="99" s="33" customFormat="1" ht="16.5" customHeight="1" spans="1:38">
      <c r="A99" s="46">
        <v>97</v>
      </c>
      <c r="B99" s="58" t="s">
        <v>93</v>
      </c>
      <c r="C99" s="52"/>
      <c r="D99" s="56" t="s">
        <v>477</v>
      </c>
      <c r="E99" s="46"/>
      <c r="F99" s="69"/>
      <c r="G99" s="51">
        <f t="shared" si="1"/>
        <v>0</v>
      </c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  <c r="AB99" s="51"/>
      <c r="AC99" s="51"/>
      <c r="AD99" s="51"/>
      <c r="AE99" s="51"/>
      <c r="AF99" s="51"/>
      <c r="AG99" s="51"/>
      <c r="AH99" s="51"/>
      <c r="AI99" s="51"/>
      <c r="AJ99" s="51"/>
      <c r="AK99" s="51"/>
      <c r="AL99" s="51"/>
    </row>
    <row r="100" s="33" customFormat="1" ht="16.5" customHeight="1" spans="1:38">
      <c r="A100" s="46">
        <v>98</v>
      </c>
      <c r="B100" s="58" t="s">
        <v>93</v>
      </c>
      <c r="C100" s="52"/>
      <c r="D100" s="56" t="s">
        <v>477</v>
      </c>
      <c r="E100" s="46"/>
      <c r="F100" s="69"/>
      <c r="G100" s="51">
        <f t="shared" si="1"/>
        <v>0</v>
      </c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</row>
    <row r="101" s="33" customFormat="1" ht="16.5" customHeight="1" spans="1:38">
      <c r="A101" s="46">
        <v>99</v>
      </c>
      <c r="B101" s="58" t="s">
        <v>93</v>
      </c>
      <c r="C101" s="52"/>
      <c r="D101" s="56" t="s">
        <v>477</v>
      </c>
      <c r="E101" s="46"/>
      <c r="F101" s="69"/>
      <c r="G101" s="51">
        <f t="shared" si="1"/>
        <v>0</v>
      </c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</row>
    <row r="102" s="33" customFormat="1" ht="16.5" customHeight="1" spans="1:38">
      <c r="A102" s="46">
        <v>100</v>
      </c>
      <c r="B102" s="58" t="s">
        <v>93</v>
      </c>
      <c r="C102" s="52"/>
      <c r="D102" s="56" t="s">
        <v>477</v>
      </c>
      <c r="E102" s="46"/>
      <c r="F102" s="69"/>
      <c r="G102" s="51">
        <f t="shared" si="1"/>
        <v>0</v>
      </c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  <c r="AB102" s="51"/>
      <c r="AC102" s="51"/>
      <c r="AD102" s="51"/>
      <c r="AE102" s="51"/>
      <c r="AF102" s="51"/>
      <c r="AG102" s="51"/>
      <c r="AH102" s="51"/>
      <c r="AI102" s="51"/>
      <c r="AJ102" s="51"/>
      <c r="AK102" s="51"/>
      <c r="AL102" s="51"/>
    </row>
    <row r="103" s="33" customFormat="1" ht="16.5" customHeight="1" spans="1:38">
      <c r="A103" s="46">
        <v>101</v>
      </c>
      <c r="B103" s="63" t="s">
        <v>93</v>
      </c>
      <c r="C103" s="52"/>
      <c r="D103" s="64" t="s">
        <v>477</v>
      </c>
      <c r="E103" s="48"/>
      <c r="F103" s="69"/>
      <c r="G103" s="51">
        <f t="shared" si="1"/>
        <v>0</v>
      </c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  <c r="AB103" s="51"/>
      <c r="AC103" s="51"/>
      <c r="AD103" s="51"/>
      <c r="AE103" s="51"/>
      <c r="AF103" s="51"/>
      <c r="AG103" s="51"/>
      <c r="AH103" s="51"/>
      <c r="AI103" s="51"/>
      <c r="AJ103" s="51"/>
      <c r="AK103" s="51"/>
      <c r="AL103" s="51"/>
    </row>
    <row r="104" s="35" customFormat="1" ht="16.5" customHeight="1" spans="1:45">
      <c r="A104" s="46">
        <v>102</v>
      </c>
      <c r="B104" s="58" t="s">
        <v>93</v>
      </c>
      <c r="C104" s="52"/>
      <c r="D104" s="56" t="s">
        <v>477</v>
      </c>
      <c r="E104" s="46"/>
      <c r="F104" s="59"/>
      <c r="G104" s="51">
        <f t="shared" si="1"/>
        <v>0</v>
      </c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  <c r="AB104" s="51"/>
      <c r="AC104" s="51"/>
      <c r="AD104" s="51"/>
      <c r="AE104" s="51"/>
      <c r="AF104" s="51"/>
      <c r="AG104" s="51"/>
      <c r="AH104" s="51"/>
      <c r="AI104" s="51"/>
      <c r="AJ104" s="51"/>
      <c r="AK104" s="51"/>
      <c r="AL104" s="51"/>
      <c r="AM104" s="75"/>
      <c r="AN104" s="75"/>
      <c r="AO104" s="75"/>
      <c r="AP104" s="75"/>
      <c r="AQ104" s="75"/>
      <c r="AR104" s="75"/>
      <c r="AS104" s="75"/>
    </row>
    <row r="105" s="33" customFormat="1" ht="16.5" customHeight="1" spans="1:38">
      <c r="A105" s="46">
        <v>103</v>
      </c>
      <c r="B105" s="71" t="s">
        <v>93</v>
      </c>
      <c r="C105" s="52"/>
      <c r="D105" s="72" t="s">
        <v>477</v>
      </c>
      <c r="E105" s="62"/>
      <c r="F105" s="73"/>
      <c r="G105" s="51">
        <f t="shared" si="1"/>
        <v>0</v>
      </c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  <c r="AB105" s="51"/>
      <c r="AC105" s="51"/>
      <c r="AD105" s="51"/>
      <c r="AE105" s="51"/>
      <c r="AF105" s="51"/>
      <c r="AG105" s="51"/>
      <c r="AH105" s="51"/>
      <c r="AI105" s="51"/>
      <c r="AJ105" s="51"/>
      <c r="AK105" s="51"/>
      <c r="AL105" s="51"/>
    </row>
    <row r="106" s="33" customFormat="1" ht="16.5" customHeight="1" spans="1:38">
      <c r="A106" s="46">
        <v>104</v>
      </c>
      <c r="B106" s="58" t="s">
        <v>93</v>
      </c>
      <c r="C106" s="52"/>
      <c r="D106" s="56" t="s">
        <v>477</v>
      </c>
      <c r="E106" s="46"/>
      <c r="F106" s="69"/>
      <c r="G106" s="51">
        <f t="shared" si="1"/>
        <v>0</v>
      </c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1"/>
      <c r="AG106" s="51"/>
      <c r="AH106" s="51"/>
      <c r="AI106" s="51"/>
      <c r="AJ106" s="51"/>
      <c r="AK106" s="51"/>
      <c r="AL106" s="51"/>
    </row>
    <row r="107" s="33" customFormat="1" ht="16.5" customHeight="1" spans="1:38">
      <c r="A107" s="46">
        <v>105</v>
      </c>
      <c r="B107" s="58" t="s">
        <v>93</v>
      </c>
      <c r="C107" s="52"/>
      <c r="D107" s="56" t="s">
        <v>477</v>
      </c>
      <c r="E107" s="46"/>
      <c r="F107" s="69"/>
      <c r="G107" s="51">
        <f t="shared" si="1"/>
        <v>0</v>
      </c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1"/>
      <c r="AG107" s="51"/>
      <c r="AH107" s="51"/>
      <c r="AI107" s="51"/>
      <c r="AJ107" s="51"/>
      <c r="AK107" s="51"/>
      <c r="AL107" s="51"/>
    </row>
    <row r="108" s="33" customFormat="1" ht="16.5" customHeight="1" spans="1:38">
      <c r="A108" s="46">
        <v>106</v>
      </c>
      <c r="B108" s="58" t="s">
        <v>93</v>
      </c>
      <c r="C108" s="52"/>
      <c r="D108" s="56" t="s">
        <v>477</v>
      </c>
      <c r="E108" s="46"/>
      <c r="F108" s="69"/>
      <c r="G108" s="51">
        <f t="shared" si="1"/>
        <v>0</v>
      </c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  <c r="AB108" s="51"/>
      <c r="AC108" s="51"/>
      <c r="AD108" s="51"/>
      <c r="AE108" s="51"/>
      <c r="AF108" s="51"/>
      <c r="AG108" s="51"/>
      <c r="AH108" s="51"/>
      <c r="AI108" s="51"/>
      <c r="AJ108" s="51"/>
      <c r="AK108" s="51"/>
      <c r="AL108" s="51"/>
    </row>
    <row r="109" s="33" customFormat="1" ht="16.5" customHeight="1" spans="1:38">
      <c r="A109" s="46">
        <v>107</v>
      </c>
      <c r="B109" s="58" t="s">
        <v>93</v>
      </c>
      <c r="C109" s="52"/>
      <c r="D109" s="56" t="s">
        <v>477</v>
      </c>
      <c r="E109" s="46"/>
      <c r="F109" s="69"/>
      <c r="G109" s="51">
        <f t="shared" si="1"/>
        <v>0</v>
      </c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  <c r="AB109" s="51"/>
      <c r="AC109" s="51"/>
      <c r="AD109" s="51"/>
      <c r="AE109" s="51"/>
      <c r="AF109" s="51"/>
      <c r="AG109" s="51"/>
      <c r="AH109" s="51"/>
      <c r="AI109" s="51"/>
      <c r="AJ109" s="51"/>
      <c r="AK109" s="51"/>
      <c r="AL109" s="51"/>
    </row>
    <row r="110" s="33" customFormat="1" ht="16.5" customHeight="1" spans="1:38">
      <c r="A110" s="46">
        <v>108</v>
      </c>
      <c r="B110" s="58" t="s">
        <v>93</v>
      </c>
      <c r="C110" s="52"/>
      <c r="D110" s="56" t="s">
        <v>477</v>
      </c>
      <c r="E110" s="46"/>
      <c r="F110" s="69"/>
      <c r="G110" s="51">
        <f t="shared" si="1"/>
        <v>0</v>
      </c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  <c r="AB110" s="51"/>
      <c r="AC110" s="51"/>
      <c r="AD110" s="51"/>
      <c r="AE110" s="51"/>
      <c r="AF110" s="51"/>
      <c r="AG110" s="51"/>
      <c r="AH110" s="51"/>
      <c r="AI110" s="51"/>
      <c r="AJ110" s="51"/>
      <c r="AK110" s="51"/>
      <c r="AL110" s="51"/>
    </row>
    <row r="111" s="33" customFormat="1" ht="16.5" customHeight="1" spans="1:38">
      <c r="A111" s="46">
        <v>109</v>
      </c>
      <c r="B111" s="58" t="s">
        <v>93</v>
      </c>
      <c r="C111" s="52"/>
      <c r="D111" s="56" t="s">
        <v>477</v>
      </c>
      <c r="E111" s="46"/>
      <c r="F111" s="69"/>
      <c r="G111" s="51">
        <f t="shared" si="1"/>
        <v>0</v>
      </c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  <c r="AB111" s="51"/>
      <c r="AC111" s="51"/>
      <c r="AD111" s="51"/>
      <c r="AE111" s="51"/>
      <c r="AF111" s="51"/>
      <c r="AG111" s="51"/>
      <c r="AH111" s="51"/>
      <c r="AI111" s="51"/>
      <c r="AJ111" s="51"/>
      <c r="AK111" s="51"/>
      <c r="AL111" s="51"/>
    </row>
    <row r="112" s="33" customFormat="1" ht="16.5" customHeight="1" spans="1:38">
      <c r="A112" s="46">
        <v>110</v>
      </c>
      <c r="B112" s="58" t="s">
        <v>93</v>
      </c>
      <c r="C112" s="52"/>
      <c r="D112" s="56" t="s">
        <v>477</v>
      </c>
      <c r="E112" s="46"/>
      <c r="F112" s="69"/>
      <c r="G112" s="51">
        <f t="shared" si="1"/>
        <v>0</v>
      </c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  <c r="AB112" s="51"/>
      <c r="AC112" s="51"/>
      <c r="AD112" s="51"/>
      <c r="AE112" s="51"/>
      <c r="AF112" s="51"/>
      <c r="AG112" s="51"/>
      <c r="AH112" s="51"/>
      <c r="AI112" s="51"/>
      <c r="AJ112" s="51"/>
      <c r="AK112" s="51"/>
      <c r="AL112" s="51"/>
    </row>
    <row r="113" s="33" customFormat="1" ht="16.5" customHeight="1" spans="1:38">
      <c r="A113" s="46">
        <v>111</v>
      </c>
      <c r="B113" s="58" t="s">
        <v>93</v>
      </c>
      <c r="C113" s="52"/>
      <c r="D113" s="56" t="s">
        <v>481</v>
      </c>
      <c r="E113" s="46"/>
      <c r="F113" s="69"/>
      <c r="G113" s="51">
        <f t="shared" si="1"/>
        <v>0</v>
      </c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  <c r="AB113" s="51"/>
      <c r="AC113" s="51"/>
      <c r="AD113" s="51"/>
      <c r="AE113" s="51"/>
      <c r="AF113" s="51"/>
      <c r="AG113" s="51"/>
      <c r="AH113" s="51"/>
      <c r="AI113" s="51"/>
      <c r="AJ113" s="51"/>
      <c r="AK113" s="51"/>
      <c r="AL113" s="51"/>
    </row>
    <row r="114" s="33" customFormat="1" ht="16.5" customHeight="1" spans="1:38">
      <c r="A114" s="46">
        <v>112</v>
      </c>
      <c r="B114" s="58" t="s">
        <v>93</v>
      </c>
      <c r="C114" s="52"/>
      <c r="D114" s="56" t="s">
        <v>477</v>
      </c>
      <c r="E114" s="46"/>
      <c r="F114" s="69"/>
      <c r="G114" s="51">
        <f t="shared" si="1"/>
        <v>0</v>
      </c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  <c r="AB114" s="51"/>
      <c r="AC114" s="51"/>
      <c r="AD114" s="51"/>
      <c r="AE114" s="51"/>
      <c r="AF114" s="51"/>
      <c r="AG114" s="51"/>
      <c r="AH114" s="51"/>
      <c r="AI114" s="51"/>
      <c r="AJ114" s="51"/>
      <c r="AK114" s="51"/>
      <c r="AL114" s="51"/>
    </row>
    <row r="115" s="33" customFormat="1" ht="16.5" customHeight="1" spans="1:38">
      <c r="A115" s="46">
        <v>113</v>
      </c>
      <c r="B115" s="58" t="s">
        <v>93</v>
      </c>
      <c r="C115" s="52"/>
      <c r="D115" s="56" t="s">
        <v>477</v>
      </c>
      <c r="E115" s="46"/>
      <c r="F115" s="69"/>
      <c r="G115" s="51">
        <f t="shared" si="1"/>
        <v>0</v>
      </c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  <c r="AB115" s="51"/>
      <c r="AC115" s="51"/>
      <c r="AD115" s="51"/>
      <c r="AE115" s="51"/>
      <c r="AF115" s="51"/>
      <c r="AG115" s="51"/>
      <c r="AH115" s="51"/>
      <c r="AI115" s="51"/>
      <c r="AJ115" s="51"/>
      <c r="AK115" s="51"/>
      <c r="AL115" s="51"/>
    </row>
    <row r="116" s="33" customFormat="1" ht="16.5" customHeight="1" spans="1:38">
      <c r="A116" s="46">
        <v>114</v>
      </c>
      <c r="B116" s="58" t="s">
        <v>93</v>
      </c>
      <c r="C116" s="52"/>
      <c r="D116" s="56" t="s">
        <v>477</v>
      </c>
      <c r="E116" s="46"/>
      <c r="F116" s="69"/>
      <c r="G116" s="51">
        <f t="shared" si="1"/>
        <v>0</v>
      </c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  <c r="AB116" s="51"/>
      <c r="AC116" s="51"/>
      <c r="AD116" s="51"/>
      <c r="AE116" s="51"/>
      <c r="AF116" s="51"/>
      <c r="AG116" s="51"/>
      <c r="AH116" s="51"/>
      <c r="AI116" s="51"/>
      <c r="AJ116" s="51"/>
      <c r="AK116" s="51"/>
      <c r="AL116" s="51"/>
    </row>
    <row r="117" s="33" customFormat="1" ht="16.5" customHeight="1" spans="1:38">
      <c r="A117" s="46">
        <v>115</v>
      </c>
      <c r="B117" s="58" t="s">
        <v>93</v>
      </c>
      <c r="C117" s="52"/>
      <c r="D117" s="56" t="s">
        <v>477</v>
      </c>
      <c r="E117" s="46"/>
      <c r="F117" s="69"/>
      <c r="G117" s="51">
        <f t="shared" si="1"/>
        <v>1680</v>
      </c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  <c r="AB117" s="51"/>
      <c r="AC117" s="51"/>
      <c r="AD117" s="51"/>
      <c r="AE117" s="51"/>
      <c r="AF117" s="51"/>
      <c r="AG117" s="51">
        <v>1680</v>
      </c>
      <c r="AH117" s="51"/>
      <c r="AI117" s="51"/>
      <c r="AJ117" s="51"/>
      <c r="AK117" s="51"/>
      <c r="AL117" s="51"/>
    </row>
    <row r="118" s="33" customFormat="1" ht="16.5" customHeight="1" spans="1:38">
      <c r="A118" s="46">
        <v>116</v>
      </c>
      <c r="B118" s="58" t="s">
        <v>93</v>
      </c>
      <c r="C118" s="52"/>
      <c r="D118" s="56" t="s">
        <v>477</v>
      </c>
      <c r="E118" s="46"/>
      <c r="F118" s="69"/>
      <c r="G118" s="51">
        <f t="shared" si="1"/>
        <v>442</v>
      </c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>
        <v>442</v>
      </c>
      <c r="S118" s="51"/>
      <c r="T118" s="51"/>
      <c r="U118" s="51"/>
      <c r="V118" s="51"/>
      <c r="W118" s="51"/>
      <c r="X118" s="51"/>
      <c r="Y118" s="51"/>
      <c r="Z118" s="51"/>
      <c r="AA118" s="51"/>
      <c r="AB118" s="51"/>
      <c r="AC118" s="51"/>
      <c r="AD118" s="51"/>
      <c r="AE118" s="51"/>
      <c r="AF118" s="51"/>
      <c r="AG118" s="51"/>
      <c r="AH118" s="51"/>
      <c r="AI118" s="51"/>
      <c r="AJ118" s="51"/>
      <c r="AK118" s="51"/>
      <c r="AL118" s="51"/>
    </row>
    <row r="119" s="33" customFormat="1" ht="16.5" customHeight="1" spans="1:38">
      <c r="A119" s="46">
        <v>117</v>
      </c>
      <c r="B119" s="58" t="s">
        <v>93</v>
      </c>
      <c r="C119" s="52"/>
      <c r="D119" s="56" t="s">
        <v>477</v>
      </c>
      <c r="E119" s="46"/>
      <c r="F119" s="69"/>
      <c r="G119" s="51">
        <f t="shared" si="1"/>
        <v>0</v>
      </c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</row>
    <row r="120" s="33" customFormat="1" ht="16.5" customHeight="1" spans="1:38">
      <c r="A120" s="46">
        <v>118</v>
      </c>
      <c r="B120" s="58" t="s">
        <v>93</v>
      </c>
      <c r="C120" s="52"/>
      <c r="D120" s="56" t="s">
        <v>477</v>
      </c>
      <c r="E120" s="46"/>
      <c r="F120" s="69"/>
      <c r="G120" s="51">
        <f t="shared" si="1"/>
        <v>0</v>
      </c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  <c r="AB120" s="51"/>
      <c r="AC120" s="51"/>
      <c r="AD120" s="51"/>
      <c r="AE120" s="51"/>
      <c r="AF120" s="51"/>
      <c r="AG120" s="51"/>
      <c r="AH120" s="51"/>
      <c r="AI120" s="51"/>
      <c r="AJ120" s="51"/>
      <c r="AK120" s="51"/>
      <c r="AL120" s="51"/>
    </row>
    <row r="121" s="33" customFormat="1" ht="16.5" customHeight="1" spans="1:38">
      <c r="A121" s="46">
        <v>119</v>
      </c>
      <c r="B121" s="58" t="s">
        <v>93</v>
      </c>
      <c r="C121" s="62"/>
      <c r="D121" s="56" t="s">
        <v>477</v>
      </c>
      <c r="E121" s="46"/>
      <c r="F121" s="69"/>
      <c r="G121" s="51">
        <f t="shared" si="1"/>
        <v>193930</v>
      </c>
      <c r="H121" s="51"/>
      <c r="I121" s="51"/>
      <c r="J121" s="51"/>
      <c r="K121" s="51"/>
      <c r="L121" s="51">
        <v>68730</v>
      </c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  <c r="AB121" s="51"/>
      <c r="AC121" s="51"/>
      <c r="AD121" s="51">
        <v>125200</v>
      </c>
      <c r="AE121" s="51"/>
      <c r="AF121" s="51"/>
      <c r="AG121" s="51"/>
      <c r="AH121" s="51"/>
      <c r="AI121" s="51"/>
      <c r="AJ121" s="51"/>
      <c r="AK121" s="51"/>
      <c r="AL121" s="51"/>
    </row>
    <row r="122" s="33" customFormat="1" ht="16.5" hidden="1" customHeight="1" spans="1:38">
      <c r="A122" s="46">
        <v>120</v>
      </c>
      <c r="B122" s="47" t="s">
        <v>97</v>
      </c>
      <c r="C122" s="46" t="s">
        <v>196</v>
      </c>
      <c r="D122" s="74" t="s">
        <v>482</v>
      </c>
      <c r="E122" s="49" t="s">
        <v>97</v>
      </c>
      <c r="F122" s="63" t="s">
        <v>483</v>
      </c>
      <c r="G122" s="51">
        <f t="shared" si="1"/>
        <v>0</v>
      </c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  <c r="AB122" s="51"/>
      <c r="AC122" s="51"/>
      <c r="AD122" s="51"/>
      <c r="AE122" s="51"/>
      <c r="AF122" s="51"/>
      <c r="AG122" s="51"/>
      <c r="AH122" s="51"/>
      <c r="AI122" s="51"/>
      <c r="AJ122" s="51"/>
      <c r="AK122" s="51"/>
      <c r="AL122" s="51"/>
    </row>
    <row r="123" s="33" customFormat="1" ht="16.5" hidden="1" customHeight="1" spans="1:38">
      <c r="A123" s="46">
        <v>121</v>
      </c>
      <c r="B123" s="47" t="s">
        <v>97</v>
      </c>
      <c r="C123" s="46" t="s">
        <v>196</v>
      </c>
      <c r="D123" s="74" t="s">
        <v>482</v>
      </c>
      <c r="E123" s="49" t="s">
        <v>97</v>
      </c>
      <c r="F123" s="63" t="s">
        <v>484</v>
      </c>
      <c r="G123" s="51">
        <f t="shared" si="1"/>
        <v>0</v>
      </c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</row>
    <row r="124" s="33" customFormat="1" ht="16.5" hidden="1" customHeight="1" spans="1:38">
      <c r="A124" s="46">
        <v>122</v>
      </c>
      <c r="B124" s="47" t="s">
        <v>97</v>
      </c>
      <c r="C124" s="46" t="s">
        <v>196</v>
      </c>
      <c r="D124" s="74" t="s">
        <v>482</v>
      </c>
      <c r="E124" s="49" t="s">
        <v>97</v>
      </c>
      <c r="F124" s="63" t="s">
        <v>485</v>
      </c>
      <c r="G124" s="51">
        <f t="shared" si="1"/>
        <v>0</v>
      </c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</row>
    <row r="125" s="33" customFormat="1" ht="16.5" hidden="1" customHeight="1" spans="1:38">
      <c r="A125" s="46">
        <v>123</v>
      </c>
      <c r="B125" s="47" t="s">
        <v>97</v>
      </c>
      <c r="C125" s="46" t="s">
        <v>196</v>
      </c>
      <c r="D125" s="74" t="s">
        <v>482</v>
      </c>
      <c r="E125" s="49" t="s">
        <v>97</v>
      </c>
      <c r="F125" s="63" t="s">
        <v>486</v>
      </c>
      <c r="G125" s="51">
        <f t="shared" si="1"/>
        <v>0</v>
      </c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  <c r="AB125" s="51"/>
      <c r="AC125" s="51"/>
      <c r="AD125" s="51"/>
      <c r="AE125" s="51"/>
      <c r="AF125" s="51"/>
      <c r="AG125" s="51"/>
      <c r="AH125" s="51"/>
      <c r="AI125" s="51"/>
      <c r="AJ125" s="51"/>
      <c r="AK125" s="51"/>
      <c r="AL125" s="51"/>
    </row>
    <row r="126" s="33" customFormat="1" ht="16.5" hidden="1" customHeight="1" spans="1:38">
      <c r="A126" s="46">
        <v>124</v>
      </c>
      <c r="B126" s="47" t="s">
        <v>97</v>
      </c>
      <c r="C126" s="46" t="s">
        <v>196</v>
      </c>
      <c r="D126" s="74" t="s">
        <v>482</v>
      </c>
      <c r="E126" s="49" t="s">
        <v>97</v>
      </c>
      <c r="F126" s="63" t="s">
        <v>487</v>
      </c>
      <c r="G126" s="51">
        <f t="shared" si="1"/>
        <v>0</v>
      </c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51"/>
      <c r="AI126" s="51"/>
      <c r="AJ126" s="51"/>
      <c r="AK126" s="51"/>
      <c r="AL126" s="51"/>
    </row>
    <row r="127" s="33" customFormat="1" ht="16.5" hidden="1" customHeight="1" spans="1:38">
      <c r="A127" s="46">
        <v>125</v>
      </c>
      <c r="B127" s="47" t="s">
        <v>97</v>
      </c>
      <c r="C127" s="46" t="s">
        <v>196</v>
      </c>
      <c r="D127" s="74" t="s">
        <v>482</v>
      </c>
      <c r="E127" s="49" t="s">
        <v>97</v>
      </c>
      <c r="F127" s="63" t="s">
        <v>488</v>
      </c>
      <c r="G127" s="51">
        <f t="shared" si="1"/>
        <v>32888.1</v>
      </c>
      <c r="H127" s="51"/>
      <c r="I127" s="51"/>
      <c r="J127" s="51"/>
      <c r="K127" s="51">
        <v>32888.1</v>
      </c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</row>
    <row r="128" s="33" customFormat="1" ht="16.5" hidden="1" customHeight="1" spans="1:38">
      <c r="A128" s="46">
        <v>126</v>
      </c>
      <c r="B128" s="47" t="s">
        <v>97</v>
      </c>
      <c r="C128" s="46" t="s">
        <v>196</v>
      </c>
      <c r="D128" s="74" t="s">
        <v>482</v>
      </c>
      <c r="E128" s="49" t="s">
        <v>97</v>
      </c>
      <c r="F128" s="63" t="s">
        <v>489</v>
      </c>
      <c r="G128" s="51">
        <f t="shared" si="1"/>
        <v>0</v>
      </c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  <c r="AB128" s="51"/>
      <c r="AC128" s="51"/>
      <c r="AD128" s="51"/>
      <c r="AE128" s="51"/>
      <c r="AF128" s="51"/>
      <c r="AG128" s="51"/>
      <c r="AH128" s="51"/>
      <c r="AI128" s="51"/>
      <c r="AJ128" s="51"/>
      <c r="AK128" s="51"/>
      <c r="AL128" s="51"/>
    </row>
    <row r="129" s="33" customFormat="1" ht="16.5" hidden="1" customHeight="1" spans="1:38">
      <c r="A129" s="46">
        <v>127</v>
      </c>
      <c r="B129" s="47" t="s">
        <v>97</v>
      </c>
      <c r="C129" s="46" t="s">
        <v>196</v>
      </c>
      <c r="D129" s="74" t="s">
        <v>482</v>
      </c>
      <c r="E129" s="49" t="s">
        <v>97</v>
      </c>
      <c r="F129" s="63" t="s">
        <v>490</v>
      </c>
      <c r="G129" s="51">
        <f t="shared" si="1"/>
        <v>0</v>
      </c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  <c r="AB129" s="51"/>
      <c r="AC129" s="51"/>
      <c r="AD129" s="51"/>
      <c r="AE129" s="51"/>
      <c r="AF129" s="51"/>
      <c r="AG129" s="51"/>
      <c r="AH129" s="51"/>
      <c r="AI129" s="51"/>
      <c r="AJ129" s="51"/>
      <c r="AK129" s="51"/>
      <c r="AL129" s="51"/>
    </row>
    <row r="130" s="33" customFormat="1" ht="16.5" hidden="1" customHeight="1" spans="1:38">
      <c r="A130" s="46">
        <v>128</v>
      </c>
      <c r="B130" s="47" t="s">
        <v>97</v>
      </c>
      <c r="C130" s="46" t="s">
        <v>196</v>
      </c>
      <c r="D130" s="74" t="s">
        <v>482</v>
      </c>
      <c r="E130" s="49" t="s">
        <v>97</v>
      </c>
      <c r="F130" s="63" t="s">
        <v>491</v>
      </c>
      <c r="G130" s="51">
        <f t="shared" si="1"/>
        <v>24522</v>
      </c>
      <c r="H130" s="51">
        <f>495+654</f>
        <v>1149</v>
      </c>
      <c r="I130" s="51">
        <v>576</v>
      </c>
      <c r="J130" s="51">
        <v>2471</v>
      </c>
      <c r="K130" s="51">
        <v>2166</v>
      </c>
      <c r="L130" s="51">
        <v>258</v>
      </c>
      <c r="M130" s="51">
        <v>357</v>
      </c>
      <c r="N130" s="51">
        <v>1368</v>
      </c>
      <c r="O130" s="51">
        <v>832</v>
      </c>
      <c r="P130" s="51">
        <v>337</v>
      </c>
      <c r="Q130" s="51">
        <v>99</v>
      </c>
      <c r="R130" s="51">
        <v>1511</v>
      </c>
      <c r="S130" s="51">
        <v>826</v>
      </c>
      <c r="T130" s="51">
        <v>737</v>
      </c>
      <c r="U130" s="51">
        <v>984</v>
      </c>
      <c r="V130" s="51">
        <v>238</v>
      </c>
      <c r="W130" s="51">
        <v>806</v>
      </c>
      <c r="X130" s="51">
        <v>396</v>
      </c>
      <c r="Y130" s="51"/>
      <c r="Z130" s="51">
        <v>816</v>
      </c>
      <c r="AA130" s="51">
        <v>955</v>
      </c>
      <c r="AB130" s="51">
        <v>534</v>
      </c>
      <c r="AC130" s="51">
        <v>1411</v>
      </c>
      <c r="AD130" s="51">
        <v>887</v>
      </c>
      <c r="AE130" s="51"/>
      <c r="AF130" s="51">
        <v>906</v>
      </c>
      <c r="AG130" s="51">
        <v>999</v>
      </c>
      <c r="AH130" s="51">
        <v>599</v>
      </c>
      <c r="AI130" s="51">
        <v>99</v>
      </c>
      <c r="AJ130" s="51">
        <v>1072</v>
      </c>
      <c r="AK130" s="51">
        <v>258</v>
      </c>
      <c r="AL130" s="51">
        <v>875</v>
      </c>
    </row>
    <row r="131" s="33" customFormat="1" ht="16.5" hidden="1" customHeight="1" spans="1:38">
      <c r="A131" s="46">
        <v>129</v>
      </c>
      <c r="B131" s="47" t="s">
        <v>97</v>
      </c>
      <c r="C131" s="46" t="s">
        <v>196</v>
      </c>
      <c r="D131" s="74" t="s">
        <v>482</v>
      </c>
      <c r="E131" s="49" t="s">
        <v>97</v>
      </c>
      <c r="F131" s="63" t="s">
        <v>492</v>
      </c>
      <c r="G131" s="51">
        <f t="shared" si="1"/>
        <v>0</v>
      </c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  <c r="AB131" s="51"/>
      <c r="AC131" s="51"/>
      <c r="AD131" s="51"/>
      <c r="AE131" s="51"/>
      <c r="AF131" s="51"/>
      <c r="AG131" s="51"/>
      <c r="AH131" s="51"/>
      <c r="AI131" s="51"/>
      <c r="AJ131" s="51"/>
      <c r="AK131" s="51"/>
      <c r="AL131" s="51"/>
    </row>
    <row r="132" s="33" customFormat="1" ht="16.5" hidden="1" customHeight="1" spans="1:38">
      <c r="A132" s="46">
        <v>130</v>
      </c>
      <c r="B132" s="47" t="s">
        <v>97</v>
      </c>
      <c r="C132" s="46" t="s">
        <v>198</v>
      </c>
      <c r="D132" s="74" t="s">
        <v>482</v>
      </c>
      <c r="E132" s="49" t="s">
        <v>97</v>
      </c>
      <c r="F132" s="63" t="s">
        <v>493</v>
      </c>
      <c r="G132" s="51">
        <f t="shared" si="1"/>
        <v>12200</v>
      </c>
      <c r="H132" s="51">
        <f>258+248</f>
        <v>506</v>
      </c>
      <c r="I132" s="51">
        <v>348</v>
      </c>
      <c r="J132" s="51">
        <v>1160</v>
      </c>
      <c r="K132" s="51">
        <v>705</v>
      </c>
      <c r="L132" s="51">
        <v>198</v>
      </c>
      <c r="M132" s="51">
        <v>1034</v>
      </c>
      <c r="N132" s="51">
        <v>824</v>
      </c>
      <c r="O132" s="51">
        <v>396</v>
      </c>
      <c r="P132" s="51"/>
      <c r="Q132" s="51">
        <v>99</v>
      </c>
      <c r="R132" s="51">
        <v>99</v>
      </c>
      <c r="S132" s="51">
        <v>477</v>
      </c>
      <c r="T132" s="51">
        <v>1174</v>
      </c>
      <c r="U132" s="51">
        <v>278</v>
      </c>
      <c r="V132" s="51">
        <v>99</v>
      </c>
      <c r="W132" s="51">
        <v>99</v>
      </c>
      <c r="X132" s="51">
        <v>907</v>
      </c>
      <c r="Y132" s="51">
        <v>378</v>
      </c>
      <c r="Z132" s="51">
        <v>179</v>
      </c>
      <c r="AA132" s="51">
        <v>199</v>
      </c>
      <c r="AB132" s="51">
        <v>873</v>
      </c>
      <c r="AC132" s="51">
        <v>279</v>
      </c>
      <c r="AD132" s="51">
        <v>279</v>
      </c>
      <c r="AE132" s="51"/>
      <c r="AF132" s="51">
        <v>249</v>
      </c>
      <c r="AG132" s="51">
        <v>229</v>
      </c>
      <c r="AH132" s="51">
        <v>99</v>
      </c>
      <c r="AI132" s="51">
        <v>238</v>
      </c>
      <c r="AJ132" s="51"/>
      <c r="AK132" s="51">
        <v>379</v>
      </c>
      <c r="AL132" s="51">
        <v>416</v>
      </c>
    </row>
    <row r="133" s="33" customFormat="1" ht="16.5" hidden="1" customHeight="1" spans="1:38">
      <c r="A133" s="46">
        <v>131</v>
      </c>
      <c r="B133" s="47" t="s">
        <v>97</v>
      </c>
      <c r="C133" s="46" t="s">
        <v>196</v>
      </c>
      <c r="D133" s="74" t="s">
        <v>482</v>
      </c>
      <c r="E133" s="49" t="s">
        <v>97</v>
      </c>
      <c r="F133" s="63" t="s">
        <v>494</v>
      </c>
      <c r="G133" s="51">
        <f t="shared" ref="G133:G153" si="2">SUM(H133:AL133)</f>
        <v>27099</v>
      </c>
      <c r="H133" s="51">
        <f>635+2601</f>
        <v>3236</v>
      </c>
      <c r="I133" s="51">
        <v>3520</v>
      </c>
      <c r="J133" s="51">
        <v>4425</v>
      </c>
      <c r="K133" s="51">
        <v>1673</v>
      </c>
      <c r="L133" s="51">
        <v>1519</v>
      </c>
      <c r="M133" s="51">
        <v>1926</v>
      </c>
      <c r="N133" s="51">
        <v>159</v>
      </c>
      <c r="O133" s="51">
        <v>477</v>
      </c>
      <c r="P133" s="51"/>
      <c r="Q133" s="51"/>
      <c r="R133" s="51">
        <v>297</v>
      </c>
      <c r="S133" s="51">
        <v>396</v>
      </c>
      <c r="T133" s="51">
        <v>407</v>
      </c>
      <c r="U133" s="51">
        <v>1566</v>
      </c>
      <c r="V133" s="51"/>
      <c r="W133" s="51">
        <v>99</v>
      </c>
      <c r="X133" s="51">
        <v>396</v>
      </c>
      <c r="Y133" s="51">
        <v>873</v>
      </c>
      <c r="Z133" s="51"/>
      <c r="AA133" s="51"/>
      <c r="AB133" s="51"/>
      <c r="AC133" s="51">
        <v>875</v>
      </c>
      <c r="AD133" s="51">
        <v>456</v>
      </c>
      <c r="AE133" s="51"/>
      <c r="AF133" s="51">
        <v>1391</v>
      </c>
      <c r="AG133" s="51">
        <v>649</v>
      </c>
      <c r="AH133" s="51">
        <v>1330</v>
      </c>
      <c r="AI133" s="51"/>
      <c r="AJ133" s="51">
        <v>555</v>
      </c>
      <c r="AK133" s="51">
        <v>378</v>
      </c>
      <c r="AL133" s="51">
        <v>496</v>
      </c>
    </row>
    <row r="134" s="33" customFormat="1" ht="16.5" hidden="1" customHeight="1" spans="1:38">
      <c r="A134" s="46">
        <v>132</v>
      </c>
      <c r="B134" s="47" t="s">
        <v>97</v>
      </c>
      <c r="C134" s="46" t="s">
        <v>196</v>
      </c>
      <c r="D134" s="74" t="s">
        <v>482</v>
      </c>
      <c r="E134" s="49" t="s">
        <v>97</v>
      </c>
      <c r="F134" s="63" t="s">
        <v>495</v>
      </c>
      <c r="G134" s="51">
        <f t="shared" si="2"/>
        <v>46908</v>
      </c>
      <c r="H134" s="51">
        <f>99+3215</f>
        <v>3314</v>
      </c>
      <c r="I134" s="51">
        <v>2264</v>
      </c>
      <c r="J134" s="51">
        <v>2480</v>
      </c>
      <c r="K134" s="51">
        <v>1270</v>
      </c>
      <c r="L134" s="51">
        <v>1449</v>
      </c>
      <c r="M134" s="51">
        <v>1320</v>
      </c>
      <c r="N134" s="51">
        <v>1234</v>
      </c>
      <c r="O134" s="51">
        <v>279</v>
      </c>
      <c r="P134" s="51">
        <v>837</v>
      </c>
      <c r="Q134" s="51">
        <v>179</v>
      </c>
      <c r="R134" s="51">
        <v>396</v>
      </c>
      <c r="S134" s="51">
        <v>954</v>
      </c>
      <c r="T134" s="51">
        <v>1569</v>
      </c>
      <c r="U134" s="51">
        <v>971</v>
      </c>
      <c r="V134" s="51">
        <v>656</v>
      </c>
      <c r="W134" s="51">
        <v>1239</v>
      </c>
      <c r="X134" s="51">
        <v>1764</v>
      </c>
      <c r="Y134" s="51">
        <v>990</v>
      </c>
      <c r="Z134" s="51">
        <v>2217</v>
      </c>
      <c r="AA134" s="51">
        <v>2942</v>
      </c>
      <c r="AB134" s="51">
        <v>3856</v>
      </c>
      <c r="AC134" s="51">
        <v>595</v>
      </c>
      <c r="AD134" s="51">
        <v>1164</v>
      </c>
      <c r="AE134" s="51">
        <v>2118</v>
      </c>
      <c r="AF134" s="51">
        <v>994</v>
      </c>
      <c r="AG134" s="51">
        <v>1890</v>
      </c>
      <c r="AH134" s="51">
        <v>2315</v>
      </c>
      <c r="AI134" s="51">
        <v>1987</v>
      </c>
      <c r="AJ134" s="51">
        <v>2095</v>
      </c>
      <c r="AK134" s="51">
        <v>1232</v>
      </c>
      <c r="AL134" s="51">
        <v>338</v>
      </c>
    </row>
    <row r="135" s="33" customFormat="1" ht="16.5" hidden="1" customHeight="1" spans="1:38">
      <c r="A135" s="46">
        <v>133</v>
      </c>
      <c r="B135" s="47" t="s">
        <v>97</v>
      </c>
      <c r="C135" s="46" t="s">
        <v>196</v>
      </c>
      <c r="D135" s="74" t="s">
        <v>482</v>
      </c>
      <c r="E135" s="49" t="s">
        <v>97</v>
      </c>
      <c r="F135" s="58" t="s">
        <v>496</v>
      </c>
      <c r="G135" s="51">
        <f t="shared" si="2"/>
        <v>39549</v>
      </c>
      <c r="H135" s="51">
        <f>1481+2223</f>
        <v>3704</v>
      </c>
      <c r="I135" s="51">
        <v>1182</v>
      </c>
      <c r="J135" s="51">
        <v>1589</v>
      </c>
      <c r="K135" s="51">
        <v>1044</v>
      </c>
      <c r="L135" s="51">
        <v>1598</v>
      </c>
      <c r="M135" s="51">
        <v>2284</v>
      </c>
      <c r="N135" s="51">
        <v>1457</v>
      </c>
      <c r="O135" s="51">
        <v>1291</v>
      </c>
      <c r="P135" s="51">
        <v>1200</v>
      </c>
      <c r="Q135" s="51">
        <v>218</v>
      </c>
      <c r="R135" s="51">
        <v>1144</v>
      </c>
      <c r="S135" s="51">
        <v>1488</v>
      </c>
      <c r="T135" s="51">
        <v>1857</v>
      </c>
      <c r="U135" s="51">
        <v>1105</v>
      </c>
      <c r="V135" s="51">
        <v>1336</v>
      </c>
      <c r="W135" s="51">
        <v>1116</v>
      </c>
      <c r="X135" s="51">
        <v>378</v>
      </c>
      <c r="Y135" s="51">
        <v>1390</v>
      </c>
      <c r="Z135" s="51">
        <v>766</v>
      </c>
      <c r="AA135" s="51">
        <v>1004</v>
      </c>
      <c r="AB135" s="51"/>
      <c r="AC135" s="51">
        <v>1352</v>
      </c>
      <c r="AD135" s="51">
        <v>834</v>
      </c>
      <c r="AE135" s="51">
        <v>1172</v>
      </c>
      <c r="AF135" s="51">
        <v>1025</v>
      </c>
      <c r="AG135" s="51">
        <v>1044</v>
      </c>
      <c r="AH135" s="51">
        <v>1094</v>
      </c>
      <c r="AI135" s="51">
        <v>1143</v>
      </c>
      <c r="AJ135" s="51">
        <v>1372</v>
      </c>
      <c r="AK135" s="51">
        <v>2060</v>
      </c>
      <c r="AL135" s="51">
        <v>1302</v>
      </c>
    </row>
    <row r="136" s="33" customFormat="1" ht="16.5" hidden="1" customHeight="1" spans="1:38">
      <c r="A136" s="46">
        <v>134</v>
      </c>
      <c r="B136" s="47" t="s">
        <v>97</v>
      </c>
      <c r="C136" s="46" t="s">
        <v>198</v>
      </c>
      <c r="D136" s="74" t="s">
        <v>482</v>
      </c>
      <c r="E136" s="49" t="s">
        <v>97</v>
      </c>
      <c r="F136" s="58" t="s">
        <v>497</v>
      </c>
      <c r="G136" s="51">
        <f t="shared" si="2"/>
        <v>36074</v>
      </c>
      <c r="H136" s="51">
        <v>2746</v>
      </c>
      <c r="I136" s="51">
        <v>2220</v>
      </c>
      <c r="J136" s="51">
        <v>2388</v>
      </c>
      <c r="K136" s="51">
        <v>1584</v>
      </c>
      <c r="L136" s="51">
        <v>1288</v>
      </c>
      <c r="M136" s="51">
        <v>2242</v>
      </c>
      <c r="N136" s="51">
        <v>1777</v>
      </c>
      <c r="O136" s="51">
        <v>558</v>
      </c>
      <c r="P136" s="51">
        <v>558</v>
      </c>
      <c r="Q136" s="51">
        <v>1023</v>
      </c>
      <c r="R136" s="51">
        <v>575</v>
      </c>
      <c r="S136" s="51">
        <v>923</v>
      </c>
      <c r="T136" s="51">
        <v>805</v>
      </c>
      <c r="U136" s="51">
        <v>397</v>
      </c>
      <c r="V136" s="51">
        <v>594</v>
      </c>
      <c r="W136" s="51">
        <v>576</v>
      </c>
      <c r="X136" s="51">
        <v>297</v>
      </c>
      <c r="Y136" s="51">
        <v>495</v>
      </c>
      <c r="Z136" s="51">
        <v>974</v>
      </c>
      <c r="AA136" s="51">
        <v>1094</v>
      </c>
      <c r="AB136" s="33">
        <v>1231</v>
      </c>
      <c r="AC136" s="51">
        <v>784</v>
      </c>
      <c r="AD136" s="51">
        <v>1939</v>
      </c>
      <c r="AE136" s="51">
        <v>1649</v>
      </c>
      <c r="AF136" s="51">
        <v>913</v>
      </c>
      <c r="AG136" s="51">
        <v>238</v>
      </c>
      <c r="AH136" s="51">
        <v>1231</v>
      </c>
      <c r="AI136" s="51">
        <v>1339</v>
      </c>
      <c r="AJ136" s="51">
        <v>1662</v>
      </c>
      <c r="AK136" s="51">
        <v>128</v>
      </c>
      <c r="AL136" s="51">
        <v>1846</v>
      </c>
    </row>
    <row r="137" s="33" customFormat="1" ht="16.5" hidden="1" customHeight="1" spans="1:38">
      <c r="A137" s="46">
        <v>135</v>
      </c>
      <c r="B137" s="47" t="s">
        <v>97</v>
      </c>
      <c r="C137" s="46" t="s">
        <v>196</v>
      </c>
      <c r="D137" s="74" t="s">
        <v>482</v>
      </c>
      <c r="E137" s="49" t="s">
        <v>97</v>
      </c>
      <c r="F137" s="58" t="s">
        <v>498</v>
      </c>
      <c r="G137" s="51">
        <f t="shared" si="2"/>
        <v>60955</v>
      </c>
      <c r="H137" s="51">
        <f>99+8106+2636</f>
        <v>10841</v>
      </c>
      <c r="I137" s="51">
        <v>5534</v>
      </c>
      <c r="J137" s="51">
        <v>5028</v>
      </c>
      <c r="K137" s="51">
        <v>873</v>
      </c>
      <c r="L137" s="51">
        <v>1807</v>
      </c>
      <c r="M137" s="51">
        <v>1494</v>
      </c>
      <c r="N137" s="51">
        <v>4197</v>
      </c>
      <c r="O137" s="51">
        <v>1074</v>
      </c>
      <c r="P137" s="51">
        <v>1271</v>
      </c>
      <c r="Q137" s="51">
        <v>297</v>
      </c>
      <c r="R137" s="51">
        <v>396</v>
      </c>
      <c r="S137" s="51">
        <v>1415</v>
      </c>
      <c r="T137" s="51">
        <v>1516</v>
      </c>
      <c r="U137" s="51">
        <v>1222</v>
      </c>
      <c r="V137" s="51">
        <v>198</v>
      </c>
      <c r="W137" s="51">
        <v>378</v>
      </c>
      <c r="X137" s="51">
        <v>357</v>
      </c>
      <c r="Y137" s="51">
        <v>1213</v>
      </c>
      <c r="Z137" s="51">
        <v>1631</v>
      </c>
      <c r="AA137" s="51">
        <v>3747</v>
      </c>
      <c r="AB137" s="51">
        <v>3081</v>
      </c>
      <c r="AC137" s="51">
        <v>1938</v>
      </c>
      <c r="AD137" s="51">
        <v>99</v>
      </c>
      <c r="AE137" s="51">
        <v>1812</v>
      </c>
      <c r="AF137" s="51">
        <v>2358</v>
      </c>
      <c r="AG137" s="51">
        <v>1331</v>
      </c>
      <c r="AH137" s="51">
        <v>2218</v>
      </c>
      <c r="AI137" s="51">
        <v>2078</v>
      </c>
      <c r="AJ137" s="51">
        <v>607</v>
      </c>
      <c r="AK137" s="51">
        <v>258</v>
      </c>
      <c r="AL137" s="51">
        <v>686</v>
      </c>
    </row>
    <row r="138" s="33" customFormat="1" ht="16.5" hidden="1" customHeight="1" spans="1:38">
      <c r="A138" s="46">
        <v>136</v>
      </c>
      <c r="B138" s="47" t="s">
        <v>97</v>
      </c>
      <c r="C138" s="46" t="s">
        <v>198</v>
      </c>
      <c r="D138" s="74" t="s">
        <v>482</v>
      </c>
      <c r="E138" s="49" t="s">
        <v>97</v>
      </c>
      <c r="F138" s="58" t="s">
        <v>499</v>
      </c>
      <c r="G138" s="51">
        <f t="shared" si="2"/>
        <v>25928.28</v>
      </c>
      <c r="H138" s="51"/>
      <c r="I138" s="51"/>
      <c r="J138" s="51"/>
      <c r="K138" s="51">
        <v>25928.28</v>
      </c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  <c r="AB138" s="51"/>
      <c r="AC138" s="51"/>
      <c r="AD138" s="51"/>
      <c r="AE138" s="51"/>
      <c r="AF138" s="51"/>
      <c r="AG138" s="51"/>
      <c r="AH138" s="51"/>
      <c r="AI138" s="51"/>
      <c r="AJ138" s="51"/>
      <c r="AK138" s="51"/>
      <c r="AL138" s="51"/>
    </row>
    <row r="139" s="33" customFormat="1" ht="16.5" hidden="1" customHeight="1" spans="1:38">
      <c r="A139" s="46">
        <v>137</v>
      </c>
      <c r="B139" s="47" t="s">
        <v>97</v>
      </c>
      <c r="C139" s="46" t="s">
        <v>198</v>
      </c>
      <c r="D139" s="74" t="s">
        <v>482</v>
      </c>
      <c r="E139" s="49" t="s">
        <v>97</v>
      </c>
      <c r="F139" s="58" t="s">
        <v>500</v>
      </c>
      <c r="G139" s="51">
        <f t="shared" si="2"/>
        <v>0</v>
      </c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  <c r="AB139" s="51"/>
      <c r="AC139" s="51"/>
      <c r="AD139" s="51"/>
      <c r="AE139" s="51"/>
      <c r="AF139" s="51"/>
      <c r="AG139" s="51"/>
      <c r="AH139" s="51"/>
      <c r="AI139" s="51"/>
      <c r="AJ139" s="51"/>
      <c r="AK139" s="51"/>
      <c r="AL139" s="51"/>
    </row>
    <row r="140" s="33" customFormat="1" ht="16.5" hidden="1" customHeight="1" spans="1:38">
      <c r="A140" s="46">
        <v>138</v>
      </c>
      <c r="B140" s="47" t="s">
        <v>97</v>
      </c>
      <c r="C140" s="46" t="s">
        <v>198</v>
      </c>
      <c r="D140" s="74" t="s">
        <v>482</v>
      </c>
      <c r="E140" s="49" t="s">
        <v>97</v>
      </c>
      <c r="F140" s="58" t="s">
        <v>501</v>
      </c>
      <c r="G140" s="51">
        <f t="shared" si="2"/>
        <v>36332</v>
      </c>
      <c r="H140" s="51">
        <f>3404+4236+11250</f>
        <v>18890</v>
      </c>
      <c r="I140" s="51">
        <v>198</v>
      </c>
      <c r="J140" s="51">
        <v>228</v>
      </c>
      <c r="K140" s="51">
        <v>198</v>
      </c>
      <c r="L140" s="51">
        <v>855</v>
      </c>
      <c r="M140" s="51">
        <v>2656</v>
      </c>
      <c r="N140" s="51">
        <v>824</v>
      </c>
      <c r="O140" s="51">
        <v>955</v>
      </c>
      <c r="P140" s="51">
        <v>686</v>
      </c>
      <c r="Q140" s="51">
        <v>329</v>
      </c>
      <c r="R140" s="51"/>
      <c r="S140" s="51">
        <v>378</v>
      </c>
      <c r="T140" s="51">
        <v>974</v>
      </c>
      <c r="U140" s="51">
        <v>605</v>
      </c>
      <c r="V140" s="51"/>
      <c r="W140" s="51">
        <v>297</v>
      </c>
      <c r="X140" s="51">
        <v>1908</v>
      </c>
      <c r="Y140" s="51"/>
      <c r="Z140" s="51"/>
      <c r="AA140" s="51">
        <v>1633</v>
      </c>
      <c r="AB140" s="51">
        <v>317</v>
      </c>
      <c r="AC140" s="51"/>
      <c r="AD140" s="51"/>
      <c r="AE140" s="51"/>
      <c r="AF140" s="51"/>
      <c r="AG140" s="51">
        <v>1075</v>
      </c>
      <c r="AH140" s="51">
        <v>1897</v>
      </c>
      <c r="AI140" s="51">
        <v>516</v>
      </c>
      <c r="AJ140" s="51">
        <v>417</v>
      </c>
      <c r="AK140" s="51">
        <v>238</v>
      </c>
      <c r="AL140" s="51">
        <v>258</v>
      </c>
    </row>
    <row r="141" s="33" customFormat="1" ht="16.5" hidden="1" customHeight="1" spans="1:38">
      <c r="A141" s="46">
        <v>139</v>
      </c>
      <c r="B141" s="47" t="s">
        <v>97</v>
      </c>
      <c r="C141" s="46" t="s">
        <v>198</v>
      </c>
      <c r="D141" s="74" t="s">
        <v>482</v>
      </c>
      <c r="E141" s="49" t="s">
        <v>97</v>
      </c>
      <c r="F141" s="58" t="s">
        <v>502</v>
      </c>
      <c r="G141" s="51">
        <f t="shared" si="2"/>
        <v>23323</v>
      </c>
      <c r="H141" s="51">
        <f>1240+903+99</f>
        <v>2242</v>
      </c>
      <c r="I141" s="51">
        <v>1023</v>
      </c>
      <c r="J141" s="51">
        <v>496</v>
      </c>
      <c r="K141" s="51">
        <v>477</v>
      </c>
      <c r="L141" s="51">
        <v>198</v>
      </c>
      <c r="M141" s="51">
        <v>1154</v>
      </c>
      <c r="N141" s="51">
        <v>675</v>
      </c>
      <c r="O141" s="51">
        <v>378</v>
      </c>
      <c r="P141" s="51"/>
      <c r="Q141" s="51">
        <v>279</v>
      </c>
      <c r="R141" s="51"/>
      <c r="S141" s="51">
        <v>198</v>
      </c>
      <c r="T141" s="51">
        <v>99</v>
      </c>
      <c r="U141" s="51">
        <v>198</v>
      </c>
      <c r="V141" s="51">
        <v>594</v>
      </c>
      <c r="W141" s="51">
        <v>972</v>
      </c>
      <c r="X141" s="51">
        <v>396</v>
      </c>
      <c r="Y141" s="51">
        <v>357</v>
      </c>
      <c r="Z141" s="51">
        <v>428</v>
      </c>
      <c r="AA141" s="51">
        <v>656</v>
      </c>
      <c r="AB141" s="51">
        <v>875</v>
      </c>
      <c r="AC141" s="51">
        <v>408</v>
      </c>
      <c r="AD141" s="51">
        <v>7755</v>
      </c>
      <c r="AE141" s="51">
        <v>557</v>
      </c>
      <c r="AF141" s="51">
        <v>1428</v>
      </c>
      <c r="AG141" s="51">
        <v>458</v>
      </c>
      <c r="AH141" s="51">
        <v>198</v>
      </c>
      <c r="AI141" s="51">
        <v>179</v>
      </c>
      <c r="AJ141" s="51">
        <v>99</v>
      </c>
      <c r="AK141" s="51">
        <v>348</v>
      </c>
      <c r="AL141" s="51">
        <v>198</v>
      </c>
    </row>
    <row r="142" s="33" customFormat="1" ht="16.5" hidden="1" customHeight="1" spans="1:38">
      <c r="A142" s="46">
        <v>140</v>
      </c>
      <c r="B142" s="47" t="s">
        <v>97</v>
      </c>
      <c r="C142" s="46" t="s">
        <v>198</v>
      </c>
      <c r="D142" s="74" t="s">
        <v>482</v>
      </c>
      <c r="E142" s="49" t="s">
        <v>97</v>
      </c>
      <c r="F142" s="58" t="s">
        <v>503</v>
      </c>
      <c r="G142" s="51">
        <f t="shared" si="2"/>
        <v>45168</v>
      </c>
      <c r="H142" s="51">
        <f>993+6202</f>
        <v>7195</v>
      </c>
      <c r="I142" s="51">
        <v>3482</v>
      </c>
      <c r="J142" s="51">
        <v>1955</v>
      </c>
      <c r="K142" s="51">
        <v>1160</v>
      </c>
      <c r="L142" s="51">
        <v>1171</v>
      </c>
      <c r="M142" s="51">
        <v>99</v>
      </c>
      <c r="N142" s="51">
        <v>3793</v>
      </c>
      <c r="O142" s="51">
        <v>99</v>
      </c>
      <c r="P142" s="51">
        <v>396</v>
      </c>
      <c r="Q142" s="51">
        <v>99</v>
      </c>
      <c r="R142" s="51">
        <v>99</v>
      </c>
      <c r="S142" s="51">
        <v>495</v>
      </c>
      <c r="T142" s="51">
        <v>1466</v>
      </c>
      <c r="U142" s="51">
        <v>855</v>
      </c>
      <c r="V142" s="51">
        <v>1130</v>
      </c>
      <c r="W142" s="51">
        <v>279</v>
      </c>
      <c r="X142" s="51">
        <v>657</v>
      </c>
      <c r="Y142" s="51">
        <v>1287</v>
      </c>
      <c r="Z142" s="51">
        <v>607</v>
      </c>
      <c r="AA142" s="51">
        <v>1421</v>
      </c>
      <c r="AB142" s="51">
        <v>1373</v>
      </c>
      <c r="AC142" s="51">
        <v>596</v>
      </c>
      <c r="AD142" s="51">
        <v>1154</v>
      </c>
      <c r="AE142" s="51">
        <v>258</v>
      </c>
      <c r="AF142" s="51">
        <v>1192</v>
      </c>
      <c r="AG142" s="51">
        <v>615</v>
      </c>
      <c r="AH142" s="51">
        <v>893</v>
      </c>
      <c r="AI142" s="51">
        <v>1382</v>
      </c>
      <c r="AJ142" s="51">
        <v>8906</v>
      </c>
      <c r="AK142" s="51">
        <v>338</v>
      </c>
      <c r="AL142" s="51">
        <v>716</v>
      </c>
    </row>
    <row r="143" s="33" customFormat="1" ht="16.5" hidden="1" customHeight="1" spans="1:38">
      <c r="A143" s="46">
        <v>141</v>
      </c>
      <c r="B143" s="47" t="s">
        <v>97</v>
      </c>
      <c r="C143" s="46" t="s">
        <v>198</v>
      </c>
      <c r="D143" s="74" t="s">
        <v>482</v>
      </c>
      <c r="E143" s="49" t="s">
        <v>97</v>
      </c>
      <c r="F143" s="58" t="s">
        <v>504</v>
      </c>
      <c r="G143" s="51">
        <f t="shared" si="2"/>
        <v>19941.1</v>
      </c>
      <c r="H143" s="51">
        <f>2180.1+890</f>
        <v>3070.1</v>
      </c>
      <c r="I143" s="51">
        <v>1488</v>
      </c>
      <c r="J143" s="51">
        <v>583</v>
      </c>
      <c r="K143" s="51">
        <v>428</v>
      </c>
      <c r="L143" s="51">
        <v>924</v>
      </c>
      <c r="M143" s="51">
        <v>1071</v>
      </c>
      <c r="N143" s="51">
        <v>1270</v>
      </c>
      <c r="O143" s="51">
        <v>378</v>
      </c>
      <c r="P143" s="51"/>
      <c r="Q143" s="51">
        <v>576</v>
      </c>
      <c r="R143" s="51">
        <v>891</v>
      </c>
      <c r="S143" s="51">
        <v>477</v>
      </c>
      <c r="T143" s="51">
        <v>198</v>
      </c>
      <c r="U143" s="51">
        <v>824</v>
      </c>
      <c r="V143" s="51">
        <v>428</v>
      </c>
      <c r="W143" s="51">
        <v>675</v>
      </c>
      <c r="X143" s="51"/>
      <c r="Y143" s="51">
        <v>477</v>
      </c>
      <c r="Z143" s="51">
        <v>199</v>
      </c>
      <c r="AA143" s="51">
        <v>249</v>
      </c>
      <c r="AB143" s="51">
        <v>388</v>
      </c>
      <c r="AC143" s="51">
        <v>557</v>
      </c>
      <c r="AD143" s="51"/>
      <c r="AE143" s="51">
        <v>866</v>
      </c>
      <c r="AF143" s="51">
        <v>1481</v>
      </c>
      <c r="AG143" s="51"/>
      <c r="AH143" s="51">
        <v>507</v>
      </c>
      <c r="AI143" s="51">
        <v>835</v>
      </c>
      <c r="AJ143" s="51">
        <v>137</v>
      </c>
      <c r="AK143" s="51">
        <v>686</v>
      </c>
      <c r="AL143" s="51">
        <v>278</v>
      </c>
    </row>
    <row r="144" s="33" customFormat="1" ht="16.5" hidden="1" customHeight="1" spans="1:38">
      <c r="A144" s="46">
        <v>142</v>
      </c>
      <c r="B144" s="47" t="s">
        <v>97</v>
      </c>
      <c r="C144" s="46" t="s">
        <v>198</v>
      </c>
      <c r="D144" s="74" t="s">
        <v>482</v>
      </c>
      <c r="E144" s="49" t="s">
        <v>97</v>
      </c>
      <c r="F144" s="58" t="s">
        <v>505</v>
      </c>
      <c r="G144" s="51">
        <f t="shared" si="2"/>
        <v>65566</v>
      </c>
      <c r="H144" s="51">
        <f>1251+705</f>
        <v>1956</v>
      </c>
      <c r="I144" s="51">
        <v>8298</v>
      </c>
      <c r="J144" s="51">
        <v>36649</v>
      </c>
      <c r="K144" s="51">
        <v>1232</v>
      </c>
      <c r="L144" s="51"/>
      <c r="M144" s="51">
        <v>754</v>
      </c>
      <c r="N144" s="51">
        <v>507</v>
      </c>
      <c r="O144" s="51">
        <v>378</v>
      </c>
      <c r="P144" s="51">
        <v>99</v>
      </c>
      <c r="Q144" s="51">
        <v>1052</v>
      </c>
      <c r="R144" s="51">
        <v>258</v>
      </c>
      <c r="S144" s="51">
        <v>824</v>
      </c>
      <c r="T144" s="51">
        <v>1076</v>
      </c>
      <c r="U144" s="51">
        <v>925</v>
      </c>
      <c r="V144" s="51">
        <v>558</v>
      </c>
      <c r="W144" s="51">
        <v>297</v>
      </c>
      <c r="X144" s="51"/>
      <c r="Y144" s="51"/>
      <c r="Z144" s="51">
        <v>477</v>
      </c>
      <c r="AA144" s="51">
        <v>1965</v>
      </c>
      <c r="AB144" s="51">
        <v>1369</v>
      </c>
      <c r="AC144" s="51">
        <v>279</v>
      </c>
      <c r="AD144" s="51">
        <v>379</v>
      </c>
      <c r="AE144" s="51">
        <v>816</v>
      </c>
      <c r="AF144" s="51">
        <v>199</v>
      </c>
      <c r="AG144" s="51">
        <v>1154</v>
      </c>
      <c r="AH144" s="51">
        <v>526</v>
      </c>
      <c r="AI144" s="51">
        <v>2088</v>
      </c>
      <c r="AJ144" s="51">
        <v>655</v>
      </c>
      <c r="AK144" s="51"/>
      <c r="AL144" s="51">
        <v>796</v>
      </c>
    </row>
    <row r="145" s="33" customFormat="1" ht="16.5" hidden="1" customHeight="1" spans="1:38">
      <c r="A145" s="46">
        <v>143</v>
      </c>
      <c r="B145" s="47" t="s">
        <v>97</v>
      </c>
      <c r="C145" s="46" t="s">
        <v>198</v>
      </c>
      <c r="D145" s="74" t="s">
        <v>482</v>
      </c>
      <c r="E145" s="49" t="s">
        <v>97</v>
      </c>
      <c r="F145" s="58" t="s">
        <v>506</v>
      </c>
      <c r="G145" s="51">
        <f t="shared" si="2"/>
        <v>5645.64</v>
      </c>
      <c r="H145" s="51"/>
      <c r="I145" s="51"/>
      <c r="J145" s="51"/>
      <c r="K145" s="51">
        <v>5645.64</v>
      </c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  <c r="AB145" s="51"/>
      <c r="AC145" s="51"/>
      <c r="AD145" s="51"/>
      <c r="AE145" s="51"/>
      <c r="AF145" s="51"/>
      <c r="AG145" s="51"/>
      <c r="AH145" s="51"/>
      <c r="AI145" s="51"/>
      <c r="AJ145" s="51"/>
      <c r="AK145" s="51"/>
      <c r="AL145" s="51"/>
    </row>
    <row r="146" s="33" customFormat="1" ht="16.5" hidden="1" customHeight="1" spans="1:38">
      <c r="A146" s="46">
        <v>144</v>
      </c>
      <c r="B146" s="47" t="s">
        <v>97</v>
      </c>
      <c r="C146" s="46" t="s">
        <v>198</v>
      </c>
      <c r="D146" s="74" t="s">
        <v>482</v>
      </c>
      <c r="E146" s="49" t="s">
        <v>97</v>
      </c>
      <c r="F146" s="58" t="s">
        <v>507</v>
      </c>
      <c r="G146" s="51">
        <f t="shared" si="2"/>
        <v>0</v>
      </c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  <c r="AB146" s="51"/>
      <c r="AC146" s="51"/>
      <c r="AD146" s="51"/>
      <c r="AE146" s="51"/>
      <c r="AF146" s="51"/>
      <c r="AG146" s="51"/>
      <c r="AH146" s="51"/>
      <c r="AI146" s="51"/>
      <c r="AJ146" s="51"/>
      <c r="AK146" s="51"/>
      <c r="AL146" s="51"/>
    </row>
    <row r="147" s="33" customFormat="1" ht="16.5" hidden="1" customHeight="1" spans="1:38">
      <c r="A147" s="46">
        <v>145</v>
      </c>
      <c r="B147" s="47" t="s">
        <v>97</v>
      </c>
      <c r="C147" s="46" t="s">
        <v>198</v>
      </c>
      <c r="D147" s="74" t="s">
        <v>482</v>
      </c>
      <c r="E147" s="49" t="s">
        <v>97</v>
      </c>
      <c r="F147" s="58" t="s">
        <v>508</v>
      </c>
      <c r="G147" s="51">
        <f t="shared" si="2"/>
        <v>28755.3</v>
      </c>
      <c r="H147" s="51"/>
      <c r="I147" s="51"/>
      <c r="J147" s="51"/>
      <c r="K147" s="51">
        <v>28755.3</v>
      </c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</row>
    <row r="148" s="33" customFormat="1" ht="16.5" hidden="1" customHeight="1" spans="1:38">
      <c r="A148" s="46">
        <v>146</v>
      </c>
      <c r="B148" s="47" t="s">
        <v>97</v>
      </c>
      <c r="C148" s="46" t="s">
        <v>198</v>
      </c>
      <c r="D148" s="74" t="s">
        <v>482</v>
      </c>
      <c r="E148" s="49" t="s">
        <v>97</v>
      </c>
      <c r="F148" s="58" t="s">
        <v>509</v>
      </c>
      <c r="G148" s="51">
        <f t="shared" si="2"/>
        <v>0</v>
      </c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</row>
    <row r="149" ht="16.5" hidden="1" customHeight="1" spans="1:38">
      <c r="A149" s="46">
        <v>147</v>
      </c>
      <c r="B149" s="47" t="s">
        <v>97</v>
      </c>
      <c r="C149" s="46" t="s">
        <v>198</v>
      </c>
      <c r="D149" s="74" t="s">
        <v>482</v>
      </c>
      <c r="E149" s="49" t="s">
        <v>97</v>
      </c>
      <c r="F149" s="58" t="s">
        <v>510</v>
      </c>
      <c r="G149" s="51">
        <f t="shared" si="2"/>
        <v>0</v>
      </c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  <c r="AB149" s="51"/>
      <c r="AC149" s="51"/>
      <c r="AD149" s="51"/>
      <c r="AE149" s="51"/>
      <c r="AF149" s="51"/>
      <c r="AG149" s="51"/>
      <c r="AH149" s="51"/>
      <c r="AI149" s="51"/>
      <c r="AJ149" s="51"/>
      <c r="AK149" s="51"/>
      <c r="AL149" s="51"/>
    </row>
    <row r="150" ht="15.6" hidden="1" spans="1:38">
      <c r="A150" s="46">
        <v>148</v>
      </c>
      <c r="B150" s="47" t="s">
        <v>97</v>
      </c>
      <c r="C150" s="46" t="s">
        <v>198</v>
      </c>
      <c r="D150" s="74" t="s">
        <v>482</v>
      </c>
      <c r="E150" s="49" t="s">
        <v>97</v>
      </c>
      <c r="F150" s="58" t="s">
        <v>511</v>
      </c>
      <c r="G150" s="51">
        <f t="shared" si="2"/>
        <v>0</v>
      </c>
      <c r="H150" s="51"/>
      <c r="I150" s="51"/>
      <c r="J150" s="51"/>
      <c r="K150" s="51"/>
      <c r="L150" s="51"/>
      <c r="M150" s="80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  <c r="AB150" s="51"/>
      <c r="AC150" s="51"/>
      <c r="AD150" s="51"/>
      <c r="AE150" s="51"/>
      <c r="AF150" s="51"/>
      <c r="AG150" s="51"/>
      <c r="AH150" s="51"/>
      <c r="AI150" s="51"/>
      <c r="AJ150" s="51"/>
      <c r="AK150" s="51"/>
      <c r="AL150" s="51"/>
    </row>
    <row r="151" hidden="1" spans="1:38">
      <c r="A151" s="46">
        <v>149</v>
      </c>
      <c r="B151" s="76" t="s">
        <v>512</v>
      </c>
      <c r="C151" s="77"/>
      <c r="D151" s="77"/>
      <c r="E151" s="77"/>
      <c r="F151" s="77"/>
      <c r="G151" s="51">
        <f t="shared" si="2"/>
        <v>0</v>
      </c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  <c r="AB151" s="51"/>
      <c r="AC151" s="51"/>
      <c r="AD151" s="51"/>
      <c r="AE151" s="51"/>
      <c r="AF151" s="51"/>
      <c r="AG151" s="33"/>
      <c r="AH151" s="51"/>
      <c r="AI151" s="51"/>
      <c r="AJ151" s="51"/>
      <c r="AK151" s="51"/>
      <c r="AL151" s="51"/>
    </row>
    <row r="152" hidden="1" spans="1:38">
      <c r="A152" s="46">
        <v>150</v>
      </c>
      <c r="B152" s="76" t="s">
        <v>513</v>
      </c>
      <c r="C152" s="77"/>
      <c r="D152" s="77"/>
      <c r="E152" s="77"/>
      <c r="F152" s="77"/>
      <c r="G152" s="51">
        <f t="shared" si="2"/>
        <v>801332.73</v>
      </c>
      <c r="H152" s="51"/>
      <c r="I152" s="51"/>
      <c r="J152" s="51"/>
      <c r="K152" s="51"/>
      <c r="L152" s="51">
        <v>10000</v>
      </c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>
        <v>2598.23</v>
      </c>
      <c r="Y152" s="51"/>
      <c r="Z152" s="51"/>
      <c r="AA152" s="51"/>
      <c r="AB152" s="51"/>
      <c r="AC152" s="51"/>
      <c r="AD152" s="51">
        <v>12960</v>
      </c>
      <c r="AE152" s="51">
        <v>600</v>
      </c>
      <c r="AF152" s="51">
        <v>135534.5</v>
      </c>
      <c r="AG152" s="51">
        <v>64640</v>
      </c>
      <c r="AH152" s="51"/>
      <c r="AI152" s="51"/>
      <c r="AJ152" s="51"/>
      <c r="AK152" s="51"/>
      <c r="AL152" s="51">
        <v>575000</v>
      </c>
    </row>
    <row r="153" hidden="1" spans="1:38">
      <c r="A153" s="46">
        <v>151</v>
      </c>
      <c r="B153" s="76" t="s">
        <v>398</v>
      </c>
      <c r="C153" s="77"/>
      <c r="D153" s="77"/>
      <c r="E153" s="77"/>
      <c r="F153" s="77"/>
      <c r="G153" s="51">
        <f t="shared" si="2"/>
        <v>16245.37</v>
      </c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>
        <f>1640+7013.7</f>
        <v>8653.7</v>
      </c>
      <c r="W153" s="51"/>
      <c r="X153" s="51"/>
      <c r="Y153" s="51"/>
      <c r="Z153" s="51">
        <v>2169.86</v>
      </c>
      <c r="AA153" s="51"/>
      <c r="AB153" s="51"/>
      <c r="AC153" s="51">
        <f>961.82+961.82+107.49</f>
        <v>2031.13</v>
      </c>
      <c r="AD153" s="51">
        <f>7.12+3383.56</f>
        <v>3390.68</v>
      </c>
      <c r="AE153" s="51"/>
      <c r="AF153" s="51"/>
      <c r="AG153" s="51"/>
      <c r="AH153" s="51"/>
      <c r="AI153" s="51"/>
      <c r="AJ153" s="51"/>
      <c r="AK153" s="51"/>
      <c r="AL153" s="51"/>
    </row>
    <row r="154" ht="20.25" hidden="1" customHeight="1" spans="1:38">
      <c r="A154" s="78" t="s">
        <v>82</v>
      </c>
      <c r="B154" s="78"/>
      <c r="C154" s="78"/>
      <c r="D154" s="78"/>
      <c r="E154" s="78"/>
      <c r="F154" s="78"/>
      <c r="G154" s="79">
        <f>SUM(G3:G153)</f>
        <v>4310919.67</v>
      </c>
      <c r="H154" s="79">
        <f t="shared" ref="H154:AL154" si="3">SUM(H3:H153)</f>
        <v>-347864.48</v>
      </c>
      <c r="I154" s="79">
        <f t="shared" si="3"/>
        <v>348039.29</v>
      </c>
      <c r="J154" s="79">
        <f t="shared" si="3"/>
        <v>143395.66</v>
      </c>
      <c r="K154" s="79">
        <f t="shared" si="3"/>
        <v>140496.03</v>
      </c>
      <c r="L154" s="79">
        <f t="shared" si="3"/>
        <v>195743.85</v>
      </c>
      <c r="M154" s="79">
        <f t="shared" si="3"/>
        <v>16391</v>
      </c>
      <c r="N154" s="79">
        <f t="shared" si="3"/>
        <v>18085</v>
      </c>
      <c r="O154" s="79">
        <f t="shared" si="3"/>
        <v>238670.73</v>
      </c>
      <c r="P154" s="79">
        <f t="shared" si="3"/>
        <v>64819.15</v>
      </c>
      <c r="Q154" s="79">
        <f t="shared" si="3"/>
        <v>43387.38</v>
      </c>
      <c r="R154" s="79">
        <f t="shared" si="3"/>
        <v>63901.69</v>
      </c>
      <c r="S154" s="79">
        <f t="shared" si="3"/>
        <v>57521.92</v>
      </c>
      <c r="T154" s="79">
        <f t="shared" si="3"/>
        <v>11878</v>
      </c>
      <c r="U154" s="79">
        <f t="shared" si="3"/>
        <v>9930</v>
      </c>
      <c r="V154" s="79">
        <f t="shared" si="3"/>
        <v>338679.06</v>
      </c>
      <c r="W154" s="79">
        <f t="shared" si="3"/>
        <v>58935.15</v>
      </c>
      <c r="X154" s="79">
        <f t="shared" si="3"/>
        <v>52619.76</v>
      </c>
      <c r="Y154" s="79">
        <f t="shared" si="3"/>
        <v>187327.14</v>
      </c>
      <c r="Z154" s="79">
        <f t="shared" si="3"/>
        <v>157153.71</v>
      </c>
      <c r="AA154" s="79">
        <f t="shared" si="3"/>
        <v>15865</v>
      </c>
      <c r="AB154" s="79">
        <f t="shared" si="3"/>
        <v>13897</v>
      </c>
      <c r="AC154" s="79">
        <f t="shared" si="3"/>
        <v>354743.38</v>
      </c>
      <c r="AD154" s="79">
        <f t="shared" si="3"/>
        <v>200753.63</v>
      </c>
      <c r="AE154" s="79">
        <f t="shared" si="3"/>
        <v>201620.23</v>
      </c>
      <c r="AF154" s="79">
        <f t="shared" si="3"/>
        <v>335600.26</v>
      </c>
      <c r="AG154" s="79">
        <f t="shared" si="3"/>
        <v>112629.77</v>
      </c>
      <c r="AH154" s="79">
        <f t="shared" si="3"/>
        <v>12907</v>
      </c>
      <c r="AI154" s="79">
        <f t="shared" si="3"/>
        <v>11884</v>
      </c>
      <c r="AJ154" s="79">
        <f t="shared" si="3"/>
        <v>314533.78</v>
      </c>
      <c r="AK154" s="79">
        <f t="shared" si="3"/>
        <v>59193.47</v>
      </c>
      <c r="AL154" s="79">
        <f t="shared" si="3"/>
        <v>878182.11</v>
      </c>
    </row>
  </sheetData>
  <autoFilter ref="A2:AS154">
    <filterColumn colId="1">
      <customFilters>
        <customFilter operator="equal" val="渠道组"/>
      </customFilters>
    </filterColumn>
    <extLst/>
  </autoFilter>
  <mergeCells count="9">
    <mergeCell ref="A1:G1"/>
    <mergeCell ref="B151:F151"/>
    <mergeCell ref="B152:F152"/>
    <mergeCell ref="B153:F153"/>
    <mergeCell ref="A154:F154"/>
    <mergeCell ref="C3:C4"/>
    <mergeCell ref="C6:C11"/>
    <mergeCell ref="C12:C20"/>
    <mergeCell ref="C21:C121"/>
  </mergeCells>
  <pageMargins left="0.699305555555556" right="0.699305555555556" top="0.75" bottom="0.75" header="0.3" footer="0.3"/>
  <pageSetup paperSize="9" orientation="portrait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tabSelected="1" workbookViewId="0">
      <selection activeCell="H14" sqref="H14"/>
    </sheetView>
  </sheetViews>
  <sheetFormatPr defaultColWidth="9" defaultRowHeight="15.6"/>
  <cols>
    <col min="1" max="1" width="8.5" style="2" customWidth="1"/>
    <col min="2" max="2" width="11.1296296296296" style="2" customWidth="1"/>
    <col min="3" max="3" width="10.3796296296296" style="2" customWidth="1"/>
    <col min="4" max="4" width="30.5" style="2" customWidth="1"/>
    <col min="5" max="5" width="27.8796296296296" style="2" customWidth="1"/>
    <col min="6" max="8" width="13.3796296296296" style="3" customWidth="1"/>
    <col min="9" max="9" width="19.1296296296296" style="2" customWidth="1"/>
    <col min="10" max="16384" width="9" style="2"/>
  </cols>
  <sheetData>
    <row r="1" ht="20.4" spans="1:8">
      <c r="A1" s="4" t="s">
        <v>514</v>
      </c>
      <c r="B1" s="4"/>
      <c r="C1" s="4"/>
      <c r="D1" s="4"/>
      <c r="E1" s="4"/>
      <c r="F1" s="4"/>
      <c r="G1" s="4"/>
      <c r="H1" s="4"/>
    </row>
    <row r="2" spans="1:8">
      <c r="A2" s="5" t="s">
        <v>515</v>
      </c>
      <c r="B2" s="5" t="s">
        <v>516</v>
      </c>
      <c r="C2" s="5" t="s">
        <v>517</v>
      </c>
      <c r="D2" s="5" t="s">
        <v>518</v>
      </c>
      <c r="E2" s="5" t="s">
        <v>519</v>
      </c>
      <c r="F2" s="6" t="s">
        <v>520</v>
      </c>
      <c r="G2" s="6"/>
      <c r="H2" s="6"/>
    </row>
    <row r="3" spans="1:8">
      <c r="A3" s="5"/>
      <c r="B3" s="5"/>
      <c r="C3" s="5"/>
      <c r="D3" s="5"/>
      <c r="E3" s="5"/>
      <c r="F3" s="6" t="s">
        <v>156</v>
      </c>
      <c r="G3" s="6" t="s">
        <v>157</v>
      </c>
      <c r="H3" s="6" t="s">
        <v>121</v>
      </c>
    </row>
    <row r="4" ht="15" spans="1:8">
      <c r="A4" s="7"/>
      <c r="B4" s="8"/>
      <c r="C4" s="9"/>
      <c r="D4" s="10"/>
      <c r="E4" s="11"/>
      <c r="F4" s="12"/>
      <c r="G4" s="13"/>
      <c r="H4" s="14">
        <f>F4+G4</f>
        <v>0</v>
      </c>
    </row>
    <row r="5" ht="15" spans="1:8">
      <c r="A5" s="7"/>
      <c r="B5" s="8"/>
      <c r="C5" s="15"/>
      <c r="D5" s="16"/>
      <c r="E5" s="17"/>
      <c r="F5" s="18"/>
      <c r="G5" s="13"/>
      <c r="H5" s="14">
        <f t="shared" ref="H5:H21" si="0">F5+G5</f>
        <v>0</v>
      </c>
    </row>
    <row r="6" ht="15" spans="1:8">
      <c r="A6" s="7"/>
      <c r="B6" s="8"/>
      <c r="C6" s="15"/>
      <c r="D6" s="16"/>
      <c r="E6" s="17"/>
      <c r="F6" s="18"/>
      <c r="G6" s="13"/>
      <c r="H6" s="14">
        <f t="shared" si="0"/>
        <v>0</v>
      </c>
    </row>
    <row r="7" ht="15" spans="1:8">
      <c r="A7" s="7"/>
      <c r="B7" s="8"/>
      <c r="C7" s="15"/>
      <c r="D7" s="16"/>
      <c r="E7" s="17"/>
      <c r="F7" s="18"/>
      <c r="G7" s="13"/>
      <c r="H7" s="14">
        <f t="shared" si="0"/>
        <v>0</v>
      </c>
    </row>
    <row r="8" s="1" customFormat="1" spans="1:9">
      <c r="A8" s="7"/>
      <c r="B8" s="8"/>
      <c r="C8" s="15"/>
      <c r="D8" s="16"/>
      <c r="E8" s="17"/>
      <c r="F8" s="18"/>
      <c r="G8" s="19"/>
      <c r="H8" s="14">
        <f t="shared" si="0"/>
        <v>0</v>
      </c>
      <c r="I8" s="31"/>
    </row>
    <row r="9" s="1" customFormat="1" spans="1:9">
      <c r="A9" s="7"/>
      <c r="B9" s="8"/>
      <c r="C9" s="15"/>
      <c r="D9" s="16"/>
      <c r="E9" s="17"/>
      <c r="F9" s="18"/>
      <c r="G9" s="19"/>
      <c r="H9" s="14">
        <f t="shared" si="0"/>
        <v>0</v>
      </c>
      <c r="I9" s="31"/>
    </row>
    <row r="10" s="1" customFormat="1" spans="1:9">
      <c r="A10" s="7"/>
      <c r="B10" s="8"/>
      <c r="C10" s="15"/>
      <c r="D10" s="16"/>
      <c r="E10" s="17"/>
      <c r="F10" s="18"/>
      <c r="G10" s="19"/>
      <c r="H10" s="14">
        <f t="shared" si="0"/>
        <v>0</v>
      </c>
      <c r="I10" s="31"/>
    </row>
    <row r="11" ht="15" spans="1:8">
      <c r="A11" s="7"/>
      <c r="B11" s="8"/>
      <c r="C11" s="15"/>
      <c r="D11" s="16"/>
      <c r="E11" s="17"/>
      <c r="F11" s="18"/>
      <c r="G11" s="19"/>
      <c r="H11" s="14">
        <f t="shared" si="0"/>
        <v>0</v>
      </c>
    </row>
    <row r="12" ht="15" spans="1:8">
      <c r="A12" s="20"/>
      <c r="B12" s="8"/>
      <c r="C12" s="21"/>
      <c r="D12" s="22"/>
      <c r="E12" s="17"/>
      <c r="F12" s="23"/>
      <c r="G12" s="19"/>
      <c r="H12" s="14">
        <f t="shared" si="0"/>
        <v>0</v>
      </c>
    </row>
    <row r="13" ht="15" spans="1:8">
      <c r="A13" s="20"/>
      <c r="B13" s="8"/>
      <c r="C13" s="21"/>
      <c r="D13" s="22"/>
      <c r="E13" s="17"/>
      <c r="F13" s="23"/>
      <c r="G13" s="18"/>
      <c r="H13" s="14">
        <f t="shared" si="0"/>
        <v>0</v>
      </c>
    </row>
    <row r="14" ht="15" spans="1:8">
      <c r="A14" s="20"/>
      <c r="B14" s="8"/>
      <c r="C14" s="21"/>
      <c r="D14" s="24"/>
      <c r="E14" s="25"/>
      <c r="F14" s="23"/>
      <c r="G14" s="18"/>
      <c r="H14" s="14">
        <f t="shared" si="0"/>
        <v>0</v>
      </c>
    </row>
    <row r="15" ht="15" spans="1:8">
      <c r="A15" s="20"/>
      <c r="B15" s="8"/>
      <c r="C15" s="21"/>
      <c r="D15" s="22"/>
      <c r="E15" s="25"/>
      <c r="F15" s="23"/>
      <c r="G15" s="18"/>
      <c r="H15" s="14">
        <f t="shared" si="0"/>
        <v>0</v>
      </c>
    </row>
    <row r="16" ht="15" spans="1:8">
      <c r="A16" s="20"/>
      <c r="B16" s="8"/>
      <c r="C16" s="21"/>
      <c r="D16" s="26"/>
      <c r="E16" s="27"/>
      <c r="F16" s="23"/>
      <c r="G16" s="28"/>
      <c r="H16" s="14">
        <f t="shared" si="0"/>
        <v>0</v>
      </c>
    </row>
    <row r="17" ht="15" spans="1:8">
      <c r="A17" s="20"/>
      <c r="B17" s="8"/>
      <c r="C17" s="21"/>
      <c r="D17" s="29"/>
      <c r="E17" s="29"/>
      <c r="F17" s="23"/>
      <c r="G17" s="19"/>
      <c r="H17" s="14">
        <f t="shared" si="0"/>
        <v>0</v>
      </c>
    </row>
    <row r="18" ht="15" spans="1:8">
      <c r="A18" s="20"/>
      <c r="B18" s="8"/>
      <c r="C18" s="21"/>
      <c r="D18" s="22"/>
      <c r="E18" s="29"/>
      <c r="F18" s="23"/>
      <c r="G18" s="19"/>
      <c r="H18" s="14">
        <f t="shared" si="0"/>
        <v>0</v>
      </c>
    </row>
    <row r="19" ht="15" spans="1:8">
      <c r="A19" s="20"/>
      <c r="B19" s="8"/>
      <c r="C19" s="21"/>
      <c r="D19" s="22"/>
      <c r="E19" s="29"/>
      <c r="F19" s="19"/>
      <c r="G19" s="19"/>
      <c r="H19" s="14">
        <f t="shared" si="0"/>
        <v>0</v>
      </c>
    </row>
    <row r="20" ht="15" spans="1:8">
      <c r="A20" s="20"/>
      <c r="B20" s="8"/>
      <c r="C20" s="21"/>
      <c r="D20" s="29"/>
      <c r="E20" s="29"/>
      <c r="F20" s="19"/>
      <c r="G20" s="19"/>
      <c r="H20" s="14">
        <f t="shared" si="0"/>
        <v>0</v>
      </c>
    </row>
    <row r="21" ht="15" spans="1:8">
      <c r="A21" s="20"/>
      <c r="B21" s="20"/>
      <c r="C21" s="21"/>
      <c r="D21" s="29"/>
      <c r="E21" s="29"/>
      <c r="F21" s="30">
        <f>SUM(F4:F20)</f>
        <v>0</v>
      </c>
      <c r="G21" s="30">
        <f>SUM(G4:G20)</f>
        <v>0</v>
      </c>
      <c r="H21" s="30">
        <f>SUM(H4:H20)</f>
        <v>0</v>
      </c>
    </row>
  </sheetData>
  <mergeCells count="7">
    <mergeCell ref="A1:H1"/>
    <mergeCell ref="F2:H2"/>
    <mergeCell ref="A2:A3"/>
    <mergeCell ref="B2:B3"/>
    <mergeCell ref="C2:C3"/>
    <mergeCell ref="D2:D3"/>
    <mergeCell ref="E2:E3"/>
  </mergeCells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5" master=""/>
  <rangeList sheetStid="2" master=""/>
  <rangeList sheetStid="4" master="">
    <arrUserId title="区域2" rangeCreator="" othersAccessPermission="edit"/>
    <arrUserId title="区域1" rangeCreator="" othersAccessPermission="edit"/>
  </rangeList>
  <rangeList sheetStid="23" master=""/>
  <rangeList sheetStid="3" master="">
    <arrUserId title="区域1" rangeCreator="" othersAccessPermission="edit"/>
  </rangeList>
  <rangeList sheetStid="11" master="">
    <arrUserId title="区域1" rangeCreator="" othersAccessPermission="edit"/>
  </rangeList>
  <rangeList sheetStid="12" master="">
    <arrUserId title="区域1" rangeCreator="" othersAccessPermission="edit"/>
  </rangeList>
  <rangeList sheetStid="5" master=""/>
  <rangeList sheetStid="10" master="">
    <arrUserId title="区域1" rangeCreator="" othersAccessPermission="edit"/>
  </rangeList>
  <rangeList sheetStid="15" master="">
    <arrUserId title="区域1" rangeCreator="" othersAccessPermission="edit"/>
  </rangeList>
  <rangeList sheetStid="13" master="">
    <arrUserId title="区域1" rangeCreator="" othersAccessPermission="edit"/>
  </rangeList>
  <rangeList sheetStid="14" master="">
    <arrUserId title="区域1" rangeCreator="" othersAccessPermission="edit"/>
  </rangeList>
  <rangeList sheetStid="16" master="">
    <arrUserId title="区域1" rangeCreator="" othersAccessPermission="edit"/>
    <arrUserId title="区域1_2" rangeCreator="" othersAccessPermission="edit"/>
  </rangeList>
  <rangeList sheetStid="6" master=""/>
  <rangeList sheetStid="19" master="">
    <arrUserId title="区域1" rangeCreator="" othersAccessPermission="edit"/>
  </rangeList>
  <rangeList sheetStid="24" master=""/>
  <rangeList sheetStid="20" master=""/>
  <rangeList sheetStid="21" master=""/>
  <rangeList sheetStid="22" master="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资金预算汇总表</vt:lpstr>
      <vt:lpstr>运营整体预算执行情况</vt:lpstr>
      <vt:lpstr>运营收款预算表</vt:lpstr>
      <vt:lpstr>供应商货款</vt:lpstr>
      <vt:lpstr>应付票据明细</vt:lpstr>
      <vt:lpstr>线下门店收款预算表</vt:lpstr>
      <vt:lpstr>人力资源部</vt:lpstr>
      <vt:lpstr>财务部</vt:lpstr>
      <vt:lpstr>电商</vt:lpstr>
      <vt:lpstr>销售支持组</vt:lpstr>
      <vt:lpstr>线下销售部</vt:lpstr>
      <vt:lpstr>市场部</vt:lpstr>
      <vt:lpstr>电商设计部</vt:lpstr>
      <vt:lpstr>产品设计部</vt:lpstr>
      <vt:lpstr>采购部</vt:lpstr>
      <vt:lpstr>行政部</vt:lpstr>
      <vt:lpstr>差异明细</vt:lpstr>
      <vt:lpstr>付款统计表</vt:lpstr>
      <vt:lpstr>收款日报表</vt:lpstr>
      <vt:lpstr>货款付款统计表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陈东捷</cp:lastModifiedBy>
  <dcterms:created xsi:type="dcterms:W3CDTF">2006-09-16T00:00:00Z</dcterms:created>
  <dcterms:modified xsi:type="dcterms:W3CDTF">2023-01-11T09:53:25Z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ICV">
    <vt:lpwstr>6C9DC19CBB1A4CAAB0081011BD0898E7</vt:lpwstr>
  </property>
</Properties>
</file>