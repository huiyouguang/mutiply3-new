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招待费预算" sheetId="1" r:id="rId1"/>
  </sheets>
  <calcPr calcId="144525"/>
</workbook>
</file>

<file path=xl/sharedStrings.xml><?xml version="1.0" encoding="utf-8"?>
<sst xmlns="http://schemas.openxmlformats.org/spreadsheetml/2006/main" count="31" uniqueCount="25">
  <si>
    <t>某公司20XX年招待费预算</t>
  </si>
  <si>
    <t>组织机构及岗位名称</t>
  </si>
  <si>
    <t>有效工作时间</t>
  </si>
  <si>
    <t>每月
频率</t>
  </si>
  <si>
    <t>每次
人数</t>
  </si>
  <si>
    <t>餐费</t>
  </si>
  <si>
    <t>礼品</t>
  </si>
  <si>
    <t>其他</t>
  </si>
  <si>
    <t>预算
金额</t>
  </si>
  <si>
    <t>工作
时间</t>
  </si>
  <si>
    <t>节假日</t>
  </si>
  <si>
    <t>公司
年假</t>
  </si>
  <si>
    <t>合计</t>
  </si>
  <si>
    <t>标准</t>
  </si>
  <si>
    <t>金额</t>
  </si>
  <si>
    <t>老板</t>
  </si>
  <si>
    <t>销售总监</t>
  </si>
  <si>
    <t>销售区域经理</t>
  </si>
  <si>
    <t>销售主管</t>
  </si>
  <si>
    <t>销售员(上海)</t>
  </si>
  <si>
    <t>销售员(浙江)</t>
  </si>
  <si>
    <t>销售员(福建)</t>
  </si>
  <si>
    <t>销售员(江苏)</t>
  </si>
  <si>
    <t>销售员(安徽)</t>
  </si>
  <si>
    <t>编制说明：
1. 招待费是社会关系的“润滑油”。
2.编制招待费预算时，应该按照岗位与外界接触的频率、关联性质、档次来确定发生招待费的可能岗位。很多岗位并没有招待任务。
3. 招待活动必须控制在一个合理的频率之中。所谓合理的频率，就是指有足够的“精力、时间和招待范围”。在编制预算时，应该对每个有关岗位都设定可接受的招待频率和招待范围。
4.招待费也跟参加的人数和级别有关。通常级别越高，招待的档次就越高，花的钱也越多；参加的人越多，花费也就越大。
5.在编制预算时，必须对不同岗位的招待标准进行控制，使每个人都知道招待费的开支是有上限的。如果当员工在酒桌上打开酒瓶时想到了预算控制，那就说明招待费的预算控制已经发挥了功效。
6.招待费失控，很多情况下是因为自己“招待”自己。
7.公司内部建立良好的关系花费的吃喝费用不是招待费，而是团队建设费用，需要用另外的方式管理。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</si>
</sst>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5">
    <font>
      <sz val="11"/>
      <color theme="1"/>
      <name val="等线"/>
      <charset val="134"/>
      <scheme val="minor"/>
    </font>
    <font>
      <sz val="11"/>
      <color theme="1"/>
      <name val="Microsoft YaHei Light"/>
      <charset val="134"/>
    </font>
    <font>
      <sz val="12"/>
      <color theme="1"/>
      <name val="Microsoft YaHei Light"/>
      <charset val="134"/>
    </font>
    <font>
      <b/>
      <sz val="20"/>
      <color rgb="FF000000"/>
      <name val="Microsoft YaHei Light"/>
      <charset val="134"/>
    </font>
    <font>
      <b/>
      <sz val="12"/>
      <color rgb="FF000000"/>
      <name val="Microsoft YaHei Light"/>
      <charset val="134"/>
    </font>
    <font>
      <sz val="12"/>
      <color rgb="FF000000"/>
      <name val="Microsoft YaHei Light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3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2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35" applyNumberFormat="0" applyAlignment="0" applyProtection="0">
      <alignment vertical="center"/>
    </xf>
    <xf numFmtId="0" fontId="19" fillId="13" borderId="31" applyNumberFormat="0" applyAlignment="0" applyProtection="0">
      <alignment vertical="center"/>
    </xf>
    <xf numFmtId="0" fontId="20" fillId="14" borderId="3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6" xfId="0" applyFont="1" applyBorder="1"/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7" xfId="0" applyNumberFormat="1" applyFont="1" applyBorder="1" applyAlignment="1">
      <alignment horizontal="center" vertical="center" wrapText="1"/>
    </xf>
    <xf numFmtId="176" fontId="5" fillId="3" borderId="21" xfId="0" applyNumberFormat="1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176" fontId="5" fillId="0" borderId="28" xfId="0" applyNumberFormat="1" applyFont="1" applyBorder="1" applyAlignment="1">
      <alignment horizontal="center" vertical="center" wrapText="1"/>
    </xf>
    <xf numFmtId="176" fontId="5" fillId="0" borderId="29" xfId="0" applyNumberFormat="1" applyFont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28"/>
  <sheetViews>
    <sheetView showGridLines="0" tabSelected="1" zoomScale="115" zoomScaleNormal="115" workbookViewId="0">
      <pane xSplit="7" ySplit="7" topLeftCell="H17" activePane="bottomRight" state="frozen"/>
      <selection/>
      <selection pane="topRight"/>
      <selection pane="bottomLeft"/>
      <selection pane="bottomRight" activeCell="T19" sqref="T19"/>
    </sheetView>
  </sheetViews>
  <sheetFormatPr defaultColWidth="9" defaultRowHeight="15.6"/>
  <cols>
    <col min="1" max="1" width="8.66666666666667" style="1"/>
    <col min="2" max="2" width="3.16666666666667" style="1" customWidth="1"/>
    <col min="3" max="3" width="3.91666666666667" style="1" customWidth="1"/>
    <col min="4" max="4" width="4.16666666666667" style="1" customWidth="1"/>
    <col min="5" max="5" width="3.41666666666667" style="1" customWidth="1"/>
    <col min="6" max="6" width="14.25" style="1" customWidth="1"/>
    <col min="7" max="18" width="8.66666666666667" style="1"/>
    <col min="19" max="19" width="9.16666666666667" style="1" customWidth="1"/>
    <col min="20" max="16384" width="8.66666666666667" style="1"/>
  </cols>
  <sheetData>
    <row r="2" ht="4.15" customHeight="1" spans="2:19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8.8" spans="2:19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18" customHeight="1" spans="2:19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5.75" customHeight="1" spans="2:19">
      <c r="B5" s="4" t="s">
        <v>1</v>
      </c>
      <c r="C5" s="5"/>
      <c r="D5" s="5"/>
      <c r="E5" s="5"/>
      <c r="F5" s="6"/>
      <c r="G5" s="7" t="s">
        <v>2</v>
      </c>
      <c r="H5" s="8"/>
      <c r="I5" s="8"/>
      <c r="J5" s="35"/>
      <c r="K5" s="36" t="s">
        <v>3</v>
      </c>
      <c r="L5" s="36" t="s">
        <v>4</v>
      </c>
      <c r="M5" s="7" t="s">
        <v>5</v>
      </c>
      <c r="N5" s="35"/>
      <c r="O5" s="7" t="s">
        <v>6</v>
      </c>
      <c r="P5" s="35"/>
      <c r="Q5" s="7" t="s">
        <v>7</v>
      </c>
      <c r="R5" s="35"/>
      <c r="S5" s="41" t="s">
        <v>8</v>
      </c>
    </row>
    <row r="6" ht="15.75" customHeight="1" spans="2:19">
      <c r="B6" s="9"/>
      <c r="C6" s="10"/>
      <c r="D6" s="10"/>
      <c r="E6" s="10"/>
      <c r="F6" s="11"/>
      <c r="G6" s="12" t="s">
        <v>9</v>
      </c>
      <c r="H6" s="12" t="s">
        <v>10</v>
      </c>
      <c r="I6" s="12" t="s">
        <v>11</v>
      </c>
      <c r="J6" s="12" t="s">
        <v>12</v>
      </c>
      <c r="K6" s="37"/>
      <c r="L6" s="37"/>
      <c r="M6" s="12" t="s">
        <v>13</v>
      </c>
      <c r="N6" s="12" t="s">
        <v>14</v>
      </c>
      <c r="O6" s="12" t="s">
        <v>13</v>
      </c>
      <c r="P6" s="12" t="s">
        <v>14</v>
      </c>
      <c r="Q6" s="12" t="s">
        <v>13</v>
      </c>
      <c r="R6" s="12" t="s">
        <v>14</v>
      </c>
      <c r="S6" s="42"/>
    </row>
    <row r="7" ht="15.75" customHeight="1" spans="2:19">
      <c r="B7" s="13"/>
      <c r="C7" s="14"/>
      <c r="D7" s="14"/>
      <c r="E7" s="14"/>
      <c r="F7" s="15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43"/>
    </row>
    <row r="8" ht="22" customHeight="1" spans="2:19">
      <c r="B8" s="17" t="s">
        <v>15</v>
      </c>
      <c r="C8" s="18"/>
      <c r="D8" s="18"/>
      <c r="E8" s="18"/>
      <c r="F8" s="19"/>
      <c r="G8" s="20">
        <v>364</v>
      </c>
      <c r="H8" s="20">
        <v>-112</v>
      </c>
      <c r="I8" s="20">
        <v>-21</v>
      </c>
      <c r="J8" s="20">
        <v>231</v>
      </c>
      <c r="K8" s="20">
        <v>2</v>
      </c>
      <c r="L8" s="20">
        <v>4</v>
      </c>
      <c r="M8" s="20">
        <v>150</v>
      </c>
      <c r="N8" s="38">
        <f t="shared" ref="N8:N17" si="0">K8*L8*M8</f>
        <v>1200</v>
      </c>
      <c r="O8" s="20">
        <v>2500</v>
      </c>
      <c r="P8" s="38">
        <f>K8*L8*O8</f>
        <v>20000</v>
      </c>
      <c r="Q8" s="20"/>
      <c r="R8" s="38"/>
      <c r="S8" s="44">
        <f t="shared" ref="S8:S17" si="1">N8+P8+R8</f>
        <v>21200</v>
      </c>
    </row>
    <row r="9" ht="22" customHeight="1" spans="2:19">
      <c r="B9" s="21"/>
      <c r="C9" s="22" t="s">
        <v>16</v>
      </c>
      <c r="D9" s="23"/>
      <c r="E9" s="23"/>
      <c r="F9" s="24"/>
      <c r="G9" s="20">
        <v>364</v>
      </c>
      <c r="H9" s="20">
        <v>-112</v>
      </c>
      <c r="I9" s="20">
        <v>-14</v>
      </c>
      <c r="J9" s="20">
        <v>238</v>
      </c>
      <c r="K9" s="20">
        <v>2</v>
      </c>
      <c r="L9" s="20">
        <v>4</v>
      </c>
      <c r="M9" s="20">
        <v>100</v>
      </c>
      <c r="N9" s="38">
        <f t="shared" si="0"/>
        <v>800</v>
      </c>
      <c r="O9" s="20"/>
      <c r="P9" s="38"/>
      <c r="Q9" s="20"/>
      <c r="R9" s="38"/>
      <c r="S9" s="44">
        <f t="shared" si="1"/>
        <v>800</v>
      </c>
    </row>
    <row r="10" ht="22" customHeight="1" spans="2:19">
      <c r="B10" s="21"/>
      <c r="D10" s="22" t="s">
        <v>17</v>
      </c>
      <c r="E10" s="23"/>
      <c r="F10" s="24"/>
      <c r="G10" s="20">
        <v>364</v>
      </c>
      <c r="H10" s="20">
        <v>-112</v>
      </c>
      <c r="I10" s="20">
        <v>-10</v>
      </c>
      <c r="J10" s="20">
        <v>242</v>
      </c>
      <c r="K10" s="20">
        <v>3</v>
      </c>
      <c r="L10" s="20">
        <v>5</v>
      </c>
      <c r="M10" s="20">
        <v>80</v>
      </c>
      <c r="N10" s="38">
        <f t="shared" si="0"/>
        <v>1200</v>
      </c>
      <c r="O10" s="20">
        <v>500</v>
      </c>
      <c r="P10" s="38">
        <f>K10*L10*O10</f>
        <v>7500</v>
      </c>
      <c r="Q10" s="20"/>
      <c r="R10" s="38"/>
      <c r="S10" s="44">
        <f t="shared" si="1"/>
        <v>8700</v>
      </c>
    </row>
    <row r="11" ht="22" customHeight="1" spans="2:19">
      <c r="B11" s="21"/>
      <c r="D11" s="23"/>
      <c r="E11" s="22" t="s">
        <v>18</v>
      </c>
      <c r="F11" s="24"/>
      <c r="G11" s="20">
        <v>364</v>
      </c>
      <c r="H11" s="20">
        <v>-112</v>
      </c>
      <c r="I11" s="20">
        <v>-7</v>
      </c>
      <c r="J11" s="20">
        <v>245</v>
      </c>
      <c r="K11" s="20">
        <v>4</v>
      </c>
      <c r="L11" s="20">
        <v>4</v>
      </c>
      <c r="M11" s="20">
        <v>50</v>
      </c>
      <c r="N11" s="38">
        <f t="shared" si="0"/>
        <v>800</v>
      </c>
      <c r="O11" s="20">
        <v>250</v>
      </c>
      <c r="P11" s="38">
        <f>K11*L11*O11</f>
        <v>4000</v>
      </c>
      <c r="Q11" s="20"/>
      <c r="R11" s="38"/>
      <c r="S11" s="44">
        <f t="shared" si="1"/>
        <v>4800</v>
      </c>
    </row>
    <row r="12" ht="22" customHeight="1" spans="2:19">
      <c r="B12" s="21"/>
      <c r="D12" s="23"/>
      <c r="E12" s="22"/>
      <c r="F12" s="25" t="s">
        <v>19</v>
      </c>
      <c r="G12" s="20">
        <v>364</v>
      </c>
      <c r="H12" s="20">
        <v>-112</v>
      </c>
      <c r="I12" s="20">
        <v>-5</v>
      </c>
      <c r="J12" s="20">
        <v>247</v>
      </c>
      <c r="K12" s="20"/>
      <c r="L12" s="20"/>
      <c r="M12" s="20"/>
      <c r="N12" s="38">
        <f t="shared" si="0"/>
        <v>0</v>
      </c>
      <c r="O12" s="20"/>
      <c r="P12" s="38"/>
      <c r="Q12" s="20"/>
      <c r="R12" s="38"/>
      <c r="S12" s="44">
        <f t="shared" si="1"/>
        <v>0</v>
      </c>
    </row>
    <row r="13" ht="22" customHeight="1" spans="2:19">
      <c r="B13" s="21"/>
      <c r="D13" s="23"/>
      <c r="E13" s="22"/>
      <c r="F13" s="25" t="s">
        <v>20</v>
      </c>
      <c r="G13" s="20">
        <v>364</v>
      </c>
      <c r="H13" s="20">
        <v>-112</v>
      </c>
      <c r="I13" s="20">
        <v>-5</v>
      </c>
      <c r="J13" s="20">
        <v>247</v>
      </c>
      <c r="K13" s="20"/>
      <c r="L13" s="20"/>
      <c r="M13" s="20"/>
      <c r="N13" s="38">
        <f t="shared" si="0"/>
        <v>0</v>
      </c>
      <c r="O13" s="20"/>
      <c r="P13" s="38"/>
      <c r="Q13" s="20"/>
      <c r="R13" s="38"/>
      <c r="S13" s="44">
        <f t="shared" si="1"/>
        <v>0</v>
      </c>
    </row>
    <row r="14" ht="22" customHeight="1" spans="2:19">
      <c r="B14" s="21"/>
      <c r="D14" s="23"/>
      <c r="E14" s="22"/>
      <c r="F14" s="25" t="s">
        <v>21</v>
      </c>
      <c r="G14" s="20">
        <v>364</v>
      </c>
      <c r="H14" s="20">
        <v>-112</v>
      </c>
      <c r="I14" s="20">
        <v>-5</v>
      </c>
      <c r="J14" s="20">
        <v>247</v>
      </c>
      <c r="K14" s="20"/>
      <c r="L14" s="20"/>
      <c r="M14" s="20"/>
      <c r="N14" s="38">
        <f t="shared" si="0"/>
        <v>0</v>
      </c>
      <c r="O14" s="20"/>
      <c r="P14" s="38"/>
      <c r="Q14" s="20"/>
      <c r="R14" s="38"/>
      <c r="S14" s="44">
        <f t="shared" si="1"/>
        <v>0</v>
      </c>
    </row>
    <row r="15" ht="22" customHeight="1" spans="2:19">
      <c r="B15" s="21"/>
      <c r="D15" s="23"/>
      <c r="E15" s="22" t="s">
        <v>18</v>
      </c>
      <c r="F15" s="24"/>
      <c r="G15" s="20">
        <v>364</v>
      </c>
      <c r="H15" s="20">
        <v>-112</v>
      </c>
      <c r="I15" s="20">
        <v>-7</v>
      </c>
      <c r="J15" s="20">
        <v>245</v>
      </c>
      <c r="K15" s="20">
        <v>4</v>
      </c>
      <c r="L15" s="20">
        <v>4</v>
      </c>
      <c r="M15" s="20">
        <v>50</v>
      </c>
      <c r="N15" s="38">
        <f t="shared" si="0"/>
        <v>800</v>
      </c>
      <c r="O15" s="20">
        <v>250</v>
      </c>
      <c r="P15" s="38">
        <f>K15*L15*O15</f>
        <v>4000</v>
      </c>
      <c r="Q15" s="20"/>
      <c r="R15" s="38"/>
      <c r="S15" s="44">
        <f t="shared" si="1"/>
        <v>4800</v>
      </c>
    </row>
    <row r="16" ht="22" customHeight="1" spans="2:19">
      <c r="B16" s="21"/>
      <c r="D16" s="23"/>
      <c r="F16" s="25" t="s">
        <v>22</v>
      </c>
      <c r="G16" s="20">
        <v>364</v>
      </c>
      <c r="H16" s="20">
        <v>-112</v>
      </c>
      <c r="I16" s="20">
        <v>-5</v>
      </c>
      <c r="J16" s="20">
        <v>247</v>
      </c>
      <c r="K16" s="20"/>
      <c r="L16" s="20"/>
      <c r="M16" s="20"/>
      <c r="N16" s="38">
        <f t="shared" si="0"/>
        <v>0</v>
      </c>
      <c r="O16" s="20"/>
      <c r="P16" s="38"/>
      <c r="Q16" s="20"/>
      <c r="R16" s="38"/>
      <c r="S16" s="44">
        <f t="shared" si="1"/>
        <v>0</v>
      </c>
    </row>
    <row r="17" ht="22" customHeight="1" spans="2:19">
      <c r="B17" s="21"/>
      <c r="D17" s="23"/>
      <c r="F17" s="25" t="s">
        <v>23</v>
      </c>
      <c r="G17" s="20">
        <v>364</v>
      </c>
      <c r="H17" s="20">
        <v>-112</v>
      </c>
      <c r="I17" s="20">
        <v>-5</v>
      </c>
      <c r="J17" s="20">
        <v>247</v>
      </c>
      <c r="K17" s="20"/>
      <c r="L17" s="20"/>
      <c r="M17" s="20"/>
      <c r="N17" s="38">
        <f t="shared" si="0"/>
        <v>0</v>
      </c>
      <c r="O17" s="20"/>
      <c r="P17" s="38"/>
      <c r="Q17" s="20"/>
      <c r="R17" s="38"/>
      <c r="S17" s="44">
        <f t="shared" si="1"/>
        <v>0</v>
      </c>
    </row>
    <row r="18" ht="17.4" spans="2:19">
      <c r="B18" s="26"/>
      <c r="C18" s="27"/>
      <c r="D18" s="27"/>
      <c r="E18" s="27"/>
      <c r="F18" s="28"/>
      <c r="G18" s="29"/>
      <c r="H18" s="29"/>
      <c r="I18" s="29"/>
      <c r="J18" s="29"/>
      <c r="K18" s="29"/>
      <c r="L18" s="29"/>
      <c r="M18" s="29"/>
      <c r="N18" s="39"/>
      <c r="O18" s="29"/>
      <c r="P18" s="39"/>
      <c r="Q18" s="29"/>
      <c r="R18" s="39"/>
      <c r="S18" s="45"/>
    </row>
    <row r="19" ht="15" customHeight="1" spans="2:19">
      <c r="B19" s="30" t="s">
        <v>12</v>
      </c>
      <c r="C19" s="31"/>
      <c r="D19" s="31"/>
      <c r="E19" s="31"/>
      <c r="F19" s="32"/>
      <c r="G19" s="33"/>
      <c r="H19" s="33"/>
      <c r="I19" s="33"/>
      <c r="J19" s="33"/>
      <c r="K19" s="33">
        <f>SUM(K15:K18)</f>
        <v>4</v>
      </c>
      <c r="L19" s="33"/>
      <c r="M19" s="33"/>
      <c r="N19" s="40">
        <f>SUM(N8:N18)</f>
        <v>4800</v>
      </c>
      <c r="O19" s="33"/>
      <c r="P19" s="40">
        <f>SUM(P8:P18)</f>
        <v>35500</v>
      </c>
      <c r="Q19" s="33"/>
      <c r="R19" s="40">
        <f>SUM(R8:R18)</f>
        <v>0</v>
      </c>
      <c r="S19" s="46">
        <f>SUM(S8:S18)</f>
        <v>40300</v>
      </c>
    </row>
    <row r="21" spans="2:2">
      <c r="B21" s="34" t="s">
        <v>24</v>
      </c>
    </row>
    <row r="28" ht="56" customHeight="1"/>
  </sheetData>
  <mergeCells count="21">
    <mergeCell ref="B3:S3"/>
    <mergeCell ref="G5:J5"/>
    <mergeCell ref="M5:N5"/>
    <mergeCell ref="O5:P5"/>
    <mergeCell ref="Q5:R5"/>
    <mergeCell ref="B19:F19"/>
    <mergeCell ref="G6:G7"/>
    <mergeCell ref="H6:H7"/>
    <mergeCell ref="I6:I7"/>
    <mergeCell ref="J6:J7"/>
    <mergeCell ref="K5:K7"/>
    <mergeCell ref="L5:L7"/>
    <mergeCell ref="M6:M7"/>
    <mergeCell ref="N6:N7"/>
    <mergeCell ref="O6:O7"/>
    <mergeCell ref="P6:P7"/>
    <mergeCell ref="Q6:Q7"/>
    <mergeCell ref="R6:R7"/>
    <mergeCell ref="S5:S7"/>
    <mergeCell ref="B5:F7"/>
    <mergeCell ref="B21:S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招待费预算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2021-09-22T11:25:00Z</dcterms:created>
  <dcterms:modified xsi:type="dcterms:W3CDTF">2022-12-03T16:04:25Z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A17CE6118D8C4894AB82648D7F1EB3E6</vt:lpwstr>
  </property>
  <property fmtid="{D5CDD505-2E9C-101B-9397-08002B2CF9AE}" pid="3" name="KSOProductBuildVer">
    <vt:lpwstr>2052-11.1.0.12763</vt:lpwstr>
  </property>
</Properties>
</file>