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tabRatio="917"/>
  </bookViews>
  <sheets>
    <sheet name="目录" sheetId="1" r:id="rId1"/>
    <sheet name="年度收支汇总" sheetId="2" r:id="rId2"/>
    <sheet name="1月" sheetId="3" r:id="rId3"/>
    <sheet name="2月" sheetId="4" r:id="rId4"/>
    <sheet name="3月" sheetId="5" r:id="rId5"/>
    <sheet name="4月" sheetId="6" r:id="rId6"/>
    <sheet name="5月" sheetId="7" r:id="rId7"/>
    <sheet name="6月" sheetId="8" r:id="rId8"/>
    <sheet name="7月" sheetId="9" r:id="rId9"/>
    <sheet name="8月" sheetId="10" r:id="rId10"/>
    <sheet name="9月" sheetId="11" r:id="rId11"/>
    <sheet name="10月" sheetId="12" r:id="rId12"/>
    <sheet name="11月" sheetId="13" r:id="rId13"/>
    <sheet name="12月" sheetId="14" r:id="rId14"/>
  </sheets>
  <calcPr calcId="144525"/>
</workbook>
</file>

<file path=xl/sharedStrings.xml><?xml version="1.0" encoding="utf-8"?>
<sst xmlns="http://schemas.openxmlformats.org/spreadsheetml/2006/main" count="806" uniqueCount="93">
  <si>
    <r>
      <rPr>
        <sz val="22"/>
        <color theme="0"/>
        <rFont val="微软雅黑"/>
        <charset val="134"/>
      </rPr>
      <t xml:space="preserve">年度财务收入支出管理系统
</t>
    </r>
    <r>
      <rPr>
        <sz val="11"/>
        <color theme="0"/>
        <rFont val="微软雅黑"/>
        <charset val="134"/>
      </rPr>
      <t xml:space="preserve">Annual Financial Revenue and Expenditure Management System </t>
    </r>
  </si>
  <si>
    <t>总收入</t>
  </si>
  <si>
    <t>总支出</t>
  </si>
  <si>
    <t>余额</t>
  </si>
  <si>
    <t>说明：</t>
  </si>
  <si>
    <t xml:space="preserve">      本系统用于统计年度财务收支并进行呈现监控，各表均可编辑，且设置好了相关链接。</t>
  </si>
  <si>
    <t>年度收支汇总表</t>
  </si>
  <si>
    <t>编号</t>
  </si>
  <si>
    <t>月份</t>
  </si>
  <si>
    <t>收入</t>
  </si>
  <si>
    <t>支出</t>
  </si>
  <si>
    <t>备注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</si>
  <si>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</si>
  <si>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</si>
  <si>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</si>
  <si>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</si>
  <si>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</si>
  <si>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</si>
  <si>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</si>
  <si>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</si>
  <si>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</si>
  <si>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</si>
  <si>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</si>
  <si>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</si>
  <si>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</si>
  <si>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1月份收支明细</t>
  </si>
  <si>
    <t>收入明细</t>
  </si>
  <si>
    <t>支出明细</t>
  </si>
  <si>
    <t>收入合计</t>
  </si>
  <si>
    <t>序号</t>
  </si>
  <si>
    <t>时间</t>
  </si>
  <si>
    <t>摘要</t>
  </si>
  <si>
    <t>金额</t>
  </si>
  <si>
    <t>收入1</t>
  </si>
  <si>
    <t>支出1</t>
  </si>
  <si>
    <t>收入2</t>
  </si>
  <si>
    <t>支出2</t>
  </si>
  <si>
    <t>收入3</t>
  </si>
  <si>
    <t>支出3</t>
  </si>
  <si>
    <t>支出合计</t>
  </si>
  <si>
    <t>收入4</t>
  </si>
  <si>
    <t>支出4</t>
  </si>
  <si>
    <t>收入5</t>
  </si>
  <si>
    <t>支出5</t>
  </si>
  <si>
    <t>收入6</t>
  </si>
  <si>
    <t>支出6</t>
  </si>
  <si>
    <t>收入7</t>
  </si>
  <si>
    <t>支出7</t>
  </si>
  <si>
    <t>收入8</t>
  </si>
  <si>
    <t>支出8</t>
  </si>
  <si>
    <t>收入9</t>
  </si>
  <si>
    <t>支出9</t>
  </si>
  <si>
    <t>收入10</t>
  </si>
  <si>
    <t>支出10</t>
  </si>
  <si>
    <t>收入11</t>
  </si>
  <si>
    <t>支出11</t>
  </si>
  <si>
    <t>收入12</t>
  </si>
  <si>
    <t>支出12</t>
  </si>
  <si>
    <t>收入13</t>
  </si>
  <si>
    <t>支出13</t>
  </si>
  <si>
    <t>收入14</t>
  </si>
  <si>
    <t>支出14</t>
  </si>
  <si>
    <t>收入15</t>
  </si>
  <si>
    <t>支出15</t>
  </si>
  <si>
    <t>收入16</t>
  </si>
  <si>
    <t>支出16</t>
  </si>
  <si>
    <t>收入17</t>
  </si>
  <si>
    <t>支出17</t>
  </si>
  <si>
    <t>收入18</t>
  </si>
  <si>
    <t>支出18</t>
  </si>
  <si>
    <t>收入19</t>
  </si>
  <si>
    <t>支出19</t>
  </si>
  <si>
    <t>收入20</t>
  </si>
  <si>
    <t>支出20</t>
  </si>
  <si>
    <t>收入21</t>
  </si>
  <si>
    <t>支出21</t>
  </si>
  <si>
    <t>收入22</t>
  </si>
  <si>
    <t>支出22</t>
  </si>
  <si>
    <t>收入23</t>
  </si>
  <si>
    <t>支出23</t>
  </si>
  <si>
    <t>收入24</t>
  </si>
  <si>
    <t>支出24</t>
  </si>
  <si>
    <t>2月份收支明细</t>
  </si>
  <si>
    <t>3月份收支明细</t>
  </si>
  <si>
    <t>4月份收支明细</t>
  </si>
  <si>
    <t>5月份收支明细</t>
  </si>
  <si>
    <t>6月份收支明细</t>
  </si>
  <si>
    <t>7月份收支明细</t>
  </si>
  <si>
    <t>8月份收支明细</t>
  </si>
  <si>
    <t>9月份收支明细</t>
  </si>
  <si>
    <t>10月份收支明细</t>
  </si>
  <si>
    <t>11月份收支明细</t>
  </si>
  <si>
    <t>12月份收支明细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</si>
</sst>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[DBNum1][$-804]yyyy&quot;年&quot;m&quot;月&quot;d&quot;日&quot;;@"/>
    <numFmt numFmtId="177" formatCode="0.0_ "/>
  </numFmts>
  <fonts count="30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8"/>
      <color theme="1"/>
      <name val="微软雅黑"/>
      <charset val="134"/>
    </font>
    <font>
      <sz val="10"/>
      <color theme="0"/>
      <name val="微软雅黑"/>
      <charset val="134"/>
    </font>
    <font>
      <b/>
      <sz val="11"/>
      <color theme="0"/>
      <name val="微软雅黑"/>
      <charset val="134"/>
    </font>
    <font>
      <sz val="18"/>
      <color rgb="FFCC3399"/>
      <name val="微软雅黑"/>
      <charset val="134"/>
    </font>
    <font>
      <sz val="11"/>
      <color theme="1"/>
      <name val="微软雅黑"/>
      <charset val="134"/>
    </font>
    <font>
      <sz val="22"/>
      <color theme="0"/>
      <name val="微软雅黑"/>
      <charset val="134"/>
    </font>
    <font>
      <sz val="11"/>
      <color theme="0"/>
      <name val="微软雅黑"/>
      <charset val="134"/>
    </font>
    <font>
      <sz val="20"/>
      <color rgb="FFCC3399"/>
      <name val="微软雅黑"/>
      <charset val="134"/>
    </font>
    <font>
      <sz val="10"/>
      <color rgb="FF7030A0"/>
      <name val="微软雅黑"/>
      <charset val="134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99CC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48">
    <border>
      <left/>
      <right/>
      <top/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 tint="-0.349986266670736"/>
      </right>
      <top style="medium">
        <color theme="1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medium">
        <color theme="1"/>
      </top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theme="1"/>
      </right>
      <top style="medium">
        <color theme="1"/>
      </top>
      <bottom style="thin">
        <color theme="0" tint="-0.349986266670736"/>
      </bottom>
      <diagonal/>
    </border>
    <border>
      <left style="medium">
        <color theme="1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medium">
        <color theme="1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 style="thin">
        <color theme="0" tint="-0.349986266670736"/>
      </right>
      <top style="thin">
        <color theme="0" tint="-0.349986266670736"/>
      </top>
      <bottom style="medium">
        <color theme="1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medium">
        <color theme="1"/>
      </bottom>
      <diagonal/>
    </border>
    <border>
      <left style="thin">
        <color theme="0" tint="-0.349986266670736"/>
      </left>
      <right style="medium">
        <color theme="1"/>
      </right>
      <top style="thin">
        <color theme="0" tint="-0.349986266670736"/>
      </top>
      <bottom style="medium">
        <color theme="1"/>
      </bottom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/>
      <right/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2" fillId="19" borderId="4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8" borderId="45" applyNumberFormat="0" applyFont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21" fillId="0" borderId="44" applyNumberFormat="0" applyFill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14" fillId="0" borderId="42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2" fillId="15" borderId="41" applyNumberFormat="0" applyAlignment="0" applyProtection="0">
      <alignment vertical="center"/>
    </xf>
    <xf numFmtId="0" fontId="18" fillId="15" borderId="43" applyNumberFormat="0" applyAlignment="0" applyProtection="0">
      <alignment vertical="center"/>
    </xf>
    <xf numFmtId="0" fontId="27" fillId="25" borderId="47" applyNumberFormat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11" fillId="0" borderId="40" applyNumberFormat="0" applyFill="0" applyAlignment="0" applyProtection="0">
      <alignment vertical="center"/>
    </xf>
    <xf numFmtId="0" fontId="20" fillId="0" borderId="46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39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17" fillId="4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2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0" fillId="10" borderId="0" xfId="0" applyFill="1"/>
    <xf numFmtId="0" fontId="0" fillId="11" borderId="27" xfId="0" applyFill="1" applyBorder="1"/>
    <xf numFmtId="0" fontId="0" fillId="11" borderId="0" xfId="0" applyFill="1" applyBorder="1"/>
    <xf numFmtId="0" fontId="0" fillId="11" borderId="28" xfId="0" applyFill="1" applyBorder="1"/>
    <xf numFmtId="0" fontId="7" fillId="12" borderId="29" xfId="0" applyFont="1" applyFill="1" applyBorder="1" applyAlignment="1">
      <alignment horizontal="center" vertical="center" wrapText="1"/>
    </xf>
    <xf numFmtId="0" fontId="7" fillId="12" borderId="30" xfId="0" applyFont="1" applyFill="1" applyBorder="1" applyAlignment="1">
      <alignment horizontal="center" vertical="center"/>
    </xf>
    <xf numFmtId="0" fontId="0" fillId="11" borderId="31" xfId="0" applyFill="1" applyBorder="1"/>
    <xf numFmtId="0" fontId="8" fillId="6" borderId="5" xfId="0" applyFont="1" applyFill="1" applyBorder="1" applyAlignment="1">
      <alignment horizontal="center" vertical="center"/>
    </xf>
    <xf numFmtId="177" fontId="9" fillId="13" borderId="32" xfId="0" applyNumberFormat="1" applyFont="1" applyFill="1" applyBorder="1" applyAlignment="1">
      <alignment horizontal="right" vertical="center"/>
    </xf>
    <xf numFmtId="177" fontId="9" fillId="13" borderId="33" xfId="0" applyNumberFormat="1" applyFont="1" applyFill="1" applyBorder="1" applyAlignment="1">
      <alignment horizontal="right" vertical="center"/>
    </xf>
    <xf numFmtId="177" fontId="9" fillId="13" borderId="34" xfId="0" applyNumberFormat="1" applyFont="1" applyFill="1" applyBorder="1" applyAlignment="1">
      <alignment horizontal="right" vertical="center"/>
    </xf>
    <xf numFmtId="0" fontId="1" fillId="14" borderId="31" xfId="0" applyFont="1" applyFill="1" applyBorder="1"/>
    <xf numFmtId="0" fontId="10" fillId="11" borderId="31" xfId="0" applyFont="1" applyFill="1" applyBorder="1" applyAlignment="1">
      <alignment horizontal="left" vertical="center"/>
    </xf>
    <xf numFmtId="0" fontId="10" fillId="11" borderId="0" xfId="0" applyFont="1" applyFill="1" applyBorder="1" applyAlignment="1">
      <alignment horizontal="left" vertical="center"/>
    </xf>
    <xf numFmtId="0" fontId="0" fillId="6" borderId="35" xfId="0" applyFill="1" applyBorder="1"/>
    <xf numFmtId="0" fontId="0" fillId="6" borderId="36" xfId="0" applyFill="1" applyBorder="1"/>
    <xf numFmtId="176" fontId="3" fillId="6" borderId="36" xfId="0" applyNumberFormat="1" applyFont="1" applyFill="1" applyBorder="1" applyAlignment="1">
      <alignment horizontal="center" vertical="center"/>
    </xf>
    <xf numFmtId="0" fontId="7" fillId="12" borderId="37" xfId="0" applyFont="1" applyFill="1" applyBorder="1" applyAlignment="1">
      <alignment horizontal="center" vertical="center"/>
    </xf>
    <xf numFmtId="0" fontId="0" fillId="11" borderId="38" xfId="0" applyFill="1" applyBorder="1"/>
    <xf numFmtId="0" fontId="10" fillId="11" borderId="38" xfId="0" applyFont="1" applyFill="1" applyBorder="1" applyAlignment="1">
      <alignment horizontal="left" vertical="center"/>
    </xf>
    <xf numFmtId="176" fontId="3" fillId="6" borderId="39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00B0F0"/>
      <color rgb="00CC3399"/>
      <color rgb="00663333"/>
      <color rgb="0099CCCC"/>
      <color rgb="00CCCC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hyperlink" Target="#'9&#26376;'!A1"/><Relationship Id="rId8" Type="http://schemas.openxmlformats.org/officeDocument/2006/relationships/hyperlink" Target="#'8&#26376;'!A1"/><Relationship Id="rId7" Type="http://schemas.openxmlformats.org/officeDocument/2006/relationships/hyperlink" Target="#'7&#26376;'!A1"/><Relationship Id="rId6" Type="http://schemas.openxmlformats.org/officeDocument/2006/relationships/hyperlink" Target="#'6&#26376;'!A1"/><Relationship Id="rId5" Type="http://schemas.openxmlformats.org/officeDocument/2006/relationships/hyperlink" Target="#'5&#26376;'!A1"/><Relationship Id="rId4" Type="http://schemas.openxmlformats.org/officeDocument/2006/relationships/hyperlink" Target="#'4&#26376;'!A1"/><Relationship Id="rId3" Type="http://schemas.openxmlformats.org/officeDocument/2006/relationships/hyperlink" Target="#'3&#26376;'!A1"/><Relationship Id="rId2" Type="http://schemas.openxmlformats.org/officeDocument/2006/relationships/hyperlink" Target="#'2&#26376;'!A1"/><Relationship Id="rId12" Type="http://schemas.openxmlformats.org/officeDocument/2006/relationships/hyperlink" Target="#'12&#26376;'!A1"/><Relationship Id="rId11" Type="http://schemas.openxmlformats.org/officeDocument/2006/relationships/hyperlink" Target="#'11&#26376;'!A1"/><Relationship Id="rId10" Type="http://schemas.openxmlformats.org/officeDocument/2006/relationships/hyperlink" Target="#'10&#26376;'!A1"/><Relationship Id="rId1" Type="http://schemas.openxmlformats.org/officeDocument/2006/relationships/hyperlink" Target="#'1&#26376;'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#&#30446;&#24405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95251</xdr:colOff>
      <xdr:row>4</xdr:row>
      <xdr:rowOff>104775</xdr:rowOff>
    </xdr:from>
    <xdr:to>
      <xdr:col>3</xdr:col>
      <xdr:colOff>238125</xdr:colOff>
      <xdr:row>6</xdr:row>
      <xdr:rowOff>133350</xdr:rowOff>
    </xdr:to>
    <xdr:sp>
      <xdr:nvSpPr>
        <xdr:cNvPr id="3" name="Freeform 7">
          <a:hlinkClick xmlns:r="http://schemas.openxmlformats.org/officeDocument/2006/relationships" r:id="rId1"/>
        </xdr:cNvPr>
        <xdr:cNvSpPr/>
      </xdr:nvSpPr>
      <xdr:spPr>
        <a:xfrm>
          <a:off x="3895725" y="17240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1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3</xdr:col>
      <xdr:colOff>415291</xdr:colOff>
      <xdr:row>4</xdr:row>
      <xdr:rowOff>104775</xdr:rowOff>
    </xdr:from>
    <xdr:to>
      <xdr:col>4</xdr:col>
      <xdr:colOff>558165</xdr:colOff>
      <xdr:row>6</xdr:row>
      <xdr:rowOff>133350</xdr:rowOff>
    </xdr:to>
    <xdr:sp>
      <xdr:nvSpPr>
        <xdr:cNvPr id="6" name="Freeform 7">
          <a:hlinkClick xmlns:r="http://schemas.openxmlformats.org/officeDocument/2006/relationships" r:id="rId2"/>
        </xdr:cNvPr>
        <xdr:cNvSpPr/>
      </xdr:nvSpPr>
      <xdr:spPr>
        <a:xfrm>
          <a:off x="4901565" y="17240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2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5</xdr:col>
      <xdr:colOff>49531</xdr:colOff>
      <xdr:row>4</xdr:row>
      <xdr:rowOff>104775</xdr:rowOff>
    </xdr:from>
    <xdr:to>
      <xdr:col>6</xdr:col>
      <xdr:colOff>192405</xdr:colOff>
      <xdr:row>6</xdr:row>
      <xdr:rowOff>133350</xdr:rowOff>
    </xdr:to>
    <xdr:sp>
      <xdr:nvSpPr>
        <xdr:cNvPr id="7" name="Freeform 7">
          <a:hlinkClick xmlns:r="http://schemas.openxmlformats.org/officeDocument/2006/relationships" r:id="rId3"/>
        </xdr:cNvPr>
        <xdr:cNvSpPr/>
      </xdr:nvSpPr>
      <xdr:spPr>
        <a:xfrm>
          <a:off x="5907405" y="17240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3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6</xdr:col>
      <xdr:colOff>369571</xdr:colOff>
      <xdr:row>4</xdr:row>
      <xdr:rowOff>104775</xdr:rowOff>
    </xdr:from>
    <xdr:to>
      <xdr:col>7</xdr:col>
      <xdr:colOff>512445</xdr:colOff>
      <xdr:row>6</xdr:row>
      <xdr:rowOff>133350</xdr:rowOff>
    </xdr:to>
    <xdr:sp>
      <xdr:nvSpPr>
        <xdr:cNvPr id="8" name="Freeform 7">
          <a:hlinkClick xmlns:r="http://schemas.openxmlformats.org/officeDocument/2006/relationships" r:id="rId4"/>
        </xdr:cNvPr>
        <xdr:cNvSpPr/>
      </xdr:nvSpPr>
      <xdr:spPr>
        <a:xfrm>
          <a:off x="6913245" y="17240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4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8</xdr:col>
      <xdr:colOff>3811</xdr:colOff>
      <xdr:row>4</xdr:row>
      <xdr:rowOff>104775</xdr:rowOff>
    </xdr:from>
    <xdr:to>
      <xdr:col>9</xdr:col>
      <xdr:colOff>146685</xdr:colOff>
      <xdr:row>6</xdr:row>
      <xdr:rowOff>133350</xdr:rowOff>
    </xdr:to>
    <xdr:sp>
      <xdr:nvSpPr>
        <xdr:cNvPr id="9" name="Freeform 7">
          <a:hlinkClick xmlns:r="http://schemas.openxmlformats.org/officeDocument/2006/relationships" r:id="rId5"/>
        </xdr:cNvPr>
        <xdr:cNvSpPr/>
      </xdr:nvSpPr>
      <xdr:spPr>
        <a:xfrm>
          <a:off x="7919085" y="17240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5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9</xdr:col>
      <xdr:colOff>323850</xdr:colOff>
      <xdr:row>4</xdr:row>
      <xdr:rowOff>104775</xdr:rowOff>
    </xdr:from>
    <xdr:to>
      <xdr:col>10</xdr:col>
      <xdr:colOff>466724</xdr:colOff>
      <xdr:row>6</xdr:row>
      <xdr:rowOff>133350</xdr:rowOff>
    </xdr:to>
    <xdr:sp>
      <xdr:nvSpPr>
        <xdr:cNvPr id="10" name="Freeform 7">
          <a:hlinkClick xmlns:r="http://schemas.openxmlformats.org/officeDocument/2006/relationships" r:id="rId6"/>
        </xdr:cNvPr>
        <xdr:cNvSpPr/>
      </xdr:nvSpPr>
      <xdr:spPr>
        <a:xfrm>
          <a:off x="8924925" y="1724025"/>
          <a:ext cx="828040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6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2</xdr:col>
      <xdr:colOff>114301</xdr:colOff>
      <xdr:row>8</xdr:row>
      <xdr:rowOff>104775</xdr:rowOff>
    </xdr:from>
    <xdr:to>
      <xdr:col>3</xdr:col>
      <xdr:colOff>257175</xdr:colOff>
      <xdr:row>10</xdr:row>
      <xdr:rowOff>133350</xdr:rowOff>
    </xdr:to>
    <xdr:sp>
      <xdr:nvSpPr>
        <xdr:cNvPr id="11" name="Freeform 7">
          <a:hlinkClick xmlns:r="http://schemas.openxmlformats.org/officeDocument/2006/relationships" r:id="rId7"/>
        </xdr:cNvPr>
        <xdr:cNvSpPr/>
      </xdr:nvSpPr>
      <xdr:spPr>
        <a:xfrm>
          <a:off x="3914775" y="24098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7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3</xdr:col>
      <xdr:colOff>434341</xdr:colOff>
      <xdr:row>8</xdr:row>
      <xdr:rowOff>104775</xdr:rowOff>
    </xdr:from>
    <xdr:to>
      <xdr:col>4</xdr:col>
      <xdr:colOff>577215</xdr:colOff>
      <xdr:row>10</xdr:row>
      <xdr:rowOff>133350</xdr:rowOff>
    </xdr:to>
    <xdr:sp>
      <xdr:nvSpPr>
        <xdr:cNvPr id="12" name="Freeform 7">
          <a:hlinkClick xmlns:r="http://schemas.openxmlformats.org/officeDocument/2006/relationships" r:id="rId8"/>
        </xdr:cNvPr>
        <xdr:cNvSpPr/>
      </xdr:nvSpPr>
      <xdr:spPr>
        <a:xfrm>
          <a:off x="4920615" y="24098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8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5</xdr:col>
      <xdr:colOff>68581</xdr:colOff>
      <xdr:row>8</xdr:row>
      <xdr:rowOff>104775</xdr:rowOff>
    </xdr:from>
    <xdr:to>
      <xdr:col>6</xdr:col>
      <xdr:colOff>211455</xdr:colOff>
      <xdr:row>10</xdr:row>
      <xdr:rowOff>133350</xdr:rowOff>
    </xdr:to>
    <xdr:sp>
      <xdr:nvSpPr>
        <xdr:cNvPr id="13" name="Freeform 7">
          <a:hlinkClick xmlns:r="http://schemas.openxmlformats.org/officeDocument/2006/relationships" r:id="rId9"/>
        </xdr:cNvPr>
        <xdr:cNvSpPr/>
      </xdr:nvSpPr>
      <xdr:spPr>
        <a:xfrm>
          <a:off x="5926455" y="24098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9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6</xdr:col>
      <xdr:colOff>388621</xdr:colOff>
      <xdr:row>8</xdr:row>
      <xdr:rowOff>104775</xdr:rowOff>
    </xdr:from>
    <xdr:to>
      <xdr:col>7</xdr:col>
      <xdr:colOff>531495</xdr:colOff>
      <xdr:row>10</xdr:row>
      <xdr:rowOff>133350</xdr:rowOff>
    </xdr:to>
    <xdr:sp>
      <xdr:nvSpPr>
        <xdr:cNvPr id="14" name="Freeform 7">
          <a:hlinkClick xmlns:r="http://schemas.openxmlformats.org/officeDocument/2006/relationships" r:id="rId10"/>
        </xdr:cNvPr>
        <xdr:cNvSpPr/>
      </xdr:nvSpPr>
      <xdr:spPr>
        <a:xfrm>
          <a:off x="6932295" y="24098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10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8</xdr:col>
      <xdr:colOff>22861</xdr:colOff>
      <xdr:row>8</xdr:row>
      <xdr:rowOff>104775</xdr:rowOff>
    </xdr:from>
    <xdr:to>
      <xdr:col>9</xdr:col>
      <xdr:colOff>165735</xdr:colOff>
      <xdr:row>10</xdr:row>
      <xdr:rowOff>133350</xdr:rowOff>
    </xdr:to>
    <xdr:sp>
      <xdr:nvSpPr>
        <xdr:cNvPr id="15" name="Freeform 7">
          <a:hlinkClick xmlns:r="http://schemas.openxmlformats.org/officeDocument/2006/relationships" r:id="rId11"/>
        </xdr:cNvPr>
        <xdr:cNvSpPr/>
      </xdr:nvSpPr>
      <xdr:spPr>
        <a:xfrm>
          <a:off x="7938135" y="2409825"/>
          <a:ext cx="828675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11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9</xdr:col>
      <xdr:colOff>342900</xdr:colOff>
      <xdr:row>8</xdr:row>
      <xdr:rowOff>104775</xdr:rowOff>
    </xdr:from>
    <xdr:to>
      <xdr:col>10</xdr:col>
      <xdr:colOff>485774</xdr:colOff>
      <xdr:row>10</xdr:row>
      <xdr:rowOff>133350</xdr:rowOff>
    </xdr:to>
    <xdr:sp>
      <xdr:nvSpPr>
        <xdr:cNvPr id="16" name="Freeform 7">
          <a:hlinkClick xmlns:r="http://schemas.openxmlformats.org/officeDocument/2006/relationships" r:id="rId12"/>
        </xdr:cNvPr>
        <xdr:cNvSpPr/>
      </xdr:nvSpPr>
      <xdr:spPr>
        <a:xfrm>
          <a:off x="8943975" y="2409825"/>
          <a:ext cx="828040" cy="371475"/>
        </a:xfrm>
        <a:prstGeom prst="rect">
          <a:avLst/>
        </a:prstGeom>
        <a:solidFill>
          <a:schemeClr val="bg1"/>
        </a:solidFill>
        <a:ln w="22225" cap="flat">
          <a:noFill/>
          <a:prstDash val="solid"/>
          <a:miter lim="800000"/>
        </a:ln>
        <a:effectLst>
          <a:outerShdw blurRad="76200" dist="38100" dir="2700000" algn="tl" rotWithShape="0">
            <a:prstClr val="black">
              <a:alpha val="40000"/>
            </a:prstClr>
          </a:outerShdw>
          <a:reflection blurRad="6350" stA="50000" endA="300" endPos="38500" dist="50800" dir="5400000" sy="-100000" algn="bl" rotWithShape="0"/>
        </a:effectLst>
      </xdr:spPr>
      <xdr:txBody>
        <a:bodyPr vert="horz" wrap="square" lIns="91440" tIns="45720" rIns="91440" bIns="45720" numCol="1" anchor="ctr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12</a:t>
          </a:r>
          <a:r>
            <a:rPr lang="zh-CN" altLang="en-US" sz="1400" b="0" kern="0">
              <a:solidFill>
                <a:srgbClr val="663333"/>
              </a:solidFill>
              <a:latin typeface="华文隶书" panose="02010800040101010101" pitchFamily="2" charset="-122"/>
              <a:ea typeface="华文隶书" panose="02010800040101010101" pitchFamily="2" charset="-122"/>
            </a:rPr>
            <a:t>月</a:t>
          </a:r>
          <a:endParaRPr lang="zh-CN" altLang="en-US" sz="1400" b="0" kern="0">
            <a:solidFill>
              <a:srgbClr val="663333"/>
            </a:solidFill>
            <a:latin typeface="华文隶书" panose="02010800040101010101" pitchFamily="2" charset="-122"/>
            <a:ea typeface="华文隶书" panose="02010800040101010101" pitchFamily="2" charset="-122"/>
          </a:endParaRPr>
        </a:p>
      </xdr:txBody>
    </xdr:sp>
    <xdr:clientData/>
  </xdr:twoCellAnchor>
  <xdr:twoCellAnchor>
    <xdr:from>
      <xdr:col>2</xdr:col>
      <xdr:colOff>76200</xdr:colOff>
      <xdr:row>14</xdr:row>
      <xdr:rowOff>190500</xdr:rowOff>
    </xdr:from>
    <xdr:to>
      <xdr:col>2</xdr:col>
      <xdr:colOff>447675</xdr:colOff>
      <xdr:row>14</xdr:row>
      <xdr:rowOff>542925</xdr:rowOff>
    </xdr:to>
    <xdr:grpSp>
      <xdr:nvGrpSpPr>
        <xdr:cNvPr id="17" name="组合 16"/>
        <xdr:cNvGrpSpPr/>
      </xdr:nvGrpSpPr>
      <xdr:grpSpPr>
        <a:xfrm>
          <a:off x="3876675" y="3638550"/>
          <a:ext cx="371475" cy="352425"/>
          <a:chOff x="1670050" y="1039813"/>
          <a:chExt cx="550863" cy="490538"/>
        </a:xfrm>
        <a:solidFill>
          <a:srgbClr val="7030A0"/>
        </a:solidFill>
      </xdr:grpSpPr>
      <xdr:sp>
        <xdr:nvSpPr>
          <xdr:cNvPr id="18" name="Freeform 192"/>
          <xdr:cNvSpPr/>
        </xdr:nvSpPr>
        <xdr:spPr>
          <a:xfrm>
            <a:off x="1881188" y="1125538"/>
            <a:ext cx="125413" cy="76200"/>
          </a:xfrm>
          <a:custGeom>
            <a:avLst/>
            <a:gdLst>
              <a:gd name="T0" fmla="*/ 39 w 44"/>
              <a:gd name="T1" fmla="*/ 14 h 27"/>
              <a:gd name="T2" fmla="*/ 21 w 44"/>
              <a:gd name="T3" fmla="*/ 12 h 27"/>
              <a:gd name="T4" fmla="*/ 9 w 44"/>
              <a:gd name="T5" fmla="*/ 11 h 27"/>
              <a:gd name="T6" fmla="*/ 11 w 44"/>
              <a:gd name="T7" fmla="*/ 6 h 27"/>
              <a:gd name="T8" fmla="*/ 19 w 44"/>
              <a:gd name="T9" fmla="*/ 4 h 27"/>
              <a:gd name="T10" fmla="*/ 17 w 44"/>
              <a:gd name="T11" fmla="*/ 1 h 27"/>
              <a:gd name="T12" fmla="*/ 9 w 44"/>
              <a:gd name="T13" fmla="*/ 3 h 27"/>
              <a:gd name="T14" fmla="*/ 4 w 44"/>
              <a:gd name="T15" fmla="*/ 0 h 27"/>
              <a:gd name="T16" fmla="*/ 0 w 44"/>
              <a:gd name="T17" fmla="*/ 2 h 27"/>
              <a:gd name="T18" fmla="*/ 5 w 44"/>
              <a:gd name="T19" fmla="*/ 5 h 27"/>
              <a:gd name="T20" fmla="*/ 5 w 44"/>
              <a:gd name="T21" fmla="*/ 13 h 27"/>
              <a:gd name="T22" fmla="*/ 22 w 44"/>
              <a:gd name="T23" fmla="*/ 15 h 27"/>
              <a:gd name="T24" fmla="*/ 34 w 44"/>
              <a:gd name="T25" fmla="*/ 16 h 27"/>
              <a:gd name="T26" fmla="*/ 33 w 44"/>
              <a:gd name="T27" fmla="*/ 22 h 27"/>
              <a:gd name="T28" fmla="*/ 23 w 44"/>
              <a:gd name="T29" fmla="*/ 24 h 27"/>
              <a:gd name="T30" fmla="*/ 25 w 44"/>
              <a:gd name="T31" fmla="*/ 26 h 27"/>
              <a:gd name="T32" fmla="*/ 35 w 44"/>
              <a:gd name="T33" fmla="*/ 24 h 27"/>
              <a:gd name="T34" fmla="*/ 40 w 44"/>
              <a:gd name="T35" fmla="*/ 27 h 27"/>
              <a:gd name="T36" fmla="*/ 44 w 44"/>
              <a:gd name="T37" fmla="*/ 26 h 27"/>
              <a:gd name="T38" fmla="*/ 39 w 44"/>
              <a:gd name="T39" fmla="*/ 23 h 27"/>
              <a:gd name="T40" fmla="*/ 39 w 44"/>
              <a:gd name="T41" fmla="*/ 14 h 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44" h="27">
                <a:moveTo>
                  <a:pt x="39" y="14"/>
                </a:moveTo>
                <a:cubicBezTo>
                  <a:pt x="35" y="11"/>
                  <a:pt x="29" y="10"/>
                  <a:pt x="21" y="12"/>
                </a:cubicBezTo>
                <a:cubicBezTo>
                  <a:pt x="15" y="12"/>
                  <a:pt x="12" y="12"/>
                  <a:pt x="9" y="11"/>
                </a:cubicBezTo>
                <a:cubicBezTo>
                  <a:pt x="7" y="10"/>
                  <a:pt x="6" y="7"/>
                  <a:pt x="11" y="6"/>
                </a:cubicBezTo>
                <a:cubicBezTo>
                  <a:pt x="14" y="4"/>
                  <a:pt x="18" y="4"/>
                  <a:pt x="19" y="4"/>
                </a:cubicBezTo>
                <a:cubicBezTo>
                  <a:pt x="17" y="1"/>
                  <a:pt x="17" y="1"/>
                  <a:pt x="17" y="1"/>
                </a:cubicBezTo>
                <a:cubicBezTo>
                  <a:pt x="15" y="1"/>
                  <a:pt x="12" y="2"/>
                  <a:pt x="9" y="3"/>
                </a:cubicBezTo>
                <a:cubicBezTo>
                  <a:pt x="4" y="0"/>
                  <a:pt x="4" y="0"/>
                  <a:pt x="4" y="0"/>
                </a:cubicBezTo>
                <a:cubicBezTo>
                  <a:pt x="0" y="2"/>
                  <a:pt x="0" y="2"/>
                  <a:pt x="0" y="2"/>
                </a:cubicBezTo>
                <a:cubicBezTo>
                  <a:pt x="5" y="5"/>
                  <a:pt x="5" y="5"/>
                  <a:pt x="5" y="5"/>
                </a:cubicBezTo>
                <a:cubicBezTo>
                  <a:pt x="1" y="7"/>
                  <a:pt x="1" y="11"/>
                  <a:pt x="5" y="13"/>
                </a:cubicBezTo>
                <a:cubicBezTo>
                  <a:pt x="9" y="16"/>
                  <a:pt x="15" y="16"/>
                  <a:pt x="22" y="15"/>
                </a:cubicBezTo>
                <a:cubicBezTo>
                  <a:pt x="28" y="14"/>
                  <a:pt x="32" y="14"/>
                  <a:pt x="34" y="16"/>
                </a:cubicBezTo>
                <a:cubicBezTo>
                  <a:pt x="37" y="18"/>
                  <a:pt x="37" y="20"/>
                  <a:pt x="33" y="22"/>
                </a:cubicBezTo>
                <a:cubicBezTo>
                  <a:pt x="30" y="23"/>
                  <a:pt x="26" y="24"/>
                  <a:pt x="23" y="24"/>
                </a:cubicBezTo>
                <a:cubicBezTo>
                  <a:pt x="25" y="26"/>
                  <a:pt x="25" y="26"/>
                  <a:pt x="25" y="26"/>
                </a:cubicBezTo>
                <a:cubicBezTo>
                  <a:pt x="28" y="26"/>
                  <a:pt x="32" y="25"/>
                  <a:pt x="35" y="24"/>
                </a:cubicBezTo>
                <a:cubicBezTo>
                  <a:pt x="40" y="27"/>
                  <a:pt x="40" y="27"/>
                  <a:pt x="40" y="27"/>
                </a:cubicBezTo>
                <a:cubicBezTo>
                  <a:pt x="44" y="26"/>
                  <a:pt x="44" y="26"/>
                  <a:pt x="44" y="26"/>
                </a:cubicBezTo>
                <a:cubicBezTo>
                  <a:pt x="39" y="23"/>
                  <a:pt x="39" y="23"/>
                  <a:pt x="39" y="23"/>
                </a:cubicBezTo>
                <a:cubicBezTo>
                  <a:pt x="43" y="20"/>
                  <a:pt x="43" y="16"/>
                  <a:pt x="39" y="1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93"/>
          <xdr:cNvSpPr>
            <a:spLocks noEditPoints="1"/>
          </xdr:cNvSpPr>
        </xdr:nvSpPr>
        <xdr:spPr>
          <a:xfrm>
            <a:off x="1670050" y="1144588"/>
            <a:ext cx="293688" cy="174625"/>
          </a:xfrm>
          <a:custGeom>
            <a:avLst/>
            <a:gdLst>
              <a:gd name="T0" fmla="*/ 3 w 103"/>
              <a:gd name="T1" fmla="*/ 16 h 61"/>
              <a:gd name="T2" fmla="*/ 1 w 103"/>
              <a:gd name="T3" fmla="*/ 19 h 61"/>
              <a:gd name="T4" fmla="*/ 2 w 103"/>
              <a:gd name="T5" fmla="*/ 23 h 61"/>
              <a:gd name="T6" fmla="*/ 58 w 103"/>
              <a:gd name="T7" fmla="*/ 60 h 61"/>
              <a:gd name="T8" fmla="*/ 60 w 103"/>
              <a:gd name="T9" fmla="*/ 61 h 61"/>
              <a:gd name="T10" fmla="*/ 61 w 103"/>
              <a:gd name="T11" fmla="*/ 60 h 61"/>
              <a:gd name="T12" fmla="*/ 103 w 103"/>
              <a:gd name="T13" fmla="*/ 41 h 61"/>
              <a:gd name="T14" fmla="*/ 103 w 103"/>
              <a:gd name="T15" fmla="*/ 40 h 61"/>
              <a:gd name="T16" fmla="*/ 42 w 103"/>
              <a:gd name="T17" fmla="*/ 0 h 61"/>
              <a:gd name="T18" fmla="*/ 3 w 103"/>
              <a:gd name="T19" fmla="*/ 16 h 61"/>
              <a:gd name="T20" fmla="*/ 44 w 103"/>
              <a:gd name="T21" fmla="*/ 27 h 61"/>
              <a:gd name="T22" fmla="*/ 52 w 103"/>
              <a:gd name="T23" fmla="*/ 27 h 61"/>
              <a:gd name="T24" fmla="*/ 52 w 103"/>
              <a:gd name="T25" fmla="*/ 31 h 61"/>
              <a:gd name="T26" fmla="*/ 44 w 103"/>
              <a:gd name="T27" fmla="*/ 31 h 61"/>
              <a:gd name="T28" fmla="*/ 44 w 103"/>
              <a:gd name="T29" fmla="*/ 27 h 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103" h="61">
                <a:moveTo>
                  <a:pt x="3" y="16"/>
                </a:moveTo>
                <a:cubicBezTo>
                  <a:pt x="2" y="17"/>
                  <a:pt x="1" y="18"/>
                  <a:pt x="1" y="19"/>
                </a:cubicBezTo>
                <a:cubicBezTo>
                  <a:pt x="0" y="21"/>
                  <a:pt x="1" y="22"/>
                  <a:pt x="2" y="23"/>
                </a:cubicBezTo>
                <a:cubicBezTo>
                  <a:pt x="58" y="60"/>
                  <a:pt x="58" y="60"/>
                  <a:pt x="58" y="60"/>
                </a:cubicBezTo>
                <a:cubicBezTo>
                  <a:pt x="58" y="60"/>
                  <a:pt x="59" y="61"/>
                  <a:pt x="60" y="61"/>
                </a:cubicBezTo>
                <a:cubicBezTo>
                  <a:pt x="60" y="61"/>
                  <a:pt x="61" y="60"/>
                  <a:pt x="61" y="60"/>
                </a:cubicBezTo>
                <a:cubicBezTo>
                  <a:pt x="103" y="41"/>
                  <a:pt x="103" y="41"/>
                  <a:pt x="103" y="41"/>
                </a:cubicBezTo>
                <a:cubicBezTo>
                  <a:pt x="103" y="40"/>
                  <a:pt x="103" y="40"/>
                  <a:pt x="103" y="40"/>
                </a:cubicBezTo>
                <a:cubicBezTo>
                  <a:pt x="42" y="0"/>
                  <a:pt x="42" y="0"/>
                  <a:pt x="42" y="0"/>
                </a:cubicBezTo>
                <a:lnTo>
                  <a:pt x="3" y="16"/>
                </a:lnTo>
                <a:close/>
                <a:moveTo>
                  <a:pt x="44" y="27"/>
                </a:moveTo>
                <a:cubicBezTo>
                  <a:pt x="46" y="26"/>
                  <a:pt x="50" y="26"/>
                  <a:pt x="52" y="27"/>
                </a:cubicBezTo>
                <a:cubicBezTo>
                  <a:pt x="55" y="29"/>
                  <a:pt x="54" y="30"/>
                  <a:pt x="52" y="31"/>
                </a:cubicBezTo>
                <a:cubicBezTo>
                  <a:pt x="49" y="33"/>
                  <a:pt x="46" y="32"/>
                  <a:pt x="44" y="31"/>
                </a:cubicBezTo>
                <a:cubicBezTo>
                  <a:pt x="41" y="30"/>
                  <a:pt x="42" y="28"/>
                  <a:pt x="44" y="27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0" name="Freeform 194"/>
          <xdr:cNvSpPr>
            <a:spLocks noEditPoints="1"/>
          </xdr:cNvSpPr>
        </xdr:nvSpPr>
        <xdr:spPr>
          <a:xfrm>
            <a:off x="1941513" y="1039813"/>
            <a:ext cx="279400" cy="150813"/>
          </a:xfrm>
          <a:custGeom>
            <a:avLst/>
            <a:gdLst>
              <a:gd name="T0" fmla="*/ 98 w 98"/>
              <a:gd name="T1" fmla="*/ 33 h 53"/>
              <a:gd name="T2" fmla="*/ 95 w 98"/>
              <a:gd name="T3" fmla="*/ 29 h 53"/>
              <a:gd name="T4" fmla="*/ 38 w 98"/>
              <a:gd name="T5" fmla="*/ 1 h 53"/>
              <a:gd name="T6" fmla="*/ 35 w 98"/>
              <a:gd name="T7" fmla="*/ 1 h 53"/>
              <a:gd name="T8" fmla="*/ 0 w 98"/>
              <a:gd name="T9" fmla="*/ 15 h 53"/>
              <a:gd name="T10" fmla="*/ 59 w 98"/>
              <a:gd name="T11" fmla="*/ 53 h 53"/>
              <a:gd name="T12" fmla="*/ 95 w 98"/>
              <a:gd name="T13" fmla="*/ 36 h 53"/>
              <a:gd name="T14" fmla="*/ 98 w 98"/>
              <a:gd name="T15" fmla="*/ 33 h 53"/>
              <a:gd name="T16" fmla="*/ 54 w 98"/>
              <a:gd name="T17" fmla="*/ 25 h 53"/>
              <a:gd name="T18" fmla="*/ 46 w 98"/>
              <a:gd name="T19" fmla="*/ 25 h 53"/>
              <a:gd name="T20" fmla="*/ 46 w 98"/>
              <a:gd name="T21" fmla="*/ 21 h 53"/>
              <a:gd name="T22" fmla="*/ 55 w 98"/>
              <a:gd name="T23" fmla="*/ 21 h 53"/>
              <a:gd name="T24" fmla="*/ 54 w 98"/>
              <a:gd name="T25" fmla="*/ 25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98" h="53">
                <a:moveTo>
                  <a:pt x="98" y="33"/>
                </a:moveTo>
                <a:cubicBezTo>
                  <a:pt x="98" y="31"/>
                  <a:pt x="97" y="30"/>
                  <a:pt x="95" y="29"/>
                </a:cubicBezTo>
                <a:cubicBezTo>
                  <a:pt x="38" y="1"/>
                  <a:pt x="38" y="1"/>
                  <a:pt x="38" y="1"/>
                </a:cubicBezTo>
                <a:cubicBezTo>
                  <a:pt x="37" y="1"/>
                  <a:pt x="36" y="0"/>
                  <a:pt x="35" y="1"/>
                </a:cubicBezTo>
                <a:cubicBezTo>
                  <a:pt x="0" y="15"/>
                  <a:pt x="0" y="15"/>
                  <a:pt x="0" y="15"/>
                </a:cubicBezTo>
                <a:cubicBezTo>
                  <a:pt x="59" y="53"/>
                  <a:pt x="59" y="53"/>
                  <a:pt x="59" y="53"/>
                </a:cubicBezTo>
                <a:cubicBezTo>
                  <a:pt x="95" y="36"/>
                  <a:pt x="95" y="36"/>
                  <a:pt x="95" y="36"/>
                </a:cubicBezTo>
                <a:cubicBezTo>
                  <a:pt x="97" y="36"/>
                  <a:pt x="98" y="34"/>
                  <a:pt x="98" y="33"/>
                </a:cubicBezTo>
                <a:close/>
                <a:moveTo>
                  <a:pt x="54" y="25"/>
                </a:moveTo>
                <a:cubicBezTo>
                  <a:pt x="52" y="26"/>
                  <a:pt x="48" y="26"/>
                  <a:pt x="46" y="25"/>
                </a:cubicBezTo>
                <a:cubicBezTo>
                  <a:pt x="44" y="24"/>
                  <a:pt x="44" y="22"/>
                  <a:pt x="46" y="21"/>
                </a:cubicBezTo>
                <a:cubicBezTo>
                  <a:pt x="49" y="20"/>
                  <a:pt x="52" y="20"/>
                  <a:pt x="55" y="21"/>
                </a:cubicBezTo>
                <a:cubicBezTo>
                  <a:pt x="57" y="22"/>
                  <a:pt x="57" y="24"/>
                  <a:pt x="54" y="25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1" name="Freeform 195"/>
          <xdr:cNvSpPr/>
        </xdr:nvSpPr>
        <xdr:spPr>
          <a:xfrm>
            <a:off x="1670050" y="1250951"/>
            <a:ext cx="293688" cy="139700"/>
          </a:xfrm>
          <a:custGeom>
            <a:avLst/>
            <a:gdLst>
              <a:gd name="T0" fmla="*/ 60 w 103"/>
              <a:gd name="T1" fmla="*/ 30 h 49"/>
              <a:gd name="T2" fmla="*/ 58 w 103"/>
              <a:gd name="T3" fmla="*/ 30 h 49"/>
              <a:gd name="T4" fmla="*/ 13 w 103"/>
              <a:gd name="T5" fmla="*/ 0 h 49"/>
              <a:gd name="T6" fmla="*/ 3 w 103"/>
              <a:gd name="T7" fmla="*/ 4 h 49"/>
              <a:gd name="T8" fmla="*/ 1 w 103"/>
              <a:gd name="T9" fmla="*/ 7 h 49"/>
              <a:gd name="T10" fmla="*/ 2 w 103"/>
              <a:gd name="T11" fmla="*/ 11 h 49"/>
              <a:gd name="T12" fmla="*/ 58 w 103"/>
              <a:gd name="T13" fmla="*/ 48 h 49"/>
              <a:gd name="T14" fmla="*/ 60 w 103"/>
              <a:gd name="T15" fmla="*/ 49 h 49"/>
              <a:gd name="T16" fmla="*/ 61 w 103"/>
              <a:gd name="T17" fmla="*/ 48 h 49"/>
              <a:gd name="T18" fmla="*/ 103 w 103"/>
              <a:gd name="T19" fmla="*/ 29 h 49"/>
              <a:gd name="T20" fmla="*/ 103 w 103"/>
              <a:gd name="T21" fmla="*/ 10 h 49"/>
              <a:gd name="T22" fmla="*/ 61 w 103"/>
              <a:gd name="T23" fmla="*/ 30 h 49"/>
              <a:gd name="T24" fmla="*/ 60 w 103"/>
              <a:gd name="T25" fmla="*/ 30 h 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9">
                <a:moveTo>
                  <a:pt x="60" y="30"/>
                </a:moveTo>
                <a:cubicBezTo>
                  <a:pt x="59" y="30"/>
                  <a:pt x="58" y="30"/>
                  <a:pt x="58" y="30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5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9"/>
                  <a:pt x="60" y="49"/>
                </a:cubicBezTo>
                <a:cubicBezTo>
                  <a:pt x="60" y="49"/>
                  <a:pt x="61" y="49"/>
                  <a:pt x="61" y="48"/>
                </a:cubicBezTo>
                <a:cubicBezTo>
                  <a:pt x="103" y="29"/>
                  <a:pt x="103" y="29"/>
                  <a:pt x="103" y="29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Freeform 196"/>
          <xdr:cNvSpPr/>
        </xdr:nvSpPr>
        <xdr:spPr>
          <a:xfrm>
            <a:off x="2112963" y="1179513"/>
            <a:ext cx="107950" cy="82550"/>
          </a:xfrm>
          <a:custGeom>
            <a:avLst/>
            <a:gdLst>
              <a:gd name="T0" fmla="*/ 35 w 38"/>
              <a:gd name="T1" fmla="*/ 5 h 29"/>
              <a:gd name="T2" fmla="*/ 24 w 38"/>
              <a:gd name="T3" fmla="*/ 0 h 29"/>
              <a:gd name="T4" fmla="*/ 0 w 38"/>
              <a:gd name="T5" fmla="*/ 11 h 29"/>
              <a:gd name="T6" fmla="*/ 0 w 38"/>
              <a:gd name="T7" fmla="*/ 29 h 29"/>
              <a:gd name="T8" fmla="*/ 35 w 38"/>
              <a:gd name="T9" fmla="*/ 12 h 29"/>
              <a:gd name="T10" fmla="*/ 38 w 38"/>
              <a:gd name="T11" fmla="*/ 9 h 29"/>
              <a:gd name="T12" fmla="*/ 35 w 38"/>
              <a:gd name="T13" fmla="*/ 5 h 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29">
                <a:moveTo>
                  <a:pt x="35" y="5"/>
                </a:moveTo>
                <a:cubicBezTo>
                  <a:pt x="24" y="0"/>
                  <a:pt x="24" y="0"/>
                  <a:pt x="24" y="0"/>
                </a:cubicBezTo>
                <a:cubicBezTo>
                  <a:pt x="0" y="11"/>
                  <a:pt x="0" y="11"/>
                  <a:pt x="0" y="11"/>
                </a:cubicBezTo>
                <a:cubicBezTo>
                  <a:pt x="0" y="29"/>
                  <a:pt x="0" y="29"/>
                  <a:pt x="0" y="29"/>
                </a:cubicBezTo>
                <a:cubicBezTo>
                  <a:pt x="35" y="12"/>
                  <a:pt x="35" y="12"/>
                  <a:pt x="35" y="12"/>
                </a:cubicBezTo>
                <a:cubicBezTo>
                  <a:pt x="37" y="12"/>
                  <a:pt x="38" y="10"/>
                  <a:pt x="38" y="9"/>
                </a:cubicBezTo>
                <a:cubicBezTo>
                  <a:pt x="38" y="7"/>
                  <a:pt x="37" y="6"/>
                  <a:pt x="35" y="5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97"/>
          <xdr:cNvSpPr/>
        </xdr:nvSpPr>
        <xdr:spPr>
          <a:xfrm>
            <a:off x="1670050" y="1322388"/>
            <a:ext cx="293688" cy="136525"/>
          </a:xfrm>
          <a:custGeom>
            <a:avLst/>
            <a:gdLst>
              <a:gd name="T0" fmla="*/ 60 w 103"/>
              <a:gd name="T1" fmla="*/ 30 h 48"/>
              <a:gd name="T2" fmla="*/ 58 w 103"/>
              <a:gd name="T3" fmla="*/ 30 h 48"/>
              <a:gd name="T4" fmla="*/ 13 w 103"/>
              <a:gd name="T5" fmla="*/ 0 h 48"/>
              <a:gd name="T6" fmla="*/ 3 w 103"/>
              <a:gd name="T7" fmla="*/ 4 h 48"/>
              <a:gd name="T8" fmla="*/ 1 w 103"/>
              <a:gd name="T9" fmla="*/ 7 h 48"/>
              <a:gd name="T10" fmla="*/ 2 w 103"/>
              <a:gd name="T11" fmla="*/ 11 h 48"/>
              <a:gd name="T12" fmla="*/ 58 w 103"/>
              <a:gd name="T13" fmla="*/ 48 h 48"/>
              <a:gd name="T14" fmla="*/ 60 w 103"/>
              <a:gd name="T15" fmla="*/ 48 h 48"/>
              <a:gd name="T16" fmla="*/ 61 w 103"/>
              <a:gd name="T17" fmla="*/ 48 h 48"/>
              <a:gd name="T18" fmla="*/ 103 w 103"/>
              <a:gd name="T19" fmla="*/ 29 h 48"/>
              <a:gd name="T20" fmla="*/ 103 w 103"/>
              <a:gd name="T21" fmla="*/ 10 h 48"/>
              <a:gd name="T22" fmla="*/ 61 w 103"/>
              <a:gd name="T23" fmla="*/ 30 h 48"/>
              <a:gd name="T24" fmla="*/ 60 w 103"/>
              <a:gd name="T25" fmla="*/ 3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8">
                <a:moveTo>
                  <a:pt x="60" y="30"/>
                </a:moveTo>
                <a:cubicBezTo>
                  <a:pt x="59" y="30"/>
                  <a:pt x="58" y="30"/>
                  <a:pt x="58" y="30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5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8"/>
                  <a:pt x="60" y="48"/>
                </a:cubicBezTo>
                <a:cubicBezTo>
                  <a:pt x="60" y="48"/>
                  <a:pt x="61" y="48"/>
                  <a:pt x="61" y="48"/>
                </a:cubicBezTo>
                <a:cubicBezTo>
                  <a:pt x="103" y="29"/>
                  <a:pt x="103" y="29"/>
                  <a:pt x="103" y="29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98"/>
          <xdr:cNvSpPr/>
        </xdr:nvSpPr>
        <xdr:spPr>
          <a:xfrm>
            <a:off x="2112963" y="1247776"/>
            <a:ext cx="107950" cy="85725"/>
          </a:xfrm>
          <a:custGeom>
            <a:avLst/>
            <a:gdLst>
              <a:gd name="T0" fmla="*/ 35 w 38"/>
              <a:gd name="T1" fmla="*/ 6 h 30"/>
              <a:gd name="T2" fmla="*/ 24 w 38"/>
              <a:gd name="T3" fmla="*/ 0 h 30"/>
              <a:gd name="T4" fmla="*/ 0 w 38"/>
              <a:gd name="T5" fmla="*/ 12 h 30"/>
              <a:gd name="T6" fmla="*/ 0 w 38"/>
              <a:gd name="T7" fmla="*/ 30 h 30"/>
              <a:gd name="T8" fmla="*/ 35 w 38"/>
              <a:gd name="T9" fmla="*/ 13 h 30"/>
              <a:gd name="T10" fmla="*/ 38 w 38"/>
              <a:gd name="T11" fmla="*/ 10 h 30"/>
              <a:gd name="T12" fmla="*/ 35 w 38"/>
              <a:gd name="T13" fmla="*/ 6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30">
                <a:moveTo>
                  <a:pt x="35" y="6"/>
                </a:moveTo>
                <a:cubicBezTo>
                  <a:pt x="24" y="0"/>
                  <a:pt x="24" y="0"/>
                  <a:pt x="24" y="0"/>
                </a:cubicBezTo>
                <a:cubicBezTo>
                  <a:pt x="0" y="12"/>
                  <a:pt x="0" y="12"/>
                  <a:pt x="0" y="12"/>
                </a:cubicBezTo>
                <a:cubicBezTo>
                  <a:pt x="0" y="30"/>
                  <a:pt x="0" y="30"/>
                  <a:pt x="0" y="30"/>
                </a:cubicBezTo>
                <a:cubicBezTo>
                  <a:pt x="35" y="13"/>
                  <a:pt x="35" y="13"/>
                  <a:pt x="35" y="13"/>
                </a:cubicBezTo>
                <a:cubicBezTo>
                  <a:pt x="37" y="13"/>
                  <a:pt x="38" y="11"/>
                  <a:pt x="38" y="10"/>
                </a:cubicBezTo>
                <a:cubicBezTo>
                  <a:pt x="38" y="8"/>
                  <a:pt x="37" y="7"/>
                  <a:pt x="35" y="6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99"/>
          <xdr:cNvSpPr/>
        </xdr:nvSpPr>
        <xdr:spPr>
          <a:xfrm>
            <a:off x="1670050" y="1392238"/>
            <a:ext cx="293688" cy="138113"/>
          </a:xfrm>
          <a:custGeom>
            <a:avLst/>
            <a:gdLst>
              <a:gd name="T0" fmla="*/ 60 w 103"/>
              <a:gd name="T1" fmla="*/ 30 h 48"/>
              <a:gd name="T2" fmla="*/ 58 w 103"/>
              <a:gd name="T3" fmla="*/ 29 h 48"/>
              <a:gd name="T4" fmla="*/ 13 w 103"/>
              <a:gd name="T5" fmla="*/ 0 h 48"/>
              <a:gd name="T6" fmla="*/ 3 w 103"/>
              <a:gd name="T7" fmla="*/ 4 h 48"/>
              <a:gd name="T8" fmla="*/ 1 w 103"/>
              <a:gd name="T9" fmla="*/ 7 h 48"/>
              <a:gd name="T10" fmla="*/ 2 w 103"/>
              <a:gd name="T11" fmla="*/ 11 h 48"/>
              <a:gd name="T12" fmla="*/ 58 w 103"/>
              <a:gd name="T13" fmla="*/ 48 h 48"/>
              <a:gd name="T14" fmla="*/ 60 w 103"/>
              <a:gd name="T15" fmla="*/ 48 h 48"/>
              <a:gd name="T16" fmla="*/ 61 w 103"/>
              <a:gd name="T17" fmla="*/ 48 h 48"/>
              <a:gd name="T18" fmla="*/ 103 w 103"/>
              <a:gd name="T19" fmla="*/ 28 h 48"/>
              <a:gd name="T20" fmla="*/ 103 w 103"/>
              <a:gd name="T21" fmla="*/ 10 h 48"/>
              <a:gd name="T22" fmla="*/ 61 w 103"/>
              <a:gd name="T23" fmla="*/ 30 h 48"/>
              <a:gd name="T24" fmla="*/ 60 w 103"/>
              <a:gd name="T25" fmla="*/ 3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8">
                <a:moveTo>
                  <a:pt x="60" y="30"/>
                </a:moveTo>
                <a:cubicBezTo>
                  <a:pt x="59" y="30"/>
                  <a:pt x="58" y="30"/>
                  <a:pt x="58" y="29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4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8"/>
                  <a:pt x="60" y="48"/>
                </a:cubicBezTo>
                <a:cubicBezTo>
                  <a:pt x="60" y="48"/>
                  <a:pt x="61" y="48"/>
                  <a:pt x="61" y="48"/>
                </a:cubicBezTo>
                <a:cubicBezTo>
                  <a:pt x="103" y="28"/>
                  <a:pt x="103" y="28"/>
                  <a:pt x="103" y="28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200"/>
          <xdr:cNvSpPr/>
        </xdr:nvSpPr>
        <xdr:spPr>
          <a:xfrm>
            <a:off x="2112963" y="1319213"/>
            <a:ext cx="107950" cy="85725"/>
          </a:xfrm>
          <a:custGeom>
            <a:avLst/>
            <a:gdLst>
              <a:gd name="T0" fmla="*/ 35 w 38"/>
              <a:gd name="T1" fmla="*/ 6 h 30"/>
              <a:gd name="T2" fmla="*/ 24 w 38"/>
              <a:gd name="T3" fmla="*/ 0 h 30"/>
              <a:gd name="T4" fmla="*/ 0 w 38"/>
              <a:gd name="T5" fmla="*/ 12 h 30"/>
              <a:gd name="T6" fmla="*/ 0 w 38"/>
              <a:gd name="T7" fmla="*/ 30 h 30"/>
              <a:gd name="T8" fmla="*/ 35 w 38"/>
              <a:gd name="T9" fmla="*/ 13 h 30"/>
              <a:gd name="T10" fmla="*/ 38 w 38"/>
              <a:gd name="T11" fmla="*/ 9 h 30"/>
              <a:gd name="T12" fmla="*/ 35 w 38"/>
              <a:gd name="T13" fmla="*/ 6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30">
                <a:moveTo>
                  <a:pt x="35" y="6"/>
                </a:moveTo>
                <a:cubicBezTo>
                  <a:pt x="24" y="0"/>
                  <a:pt x="24" y="0"/>
                  <a:pt x="24" y="0"/>
                </a:cubicBezTo>
                <a:cubicBezTo>
                  <a:pt x="0" y="12"/>
                  <a:pt x="0" y="12"/>
                  <a:pt x="0" y="12"/>
                </a:cubicBezTo>
                <a:cubicBezTo>
                  <a:pt x="0" y="30"/>
                  <a:pt x="0" y="30"/>
                  <a:pt x="0" y="30"/>
                </a:cubicBezTo>
                <a:cubicBezTo>
                  <a:pt x="35" y="13"/>
                  <a:pt x="35" y="13"/>
                  <a:pt x="35" y="13"/>
                </a:cubicBezTo>
                <a:cubicBezTo>
                  <a:pt x="37" y="12"/>
                  <a:pt x="38" y="11"/>
                  <a:pt x="38" y="9"/>
                </a:cubicBezTo>
                <a:cubicBezTo>
                  <a:pt x="38" y="8"/>
                  <a:pt x="37" y="7"/>
                  <a:pt x="35" y="6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5</xdr:col>
      <xdr:colOff>47625</xdr:colOff>
      <xdr:row>14</xdr:row>
      <xdr:rowOff>190500</xdr:rowOff>
    </xdr:from>
    <xdr:to>
      <xdr:col>5</xdr:col>
      <xdr:colOff>419100</xdr:colOff>
      <xdr:row>14</xdr:row>
      <xdr:rowOff>542925</xdr:rowOff>
    </xdr:to>
    <xdr:grpSp>
      <xdr:nvGrpSpPr>
        <xdr:cNvPr id="27" name="组合 26"/>
        <xdr:cNvGrpSpPr/>
      </xdr:nvGrpSpPr>
      <xdr:grpSpPr>
        <a:xfrm>
          <a:off x="5905500" y="3638550"/>
          <a:ext cx="371475" cy="352425"/>
          <a:chOff x="1670050" y="1039813"/>
          <a:chExt cx="550863" cy="490538"/>
        </a:xfrm>
        <a:solidFill>
          <a:srgbClr val="7030A0"/>
        </a:solidFill>
      </xdr:grpSpPr>
      <xdr:sp>
        <xdr:nvSpPr>
          <xdr:cNvPr id="28" name="Freeform 192"/>
          <xdr:cNvSpPr/>
        </xdr:nvSpPr>
        <xdr:spPr>
          <a:xfrm>
            <a:off x="1881188" y="1125538"/>
            <a:ext cx="125413" cy="76200"/>
          </a:xfrm>
          <a:custGeom>
            <a:avLst/>
            <a:gdLst>
              <a:gd name="T0" fmla="*/ 39 w 44"/>
              <a:gd name="T1" fmla="*/ 14 h 27"/>
              <a:gd name="T2" fmla="*/ 21 w 44"/>
              <a:gd name="T3" fmla="*/ 12 h 27"/>
              <a:gd name="T4" fmla="*/ 9 w 44"/>
              <a:gd name="T5" fmla="*/ 11 h 27"/>
              <a:gd name="T6" fmla="*/ 11 w 44"/>
              <a:gd name="T7" fmla="*/ 6 h 27"/>
              <a:gd name="T8" fmla="*/ 19 w 44"/>
              <a:gd name="T9" fmla="*/ 4 h 27"/>
              <a:gd name="T10" fmla="*/ 17 w 44"/>
              <a:gd name="T11" fmla="*/ 1 h 27"/>
              <a:gd name="T12" fmla="*/ 9 w 44"/>
              <a:gd name="T13" fmla="*/ 3 h 27"/>
              <a:gd name="T14" fmla="*/ 4 w 44"/>
              <a:gd name="T15" fmla="*/ 0 h 27"/>
              <a:gd name="T16" fmla="*/ 0 w 44"/>
              <a:gd name="T17" fmla="*/ 2 h 27"/>
              <a:gd name="T18" fmla="*/ 5 w 44"/>
              <a:gd name="T19" fmla="*/ 5 h 27"/>
              <a:gd name="T20" fmla="*/ 5 w 44"/>
              <a:gd name="T21" fmla="*/ 13 h 27"/>
              <a:gd name="T22" fmla="*/ 22 w 44"/>
              <a:gd name="T23" fmla="*/ 15 h 27"/>
              <a:gd name="T24" fmla="*/ 34 w 44"/>
              <a:gd name="T25" fmla="*/ 16 h 27"/>
              <a:gd name="T26" fmla="*/ 33 w 44"/>
              <a:gd name="T27" fmla="*/ 22 h 27"/>
              <a:gd name="T28" fmla="*/ 23 w 44"/>
              <a:gd name="T29" fmla="*/ 24 h 27"/>
              <a:gd name="T30" fmla="*/ 25 w 44"/>
              <a:gd name="T31" fmla="*/ 26 h 27"/>
              <a:gd name="T32" fmla="*/ 35 w 44"/>
              <a:gd name="T33" fmla="*/ 24 h 27"/>
              <a:gd name="T34" fmla="*/ 40 w 44"/>
              <a:gd name="T35" fmla="*/ 27 h 27"/>
              <a:gd name="T36" fmla="*/ 44 w 44"/>
              <a:gd name="T37" fmla="*/ 26 h 27"/>
              <a:gd name="T38" fmla="*/ 39 w 44"/>
              <a:gd name="T39" fmla="*/ 23 h 27"/>
              <a:gd name="T40" fmla="*/ 39 w 44"/>
              <a:gd name="T41" fmla="*/ 14 h 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44" h="27">
                <a:moveTo>
                  <a:pt x="39" y="14"/>
                </a:moveTo>
                <a:cubicBezTo>
                  <a:pt x="35" y="11"/>
                  <a:pt x="29" y="10"/>
                  <a:pt x="21" y="12"/>
                </a:cubicBezTo>
                <a:cubicBezTo>
                  <a:pt x="15" y="12"/>
                  <a:pt x="12" y="12"/>
                  <a:pt x="9" y="11"/>
                </a:cubicBezTo>
                <a:cubicBezTo>
                  <a:pt x="7" y="10"/>
                  <a:pt x="6" y="7"/>
                  <a:pt x="11" y="6"/>
                </a:cubicBezTo>
                <a:cubicBezTo>
                  <a:pt x="14" y="4"/>
                  <a:pt x="18" y="4"/>
                  <a:pt x="19" y="4"/>
                </a:cubicBezTo>
                <a:cubicBezTo>
                  <a:pt x="17" y="1"/>
                  <a:pt x="17" y="1"/>
                  <a:pt x="17" y="1"/>
                </a:cubicBezTo>
                <a:cubicBezTo>
                  <a:pt x="15" y="1"/>
                  <a:pt x="12" y="2"/>
                  <a:pt x="9" y="3"/>
                </a:cubicBezTo>
                <a:cubicBezTo>
                  <a:pt x="4" y="0"/>
                  <a:pt x="4" y="0"/>
                  <a:pt x="4" y="0"/>
                </a:cubicBezTo>
                <a:cubicBezTo>
                  <a:pt x="0" y="2"/>
                  <a:pt x="0" y="2"/>
                  <a:pt x="0" y="2"/>
                </a:cubicBezTo>
                <a:cubicBezTo>
                  <a:pt x="5" y="5"/>
                  <a:pt x="5" y="5"/>
                  <a:pt x="5" y="5"/>
                </a:cubicBezTo>
                <a:cubicBezTo>
                  <a:pt x="1" y="7"/>
                  <a:pt x="1" y="11"/>
                  <a:pt x="5" y="13"/>
                </a:cubicBezTo>
                <a:cubicBezTo>
                  <a:pt x="9" y="16"/>
                  <a:pt x="15" y="16"/>
                  <a:pt x="22" y="15"/>
                </a:cubicBezTo>
                <a:cubicBezTo>
                  <a:pt x="28" y="14"/>
                  <a:pt x="32" y="14"/>
                  <a:pt x="34" y="16"/>
                </a:cubicBezTo>
                <a:cubicBezTo>
                  <a:pt x="37" y="18"/>
                  <a:pt x="37" y="20"/>
                  <a:pt x="33" y="22"/>
                </a:cubicBezTo>
                <a:cubicBezTo>
                  <a:pt x="30" y="23"/>
                  <a:pt x="26" y="24"/>
                  <a:pt x="23" y="24"/>
                </a:cubicBezTo>
                <a:cubicBezTo>
                  <a:pt x="25" y="26"/>
                  <a:pt x="25" y="26"/>
                  <a:pt x="25" y="26"/>
                </a:cubicBezTo>
                <a:cubicBezTo>
                  <a:pt x="28" y="26"/>
                  <a:pt x="32" y="25"/>
                  <a:pt x="35" y="24"/>
                </a:cubicBezTo>
                <a:cubicBezTo>
                  <a:pt x="40" y="27"/>
                  <a:pt x="40" y="27"/>
                  <a:pt x="40" y="27"/>
                </a:cubicBezTo>
                <a:cubicBezTo>
                  <a:pt x="44" y="26"/>
                  <a:pt x="44" y="26"/>
                  <a:pt x="44" y="26"/>
                </a:cubicBezTo>
                <a:cubicBezTo>
                  <a:pt x="39" y="23"/>
                  <a:pt x="39" y="23"/>
                  <a:pt x="39" y="23"/>
                </a:cubicBezTo>
                <a:cubicBezTo>
                  <a:pt x="43" y="20"/>
                  <a:pt x="43" y="16"/>
                  <a:pt x="39" y="1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9" name="Freeform 193"/>
          <xdr:cNvSpPr>
            <a:spLocks noEditPoints="1"/>
          </xdr:cNvSpPr>
        </xdr:nvSpPr>
        <xdr:spPr>
          <a:xfrm>
            <a:off x="1670050" y="1144588"/>
            <a:ext cx="293688" cy="174625"/>
          </a:xfrm>
          <a:custGeom>
            <a:avLst/>
            <a:gdLst>
              <a:gd name="T0" fmla="*/ 3 w 103"/>
              <a:gd name="T1" fmla="*/ 16 h 61"/>
              <a:gd name="T2" fmla="*/ 1 w 103"/>
              <a:gd name="T3" fmla="*/ 19 h 61"/>
              <a:gd name="T4" fmla="*/ 2 w 103"/>
              <a:gd name="T5" fmla="*/ 23 h 61"/>
              <a:gd name="T6" fmla="*/ 58 w 103"/>
              <a:gd name="T7" fmla="*/ 60 h 61"/>
              <a:gd name="T8" fmla="*/ 60 w 103"/>
              <a:gd name="T9" fmla="*/ 61 h 61"/>
              <a:gd name="T10" fmla="*/ 61 w 103"/>
              <a:gd name="T11" fmla="*/ 60 h 61"/>
              <a:gd name="T12" fmla="*/ 103 w 103"/>
              <a:gd name="T13" fmla="*/ 41 h 61"/>
              <a:gd name="T14" fmla="*/ 103 w 103"/>
              <a:gd name="T15" fmla="*/ 40 h 61"/>
              <a:gd name="T16" fmla="*/ 42 w 103"/>
              <a:gd name="T17" fmla="*/ 0 h 61"/>
              <a:gd name="T18" fmla="*/ 3 w 103"/>
              <a:gd name="T19" fmla="*/ 16 h 61"/>
              <a:gd name="T20" fmla="*/ 44 w 103"/>
              <a:gd name="T21" fmla="*/ 27 h 61"/>
              <a:gd name="T22" fmla="*/ 52 w 103"/>
              <a:gd name="T23" fmla="*/ 27 h 61"/>
              <a:gd name="T24" fmla="*/ 52 w 103"/>
              <a:gd name="T25" fmla="*/ 31 h 61"/>
              <a:gd name="T26" fmla="*/ 44 w 103"/>
              <a:gd name="T27" fmla="*/ 31 h 61"/>
              <a:gd name="T28" fmla="*/ 44 w 103"/>
              <a:gd name="T29" fmla="*/ 27 h 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103" h="61">
                <a:moveTo>
                  <a:pt x="3" y="16"/>
                </a:moveTo>
                <a:cubicBezTo>
                  <a:pt x="2" y="17"/>
                  <a:pt x="1" y="18"/>
                  <a:pt x="1" y="19"/>
                </a:cubicBezTo>
                <a:cubicBezTo>
                  <a:pt x="0" y="21"/>
                  <a:pt x="1" y="22"/>
                  <a:pt x="2" y="23"/>
                </a:cubicBezTo>
                <a:cubicBezTo>
                  <a:pt x="58" y="60"/>
                  <a:pt x="58" y="60"/>
                  <a:pt x="58" y="60"/>
                </a:cubicBezTo>
                <a:cubicBezTo>
                  <a:pt x="58" y="60"/>
                  <a:pt x="59" y="61"/>
                  <a:pt x="60" y="61"/>
                </a:cubicBezTo>
                <a:cubicBezTo>
                  <a:pt x="60" y="61"/>
                  <a:pt x="61" y="60"/>
                  <a:pt x="61" y="60"/>
                </a:cubicBezTo>
                <a:cubicBezTo>
                  <a:pt x="103" y="41"/>
                  <a:pt x="103" y="41"/>
                  <a:pt x="103" y="41"/>
                </a:cubicBezTo>
                <a:cubicBezTo>
                  <a:pt x="103" y="40"/>
                  <a:pt x="103" y="40"/>
                  <a:pt x="103" y="40"/>
                </a:cubicBezTo>
                <a:cubicBezTo>
                  <a:pt x="42" y="0"/>
                  <a:pt x="42" y="0"/>
                  <a:pt x="42" y="0"/>
                </a:cubicBezTo>
                <a:lnTo>
                  <a:pt x="3" y="16"/>
                </a:lnTo>
                <a:close/>
                <a:moveTo>
                  <a:pt x="44" y="27"/>
                </a:moveTo>
                <a:cubicBezTo>
                  <a:pt x="46" y="26"/>
                  <a:pt x="50" y="26"/>
                  <a:pt x="52" y="27"/>
                </a:cubicBezTo>
                <a:cubicBezTo>
                  <a:pt x="55" y="29"/>
                  <a:pt x="54" y="30"/>
                  <a:pt x="52" y="31"/>
                </a:cubicBezTo>
                <a:cubicBezTo>
                  <a:pt x="49" y="33"/>
                  <a:pt x="46" y="32"/>
                  <a:pt x="44" y="31"/>
                </a:cubicBezTo>
                <a:cubicBezTo>
                  <a:pt x="41" y="30"/>
                  <a:pt x="42" y="28"/>
                  <a:pt x="44" y="27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30" name="Freeform 194"/>
          <xdr:cNvSpPr>
            <a:spLocks noEditPoints="1"/>
          </xdr:cNvSpPr>
        </xdr:nvSpPr>
        <xdr:spPr>
          <a:xfrm>
            <a:off x="1941513" y="1039813"/>
            <a:ext cx="279400" cy="150813"/>
          </a:xfrm>
          <a:custGeom>
            <a:avLst/>
            <a:gdLst>
              <a:gd name="T0" fmla="*/ 98 w 98"/>
              <a:gd name="T1" fmla="*/ 33 h 53"/>
              <a:gd name="T2" fmla="*/ 95 w 98"/>
              <a:gd name="T3" fmla="*/ 29 h 53"/>
              <a:gd name="T4" fmla="*/ 38 w 98"/>
              <a:gd name="T5" fmla="*/ 1 h 53"/>
              <a:gd name="T6" fmla="*/ 35 w 98"/>
              <a:gd name="T7" fmla="*/ 1 h 53"/>
              <a:gd name="T8" fmla="*/ 0 w 98"/>
              <a:gd name="T9" fmla="*/ 15 h 53"/>
              <a:gd name="T10" fmla="*/ 59 w 98"/>
              <a:gd name="T11" fmla="*/ 53 h 53"/>
              <a:gd name="T12" fmla="*/ 95 w 98"/>
              <a:gd name="T13" fmla="*/ 36 h 53"/>
              <a:gd name="T14" fmla="*/ 98 w 98"/>
              <a:gd name="T15" fmla="*/ 33 h 53"/>
              <a:gd name="T16" fmla="*/ 54 w 98"/>
              <a:gd name="T17" fmla="*/ 25 h 53"/>
              <a:gd name="T18" fmla="*/ 46 w 98"/>
              <a:gd name="T19" fmla="*/ 25 h 53"/>
              <a:gd name="T20" fmla="*/ 46 w 98"/>
              <a:gd name="T21" fmla="*/ 21 h 53"/>
              <a:gd name="T22" fmla="*/ 55 w 98"/>
              <a:gd name="T23" fmla="*/ 21 h 53"/>
              <a:gd name="T24" fmla="*/ 54 w 98"/>
              <a:gd name="T25" fmla="*/ 25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98" h="53">
                <a:moveTo>
                  <a:pt x="98" y="33"/>
                </a:moveTo>
                <a:cubicBezTo>
                  <a:pt x="98" y="31"/>
                  <a:pt x="97" y="30"/>
                  <a:pt x="95" y="29"/>
                </a:cubicBezTo>
                <a:cubicBezTo>
                  <a:pt x="38" y="1"/>
                  <a:pt x="38" y="1"/>
                  <a:pt x="38" y="1"/>
                </a:cubicBezTo>
                <a:cubicBezTo>
                  <a:pt x="37" y="1"/>
                  <a:pt x="36" y="0"/>
                  <a:pt x="35" y="1"/>
                </a:cubicBezTo>
                <a:cubicBezTo>
                  <a:pt x="0" y="15"/>
                  <a:pt x="0" y="15"/>
                  <a:pt x="0" y="15"/>
                </a:cubicBezTo>
                <a:cubicBezTo>
                  <a:pt x="59" y="53"/>
                  <a:pt x="59" y="53"/>
                  <a:pt x="59" y="53"/>
                </a:cubicBezTo>
                <a:cubicBezTo>
                  <a:pt x="95" y="36"/>
                  <a:pt x="95" y="36"/>
                  <a:pt x="95" y="36"/>
                </a:cubicBezTo>
                <a:cubicBezTo>
                  <a:pt x="97" y="36"/>
                  <a:pt x="98" y="34"/>
                  <a:pt x="98" y="33"/>
                </a:cubicBezTo>
                <a:close/>
                <a:moveTo>
                  <a:pt x="54" y="25"/>
                </a:moveTo>
                <a:cubicBezTo>
                  <a:pt x="52" y="26"/>
                  <a:pt x="48" y="26"/>
                  <a:pt x="46" y="25"/>
                </a:cubicBezTo>
                <a:cubicBezTo>
                  <a:pt x="44" y="24"/>
                  <a:pt x="44" y="22"/>
                  <a:pt x="46" y="21"/>
                </a:cubicBezTo>
                <a:cubicBezTo>
                  <a:pt x="49" y="20"/>
                  <a:pt x="52" y="20"/>
                  <a:pt x="55" y="21"/>
                </a:cubicBezTo>
                <a:cubicBezTo>
                  <a:pt x="57" y="22"/>
                  <a:pt x="57" y="24"/>
                  <a:pt x="54" y="25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31" name="Freeform 195"/>
          <xdr:cNvSpPr/>
        </xdr:nvSpPr>
        <xdr:spPr>
          <a:xfrm>
            <a:off x="1670050" y="1250951"/>
            <a:ext cx="293688" cy="139700"/>
          </a:xfrm>
          <a:custGeom>
            <a:avLst/>
            <a:gdLst>
              <a:gd name="T0" fmla="*/ 60 w 103"/>
              <a:gd name="T1" fmla="*/ 30 h 49"/>
              <a:gd name="T2" fmla="*/ 58 w 103"/>
              <a:gd name="T3" fmla="*/ 30 h 49"/>
              <a:gd name="T4" fmla="*/ 13 w 103"/>
              <a:gd name="T5" fmla="*/ 0 h 49"/>
              <a:gd name="T6" fmla="*/ 3 w 103"/>
              <a:gd name="T7" fmla="*/ 4 h 49"/>
              <a:gd name="T8" fmla="*/ 1 w 103"/>
              <a:gd name="T9" fmla="*/ 7 h 49"/>
              <a:gd name="T10" fmla="*/ 2 w 103"/>
              <a:gd name="T11" fmla="*/ 11 h 49"/>
              <a:gd name="T12" fmla="*/ 58 w 103"/>
              <a:gd name="T13" fmla="*/ 48 h 49"/>
              <a:gd name="T14" fmla="*/ 60 w 103"/>
              <a:gd name="T15" fmla="*/ 49 h 49"/>
              <a:gd name="T16" fmla="*/ 61 w 103"/>
              <a:gd name="T17" fmla="*/ 48 h 49"/>
              <a:gd name="T18" fmla="*/ 103 w 103"/>
              <a:gd name="T19" fmla="*/ 29 h 49"/>
              <a:gd name="T20" fmla="*/ 103 w 103"/>
              <a:gd name="T21" fmla="*/ 10 h 49"/>
              <a:gd name="T22" fmla="*/ 61 w 103"/>
              <a:gd name="T23" fmla="*/ 30 h 49"/>
              <a:gd name="T24" fmla="*/ 60 w 103"/>
              <a:gd name="T25" fmla="*/ 30 h 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9">
                <a:moveTo>
                  <a:pt x="60" y="30"/>
                </a:moveTo>
                <a:cubicBezTo>
                  <a:pt x="59" y="30"/>
                  <a:pt x="58" y="30"/>
                  <a:pt x="58" y="30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5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9"/>
                  <a:pt x="60" y="49"/>
                </a:cubicBezTo>
                <a:cubicBezTo>
                  <a:pt x="60" y="49"/>
                  <a:pt x="61" y="49"/>
                  <a:pt x="61" y="48"/>
                </a:cubicBezTo>
                <a:cubicBezTo>
                  <a:pt x="103" y="29"/>
                  <a:pt x="103" y="29"/>
                  <a:pt x="103" y="29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32" name="Freeform 196"/>
          <xdr:cNvSpPr/>
        </xdr:nvSpPr>
        <xdr:spPr>
          <a:xfrm>
            <a:off x="2112963" y="1179513"/>
            <a:ext cx="107950" cy="82550"/>
          </a:xfrm>
          <a:custGeom>
            <a:avLst/>
            <a:gdLst>
              <a:gd name="T0" fmla="*/ 35 w 38"/>
              <a:gd name="T1" fmla="*/ 5 h 29"/>
              <a:gd name="T2" fmla="*/ 24 w 38"/>
              <a:gd name="T3" fmla="*/ 0 h 29"/>
              <a:gd name="T4" fmla="*/ 0 w 38"/>
              <a:gd name="T5" fmla="*/ 11 h 29"/>
              <a:gd name="T6" fmla="*/ 0 w 38"/>
              <a:gd name="T7" fmla="*/ 29 h 29"/>
              <a:gd name="T8" fmla="*/ 35 w 38"/>
              <a:gd name="T9" fmla="*/ 12 h 29"/>
              <a:gd name="T10" fmla="*/ 38 w 38"/>
              <a:gd name="T11" fmla="*/ 9 h 29"/>
              <a:gd name="T12" fmla="*/ 35 w 38"/>
              <a:gd name="T13" fmla="*/ 5 h 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29">
                <a:moveTo>
                  <a:pt x="35" y="5"/>
                </a:moveTo>
                <a:cubicBezTo>
                  <a:pt x="24" y="0"/>
                  <a:pt x="24" y="0"/>
                  <a:pt x="24" y="0"/>
                </a:cubicBezTo>
                <a:cubicBezTo>
                  <a:pt x="0" y="11"/>
                  <a:pt x="0" y="11"/>
                  <a:pt x="0" y="11"/>
                </a:cubicBezTo>
                <a:cubicBezTo>
                  <a:pt x="0" y="29"/>
                  <a:pt x="0" y="29"/>
                  <a:pt x="0" y="29"/>
                </a:cubicBezTo>
                <a:cubicBezTo>
                  <a:pt x="35" y="12"/>
                  <a:pt x="35" y="12"/>
                  <a:pt x="35" y="12"/>
                </a:cubicBezTo>
                <a:cubicBezTo>
                  <a:pt x="37" y="12"/>
                  <a:pt x="38" y="10"/>
                  <a:pt x="38" y="9"/>
                </a:cubicBezTo>
                <a:cubicBezTo>
                  <a:pt x="38" y="7"/>
                  <a:pt x="37" y="6"/>
                  <a:pt x="35" y="5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33" name="Freeform 197"/>
          <xdr:cNvSpPr/>
        </xdr:nvSpPr>
        <xdr:spPr>
          <a:xfrm>
            <a:off x="1670050" y="1322388"/>
            <a:ext cx="293688" cy="136525"/>
          </a:xfrm>
          <a:custGeom>
            <a:avLst/>
            <a:gdLst>
              <a:gd name="T0" fmla="*/ 60 w 103"/>
              <a:gd name="T1" fmla="*/ 30 h 48"/>
              <a:gd name="T2" fmla="*/ 58 w 103"/>
              <a:gd name="T3" fmla="*/ 30 h 48"/>
              <a:gd name="T4" fmla="*/ 13 w 103"/>
              <a:gd name="T5" fmla="*/ 0 h 48"/>
              <a:gd name="T6" fmla="*/ 3 w 103"/>
              <a:gd name="T7" fmla="*/ 4 h 48"/>
              <a:gd name="T8" fmla="*/ 1 w 103"/>
              <a:gd name="T9" fmla="*/ 7 h 48"/>
              <a:gd name="T10" fmla="*/ 2 w 103"/>
              <a:gd name="T11" fmla="*/ 11 h 48"/>
              <a:gd name="T12" fmla="*/ 58 w 103"/>
              <a:gd name="T13" fmla="*/ 48 h 48"/>
              <a:gd name="T14" fmla="*/ 60 w 103"/>
              <a:gd name="T15" fmla="*/ 48 h 48"/>
              <a:gd name="T16" fmla="*/ 61 w 103"/>
              <a:gd name="T17" fmla="*/ 48 h 48"/>
              <a:gd name="T18" fmla="*/ 103 w 103"/>
              <a:gd name="T19" fmla="*/ 29 h 48"/>
              <a:gd name="T20" fmla="*/ 103 w 103"/>
              <a:gd name="T21" fmla="*/ 10 h 48"/>
              <a:gd name="T22" fmla="*/ 61 w 103"/>
              <a:gd name="T23" fmla="*/ 30 h 48"/>
              <a:gd name="T24" fmla="*/ 60 w 103"/>
              <a:gd name="T25" fmla="*/ 3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8">
                <a:moveTo>
                  <a:pt x="60" y="30"/>
                </a:moveTo>
                <a:cubicBezTo>
                  <a:pt x="59" y="30"/>
                  <a:pt x="58" y="30"/>
                  <a:pt x="58" y="30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5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8"/>
                  <a:pt x="60" y="48"/>
                </a:cubicBezTo>
                <a:cubicBezTo>
                  <a:pt x="60" y="48"/>
                  <a:pt x="61" y="48"/>
                  <a:pt x="61" y="48"/>
                </a:cubicBezTo>
                <a:cubicBezTo>
                  <a:pt x="103" y="29"/>
                  <a:pt x="103" y="29"/>
                  <a:pt x="103" y="29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34" name="Freeform 198"/>
          <xdr:cNvSpPr/>
        </xdr:nvSpPr>
        <xdr:spPr>
          <a:xfrm>
            <a:off x="2112963" y="1247776"/>
            <a:ext cx="107950" cy="85725"/>
          </a:xfrm>
          <a:custGeom>
            <a:avLst/>
            <a:gdLst>
              <a:gd name="T0" fmla="*/ 35 w 38"/>
              <a:gd name="T1" fmla="*/ 6 h 30"/>
              <a:gd name="T2" fmla="*/ 24 w 38"/>
              <a:gd name="T3" fmla="*/ 0 h 30"/>
              <a:gd name="T4" fmla="*/ 0 w 38"/>
              <a:gd name="T5" fmla="*/ 12 h 30"/>
              <a:gd name="T6" fmla="*/ 0 w 38"/>
              <a:gd name="T7" fmla="*/ 30 h 30"/>
              <a:gd name="T8" fmla="*/ 35 w 38"/>
              <a:gd name="T9" fmla="*/ 13 h 30"/>
              <a:gd name="T10" fmla="*/ 38 w 38"/>
              <a:gd name="T11" fmla="*/ 10 h 30"/>
              <a:gd name="T12" fmla="*/ 35 w 38"/>
              <a:gd name="T13" fmla="*/ 6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30">
                <a:moveTo>
                  <a:pt x="35" y="6"/>
                </a:moveTo>
                <a:cubicBezTo>
                  <a:pt x="24" y="0"/>
                  <a:pt x="24" y="0"/>
                  <a:pt x="24" y="0"/>
                </a:cubicBezTo>
                <a:cubicBezTo>
                  <a:pt x="0" y="12"/>
                  <a:pt x="0" y="12"/>
                  <a:pt x="0" y="12"/>
                </a:cubicBezTo>
                <a:cubicBezTo>
                  <a:pt x="0" y="30"/>
                  <a:pt x="0" y="30"/>
                  <a:pt x="0" y="30"/>
                </a:cubicBezTo>
                <a:cubicBezTo>
                  <a:pt x="35" y="13"/>
                  <a:pt x="35" y="13"/>
                  <a:pt x="35" y="13"/>
                </a:cubicBezTo>
                <a:cubicBezTo>
                  <a:pt x="37" y="13"/>
                  <a:pt x="38" y="11"/>
                  <a:pt x="38" y="10"/>
                </a:cubicBezTo>
                <a:cubicBezTo>
                  <a:pt x="38" y="8"/>
                  <a:pt x="37" y="7"/>
                  <a:pt x="35" y="6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35" name="Freeform 199"/>
          <xdr:cNvSpPr/>
        </xdr:nvSpPr>
        <xdr:spPr>
          <a:xfrm>
            <a:off x="1670050" y="1392238"/>
            <a:ext cx="293688" cy="138113"/>
          </a:xfrm>
          <a:custGeom>
            <a:avLst/>
            <a:gdLst>
              <a:gd name="T0" fmla="*/ 60 w 103"/>
              <a:gd name="T1" fmla="*/ 30 h 48"/>
              <a:gd name="T2" fmla="*/ 58 w 103"/>
              <a:gd name="T3" fmla="*/ 29 h 48"/>
              <a:gd name="T4" fmla="*/ 13 w 103"/>
              <a:gd name="T5" fmla="*/ 0 h 48"/>
              <a:gd name="T6" fmla="*/ 3 w 103"/>
              <a:gd name="T7" fmla="*/ 4 h 48"/>
              <a:gd name="T8" fmla="*/ 1 w 103"/>
              <a:gd name="T9" fmla="*/ 7 h 48"/>
              <a:gd name="T10" fmla="*/ 2 w 103"/>
              <a:gd name="T11" fmla="*/ 11 h 48"/>
              <a:gd name="T12" fmla="*/ 58 w 103"/>
              <a:gd name="T13" fmla="*/ 48 h 48"/>
              <a:gd name="T14" fmla="*/ 60 w 103"/>
              <a:gd name="T15" fmla="*/ 48 h 48"/>
              <a:gd name="T16" fmla="*/ 61 w 103"/>
              <a:gd name="T17" fmla="*/ 48 h 48"/>
              <a:gd name="T18" fmla="*/ 103 w 103"/>
              <a:gd name="T19" fmla="*/ 28 h 48"/>
              <a:gd name="T20" fmla="*/ 103 w 103"/>
              <a:gd name="T21" fmla="*/ 10 h 48"/>
              <a:gd name="T22" fmla="*/ 61 w 103"/>
              <a:gd name="T23" fmla="*/ 30 h 48"/>
              <a:gd name="T24" fmla="*/ 60 w 103"/>
              <a:gd name="T25" fmla="*/ 3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8">
                <a:moveTo>
                  <a:pt x="60" y="30"/>
                </a:moveTo>
                <a:cubicBezTo>
                  <a:pt x="59" y="30"/>
                  <a:pt x="58" y="30"/>
                  <a:pt x="58" y="29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4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8"/>
                  <a:pt x="60" y="48"/>
                </a:cubicBezTo>
                <a:cubicBezTo>
                  <a:pt x="60" y="48"/>
                  <a:pt x="61" y="48"/>
                  <a:pt x="61" y="48"/>
                </a:cubicBezTo>
                <a:cubicBezTo>
                  <a:pt x="103" y="28"/>
                  <a:pt x="103" y="28"/>
                  <a:pt x="103" y="28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36" name="Freeform 200"/>
          <xdr:cNvSpPr/>
        </xdr:nvSpPr>
        <xdr:spPr>
          <a:xfrm>
            <a:off x="2112963" y="1319213"/>
            <a:ext cx="107950" cy="85725"/>
          </a:xfrm>
          <a:custGeom>
            <a:avLst/>
            <a:gdLst>
              <a:gd name="T0" fmla="*/ 35 w 38"/>
              <a:gd name="T1" fmla="*/ 6 h 30"/>
              <a:gd name="T2" fmla="*/ 24 w 38"/>
              <a:gd name="T3" fmla="*/ 0 h 30"/>
              <a:gd name="T4" fmla="*/ 0 w 38"/>
              <a:gd name="T5" fmla="*/ 12 h 30"/>
              <a:gd name="T6" fmla="*/ 0 w 38"/>
              <a:gd name="T7" fmla="*/ 30 h 30"/>
              <a:gd name="T8" fmla="*/ 35 w 38"/>
              <a:gd name="T9" fmla="*/ 13 h 30"/>
              <a:gd name="T10" fmla="*/ 38 w 38"/>
              <a:gd name="T11" fmla="*/ 9 h 30"/>
              <a:gd name="T12" fmla="*/ 35 w 38"/>
              <a:gd name="T13" fmla="*/ 6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30">
                <a:moveTo>
                  <a:pt x="35" y="6"/>
                </a:moveTo>
                <a:cubicBezTo>
                  <a:pt x="24" y="0"/>
                  <a:pt x="24" y="0"/>
                  <a:pt x="24" y="0"/>
                </a:cubicBezTo>
                <a:cubicBezTo>
                  <a:pt x="0" y="12"/>
                  <a:pt x="0" y="12"/>
                  <a:pt x="0" y="12"/>
                </a:cubicBezTo>
                <a:cubicBezTo>
                  <a:pt x="0" y="30"/>
                  <a:pt x="0" y="30"/>
                  <a:pt x="0" y="30"/>
                </a:cubicBezTo>
                <a:cubicBezTo>
                  <a:pt x="35" y="13"/>
                  <a:pt x="35" y="13"/>
                  <a:pt x="35" y="13"/>
                </a:cubicBezTo>
                <a:cubicBezTo>
                  <a:pt x="37" y="12"/>
                  <a:pt x="38" y="11"/>
                  <a:pt x="38" y="9"/>
                </a:cubicBezTo>
                <a:cubicBezTo>
                  <a:pt x="38" y="8"/>
                  <a:pt x="37" y="7"/>
                  <a:pt x="35" y="6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8</xdr:col>
      <xdr:colOff>47625</xdr:colOff>
      <xdr:row>14</xdr:row>
      <xdr:rowOff>190500</xdr:rowOff>
    </xdr:from>
    <xdr:to>
      <xdr:col>8</xdr:col>
      <xdr:colOff>419100</xdr:colOff>
      <xdr:row>14</xdr:row>
      <xdr:rowOff>542925</xdr:rowOff>
    </xdr:to>
    <xdr:grpSp>
      <xdr:nvGrpSpPr>
        <xdr:cNvPr id="37" name="组合 36"/>
        <xdr:cNvGrpSpPr/>
      </xdr:nvGrpSpPr>
      <xdr:grpSpPr>
        <a:xfrm>
          <a:off x="7962900" y="3638550"/>
          <a:ext cx="371475" cy="352425"/>
          <a:chOff x="1670050" y="1039813"/>
          <a:chExt cx="550863" cy="490538"/>
        </a:xfrm>
        <a:solidFill>
          <a:srgbClr val="7030A0"/>
        </a:solidFill>
      </xdr:grpSpPr>
      <xdr:sp>
        <xdr:nvSpPr>
          <xdr:cNvPr id="38" name="Freeform 192"/>
          <xdr:cNvSpPr/>
        </xdr:nvSpPr>
        <xdr:spPr>
          <a:xfrm>
            <a:off x="1881188" y="1125538"/>
            <a:ext cx="125413" cy="76200"/>
          </a:xfrm>
          <a:custGeom>
            <a:avLst/>
            <a:gdLst>
              <a:gd name="T0" fmla="*/ 39 w 44"/>
              <a:gd name="T1" fmla="*/ 14 h 27"/>
              <a:gd name="T2" fmla="*/ 21 w 44"/>
              <a:gd name="T3" fmla="*/ 12 h 27"/>
              <a:gd name="T4" fmla="*/ 9 w 44"/>
              <a:gd name="T5" fmla="*/ 11 h 27"/>
              <a:gd name="T6" fmla="*/ 11 w 44"/>
              <a:gd name="T7" fmla="*/ 6 h 27"/>
              <a:gd name="T8" fmla="*/ 19 w 44"/>
              <a:gd name="T9" fmla="*/ 4 h 27"/>
              <a:gd name="T10" fmla="*/ 17 w 44"/>
              <a:gd name="T11" fmla="*/ 1 h 27"/>
              <a:gd name="T12" fmla="*/ 9 w 44"/>
              <a:gd name="T13" fmla="*/ 3 h 27"/>
              <a:gd name="T14" fmla="*/ 4 w 44"/>
              <a:gd name="T15" fmla="*/ 0 h 27"/>
              <a:gd name="T16" fmla="*/ 0 w 44"/>
              <a:gd name="T17" fmla="*/ 2 h 27"/>
              <a:gd name="T18" fmla="*/ 5 w 44"/>
              <a:gd name="T19" fmla="*/ 5 h 27"/>
              <a:gd name="T20" fmla="*/ 5 w 44"/>
              <a:gd name="T21" fmla="*/ 13 h 27"/>
              <a:gd name="T22" fmla="*/ 22 w 44"/>
              <a:gd name="T23" fmla="*/ 15 h 27"/>
              <a:gd name="T24" fmla="*/ 34 w 44"/>
              <a:gd name="T25" fmla="*/ 16 h 27"/>
              <a:gd name="T26" fmla="*/ 33 w 44"/>
              <a:gd name="T27" fmla="*/ 22 h 27"/>
              <a:gd name="T28" fmla="*/ 23 w 44"/>
              <a:gd name="T29" fmla="*/ 24 h 27"/>
              <a:gd name="T30" fmla="*/ 25 w 44"/>
              <a:gd name="T31" fmla="*/ 26 h 27"/>
              <a:gd name="T32" fmla="*/ 35 w 44"/>
              <a:gd name="T33" fmla="*/ 24 h 27"/>
              <a:gd name="T34" fmla="*/ 40 w 44"/>
              <a:gd name="T35" fmla="*/ 27 h 27"/>
              <a:gd name="T36" fmla="*/ 44 w 44"/>
              <a:gd name="T37" fmla="*/ 26 h 27"/>
              <a:gd name="T38" fmla="*/ 39 w 44"/>
              <a:gd name="T39" fmla="*/ 23 h 27"/>
              <a:gd name="T40" fmla="*/ 39 w 44"/>
              <a:gd name="T41" fmla="*/ 14 h 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44" h="27">
                <a:moveTo>
                  <a:pt x="39" y="14"/>
                </a:moveTo>
                <a:cubicBezTo>
                  <a:pt x="35" y="11"/>
                  <a:pt x="29" y="10"/>
                  <a:pt x="21" y="12"/>
                </a:cubicBezTo>
                <a:cubicBezTo>
                  <a:pt x="15" y="12"/>
                  <a:pt x="12" y="12"/>
                  <a:pt x="9" y="11"/>
                </a:cubicBezTo>
                <a:cubicBezTo>
                  <a:pt x="7" y="10"/>
                  <a:pt x="6" y="7"/>
                  <a:pt x="11" y="6"/>
                </a:cubicBezTo>
                <a:cubicBezTo>
                  <a:pt x="14" y="4"/>
                  <a:pt x="18" y="4"/>
                  <a:pt x="19" y="4"/>
                </a:cubicBezTo>
                <a:cubicBezTo>
                  <a:pt x="17" y="1"/>
                  <a:pt x="17" y="1"/>
                  <a:pt x="17" y="1"/>
                </a:cubicBezTo>
                <a:cubicBezTo>
                  <a:pt x="15" y="1"/>
                  <a:pt x="12" y="2"/>
                  <a:pt x="9" y="3"/>
                </a:cubicBezTo>
                <a:cubicBezTo>
                  <a:pt x="4" y="0"/>
                  <a:pt x="4" y="0"/>
                  <a:pt x="4" y="0"/>
                </a:cubicBezTo>
                <a:cubicBezTo>
                  <a:pt x="0" y="2"/>
                  <a:pt x="0" y="2"/>
                  <a:pt x="0" y="2"/>
                </a:cubicBezTo>
                <a:cubicBezTo>
                  <a:pt x="5" y="5"/>
                  <a:pt x="5" y="5"/>
                  <a:pt x="5" y="5"/>
                </a:cubicBezTo>
                <a:cubicBezTo>
                  <a:pt x="1" y="7"/>
                  <a:pt x="1" y="11"/>
                  <a:pt x="5" y="13"/>
                </a:cubicBezTo>
                <a:cubicBezTo>
                  <a:pt x="9" y="16"/>
                  <a:pt x="15" y="16"/>
                  <a:pt x="22" y="15"/>
                </a:cubicBezTo>
                <a:cubicBezTo>
                  <a:pt x="28" y="14"/>
                  <a:pt x="32" y="14"/>
                  <a:pt x="34" y="16"/>
                </a:cubicBezTo>
                <a:cubicBezTo>
                  <a:pt x="37" y="18"/>
                  <a:pt x="37" y="20"/>
                  <a:pt x="33" y="22"/>
                </a:cubicBezTo>
                <a:cubicBezTo>
                  <a:pt x="30" y="23"/>
                  <a:pt x="26" y="24"/>
                  <a:pt x="23" y="24"/>
                </a:cubicBezTo>
                <a:cubicBezTo>
                  <a:pt x="25" y="26"/>
                  <a:pt x="25" y="26"/>
                  <a:pt x="25" y="26"/>
                </a:cubicBezTo>
                <a:cubicBezTo>
                  <a:pt x="28" y="26"/>
                  <a:pt x="32" y="25"/>
                  <a:pt x="35" y="24"/>
                </a:cubicBezTo>
                <a:cubicBezTo>
                  <a:pt x="40" y="27"/>
                  <a:pt x="40" y="27"/>
                  <a:pt x="40" y="27"/>
                </a:cubicBezTo>
                <a:cubicBezTo>
                  <a:pt x="44" y="26"/>
                  <a:pt x="44" y="26"/>
                  <a:pt x="44" y="26"/>
                </a:cubicBezTo>
                <a:cubicBezTo>
                  <a:pt x="39" y="23"/>
                  <a:pt x="39" y="23"/>
                  <a:pt x="39" y="23"/>
                </a:cubicBezTo>
                <a:cubicBezTo>
                  <a:pt x="43" y="20"/>
                  <a:pt x="43" y="16"/>
                  <a:pt x="39" y="1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39" name="Freeform 193"/>
          <xdr:cNvSpPr>
            <a:spLocks noEditPoints="1"/>
          </xdr:cNvSpPr>
        </xdr:nvSpPr>
        <xdr:spPr>
          <a:xfrm>
            <a:off x="1670050" y="1144588"/>
            <a:ext cx="293688" cy="174625"/>
          </a:xfrm>
          <a:custGeom>
            <a:avLst/>
            <a:gdLst>
              <a:gd name="T0" fmla="*/ 3 w 103"/>
              <a:gd name="T1" fmla="*/ 16 h 61"/>
              <a:gd name="T2" fmla="*/ 1 w 103"/>
              <a:gd name="T3" fmla="*/ 19 h 61"/>
              <a:gd name="T4" fmla="*/ 2 w 103"/>
              <a:gd name="T5" fmla="*/ 23 h 61"/>
              <a:gd name="T6" fmla="*/ 58 w 103"/>
              <a:gd name="T7" fmla="*/ 60 h 61"/>
              <a:gd name="T8" fmla="*/ 60 w 103"/>
              <a:gd name="T9" fmla="*/ 61 h 61"/>
              <a:gd name="T10" fmla="*/ 61 w 103"/>
              <a:gd name="T11" fmla="*/ 60 h 61"/>
              <a:gd name="T12" fmla="*/ 103 w 103"/>
              <a:gd name="T13" fmla="*/ 41 h 61"/>
              <a:gd name="T14" fmla="*/ 103 w 103"/>
              <a:gd name="T15" fmla="*/ 40 h 61"/>
              <a:gd name="T16" fmla="*/ 42 w 103"/>
              <a:gd name="T17" fmla="*/ 0 h 61"/>
              <a:gd name="T18" fmla="*/ 3 w 103"/>
              <a:gd name="T19" fmla="*/ 16 h 61"/>
              <a:gd name="T20" fmla="*/ 44 w 103"/>
              <a:gd name="T21" fmla="*/ 27 h 61"/>
              <a:gd name="T22" fmla="*/ 52 w 103"/>
              <a:gd name="T23" fmla="*/ 27 h 61"/>
              <a:gd name="T24" fmla="*/ 52 w 103"/>
              <a:gd name="T25" fmla="*/ 31 h 61"/>
              <a:gd name="T26" fmla="*/ 44 w 103"/>
              <a:gd name="T27" fmla="*/ 31 h 61"/>
              <a:gd name="T28" fmla="*/ 44 w 103"/>
              <a:gd name="T29" fmla="*/ 27 h 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103" h="61">
                <a:moveTo>
                  <a:pt x="3" y="16"/>
                </a:moveTo>
                <a:cubicBezTo>
                  <a:pt x="2" y="17"/>
                  <a:pt x="1" y="18"/>
                  <a:pt x="1" y="19"/>
                </a:cubicBezTo>
                <a:cubicBezTo>
                  <a:pt x="0" y="21"/>
                  <a:pt x="1" y="22"/>
                  <a:pt x="2" y="23"/>
                </a:cubicBezTo>
                <a:cubicBezTo>
                  <a:pt x="58" y="60"/>
                  <a:pt x="58" y="60"/>
                  <a:pt x="58" y="60"/>
                </a:cubicBezTo>
                <a:cubicBezTo>
                  <a:pt x="58" y="60"/>
                  <a:pt x="59" y="61"/>
                  <a:pt x="60" y="61"/>
                </a:cubicBezTo>
                <a:cubicBezTo>
                  <a:pt x="60" y="61"/>
                  <a:pt x="61" y="60"/>
                  <a:pt x="61" y="60"/>
                </a:cubicBezTo>
                <a:cubicBezTo>
                  <a:pt x="103" y="41"/>
                  <a:pt x="103" y="41"/>
                  <a:pt x="103" y="41"/>
                </a:cubicBezTo>
                <a:cubicBezTo>
                  <a:pt x="103" y="40"/>
                  <a:pt x="103" y="40"/>
                  <a:pt x="103" y="40"/>
                </a:cubicBezTo>
                <a:cubicBezTo>
                  <a:pt x="42" y="0"/>
                  <a:pt x="42" y="0"/>
                  <a:pt x="42" y="0"/>
                </a:cubicBezTo>
                <a:lnTo>
                  <a:pt x="3" y="16"/>
                </a:lnTo>
                <a:close/>
                <a:moveTo>
                  <a:pt x="44" y="27"/>
                </a:moveTo>
                <a:cubicBezTo>
                  <a:pt x="46" y="26"/>
                  <a:pt x="50" y="26"/>
                  <a:pt x="52" y="27"/>
                </a:cubicBezTo>
                <a:cubicBezTo>
                  <a:pt x="55" y="29"/>
                  <a:pt x="54" y="30"/>
                  <a:pt x="52" y="31"/>
                </a:cubicBezTo>
                <a:cubicBezTo>
                  <a:pt x="49" y="33"/>
                  <a:pt x="46" y="32"/>
                  <a:pt x="44" y="31"/>
                </a:cubicBezTo>
                <a:cubicBezTo>
                  <a:pt x="41" y="30"/>
                  <a:pt x="42" y="28"/>
                  <a:pt x="44" y="27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0" name="Freeform 194"/>
          <xdr:cNvSpPr>
            <a:spLocks noEditPoints="1"/>
          </xdr:cNvSpPr>
        </xdr:nvSpPr>
        <xdr:spPr>
          <a:xfrm>
            <a:off x="1941513" y="1039813"/>
            <a:ext cx="279400" cy="150813"/>
          </a:xfrm>
          <a:custGeom>
            <a:avLst/>
            <a:gdLst>
              <a:gd name="T0" fmla="*/ 98 w 98"/>
              <a:gd name="T1" fmla="*/ 33 h 53"/>
              <a:gd name="T2" fmla="*/ 95 w 98"/>
              <a:gd name="T3" fmla="*/ 29 h 53"/>
              <a:gd name="T4" fmla="*/ 38 w 98"/>
              <a:gd name="T5" fmla="*/ 1 h 53"/>
              <a:gd name="T6" fmla="*/ 35 w 98"/>
              <a:gd name="T7" fmla="*/ 1 h 53"/>
              <a:gd name="T8" fmla="*/ 0 w 98"/>
              <a:gd name="T9" fmla="*/ 15 h 53"/>
              <a:gd name="T10" fmla="*/ 59 w 98"/>
              <a:gd name="T11" fmla="*/ 53 h 53"/>
              <a:gd name="T12" fmla="*/ 95 w 98"/>
              <a:gd name="T13" fmla="*/ 36 h 53"/>
              <a:gd name="T14" fmla="*/ 98 w 98"/>
              <a:gd name="T15" fmla="*/ 33 h 53"/>
              <a:gd name="T16" fmla="*/ 54 w 98"/>
              <a:gd name="T17" fmla="*/ 25 h 53"/>
              <a:gd name="T18" fmla="*/ 46 w 98"/>
              <a:gd name="T19" fmla="*/ 25 h 53"/>
              <a:gd name="T20" fmla="*/ 46 w 98"/>
              <a:gd name="T21" fmla="*/ 21 h 53"/>
              <a:gd name="T22" fmla="*/ 55 w 98"/>
              <a:gd name="T23" fmla="*/ 21 h 53"/>
              <a:gd name="T24" fmla="*/ 54 w 98"/>
              <a:gd name="T25" fmla="*/ 25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98" h="53">
                <a:moveTo>
                  <a:pt x="98" y="33"/>
                </a:moveTo>
                <a:cubicBezTo>
                  <a:pt x="98" y="31"/>
                  <a:pt x="97" y="30"/>
                  <a:pt x="95" y="29"/>
                </a:cubicBezTo>
                <a:cubicBezTo>
                  <a:pt x="38" y="1"/>
                  <a:pt x="38" y="1"/>
                  <a:pt x="38" y="1"/>
                </a:cubicBezTo>
                <a:cubicBezTo>
                  <a:pt x="37" y="1"/>
                  <a:pt x="36" y="0"/>
                  <a:pt x="35" y="1"/>
                </a:cubicBezTo>
                <a:cubicBezTo>
                  <a:pt x="0" y="15"/>
                  <a:pt x="0" y="15"/>
                  <a:pt x="0" y="15"/>
                </a:cubicBezTo>
                <a:cubicBezTo>
                  <a:pt x="59" y="53"/>
                  <a:pt x="59" y="53"/>
                  <a:pt x="59" y="53"/>
                </a:cubicBezTo>
                <a:cubicBezTo>
                  <a:pt x="95" y="36"/>
                  <a:pt x="95" y="36"/>
                  <a:pt x="95" y="36"/>
                </a:cubicBezTo>
                <a:cubicBezTo>
                  <a:pt x="97" y="36"/>
                  <a:pt x="98" y="34"/>
                  <a:pt x="98" y="33"/>
                </a:cubicBezTo>
                <a:close/>
                <a:moveTo>
                  <a:pt x="54" y="25"/>
                </a:moveTo>
                <a:cubicBezTo>
                  <a:pt x="52" y="26"/>
                  <a:pt x="48" y="26"/>
                  <a:pt x="46" y="25"/>
                </a:cubicBezTo>
                <a:cubicBezTo>
                  <a:pt x="44" y="24"/>
                  <a:pt x="44" y="22"/>
                  <a:pt x="46" y="21"/>
                </a:cubicBezTo>
                <a:cubicBezTo>
                  <a:pt x="49" y="20"/>
                  <a:pt x="52" y="20"/>
                  <a:pt x="55" y="21"/>
                </a:cubicBezTo>
                <a:cubicBezTo>
                  <a:pt x="57" y="22"/>
                  <a:pt x="57" y="24"/>
                  <a:pt x="54" y="25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1" name="Freeform 195"/>
          <xdr:cNvSpPr/>
        </xdr:nvSpPr>
        <xdr:spPr>
          <a:xfrm>
            <a:off x="1670050" y="1250951"/>
            <a:ext cx="293688" cy="139700"/>
          </a:xfrm>
          <a:custGeom>
            <a:avLst/>
            <a:gdLst>
              <a:gd name="T0" fmla="*/ 60 w 103"/>
              <a:gd name="T1" fmla="*/ 30 h 49"/>
              <a:gd name="T2" fmla="*/ 58 w 103"/>
              <a:gd name="T3" fmla="*/ 30 h 49"/>
              <a:gd name="T4" fmla="*/ 13 w 103"/>
              <a:gd name="T5" fmla="*/ 0 h 49"/>
              <a:gd name="T6" fmla="*/ 3 w 103"/>
              <a:gd name="T7" fmla="*/ 4 h 49"/>
              <a:gd name="T8" fmla="*/ 1 w 103"/>
              <a:gd name="T9" fmla="*/ 7 h 49"/>
              <a:gd name="T10" fmla="*/ 2 w 103"/>
              <a:gd name="T11" fmla="*/ 11 h 49"/>
              <a:gd name="T12" fmla="*/ 58 w 103"/>
              <a:gd name="T13" fmla="*/ 48 h 49"/>
              <a:gd name="T14" fmla="*/ 60 w 103"/>
              <a:gd name="T15" fmla="*/ 49 h 49"/>
              <a:gd name="T16" fmla="*/ 61 w 103"/>
              <a:gd name="T17" fmla="*/ 48 h 49"/>
              <a:gd name="T18" fmla="*/ 103 w 103"/>
              <a:gd name="T19" fmla="*/ 29 h 49"/>
              <a:gd name="T20" fmla="*/ 103 w 103"/>
              <a:gd name="T21" fmla="*/ 10 h 49"/>
              <a:gd name="T22" fmla="*/ 61 w 103"/>
              <a:gd name="T23" fmla="*/ 30 h 49"/>
              <a:gd name="T24" fmla="*/ 60 w 103"/>
              <a:gd name="T25" fmla="*/ 30 h 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9">
                <a:moveTo>
                  <a:pt x="60" y="30"/>
                </a:moveTo>
                <a:cubicBezTo>
                  <a:pt x="59" y="30"/>
                  <a:pt x="58" y="30"/>
                  <a:pt x="58" y="30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5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9"/>
                  <a:pt x="60" y="49"/>
                </a:cubicBezTo>
                <a:cubicBezTo>
                  <a:pt x="60" y="49"/>
                  <a:pt x="61" y="49"/>
                  <a:pt x="61" y="48"/>
                </a:cubicBezTo>
                <a:cubicBezTo>
                  <a:pt x="103" y="29"/>
                  <a:pt x="103" y="29"/>
                  <a:pt x="103" y="29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2" name="Freeform 196"/>
          <xdr:cNvSpPr/>
        </xdr:nvSpPr>
        <xdr:spPr>
          <a:xfrm>
            <a:off x="2112963" y="1179513"/>
            <a:ext cx="107950" cy="82550"/>
          </a:xfrm>
          <a:custGeom>
            <a:avLst/>
            <a:gdLst>
              <a:gd name="T0" fmla="*/ 35 w 38"/>
              <a:gd name="T1" fmla="*/ 5 h 29"/>
              <a:gd name="T2" fmla="*/ 24 w 38"/>
              <a:gd name="T3" fmla="*/ 0 h 29"/>
              <a:gd name="T4" fmla="*/ 0 w 38"/>
              <a:gd name="T5" fmla="*/ 11 h 29"/>
              <a:gd name="T6" fmla="*/ 0 w 38"/>
              <a:gd name="T7" fmla="*/ 29 h 29"/>
              <a:gd name="T8" fmla="*/ 35 w 38"/>
              <a:gd name="T9" fmla="*/ 12 h 29"/>
              <a:gd name="T10" fmla="*/ 38 w 38"/>
              <a:gd name="T11" fmla="*/ 9 h 29"/>
              <a:gd name="T12" fmla="*/ 35 w 38"/>
              <a:gd name="T13" fmla="*/ 5 h 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29">
                <a:moveTo>
                  <a:pt x="35" y="5"/>
                </a:moveTo>
                <a:cubicBezTo>
                  <a:pt x="24" y="0"/>
                  <a:pt x="24" y="0"/>
                  <a:pt x="24" y="0"/>
                </a:cubicBezTo>
                <a:cubicBezTo>
                  <a:pt x="0" y="11"/>
                  <a:pt x="0" y="11"/>
                  <a:pt x="0" y="11"/>
                </a:cubicBezTo>
                <a:cubicBezTo>
                  <a:pt x="0" y="29"/>
                  <a:pt x="0" y="29"/>
                  <a:pt x="0" y="29"/>
                </a:cubicBezTo>
                <a:cubicBezTo>
                  <a:pt x="35" y="12"/>
                  <a:pt x="35" y="12"/>
                  <a:pt x="35" y="12"/>
                </a:cubicBezTo>
                <a:cubicBezTo>
                  <a:pt x="37" y="12"/>
                  <a:pt x="38" y="10"/>
                  <a:pt x="38" y="9"/>
                </a:cubicBezTo>
                <a:cubicBezTo>
                  <a:pt x="38" y="7"/>
                  <a:pt x="37" y="6"/>
                  <a:pt x="35" y="5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3" name="Freeform 197"/>
          <xdr:cNvSpPr/>
        </xdr:nvSpPr>
        <xdr:spPr>
          <a:xfrm>
            <a:off x="1670050" y="1322388"/>
            <a:ext cx="293688" cy="136525"/>
          </a:xfrm>
          <a:custGeom>
            <a:avLst/>
            <a:gdLst>
              <a:gd name="T0" fmla="*/ 60 w 103"/>
              <a:gd name="T1" fmla="*/ 30 h 48"/>
              <a:gd name="T2" fmla="*/ 58 w 103"/>
              <a:gd name="T3" fmla="*/ 30 h 48"/>
              <a:gd name="T4" fmla="*/ 13 w 103"/>
              <a:gd name="T5" fmla="*/ 0 h 48"/>
              <a:gd name="T6" fmla="*/ 3 w 103"/>
              <a:gd name="T7" fmla="*/ 4 h 48"/>
              <a:gd name="T8" fmla="*/ 1 w 103"/>
              <a:gd name="T9" fmla="*/ 7 h 48"/>
              <a:gd name="T10" fmla="*/ 2 w 103"/>
              <a:gd name="T11" fmla="*/ 11 h 48"/>
              <a:gd name="T12" fmla="*/ 58 w 103"/>
              <a:gd name="T13" fmla="*/ 48 h 48"/>
              <a:gd name="T14" fmla="*/ 60 w 103"/>
              <a:gd name="T15" fmla="*/ 48 h 48"/>
              <a:gd name="T16" fmla="*/ 61 w 103"/>
              <a:gd name="T17" fmla="*/ 48 h 48"/>
              <a:gd name="T18" fmla="*/ 103 w 103"/>
              <a:gd name="T19" fmla="*/ 29 h 48"/>
              <a:gd name="T20" fmla="*/ 103 w 103"/>
              <a:gd name="T21" fmla="*/ 10 h 48"/>
              <a:gd name="T22" fmla="*/ 61 w 103"/>
              <a:gd name="T23" fmla="*/ 30 h 48"/>
              <a:gd name="T24" fmla="*/ 60 w 103"/>
              <a:gd name="T25" fmla="*/ 3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8">
                <a:moveTo>
                  <a:pt x="60" y="30"/>
                </a:moveTo>
                <a:cubicBezTo>
                  <a:pt x="59" y="30"/>
                  <a:pt x="58" y="30"/>
                  <a:pt x="58" y="30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5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8"/>
                  <a:pt x="60" y="48"/>
                </a:cubicBezTo>
                <a:cubicBezTo>
                  <a:pt x="60" y="48"/>
                  <a:pt x="61" y="48"/>
                  <a:pt x="61" y="48"/>
                </a:cubicBezTo>
                <a:cubicBezTo>
                  <a:pt x="103" y="29"/>
                  <a:pt x="103" y="29"/>
                  <a:pt x="103" y="29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4" name="Freeform 198"/>
          <xdr:cNvSpPr/>
        </xdr:nvSpPr>
        <xdr:spPr>
          <a:xfrm>
            <a:off x="2112963" y="1247776"/>
            <a:ext cx="107950" cy="85725"/>
          </a:xfrm>
          <a:custGeom>
            <a:avLst/>
            <a:gdLst>
              <a:gd name="T0" fmla="*/ 35 w 38"/>
              <a:gd name="T1" fmla="*/ 6 h 30"/>
              <a:gd name="T2" fmla="*/ 24 w 38"/>
              <a:gd name="T3" fmla="*/ 0 h 30"/>
              <a:gd name="T4" fmla="*/ 0 w 38"/>
              <a:gd name="T5" fmla="*/ 12 h 30"/>
              <a:gd name="T6" fmla="*/ 0 w 38"/>
              <a:gd name="T7" fmla="*/ 30 h 30"/>
              <a:gd name="T8" fmla="*/ 35 w 38"/>
              <a:gd name="T9" fmla="*/ 13 h 30"/>
              <a:gd name="T10" fmla="*/ 38 w 38"/>
              <a:gd name="T11" fmla="*/ 10 h 30"/>
              <a:gd name="T12" fmla="*/ 35 w 38"/>
              <a:gd name="T13" fmla="*/ 6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30">
                <a:moveTo>
                  <a:pt x="35" y="6"/>
                </a:moveTo>
                <a:cubicBezTo>
                  <a:pt x="24" y="0"/>
                  <a:pt x="24" y="0"/>
                  <a:pt x="24" y="0"/>
                </a:cubicBezTo>
                <a:cubicBezTo>
                  <a:pt x="0" y="12"/>
                  <a:pt x="0" y="12"/>
                  <a:pt x="0" y="12"/>
                </a:cubicBezTo>
                <a:cubicBezTo>
                  <a:pt x="0" y="30"/>
                  <a:pt x="0" y="30"/>
                  <a:pt x="0" y="30"/>
                </a:cubicBezTo>
                <a:cubicBezTo>
                  <a:pt x="35" y="13"/>
                  <a:pt x="35" y="13"/>
                  <a:pt x="35" y="13"/>
                </a:cubicBezTo>
                <a:cubicBezTo>
                  <a:pt x="37" y="13"/>
                  <a:pt x="38" y="11"/>
                  <a:pt x="38" y="10"/>
                </a:cubicBezTo>
                <a:cubicBezTo>
                  <a:pt x="38" y="8"/>
                  <a:pt x="37" y="7"/>
                  <a:pt x="35" y="6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5" name="Freeform 199"/>
          <xdr:cNvSpPr/>
        </xdr:nvSpPr>
        <xdr:spPr>
          <a:xfrm>
            <a:off x="1670050" y="1392238"/>
            <a:ext cx="293688" cy="138113"/>
          </a:xfrm>
          <a:custGeom>
            <a:avLst/>
            <a:gdLst>
              <a:gd name="T0" fmla="*/ 60 w 103"/>
              <a:gd name="T1" fmla="*/ 30 h 48"/>
              <a:gd name="T2" fmla="*/ 58 w 103"/>
              <a:gd name="T3" fmla="*/ 29 h 48"/>
              <a:gd name="T4" fmla="*/ 13 w 103"/>
              <a:gd name="T5" fmla="*/ 0 h 48"/>
              <a:gd name="T6" fmla="*/ 3 w 103"/>
              <a:gd name="T7" fmla="*/ 4 h 48"/>
              <a:gd name="T8" fmla="*/ 1 w 103"/>
              <a:gd name="T9" fmla="*/ 7 h 48"/>
              <a:gd name="T10" fmla="*/ 2 w 103"/>
              <a:gd name="T11" fmla="*/ 11 h 48"/>
              <a:gd name="T12" fmla="*/ 58 w 103"/>
              <a:gd name="T13" fmla="*/ 48 h 48"/>
              <a:gd name="T14" fmla="*/ 60 w 103"/>
              <a:gd name="T15" fmla="*/ 48 h 48"/>
              <a:gd name="T16" fmla="*/ 61 w 103"/>
              <a:gd name="T17" fmla="*/ 48 h 48"/>
              <a:gd name="T18" fmla="*/ 103 w 103"/>
              <a:gd name="T19" fmla="*/ 28 h 48"/>
              <a:gd name="T20" fmla="*/ 103 w 103"/>
              <a:gd name="T21" fmla="*/ 10 h 48"/>
              <a:gd name="T22" fmla="*/ 61 w 103"/>
              <a:gd name="T23" fmla="*/ 30 h 48"/>
              <a:gd name="T24" fmla="*/ 60 w 103"/>
              <a:gd name="T25" fmla="*/ 3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8">
                <a:moveTo>
                  <a:pt x="60" y="30"/>
                </a:moveTo>
                <a:cubicBezTo>
                  <a:pt x="59" y="30"/>
                  <a:pt x="58" y="30"/>
                  <a:pt x="58" y="29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4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8"/>
                  <a:pt x="60" y="48"/>
                </a:cubicBezTo>
                <a:cubicBezTo>
                  <a:pt x="60" y="48"/>
                  <a:pt x="61" y="48"/>
                  <a:pt x="61" y="48"/>
                </a:cubicBezTo>
                <a:cubicBezTo>
                  <a:pt x="103" y="28"/>
                  <a:pt x="103" y="28"/>
                  <a:pt x="103" y="28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6" name="Freeform 200"/>
          <xdr:cNvSpPr/>
        </xdr:nvSpPr>
        <xdr:spPr>
          <a:xfrm>
            <a:off x="2112963" y="1319213"/>
            <a:ext cx="107950" cy="85725"/>
          </a:xfrm>
          <a:custGeom>
            <a:avLst/>
            <a:gdLst>
              <a:gd name="T0" fmla="*/ 35 w 38"/>
              <a:gd name="T1" fmla="*/ 6 h 30"/>
              <a:gd name="T2" fmla="*/ 24 w 38"/>
              <a:gd name="T3" fmla="*/ 0 h 30"/>
              <a:gd name="T4" fmla="*/ 0 w 38"/>
              <a:gd name="T5" fmla="*/ 12 h 30"/>
              <a:gd name="T6" fmla="*/ 0 w 38"/>
              <a:gd name="T7" fmla="*/ 30 h 30"/>
              <a:gd name="T8" fmla="*/ 35 w 38"/>
              <a:gd name="T9" fmla="*/ 13 h 30"/>
              <a:gd name="T10" fmla="*/ 38 w 38"/>
              <a:gd name="T11" fmla="*/ 9 h 30"/>
              <a:gd name="T12" fmla="*/ 35 w 38"/>
              <a:gd name="T13" fmla="*/ 6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30">
                <a:moveTo>
                  <a:pt x="35" y="6"/>
                </a:moveTo>
                <a:cubicBezTo>
                  <a:pt x="24" y="0"/>
                  <a:pt x="24" y="0"/>
                  <a:pt x="24" y="0"/>
                </a:cubicBezTo>
                <a:cubicBezTo>
                  <a:pt x="0" y="12"/>
                  <a:pt x="0" y="12"/>
                  <a:pt x="0" y="12"/>
                </a:cubicBezTo>
                <a:cubicBezTo>
                  <a:pt x="0" y="30"/>
                  <a:pt x="0" y="30"/>
                  <a:pt x="0" y="30"/>
                </a:cubicBezTo>
                <a:cubicBezTo>
                  <a:pt x="35" y="13"/>
                  <a:pt x="35" y="13"/>
                  <a:pt x="35" y="13"/>
                </a:cubicBezTo>
                <a:cubicBezTo>
                  <a:pt x="37" y="12"/>
                  <a:pt x="38" y="11"/>
                  <a:pt x="38" y="9"/>
                </a:cubicBezTo>
                <a:cubicBezTo>
                  <a:pt x="38" y="8"/>
                  <a:pt x="37" y="7"/>
                  <a:pt x="35" y="6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2</xdr:col>
      <xdr:colOff>133349</xdr:colOff>
      <xdr:row>1</xdr:row>
      <xdr:rowOff>161925</xdr:rowOff>
    </xdr:from>
    <xdr:to>
      <xdr:col>3</xdr:col>
      <xdr:colOff>47624</xdr:colOff>
      <xdr:row>1</xdr:row>
      <xdr:rowOff>742950</xdr:rowOff>
    </xdr:to>
    <xdr:grpSp>
      <xdr:nvGrpSpPr>
        <xdr:cNvPr id="47" name="组合 46"/>
        <xdr:cNvGrpSpPr/>
      </xdr:nvGrpSpPr>
      <xdr:grpSpPr>
        <a:xfrm>
          <a:off x="3933190" y="533400"/>
          <a:ext cx="600075" cy="581025"/>
          <a:chOff x="1670050" y="1039813"/>
          <a:chExt cx="550863" cy="490538"/>
        </a:xfrm>
        <a:solidFill>
          <a:schemeClr val="bg1"/>
        </a:solidFill>
      </xdr:grpSpPr>
      <xdr:sp>
        <xdr:nvSpPr>
          <xdr:cNvPr id="48" name="Freeform 192"/>
          <xdr:cNvSpPr/>
        </xdr:nvSpPr>
        <xdr:spPr>
          <a:xfrm>
            <a:off x="1881188" y="1125538"/>
            <a:ext cx="125413" cy="76200"/>
          </a:xfrm>
          <a:custGeom>
            <a:avLst/>
            <a:gdLst>
              <a:gd name="T0" fmla="*/ 39 w 44"/>
              <a:gd name="T1" fmla="*/ 14 h 27"/>
              <a:gd name="T2" fmla="*/ 21 w 44"/>
              <a:gd name="T3" fmla="*/ 12 h 27"/>
              <a:gd name="T4" fmla="*/ 9 w 44"/>
              <a:gd name="T5" fmla="*/ 11 h 27"/>
              <a:gd name="T6" fmla="*/ 11 w 44"/>
              <a:gd name="T7" fmla="*/ 6 h 27"/>
              <a:gd name="T8" fmla="*/ 19 w 44"/>
              <a:gd name="T9" fmla="*/ 4 h 27"/>
              <a:gd name="T10" fmla="*/ 17 w 44"/>
              <a:gd name="T11" fmla="*/ 1 h 27"/>
              <a:gd name="T12" fmla="*/ 9 w 44"/>
              <a:gd name="T13" fmla="*/ 3 h 27"/>
              <a:gd name="T14" fmla="*/ 4 w 44"/>
              <a:gd name="T15" fmla="*/ 0 h 27"/>
              <a:gd name="T16" fmla="*/ 0 w 44"/>
              <a:gd name="T17" fmla="*/ 2 h 27"/>
              <a:gd name="T18" fmla="*/ 5 w 44"/>
              <a:gd name="T19" fmla="*/ 5 h 27"/>
              <a:gd name="T20" fmla="*/ 5 w 44"/>
              <a:gd name="T21" fmla="*/ 13 h 27"/>
              <a:gd name="T22" fmla="*/ 22 w 44"/>
              <a:gd name="T23" fmla="*/ 15 h 27"/>
              <a:gd name="T24" fmla="*/ 34 w 44"/>
              <a:gd name="T25" fmla="*/ 16 h 27"/>
              <a:gd name="T26" fmla="*/ 33 w 44"/>
              <a:gd name="T27" fmla="*/ 22 h 27"/>
              <a:gd name="T28" fmla="*/ 23 w 44"/>
              <a:gd name="T29" fmla="*/ 24 h 27"/>
              <a:gd name="T30" fmla="*/ 25 w 44"/>
              <a:gd name="T31" fmla="*/ 26 h 27"/>
              <a:gd name="T32" fmla="*/ 35 w 44"/>
              <a:gd name="T33" fmla="*/ 24 h 27"/>
              <a:gd name="T34" fmla="*/ 40 w 44"/>
              <a:gd name="T35" fmla="*/ 27 h 27"/>
              <a:gd name="T36" fmla="*/ 44 w 44"/>
              <a:gd name="T37" fmla="*/ 26 h 27"/>
              <a:gd name="T38" fmla="*/ 39 w 44"/>
              <a:gd name="T39" fmla="*/ 23 h 27"/>
              <a:gd name="T40" fmla="*/ 39 w 44"/>
              <a:gd name="T41" fmla="*/ 14 h 2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</a:cxnLst>
            <a:rect l="0" t="0" r="r" b="b"/>
            <a:pathLst>
              <a:path w="44" h="27">
                <a:moveTo>
                  <a:pt x="39" y="14"/>
                </a:moveTo>
                <a:cubicBezTo>
                  <a:pt x="35" y="11"/>
                  <a:pt x="29" y="10"/>
                  <a:pt x="21" y="12"/>
                </a:cubicBezTo>
                <a:cubicBezTo>
                  <a:pt x="15" y="12"/>
                  <a:pt x="12" y="12"/>
                  <a:pt x="9" y="11"/>
                </a:cubicBezTo>
                <a:cubicBezTo>
                  <a:pt x="7" y="10"/>
                  <a:pt x="6" y="7"/>
                  <a:pt x="11" y="6"/>
                </a:cubicBezTo>
                <a:cubicBezTo>
                  <a:pt x="14" y="4"/>
                  <a:pt x="18" y="4"/>
                  <a:pt x="19" y="4"/>
                </a:cubicBezTo>
                <a:cubicBezTo>
                  <a:pt x="17" y="1"/>
                  <a:pt x="17" y="1"/>
                  <a:pt x="17" y="1"/>
                </a:cubicBezTo>
                <a:cubicBezTo>
                  <a:pt x="15" y="1"/>
                  <a:pt x="12" y="2"/>
                  <a:pt x="9" y="3"/>
                </a:cubicBezTo>
                <a:cubicBezTo>
                  <a:pt x="4" y="0"/>
                  <a:pt x="4" y="0"/>
                  <a:pt x="4" y="0"/>
                </a:cubicBezTo>
                <a:cubicBezTo>
                  <a:pt x="0" y="2"/>
                  <a:pt x="0" y="2"/>
                  <a:pt x="0" y="2"/>
                </a:cubicBezTo>
                <a:cubicBezTo>
                  <a:pt x="5" y="5"/>
                  <a:pt x="5" y="5"/>
                  <a:pt x="5" y="5"/>
                </a:cubicBezTo>
                <a:cubicBezTo>
                  <a:pt x="1" y="7"/>
                  <a:pt x="1" y="11"/>
                  <a:pt x="5" y="13"/>
                </a:cubicBezTo>
                <a:cubicBezTo>
                  <a:pt x="9" y="16"/>
                  <a:pt x="15" y="16"/>
                  <a:pt x="22" y="15"/>
                </a:cubicBezTo>
                <a:cubicBezTo>
                  <a:pt x="28" y="14"/>
                  <a:pt x="32" y="14"/>
                  <a:pt x="34" y="16"/>
                </a:cubicBezTo>
                <a:cubicBezTo>
                  <a:pt x="37" y="18"/>
                  <a:pt x="37" y="20"/>
                  <a:pt x="33" y="22"/>
                </a:cubicBezTo>
                <a:cubicBezTo>
                  <a:pt x="30" y="23"/>
                  <a:pt x="26" y="24"/>
                  <a:pt x="23" y="24"/>
                </a:cubicBezTo>
                <a:cubicBezTo>
                  <a:pt x="25" y="26"/>
                  <a:pt x="25" y="26"/>
                  <a:pt x="25" y="26"/>
                </a:cubicBezTo>
                <a:cubicBezTo>
                  <a:pt x="28" y="26"/>
                  <a:pt x="32" y="25"/>
                  <a:pt x="35" y="24"/>
                </a:cubicBezTo>
                <a:cubicBezTo>
                  <a:pt x="40" y="27"/>
                  <a:pt x="40" y="27"/>
                  <a:pt x="40" y="27"/>
                </a:cubicBezTo>
                <a:cubicBezTo>
                  <a:pt x="44" y="26"/>
                  <a:pt x="44" y="26"/>
                  <a:pt x="44" y="26"/>
                </a:cubicBezTo>
                <a:cubicBezTo>
                  <a:pt x="39" y="23"/>
                  <a:pt x="39" y="23"/>
                  <a:pt x="39" y="23"/>
                </a:cubicBezTo>
                <a:cubicBezTo>
                  <a:pt x="43" y="20"/>
                  <a:pt x="43" y="16"/>
                  <a:pt x="39" y="1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9" name="Freeform 193"/>
          <xdr:cNvSpPr>
            <a:spLocks noEditPoints="1"/>
          </xdr:cNvSpPr>
        </xdr:nvSpPr>
        <xdr:spPr>
          <a:xfrm>
            <a:off x="1670050" y="1144588"/>
            <a:ext cx="293688" cy="174625"/>
          </a:xfrm>
          <a:custGeom>
            <a:avLst/>
            <a:gdLst>
              <a:gd name="T0" fmla="*/ 3 w 103"/>
              <a:gd name="T1" fmla="*/ 16 h 61"/>
              <a:gd name="T2" fmla="*/ 1 w 103"/>
              <a:gd name="T3" fmla="*/ 19 h 61"/>
              <a:gd name="T4" fmla="*/ 2 w 103"/>
              <a:gd name="T5" fmla="*/ 23 h 61"/>
              <a:gd name="T6" fmla="*/ 58 w 103"/>
              <a:gd name="T7" fmla="*/ 60 h 61"/>
              <a:gd name="T8" fmla="*/ 60 w 103"/>
              <a:gd name="T9" fmla="*/ 61 h 61"/>
              <a:gd name="T10" fmla="*/ 61 w 103"/>
              <a:gd name="T11" fmla="*/ 60 h 61"/>
              <a:gd name="T12" fmla="*/ 103 w 103"/>
              <a:gd name="T13" fmla="*/ 41 h 61"/>
              <a:gd name="T14" fmla="*/ 103 w 103"/>
              <a:gd name="T15" fmla="*/ 40 h 61"/>
              <a:gd name="T16" fmla="*/ 42 w 103"/>
              <a:gd name="T17" fmla="*/ 0 h 61"/>
              <a:gd name="T18" fmla="*/ 3 w 103"/>
              <a:gd name="T19" fmla="*/ 16 h 61"/>
              <a:gd name="T20" fmla="*/ 44 w 103"/>
              <a:gd name="T21" fmla="*/ 27 h 61"/>
              <a:gd name="T22" fmla="*/ 52 w 103"/>
              <a:gd name="T23" fmla="*/ 27 h 61"/>
              <a:gd name="T24" fmla="*/ 52 w 103"/>
              <a:gd name="T25" fmla="*/ 31 h 61"/>
              <a:gd name="T26" fmla="*/ 44 w 103"/>
              <a:gd name="T27" fmla="*/ 31 h 61"/>
              <a:gd name="T28" fmla="*/ 44 w 103"/>
              <a:gd name="T29" fmla="*/ 27 h 6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</a:cxnLst>
            <a:rect l="0" t="0" r="r" b="b"/>
            <a:pathLst>
              <a:path w="103" h="61">
                <a:moveTo>
                  <a:pt x="3" y="16"/>
                </a:moveTo>
                <a:cubicBezTo>
                  <a:pt x="2" y="17"/>
                  <a:pt x="1" y="18"/>
                  <a:pt x="1" y="19"/>
                </a:cubicBezTo>
                <a:cubicBezTo>
                  <a:pt x="0" y="21"/>
                  <a:pt x="1" y="22"/>
                  <a:pt x="2" y="23"/>
                </a:cubicBezTo>
                <a:cubicBezTo>
                  <a:pt x="58" y="60"/>
                  <a:pt x="58" y="60"/>
                  <a:pt x="58" y="60"/>
                </a:cubicBezTo>
                <a:cubicBezTo>
                  <a:pt x="58" y="60"/>
                  <a:pt x="59" y="61"/>
                  <a:pt x="60" y="61"/>
                </a:cubicBezTo>
                <a:cubicBezTo>
                  <a:pt x="60" y="61"/>
                  <a:pt x="61" y="60"/>
                  <a:pt x="61" y="60"/>
                </a:cubicBezTo>
                <a:cubicBezTo>
                  <a:pt x="103" y="41"/>
                  <a:pt x="103" y="41"/>
                  <a:pt x="103" y="41"/>
                </a:cubicBezTo>
                <a:cubicBezTo>
                  <a:pt x="103" y="40"/>
                  <a:pt x="103" y="40"/>
                  <a:pt x="103" y="40"/>
                </a:cubicBezTo>
                <a:cubicBezTo>
                  <a:pt x="42" y="0"/>
                  <a:pt x="42" y="0"/>
                  <a:pt x="42" y="0"/>
                </a:cubicBezTo>
                <a:lnTo>
                  <a:pt x="3" y="16"/>
                </a:lnTo>
                <a:close/>
                <a:moveTo>
                  <a:pt x="44" y="27"/>
                </a:moveTo>
                <a:cubicBezTo>
                  <a:pt x="46" y="26"/>
                  <a:pt x="50" y="26"/>
                  <a:pt x="52" y="27"/>
                </a:cubicBezTo>
                <a:cubicBezTo>
                  <a:pt x="55" y="29"/>
                  <a:pt x="54" y="30"/>
                  <a:pt x="52" y="31"/>
                </a:cubicBezTo>
                <a:cubicBezTo>
                  <a:pt x="49" y="33"/>
                  <a:pt x="46" y="32"/>
                  <a:pt x="44" y="31"/>
                </a:cubicBezTo>
                <a:cubicBezTo>
                  <a:pt x="41" y="30"/>
                  <a:pt x="42" y="28"/>
                  <a:pt x="44" y="27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0" name="Freeform 194"/>
          <xdr:cNvSpPr>
            <a:spLocks noEditPoints="1"/>
          </xdr:cNvSpPr>
        </xdr:nvSpPr>
        <xdr:spPr>
          <a:xfrm>
            <a:off x="1941513" y="1039813"/>
            <a:ext cx="279400" cy="150813"/>
          </a:xfrm>
          <a:custGeom>
            <a:avLst/>
            <a:gdLst>
              <a:gd name="T0" fmla="*/ 98 w 98"/>
              <a:gd name="T1" fmla="*/ 33 h 53"/>
              <a:gd name="T2" fmla="*/ 95 w 98"/>
              <a:gd name="T3" fmla="*/ 29 h 53"/>
              <a:gd name="T4" fmla="*/ 38 w 98"/>
              <a:gd name="T5" fmla="*/ 1 h 53"/>
              <a:gd name="T6" fmla="*/ 35 w 98"/>
              <a:gd name="T7" fmla="*/ 1 h 53"/>
              <a:gd name="T8" fmla="*/ 0 w 98"/>
              <a:gd name="T9" fmla="*/ 15 h 53"/>
              <a:gd name="T10" fmla="*/ 59 w 98"/>
              <a:gd name="T11" fmla="*/ 53 h 53"/>
              <a:gd name="T12" fmla="*/ 95 w 98"/>
              <a:gd name="T13" fmla="*/ 36 h 53"/>
              <a:gd name="T14" fmla="*/ 98 w 98"/>
              <a:gd name="T15" fmla="*/ 33 h 53"/>
              <a:gd name="T16" fmla="*/ 54 w 98"/>
              <a:gd name="T17" fmla="*/ 25 h 53"/>
              <a:gd name="T18" fmla="*/ 46 w 98"/>
              <a:gd name="T19" fmla="*/ 25 h 53"/>
              <a:gd name="T20" fmla="*/ 46 w 98"/>
              <a:gd name="T21" fmla="*/ 21 h 53"/>
              <a:gd name="T22" fmla="*/ 55 w 98"/>
              <a:gd name="T23" fmla="*/ 21 h 53"/>
              <a:gd name="T24" fmla="*/ 54 w 98"/>
              <a:gd name="T25" fmla="*/ 25 h 5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98" h="53">
                <a:moveTo>
                  <a:pt x="98" y="33"/>
                </a:moveTo>
                <a:cubicBezTo>
                  <a:pt x="98" y="31"/>
                  <a:pt x="97" y="30"/>
                  <a:pt x="95" y="29"/>
                </a:cubicBezTo>
                <a:cubicBezTo>
                  <a:pt x="38" y="1"/>
                  <a:pt x="38" y="1"/>
                  <a:pt x="38" y="1"/>
                </a:cubicBezTo>
                <a:cubicBezTo>
                  <a:pt x="37" y="1"/>
                  <a:pt x="36" y="0"/>
                  <a:pt x="35" y="1"/>
                </a:cubicBezTo>
                <a:cubicBezTo>
                  <a:pt x="0" y="15"/>
                  <a:pt x="0" y="15"/>
                  <a:pt x="0" y="15"/>
                </a:cubicBezTo>
                <a:cubicBezTo>
                  <a:pt x="59" y="53"/>
                  <a:pt x="59" y="53"/>
                  <a:pt x="59" y="53"/>
                </a:cubicBezTo>
                <a:cubicBezTo>
                  <a:pt x="95" y="36"/>
                  <a:pt x="95" y="36"/>
                  <a:pt x="95" y="36"/>
                </a:cubicBezTo>
                <a:cubicBezTo>
                  <a:pt x="97" y="36"/>
                  <a:pt x="98" y="34"/>
                  <a:pt x="98" y="33"/>
                </a:cubicBezTo>
                <a:close/>
                <a:moveTo>
                  <a:pt x="54" y="25"/>
                </a:moveTo>
                <a:cubicBezTo>
                  <a:pt x="52" y="26"/>
                  <a:pt x="48" y="26"/>
                  <a:pt x="46" y="25"/>
                </a:cubicBezTo>
                <a:cubicBezTo>
                  <a:pt x="44" y="24"/>
                  <a:pt x="44" y="22"/>
                  <a:pt x="46" y="21"/>
                </a:cubicBezTo>
                <a:cubicBezTo>
                  <a:pt x="49" y="20"/>
                  <a:pt x="52" y="20"/>
                  <a:pt x="55" y="21"/>
                </a:cubicBezTo>
                <a:cubicBezTo>
                  <a:pt x="57" y="22"/>
                  <a:pt x="57" y="24"/>
                  <a:pt x="54" y="25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1" name="Freeform 195"/>
          <xdr:cNvSpPr/>
        </xdr:nvSpPr>
        <xdr:spPr>
          <a:xfrm>
            <a:off x="1670050" y="1250951"/>
            <a:ext cx="293688" cy="139700"/>
          </a:xfrm>
          <a:custGeom>
            <a:avLst/>
            <a:gdLst>
              <a:gd name="T0" fmla="*/ 60 w 103"/>
              <a:gd name="T1" fmla="*/ 30 h 49"/>
              <a:gd name="T2" fmla="*/ 58 w 103"/>
              <a:gd name="T3" fmla="*/ 30 h 49"/>
              <a:gd name="T4" fmla="*/ 13 w 103"/>
              <a:gd name="T5" fmla="*/ 0 h 49"/>
              <a:gd name="T6" fmla="*/ 3 w 103"/>
              <a:gd name="T7" fmla="*/ 4 h 49"/>
              <a:gd name="T8" fmla="*/ 1 w 103"/>
              <a:gd name="T9" fmla="*/ 7 h 49"/>
              <a:gd name="T10" fmla="*/ 2 w 103"/>
              <a:gd name="T11" fmla="*/ 11 h 49"/>
              <a:gd name="T12" fmla="*/ 58 w 103"/>
              <a:gd name="T13" fmla="*/ 48 h 49"/>
              <a:gd name="T14" fmla="*/ 60 w 103"/>
              <a:gd name="T15" fmla="*/ 49 h 49"/>
              <a:gd name="T16" fmla="*/ 61 w 103"/>
              <a:gd name="T17" fmla="*/ 48 h 49"/>
              <a:gd name="T18" fmla="*/ 103 w 103"/>
              <a:gd name="T19" fmla="*/ 29 h 49"/>
              <a:gd name="T20" fmla="*/ 103 w 103"/>
              <a:gd name="T21" fmla="*/ 10 h 49"/>
              <a:gd name="T22" fmla="*/ 61 w 103"/>
              <a:gd name="T23" fmla="*/ 30 h 49"/>
              <a:gd name="T24" fmla="*/ 60 w 103"/>
              <a:gd name="T25" fmla="*/ 30 h 4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9">
                <a:moveTo>
                  <a:pt x="60" y="30"/>
                </a:moveTo>
                <a:cubicBezTo>
                  <a:pt x="59" y="30"/>
                  <a:pt x="58" y="30"/>
                  <a:pt x="58" y="30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5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9"/>
                  <a:pt x="60" y="49"/>
                </a:cubicBezTo>
                <a:cubicBezTo>
                  <a:pt x="60" y="49"/>
                  <a:pt x="61" y="49"/>
                  <a:pt x="61" y="48"/>
                </a:cubicBezTo>
                <a:cubicBezTo>
                  <a:pt x="103" y="29"/>
                  <a:pt x="103" y="29"/>
                  <a:pt x="103" y="29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2" name="Freeform 196"/>
          <xdr:cNvSpPr/>
        </xdr:nvSpPr>
        <xdr:spPr>
          <a:xfrm>
            <a:off x="2112963" y="1179513"/>
            <a:ext cx="107950" cy="82550"/>
          </a:xfrm>
          <a:custGeom>
            <a:avLst/>
            <a:gdLst>
              <a:gd name="T0" fmla="*/ 35 w 38"/>
              <a:gd name="T1" fmla="*/ 5 h 29"/>
              <a:gd name="T2" fmla="*/ 24 w 38"/>
              <a:gd name="T3" fmla="*/ 0 h 29"/>
              <a:gd name="T4" fmla="*/ 0 w 38"/>
              <a:gd name="T5" fmla="*/ 11 h 29"/>
              <a:gd name="T6" fmla="*/ 0 w 38"/>
              <a:gd name="T7" fmla="*/ 29 h 29"/>
              <a:gd name="T8" fmla="*/ 35 w 38"/>
              <a:gd name="T9" fmla="*/ 12 h 29"/>
              <a:gd name="T10" fmla="*/ 38 w 38"/>
              <a:gd name="T11" fmla="*/ 9 h 29"/>
              <a:gd name="T12" fmla="*/ 35 w 38"/>
              <a:gd name="T13" fmla="*/ 5 h 2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29">
                <a:moveTo>
                  <a:pt x="35" y="5"/>
                </a:moveTo>
                <a:cubicBezTo>
                  <a:pt x="24" y="0"/>
                  <a:pt x="24" y="0"/>
                  <a:pt x="24" y="0"/>
                </a:cubicBezTo>
                <a:cubicBezTo>
                  <a:pt x="0" y="11"/>
                  <a:pt x="0" y="11"/>
                  <a:pt x="0" y="11"/>
                </a:cubicBezTo>
                <a:cubicBezTo>
                  <a:pt x="0" y="29"/>
                  <a:pt x="0" y="29"/>
                  <a:pt x="0" y="29"/>
                </a:cubicBezTo>
                <a:cubicBezTo>
                  <a:pt x="35" y="12"/>
                  <a:pt x="35" y="12"/>
                  <a:pt x="35" y="12"/>
                </a:cubicBezTo>
                <a:cubicBezTo>
                  <a:pt x="37" y="12"/>
                  <a:pt x="38" y="10"/>
                  <a:pt x="38" y="9"/>
                </a:cubicBezTo>
                <a:cubicBezTo>
                  <a:pt x="38" y="7"/>
                  <a:pt x="37" y="6"/>
                  <a:pt x="35" y="5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3" name="Freeform 197"/>
          <xdr:cNvSpPr/>
        </xdr:nvSpPr>
        <xdr:spPr>
          <a:xfrm>
            <a:off x="1670050" y="1322388"/>
            <a:ext cx="293688" cy="136525"/>
          </a:xfrm>
          <a:custGeom>
            <a:avLst/>
            <a:gdLst>
              <a:gd name="T0" fmla="*/ 60 w 103"/>
              <a:gd name="T1" fmla="*/ 30 h 48"/>
              <a:gd name="T2" fmla="*/ 58 w 103"/>
              <a:gd name="T3" fmla="*/ 30 h 48"/>
              <a:gd name="T4" fmla="*/ 13 w 103"/>
              <a:gd name="T5" fmla="*/ 0 h 48"/>
              <a:gd name="T6" fmla="*/ 3 w 103"/>
              <a:gd name="T7" fmla="*/ 4 h 48"/>
              <a:gd name="T8" fmla="*/ 1 w 103"/>
              <a:gd name="T9" fmla="*/ 7 h 48"/>
              <a:gd name="T10" fmla="*/ 2 w 103"/>
              <a:gd name="T11" fmla="*/ 11 h 48"/>
              <a:gd name="T12" fmla="*/ 58 w 103"/>
              <a:gd name="T13" fmla="*/ 48 h 48"/>
              <a:gd name="T14" fmla="*/ 60 w 103"/>
              <a:gd name="T15" fmla="*/ 48 h 48"/>
              <a:gd name="T16" fmla="*/ 61 w 103"/>
              <a:gd name="T17" fmla="*/ 48 h 48"/>
              <a:gd name="T18" fmla="*/ 103 w 103"/>
              <a:gd name="T19" fmla="*/ 29 h 48"/>
              <a:gd name="T20" fmla="*/ 103 w 103"/>
              <a:gd name="T21" fmla="*/ 10 h 48"/>
              <a:gd name="T22" fmla="*/ 61 w 103"/>
              <a:gd name="T23" fmla="*/ 30 h 48"/>
              <a:gd name="T24" fmla="*/ 60 w 103"/>
              <a:gd name="T25" fmla="*/ 3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8">
                <a:moveTo>
                  <a:pt x="60" y="30"/>
                </a:moveTo>
                <a:cubicBezTo>
                  <a:pt x="59" y="30"/>
                  <a:pt x="58" y="30"/>
                  <a:pt x="58" y="30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5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8"/>
                  <a:pt x="60" y="48"/>
                </a:cubicBezTo>
                <a:cubicBezTo>
                  <a:pt x="60" y="48"/>
                  <a:pt x="61" y="48"/>
                  <a:pt x="61" y="48"/>
                </a:cubicBezTo>
                <a:cubicBezTo>
                  <a:pt x="103" y="29"/>
                  <a:pt x="103" y="29"/>
                  <a:pt x="103" y="29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4" name="Freeform 198"/>
          <xdr:cNvSpPr/>
        </xdr:nvSpPr>
        <xdr:spPr>
          <a:xfrm>
            <a:off x="2112963" y="1247776"/>
            <a:ext cx="107950" cy="85725"/>
          </a:xfrm>
          <a:custGeom>
            <a:avLst/>
            <a:gdLst>
              <a:gd name="T0" fmla="*/ 35 w 38"/>
              <a:gd name="T1" fmla="*/ 6 h 30"/>
              <a:gd name="T2" fmla="*/ 24 w 38"/>
              <a:gd name="T3" fmla="*/ 0 h 30"/>
              <a:gd name="T4" fmla="*/ 0 w 38"/>
              <a:gd name="T5" fmla="*/ 12 h 30"/>
              <a:gd name="T6" fmla="*/ 0 w 38"/>
              <a:gd name="T7" fmla="*/ 30 h 30"/>
              <a:gd name="T8" fmla="*/ 35 w 38"/>
              <a:gd name="T9" fmla="*/ 13 h 30"/>
              <a:gd name="T10" fmla="*/ 38 w 38"/>
              <a:gd name="T11" fmla="*/ 10 h 30"/>
              <a:gd name="T12" fmla="*/ 35 w 38"/>
              <a:gd name="T13" fmla="*/ 6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30">
                <a:moveTo>
                  <a:pt x="35" y="6"/>
                </a:moveTo>
                <a:cubicBezTo>
                  <a:pt x="24" y="0"/>
                  <a:pt x="24" y="0"/>
                  <a:pt x="24" y="0"/>
                </a:cubicBezTo>
                <a:cubicBezTo>
                  <a:pt x="0" y="12"/>
                  <a:pt x="0" y="12"/>
                  <a:pt x="0" y="12"/>
                </a:cubicBezTo>
                <a:cubicBezTo>
                  <a:pt x="0" y="30"/>
                  <a:pt x="0" y="30"/>
                  <a:pt x="0" y="30"/>
                </a:cubicBezTo>
                <a:cubicBezTo>
                  <a:pt x="35" y="13"/>
                  <a:pt x="35" y="13"/>
                  <a:pt x="35" y="13"/>
                </a:cubicBezTo>
                <a:cubicBezTo>
                  <a:pt x="37" y="13"/>
                  <a:pt x="38" y="11"/>
                  <a:pt x="38" y="10"/>
                </a:cubicBezTo>
                <a:cubicBezTo>
                  <a:pt x="38" y="8"/>
                  <a:pt x="37" y="7"/>
                  <a:pt x="35" y="6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5" name="Freeform 199"/>
          <xdr:cNvSpPr/>
        </xdr:nvSpPr>
        <xdr:spPr>
          <a:xfrm>
            <a:off x="1670050" y="1392238"/>
            <a:ext cx="293688" cy="138113"/>
          </a:xfrm>
          <a:custGeom>
            <a:avLst/>
            <a:gdLst>
              <a:gd name="T0" fmla="*/ 60 w 103"/>
              <a:gd name="T1" fmla="*/ 30 h 48"/>
              <a:gd name="T2" fmla="*/ 58 w 103"/>
              <a:gd name="T3" fmla="*/ 29 h 48"/>
              <a:gd name="T4" fmla="*/ 13 w 103"/>
              <a:gd name="T5" fmla="*/ 0 h 48"/>
              <a:gd name="T6" fmla="*/ 3 w 103"/>
              <a:gd name="T7" fmla="*/ 4 h 48"/>
              <a:gd name="T8" fmla="*/ 1 w 103"/>
              <a:gd name="T9" fmla="*/ 7 h 48"/>
              <a:gd name="T10" fmla="*/ 2 w 103"/>
              <a:gd name="T11" fmla="*/ 11 h 48"/>
              <a:gd name="T12" fmla="*/ 58 w 103"/>
              <a:gd name="T13" fmla="*/ 48 h 48"/>
              <a:gd name="T14" fmla="*/ 60 w 103"/>
              <a:gd name="T15" fmla="*/ 48 h 48"/>
              <a:gd name="T16" fmla="*/ 61 w 103"/>
              <a:gd name="T17" fmla="*/ 48 h 48"/>
              <a:gd name="T18" fmla="*/ 103 w 103"/>
              <a:gd name="T19" fmla="*/ 28 h 48"/>
              <a:gd name="T20" fmla="*/ 103 w 103"/>
              <a:gd name="T21" fmla="*/ 10 h 48"/>
              <a:gd name="T22" fmla="*/ 61 w 103"/>
              <a:gd name="T23" fmla="*/ 30 h 48"/>
              <a:gd name="T24" fmla="*/ 60 w 103"/>
              <a:gd name="T25" fmla="*/ 30 h 4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</a:cxnLst>
            <a:rect l="0" t="0" r="r" b="b"/>
            <a:pathLst>
              <a:path w="103" h="48">
                <a:moveTo>
                  <a:pt x="60" y="30"/>
                </a:moveTo>
                <a:cubicBezTo>
                  <a:pt x="59" y="30"/>
                  <a:pt x="58" y="30"/>
                  <a:pt x="58" y="29"/>
                </a:cubicBezTo>
                <a:cubicBezTo>
                  <a:pt x="13" y="0"/>
                  <a:pt x="13" y="0"/>
                  <a:pt x="13" y="0"/>
                </a:cubicBezTo>
                <a:cubicBezTo>
                  <a:pt x="3" y="4"/>
                  <a:pt x="3" y="4"/>
                  <a:pt x="3" y="4"/>
                </a:cubicBezTo>
                <a:cubicBezTo>
                  <a:pt x="2" y="4"/>
                  <a:pt x="1" y="6"/>
                  <a:pt x="1" y="7"/>
                </a:cubicBezTo>
                <a:cubicBezTo>
                  <a:pt x="0" y="9"/>
                  <a:pt x="1" y="10"/>
                  <a:pt x="2" y="11"/>
                </a:cubicBezTo>
                <a:cubicBezTo>
                  <a:pt x="58" y="48"/>
                  <a:pt x="58" y="48"/>
                  <a:pt x="58" y="48"/>
                </a:cubicBezTo>
                <a:cubicBezTo>
                  <a:pt x="58" y="48"/>
                  <a:pt x="59" y="48"/>
                  <a:pt x="60" y="48"/>
                </a:cubicBezTo>
                <a:cubicBezTo>
                  <a:pt x="60" y="48"/>
                  <a:pt x="61" y="48"/>
                  <a:pt x="61" y="48"/>
                </a:cubicBezTo>
                <a:cubicBezTo>
                  <a:pt x="103" y="28"/>
                  <a:pt x="103" y="28"/>
                  <a:pt x="103" y="28"/>
                </a:cubicBezTo>
                <a:cubicBezTo>
                  <a:pt x="103" y="10"/>
                  <a:pt x="103" y="10"/>
                  <a:pt x="103" y="10"/>
                </a:cubicBezTo>
                <a:cubicBezTo>
                  <a:pt x="61" y="30"/>
                  <a:pt x="61" y="30"/>
                  <a:pt x="61" y="30"/>
                </a:cubicBezTo>
                <a:cubicBezTo>
                  <a:pt x="61" y="30"/>
                  <a:pt x="60" y="30"/>
                  <a:pt x="60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6" name="Freeform 200"/>
          <xdr:cNvSpPr/>
        </xdr:nvSpPr>
        <xdr:spPr>
          <a:xfrm>
            <a:off x="2112963" y="1319213"/>
            <a:ext cx="107950" cy="85725"/>
          </a:xfrm>
          <a:custGeom>
            <a:avLst/>
            <a:gdLst>
              <a:gd name="T0" fmla="*/ 35 w 38"/>
              <a:gd name="T1" fmla="*/ 6 h 30"/>
              <a:gd name="T2" fmla="*/ 24 w 38"/>
              <a:gd name="T3" fmla="*/ 0 h 30"/>
              <a:gd name="T4" fmla="*/ 0 w 38"/>
              <a:gd name="T5" fmla="*/ 12 h 30"/>
              <a:gd name="T6" fmla="*/ 0 w 38"/>
              <a:gd name="T7" fmla="*/ 30 h 30"/>
              <a:gd name="T8" fmla="*/ 35 w 38"/>
              <a:gd name="T9" fmla="*/ 13 h 30"/>
              <a:gd name="T10" fmla="*/ 38 w 38"/>
              <a:gd name="T11" fmla="*/ 9 h 30"/>
              <a:gd name="T12" fmla="*/ 35 w 38"/>
              <a:gd name="T13" fmla="*/ 6 h 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38" h="30">
                <a:moveTo>
                  <a:pt x="35" y="6"/>
                </a:moveTo>
                <a:cubicBezTo>
                  <a:pt x="24" y="0"/>
                  <a:pt x="24" y="0"/>
                  <a:pt x="24" y="0"/>
                </a:cubicBezTo>
                <a:cubicBezTo>
                  <a:pt x="0" y="12"/>
                  <a:pt x="0" y="12"/>
                  <a:pt x="0" y="12"/>
                </a:cubicBezTo>
                <a:cubicBezTo>
                  <a:pt x="0" y="30"/>
                  <a:pt x="0" y="30"/>
                  <a:pt x="0" y="30"/>
                </a:cubicBezTo>
                <a:cubicBezTo>
                  <a:pt x="35" y="13"/>
                  <a:pt x="35" y="13"/>
                  <a:pt x="35" y="13"/>
                </a:cubicBezTo>
                <a:cubicBezTo>
                  <a:pt x="37" y="12"/>
                  <a:pt x="38" y="11"/>
                  <a:pt x="38" y="9"/>
                </a:cubicBezTo>
                <a:cubicBezTo>
                  <a:pt x="38" y="8"/>
                  <a:pt x="37" y="7"/>
                  <a:pt x="35" y="6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542925</xdr:colOff>
      <xdr:row>0</xdr:row>
      <xdr:rowOff>76201</xdr:rowOff>
    </xdr:from>
    <xdr:to>
      <xdr:col>2</xdr:col>
      <xdr:colOff>76200</xdr:colOff>
      <xdr:row>0</xdr:row>
      <xdr:rowOff>476251</xdr:rowOff>
    </xdr:to>
    <xdr:grpSp>
      <xdr:nvGrpSpPr>
        <xdr:cNvPr id="2" name="组合 1"/>
        <xdr:cNvGrpSpPr/>
      </xdr:nvGrpSpPr>
      <xdr:grpSpPr>
        <a:xfrm>
          <a:off x="962025" y="76200"/>
          <a:ext cx="381000" cy="4000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5</xdr:col>
      <xdr:colOff>1438275</xdr:colOff>
      <xdr:row>0</xdr:row>
      <xdr:rowOff>104775</xdr:rowOff>
    </xdr:from>
    <xdr:to>
      <xdr:col>5</xdr:col>
      <xdr:colOff>2193047</xdr:colOff>
      <xdr:row>0</xdr:row>
      <xdr:rowOff>447674</xdr:rowOff>
    </xdr:to>
    <xdr:pic>
      <xdr:nvPicPr>
        <xdr:cNvPr id="14" name="图片 13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5248275" y="104775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8077200" y="1171575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96250" y="2343150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628650</xdr:colOff>
      <xdr:row>0</xdr:row>
      <xdr:rowOff>95250</xdr:rowOff>
    </xdr:from>
    <xdr:to>
      <xdr:col>12</xdr:col>
      <xdr:colOff>697622</xdr:colOff>
      <xdr:row>0</xdr:row>
      <xdr:rowOff>438149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181850" y="95250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620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333625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504825</xdr:colOff>
      <xdr:row>0</xdr:row>
      <xdr:rowOff>85725</xdr:rowOff>
    </xdr:from>
    <xdr:to>
      <xdr:col>12</xdr:col>
      <xdr:colOff>573797</xdr:colOff>
      <xdr:row>0</xdr:row>
      <xdr:rowOff>428624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58025" y="85725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4300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314575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504825</xdr:colOff>
      <xdr:row>0</xdr:row>
      <xdr:rowOff>66675</xdr:rowOff>
    </xdr:from>
    <xdr:to>
      <xdr:col>12</xdr:col>
      <xdr:colOff>573797</xdr:colOff>
      <xdr:row>0</xdr:row>
      <xdr:rowOff>409574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58025" y="66675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52525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324100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485775</xdr:colOff>
      <xdr:row>0</xdr:row>
      <xdr:rowOff>76200</xdr:rowOff>
    </xdr:from>
    <xdr:to>
      <xdr:col>12</xdr:col>
      <xdr:colOff>554747</xdr:colOff>
      <xdr:row>0</xdr:row>
      <xdr:rowOff>419099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38975" y="76200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52525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324100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542925</xdr:colOff>
      <xdr:row>0</xdr:row>
      <xdr:rowOff>104775</xdr:rowOff>
    </xdr:from>
    <xdr:to>
      <xdr:col>12</xdr:col>
      <xdr:colOff>611897</xdr:colOff>
      <xdr:row>0</xdr:row>
      <xdr:rowOff>447674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96125" y="104775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4300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314575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504825</xdr:colOff>
      <xdr:row>0</xdr:row>
      <xdr:rowOff>66675</xdr:rowOff>
    </xdr:from>
    <xdr:to>
      <xdr:col>12</xdr:col>
      <xdr:colOff>573797</xdr:colOff>
      <xdr:row>0</xdr:row>
      <xdr:rowOff>409574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58025" y="66675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14425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286000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504825</xdr:colOff>
      <xdr:row>0</xdr:row>
      <xdr:rowOff>95250</xdr:rowOff>
    </xdr:from>
    <xdr:to>
      <xdr:col>12</xdr:col>
      <xdr:colOff>573797</xdr:colOff>
      <xdr:row>0</xdr:row>
      <xdr:rowOff>438149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58025" y="95250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33475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305050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495300</xdr:colOff>
      <xdr:row>0</xdr:row>
      <xdr:rowOff>85725</xdr:rowOff>
    </xdr:from>
    <xdr:to>
      <xdr:col>12</xdr:col>
      <xdr:colOff>564272</xdr:colOff>
      <xdr:row>0</xdr:row>
      <xdr:rowOff>428624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48500" y="85725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239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295525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485775</xdr:colOff>
      <xdr:row>0</xdr:row>
      <xdr:rowOff>66675</xdr:rowOff>
    </xdr:from>
    <xdr:to>
      <xdr:col>12</xdr:col>
      <xdr:colOff>554747</xdr:colOff>
      <xdr:row>0</xdr:row>
      <xdr:rowOff>409574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38975" y="66675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095375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266950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495300</xdr:colOff>
      <xdr:row>0</xdr:row>
      <xdr:rowOff>104775</xdr:rowOff>
    </xdr:from>
    <xdr:to>
      <xdr:col>12</xdr:col>
      <xdr:colOff>564272</xdr:colOff>
      <xdr:row>0</xdr:row>
      <xdr:rowOff>447674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48500" y="104775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71575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343150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485775</xdr:colOff>
      <xdr:row>0</xdr:row>
      <xdr:rowOff>85725</xdr:rowOff>
    </xdr:from>
    <xdr:to>
      <xdr:col>12</xdr:col>
      <xdr:colOff>554747</xdr:colOff>
      <xdr:row>0</xdr:row>
      <xdr:rowOff>428624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38975" y="85725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66676</xdr:colOff>
      <xdr:row>3</xdr:row>
      <xdr:rowOff>76200</xdr:rowOff>
    </xdr:from>
    <xdr:to>
      <xdr:col>13</xdr:col>
      <xdr:colOff>447676</xdr:colOff>
      <xdr:row>4</xdr:row>
      <xdr:rowOff>47625</xdr:rowOff>
    </xdr:to>
    <xdr:grpSp>
      <xdr:nvGrpSpPr>
        <xdr:cNvPr id="2" name="组合 1"/>
        <xdr:cNvGrpSpPr/>
      </xdr:nvGrpSpPr>
      <xdr:grpSpPr>
        <a:xfrm>
          <a:off x="7991475" y="11620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3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4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5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6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7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8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9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0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13</xdr:col>
      <xdr:colOff>85726</xdr:colOff>
      <xdr:row>6</xdr:row>
      <xdr:rowOff>76200</xdr:rowOff>
    </xdr:from>
    <xdr:to>
      <xdr:col>13</xdr:col>
      <xdr:colOff>466726</xdr:colOff>
      <xdr:row>7</xdr:row>
      <xdr:rowOff>47625</xdr:rowOff>
    </xdr:to>
    <xdr:grpSp>
      <xdr:nvGrpSpPr>
        <xdr:cNvPr id="11" name="组合 10"/>
        <xdr:cNvGrpSpPr/>
      </xdr:nvGrpSpPr>
      <xdr:grpSpPr>
        <a:xfrm>
          <a:off x="8010525" y="2333625"/>
          <a:ext cx="381000" cy="361950"/>
          <a:chOff x="2863850" y="1004888"/>
          <a:chExt cx="531813" cy="547688"/>
        </a:xfrm>
        <a:solidFill>
          <a:srgbClr val="00B0F0"/>
        </a:solidFill>
      </xdr:grpSpPr>
      <xdr:sp>
        <xdr:nvSpPr>
          <xdr:cNvPr id="12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3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4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5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6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7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8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19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>
    <xdr:from>
      <xdr:col>4</xdr:col>
      <xdr:colOff>152400</xdr:colOff>
      <xdr:row>0</xdr:row>
      <xdr:rowOff>95250</xdr:rowOff>
    </xdr:from>
    <xdr:to>
      <xdr:col>4</xdr:col>
      <xdr:colOff>533400</xdr:colOff>
      <xdr:row>0</xdr:row>
      <xdr:rowOff>457200</xdr:rowOff>
    </xdr:to>
    <xdr:grpSp>
      <xdr:nvGrpSpPr>
        <xdr:cNvPr id="20" name="组合 19"/>
        <xdr:cNvGrpSpPr/>
      </xdr:nvGrpSpPr>
      <xdr:grpSpPr>
        <a:xfrm>
          <a:off x="2695575" y="95250"/>
          <a:ext cx="381000" cy="361950"/>
          <a:chOff x="2863850" y="1004888"/>
          <a:chExt cx="531813" cy="547688"/>
        </a:xfrm>
        <a:solidFill>
          <a:srgbClr val="7030A0"/>
        </a:solidFill>
      </xdr:grpSpPr>
      <xdr:sp>
        <xdr:nvSpPr>
          <xdr:cNvPr id="21" name="Freeform 149"/>
          <xdr:cNvSpPr>
            <a:spLocks noEditPoints="1"/>
          </xdr:cNvSpPr>
        </xdr:nvSpPr>
        <xdr:spPr>
          <a:xfrm>
            <a:off x="2863850" y="1198563"/>
            <a:ext cx="355600" cy="354013"/>
          </a:xfrm>
          <a:custGeom>
            <a:avLst/>
            <a:gdLst>
              <a:gd name="T0" fmla="*/ 62 w 125"/>
              <a:gd name="T1" fmla="*/ 0 h 124"/>
              <a:gd name="T2" fmla="*/ 0 w 125"/>
              <a:gd name="T3" fmla="*/ 62 h 124"/>
              <a:gd name="T4" fmla="*/ 62 w 125"/>
              <a:gd name="T5" fmla="*/ 124 h 124"/>
              <a:gd name="T6" fmla="*/ 125 w 125"/>
              <a:gd name="T7" fmla="*/ 62 h 124"/>
              <a:gd name="T8" fmla="*/ 62 w 125"/>
              <a:gd name="T9" fmla="*/ 0 h 124"/>
              <a:gd name="T10" fmla="*/ 65 w 125"/>
              <a:gd name="T11" fmla="*/ 93 h 124"/>
              <a:gd name="T12" fmla="*/ 65 w 125"/>
              <a:gd name="T13" fmla="*/ 103 h 124"/>
              <a:gd name="T14" fmla="*/ 59 w 125"/>
              <a:gd name="T15" fmla="*/ 103 h 124"/>
              <a:gd name="T16" fmla="*/ 59 w 125"/>
              <a:gd name="T17" fmla="*/ 93 h 124"/>
              <a:gd name="T18" fmla="*/ 44 w 125"/>
              <a:gd name="T19" fmla="*/ 89 h 124"/>
              <a:gd name="T20" fmla="*/ 46 w 125"/>
              <a:gd name="T21" fmla="*/ 82 h 124"/>
              <a:gd name="T22" fmla="*/ 61 w 125"/>
              <a:gd name="T23" fmla="*/ 86 h 124"/>
              <a:gd name="T24" fmla="*/ 73 w 125"/>
              <a:gd name="T25" fmla="*/ 76 h 124"/>
              <a:gd name="T26" fmla="*/ 61 w 125"/>
              <a:gd name="T27" fmla="*/ 64 h 124"/>
              <a:gd name="T28" fmla="*/ 44 w 125"/>
              <a:gd name="T29" fmla="*/ 47 h 124"/>
              <a:gd name="T30" fmla="*/ 60 w 125"/>
              <a:gd name="T31" fmla="*/ 31 h 124"/>
              <a:gd name="T32" fmla="*/ 60 w 125"/>
              <a:gd name="T33" fmla="*/ 20 h 124"/>
              <a:gd name="T34" fmla="*/ 66 w 125"/>
              <a:gd name="T35" fmla="*/ 20 h 124"/>
              <a:gd name="T36" fmla="*/ 66 w 125"/>
              <a:gd name="T37" fmla="*/ 30 h 124"/>
              <a:gd name="T38" fmla="*/ 79 w 125"/>
              <a:gd name="T39" fmla="*/ 34 h 124"/>
              <a:gd name="T40" fmla="*/ 77 w 125"/>
              <a:gd name="T41" fmla="*/ 40 h 124"/>
              <a:gd name="T42" fmla="*/ 64 w 125"/>
              <a:gd name="T43" fmla="*/ 37 h 124"/>
              <a:gd name="T44" fmla="*/ 53 w 125"/>
              <a:gd name="T45" fmla="*/ 46 h 124"/>
              <a:gd name="T46" fmla="*/ 66 w 125"/>
              <a:gd name="T47" fmla="*/ 57 h 124"/>
              <a:gd name="T48" fmla="*/ 81 w 125"/>
              <a:gd name="T49" fmla="*/ 76 h 124"/>
              <a:gd name="T50" fmla="*/ 65 w 125"/>
              <a:gd name="T51" fmla="*/ 93 h 12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</a:cxnLst>
            <a:rect l="0" t="0" r="r" b="b"/>
            <a:pathLst>
              <a:path w="125" h="124">
                <a:moveTo>
                  <a:pt x="62" y="0"/>
                </a:moveTo>
                <a:cubicBezTo>
                  <a:pt x="28" y="0"/>
                  <a:pt x="0" y="28"/>
                  <a:pt x="0" y="62"/>
                </a:cubicBezTo>
                <a:cubicBezTo>
                  <a:pt x="0" y="96"/>
                  <a:pt x="28" y="124"/>
                  <a:pt x="62" y="124"/>
                </a:cubicBezTo>
                <a:cubicBezTo>
                  <a:pt x="97" y="124"/>
                  <a:pt x="125" y="96"/>
                  <a:pt x="125" y="62"/>
                </a:cubicBezTo>
                <a:cubicBezTo>
                  <a:pt x="125" y="28"/>
                  <a:pt x="97" y="0"/>
                  <a:pt x="62" y="0"/>
                </a:cubicBezTo>
                <a:close/>
                <a:moveTo>
                  <a:pt x="65" y="93"/>
                </a:moveTo>
                <a:cubicBezTo>
                  <a:pt x="65" y="103"/>
                  <a:pt x="65" y="103"/>
                  <a:pt x="65" y="103"/>
                </a:cubicBezTo>
                <a:cubicBezTo>
                  <a:pt x="59" y="103"/>
                  <a:pt x="59" y="103"/>
                  <a:pt x="59" y="103"/>
                </a:cubicBezTo>
                <a:cubicBezTo>
                  <a:pt x="59" y="93"/>
                  <a:pt x="59" y="93"/>
                  <a:pt x="59" y="93"/>
                </a:cubicBezTo>
                <a:cubicBezTo>
                  <a:pt x="53" y="93"/>
                  <a:pt x="47" y="91"/>
                  <a:pt x="44" y="89"/>
                </a:cubicBezTo>
                <a:cubicBezTo>
                  <a:pt x="46" y="82"/>
                  <a:pt x="46" y="82"/>
                  <a:pt x="46" y="82"/>
                </a:cubicBezTo>
                <a:cubicBezTo>
                  <a:pt x="50" y="84"/>
                  <a:pt x="55" y="86"/>
                  <a:pt x="61" y="86"/>
                </a:cubicBezTo>
                <a:cubicBezTo>
                  <a:pt x="68" y="86"/>
                  <a:pt x="73" y="82"/>
                  <a:pt x="73" y="76"/>
                </a:cubicBezTo>
                <a:cubicBezTo>
                  <a:pt x="73" y="71"/>
                  <a:pt x="69" y="67"/>
                  <a:pt x="61" y="64"/>
                </a:cubicBezTo>
                <a:cubicBezTo>
                  <a:pt x="51" y="60"/>
                  <a:pt x="44" y="56"/>
                  <a:pt x="44" y="47"/>
                </a:cubicBezTo>
                <a:cubicBezTo>
                  <a:pt x="44" y="38"/>
                  <a:pt x="50" y="32"/>
                  <a:pt x="60" y="31"/>
                </a:cubicBezTo>
                <a:cubicBezTo>
                  <a:pt x="60" y="20"/>
                  <a:pt x="60" y="20"/>
                  <a:pt x="60" y="20"/>
                </a:cubicBezTo>
                <a:cubicBezTo>
                  <a:pt x="66" y="20"/>
                  <a:pt x="66" y="20"/>
                  <a:pt x="66" y="20"/>
                </a:cubicBezTo>
                <a:cubicBezTo>
                  <a:pt x="66" y="30"/>
                  <a:pt x="66" y="30"/>
                  <a:pt x="66" y="30"/>
                </a:cubicBezTo>
                <a:cubicBezTo>
                  <a:pt x="72" y="30"/>
                  <a:pt x="76" y="32"/>
                  <a:pt x="79" y="34"/>
                </a:cubicBezTo>
                <a:cubicBezTo>
                  <a:pt x="77" y="40"/>
                  <a:pt x="77" y="40"/>
                  <a:pt x="77" y="40"/>
                </a:cubicBezTo>
                <a:cubicBezTo>
                  <a:pt x="74" y="39"/>
                  <a:pt x="70" y="37"/>
                  <a:pt x="64" y="37"/>
                </a:cubicBezTo>
                <a:cubicBezTo>
                  <a:pt x="56" y="37"/>
                  <a:pt x="53" y="42"/>
                  <a:pt x="53" y="46"/>
                </a:cubicBezTo>
                <a:cubicBezTo>
                  <a:pt x="53" y="51"/>
                  <a:pt x="57" y="53"/>
                  <a:pt x="66" y="57"/>
                </a:cubicBezTo>
                <a:cubicBezTo>
                  <a:pt x="76" y="61"/>
                  <a:pt x="81" y="67"/>
                  <a:pt x="81" y="76"/>
                </a:cubicBezTo>
                <a:cubicBezTo>
                  <a:pt x="81" y="84"/>
                  <a:pt x="76" y="91"/>
                  <a:pt x="65" y="93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2" name="Oval 150"/>
          <xdr:cNvSpPr>
            <a:spLocks noChangeArrowheads="1"/>
          </xdr:cNvSpPr>
        </xdr:nvSpPr>
        <xdr:spPr>
          <a:xfrm>
            <a:off x="3011488" y="1004888"/>
            <a:ext cx="384175" cy="120650"/>
          </a:xfrm>
          <a:prstGeom prst="ellipse">
            <a:avLst/>
          </a:pr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3" name="Freeform 151"/>
          <xdr:cNvSpPr/>
        </xdr:nvSpPr>
        <xdr:spPr>
          <a:xfrm>
            <a:off x="3011488" y="1108076"/>
            <a:ext cx="384175" cy="79375"/>
          </a:xfrm>
          <a:custGeom>
            <a:avLst/>
            <a:gdLst>
              <a:gd name="T0" fmla="*/ 131 w 135"/>
              <a:gd name="T1" fmla="*/ 0 h 28"/>
              <a:gd name="T2" fmla="*/ 130 w 135"/>
              <a:gd name="T3" fmla="*/ 0 h 28"/>
              <a:gd name="T4" fmla="*/ 67 w 135"/>
              <a:gd name="T5" fmla="*/ 12 h 28"/>
              <a:gd name="T6" fmla="*/ 4 w 135"/>
              <a:gd name="T7" fmla="*/ 0 h 28"/>
              <a:gd name="T8" fmla="*/ 4 w 135"/>
              <a:gd name="T9" fmla="*/ 0 h 28"/>
              <a:gd name="T10" fmla="*/ 3 w 135"/>
              <a:gd name="T11" fmla="*/ 0 h 28"/>
              <a:gd name="T12" fmla="*/ 0 w 135"/>
              <a:gd name="T13" fmla="*/ 7 h 28"/>
              <a:gd name="T14" fmla="*/ 67 w 135"/>
              <a:gd name="T15" fmla="*/ 28 h 28"/>
              <a:gd name="T16" fmla="*/ 135 w 135"/>
              <a:gd name="T17" fmla="*/ 7 h 28"/>
              <a:gd name="T18" fmla="*/ 132 w 135"/>
              <a:gd name="T19" fmla="*/ 0 h 28"/>
              <a:gd name="T20" fmla="*/ 131 w 135"/>
              <a:gd name="T21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</a:cxnLst>
            <a:rect l="0" t="0" r="r" b="b"/>
            <a:pathLst>
              <a:path w="135" h="28">
                <a:moveTo>
                  <a:pt x="131" y="0"/>
                </a:moveTo>
                <a:cubicBezTo>
                  <a:pt x="130" y="0"/>
                  <a:pt x="130" y="0"/>
                  <a:pt x="130" y="0"/>
                </a:cubicBezTo>
                <a:cubicBezTo>
                  <a:pt x="116" y="9"/>
                  <a:pt x="88" y="12"/>
                  <a:pt x="67" y="12"/>
                </a:cubicBezTo>
                <a:cubicBezTo>
                  <a:pt x="47" y="12"/>
                  <a:pt x="19" y="9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1" y="2"/>
                  <a:pt x="0" y="4"/>
                  <a:pt x="0" y="7"/>
                </a:cubicBezTo>
                <a:cubicBezTo>
                  <a:pt x="0" y="18"/>
                  <a:pt x="30" y="28"/>
                  <a:pt x="67" y="28"/>
                </a:cubicBezTo>
                <a:cubicBezTo>
                  <a:pt x="105" y="28"/>
                  <a:pt x="135" y="18"/>
                  <a:pt x="135" y="7"/>
                </a:cubicBezTo>
                <a:cubicBezTo>
                  <a:pt x="135" y="4"/>
                  <a:pt x="134" y="2"/>
                  <a:pt x="132" y="0"/>
                </a:cubicBezTo>
                <a:lnTo>
                  <a:pt x="131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4" name="Freeform 152"/>
          <xdr:cNvSpPr/>
        </xdr:nvSpPr>
        <xdr:spPr>
          <a:xfrm>
            <a:off x="3011488" y="1165226"/>
            <a:ext cx="38100" cy="14288"/>
          </a:xfrm>
          <a:custGeom>
            <a:avLst/>
            <a:gdLst>
              <a:gd name="T0" fmla="*/ 13 w 13"/>
              <a:gd name="T1" fmla="*/ 4 h 5"/>
              <a:gd name="T2" fmla="*/ 4 w 13"/>
              <a:gd name="T3" fmla="*/ 0 h 5"/>
              <a:gd name="T4" fmla="*/ 4 w 13"/>
              <a:gd name="T5" fmla="*/ 0 h 5"/>
              <a:gd name="T6" fmla="*/ 3 w 13"/>
              <a:gd name="T7" fmla="*/ 0 h 5"/>
              <a:gd name="T8" fmla="*/ 0 w 13"/>
              <a:gd name="T9" fmla="*/ 5 h 5"/>
              <a:gd name="T10" fmla="*/ 10 w 13"/>
              <a:gd name="T11" fmla="*/ 4 h 5"/>
              <a:gd name="T12" fmla="*/ 13 w 13"/>
              <a:gd name="T13" fmla="*/ 4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13" h="5">
                <a:moveTo>
                  <a:pt x="13" y="4"/>
                </a:moveTo>
                <a:cubicBezTo>
                  <a:pt x="10" y="3"/>
                  <a:pt x="7" y="2"/>
                  <a:pt x="4" y="0"/>
                </a:cubicBezTo>
                <a:cubicBezTo>
                  <a:pt x="4" y="0"/>
                  <a:pt x="4" y="0"/>
                  <a:pt x="4" y="0"/>
                </a:cubicBezTo>
                <a:cubicBezTo>
                  <a:pt x="3" y="0"/>
                  <a:pt x="3" y="0"/>
                  <a:pt x="3" y="0"/>
                </a:cubicBezTo>
                <a:cubicBezTo>
                  <a:pt x="2" y="2"/>
                  <a:pt x="1" y="3"/>
                  <a:pt x="0" y="5"/>
                </a:cubicBezTo>
                <a:cubicBezTo>
                  <a:pt x="4" y="4"/>
                  <a:pt x="7" y="4"/>
                  <a:pt x="10" y="4"/>
                </a:cubicBezTo>
                <a:cubicBezTo>
                  <a:pt x="11" y="4"/>
                  <a:pt x="12" y="4"/>
                  <a:pt x="13" y="4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5" name="Freeform 153"/>
          <xdr:cNvSpPr/>
        </xdr:nvSpPr>
        <xdr:spPr>
          <a:xfrm>
            <a:off x="3122613" y="1165226"/>
            <a:ext cx="273050" cy="79375"/>
          </a:xfrm>
          <a:custGeom>
            <a:avLst/>
            <a:gdLst>
              <a:gd name="T0" fmla="*/ 92 w 96"/>
              <a:gd name="T1" fmla="*/ 0 h 28"/>
              <a:gd name="T2" fmla="*/ 91 w 96"/>
              <a:gd name="T3" fmla="*/ 0 h 28"/>
              <a:gd name="T4" fmla="*/ 28 w 96"/>
              <a:gd name="T5" fmla="*/ 12 h 28"/>
              <a:gd name="T6" fmla="*/ 0 w 96"/>
              <a:gd name="T7" fmla="*/ 10 h 28"/>
              <a:gd name="T8" fmla="*/ 24 w 96"/>
              <a:gd name="T9" fmla="*/ 28 h 28"/>
              <a:gd name="T10" fmla="*/ 28 w 96"/>
              <a:gd name="T11" fmla="*/ 28 h 28"/>
              <a:gd name="T12" fmla="*/ 96 w 96"/>
              <a:gd name="T13" fmla="*/ 7 h 28"/>
              <a:gd name="T14" fmla="*/ 93 w 96"/>
              <a:gd name="T15" fmla="*/ 0 h 28"/>
              <a:gd name="T16" fmla="*/ 92 w 96"/>
              <a:gd name="T17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96" h="28">
                <a:moveTo>
                  <a:pt x="92" y="0"/>
                </a:moveTo>
                <a:cubicBezTo>
                  <a:pt x="91" y="0"/>
                  <a:pt x="91" y="0"/>
                  <a:pt x="91" y="0"/>
                </a:cubicBezTo>
                <a:cubicBezTo>
                  <a:pt x="77" y="9"/>
                  <a:pt x="49" y="12"/>
                  <a:pt x="28" y="12"/>
                </a:cubicBezTo>
                <a:cubicBezTo>
                  <a:pt x="20" y="12"/>
                  <a:pt x="10" y="12"/>
                  <a:pt x="0" y="10"/>
                </a:cubicBezTo>
                <a:cubicBezTo>
                  <a:pt x="9" y="15"/>
                  <a:pt x="17" y="20"/>
                  <a:pt x="24" y="28"/>
                </a:cubicBezTo>
                <a:cubicBezTo>
                  <a:pt x="25" y="28"/>
                  <a:pt x="27" y="28"/>
                  <a:pt x="28" y="28"/>
                </a:cubicBezTo>
                <a:cubicBezTo>
                  <a:pt x="66" y="28"/>
                  <a:pt x="96" y="19"/>
                  <a:pt x="96" y="7"/>
                </a:cubicBezTo>
                <a:cubicBezTo>
                  <a:pt x="96" y="4"/>
                  <a:pt x="95" y="2"/>
                  <a:pt x="93" y="0"/>
                </a:cubicBezTo>
                <a:lnTo>
                  <a:pt x="9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6" name="Freeform 154"/>
          <xdr:cNvSpPr/>
        </xdr:nvSpPr>
        <xdr:spPr>
          <a:xfrm>
            <a:off x="3203575" y="1222376"/>
            <a:ext cx="192088" cy="79375"/>
          </a:xfrm>
          <a:custGeom>
            <a:avLst/>
            <a:gdLst>
              <a:gd name="T0" fmla="*/ 64 w 68"/>
              <a:gd name="T1" fmla="*/ 0 h 28"/>
              <a:gd name="T2" fmla="*/ 63 w 68"/>
              <a:gd name="T3" fmla="*/ 0 h 28"/>
              <a:gd name="T4" fmla="*/ 0 w 68"/>
              <a:gd name="T5" fmla="*/ 12 h 28"/>
              <a:gd name="T6" fmla="*/ 0 w 68"/>
              <a:gd name="T7" fmla="*/ 12 h 28"/>
              <a:gd name="T8" fmla="*/ 8 w 68"/>
              <a:gd name="T9" fmla="*/ 28 h 28"/>
              <a:gd name="T10" fmla="*/ 68 w 68"/>
              <a:gd name="T11" fmla="*/ 7 h 28"/>
              <a:gd name="T12" fmla="*/ 65 w 68"/>
              <a:gd name="T13" fmla="*/ 0 h 28"/>
              <a:gd name="T14" fmla="*/ 64 w 68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68" h="28">
                <a:moveTo>
                  <a:pt x="64" y="0"/>
                </a:moveTo>
                <a:cubicBezTo>
                  <a:pt x="63" y="0"/>
                  <a:pt x="63" y="0"/>
                  <a:pt x="63" y="0"/>
                </a:cubicBezTo>
                <a:cubicBezTo>
                  <a:pt x="49" y="9"/>
                  <a:pt x="21" y="12"/>
                  <a:pt x="0" y="12"/>
                </a:cubicBezTo>
                <a:cubicBezTo>
                  <a:pt x="0" y="12"/>
                  <a:pt x="0" y="12"/>
                  <a:pt x="0" y="12"/>
                </a:cubicBezTo>
                <a:cubicBezTo>
                  <a:pt x="3" y="17"/>
                  <a:pt x="6" y="22"/>
                  <a:pt x="8" y="28"/>
                </a:cubicBezTo>
                <a:cubicBezTo>
                  <a:pt x="42" y="27"/>
                  <a:pt x="68" y="18"/>
                  <a:pt x="68" y="7"/>
                </a:cubicBezTo>
                <a:cubicBezTo>
                  <a:pt x="68" y="5"/>
                  <a:pt x="67" y="2"/>
                  <a:pt x="65" y="0"/>
                </a:cubicBezTo>
                <a:lnTo>
                  <a:pt x="6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7" name="Freeform 155"/>
          <xdr:cNvSpPr/>
        </xdr:nvSpPr>
        <xdr:spPr>
          <a:xfrm>
            <a:off x="3230563" y="1279526"/>
            <a:ext cx="165100" cy="79375"/>
          </a:xfrm>
          <a:custGeom>
            <a:avLst/>
            <a:gdLst>
              <a:gd name="T0" fmla="*/ 54 w 58"/>
              <a:gd name="T1" fmla="*/ 0 h 28"/>
              <a:gd name="T2" fmla="*/ 53 w 58"/>
              <a:gd name="T3" fmla="*/ 0 h 28"/>
              <a:gd name="T4" fmla="*/ 0 w 58"/>
              <a:gd name="T5" fmla="*/ 12 h 28"/>
              <a:gd name="T6" fmla="*/ 3 w 58"/>
              <a:gd name="T7" fmla="*/ 28 h 28"/>
              <a:gd name="T8" fmla="*/ 58 w 58"/>
              <a:gd name="T9" fmla="*/ 7 h 28"/>
              <a:gd name="T10" fmla="*/ 55 w 58"/>
              <a:gd name="T11" fmla="*/ 0 h 28"/>
              <a:gd name="T12" fmla="*/ 54 w 58"/>
              <a:gd name="T13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58" h="28">
                <a:moveTo>
                  <a:pt x="54" y="0"/>
                </a:moveTo>
                <a:cubicBezTo>
                  <a:pt x="53" y="0"/>
                  <a:pt x="53" y="0"/>
                  <a:pt x="53" y="0"/>
                </a:cubicBezTo>
                <a:cubicBezTo>
                  <a:pt x="41" y="8"/>
                  <a:pt x="19" y="11"/>
                  <a:pt x="0" y="12"/>
                </a:cubicBezTo>
                <a:cubicBezTo>
                  <a:pt x="2" y="17"/>
                  <a:pt x="3" y="22"/>
                  <a:pt x="3" y="28"/>
                </a:cubicBezTo>
                <a:cubicBezTo>
                  <a:pt x="35" y="26"/>
                  <a:pt x="58" y="17"/>
                  <a:pt x="58" y="7"/>
                </a:cubicBezTo>
                <a:cubicBezTo>
                  <a:pt x="58" y="5"/>
                  <a:pt x="57" y="2"/>
                  <a:pt x="55" y="0"/>
                </a:cubicBezTo>
                <a:lnTo>
                  <a:pt x="54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  <xdr:sp>
        <xdr:nvSpPr>
          <xdr:cNvPr id="28" name="Freeform 156"/>
          <xdr:cNvSpPr/>
        </xdr:nvSpPr>
        <xdr:spPr>
          <a:xfrm>
            <a:off x="3236913" y="1336676"/>
            <a:ext cx="158750" cy="79375"/>
          </a:xfrm>
          <a:custGeom>
            <a:avLst/>
            <a:gdLst>
              <a:gd name="T0" fmla="*/ 52 w 56"/>
              <a:gd name="T1" fmla="*/ 0 h 28"/>
              <a:gd name="T2" fmla="*/ 51 w 56"/>
              <a:gd name="T3" fmla="*/ 0 h 28"/>
              <a:gd name="T4" fmla="*/ 1 w 56"/>
              <a:gd name="T5" fmla="*/ 12 h 28"/>
              <a:gd name="T6" fmla="*/ 1 w 56"/>
              <a:gd name="T7" fmla="*/ 14 h 28"/>
              <a:gd name="T8" fmla="*/ 0 w 56"/>
              <a:gd name="T9" fmla="*/ 28 h 28"/>
              <a:gd name="T10" fmla="*/ 56 w 56"/>
              <a:gd name="T11" fmla="*/ 7 h 28"/>
              <a:gd name="T12" fmla="*/ 53 w 56"/>
              <a:gd name="T13" fmla="*/ 0 h 28"/>
              <a:gd name="T14" fmla="*/ 52 w 56"/>
              <a:gd name="T15" fmla="*/ 0 h 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56" h="28">
                <a:moveTo>
                  <a:pt x="52" y="0"/>
                </a:moveTo>
                <a:cubicBezTo>
                  <a:pt x="51" y="0"/>
                  <a:pt x="51" y="0"/>
                  <a:pt x="51" y="0"/>
                </a:cubicBezTo>
                <a:cubicBezTo>
                  <a:pt x="40" y="8"/>
                  <a:pt x="20" y="11"/>
                  <a:pt x="1" y="12"/>
                </a:cubicBezTo>
                <a:cubicBezTo>
                  <a:pt x="1" y="13"/>
                  <a:pt x="1" y="13"/>
                  <a:pt x="1" y="14"/>
                </a:cubicBezTo>
                <a:cubicBezTo>
                  <a:pt x="1" y="19"/>
                  <a:pt x="1" y="23"/>
                  <a:pt x="0" y="28"/>
                </a:cubicBezTo>
                <a:cubicBezTo>
                  <a:pt x="32" y="26"/>
                  <a:pt x="56" y="18"/>
                  <a:pt x="56" y="7"/>
                </a:cubicBezTo>
                <a:cubicBezTo>
                  <a:pt x="56" y="5"/>
                  <a:pt x="55" y="2"/>
                  <a:pt x="53" y="0"/>
                </a:cubicBezTo>
                <a:lnTo>
                  <a:pt x="52" y="0"/>
                </a:ln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</a14:hiddenLine>
            </a:ext>
          </a:extLst>
        </xdr:spPr>
        <xdr:txBody>
          <a:bodyPr vert="horz" wrap="square" lIns="91440" tIns="45720" rIns="91440" bIns="45720" numCol="1" anchor="t" anchorCtr="0" compatLnSpc="1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zh-CN" altLang="en-US"/>
          </a:p>
        </xdr:txBody>
      </xdr:sp>
    </xdr:grpSp>
    <xdr:clientData/>
  </xdr:twoCellAnchor>
  <xdr:twoCellAnchor editAs="oneCell">
    <xdr:from>
      <xdr:col>11</xdr:col>
      <xdr:colOff>542925</xdr:colOff>
      <xdr:row>0</xdr:row>
      <xdr:rowOff>95250</xdr:rowOff>
    </xdr:from>
    <xdr:to>
      <xdr:col>12</xdr:col>
      <xdr:colOff>611897</xdr:colOff>
      <xdr:row>0</xdr:row>
      <xdr:rowOff>438149</xdr:rowOff>
    </xdr:to>
    <xdr:pic>
      <xdr:nvPicPr>
        <xdr:cNvPr id="29" name="图片 28" descr="https://ss0.bdstatic.com/70cFvHSh_Q1YnxGkpoWK1HF6hhy/it/u=3114476597,3865075661&amp;fm=26&amp;gp=0.jp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00" t="53201" r="8000" b="11999"/>
        <a:stretch>
          <a:fillRect/>
        </a:stretch>
      </xdr:blipFill>
      <xdr:spPr>
        <a:xfrm>
          <a:off x="7096125" y="95250"/>
          <a:ext cx="754380" cy="342265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20"/>
  <sheetViews>
    <sheetView tabSelected="1" workbookViewId="0">
      <selection activeCell="N16" sqref="N16"/>
    </sheetView>
  </sheetViews>
  <sheetFormatPr defaultColWidth="9" defaultRowHeight="13.5" zeroHeight="1"/>
  <cols>
    <col min="1" max="1" width="40.875" style="40" customWidth="1"/>
    <col min="2" max="2" width="9" style="41" customWidth="1"/>
    <col min="3" max="10" width="9" style="42" customWidth="1"/>
    <col min="11" max="11" width="7.75" style="42" customWidth="1"/>
    <col min="12" max="12" width="9" style="43" customWidth="1"/>
    <col min="13" max="16384" width="9" style="40"/>
  </cols>
  <sheetData>
    <row r="1" ht="29.25" customHeight="1" spans="2:12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ht="70.5" customHeight="1" spans="2:12"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57"/>
    </row>
    <row r="3" ht="14.25" spans="2:12">
      <c r="B3" s="46"/>
      <c r="L3" s="58"/>
    </row>
    <row r="4" spans="2:12">
      <c r="B4" s="46"/>
      <c r="L4" s="58"/>
    </row>
    <row r="5" spans="2:12">
      <c r="B5" s="46"/>
      <c r="L5" s="58"/>
    </row>
    <row r="6" spans="2:12">
      <c r="B6" s="46"/>
      <c r="L6" s="58"/>
    </row>
    <row r="7" spans="2:12">
      <c r="B7" s="46"/>
      <c r="L7" s="58"/>
    </row>
    <row r="8" spans="2:12">
      <c r="B8" s="46"/>
      <c r="L8" s="58"/>
    </row>
    <row r="9" spans="2:12">
      <c r="B9" s="46"/>
      <c r="L9" s="58"/>
    </row>
    <row r="10" spans="2:12">
      <c r="B10" s="46"/>
      <c r="L10" s="58"/>
    </row>
    <row r="11" spans="2:12">
      <c r="B11" s="46"/>
      <c r="L11" s="58"/>
    </row>
    <row r="12" spans="2:12">
      <c r="B12" s="46"/>
      <c r="L12" s="58"/>
    </row>
    <row r="13" spans="2:12">
      <c r="B13" s="46"/>
      <c r="L13" s="58"/>
    </row>
    <row r="14" ht="22.5" customHeight="1" spans="2:12">
      <c r="B14" s="46"/>
      <c r="C14" s="47" t="s">
        <v>1</v>
      </c>
      <c r="D14" s="47"/>
      <c r="E14" s="47"/>
      <c r="F14" s="47" t="s">
        <v>2</v>
      </c>
      <c r="G14" s="47"/>
      <c r="H14" s="47"/>
      <c r="I14" s="47" t="s">
        <v>3</v>
      </c>
      <c r="J14" s="47"/>
      <c r="K14" s="47"/>
      <c r="L14" s="58"/>
    </row>
    <row r="15" ht="61.5" customHeight="1" spans="2:12">
      <c r="B15" s="46"/>
      <c r="C15" s="48">
        <f ca="1">年度收支汇总!C15</f>
        <v>1549232</v>
      </c>
      <c r="D15" s="49"/>
      <c r="E15" s="50"/>
      <c r="F15" s="48">
        <f ca="1">年度收支汇总!D15</f>
        <v>1587933</v>
      </c>
      <c r="G15" s="49"/>
      <c r="H15" s="50"/>
      <c r="I15" s="48">
        <f ca="1">年度收支汇总!E15</f>
        <v>-38701</v>
      </c>
      <c r="J15" s="49"/>
      <c r="K15" s="50"/>
      <c r="L15" s="58"/>
    </row>
    <row r="16" spans="2:12">
      <c r="B16" s="46"/>
      <c r="L16" s="58"/>
    </row>
    <row r="17" ht="16.5" spans="2:12">
      <c r="B17" s="51" t="s">
        <v>4</v>
      </c>
      <c r="L17" s="58"/>
    </row>
    <row r="18" spans="2:12">
      <c r="B18" s="52" t="s">
        <v>5</v>
      </c>
      <c r="C18" s="53"/>
      <c r="D18" s="53"/>
      <c r="E18" s="53"/>
      <c r="F18" s="53"/>
      <c r="G18" s="53"/>
      <c r="H18" s="53"/>
      <c r="I18" s="53"/>
      <c r="J18" s="53"/>
      <c r="K18" s="53"/>
      <c r="L18" s="59"/>
    </row>
    <row r="19" ht="14.25" spans="2:12">
      <c r="B19" s="52"/>
      <c r="C19" s="53"/>
      <c r="D19" s="53"/>
      <c r="E19" s="53"/>
      <c r="F19" s="53"/>
      <c r="G19" s="53"/>
      <c r="H19" s="53"/>
      <c r="I19" s="53"/>
      <c r="J19" s="53"/>
      <c r="K19" s="53"/>
      <c r="L19" s="59"/>
    </row>
    <row r="20" ht="17.25" spans="2:12">
      <c r="B20" s="54"/>
      <c r="C20" s="55"/>
      <c r="D20" s="55"/>
      <c r="E20" s="55"/>
      <c r="F20" s="55"/>
      <c r="G20" s="55"/>
      <c r="H20" s="56">
        <f ca="1">TODAY()</f>
        <v>44329</v>
      </c>
      <c r="I20" s="56"/>
      <c r="J20" s="56"/>
      <c r="K20" s="56"/>
      <c r="L20" s="60"/>
    </row>
  </sheetData>
  <mergeCells count="9">
    <mergeCell ref="B2:L2"/>
    <mergeCell ref="C14:E14"/>
    <mergeCell ref="F14:H14"/>
    <mergeCell ref="I14:K14"/>
    <mergeCell ref="C15:E15"/>
    <mergeCell ref="F15:H15"/>
    <mergeCell ref="I15:K15"/>
    <mergeCell ref="H20:L20"/>
    <mergeCell ref="B18:L19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3399"/>
  </sheetPr>
  <dimension ref="A1:R15"/>
  <sheetViews>
    <sheetView showGridLines="0" workbookViewId="0">
      <selection activeCell="C21" sqref="C21"/>
    </sheetView>
  </sheetViews>
  <sheetFormatPr defaultColWidth="9" defaultRowHeight="25.5" customHeight="1"/>
  <cols>
    <col min="1" max="1" width="5.5" style="25" customWidth="1"/>
    <col min="2" max="2" width="11.125" style="25" customWidth="1"/>
    <col min="3" max="3" width="10.625" style="25" customWidth="1"/>
    <col min="4" max="5" width="11.375" style="25" customWidth="1"/>
    <col min="6" max="6" width="32.125" style="25" customWidth="1"/>
    <col min="7" max="16384" width="9" style="25"/>
  </cols>
  <sheetData>
    <row r="1" ht="45.75" customHeight="1" spans="1:6">
      <c r="A1" s="26" t="s">
        <v>6</v>
      </c>
      <c r="B1" s="26"/>
      <c r="C1" s="26"/>
      <c r="D1" s="26"/>
      <c r="E1" s="26"/>
      <c r="F1" s="26"/>
    </row>
    <row r="2" ht="30" customHeight="1" spans="1:6">
      <c r="A2" s="27" t="s">
        <v>7</v>
      </c>
      <c r="B2" s="28" t="s">
        <v>8</v>
      </c>
      <c r="C2" s="28" t="s">
        <v>9</v>
      </c>
      <c r="D2" s="28" t="s">
        <v>10</v>
      </c>
      <c r="E2" s="28" t="s">
        <v>3</v>
      </c>
      <c r="F2" s="29" t="s">
        <v>11</v>
      </c>
    </row>
    <row r="3" ht="23.25" customHeight="1" spans="1:6">
      <c r="A3" s="30">
        <v>1</v>
      </c>
      <c r="B3" s="31" t="s">
        <v>12</v>
      </c>
      <c r="C3" s="31">
        <f>'1月'!N4</f>
        <v>225521</v>
      </c>
      <c r="D3" s="31">
        <f>'1月'!N7</f>
        <v>246166</v>
      </c>
      <c r="E3" s="31">
        <f>C3-D3</f>
        <v>-20645</v>
      </c>
      <c r="F3" s="32"/>
    </row>
    <row r="4" ht="23.25" customHeight="1" spans="1:6">
      <c r="A4" s="33">
        <v>2</v>
      </c>
      <c r="B4" s="34" t="s">
        <v>13</v>
      </c>
      <c r="C4" s="34">
        <f ca="1">'2月'!N4</f>
        <v>114063</v>
      </c>
      <c r="D4" s="34">
        <f ca="1">'2月'!N7</f>
        <v>146175</v>
      </c>
      <c r="E4" s="34">
        <f ca="1" t="shared" ref="E4:E14" si="0">C4-D4</f>
        <v>-32112</v>
      </c>
      <c r="F4" s="35"/>
    </row>
    <row r="5" ht="23.25" customHeight="1" spans="1:18">
      <c r="A5" s="30">
        <v>3</v>
      </c>
      <c r="B5" s="31" t="s">
        <v>14</v>
      </c>
      <c r="C5" s="31">
        <f ca="1">'3月'!N4</f>
        <v>100041</v>
      </c>
      <c r="D5" s="31">
        <f ca="1">'3月'!N7</f>
        <v>118861</v>
      </c>
      <c r="E5" s="31">
        <f ca="1" t="shared" si="0"/>
        <v>-18820</v>
      </c>
      <c r="F5" s="32"/>
      <c r="R5" s="39"/>
    </row>
    <row r="6" ht="23.25" customHeight="1" spans="1:6">
      <c r="A6" s="33">
        <v>4</v>
      </c>
      <c r="B6" s="34" t="s">
        <v>15</v>
      </c>
      <c r="C6" s="34">
        <f ca="1">'4月'!N4</f>
        <v>128742</v>
      </c>
      <c r="D6" s="34">
        <f ca="1">'4月'!N7</f>
        <v>148604</v>
      </c>
      <c r="E6" s="34">
        <f ca="1" t="shared" si="0"/>
        <v>-19862</v>
      </c>
      <c r="F6" s="35"/>
    </row>
    <row r="7" ht="23.25" customHeight="1" spans="1:6">
      <c r="A7" s="30">
        <v>5</v>
      </c>
      <c r="B7" s="31" t="s">
        <v>16</v>
      </c>
      <c r="C7" s="31">
        <f ca="1">'5月'!N4</f>
        <v>112788</v>
      </c>
      <c r="D7" s="31">
        <f ca="1">'5月'!N7</f>
        <v>118029</v>
      </c>
      <c r="E7" s="31">
        <f ca="1" t="shared" si="0"/>
        <v>-5241</v>
      </c>
      <c r="F7" s="32"/>
    </row>
    <row r="8" ht="23.25" customHeight="1" spans="1:6">
      <c r="A8" s="33">
        <v>6</v>
      </c>
      <c r="B8" s="34" t="s">
        <v>17</v>
      </c>
      <c r="C8" s="34">
        <f ca="1">'6月'!N4</f>
        <v>144646</v>
      </c>
      <c r="D8" s="34">
        <f ca="1">'6月'!N7</f>
        <v>122856</v>
      </c>
      <c r="E8" s="34">
        <f ca="1" t="shared" si="0"/>
        <v>21790</v>
      </c>
      <c r="F8" s="35"/>
    </row>
    <row r="9" ht="23.25" customHeight="1" spans="1:6">
      <c r="A9" s="30">
        <v>7</v>
      </c>
      <c r="B9" s="31" t="s">
        <v>18</v>
      </c>
      <c r="C9" s="31">
        <f ca="1">'7月'!N4</f>
        <v>120111</v>
      </c>
      <c r="D9" s="31">
        <f ca="1">'7月'!N7</f>
        <v>122653</v>
      </c>
      <c r="E9" s="31">
        <f ca="1" t="shared" si="0"/>
        <v>-2542</v>
      </c>
      <c r="F9" s="32"/>
    </row>
    <row r="10" ht="23.25" customHeight="1" spans="1:6">
      <c r="A10" s="33">
        <v>8</v>
      </c>
      <c r="B10" s="34" t="s">
        <v>19</v>
      </c>
      <c r="C10" s="34">
        <f ca="1">'8月'!N4</f>
        <v>119587</v>
      </c>
      <c r="D10" s="34">
        <f ca="1">'8月'!N7</f>
        <v>112570</v>
      </c>
      <c r="E10" s="34">
        <f ca="1" t="shared" si="0"/>
        <v>7017</v>
      </c>
      <c r="F10" s="35"/>
    </row>
    <row r="11" ht="23.25" customHeight="1" spans="1:6">
      <c r="A11" s="30">
        <v>9</v>
      </c>
      <c r="B11" s="31" t="s">
        <v>20</v>
      </c>
      <c r="C11" s="31">
        <f ca="1">'9月'!N4</f>
        <v>104942</v>
      </c>
      <c r="D11" s="31">
        <f ca="1">'9月'!N7</f>
        <v>113276</v>
      </c>
      <c r="E11" s="31">
        <f ca="1" t="shared" si="0"/>
        <v>-8334</v>
      </c>
      <c r="F11" s="32"/>
    </row>
    <row r="12" ht="23.25" customHeight="1" spans="1:6">
      <c r="A12" s="33">
        <v>10</v>
      </c>
      <c r="B12" s="34" t="s">
        <v>21</v>
      </c>
      <c r="C12" s="34">
        <f ca="1">'10月'!N4</f>
        <v>131908</v>
      </c>
      <c r="D12" s="34">
        <f ca="1">'10月'!N7</f>
        <v>118863</v>
      </c>
      <c r="E12" s="34">
        <f ca="1" t="shared" si="0"/>
        <v>13045</v>
      </c>
      <c r="F12" s="35"/>
    </row>
    <row r="13" ht="23.25" customHeight="1" spans="1:6">
      <c r="A13" s="30">
        <v>11</v>
      </c>
      <c r="B13" s="31" t="s">
        <v>22</v>
      </c>
      <c r="C13" s="31">
        <f ca="1">'11月'!N4</f>
        <v>114367</v>
      </c>
      <c r="D13" s="31">
        <f ca="1">'11月'!N7</f>
        <v>111507</v>
      </c>
      <c r="E13" s="31">
        <f ca="1" t="shared" si="0"/>
        <v>2860</v>
      </c>
      <c r="F13" s="32"/>
    </row>
    <row r="14" ht="23.25" customHeight="1" spans="1:6">
      <c r="A14" s="33">
        <v>12</v>
      </c>
      <c r="B14" s="34" t="s">
        <v>23</v>
      </c>
      <c r="C14" s="34">
        <f ca="1">'12月'!N4</f>
        <v>132516</v>
      </c>
      <c r="D14" s="34">
        <f ca="1">'12月'!N7</f>
        <v>108373</v>
      </c>
      <c r="E14" s="34">
        <f ca="1" t="shared" si="0"/>
        <v>24143</v>
      </c>
      <c r="F14" s="35"/>
    </row>
    <row r="15" ht="23.25" customHeight="1" spans="1:6">
      <c r="A15" s="36">
        <v>13</v>
      </c>
      <c r="B15" s="37" t="s">
        <v>24</v>
      </c>
      <c r="C15" s="37">
        <f ca="1">SUM(C3:C14)</f>
        <v>1549232</v>
      </c>
      <c r="D15" s="37">
        <f ca="1" t="shared" ref="D15:E15" si="1">SUM(D3:D14)</f>
        <v>1587933</v>
      </c>
      <c r="E15" s="37">
        <f ca="1" t="shared" si="1"/>
        <v>-38701</v>
      </c>
      <c r="F15" s="38"/>
    </row>
  </sheetData>
  <mergeCells count="1">
    <mergeCell ref="A1:F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P12" sqref="P12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2" width="9" style="1"/>
    <col min="13" max="13" width="10.125" style="1" customWidth="1"/>
    <col min="14" max="14" width="25.625" style="1" customWidth="1"/>
    <col min="15" max="16384" width="9" style="1"/>
  </cols>
  <sheetData>
    <row r="1" ht="42" customHeight="1" spans="1:13">
      <c r="A1" s="24" t="s">
        <v>25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ht="20.25" customHeight="1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4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v>9952</v>
      </c>
      <c r="F4" s="12"/>
      <c r="G4" s="9"/>
      <c r="H4" s="12">
        <v>1</v>
      </c>
      <c r="I4" s="12"/>
      <c r="J4" s="12" t="s">
        <v>34</v>
      </c>
      <c r="K4" s="12"/>
      <c r="L4" s="12">
        <v>2236</v>
      </c>
      <c r="M4" s="19"/>
      <c r="N4" s="20">
        <f>SUM(E:E)</f>
        <v>225521</v>
      </c>
    </row>
    <row r="5" ht="30.75" customHeight="1" spans="1:14">
      <c r="A5" s="11">
        <v>2</v>
      </c>
      <c r="B5" s="12"/>
      <c r="C5" s="12" t="s">
        <v>35</v>
      </c>
      <c r="D5" s="12"/>
      <c r="E5" s="12">
        <v>15804</v>
      </c>
      <c r="F5" s="12"/>
      <c r="G5" s="9"/>
      <c r="H5" s="12">
        <v>2</v>
      </c>
      <c r="I5" s="12"/>
      <c r="J5" s="12" t="s">
        <v>36</v>
      </c>
      <c r="K5" s="12"/>
      <c r="L5" s="12">
        <v>18665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v>15870</v>
      </c>
      <c r="F6" s="12"/>
      <c r="G6" s="9"/>
      <c r="H6" s="12">
        <v>3</v>
      </c>
      <c r="I6" s="12"/>
      <c r="J6" s="12" t="s">
        <v>38</v>
      </c>
      <c r="K6" s="12"/>
      <c r="L6" s="12">
        <v>15842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v>14608</v>
      </c>
      <c r="F7" s="12"/>
      <c r="G7" s="9"/>
      <c r="H7" s="12">
        <v>4</v>
      </c>
      <c r="I7" s="12"/>
      <c r="J7" s="12" t="s">
        <v>41</v>
      </c>
      <c r="K7" s="12"/>
      <c r="L7" s="12">
        <v>13935</v>
      </c>
      <c r="M7" s="19"/>
      <c r="N7" s="20">
        <f>SUM(L:L)</f>
        <v>246166</v>
      </c>
    </row>
    <row r="8" ht="30.75" customHeight="1" spans="1:14">
      <c r="A8" s="11">
        <v>5</v>
      </c>
      <c r="B8" s="12"/>
      <c r="C8" s="12" t="s">
        <v>42</v>
      </c>
      <c r="D8" s="12"/>
      <c r="E8" s="12">
        <v>16882</v>
      </c>
      <c r="F8" s="12"/>
      <c r="G8" s="9"/>
      <c r="H8" s="12">
        <v>5</v>
      </c>
      <c r="I8" s="12"/>
      <c r="J8" s="12" t="s">
        <v>43</v>
      </c>
      <c r="K8" s="12"/>
      <c r="L8" s="12">
        <v>7035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v>648</v>
      </c>
      <c r="F9" s="12"/>
      <c r="G9" s="9"/>
      <c r="H9" s="12">
        <v>6</v>
      </c>
      <c r="I9" s="12"/>
      <c r="J9" s="12" t="s">
        <v>45</v>
      </c>
      <c r="K9" s="12"/>
      <c r="L9" s="12">
        <v>7753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v>16579</v>
      </c>
      <c r="F10" s="12"/>
      <c r="G10" s="9"/>
      <c r="H10" s="12">
        <v>7</v>
      </c>
      <c r="I10" s="12"/>
      <c r="J10" s="12" t="s">
        <v>47</v>
      </c>
      <c r="K10" s="12"/>
      <c r="L10" s="12">
        <v>6519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v>10499</v>
      </c>
      <c r="F11" s="12"/>
      <c r="G11" s="9"/>
      <c r="H11" s="12">
        <v>8</v>
      </c>
      <c r="I11" s="12"/>
      <c r="J11" s="12" t="s">
        <v>49</v>
      </c>
      <c r="K11" s="12"/>
      <c r="L11" s="12">
        <v>12340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v>9265</v>
      </c>
      <c r="F12" s="12"/>
      <c r="G12" s="9"/>
      <c r="H12" s="12">
        <v>9</v>
      </c>
      <c r="I12" s="12"/>
      <c r="J12" s="12" t="s">
        <v>51</v>
      </c>
      <c r="K12" s="12"/>
      <c r="L12" s="12">
        <v>16800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v>11239</v>
      </c>
      <c r="F13" s="12"/>
      <c r="G13" s="9"/>
      <c r="H13" s="12">
        <v>10</v>
      </c>
      <c r="I13" s="12"/>
      <c r="J13" s="12" t="s">
        <v>53</v>
      </c>
      <c r="K13" s="12"/>
      <c r="L13" s="12">
        <v>2110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v>3222</v>
      </c>
      <c r="F14" s="12"/>
      <c r="G14" s="9"/>
      <c r="H14" s="12">
        <v>11</v>
      </c>
      <c r="I14" s="12"/>
      <c r="J14" s="12" t="s">
        <v>55</v>
      </c>
      <c r="K14" s="12"/>
      <c r="L14" s="12">
        <v>18784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v>982</v>
      </c>
      <c r="F15" s="12"/>
      <c r="G15" s="9"/>
      <c r="H15" s="12">
        <v>12</v>
      </c>
      <c r="I15" s="12"/>
      <c r="J15" s="12" t="s">
        <v>57</v>
      </c>
      <c r="K15" s="12"/>
      <c r="L15" s="12">
        <v>6345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v>738</v>
      </c>
      <c r="F16" s="12"/>
      <c r="G16" s="9"/>
      <c r="H16" s="12">
        <v>13</v>
      </c>
      <c r="I16" s="12"/>
      <c r="J16" s="12" t="s">
        <v>59</v>
      </c>
      <c r="K16" s="12"/>
      <c r="L16" s="12">
        <v>10835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v>18228</v>
      </c>
      <c r="F17" s="12"/>
      <c r="G17" s="9"/>
      <c r="H17" s="12">
        <v>14</v>
      </c>
      <c r="I17" s="12"/>
      <c r="J17" s="12" t="s">
        <v>61</v>
      </c>
      <c r="K17" s="12"/>
      <c r="L17" s="12">
        <v>19940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v>9303</v>
      </c>
      <c r="F18" s="12"/>
      <c r="G18" s="9"/>
      <c r="H18" s="12">
        <v>15</v>
      </c>
      <c r="I18" s="12"/>
      <c r="J18" s="12" t="s">
        <v>63</v>
      </c>
      <c r="K18" s="12"/>
      <c r="L18" s="12">
        <v>18366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v>4813</v>
      </c>
      <c r="F19" s="12"/>
      <c r="G19" s="9"/>
      <c r="H19" s="12">
        <v>16</v>
      </c>
      <c r="I19" s="12"/>
      <c r="J19" s="12" t="s">
        <v>65</v>
      </c>
      <c r="K19" s="12"/>
      <c r="L19" s="12">
        <v>937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v>1135</v>
      </c>
      <c r="F20" s="12"/>
      <c r="G20" s="9"/>
      <c r="H20" s="12">
        <v>17</v>
      </c>
      <c r="I20" s="12"/>
      <c r="J20" s="12" t="s">
        <v>67</v>
      </c>
      <c r="K20" s="12"/>
      <c r="L20" s="12">
        <v>17506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v>6776</v>
      </c>
      <c r="F21" s="12"/>
      <c r="G21" s="9"/>
      <c r="H21" s="12">
        <v>18</v>
      </c>
      <c r="I21" s="12"/>
      <c r="J21" s="12" t="s">
        <v>69</v>
      </c>
      <c r="K21" s="12"/>
      <c r="L21" s="12">
        <v>1995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v>12870</v>
      </c>
      <c r="F22" s="12"/>
      <c r="G22" s="9"/>
      <c r="H22" s="12">
        <v>19</v>
      </c>
      <c r="I22" s="12"/>
      <c r="J22" s="12" t="s">
        <v>71</v>
      </c>
      <c r="K22" s="12"/>
      <c r="L22" s="12">
        <v>8205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v>4818</v>
      </c>
      <c r="F23" s="12"/>
      <c r="G23" s="9"/>
      <c r="H23" s="12">
        <v>20</v>
      </c>
      <c r="I23" s="12"/>
      <c r="J23" s="12" t="s">
        <v>73</v>
      </c>
      <c r="K23" s="12"/>
      <c r="L23" s="12">
        <v>315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v>7290</v>
      </c>
      <c r="F24" s="12"/>
      <c r="G24" s="9"/>
      <c r="H24" s="12">
        <v>21</v>
      </c>
      <c r="I24" s="12"/>
      <c r="J24" s="12" t="s">
        <v>75</v>
      </c>
      <c r="K24" s="12"/>
      <c r="L24" s="12">
        <v>5721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v>6034</v>
      </c>
      <c r="F25" s="12"/>
      <c r="G25" s="9"/>
      <c r="H25" s="12">
        <v>22</v>
      </c>
      <c r="I25" s="12"/>
      <c r="J25" s="12" t="s">
        <v>77</v>
      </c>
      <c r="K25" s="12"/>
      <c r="L25" s="12">
        <v>6603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v>19225</v>
      </c>
      <c r="F26" s="12"/>
      <c r="G26" s="9"/>
      <c r="H26" s="12">
        <v>23</v>
      </c>
      <c r="I26" s="12"/>
      <c r="J26" s="12" t="s">
        <v>79</v>
      </c>
      <c r="K26" s="12"/>
      <c r="L26" s="12">
        <v>17289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4">
        <v>8741</v>
      </c>
      <c r="F27" s="14"/>
      <c r="G27" s="15"/>
      <c r="H27" s="14">
        <v>24</v>
      </c>
      <c r="I27" s="14"/>
      <c r="J27" s="14" t="s">
        <v>81</v>
      </c>
      <c r="K27" s="14"/>
      <c r="L27" s="14">
        <v>10090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M1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4" t="s">
        <v>82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7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1236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9625</v>
      </c>
      <c r="M4" s="19"/>
      <c r="N4" s="20">
        <f ca="1">SUM(E:E)</f>
        <v>114063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1425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9115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7060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9929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2104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7813</v>
      </c>
      <c r="M7" s="19"/>
      <c r="N7" s="20">
        <f ca="1">SUM(L:L)</f>
        <v>146175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2821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2103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8056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7504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3389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3383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4410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3403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5425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7657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4062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7280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7662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9608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9636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5328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4314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5777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1037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7785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7944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8043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7416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7760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8158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4087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6070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1955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8808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8536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6373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7240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1049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1610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4455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6706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562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3270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591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658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M1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4" t="s">
        <v>83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ht="18" customHeight="1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4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2917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1587</v>
      </c>
      <c r="M4" s="19"/>
      <c r="N4" s="20">
        <f ca="1">SUM(E:E)</f>
        <v>100041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2079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5202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4163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2825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2493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1235</v>
      </c>
      <c r="M7" s="19"/>
      <c r="N7" s="20">
        <f ca="1">SUM(L:L)</f>
        <v>118861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8334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6490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608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8185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3498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750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2567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238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987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8285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3167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2710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962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703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2523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5105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8227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8723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3540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8677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6137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9132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9534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3814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8254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9477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7100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446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6084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5945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5450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4977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3097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8673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1046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3593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4807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3201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2467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8888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M1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6.25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2447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6730</v>
      </c>
      <c r="M4" s="19"/>
      <c r="N4" s="20">
        <f ca="1">SUM(E:E)</f>
        <v>128742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2648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7820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2131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7856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8819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7629</v>
      </c>
      <c r="M7" s="19"/>
      <c r="N7" s="20">
        <f ca="1">SUM(L:L)</f>
        <v>148604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7584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5028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8907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3809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7619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2528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6996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6042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971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8657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5109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4294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3085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8365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1915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8776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4472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8872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5034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1227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7337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6538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7462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3632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1118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4572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9063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6709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8161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7286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1001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6236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5571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5440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5545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6775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7593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7302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8154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6481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M1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6.25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2956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3241</v>
      </c>
      <c r="M4" s="19"/>
      <c r="N4" s="20">
        <f ca="1">SUM(E:E)</f>
        <v>112788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7108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4111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5624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9440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3903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2822</v>
      </c>
      <c r="M7" s="19"/>
      <c r="N7" s="20">
        <f ca="1">SUM(L:L)</f>
        <v>118029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3444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9108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9710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3273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7600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8012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2731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5289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4945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975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6711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1414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748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5727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560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1647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2097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3824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8781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8630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1238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6184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1374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1464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2170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5286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7903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3168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5302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4537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6178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9146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5659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4043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8748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6015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1455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8525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5843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2148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M1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" t="s">
        <v>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5.5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2139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9609</v>
      </c>
      <c r="M4" s="19"/>
      <c r="N4" s="20">
        <f ca="1">SUM(E:E)</f>
        <v>144646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6794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4090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7774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1655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5820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4816</v>
      </c>
      <c r="M7" s="19"/>
      <c r="N7" s="20">
        <f ca="1">SUM(L:L)</f>
        <v>122856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3706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4798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6801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6999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1892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6950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4020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4855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8018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2205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9989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4632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9289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7444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9170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6682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620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7998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9078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5931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3403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3436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9696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3457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5515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4782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622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2029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9791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5678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5901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9453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5581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6155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5268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4566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6375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3829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7384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807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N13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3.25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2127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8213</v>
      </c>
      <c r="M4" s="19"/>
      <c r="N4" s="20">
        <f ca="1">SUM(E:E)</f>
        <v>120111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4471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5016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499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9510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6641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5811</v>
      </c>
      <c r="M7" s="19"/>
      <c r="N7" s="20">
        <f ca="1">SUM(L:L)</f>
        <v>122653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8290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885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7782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1278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1407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7819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7561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3851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8963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4855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6271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2633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464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3678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919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7798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7447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1390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8595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8513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7800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8905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2175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7957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6396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6663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1175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1428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1908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9740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7844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1595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6480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4422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6561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485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4856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2647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3479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7561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M1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" t="s">
        <v>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3.25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9474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9691</v>
      </c>
      <c r="M4" s="19"/>
      <c r="N4" s="20">
        <f ca="1">SUM(E:E)</f>
        <v>119587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8451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3252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1481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8307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7168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3184</v>
      </c>
      <c r="M7" s="19"/>
      <c r="N7" s="20">
        <f ca="1">SUM(L:L)</f>
        <v>112570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8905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7782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8726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687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9981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624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3122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2122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4060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2375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3450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6940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948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5635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2719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9158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3476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2590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5242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1244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1754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1441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377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4126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3285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8808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9704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6471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7847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9523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1752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886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8355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3989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2041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6235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3027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3707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4242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3793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M1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2.5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189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6382</v>
      </c>
      <c r="M4" s="19"/>
      <c r="N4" s="20">
        <f ca="1">SUM(E:E)</f>
        <v>104942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5650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6757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2339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5160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1296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3152</v>
      </c>
      <c r="M7" s="19"/>
      <c r="N7" s="20">
        <f ca="1">SUM(L:L)</f>
        <v>113276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4005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346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3799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4873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2208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6818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3809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8269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972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2537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9885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6356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8402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2054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4351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4184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3211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5658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631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756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9046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5343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8076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6073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2370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2390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4093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4795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9456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4861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803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7446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7471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8065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1799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5126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8409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2671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2672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3204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M1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1.75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1325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7854</v>
      </c>
      <c r="M4" s="19"/>
      <c r="N4" s="20">
        <f ca="1">SUM(E:E)</f>
        <v>131908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381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707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5474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6319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8618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5540</v>
      </c>
      <c r="M7" s="19"/>
      <c r="N7" s="20">
        <f ca="1">SUM(L:L)</f>
        <v>118863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6092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1157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7662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8450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5225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4803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7532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8505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9610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5303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3336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7585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3373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3980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1978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3507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4885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1288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4883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2232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2959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5263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6919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6658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6383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3891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8826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6737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5798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7270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9042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7911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1826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1579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8770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638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4643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4906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6368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6780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Q14" sqref="Q14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.75" customHeight="1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5.5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7671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8777</v>
      </c>
      <c r="M4" s="19"/>
      <c r="N4" s="20">
        <f ca="1">SUM(E:E)</f>
        <v>114367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9680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2073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7270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6933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3467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9773</v>
      </c>
      <c r="M7" s="19"/>
      <c r="N7" s="20">
        <f ca="1">SUM(L:L)</f>
        <v>111507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9224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1298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4371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4564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6614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6908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3451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5462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248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2407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608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4254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2510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4978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7980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7981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1838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4818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8401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4309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9047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1545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6178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6308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2395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1903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6997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1508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1568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2430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139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9262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448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507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9522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2522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1523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6838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3217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4149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"/>
  <sheetViews>
    <sheetView showGridLines="0" workbookViewId="0">
      <selection activeCell="A1" sqref="A1:M1"/>
    </sheetView>
  </sheetViews>
  <sheetFormatPr defaultColWidth="9" defaultRowHeight="16.5"/>
  <cols>
    <col min="1" max="1" width="6.375" style="1" customWidth="1"/>
    <col min="2" max="6" width="9" style="1"/>
    <col min="7" max="7" width="1.25" style="1" customWidth="1"/>
    <col min="8" max="8" width="6.375" style="1" customWidth="1"/>
    <col min="9" max="13" width="9" style="1"/>
    <col min="14" max="14" width="25.625" style="1" customWidth="1"/>
    <col min="15" max="16384" width="9" style="1"/>
  </cols>
  <sheetData>
    <row r="1" ht="42" customHeight="1" spans="1:13">
      <c r="A1" s="2" t="s">
        <v>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8" customHeight="1" spans="1:14">
      <c r="A2" s="3" t="s">
        <v>26</v>
      </c>
      <c r="B2" s="4"/>
      <c r="C2" s="4"/>
      <c r="D2" s="4"/>
      <c r="E2" s="4"/>
      <c r="F2" s="4"/>
      <c r="G2" s="5"/>
      <c r="H2" s="6" t="s">
        <v>27</v>
      </c>
      <c r="I2" s="6"/>
      <c r="J2" s="6"/>
      <c r="K2" s="6"/>
      <c r="L2" s="6"/>
      <c r="M2" s="16"/>
      <c r="N2" s="17" t="s">
        <v>28</v>
      </c>
    </row>
    <row r="3" ht="25.5" customHeight="1" spans="1:14">
      <c r="A3" s="7" t="s">
        <v>29</v>
      </c>
      <c r="B3" s="8" t="s">
        <v>30</v>
      </c>
      <c r="C3" s="8" t="s">
        <v>9</v>
      </c>
      <c r="D3" s="8" t="s">
        <v>31</v>
      </c>
      <c r="E3" s="8" t="s">
        <v>32</v>
      </c>
      <c r="F3" s="8" t="s">
        <v>11</v>
      </c>
      <c r="G3" s="9"/>
      <c r="H3" s="10" t="s">
        <v>29</v>
      </c>
      <c r="I3" s="10" t="s">
        <v>30</v>
      </c>
      <c r="J3" s="10" t="s">
        <v>10</v>
      </c>
      <c r="K3" s="10" t="s">
        <v>31</v>
      </c>
      <c r="L3" s="10" t="s">
        <v>32</v>
      </c>
      <c r="M3" s="18" t="s">
        <v>11</v>
      </c>
      <c r="N3" s="17"/>
    </row>
    <row r="4" ht="30.75" customHeight="1" spans="1:14">
      <c r="A4" s="11">
        <v>1</v>
      </c>
      <c r="B4" s="12"/>
      <c r="C4" s="12" t="s">
        <v>33</v>
      </c>
      <c r="D4" s="12"/>
      <c r="E4" s="12">
        <f ca="1">RANDBETWEEN(100,10000)</f>
        <v>5325</v>
      </c>
      <c r="F4" s="12"/>
      <c r="G4" s="9"/>
      <c r="H4" s="12">
        <v>1</v>
      </c>
      <c r="I4" s="12"/>
      <c r="J4" s="12" t="s">
        <v>34</v>
      </c>
      <c r="K4" s="12"/>
      <c r="L4" s="12">
        <f ca="1">RANDBETWEEN(100,10000)</f>
        <v>1881</v>
      </c>
      <c r="M4" s="19"/>
      <c r="N4" s="20">
        <f ca="1">SUM(E:E)</f>
        <v>132516</v>
      </c>
    </row>
    <row r="5" ht="30.75" customHeight="1" spans="1:14">
      <c r="A5" s="11">
        <v>2</v>
      </c>
      <c r="B5" s="12"/>
      <c r="C5" s="12" t="s">
        <v>35</v>
      </c>
      <c r="D5" s="12"/>
      <c r="E5" s="12">
        <f ca="1" t="shared" ref="E5:E27" si="0">RANDBETWEEN(100,10000)</f>
        <v>9724</v>
      </c>
      <c r="F5" s="12"/>
      <c r="G5" s="9"/>
      <c r="H5" s="12">
        <v>2</v>
      </c>
      <c r="I5" s="12"/>
      <c r="J5" s="12" t="s">
        <v>36</v>
      </c>
      <c r="K5" s="12"/>
      <c r="L5" s="12">
        <f ca="1" t="shared" ref="L5:L27" si="1">RANDBETWEEN(100,10000)</f>
        <v>408</v>
      </c>
      <c r="M5" s="19"/>
      <c r="N5" s="21"/>
    </row>
    <row r="6" ht="30.75" customHeight="1" spans="1:14">
      <c r="A6" s="11">
        <v>3</v>
      </c>
      <c r="B6" s="12"/>
      <c r="C6" s="12" t="s">
        <v>37</v>
      </c>
      <c r="D6" s="12"/>
      <c r="E6" s="12">
        <f ca="1" t="shared" si="0"/>
        <v>9342</v>
      </c>
      <c r="F6" s="12"/>
      <c r="G6" s="9"/>
      <c r="H6" s="12">
        <v>3</v>
      </c>
      <c r="I6" s="12"/>
      <c r="J6" s="12" t="s">
        <v>38</v>
      </c>
      <c r="K6" s="12"/>
      <c r="L6" s="12">
        <f ca="1" t="shared" si="1"/>
        <v>3047</v>
      </c>
      <c r="M6" s="19"/>
      <c r="N6" s="22" t="s">
        <v>39</v>
      </c>
    </row>
    <row r="7" ht="30.75" customHeight="1" spans="1:14">
      <c r="A7" s="11">
        <v>4</v>
      </c>
      <c r="B7" s="12"/>
      <c r="C7" s="12" t="s">
        <v>40</v>
      </c>
      <c r="D7" s="12"/>
      <c r="E7" s="12">
        <f ca="1" t="shared" si="0"/>
        <v>6385</v>
      </c>
      <c r="F7" s="12"/>
      <c r="G7" s="9"/>
      <c r="H7" s="12">
        <v>4</v>
      </c>
      <c r="I7" s="12"/>
      <c r="J7" s="12" t="s">
        <v>41</v>
      </c>
      <c r="K7" s="12"/>
      <c r="L7" s="12">
        <f ca="1" t="shared" si="1"/>
        <v>9083</v>
      </c>
      <c r="M7" s="19"/>
      <c r="N7" s="20">
        <f ca="1">SUM(L:L)</f>
        <v>108373</v>
      </c>
    </row>
    <row r="8" ht="30.75" customHeight="1" spans="1:14">
      <c r="A8" s="11">
        <v>5</v>
      </c>
      <c r="B8" s="12"/>
      <c r="C8" s="12" t="s">
        <v>42</v>
      </c>
      <c r="D8" s="12"/>
      <c r="E8" s="12">
        <f ca="1" t="shared" si="0"/>
        <v>839</v>
      </c>
      <c r="F8" s="12"/>
      <c r="G8" s="9"/>
      <c r="H8" s="12">
        <v>5</v>
      </c>
      <c r="I8" s="12"/>
      <c r="J8" s="12" t="s">
        <v>43</v>
      </c>
      <c r="K8" s="12"/>
      <c r="L8" s="12">
        <f ca="1" t="shared" si="1"/>
        <v>9033</v>
      </c>
      <c r="M8" s="19"/>
      <c r="N8" s="21"/>
    </row>
    <row r="9" ht="30.75" customHeight="1" spans="1:13">
      <c r="A9" s="11">
        <v>6</v>
      </c>
      <c r="B9" s="12"/>
      <c r="C9" s="12" t="s">
        <v>44</v>
      </c>
      <c r="D9" s="12"/>
      <c r="E9" s="12">
        <f ca="1" t="shared" si="0"/>
        <v>238</v>
      </c>
      <c r="F9" s="12"/>
      <c r="G9" s="9"/>
      <c r="H9" s="12">
        <v>6</v>
      </c>
      <c r="I9" s="12"/>
      <c r="J9" s="12" t="s">
        <v>45</v>
      </c>
      <c r="K9" s="12"/>
      <c r="L9" s="12">
        <f ca="1" t="shared" si="1"/>
        <v>6617</v>
      </c>
      <c r="M9" s="19"/>
    </row>
    <row r="10" ht="30.75" customHeight="1" spans="1:13">
      <c r="A10" s="11">
        <v>7</v>
      </c>
      <c r="B10" s="12"/>
      <c r="C10" s="12" t="s">
        <v>46</v>
      </c>
      <c r="D10" s="12"/>
      <c r="E10" s="12">
        <f ca="1" t="shared" si="0"/>
        <v>851</v>
      </c>
      <c r="F10" s="12"/>
      <c r="G10" s="9"/>
      <c r="H10" s="12">
        <v>7</v>
      </c>
      <c r="I10" s="12"/>
      <c r="J10" s="12" t="s">
        <v>47</v>
      </c>
      <c r="K10" s="12"/>
      <c r="L10" s="12">
        <f ca="1" t="shared" si="1"/>
        <v>9452</v>
      </c>
      <c r="M10" s="19"/>
    </row>
    <row r="11" ht="30.75" customHeight="1" spans="1:13">
      <c r="A11" s="11">
        <v>8</v>
      </c>
      <c r="B11" s="12"/>
      <c r="C11" s="12" t="s">
        <v>48</v>
      </c>
      <c r="D11" s="12"/>
      <c r="E11" s="12">
        <f ca="1" t="shared" si="0"/>
        <v>5698</v>
      </c>
      <c r="F11" s="12"/>
      <c r="G11" s="9"/>
      <c r="H11" s="12">
        <v>8</v>
      </c>
      <c r="I11" s="12"/>
      <c r="J11" s="12" t="s">
        <v>49</v>
      </c>
      <c r="K11" s="12"/>
      <c r="L11" s="12">
        <f ca="1" t="shared" si="1"/>
        <v>1954</v>
      </c>
      <c r="M11" s="19"/>
    </row>
    <row r="12" ht="30.75" customHeight="1" spans="1:13">
      <c r="A12" s="11">
        <v>9</v>
      </c>
      <c r="B12" s="12"/>
      <c r="C12" s="12" t="s">
        <v>50</v>
      </c>
      <c r="D12" s="12"/>
      <c r="E12" s="12">
        <f ca="1" t="shared" si="0"/>
        <v>5520</v>
      </c>
      <c r="F12" s="12"/>
      <c r="G12" s="9"/>
      <c r="H12" s="12">
        <v>9</v>
      </c>
      <c r="I12" s="12"/>
      <c r="J12" s="12" t="s">
        <v>51</v>
      </c>
      <c r="K12" s="12"/>
      <c r="L12" s="12">
        <f ca="1" t="shared" si="1"/>
        <v>9313</v>
      </c>
      <c r="M12" s="19"/>
    </row>
    <row r="13" ht="30.75" customHeight="1" spans="1:13">
      <c r="A13" s="11">
        <v>10</v>
      </c>
      <c r="B13" s="12"/>
      <c r="C13" s="12" t="s">
        <v>52</v>
      </c>
      <c r="D13" s="12"/>
      <c r="E13" s="12">
        <f ca="1" t="shared" si="0"/>
        <v>7037</v>
      </c>
      <c r="F13" s="12"/>
      <c r="G13" s="9"/>
      <c r="H13" s="12">
        <v>10</v>
      </c>
      <c r="I13" s="12"/>
      <c r="J13" s="12" t="s">
        <v>53</v>
      </c>
      <c r="K13" s="12"/>
      <c r="L13" s="12">
        <f ca="1" t="shared" si="1"/>
        <v>1603</v>
      </c>
      <c r="M13" s="19"/>
    </row>
    <row r="14" ht="30.75" customHeight="1" spans="1:13">
      <c r="A14" s="11">
        <v>11</v>
      </c>
      <c r="B14" s="12"/>
      <c r="C14" s="12" t="s">
        <v>54</v>
      </c>
      <c r="D14" s="12"/>
      <c r="E14" s="12">
        <f ca="1" t="shared" si="0"/>
        <v>523</v>
      </c>
      <c r="F14" s="12"/>
      <c r="G14" s="9"/>
      <c r="H14" s="12">
        <v>11</v>
      </c>
      <c r="I14" s="12"/>
      <c r="J14" s="12" t="s">
        <v>55</v>
      </c>
      <c r="K14" s="12"/>
      <c r="L14" s="12">
        <f ca="1" t="shared" si="1"/>
        <v>2343</v>
      </c>
      <c r="M14" s="19"/>
    </row>
    <row r="15" ht="30.75" customHeight="1" spans="1:13">
      <c r="A15" s="11">
        <v>12</v>
      </c>
      <c r="B15" s="12"/>
      <c r="C15" s="12" t="s">
        <v>56</v>
      </c>
      <c r="D15" s="12"/>
      <c r="E15" s="12">
        <f ca="1" t="shared" si="0"/>
        <v>5053</v>
      </c>
      <c r="F15" s="12"/>
      <c r="G15" s="9"/>
      <c r="H15" s="12">
        <v>12</v>
      </c>
      <c r="I15" s="12"/>
      <c r="J15" s="12" t="s">
        <v>57</v>
      </c>
      <c r="K15" s="12"/>
      <c r="L15" s="12">
        <f ca="1" t="shared" si="1"/>
        <v>1934</v>
      </c>
      <c r="M15" s="19"/>
    </row>
    <row r="16" ht="30.75" customHeight="1" spans="1:13">
      <c r="A16" s="11">
        <v>13</v>
      </c>
      <c r="B16" s="12"/>
      <c r="C16" s="12" t="s">
        <v>58</v>
      </c>
      <c r="D16" s="12"/>
      <c r="E16" s="12">
        <f ca="1" t="shared" si="0"/>
        <v>9159</v>
      </c>
      <c r="F16" s="12"/>
      <c r="G16" s="9"/>
      <c r="H16" s="12">
        <v>13</v>
      </c>
      <c r="I16" s="12"/>
      <c r="J16" s="12" t="s">
        <v>59</v>
      </c>
      <c r="K16" s="12"/>
      <c r="L16" s="12">
        <f ca="1" t="shared" si="1"/>
        <v>8707</v>
      </c>
      <c r="M16" s="19"/>
    </row>
    <row r="17" ht="30.75" customHeight="1" spans="1:13">
      <c r="A17" s="11">
        <v>14</v>
      </c>
      <c r="B17" s="12"/>
      <c r="C17" s="12" t="s">
        <v>60</v>
      </c>
      <c r="D17" s="12"/>
      <c r="E17" s="12">
        <f ca="1" t="shared" si="0"/>
        <v>5351</v>
      </c>
      <c r="F17" s="12"/>
      <c r="G17" s="9"/>
      <c r="H17" s="12">
        <v>14</v>
      </c>
      <c r="I17" s="12"/>
      <c r="J17" s="12" t="s">
        <v>61</v>
      </c>
      <c r="K17" s="12"/>
      <c r="L17" s="12">
        <f ca="1" t="shared" si="1"/>
        <v>3833</v>
      </c>
      <c r="M17" s="19"/>
    </row>
    <row r="18" ht="30.75" customHeight="1" spans="1:13">
      <c r="A18" s="11">
        <v>15</v>
      </c>
      <c r="B18" s="12"/>
      <c r="C18" s="12" t="s">
        <v>62</v>
      </c>
      <c r="D18" s="12"/>
      <c r="E18" s="12">
        <f ca="1" t="shared" si="0"/>
        <v>7198</v>
      </c>
      <c r="F18" s="12"/>
      <c r="G18" s="9"/>
      <c r="H18" s="12">
        <v>15</v>
      </c>
      <c r="I18" s="12"/>
      <c r="J18" s="12" t="s">
        <v>63</v>
      </c>
      <c r="K18" s="12"/>
      <c r="L18" s="12">
        <f ca="1" t="shared" si="1"/>
        <v>2382</v>
      </c>
      <c r="M18" s="19"/>
    </row>
    <row r="19" ht="30.75" customHeight="1" spans="1:13">
      <c r="A19" s="11">
        <v>16</v>
      </c>
      <c r="B19" s="12"/>
      <c r="C19" s="12" t="s">
        <v>64</v>
      </c>
      <c r="D19" s="12"/>
      <c r="E19" s="12">
        <f ca="1" t="shared" si="0"/>
        <v>9723</v>
      </c>
      <c r="F19" s="12"/>
      <c r="G19" s="9"/>
      <c r="H19" s="12">
        <v>16</v>
      </c>
      <c r="I19" s="12"/>
      <c r="J19" s="12" t="s">
        <v>65</v>
      </c>
      <c r="K19" s="12"/>
      <c r="L19" s="12">
        <f ca="1" t="shared" si="1"/>
        <v>914</v>
      </c>
      <c r="M19" s="19"/>
    </row>
    <row r="20" ht="30.75" customHeight="1" spans="1:13">
      <c r="A20" s="11">
        <v>17</v>
      </c>
      <c r="B20" s="12"/>
      <c r="C20" s="12" t="s">
        <v>66</v>
      </c>
      <c r="D20" s="12"/>
      <c r="E20" s="12">
        <f ca="1" t="shared" si="0"/>
        <v>5867</v>
      </c>
      <c r="F20" s="12"/>
      <c r="G20" s="9"/>
      <c r="H20" s="12">
        <v>17</v>
      </c>
      <c r="I20" s="12"/>
      <c r="J20" s="12" t="s">
        <v>67</v>
      </c>
      <c r="K20" s="12"/>
      <c r="L20" s="12">
        <f ca="1" t="shared" si="1"/>
        <v>6446</v>
      </c>
      <c r="M20" s="19"/>
    </row>
    <row r="21" ht="30.75" customHeight="1" spans="1:13">
      <c r="A21" s="11">
        <v>18</v>
      </c>
      <c r="B21" s="12"/>
      <c r="C21" s="12" t="s">
        <v>68</v>
      </c>
      <c r="D21" s="12"/>
      <c r="E21" s="12">
        <f ca="1" t="shared" si="0"/>
        <v>5496</v>
      </c>
      <c r="F21" s="12"/>
      <c r="G21" s="9"/>
      <c r="H21" s="12">
        <v>18</v>
      </c>
      <c r="I21" s="12"/>
      <c r="J21" s="12" t="s">
        <v>69</v>
      </c>
      <c r="K21" s="12"/>
      <c r="L21" s="12">
        <f ca="1" t="shared" si="1"/>
        <v>1316</v>
      </c>
      <c r="M21" s="19"/>
    </row>
    <row r="22" ht="30.75" customHeight="1" spans="1:13">
      <c r="A22" s="11">
        <v>19</v>
      </c>
      <c r="B22" s="12"/>
      <c r="C22" s="12" t="s">
        <v>70</v>
      </c>
      <c r="D22" s="12"/>
      <c r="E22" s="12">
        <f ca="1" t="shared" si="0"/>
        <v>4969</v>
      </c>
      <c r="F22" s="12"/>
      <c r="G22" s="9"/>
      <c r="H22" s="12">
        <v>19</v>
      </c>
      <c r="I22" s="12"/>
      <c r="J22" s="12" t="s">
        <v>71</v>
      </c>
      <c r="K22" s="12"/>
      <c r="L22" s="12">
        <f ca="1" t="shared" si="1"/>
        <v>1280</v>
      </c>
      <c r="M22" s="19"/>
    </row>
    <row r="23" ht="30.75" customHeight="1" spans="1:13">
      <c r="A23" s="11">
        <v>20</v>
      </c>
      <c r="B23" s="12"/>
      <c r="C23" s="12" t="s">
        <v>72</v>
      </c>
      <c r="D23" s="12"/>
      <c r="E23" s="12">
        <f ca="1" t="shared" si="0"/>
        <v>6057</v>
      </c>
      <c r="F23" s="12"/>
      <c r="G23" s="9"/>
      <c r="H23" s="12">
        <v>20</v>
      </c>
      <c r="I23" s="12"/>
      <c r="J23" s="12" t="s">
        <v>73</v>
      </c>
      <c r="K23" s="12"/>
      <c r="L23" s="12">
        <f ca="1" t="shared" si="1"/>
        <v>4830</v>
      </c>
      <c r="M23" s="19"/>
    </row>
    <row r="24" ht="30.75" customHeight="1" spans="1:13">
      <c r="A24" s="11">
        <v>21</v>
      </c>
      <c r="B24" s="12"/>
      <c r="C24" s="12" t="s">
        <v>74</v>
      </c>
      <c r="D24" s="12"/>
      <c r="E24" s="12">
        <f ca="1" t="shared" si="0"/>
        <v>4004</v>
      </c>
      <c r="F24" s="12"/>
      <c r="G24" s="9"/>
      <c r="H24" s="12">
        <v>21</v>
      </c>
      <c r="I24" s="12"/>
      <c r="J24" s="12" t="s">
        <v>75</v>
      </c>
      <c r="K24" s="12"/>
      <c r="L24" s="12">
        <f ca="1" t="shared" si="1"/>
        <v>1122</v>
      </c>
      <c r="M24" s="19"/>
    </row>
    <row r="25" ht="30.75" customHeight="1" spans="1:13">
      <c r="A25" s="11">
        <v>22</v>
      </c>
      <c r="B25" s="12"/>
      <c r="C25" s="12" t="s">
        <v>76</v>
      </c>
      <c r="D25" s="12"/>
      <c r="E25" s="12">
        <f ca="1" t="shared" si="0"/>
        <v>8267</v>
      </c>
      <c r="F25" s="12"/>
      <c r="G25" s="9"/>
      <c r="H25" s="12">
        <v>22</v>
      </c>
      <c r="I25" s="12"/>
      <c r="J25" s="12" t="s">
        <v>77</v>
      </c>
      <c r="K25" s="12"/>
      <c r="L25" s="12">
        <f ca="1" t="shared" si="1"/>
        <v>1768</v>
      </c>
      <c r="M25" s="19"/>
    </row>
    <row r="26" ht="30.75" customHeight="1" spans="1:13">
      <c r="A26" s="11">
        <v>23</v>
      </c>
      <c r="B26" s="12"/>
      <c r="C26" s="12" t="s">
        <v>78</v>
      </c>
      <c r="D26" s="12"/>
      <c r="E26" s="12">
        <f ca="1" t="shared" si="0"/>
        <v>1408</v>
      </c>
      <c r="F26" s="12"/>
      <c r="G26" s="9"/>
      <c r="H26" s="12">
        <v>23</v>
      </c>
      <c r="I26" s="12"/>
      <c r="J26" s="12" t="s">
        <v>79</v>
      </c>
      <c r="K26" s="12"/>
      <c r="L26" s="12">
        <f ca="1" t="shared" si="1"/>
        <v>9364</v>
      </c>
      <c r="M26" s="19"/>
    </row>
    <row r="27" ht="30.75" customHeight="1" spans="1:13">
      <c r="A27" s="13">
        <v>24</v>
      </c>
      <c r="B27" s="14"/>
      <c r="C27" s="14" t="s">
        <v>80</v>
      </c>
      <c r="D27" s="14"/>
      <c r="E27" s="12">
        <f ca="1" t="shared" si="0"/>
        <v>8482</v>
      </c>
      <c r="F27" s="14"/>
      <c r="G27" s="15"/>
      <c r="H27" s="14">
        <v>24</v>
      </c>
      <c r="I27" s="14"/>
      <c r="J27" s="14" t="s">
        <v>81</v>
      </c>
      <c r="K27" s="14"/>
      <c r="L27" s="12">
        <f ca="1" t="shared" si="1"/>
        <v>9743</v>
      </c>
      <c r="M27" s="23"/>
    </row>
  </sheetData>
  <mergeCells count="6">
    <mergeCell ref="A1:M1"/>
    <mergeCell ref="A2:F2"/>
    <mergeCell ref="H2:M2"/>
    <mergeCell ref="N2:N3"/>
    <mergeCell ref="N4:N5"/>
    <mergeCell ref="N7:N8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目录</vt:lpstr>
      <vt:lpstr>年度收支汇总</vt:lpstr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11月</vt:lpstr>
      <vt:lpstr>12月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2006-09-16T00:00:00Z</dcterms:created>
  <dcterms:modified xsi:type="dcterms:W3CDTF">2021-05-13T06:18:42Z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086A5920BB324643A5E7FFB1725FDD1E</vt:lpwstr>
  </property>
</Properties>
</file>