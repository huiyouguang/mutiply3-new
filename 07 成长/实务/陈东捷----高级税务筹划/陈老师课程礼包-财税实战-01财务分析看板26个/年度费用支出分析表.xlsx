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Sheet1!$A$1:$N$42</definedName>
  </definedNames>
  <calcPr calcId="144525"/>
</workbook>
</file>

<file path=xl/sharedStrings.xml><?xml version="1.0" encoding="utf-8"?>
<sst xmlns="http://schemas.openxmlformats.org/spreadsheetml/2006/main" count="17" uniqueCount="16">
  <si>
    <t>费用支出分析表</t>
  </si>
  <si>
    <t>项目</t>
  </si>
  <si>
    <t>合计</t>
  </si>
  <si>
    <t>第一季度</t>
  </si>
  <si>
    <t>第二季度</t>
  </si>
  <si>
    <t>第三季度</t>
  </si>
  <si>
    <t>第四季度</t>
  </si>
  <si>
    <t>工资</t>
  </si>
  <si>
    <t>福利费</t>
  </si>
  <si>
    <t>税费</t>
  </si>
  <si>
    <t>通讯费</t>
  </si>
  <si>
    <t>水电费</t>
  </si>
  <si>
    <t>专业服务费</t>
  </si>
  <si>
    <t>推广费</t>
  </si>
  <si>
    <t>材料费</t>
  </si>
  <si>
    <t>其他费用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</si>
</sst>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[DBNum2][$-804]General"/>
    <numFmt numFmtId="41" formatCode="_ * #,##0_ ;_ * \-#,##0_ ;_ * &quot;-&quot;_ ;_ @_ "/>
  </numFmts>
  <fonts count="24">
    <font>
      <sz val="11"/>
      <color theme="1"/>
      <name val="Tahoma"/>
      <charset val="134"/>
    </font>
    <font>
      <sz val="12"/>
      <name val="思源黑体 CN Heavy"/>
      <charset val="134"/>
    </font>
    <font>
      <sz val="11"/>
      <color theme="1"/>
      <name val="思源黑体 CN Heavy"/>
      <charset val="134"/>
    </font>
    <font>
      <sz val="26"/>
      <name val="思源黑体 CN Heavy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8">
    <border>
      <left/>
      <right/>
      <top/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176" fontId="0" fillId="0" borderId="0"/>
    <xf numFmtId="42" fontId="5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9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4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11" fillId="8" borderId="10" applyNumberFormat="0" applyAlignment="0" applyProtection="0">
      <alignment vertical="center"/>
    </xf>
    <xf numFmtId="0" fontId="21" fillId="23" borderId="16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13">
    <xf numFmtId="176" fontId="0" fillId="0" borderId="0" xfId="0"/>
    <xf numFmtId="0" fontId="1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243564205399"/>
          <c:y val="0.148903694730466"/>
          <c:w val="0.813385966381862"/>
          <c:h val="0.7242351204773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思源黑体 CN Heavy" panose="020B0A00000000000000" pitchFamily="34" charset="-122"/>
                    <a:ea typeface="思源黑体 CN Heavy" panose="020B0A00000000000000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Sheet1!$B$4:$B$12</c:f>
              <c:strCache>
                <c:ptCount val="9"/>
                <c:pt idx="0">
                  <c:v>工资</c:v>
                </c:pt>
                <c:pt idx="1">
                  <c:v>福利费</c:v>
                </c:pt>
                <c:pt idx="2">
                  <c:v>税费</c:v>
                </c:pt>
                <c:pt idx="3">
                  <c:v>通讯费</c:v>
                </c:pt>
                <c:pt idx="4">
                  <c:v>水电费</c:v>
                </c:pt>
                <c:pt idx="5">
                  <c:v>专业服务费</c:v>
                </c:pt>
                <c:pt idx="6">
                  <c:v>推广费</c:v>
                </c:pt>
                <c:pt idx="7">
                  <c:v>材料费</c:v>
                </c:pt>
                <c:pt idx="8">
                  <c:v>其他费用</c:v>
                </c:pt>
              </c:strCache>
            </c:strRef>
          </c:cat>
          <c:val>
            <c:numRef>
              <c:f>Sheet1!$C$4:$C$12</c:f>
              <c:numCache>
                <c:formatCode>General</c:formatCode>
                <c:ptCount val="9"/>
                <c:pt idx="0">
                  <c:v>65000</c:v>
                </c:pt>
                <c:pt idx="1">
                  <c:v>3100</c:v>
                </c:pt>
                <c:pt idx="2">
                  <c:v>12390</c:v>
                </c:pt>
                <c:pt idx="3">
                  <c:v>2350</c:v>
                </c:pt>
                <c:pt idx="4">
                  <c:v>8100</c:v>
                </c:pt>
                <c:pt idx="5">
                  <c:v>3000</c:v>
                </c:pt>
                <c:pt idx="6">
                  <c:v>4348</c:v>
                </c:pt>
                <c:pt idx="7">
                  <c:v>115000</c:v>
                </c:pt>
                <c:pt idx="8">
                  <c:v>77400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74464"/>
        <c:axId val="189376000"/>
      </c:barChart>
      <c:catAx>
        <c:axId val="18937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89376000"/>
        <c:crosses val="autoZero"/>
        <c:auto val="1"/>
        <c:lblAlgn val="ctr"/>
        <c:lblOffset val="100"/>
        <c:noMultiLvlLbl val="0"/>
      </c:catAx>
      <c:valAx>
        <c:axId val="18937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89374464"/>
        <c:crosses val="autoZero"/>
        <c:crossBetween val="between"/>
      </c:valAx>
    </c:plotArea>
    <c:plotVisOnly val="1"/>
    <c:dispBlanksAs val="gap"/>
    <c:showDLblsOverMax val="0"/>
  </c:chart>
  <c:spPr>
    <a:ln w="19050" cap="flat" cmpd="sng" algn="ctr">
      <a:solidFill>
        <a:srgbClr val="00B0F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070840380658"/>
          <c:y val="0.215983438612341"/>
          <c:w val="0.607511798251496"/>
          <c:h val="0.667613420246023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explosion val="0"/>
          <c:dPt>
            <c:idx val="0"/>
            <c:bubble3D val="0"/>
            <c:spPr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1"/>
            <c:bubble3D val="0"/>
            <c:spPr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2"/>
            <c:bubble3D val="0"/>
            <c:spPr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3"/>
            <c:bubble3D val="0"/>
            <c:spPr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思源黑体 CN Heavy" panose="020B0A00000000000000" pitchFamily="34" charset="-122"/>
                    <a:ea typeface="思源黑体 CN Heavy" panose="020B0A00000000000000" pitchFamily="34" charset="-122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Sheet1!$D$3:$G$3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Sheet1!$D$13:$G$13</c:f>
              <c:numCache>
                <c:formatCode>General</c:formatCode>
                <c:ptCount val="4"/>
                <c:pt idx="0">
                  <c:v>67800</c:v>
                </c:pt>
                <c:pt idx="1">
                  <c:v>63600</c:v>
                </c:pt>
                <c:pt idx="2">
                  <c:v>68928</c:v>
                </c:pt>
                <c:pt idx="3">
                  <c:v>90360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6459241892419"/>
          <c:y val="0.241847189556442"/>
          <c:w val="0.208420220088228"/>
          <c:h val="0.62596611355821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  <a:cs typeface="+mn-cs"/>
            </a:defRPr>
          </a:pPr>
        </a:p>
      </c:txPr>
    </c:legend>
    <c:plotVisOnly val="1"/>
    <c:dispBlanksAs val="zero"/>
    <c:showDLblsOverMax val="0"/>
  </c:chart>
  <c:spPr>
    <a:ln w="19050" cap="flat" cmpd="sng" algn="ctr">
      <a:solidFill>
        <a:srgbClr val="00B0F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88036789518957"/>
          <c:y val="0.175213494654632"/>
          <c:w val="0.820552063345023"/>
          <c:h val="0.6787242461502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第一季度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Sheet1!$B$4:$B$12</c:f>
              <c:strCache>
                <c:ptCount val="9"/>
                <c:pt idx="0">
                  <c:v>工资</c:v>
                </c:pt>
                <c:pt idx="1">
                  <c:v>福利费</c:v>
                </c:pt>
                <c:pt idx="2">
                  <c:v>税费</c:v>
                </c:pt>
                <c:pt idx="3">
                  <c:v>通讯费</c:v>
                </c:pt>
                <c:pt idx="4">
                  <c:v>水电费</c:v>
                </c:pt>
                <c:pt idx="5">
                  <c:v>专业服务费</c:v>
                </c:pt>
                <c:pt idx="6">
                  <c:v>推广费</c:v>
                </c:pt>
                <c:pt idx="7">
                  <c:v>材料费</c:v>
                </c:pt>
                <c:pt idx="8">
                  <c:v>其他费用</c:v>
                </c:pt>
              </c:strCache>
            </c:strRef>
          </c:cat>
          <c:val>
            <c:numRef>
              <c:f>Sheet1!$D$4:$D$12</c:f>
              <c:numCache>
                <c:formatCode>General</c:formatCode>
                <c:ptCount val="9"/>
                <c:pt idx="0">
                  <c:v>20000</c:v>
                </c:pt>
                <c:pt idx="1">
                  <c:v>1000</c:v>
                </c:pt>
                <c:pt idx="2">
                  <c:v>5000</c:v>
                </c:pt>
                <c:pt idx="3">
                  <c:v>800</c:v>
                </c:pt>
                <c:pt idx="4">
                  <c:v>2100</c:v>
                </c:pt>
                <c:pt idx="5">
                  <c:v>900</c:v>
                </c:pt>
                <c:pt idx="6">
                  <c:v>1000</c:v>
                </c:pt>
                <c:pt idx="7">
                  <c:v>25000</c:v>
                </c:pt>
                <c:pt idx="8">
                  <c:v>12000</c:v>
                </c:pt>
              </c:numCache>
            </c:numRef>
          </c:val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第二季度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Sheet1!$B$4:$B$12</c:f>
              <c:strCache>
                <c:ptCount val="9"/>
                <c:pt idx="0">
                  <c:v>工资</c:v>
                </c:pt>
                <c:pt idx="1">
                  <c:v>福利费</c:v>
                </c:pt>
                <c:pt idx="2">
                  <c:v>税费</c:v>
                </c:pt>
                <c:pt idx="3">
                  <c:v>通讯费</c:v>
                </c:pt>
                <c:pt idx="4">
                  <c:v>水电费</c:v>
                </c:pt>
                <c:pt idx="5">
                  <c:v>专业服务费</c:v>
                </c:pt>
                <c:pt idx="6">
                  <c:v>推广费</c:v>
                </c:pt>
                <c:pt idx="7">
                  <c:v>材料费</c:v>
                </c:pt>
                <c:pt idx="8">
                  <c:v>其他费用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12000</c:v>
                </c:pt>
                <c:pt idx="1">
                  <c:v>800</c:v>
                </c:pt>
                <c:pt idx="2">
                  <c:v>3500</c:v>
                </c:pt>
                <c:pt idx="3">
                  <c:v>600</c:v>
                </c:pt>
                <c:pt idx="4">
                  <c:v>2800</c:v>
                </c:pt>
                <c:pt idx="5">
                  <c:v>600</c:v>
                </c:pt>
                <c:pt idx="6">
                  <c:v>800</c:v>
                </c:pt>
                <c:pt idx="7">
                  <c:v>22000</c:v>
                </c:pt>
                <c:pt idx="8">
                  <c:v>20500</c:v>
                </c:pt>
              </c:numCache>
            </c:numRef>
          </c:val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第三季度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Sheet1!$B$4:$B$12</c:f>
              <c:strCache>
                <c:ptCount val="9"/>
                <c:pt idx="0">
                  <c:v>工资</c:v>
                </c:pt>
                <c:pt idx="1">
                  <c:v>福利费</c:v>
                </c:pt>
                <c:pt idx="2">
                  <c:v>税费</c:v>
                </c:pt>
                <c:pt idx="3">
                  <c:v>通讯费</c:v>
                </c:pt>
                <c:pt idx="4">
                  <c:v>水电费</c:v>
                </c:pt>
                <c:pt idx="5">
                  <c:v>专业服务费</c:v>
                </c:pt>
                <c:pt idx="6">
                  <c:v>推广费</c:v>
                </c:pt>
                <c:pt idx="7">
                  <c:v>材料费</c:v>
                </c:pt>
                <c:pt idx="8">
                  <c:v>其他费用</c:v>
                </c:pt>
              </c:strCache>
            </c:strRef>
          </c:cat>
          <c:val>
            <c:numRef>
              <c:f>Sheet1!$F$4:$F$12</c:f>
              <c:numCache>
                <c:formatCode>General</c:formatCode>
                <c:ptCount val="9"/>
                <c:pt idx="0">
                  <c:v>15000</c:v>
                </c:pt>
                <c:pt idx="1">
                  <c:v>900</c:v>
                </c:pt>
                <c:pt idx="2">
                  <c:v>3600</c:v>
                </c:pt>
                <c:pt idx="3">
                  <c:v>700</c:v>
                </c:pt>
                <c:pt idx="4">
                  <c:v>3000</c:v>
                </c:pt>
                <c:pt idx="5">
                  <c:v>700</c:v>
                </c:pt>
                <c:pt idx="6">
                  <c:v>1028</c:v>
                </c:pt>
                <c:pt idx="7">
                  <c:v>18000</c:v>
                </c:pt>
                <c:pt idx="8">
                  <c:v>26000</c:v>
                </c:pt>
              </c:numCache>
            </c:numRef>
          </c:val>
        </c:ser>
        <c:ser>
          <c:idx val="3"/>
          <c:order val="3"/>
          <c:tx>
            <c:strRef>
              <c:f>Sheet1!$G$3</c:f>
              <c:strCache>
                <c:ptCount val="1"/>
                <c:pt idx="0">
                  <c:v>第四季度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Sheet1!$B$4:$B$12</c:f>
              <c:strCache>
                <c:ptCount val="9"/>
                <c:pt idx="0">
                  <c:v>工资</c:v>
                </c:pt>
                <c:pt idx="1">
                  <c:v>福利费</c:v>
                </c:pt>
                <c:pt idx="2">
                  <c:v>税费</c:v>
                </c:pt>
                <c:pt idx="3">
                  <c:v>通讯费</c:v>
                </c:pt>
                <c:pt idx="4">
                  <c:v>水电费</c:v>
                </c:pt>
                <c:pt idx="5">
                  <c:v>专业服务费</c:v>
                </c:pt>
                <c:pt idx="6">
                  <c:v>推广费</c:v>
                </c:pt>
                <c:pt idx="7">
                  <c:v>材料费</c:v>
                </c:pt>
                <c:pt idx="8">
                  <c:v>其他费用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18000</c:v>
                </c:pt>
                <c:pt idx="1">
                  <c:v>400</c:v>
                </c:pt>
                <c:pt idx="2">
                  <c:v>290</c:v>
                </c:pt>
                <c:pt idx="3">
                  <c:v>250</c:v>
                </c:pt>
                <c:pt idx="4">
                  <c:v>200</c:v>
                </c:pt>
                <c:pt idx="5">
                  <c:v>800</c:v>
                </c:pt>
                <c:pt idx="6">
                  <c:v>1520</c:v>
                </c:pt>
                <c:pt idx="7">
                  <c:v>50000</c:v>
                </c:pt>
                <c:pt idx="8">
                  <c:v>18900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288832"/>
        <c:axId val="191290368"/>
      </c:barChart>
      <c:catAx>
        <c:axId val="19128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91290368"/>
        <c:crosses val="autoZero"/>
        <c:auto val="1"/>
        <c:lblAlgn val="ctr"/>
        <c:lblOffset val="100"/>
        <c:noMultiLvlLbl val="0"/>
      </c:catAx>
      <c:valAx>
        <c:axId val="19129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9128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2374037513416"/>
          <c:y val="0.231425204388588"/>
          <c:w val="0.0692255088736473"/>
          <c:h val="0.66950419779042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  <a:cs typeface="+mn-cs"/>
            </a:defRPr>
          </a:pPr>
        </a:p>
      </c:txPr>
    </c:legend>
    <c:plotVisOnly val="1"/>
    <c:dispBlanksAs val="gap"/>
    <c:showDLblsOverMax val="0"/>
  </c:chart>
  <c:spPr>
    <a:ln w="19050" cap="flat" cmpd="sng" algn="ctr">
      <a:solidFill>
        <a:srgbClr val="00B0F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809625</xdr:colOff>
      <xdr:row>0</xdr:row>
      <xdr:rowOff>0</xdr:rowOff>
    </xdr:from>
    <xdr:ext cx="184731" cy="264560"/>
    <xdr:sp>
      <xdr:nvSpPr>
        <xdr:cNvPr id="6" name="TextBox 5"/>
        <xdr:cNvSpPr txBox="1"/>
      </xdr:nvSpPr>
      <xdr:spPr>
        <a:xfrm>
          <a:off x="7867650" y="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190500</xdr:colOff>
      <xdr:row>0</xdr:row>
      <xdr:rowOff>0</xdr:rowOff>
    </xdr:from>
    <xdr:ext cx="184731" cy="264560"/>
    <xdr:sp>
      <xdr:nvSpPr>
        <xdr:cNvPr id="10" name="TextBox 9"/>
        <xdr:cNvSpPr txBox="1"/>
      </xdr:nvSpPr>
      <xdr:spPr>
        <a:xfrm>
          <a:off x="295275" y="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14</xdr:col>
      <xdr:colOff>0</xdr:colOff>
      <xdr:row>1</xdr:row>
      <xdr:rowOff>0</xdr:rowOff>
    </xdr:from>
    <xdr:ext cx="184731" cy="264560"/>
    <xdr:sp>
      <xdr:nvSpPr>
        <xdr:cNvPr id="8" name="TextBox 7"/>
        <xdr:cNvSpPr txBox="1"/>
      </xdr:nvSpPr>
      <xdr:spPr>
        <a:xfrm>
          <a:off x="15240000" y="10477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0</xdr:col>
      <xdr:colOff>95250</xdr:colOff>
      <xdr:row>13</xdr:row>
      <xdr:rowOff>85725</xdr:rowOff>
    </xdr:from>
    <xdr:to>
      <xdr:col>13</xdr:col>
      <xdr:colOff>392206</xdr:colOff>
      <xdr:row>26</xdr:row>
      <xdr:rowOff>95250</xdr:rowOff>
    </xdr:to>
    <xdr:graphicFrame>
      <xdr:nvGraphicFramePr>
        <xdr:cNvPr id="13" name="图表 10"/>
        <xdr:cNvGraphicFramePr/>
      </xdr:nvGraphicFramePr>
      <xdr:xfrm>
        <a:off x="95250" y="4410075"/>
        <a:ext cx="14917420" cy="3590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61633</xdr:colOff>
      <xdr:row>1</xdr:row>
      <xdr:rowOff>658906</xdr:rowOff>
    </xdr:from>
    <xdr:to>
      <xdr:col>13</xdr:col>
      <xdr:colOff>395008</xdr:colOff>
      <xdr:row>13</xdr:row>
      <xdr:rowOff>561</xdr:rowOff>
    </xdr:to>
    <xdr:graphicFrame>
      <xdr:nvGraphicFramePr>
        <xdr:cNvPr id="15" name="图表 11"/>
        <xdr:cNvGraphicFramePr/>
      </xdr:nvGraphicFramePr>
      <xdr:xfrm>
        <a:off x="8510270" y="762000"/>
        <a:ext cx="6505575" cy="356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925045</xdr:colOff>
      <xdr:row>2</xdr:row>
      <xdr:rowOff>17368</xdr:rowOff>
    </xdr:from>
    <xdr:ext cx="2236510" cy="585801"/>
    <xdr:sp>
      <xdr:nvSpPr>
        <xdr:cNvPr id="16" name="TextBox 15"/>
        <xdr:cNvSpPr txBox="1"/>
      </xdr:nvSpPr>
      <xdr:spPr>
        <a:xfrm>
          <a:off x="10401935" y="779145"/>
          <a:ext cx="2236470" cy="585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zh-CN" altLang="en-US" sz="2000">
              <a:latin typeface="思源黑体 CN Heavy" panose="020B0A00000000000000" pitchFamily="34" charset="-122"/>
              <a:ea typeface="思源黑体 CN Heavy" panose="020B0A00000000000000" pitchFamily="34" charset="-122"/>
            </a:rPr>
            <a:t>每季度总费用分布</a:t>
          </a:r>
          <a:endParaRPr lang="zh-CN" altLang="en-US" sz="2000">
            <a:latin typeface="思源黑体 CN Heavy" panose="020B0A00000000000000" pitchFamily="34" charset="-122"/>
            <a:ea typeface="思源黑体 CN Heavy" panose="020B0A00000000000000" pitchFamily="34" charset="-122"/>
          </a:endParaRPr>
        </a:p>
      </xdr:txBody>
    </xdr:sp>
    <xdr:clientData/>
  </xdr:oneCellAnchor>
  <xdr:oneCellAnchor>
    <xdr:from>
      <xdr:col>6</xdr:col>
      <xdr:colOff>38661</xdr:colOff>
      <xdr:row>13</xdr:row>
      <xdr:rowOff>53789</xdr:rowOff>
    </xdr:from>
    <xdr:ext cx="1723549" cy="585801"/>
    <xdr:sp>
      <xdr:nvSpPr>
        <xdr:cNvPr id="17" name="TextBox 16"/>
        <xdr:cNvSpPr txBox="1"/>
      </xdr:nvSpPr>
      <xdr:spPr>
        <a:xfrm>
          <a:off x="7096125" y="4377690"/>
          <a:ext cx="1724025" cy="586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zh-CN" altLang="en-US" sz="2000">
              <a:latin typeface="思源黑体 CN Heavy" panose="020B0A00000000000000" pitchFamily="34" charset="-122"/>
              <a:ea typeface="思源黑体 CN Heavy" panose="020B0A00000000000000" pitchFamily="34" charset="-122"/>
            </a:rPr>
            <a:t>年度费用分布</a:t>
          </a:r>
          <a:endParaRPr lang="zh-CN" altLang="en-US" sz="2000">
            <a:latin typeface="思源黑体 CN Heavy" panose="020B0A00000000000000" pitchFamily="34" charset="-122"/>
            <a:ea typeface="思源黑体 CN Heavy" panose="020B0A00000000000000" pitchFamily="34" charset="-122"/>
          </a:endParaRPr>
        </a:p>
      </xdr:txBody>
    </xdr:sp>
    <xdr:clientData/>
  </xdr:oneCellAnchor>
  <xdr:twoCellAnchor>
    <xdr:from>
      <xdr:col>0</xdr:col>
      <xdr:colOff>87406</xdr:colOff>
      <xdr:row>26</xdr:row>
      <xdr:rowOff>143435</xdr:rowOff>
    </xdr:from>
    <xdr:to>
      <xdr:col>13</xdr:col>
      <xdr:colOff>414617</xdr:colOff>
      <xdr:row>40</xdr:row>
      <xdr:rowOff>95810</xdr:rowOff>
    </xdr:to>
    <xdr:graphicFrame>
      <xdr:nvGraphicFramePr>
        <xdr:cNvPr id="18" name="图表 14"/>
        <xdr:cNvGraphicFramePr/>
      </xdr:nvGraphicFramePr>
      <xdr:xfrm>
        <a:off x="86995" y="8048625"/>
        <a:ext cx="14947900" cy="3686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0.38598</cdr:x>
      <cdr:y>0.01348</cdr:y>
    </cdr:from>
    <cdr:to>
      <cdr:x>0.66841</cdr:x>
      <cdr:y>0.15903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3514726" y="47626"/>
          <a:ext cx="2571750" cy="5143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/>
        <a:lstStyle/>
        <a:p>
          <a:r>
            <a:rPr lang="zh-CN" altLang="en-US" sz="2000">
              <a:latin typeface="思源黑体 CN Heavy" panose="020B0A00000000000000" pitchFamily="34" charset="-122"/>
              <a:ea typeface="思源黑体 CN Heavy" panose="020B0A00000000000000" pitchFamily="34" charset="-122"/>
            </a:rPr>
            <a:t>费用支出季度对比</a:t>
          </a:r>
          <a:endParaRPr lang="zh-CN" altLang="en-US" sz="2000">
            <a:latin typeface="思源黑体 CN Heavy" panose="020B0A00000000000000" pitchFamily="34" charset="-122"/>
            <a:ea typeface="思源黑体 CN Heavy" panose="020B0A00000000000000" pitchFamily="34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2"/>
  <sheetViews>
    <sheetView showGridLines="0" tabSelected="1" zoomScale="85" zoomScaleNormal="85" topLeftCell="A2" workbookViewId="0">
      <selection activeCell="P13" sqref="P13"/>
    </sheetView>
  </sheetViews>
  <sheetFormatPr defaultColWidth="9" defaultRowHeight="18.75"/>
  <cols>
    <col min="1" max="1" width="1.375" style="2" customWidth="1"/>
    <col min="2" max="7" width="18.25" style="2" customWidth="1"/>
    <col min="8" max="13" width="13.5" style="2" customWidth="1"/>
    <col min="14" max="14" width="8.125" style="2" customWidth="1"/>
    <col min="15" max="16384" width="9" style="2"/>
  </cols>
  <sheetData>
    <row r="1" ht="8.25" customHeight="1"/>
    <row r="2" s="1" customFormat="1" ht="51.75" customHeight="1" spans="2:14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="1" customFormat="1" ht="25.5" customHeight="1" spans="2:7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</row>
    <row r="4" s="1" customFormat="1" ht="25.5" customHeight="1" spans="2:7">
      <c r="B4" s="7" t="s">
        <v>7</v>
      </c>
      <c r="C4" s="8">
        <f>SUM(D4:G4)</f>
        <v>65000</v>
      </c>
      <c r="D4" s="8">
        <v>20000</v>
      </c>
      <c r="E4" s="8">
        <v>12000</v>
      </c>
      <c r="F4" s="8">
        <v>15000</v>
      </c>
      <c r="G4" s="9">
        <v>18000</v>
      </c>
    </row>
    <row r="5" s="1" customFormat="1" ht="25.5" customHeight="1" spans="2:7">
      <c r="B5" s="7" t="s">
        <v>8</v>
      </c>
      <c r="C5" s="8">
        <f t="shared" ref="C5:C13" si="0">SUM(D5:G5)</f>
        <v>3100</v>
      </c>
      <c r="D5" s="8">
        <v>1000</v>
      </c>
      <c r="E5" s="8">
        <v>800</v>
      </c>
      <c r="F5" s="8">
        <v>900</v>
      </c>
      <c r="G5" s="9">
        <v>400</v>
      </c>
    </row>
    <row r="6" s="1" customFormat="1" ht="25.5" customHeight="1" spans="2:7">
      <c r="B6" s="7" t="s">
        <v>9</v>
      </c>
      <c r="C6" s="8">
        <f t="shared" si="0"/>
        <v>12390</v>
      </c>
      <c r="D6" s="8">
        <v>5000</v>
      </c>
      <c r="E6" s="8">
        <v>3500</v>
      </c>
      <c r="F6" s="8">
        <v>3600</v>
      </c>
      <c r="G6" s="9">
        <v>290</v>
      </c>
    </row>
    <row r="7" s="1" customFormat="1" ht="25.5" customHeight="1" spans="2:7">
      <c r="B7" s="7" t="s">
        <v>10</v>
      </c>
      <c r="C7" s="8">
        <f t="shared" si="0"/>
        <v>2350</v>
      </c>
      <c r="D7" s="8">
        <v>800</v>
      </c>
      <c r="E7" s="8">
        <v>600</v>
      </c>
      <c r="F7" s="8">
        <v>700</v>
      </c>
      <c r="G7" s="9">
        <v>250</v>
      </c>
    </row>
    <row r="8" s="1" customFormat="1" ht="25.5" customHeight="1" spans="2:7">
      <c r="B8" s="7" t="s">
        <v>11</v>
      </c>
      <c r="C8" s="8">
        <f t="shared" si="0"/>
        <v>8100</v>
      </c>
      <c r="D8" s="8">
        <v>2100</v>
      </c>
      <c r="E8" s="8">
        <v>2800</v>
      </c>
      <c r="F8" s="8">
        <v>3000</v>
      </c>
      <c r="G8" s="9">
        <v>200</v>
      </c>
    </row>
    <row r="9" s="1" customFormat="1" ht="25.5" customHeight="1" spans="2:7">
      <c r="B9" s="7" t="s">
        <v>12</v>
      </c>
      <c r="C9" s="8">
        <f t="shared" si="0"/>
        <v>3000</v>
      </c>
      <c r="D9" s="8">
        <v>900</v>
      </c>
      <c r="E9" s="8">
        <v>600</v>
      </c>
      <c r="F9" s="8">
        <v>700</v>
      </c>
      <c r="G9" s="9">
        <v>800</v>
      </c>
    </row>
    <row r="10" s="1" customFormat="1" ht="25.5" customHeight="1" spans="2:7">
      <c r="B10" s="7" t="s">
        <v>13</v>
      </c>
      <c r="C10" s="8">
        <f t="shared" si="0"/>
        <v>4348</v>
      </c>
      <c r="D10" s="8">
        <v>1000</v>
      </c>
      <c r="E10" s="8">
        <v>800</v>
      </c>
      <c r="F10" s="8">
        <v>1028</v>
      </c>
      <c r="G10" s="9">
        <v>1520</v>
      </c>
    </row>
    <row r="11" s="1" customFormat="1" ht="25.5" customHeight="1" spans="2:7">
      <c r="B11" s="7" t="s">
        <v>14</v>
      </c>
      <c r="C11" s="8">
        <f t="shared" si="0"/>
        <v>115000</v>
      </c>
      <c r="D11" s="8">
        <v>25000</v>
      </c>
      <c r="E11" s="8">
        <v>22000</v>
      </c>
      <c r="F11" s="8">
        <v>18000</v>
      </c>
      <c r="G11" s="9">
        <v>50000</v>
      </c>
    </row>
    <row r="12" s="1" customFormat="1" ht="25.5" customHeight="1" spans="2:7">
      <c r="B12" s="7" t="s">
        <v>15</v>
      </c>
      <c r="C12" s="8">
        <f t="shared" si="0"/>
        <v>77400</v>
      </c>
      <c r="D12" s="8">
        <v>12000</v>
      </c>
      <c r="E12" s="8">
        <v>20500</v>
      </c>
      <c r="F12" s="8">
        <v>26000</v>
      </c>
      <c r="G12" s="9">
        <v>18900</v>
      </c>
    </row>
    <row r="13" s="1" customFormat="1" ht="25.5" customHeight="1" spans="2:7">
      <c r="B13" s="10" t="s">
        <v>2</v>
      </c>
      <c r="C13" s="11">
        <f t="shared" si="0"/>
        <v>290688</v>
      </c>
      <c r="D13" s="11">
        <f>SUM(D4:D12)</f>
        <v>67800</v>
      </c>
      <c r="E13" s="11">
        <f>SUM(E4:E12)</f>
        <v>63600</v>
      </c>
      <c r="F13" s="11">
        <f>SUM(F4:F12)</f>
        <v>68928</v>
      </c>
      <c r="G13" s="12">
        <f>SUM(G4:G12)</f>
        <v>90360</v>
      </c>
    </row>
    <row r="14" s="1" customFormat="1" ht="25.5" customHeight="1"/>
    <row r="15" s="1" customFormat="1" ht="25.5" customHeight="1"/>
    <row r="16" s="1" customFormat="1" ht="21"/>
    <row r="17" s="1" customFormat="1" ht="21"/>
    <row r="18" s="1" customFormat="1" ht="21"/>
    <row r="19" s="1" customFormat="1" ht="21"/>
    <row r="20" s="1" customFormat="1" ht="21"/>
    <row r="21" s="1" customFormat="1" ht="21"/>
    <row r="22" s="1" customFormat="1" ht="21"/>
    <row r="23" s="1" customFormat="1" ht="21"/>
    <row r="24" s="1" customFormat="1" ht="21"/>
    <row r="25" s="1" customFormat="1" ht="21"/>
    <row r="26" s="1" customFormat="1" ht="21"/>
    <row r="27" s="1" customFormat="1" ht="21"/>
    <row r="28" s="1" customFormat="1" ht="21"/>
    <row r="29" s="1" customFormat="1" ht="21"/>
    <row r="30" s="1" customFormat="1" ht="21"/>
    <row r="31" s="1" customFormat="1" ht="21"/>
    <row r="32" s="1" customFormat="1" ht="21"/>
    <row r="33" s="1" customFormat="1" ht="21"/>
    <row r="34" s="1" customFormat="1" ht="21"/>
    <row r="35" s="1" customFormat="1" ht="21"/>
    <row r="36" s="1" customFormat="1" ht="21"/>
    <row r="37" s="1" customFormat="1" ht="21"/>
    <row r="38" s="1" customFormat="1" ht="21"/>
    <row r="39" s="1" customFormat="1" ht="21"/>
    <row r="40" s="1" customFormat="1" ht="21"/>
    <row r="41" s="1" customFormat="1" ht="21"/>
    <row r="42" s="1" customFormat="1" ht="21"/>
  </sheetData>
  <mergeCells count="1">
    <mergeCell ref="B2:N2"/>
  </mergeCells>
  <printOptions horizontalCentered="1"/>
  <pageMargins left="0.393700787401575" right="0.393700787401575" top="0.393700787401575" bottom="0.393700787401575" header="0" footer="0"/>
  <pageSetup paperSize="9" scale="5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海神设计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24费用支出分析表</dc:title>
  <dc:creator>胡海麟</dc:creator>
  <cp:lastModifiedBy>陈东捷</cp:lastModifiedBy>
  <dcterms:created xsi:type="dcterms:W3CDTF">2008-09-11T17:22:00Z</dcterms:created>
  <cp:lastPrinted>2020-09-08T14:22:00Z</cp:lastPrinted>
  <dcterms:modified xsi:type="dcterms:W3CDTF">2021-05-13T06:18:23Z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ACE402B33E8A45518B1E036D75B79F75</vt:lpwstr>
  </property>
</Properties>
</file>