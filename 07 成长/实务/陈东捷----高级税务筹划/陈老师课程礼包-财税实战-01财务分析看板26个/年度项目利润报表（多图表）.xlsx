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<sst xmlns="http://schemas.openxmlformats.org/spreadsheetml/2006/main" count="22" uniqueCount="16">
  <si>
    <t>年度项目利润报表</t>
  </si>
  <si>
    <t>类别</t>
  </si>
  <si>
    <t>项目1</t>
  </si>
  <si>
    <t>项目2</t>
  </si>
  <si>
    <t>项目3</t>
  </si>
  <si>
    <t>项目4</t>
  </si>
  <si>
    <t>项目5</t>
  </si>
  <si>
    <t>项目6</t>
  </si>
  <si>
    <t>利润最高</t>
  </si>
  <si>
    <t>收入</t>
  </si>
  <si>
    <t>利润最低</t>
  </si>
  <si>
    <t>成本</t>
  </si>
  <si>
    <t>总利润</t>
  </si>
  <si>
    <t>利润</t>
  </si>
  <si>
    <t>毛利率</t>
  </si>
  <si>
    <t>净利率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</si>
</sst>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宋体"/>
      <charset val="134"/>
      <scheme val="minor"/>
    </font>
    <font>
      <sz val="12"/>
      <color theme="1"/>
      <name val="Microsoft JhengHei UI"/>
      <charset val="134"/>
    </font>
    <font>
      <sz val="12"/>
      <color theme="0"/>
      <name val="Microsoft JhengHei UI"/>
      <charset val="134"/>
    </font>
    <font>
      <b/>
      <sz val="28"/>
      <color theme="1"/>
      <name val="微软雅黑 Light"/>
      <charset val="134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15" fillId="20" borderId="5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9" fontId="0" fillId="2" borderId="0" xfId="11" applyFill="1">
      <alignment vertical="center"/>
    </xf>
    <xf numFmtId="0" fontId="1" fillId="2" borderId="0" xfId="0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9" fontId="1" fillId="2" borderId="0" xfId="11" applyFont="1" applyFill="1" applyAlignment="1">
      <alignment horizontal="center" vertical="center"/>
    </xf>
    <xf numFmtId="9" fontId="1" fillId="2" borderId="1" xfId="1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9" fontId="2" fillId="2" borderId="0" xfId="1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4" Type="http://schemas.microsoft.com/office/2011/relationships/chartColorStyle" Target="colors1.xml"/><Relationship Id="rId3" Type="http://schemas.microsoft.com/office/2011/relationships/chartStyle" Target="style1.xml"/><Relationship Id="rId2" Type="http://schemas.openxmlformats.org/officeDocument/2006/relationships/image" Target="../media/image1.png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年度项目盈亏分析图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5614432166156"/>
          <c:y val="0.171622212505466"/>
          <c:w val="0.7418985487951"/>
          <c:h val="0.759510275470048"/>
        </c:manualLayout>
      </c:layout>
      <c:barChart>
        <c:barDir val="bar"/>
        <c:grouping val="clustered"/>
        <c:varyColors val="0"/>
        <c:ser>
          <c:idx val="0"/>
          <c:order val="0"/>
          <c:spPr>
            <a:blipFill rotWithShape="1"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Sheet1!$B$11:$G$11</c:f>
              <c:strCache>
                <c:ptCount val="6"/>
                <c:pt idx="0" c:formatCode="0.00_);[Red]\(0.00\)">
                  <c:v>项目1</c:v>
                </c:pt>
                <c:pt idx="1" c:formatCode="0.00_);[Red]\(0.00\)">
                  <c:v>项目2</c:v>
                </c:pt>
                <c:pt idx="2" c:formatCode="0.00_);[Red]\(0.00\)">
                  <c:v>项目3</c:v>
                </c:pt>
                <c:pt idx="3" c:formatCode="0.00_);[Red]\(0.00\)">
                  <c:v>项目4</c:v>
                </c:pt>
                <c:pt idx="4" c:formatCode="0.00_);[Red]\(0.00\)">
                  <c:v>项目5</c:v>
                </c:pt>
                <c:pt idx="5" c:formatCode="0.00_);[Red]\(0.00\)">
                  <c:v>项目6</c:v>
                </c:pt>
              </c:strCache>
            </c:strRef>
          </c:cat>
          <c:val>
            <c:numRef>
              <c:f>Sheet1!$B$12:$G$12</c:f>
              <c:numCache>
                <c:formatCode>0.00_);[Red]\(0.00\)</c:formatCode>
                <c:ptCount val="6"/>
                <c:pt idx="0">
                  <c:v>91121</c:v>
                </c:pt>
                <c:pt idx="1">
                  <c:v>329980</c:v>
                </c:pt>
                <c:pt idx="2">
                  <c:v>-66493</c:v>
                </c:pt>
                <c:pt idx="3">
                  <c:v>415757</c:v>
                </c:pt>
                <c:pt idx="4">
                  <c:v>222972</c:v>
                </c:pt>
                <c:pt idx="5">
                  <c:v>-25305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9"/>
        <c:overlap val="-22"/>
        <c:axId val="707979500"/>
        <c:axId val="81581883"/>
      </c:barChart>
      <c:catAx>
        <c:axId val="70797950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81581883"/>
        <c:crosses val="autoZero"/>
        <c:auto val="1"/>
        <c:lblAlgn val="ctr"/>
        <c:lblOffset val="100"/>
        <c:noMultiLvlLbl val="0"/>
      </c:catAx>
      <c:valAx>
        <c:axId val="81581883"/>
        <c:scaling>
          <c:orientation val="minMax"/>
        </c:scaling>
        <c:delete val="0"/>
        <c:axPos val="t"/>
        <c:numFmt formatCode="0.00_);[Red]\(0.00\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7079795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4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altLang="en-US" sz="1440"/>
              <a:t>总利润</a:t>
            </a:r>
            <a:endParaRPr lang="en-US" altLang="zh-CN" sz="144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25934343434343"/>
          <c:y val="0.203035513361463"/>
          <c:w val="0.3561492003367"/>
          <c:h val="0.595084739803094"/>
        </c:manualLayout>
      </c:layout>
      <c:doughnutChart>
        <c:varyColors val="1"/>
        <c:ser>
          <c:idx val="0"/>
          <c:order val="0"/>
          <c:tx>
            <c:strRef>
              <c:f>Sheet1!$I$6</c:f>
              <c:strCache>
                <c:ptCount val="1"/>
                <c:pt idx="0">
                  <c:v>总利润</c:v>
                </c:pt>
              </c:strCache>
            </c:strRef>
          </c:tx>
          <c:spPr>
            <a:solidFill>
              <a:schemeClr val="accent1"/>
            </a:solidFill>
            <a:ln w="38100">
              <a:solidFill>
                <a:schemeClr val="bg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explosion val="0"/>
          <c:dPt>
            <c:idx val="0"/>
            <c:bubble3D val="0"/>
            <c:spPr>
              <a:gradFill>
                <a:gsLst>
                  <a:gs pos="0">
                    <a:srgbClr val="4690E2"/>
                  </a:gs>
                  <a:gs pos="100000">
                    <a:srgbClr val="1F6DC5"/>
                  </a:gs>
                </a:gsLst>
                <a:lin ang="5400000" scaled="0"/>
              </a:gradFill>
              <a:ln w="38100">
                <a:solidFill>
                  <a:schemeClr val="bg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-0.00333333333333333"/>
                  <c:y val="-0.2062146892655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078431372549"/>
                      <c:h val="0.124872579001019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Sheet1!$J$6</c:f>
              <c:numCache>
                <c:formatCode>0.00_);[Red]\(0.00\)</c:formatCode>
                <c:ptCount val="1"/>
                <c:pt idx="0">
                  <c:v>968032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 forceAA="0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2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1200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rgbClr val="6E85A2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rPr>
              <a:t>年度项目收支示意图</a:t>
            </a:r>
            <a:endParaRPr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060550936041"/>
          <c:y val="0.204433992140379"/>
          <c:w val="0.767766301776319"/>
          <c:h val="0.63926355640645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Sheet1!$B$5</c:f>
              <c:strCache>
                <c:ptCount val="1"/>
                <c:pt idx="0">
                  <c:v>收入</c:v>
                </c:pt>
              </c:strCache>
            </c:strRef>
          </c:tx>
          <c:spPr>
            <a:solidFill>
              <a:srgbClr val="B2AA9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Sheet1!$C$4:$H$4</c:f>
              <c:strCache>
                <c:ptCount val="6"/>
                <c:pt idx="0" c:formatCode="0.00_);[Red]\(0.00\)">
                  <c:v>项目1</c:v>
                </c:pt>
                <c:pt idx="1" c:formatCode="0.00_);[Red]\(0.00\)">
                  <c:v>项目2</c:v>
                </c:pt>
                <c:pt idx="2" c:formatCode="0.00_);[Red]\(0.00\)">
                  <c:v>项目3</c:v>
                </c:pt>
                <c:pt idx="3" c:formatCode="0.00_);[Red]\(0.00\)">
                  <c:v>项目4</c:v>
                </c:pt>
                <c:pt idx="4" c:formatCode="0.00_);[Red]\(0.00\)">
                  <c:v>项目5</c:v>
                </c:pt>
                <c:pt idx="5" c:formatCode="0.00_);[Red]\(0.00\)">
                  <c:v>项目6</c:v>
                </c:pt>
              </c:strCache>
            </c:strRef>
          </c:cat>
          <c:val>
            <c:numRef>
              <c:f>Sheet1!$C$5:$H$5</c:f>
              <c:numCache>
                <c:formatCode>0.00_);[Red]\(0.00\)</c:formatCode>
                <c:ptCount val="6"/>
                <c:pt idx="0">
                  <c:v>659863</c:v>
                </c:pt>
                <c:pt idx="1">
                  <c:v>786963</c:v>
                </c:pt>
                <c:pt idx="2">
                  <c:v>659876</c:v>
                </c:pt>
                <c:pt idx="3">
                  <c:v>985632</c:v>
                </c:pt>
                <c:pt idx="4">
                  <c:v>577865</c:v>
                </c:pt>
                <c:pt idx="5">
                  <c:v>698659</c:v>
                </c:pt>
              </c:numCache>
            </c:numRef>
          </c:val>
        </c:ser>
        <c:ser>
          <c:idx val="2"/>
          <c:order val="1"/>
          <c:tx>
            <c:strRef>
              <c:f>Sheet1!$B$6</c:f>
              <c:strCache>
                <c:ptCount val="1"/>
                <c:pt idx="0">
                  <c:v>成本</c:v>
                </c:pt>
              </c:strCache>
            </c:strRef>
          </c:tx>
          <c:spPr>
            <a:solidFill>
              <a:srgbClr val="34C7B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Sheet1!$C$4:$H$4</c:f>
              <c:strCache>
                <c:ptCount val="6"/>
                <c:pt idx="0" c:formatCode="0.00_);[Red]\(0.00\)">
                  <c:v>项目1</c:v>
                </c:pt>
                <c:pt idx="1" c:formatCode="0.00_);[Red]\(0.00\)">
                  <c:v>项目2</c:v>
                </c:pt>
                <c:pt idx="2" c:formatCode="0.00_);[Red]\(0.00\)">
                  <c:v>项目3</c:v>
                </c:pt>
                <c:pt idx="3" c:formatCode="0.00_);[Red]\(0.00\)">
                  <c:v>项目4</c:v>
                </c:pt>
                <c:pt idx="4" c:formatCode="0.00_);[Red]\(0.00\)">
                  <c:v>项目5</c:v>
                </c:pt>
                <c:pt idx="5" c:formatCode="0.00_);[Red]\(0.00\)">
                  <c:v>项目6</c:v>
                </c:pt>
              </c:strCache>
            </c:strRef>
          </c:cat>
          <c:val>
            <c:numRef>
              <c:f>Sheet1!$C$6:$H$6</c:f>
              <c:numCache>
                <c:formatCode>0.00_);[Red]\(0.00\)</c:formatCode>
                <c:ptCount val="6"/>
                <c:pt idx="0">
                  <c:v>568742</c:v>
                </c:pt>
                <c:pt idx="1">
                  <c:v>456983</c:v>
                </c:pt>
                <c:pt idx="2">
                  <c:v>726369</c:v>
                </c:pt>
                <c:pt idx="3">
                  <c:v>569875</c:v>
                </c:pt>
                <c:pt idx="4">
                  <c:v>354893</c:v>
                </c:pt>
                <c:pt idx="5">
                  <c:v>723964</c:v>
                </c:pt>
              </c:numCache>
            </c:numRef>
          </c:val>
        </c:ser>
        <c:ser>
          <c:idx val="3"/>
          <c:order val="2"/>
          <c:tx>
            <c:strRef>
              <c:f>Sheet1!$B$7</c:f>
              <c:strCache>
                <c:ptCount val="1"/>
                <c:pt idx="0">
                  <c:v>利润</c:v>
                </c:pt>
              </c:strCache>
            </c:strRef>
          </c:tx>
          <c:spPr>
            <a:solidFill>
              <a:srgbClr val="9ED63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Sheet1!$C$4:$H$4</c:f>
              <c:strCache>
                <c:ptCount val="6"/>
                <c:pt idx="0" c:formatCode="0.00_);[Red]\(0.00\)">
                  <c:v>项目1</c:v>
                </c:pt>
                <c:pt idx="1" c:formatCode="0.00_);[Red]\(0.00\)">
                  <c:v>项目2</c:v>
                </c:pt>
                <c:pt idx="2" c:formatCode="0.00_);[Red]\(0.00\)">
                  <c:v>项目3</c:v>
                </c:pt>
                <c:pt idx="3" c:formatCode="0.00_);[Red]\(0.00\)">
                  <c:v>项目4</c:v>
                </c:pt>
                <c:pt idx="4" c:formatCode="0.00_);[Red]\(0.00\)">
                  <c:v>项目5</c:v>
                </c:pt>
                <c:pt idx="5" c:formatCode="0.00_);[Red]\(0.00\)">
                  <c:v>项目6</c:v>
                </c:pt>
              </c:strCache>
            </c:strRef>
          </c:cat>
          <c:val>
            <c:numRef>
              <c:f>Sheet1!$C$7:$H$7</c:f>
              <c:numCache>
                <c:formatCode>0.00_);[Red]\(0.00\)</c:formatCode>
                <c:ptCount val="6"/>
                <c:pt idx="0">
                  <c:v>91121</c:v>
                </c:pt>
                <c:pt idx="1">
                  <c:v>329980</c:v>
                </c:pt>
                <c:pt idx="2">
                  <c:v>-66493</c:v>
                </c:pt>
                <c:pt idx="3">
                  <c:v>415757</c:v>
                </c:pt>
                <c:pt idx="4">
                  <c:v>222972</c:v>
                </c:pt>
                <c:pt idx="5">
                  <c:v>-25305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2"/>
        <c:overlap val="100"/>
        <c:axId val="226260551"/>
        <c:axId val="586597959"/>
      </c:barChart>
      <c:catAx>
        <c:axId val="2262605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rgbClr val="6E85A2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586597959"/>
        <c:crosses val="autoZero"/>
        <c:auto val="1"/>
        <c:lblAlgn val="ctr"/>
        <c:lblOffset val="100"/>
        <c:noMultiLvlLbl val="0"/>
      </c:catAx>
      <c:valAx>
        <c:axId val="58659795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19050"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rgbClr val="6E85A2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226260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6E85A2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6E85A2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6E85A2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rgbClr val="6E85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 b="0">
          <a:solidFill>
            <a:srgbClr val="6E85A2"/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6950614058009"/>
          <c:y val="0.234216335540839"/>
          <c:w val="0.848497517637836"/>
          <c:h val="0.666092715231788"/>
        </c:manualLayout>
      </c:layout>
      <c:doughnutChart>
        <c:varyColors val="1"/>
        <c:ser>
          <c:idx val="0"/>
          <c:order val="0"/>
          <c:spPr>
            <a:solidFill>
              <a:schemeClr val="bg1"/>
            </a:solidFill>
            <a:ln w="6350">
              <a:solidFill>
                <a:schemeClr val="bg1"/>
              </a:solidFill>
            </a:ln>
            <a:effectLst/>
          </c:spPr>
          <c:explosion val="0"/>
          <c:dPt>
            <c:idx val="0"/>
            <c:bubble3D val="0"/>
            <c:spPr>
              <a:gradFill>
                <a:gsLst>
                  <a:gs pos="2000">
                    <a:srgbClr val="CDFBCD"/>
                  </a:gs>
                  <a:gs pos="67000">
                    <a:srgbClr val="72D773"/>
                  </a:gs>
                  <a:gs pos="98000">
                    <a:srgbClr val="72D673"/>
                  </a:gs>
                  <a:gs pos="35000">
                    <a:srgbClr val="A9E4A9"/>
                  </a:gs>
                </a:gsLst>
                <a:lin scaled="0"/>
              </a:gradFill>
              <a:ln w="6350"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explosion val="33"/>
            <c:spPr>
              <a:solidFill>
                <a:srgbClr val="FBB611"/>
              </a:solidFill>
              <a:ln w="6350"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5"/>
                      <c:h val="0.12453007518797"/>
                    </c:manualLayout>
                  </c15:layout>
                </c:ext>
              </c:extLst>
            </c:dLbl>
            <c:dLbl>
              <c:idx val="1"/>
              <c:layout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0277777777778"/>
                      <c:h val="0.129464285714286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Sheet1!$I$4:$I$5</c:f>
              <c:strCache>
                <c:ptCount val="2"/>
                <c:pt idx="0">
                  <c:v>利润最高</c:v>
                </c:pt>
                <c:pt idx="1">
                  <c:v>利润最低</c:v>
                </c:pt>
              </c:strCache>
            </c:strRef>
          </c:cat>
          <c:val>
            <c:numRef>
              <c:f>Sheet1!$J$4:$J$5</c:f>
              <c:numCache>
                <c:formatCode>0%</c:formatCode>
                <c:ptCount val="2"/>
                <c:pt idx="0">
                  <c:v>0.421817676374144</c:v>
                </c:pt>
                <c:pt idx="1">
                  <c:v>-0.100765901472398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6350">
          <a:noFill/>
          <a:prstDash val="dash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 sz="1200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769009668147374"/>
          <c:y val="0.176846747519294"/>
          <c:w val="0.799764828847661"/>
          <c:h val="0.71409040793825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Sheet1!$B$5</c:f>
              <c:strCache>
                <c:ptCount val="1"/>
                <c:pt idx="0">
                  <c:v>收入</c:v>
                </c:pt>
              </c:strCache>
            </c:strRef>
          </c:tx>
          <c:spPr>
            <a:pattFill prst="dkUpDiag">
              <a:fgClr>
                <a:schemeClr val="accent4">
                  <a:lumMod val="20000"/>
                  <a:lumOff val="80000"/>
                </a:schemeClr>
              </a:fgClr>
              <a:bgClr>
                <a:srgbClr val="FDCD01"/>
              </a:bgClr>
            </a:pattFill>
            <a:ln>
              <a:solidFill>
                <a:srgbClr val="FDCD0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Sheet1!$C$4:$H$4</c:f>
              <c:strCache>
                <c:ptCount val="6"/>
                <c:pt idx="0" c:formatCode="0.00_);[Red]\(0.00\)">
                  <c:v>项目1</c:v>
                </c:pt>
                <c:pt idx="1" c:formatCode="0.00_);[Red]\(0.00\)">
                  <c:v>项目2</c:v>
                </c:pt>
                <c:pt idx="2" c:formatCode="0.00_);[Red]\(0.00\)">
                  <c:v>项目3</c:v>
                </c:pt>
                <c:pt idx="3" c:formatCode="0.00_);[Red]\(0.00\)">
                  <c:v>项目4</c:v>
                </c:pt>
                <c:pt idx="4" c:formatCode="0.00_);[Red]\(0.00\)">
                  <c:v>项目5</c:v>
                </c:pt>
                <c:pt idx="5" c:formatCode="0.00_);[Red]\(0.00\)">
                  <c:v>项目6</c:v>
                </c:pt>
              </c:strCache>
            </c:strRef>
          </c:cat>
          <c:val>
            <c:numRef>
              <c:f>Sheet1!$C$5:$H$5</c:f>
              <c:numCache>
                <c:formatCode>0.00_);[Red]\(0.00\)</c:formatCode>
                <c:ptCount val="6"/>
                <c:pt idx="0">
                  <c:v>659863</c:v>
                </c:pt>
                <c:pt idx="1">
                  <c:v>786963</c:v>
                </c:pt>
                <c:pt idx="2">
                  <c:v>659876</c:v>
                </c:pt>
                <c:pt idx="3">
                  <c:v>985632</c:v>
                </c:pt>
                <c:pt idx="4">
                  <c:v>577865</c:v>
                </c:pt>
                <c:pt idx="5">
                  <c:v>698659</c:v>
                </c:pt>
              </c:numCache>
            </c:numRef>
          </c:val>
        </c:ser>
        <c:ser>
          <c:idx val="2"/>
          <c:order val="1"/>
          <c:tx>
            <c:strRef>
              <c:f>Sheet1!$B$6</c:f>
              <c:strCache>
                <c:ptCount val="1"/>
                <c:pt idx="0">
                  <c:v>成本</c:v>
                </c:pt>
              </c:strCache>
            </c:strRef>
          </c:tx>
          <c:spPr>
            <a:pattFill prst="dkUpDiag">
              <a:fgClr>
                <a:schemeClr val="accent2">
                  <a:lumMod val="20000"/>
                  <a:lumOff val="80000"/>
                </a:schemeClr>
              </a:fgClr>
              <a:bgClr>
                <a:srgbClr val="F49900"/>
              </a:bgClr>
            </a:pattFill>
            <a:ln cmpd="sng">
              <a:solidFill>
                <a:srgbClr val="F49900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Sheet1!$C$4:$H$4</c:f>
              <c:strCache>
                <c:ptCount val="6"/>
                <c:pt idx="0" c:formatCode="0.00_);[Red]\(0.00\)">
                  <c:v>项目1</c:v>
                </c:pt>
                <c:pt idx="1" c:formatCode="0.00_);[Red]\(0.00\)">
                  <c:v>项目2</c:v>
                </c:pt>
                <c:pt idx="2" c:formatCode="0.00_);[Red]\(0.00\)">
                  <c:v>项目3</c:v>
                </c:pt>
                <c:pt idx="3" c:formatCode="0.00_);[Red]\(0.00\)">
                  <c:v>项目4</c:v>
                </c:pt>
                <c:pt idx="4" c:formatCode="0.00_);[Red]\(0.00\)">
                  <c:v>项目5</c:v>
                </c:pt>
                <c:pt idx="5" c:formatCode="0.00_);[Red]\(0.00\)">
                  <c:v>项目6</c:v>
                </c:pt>
              </c:strCache>
            </c:strRef>
          </c:cat>
          <c:val>
            <c:numRef>
              <c:f>Sheet1!$C$6:$H$6</c:f>
              <c:numCache>
                <c:formatCode>0.00_);[Red]\(0.00\)</c:formatCode>
                <c:ptCount val="6"/>
                <c:pt idx="0">
                  <c:v>568742</c:v>
                </c:pt>
                <c:pt idx="1">
                  <c:v>456983</c:v>
                </c:pt>
                <c:pt idx="2">
                  <c:v>726369</c:v>
                </c:pt>
                <c:pt idx="3">
                  <c:v>569875</c:v>
                </c:pt>
                <c:pt idx="4">
                  <c:v>354893</c:v>
                </c:pt>
                <c:pt idx="5">
                  <c:v>723964</c:v>
                </c:pt>
              </c:numCache>
            </c:numRef>
          </c:val>
        </c:ser>
        <c:ser>
          <c:idx val="3"/>
          <c:order val="2"/>
          <c:tx>
            <c:strRef>
              <c:f>Sheet1!$B$7</c:f>
              <c:strCache>
                <c:ptCount val="1"/>
                <c:pt idx="0">
                  <c:v>利润</c:v>
                </c:pt>
              </c:strCache>
            </c:strRef>
          </c:tx>
          <c:spPr>
            <a:pattFill prst="dkUpDiag">
              <a:fgClr>
                <a:schemeClr val="accent5">
                  <a:lumMod val="20000"/>
                  <a:lumOff val="80000"/>
                </a:schemeClr>
              </a:fgClr>
              <a:bgClr>
                <a:srgbClr val="66DBFF"/>
              </a:bgClr>
            </a:pattFill>
            <a:ln>
              <a:solidFill>
                <a:srgbClr val="66DBFF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Sheet1!$C$4:$H$4</c:f>
              <c:strCache>
                <c:ptCount val="6"/>
                <c:pt idx="0" c:formatCode="0.00_);[Red]\(0.00\)">
                  <c:v>项目1</c:v>
                </c:pt>
                <c:pt idx="1" c:formatCode="0.00_);[Red]\(0.00\)">
                  <c:v>项目2</c:v>
                </c:pt>
                <c:pt idx="2" c:formatCode="0.00_);[Red]\(0.00\)">
                  <c:v>项目3</c:v>
                </c:pt>
                <c:pt idx="3" c:formatCode="0.00_);[Red]\(0.00\)">
                  <c:v>项目4</c:v>
                </c:pt>
                <c:pt idx="4" c:formatCode="0.00_);[Red]\(0.00\)">
                  <c:v>项目5</c:v>
                </c:pt>
                <c:pt idx="5" c:formatCode="0.00_);[Red]\(0.00\)">
                  <c:v>项目6</c:v>
                </c:pt>
              </c:strCache>
            </c:strRef>
          </c:cat>
          <c:val>
            <c:numRef>
              <c:f>Sheet1!$C$7:$H$7</c:f>
              <c:numCache>
                <c:formatCode>0.00_);[Red]\(0.00\)</c:formatCode>
                <c:ptCount val="6"/>
                <c:pt idx="0">
                  <c:v>91121</c:v>
                </c:pt>
                <c:pt idx="1">
                  <c:v>329980</c:v>
                </c:pt>
                <c:pt idx="2">
                  <c:v>-66493</c:v>
                </c:pt>
                <c:pt idx="3">
                  <c:v>415757</c:v>
                </c:pt>
                <c:pt idx="4">
                  <c:v>222972</c:v>
                </c:pt>
                <c:pt idx="5">
                  <c:v>-25305</c:v>
                </c:pt>
              </c:numCache>
            </c:numRef>
          </c:val>
        </c:ser>
        <c:ser>
          <c:idx val="4"/>
          <c:order val="3"/>
          <c:tx>
            <c:strRef>
              <c:f>Sheet1!$B$8</c:f>
              <c:strCache>
                <c:ptCount val="1"/>
                <c:pt idx="0">
                  <c:v>毛利率</c:v>
                </c:pt>
              </c:strCache>
            </c:strRef>
          </c:tx>
          <c:spPr>
            <a:pattFill prst="ltUpDiag">
              <a:fgClr>
                <a:schemeClr val="accent5">
                  <a:lumMod val="20000"/>
                  <a:lumOff val="80000"/>
                </a:schemeClr>
              </a:fgClr>
              <a:bgClr>
                <a:srgbClr val="02B0EC"/>
              </a:bgClr>
            </a:pattFill>
            <a:ln>
              <a:solidFill>
                <a:srgbClr val="02B0EC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Sheet1!$C$4:$H$4</c:f>
              <c:strCache>
                <c:ptCount val="6"/>
                <c:pt idx="0" c:formatCode="0.00_);[Red]\(0.00\)">
                  <c:v>项目1</c:v>
                </c:pt>
                <c:pt idx="1" c:formatCode="0.00_);[Red]\(0.00\)">
                  <c:v>项目2</c:v>
                </c:pt>
                <c:pt idx="2" c:formatCode="0.00_);[Red]\(0.00\)">
                  <c:v>项目3</c:v>
                </c:pt>
                <c:pt idx="3" c:formatCode="0.00_);[Red]\(0.00\)">
                  <c:v>项目4</c:v>
                </c:pt>
                <c:pt idx="4" c:formatCode="0.00_);[Red]\(0.00\)">
                  <c:v>项目5</c:v>
                </c:pt>
                <c:pt idx="5" c:formatCode="0.00_);[Red]\(0.00\)">
                  <c:v>项目6</c:v>
                </c:pt>
              </c:strCache>
            </c:strRef>
          </c:cat>
          <c:val>
            <c:numRef>
              <c:f>Sheet1!$C$8:$H$8</c:f>
              <c:numCache>
                <c:formatCode>0%</c:formatCode>
                <c:ptCount val="6"/>
                <c:pt idx="0">
                  <c:v>0.138090785511538</c:v>
                </c:pt>
                <c:pt idx="1">
                  <c:v>0.419308150446717</c:v>
                </c:pt>
                <c:pt idx="2">
                  <c:v>-0.100765901472398</c:v>
                </c:pt>
                <c:pt idx="3">
                  <c:v>0.421817676374144</c:v>
                </c:pt>
                <c:pt idx="4">
                  <c:v>0.385854827684667</c:v>
                </c:pt>
                <c:pt idx="5">
                  <c:v>-0.0362193859951708</c:v>
                </c:pt>
              </c:numCache>
            </c:numRef>
          </c:val>
        </c:ser>
        <c:ser>
          <c:idx val="0"/>
          <c:order val="4"/>
          <c:tx>
            <c:strRef>
              <c:f>Sheet1!$B$9</c:f>
              <c:strCache>
                <c:ptCount val="1"/>
                <c:pt idx="0">
                  <c:v>净利率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Sheet1!$C$4:$H$4</c:f>
              <c:strCache>
                <c:ptCount val="6"/>
                <c:pt idx="0" c:formatCode="0.00_);[Red]\(0.00\)">
                  <c:v>项目1</c:v>
                </c:pt>
                <c:pt idx="1" c:formatCode="0.00_);[Red]\(0.00\)">
                  <c:v>项目2</c:v>
                </c:pt>
                <c:pt idx="2" c:formatCode="0.00_);[Red]\(0.00\)">
                  <c:v>项目3</c:v>
                </c:pt>
                <c:pt idx="3" c:formatCode="0.00_);[Red]\(0.00\)">
                  <c:v>项目4</c:v>
                </c:pt>
                <c:pt idx="4" c:formatCode="0.00_);[Red]\(0.00\)">
                  <c:v>项目5</c:v>
                </c:pt>
                <c:pt idx="5" c:formatCode="0.00_);[Red]\(0.00\)">
                  <c:v>项目6</c:v>
                </c:pt>
              </c:strCache>
            </c:strRef>
          </c:cat>
          <c:val>
            <c:numRef>
              <c:f>Sheet1!$C$9:$H$9</c:f>
              <c:numCache>
                <c:formatCode>0%</c:formatCode>
                <c:ptCount val="6"/>
                <c:pt idx="0">
                  <c:v>0.138090785511538</c:v>
                </c:pt>
                <c:pt idx="1">
                  <c:v>0.419308150446717</c:v>
                </c:pt>
                <c:pt idx="2">
                  <c:v>-0.100765901472398</c:v>
                </c:pt>
                <c:pt idx="3">
                  <c:v>0.421817676374144</c:v>
                </c:pt>
                <c:pt idx="4">
                  <c:v>0.385854827684667</c:v>
                </c:pt>
                <c:pt idx="5">
                  <c:v>-0.0362193859951708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23142"/>
        <c:axId val="529658044"/>
      </c:barChart>
      <c:catAx>
        <c:axId val="18902314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529658044"/>
        <c:crosses val="autoZero"/>
        <c:auto val="1"/>
        <c:lblAlgn val="ctr"/>
        <c:lblOffset val="100"/>
        <c:noMultiLvlLbl val="0"/>
      </c:catAx>
      <c:valAx>
        <c:axId val="5296580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1890231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pattFill prst="pct50">
      <a:fgClr>
        <a:schemeClr val="bg1">
          <a:lumMod val="95000"/>
        </a:schemeClr>
      </a:fgClr>
      <a:bgClr>
        <a:schemeClr val="bg1"/>
      </a:bgClr>
    </a:patt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 sz="1000">
          <a:solidFill>
            <a:schemeClr val="tx1">
              <a:lumMod val="65000"/>
              <a:lumOff val="3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424180</xdr:colOff>
      <xdr:row>9</xdr:row>
      <xdr:rowOff>53340</xdr:rowOff>
    </xdr:from>
    <xdr:to>
      <xdr:col>4</xdr:col>
      <xdr:colOff>28575</xdr:colOff>
      <xdr:row>18</xdr:row>
      <xdr:rowOff>119380</xdr:rowOff>
    </xdr:to>
    <xdr:graphicFrame>
      <xdr:nvGraphicFramePr>
        <xdr:cNvPr id="2" name="图表 1"/>
        <xdr:cNvGraphicFramePr/>
      </xdr:nvGraphicFramePr>
      <xdr:xfrm>
        <a:off x="424180" y="3063240"/>
        <a:ext cx="4142105" cy="2923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134620</xdr:colOff>
      <xdr:row>0</xdr:row>
      <xdr:rowOff>157480</xdr:rowOff>
    </xdr:from>
    <xdr:to>
      <xdr:col>13</xdr:col>
      <xdr:colOff>567055</xdr:colOff>
      <xdr:row>8</xdr:row>
      <xdr:rowOff>302895</xdr:rowOff>
    </xdr:to>
    <xdr:graphicFrame>
      <xdr:nvGraphicFramePr>
        <xdr:cNvPr id="3" name="图表 2"/>
        <xdr:cNvGraphicFramePr/>
      </xdr:nvGraphicFramePr>
      <xdr:xfrm>
        <a:off x="10090150" y="157480"/>
        <a:ext cx="5096510" cy="2837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81280</xdr:colOff>
      <xdr:row>9</xdr:row>
      <xdr:rowOff>53340</xdr:rowOff>
    </xdr:from>
    <xdr:to>
      <xdr:col>8</xdr:col>
      <xdr:colOff>13335</xdr:colOff>
      <xdr:row>18</xdr:row>
      <xdr:rowOff>106680</xdr:rowOff>
    </xdr:to>
    <xdr:graphicFrame>
      <xdr:nvGraphicFramePr>
        <xdr:cNvPr id="4" name="图表 3"/>
        <xdr:cNvGraphicFramePr/>
      </xdr:nvGraphicFramePr>
      <xdr:xfrm>
        <a:off x="4618990" y="3063240"/>
        <a:ext cx="5349875" cy="291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141605</xdr:colOff>
      <xdr:row>9</xdr:row>
      <xdr:rowOff>60960</xdr:rowOff>
    </xdr:from>
    <xdr:to>
      <xdr:col>13</xdr:col>
      <xdr:colOff>560705</xdr:colOff>
      <xdr:row>18</xdr:row>
      <xdr:rowOff>97155</xdr:rowOff>
    </xdr:to>
    <xdr:graphicFrame>
      <xdr:nvGraphicFramePr>
        <xdr:cNvPr id="8" name="图表 7"/>
        <xdr:cNvGraphicFramePr/>
      </xdr:nvGraphicFramePr>
      <xdr:xfrm>
        <a:off x="10097135" y="3070860"/>
        <a:ext cx="5083175" cy="2893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411480</xdr:colOff>
      <xdr:row>18</xdr:row>
      <xdr:rowOff>196850</xdr:rowOff>
    </xdr:from>
    <xdr:to>
      <xdr:col>13</xdr:col>
      <xdr:colOff>569595</xdr:colOff>
      <xdr:row>28</xdr:row>
      <xdr:rowOff>161290</xdr:rowOff>
    </xdr:to>
    <xdr:graphicFrame>
      <xdr:nvGraphicFramePr>
        <xdr:cNvPr id="10" name="图表 9"/>
        <xdr:cNvGraphicFramePr/>
      </xdr:nvGraphicFramePr>
      <xdr:xfrm>
        <a:off x="411480" y="6064250"/>
        <a:ext cx="14777720" cy="313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zoomScale="90" zoomScaleNormal="90" topLeftCell="A6" workbookViewId="0">
      <selection activeCell="O12" sqref="O12"/>
    </sheetView>
  </sheetViews>
  <sheetFormatPr defaultColWidth="15.775" defaultRowHeight="25" customHeight="1"/>
  <cols>
    <col min="1" max="1" width="6.225" style="4" customWidth="1"/>
    <col min="2" max="2" width="17.775" style="4" customWidth="1"/>
    <col min="3" max="8" width="17.775" style="3" customWidth="1"/>
    <col min="9" max="10" width="5.775" style="5" customWidth="1"/>
    <col min="11" max="12" width="15.775" style="4" customWidth="1"/>
    <col min="13" max="13" width="18.1083333333333" style="4" customWidth="1"/>
    <col min="14" max="16383" width="15.775" style="4" customWidth="1"/>
    <col min="16384" max="16384" width="15.775" style="4"/>
  </cols>
  <sheetData>
    <row r="1" ht="13" customHeight="1"/>
    <row r="2" ht="49" customHeight="1" spans="2:8">
      <c r="B2" s="6" t="s">
        <v>0</v>
      </c>
      <c r="C2" s="6"/>
      <c r="D2" s="6"/>
      <c r="E2" s="6"/>
      <c r="F2" s="6"/>
      <c r="G2" s="6"/>
      <c r="H2" s="6"/>
    </row>
    <row r="4" customHeight="1" spans="2:10">
      <c r="B4" s="7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5" t="s">
        <v>8</v>
      </c>
      <c r="J4" s="12">
        <f>MAX(C9:H9)</f>
        <v>0.421817676374144</v>
      </c>
    </row>
    <row r="5" customHeight="1" spans="2:10">
      <c r="B5" s="7" t="s">
        <v>9</v>
      </c>
      <c r="C5" s="8">
        <v>659863</v>
      </c>
      <c r="D5" s="8">
        <v>786963</v>
      </c>
      <c r="E5" s="8">
        <v>659876</v>
      </c>
      <c r="F5" s="8">
        <v>985632</v>
      </c>
      <c r="G5" s="8">
        <v>577865</v>
      </c>
      <c r="H5" s="8">
        <v>698659</v>
      </c>
      <c r="I5" s="5" t="s">
        <v>10</v>
      </c>
      <c r="J5" s="12">
        <f>MIN(C9:H9)</f>
        <v>-0.100765901472398</v>
      </c>
    </row>
    <row r="6" customHeight="1" spans="2:10">
      <c r="B6" s="7" t="s">
        <v>11</v>
      </c>
      <c r="C6" s="8">
        <v>568742</v>
      </c>
      <c r="D6" s="8">
        <v>456983</v>
      </c>
      <c r="E6" s="8">
        <v>726369</v>
      </c>
      <c r="F6" s="8">
        <v>569875</v>
      </c>
      <c r="G6" s="8">
        <v>354893</v>
      </c>
      <c r="H6" s="8">
        <v>723964</v>
      </c>
      <c r="I6" s="5" t="s">
        <v>12</v>
      </c>
      <c r="J6" s="13">
        <f>SUM(C7:H7)</f>
        <v>968032</v>
      </c>
    </row>
    <row r="7" customHeight="1" spans="2:8">
      <c r="B7" s="7" t="s">
        <v>13</v>
      </c>
      <c r="C7" s="8">
        <f t="shared" ref="C7:H7" si="0">C5-C6</f>
        <v>91121</v>
      </c>
      <c r="D7" s="8">
        <f t="shared" si="0"/>
        <v>329980</v>
      </c>
      <c r="E7" s="8">
        <f t="shared" si="0"/>
        <v>-66493</v>
      </c>
      <c r="F7" s="8">
        <f t="shared" si="0"/>
        <v>415757</v>
      </c>
      <c r="G7" s="8">
        <f t="shared" si="0"/>
        <v>222972</v>
      </c>
      <c r="H7" s="8">
        <f t="shared" si="0"/>
        <v>-25305</v>
      </c>
    </row>
    <row r="8" s="1" customFormat="1" customHeight="1" spans="1:16">
      <c r="A8" s="9"/>
      <c r="B8" s="10" t="s">
        <v>14</v>
      </c>
      <c r="C8" s="10">
        <f t="shared" ref="C8:H8" si="1">(C5-C6)/C5</f>
        <v>0.138090785511538</v>
      </c>
      <c r="D8" s="10">
        <f t="shared" si="1"/>
        <v>0.419308150446717</v>
      </c>
      <c r="E8" s="10">
        <f t="shared" si="1"/>
        <v>-0.100765901472398</v>
      </c>
      <c r="F8" s="10">
        <f t="shared" si="1"/>
        <v>0.421817676374144</v>
      </c>
      <c r="G8" s="10">
        <f t="shared" si="1"/>
        <v>0.385854827684667</v>
      </c>
      <c r="H8" s="10">
        <f t="shared" si="1"/>
        <v>-0.0362193859951708</v>
      </c>
      <c r="I8" s="12"/>
      <c r="J8" s="12"/>
      <c r="K8" s="9"/>
      <c r="L8" s="9"/>
      <c r="M8" s="9"/>
      <c r="N8" s="9"/>
      <c r="O8" s="9"/>
      <c r="P8" s="9"/>
    </row>
    <row r="9" s="1" customFormat="1" customHeight="1" spans="1:16">
      <c r="A9" s="9"/>
      <c r="B9" s="10" t="s">
        <v>15</v>
      </c>
      <c r="C9" s="10">
        <f t="shared" ref="C9:H9" si="2">C7/C5</f>
        <v>0.138090785511538</v>
      </c>
      <c r="D9" s="10">
        <f t="shared" si="2"/>
        <v>0.419308150446717</v>
      </c>
      <c r="E9" s="10">
        <f t="shared" si="2"/>
        <v>-0.100765901472398</v>
      </c>
      <c r="F9" s="10">
        <f t="shared" si="2"/>
        <v>0.421817676374144</v>
      </c>
      <c r="G9" s="10">
        <f t="shared" si="2"/>
        <v>0.385854827684667</v>
      </c>
      <c r="H9" s="10">
        <f t="shared" si="2"/>
        <v>-0.0362193859951708</v>
      </c>
      <c r="I9" s="12"/>
      <c r="J9" s="12"/>
      <c r="K9" s="9"/>
      <c r="L9" s="9"/>
      <c r="M9" s="9"/>
      <c r="N9" s="9"/>
      <c r="O9" s="9"/>
      <c r="P9" s="9"/>
    </row>
    <row r="11" s="2" customFormat="1" customHeight="1" spans="2:10">
      <c r="B11" s="11" t="s">
        <v>2</v>
      </c>
      <c r="C11" s="11" t="s">
        <v>3</v>
      </c>
      <c r="D11" s="11" t="s">
        <v>4</v>
      </c>
      <c r="E11" s="11" t="s">
        <v>5</v>
      </c>
      <c r="F11" s="11" t="s">
        <v>6</v>
      </c>
      <c r="G11" s="11" t="s">
        <v>7</v>
      </c>
      <c r="H11" s="11"/>
      <c r="I11" s="14"/>
      <c r="J11" s="14"/>
    </row>
    <row r="12" s="3" customFormat="1" customHeight="1" spans="2:10">
      <c r="B12" s="3">
        <f t="shared" ref="B12:G12" si="3">C5-C6</f>
        <v>91121</v>
      </c>
      <c r="C12" s="3">
        <f t="shared" si="3"/>
        <v>329980</v>
      </c>
      <c r="D12" s="3">
        <f t="shared" si="3"/>
        <v>-66493</v>
      </c>
      <c r="E12" s="3">
        <f t="shared" si="3"/>
        <v>415757</v>
      </c>
      <c r="F12" s="3">
        <f t="shared" si="3"/>
        <v>222972</v>
      </c>
      <c r="G12" s="3">
        <f t="shared" si="3"/>
        <v>-25305</v>
      </c>
      <c r="I12" s="13"/>
      <c r="J12" s="13"/>
    </row>
  </sheetData>
  <mergeCells count="1">
    <mergeCell ref="B2:H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陈东捷</cp:lastModifiedBy>
  <dcterms:created xsi:type="dcterms:W3CDTF">2020-01-09T04:08:00Z</dcterms:created>
  <dcterms:modified xsi:type="dcterms:W3CDTF">2021-05-13T06:15:06Z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9CD9C5ADC29B442A849D26CDC7D1B347</vt:lpwstr>
  </property>
</Properties>
</file>