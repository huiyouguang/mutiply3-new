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<sst xmlns="http://schemas.openxmlformats.org/spreadsheetml/2006/main" count="28" uniqueCount="28">
  <si>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财务报表</t>
  </si>
  <si>
    <t>单位：</t>
  </si>
  <si>
    <t>万元</t>
  </si>
  <si>
    <t>项目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</si>
  <si>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</si>
  <si>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</si>
  <si>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</si>
  <si>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</si>
  <si>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</si>
  <si>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</si>
  <si>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</si>
  <si>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</si>
  <si>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</si>
  <si>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</si>
  <si>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</si>
  <si>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</si>
  <si>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</si>
  <si>
    <t>一、收入</t>
  </si>
  <si>
    <t>销售收入</t>
  </si>
  <si>
    <t>服务收入</t>
  </si>
  <si>
    <t>其他收入</t>
  </si>
  <si>
    <t>二、支出</t>
  </si>
  <si>
    <t>材料费用</t>
  </si>
  <si>
    <t>人工费用</t>
  </si>
  <si>
    <t>管理费用</t>
  </si>
  <si>
    <t>销售费用</t>
  </si>
  <si>
    <t>财务费用</t>
  </si>
  <si>
    <t>三、利润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</si>
</sst>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微软雅黑"/>
      <charset val="134"/>
    </font>
    <font>
      <sz val="8"/>
      <color theme="0"/>
      <name val="微软雅黑"/>
      <charset val="134"/>
    </font>
    <font>
      <sz val="8"/>
      <color theme="1"/>
      <name val="微软雅黑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 tint="-0.05"/>
      </right>
      <top/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/>
      <bottom style="thin">
        <color theme="0" tint="-0.05"/>
      </bottom>
      <diagonal/>
    </border>
    <border>
      <left/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/>
      <diagonal/>
    </border>
    <border>
      <left/>
      <right style="thin">
        <color theme="4" tint="0.4"/>
      </right>
      <top/>
      <bottom style="thin">
        <color theme="4" tint="0.4"/>
      </bottom>
      <diagonal/>
    </border>
    <border>
      <left style="thin">
        <color theme="4" tint="0.4"/>
      </left>
      <right style="thin">
        <color theme="4" tint="0.4"/>
      </right>
      <top/>
      <bottom style="thin">
        <color theme="4" tint="0.4"/>
      </bottom>
      <diagonal/>
    </border>
    <border>
      <left/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0" tint="-0.05"/>
      </left>
      <right/>
      <top/>
      <bottom style="thin">
        <color theme="0" tint="-0.05"/>
      </bottom>
      <diagonal/>
    </border>
    <border>
      <left style="thin">
        <color theme="4" tint="0.4"/>
      </left>
      <right/>
      <top/>
      <bottom style="thin">
        <color theme="4" tint="0.4"/>
      </bottom>
      <diagonal/>
    </border>
    <border>
      <left style="thin">
        <color theme="4" tint="0.4"/>
      </left>
      <right/>
      <top style="thin">
        <color theme="4" tint="0.4"/>
      </top>
      <bottom style="thin">
        <color theme="4" tint="0.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0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9" borderId="15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5" fillId="13" borderId="17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76" fontId="7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76" fontId="7" fillId="0" borderId="8" xfId="0" applyNumberFormat="1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72172754255255"/>
          <c:y val="0.232956282482421"/>
          <c:w val="0.928245199588103"/>
          <c:h val="0.560684805869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"收入"</c:f>
              <c:strCache>
                <c:ptCount val="1"/>
                <c:pt idx="0">
                  <c:v>收入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Sheet1!$C$3:$N$3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Sheet1!$C$4:$N$4</c:f>
              <c:numCache>
                <c:formatCode>"￥"#,##0.00_);[Red]\("￥"#,##0.00\)</c:formatCode>
                <c:ptCount val="12"/>
                <c:pt idx="0">
                  <c:v>86</c:v>
                </c:pt>
                <c:pt idx="1">
                  <c:v>117</c:v>
                </c:pt>
                <c:pt idx="2">
                  <c:v>132</c:v>
                </c:pt>
                <c:pt idx="3">
                  <c:v>136</c:v>
                </c:pt>
                <c:pt idx="4">
                  <c:v>102</c:v>
                </c:pt>
                <c:pt idx="5">
                  <c:v>130</c:v>
                </c:pt>
                <c:pt idx="6">
                  <c:v>124</c:v>
                </c:pt>
                <c:pt idx="7">
                  <c:v>121</c:v>
                </c:pt>
                <c:pt idx="8">
                  <c:v>100</c:v>
                </c:pt>
                <c:pt idx="9">
                  <c:v>141</c:v>
                </c:pt>
                <c:pt idx="10">
                  <c:v>96</c:v>
                </c:pt>
                <c:pt idx="11">
                  <c:v>139</c:v>
                </c:pt>
              </c:numCache>
            </c:numRef>
          </c:val>
        </c:ser>
        <c:ser>
          <c:idx val="1"/>
          <c:order val="1"/>
          <c:tx>
            <c:strRef>
              <c:f>"支出"</c:f>
              <c:strCache>
                <c:ptCount val="1"/>
                <c:pt idx="0">
                  <c:v>支出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Sheet1!$C$3:$N$3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Sheet1!$C$8:$N$8</c:f>
              <c:numCache>
                <c:formatCode>"￥"#,##0.00_);[Red]\("￥"#,##0.00\)</c:formatCode>
                <c:ptCount val="12"/>
                <c:pt idx="0">
                  <c:v>76</c:v>
                </c:pt>
                <c:pt idx="1">
                  <c:v>100</c:v>
                </c:pt>
                <c:pt idx="2">
                  <c:v>102</c:v>
                </c:pt>
                <c:pt idx="3">
                  <c:v>99</c:v>
                </c:pt>
                <c:pt idx="4">
                  <c:v>79</c:v>
                </c:pt>
                <c:pt idx="5">
                  <c:v>66</c:v>
                </c:pt>
                <c:pt idx="6">
                  <c:v>64</c:v>
                </c:pt>
                <c:pt idx="7">
                  <c:v>64</c:v>
                </c:pt>
                <c:pt idx="8">
                  <c:v>78</c:v>
                </c:pt>
                <c:pt idx="9">
                  <c:v>104</c:v>
                </c:pt>
                <c:pt idx="10">
                  <c:v>102</c:v>
                </c:pt>
                <c:pt idx="11">
                  <c:v>84</c:v>
                </c:pt>
              </c:numCache>
            </c:numRef>
          </c:val>
        </c:ser>
        <c:ser>
          <c:idx val="2"/>
          <c:order val="2"/>
          <c:tx>
            <c:strRef>
              <c:f>"利润"</c:f>
              <c:strCache>
                <c:ptCount val="1"/>
                <c:pt idx="0">
                  <c:v>利润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Sheet1!$C$3:$N$3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Sheet1!$C$14:$N$14</c:f>
              <c:numCache>
                <c:formatCode>"￥"#,##0.00_);[Red]\("￥"#,##0.00\)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30</c:v>
                </c:pt>
                <c:pt idx="3">
                  <c:v>37</c:v>
                </c:pt>
                <c:pt idx="4">
                  <c:v>23</c:v>
                </c:pt>
                <c:pt idx="5">
                  <c:v>64</c:v>
                </c:pt>
                <c:pt idx="6">
                  <c:v>60</c:v>
                </c:pt>
                <c:pt idx="7">
                  <c:v>57</c:v>
                </c:pt>
                <c:pt idx="8">
                  <c:v>22</c:v>
                </c:pt>
                <c:pt idx="9">
                  <c:v>37</c:v>
                </c:pt>
                <c:pt idx="10">
                  <c:v>-6</c:v>
                </c:pt>
                <c:pt idx="11">
                  <c:v>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0"/>
        <c:overlap val="-21"/>
        <c:axId val="800044767"/>
        <c:axId val="152621354"/>
      </c:barChart>
      <c:catAx>
        <c:axId val="800044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52621354"/>
        <c:crosses val="autoZero"/>
        <c:auto val="1"/>
        <c:lblAlgn val="ctr"/>
        <c:lblOffset val="100"/>
        <c:noMultiLvlLbl val="0"/>
      </c:catAx>
      <c:valAx>
        <c:axId val="152621354"/>
        <c:scaling>
          <c:orientation val="minMax"/>
        </c:scaling>
        <c:delete val="0"/>
        <c:axPos val="l"/>
        <c:numFmt formatCode="&quot;￥&quot;#,##0.00_);[Red]\(&quot;￥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0004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13335</xdr:colOff>
      <xdr:row>14</xdr:row>
      <xdr:rowOff>69850</xdr:rowOff>
    </xdr:from>
    <xdr:to>
      <xdr:col>14</xdr:col>
      <xdr:colOff>850265</xdr:colOff>
      <xdr:row>24</xdr:row>
      <xdr:rowOff>82550</xdr:rowOff>
    </xdr:to>
    <xdr:graphicFrame>
      <xdr:nvGraphicFramePr>
        <xdr:cNvPr id="2" name="图表 1"/>
        <xdr:cNvGraphicFramePr/>
      </xdr:nvGraphicFramePr>
      <xdr:xfrm>
        <a:off x="203835" y="3333750"/>
        <a:ext cx="10622280" cy="210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4"/>
  <sheetViews>
    <sheetView showGridLines="0" tabSelected="1" zoomScale="90" zoomScaleNormal="90" workbookViewId="0">
      <selection activeCell="T14" sqref="T14"/>
    </sheetView>
  </sheetViews>
  <sheetFormatPr defaultColWidth="9" defaultRowHeight="16.5"/>
  <cols>
    <col min="1" max="1" width="2.5" style="2" customWidth="1"/>
    <col min="2" max="2" width="11.25" style="2" customWidth="1"/>
    <col min="3" max="3" width="9" style="3"/>
    <col min="4" max="14" width="9.83333333333333" style="3"/>
    <col min="15" max="15" width="11.5" style="3"/>
    <col min="16" max="16384" width="9" style="2"/>
  </cols>
  <sheetData>
    <row r="1" ht="42" customHeight="1" spans="2:15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1" customFormat="1" ht="17" customHeight="1" spans="2: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 t="s">
        <v>1</v>
      </c>
      <c r="O2" s="5" t="s">
        <v>2</v>
      </c>
    </row>
    <row r="3" spans="2:15"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15" t="s">
        <v>16</v>
      </c>
    </row>
    <row r="4" spans="2:15">
      <c r="B4" s="8" t="s">
        <v>17</v>
      </c>
      <c r="C4" s="9">
        <f>SUM(C5:C7)</f>
        <v>86</v>
      </c>
      <c r="D4" s="9">
        <f t="shared" ref="D4:O4" si="0">SUM(D5:D7)</f>
        <v>117</v>
      </c>
      <c r="E4" s="9">
        <f t="shared" si="0"/>
        <v>132</v>
      </c>
      <c r="F4" s="9">
        <f t="shared" si="0"/>
        <v>136</v>
      </c>
      <c r="G4" s="9">
        <f t="shared" si="0"/>
        <v>102</v>
      </c>
      <c r="H4" s="9">
        <f t="shared" si="0"/>
        <v>130</v>
      </c>
      <c r="I4" s="9">
        <f t="shared" si="0"/>
        <v>124</v>
      </c>
      <c r="J4" s="9">
        <f t="shared" si="0"/>
        <v>121</v>
      </c>
      <c r="K4" s="9">
        <f t="shared" si="0"/>
        <v>100</v>
      </c>
      <c r="L4" s="9">
        <f t="shared" si="0"/>
        <v>141</v>
      </c>
      <c r="M4" s="9">
        <f t="shared" si="0"/>
        <v>96</v>
      </c>
      <c r="N4" s="9">
        <f t="shared" si="0"/>
        <v>139</v>
      </c>
      <c r="O4" s="9">
        <f t="shared" si="0"/>
        <v>1424</v>
      </c>
    </row>
    <row r="5" spans="2:15">
      <c r="B5" s="10" t="s">
        <v>18</v>
      </c>
      <c r="C5" s="11">
        <v>39</v>
      </c>
      <c r="D5" s="11">
        <v>18</v>
      </c>
      <c r="E5" s="11">
        <v>24</v>
      </c>
      <c r="F5" s="11">
        <v>30</v>
      </c>
      <c r="G5" s="11">
        <v>39</v>
      </c>
      <c r="H5" s="11">
        <v>29</v>
      </c>
      <c r="I5" s="11">
        <v>31</v>
      </c>
      <c r="J5" s="11">
        <v>36</v>
      </c>
      <c r="K5" s="11">
        <v>45</v>
      </c>
      <c r="L5" s="11">
        <v>31</v>
      </c>
      <c r="M5" s="11">
        <v>22</v>
      </c>
      <c r="N5" s="11">
        <v>54</v>
      </c>
      <c r="O5" s="16">
        <f t="shared" ref="O5:O13" si="1">SUM(C5:N5)</f>
        <v>398</v>
      </c>
    </row>
    <row r="6" spans="2:15">
      <c r="B6" s="12" t="s">
        <v>19</v>
      </c>
      <c r="C6" s="13">
        <v>29</v>
      </c>
      <c r="D6" s="13">
        <v>45</v>
      </c>
      <c r="E6" s="11">
        <v>60</v>
      </c>
      <c r="F6" s="11">
        <v>56</v>
      </c>
      <c r="G6" s="11">
        <v>25</v>
      </c>
      <c r="H6" s="11">
        <v>53</v>
      </c>
      <c r="I6" s="11">
        <v>40</v>
      </c>
      <c r="J6" s="11">
        <v>59</v>
      </c>
      <c r="K6" s="11">
        <v>23</v>
      </c>
      <c r="L6" s="11">
        <v>60</v>
      </c>
      <c r="M6" s="11">
        <v>31</v>
      </c>
      <c r="N6" s="11">
        <v>39</v>
      </c>
      <c r="O6" s="17">
        <f t="shared" si="1"/>
        <v>520</v>
      </c>
    </row>
    <row r="7" spans="2:15">
      <c r="B7" s="12" t="s">
        <v>20</v>
      </c>
      <c r="C7" s="13">
        <v>18</v>
      </c>
      <c r="D7" s="13">
        <v>54</v>
      </c>
      <c r="E7" s="11">
        <v>48</v>
      </c>
      <c r="F7" s="11">
        <v>50</v>
      </c>
      <c r="G7" s="11">
        <v>38</v>
      </c>
      <c r="H7" s="11">
        <v>48</v>
      </c>
      <c r="I7" s="11">
        <v>53</v>
      </c>
      <c r="J7" s="11">
        <v>26</v>
      </c>
      <c r="K7" s="11">
        <v>32</v>
      </c>
      <c r="L7" s="11">
        <v>50</v>
      </c>
      <c r="M7" s="11">
        <v>43</v>
      </c>
      <c r="N7" s="11">
        <v>46</v>
      </c>
      <c r="O7" s="17">
        <f t="shared" si="1"/>
        <v>506</v>
      </c>
    </row>
    <row r="8" spans="2:15">
      <c r="B8" s="6" t="s">
        <v>21</v>
      </c>
      <c r="C8" s="14">
        <f>SUM(C9:C13)</f>
        <v>76</v>
      </c>
      <c r="D8" s="14">
        <f t="shared" ref="D8:O8" si="2">SUM(D9:D13)</f>
        <v>100</v>
      </c>
      <c r="E8" s="14">
        <f t="shared" si="2"/>
        <v>102</v>
      </c>
      <c r="F8" s="14">
        <f t="shared" si="2"/>
        <v>99</v>
      </c>
      <c r="G8" s="14">
        <f t="shared" si="2"/>
        <v>79</v>
      </c>
      <c r="H8" s="14">
        <f t="shared" si="2"/>
        <v>66</v>
      </c>
      <c r="I8" s="14">
        <f t="shared" si="2"/>
        <v>64</v>
      </c>
      <c r="J8" s="14">
        <f t="shared" si="2"/>
        <v>64</v>
      </c>
      <c r="K8" s="14">
        <f t="shared" si="2"/>
        <v>78</v>
      </c>
      <c r="L8" s="14">
        <f t="shared" si="2"/>
        <v>104</v>
      </c>
      <c r="M8" s="14">
        <f t="shared" si="2"/>
        <v>102</v>
      </c>
      <c r="N8" s="14">
        <f t="shared" si="2"/>
        <v>84</v>
      </c>
      <c r="O8" s="14">
        <f t="shared" si="1"/>
        <v>1018</v>
      </c>
    </row>
    <row r="9" spans="2:15">
      <c r="B9" s="10" t="s">
        <v>22</v>
      </c>
      <c r="C9" s="11">
        <v>12</v>
      </c>
      <c r="D9" s="11">
        <v>11</v>
      </c>
      <c r="E9" s="11">
        <v>8</v>
      </c>
      <c r="F9" s="11">
        <v>20</v>
      </c>
      <c r="G9" s="11">
        <v>11</v>
      </c>
      <c r="H9" s="11">
        <v>23</v>
      </c>
      <c r="I9" s="11">
        <v>10</v>
      </c>
      <c r="J9" s="11">
        <v>10</v>
      </c>
      <c r="K9" s="11">
        <v>15</v>
      </c>
      <c r="L9" s="11">
        <v>15</v>
      </c>
      <c r="M9" s="11">
        <v>27</v>
      </c>
      <c r="N9" s="11">
        <v>23</v>
      </c>
      <c r="O9" s="16">
        <f t="shared" si="1"/>
        <v>185</v>
      </c>
    </row>
    <row r="10" spans="2:15">
      <c r="B10" s="12" t="s">
        <v>23</v>
      </c>
      <c r="C10" s="11">
        <v>23</v>
      </c>
      <c r="D10" s="11">
        <v>30</v>
      </c>
      <c r="E10" s="11">
        <v>30</v>
      </c>
      <c r="F10" s="11">
        <v>30</v>
      </c>
      <c r="G10" s="11">
        <v>17</v>
      </c>
      <c r="H10" s="11">
        <v>9</v>
      </c>
      <c r="I10" s="11">
        <v>9</v>
      </c>
      <c r="J10" s="11">
        <v>30</v>
      </c>
      <c r="K10" s="11">
        <v>22</v>
      </c>
      <c r="L10" s="11">
        <v>26</v>
      </c>
      <c r="M10" s="11">
        <v>25</v>
      </c>
      <c r="N10" s="11">
        <v>14</v>
      </c>
      <c r="O10" s="17">
        <f t="shared" si="1"/>
        <v>265</v>
      </c>
    </row>
    <row r="11" spans="2:15">
      <c r="B11" s="12" t="s">
        <v>24</v>
      </c>
      <c r="C11" s="11">
        <v>5</v>
      </c>
      <c r="D11" s="11">
        <v>13</v>
      </c>
      <c r="E11" s="11">
        <v>18</v>
      </c>
      <c r="F11" s="11">
        <v>8</v>
      </c>
      <c r="G11" s="11">
        <v>24</v>
      </c>
      <c r="H11" s="11">
        <v>9</v>
      </c>
      <c r="I11" s="11">
        <v>16</v>
      </c>
      <c r="J11" s="11">
        <v>12</v>
      </c>
      <c r="K11" s="11">
        <v>5</v>
      </c>
      <c r="L11" s="11">
        <v>26</v>
      </c>
      <c r="M11" s="11">
        <v>30</v>
      </c>
      <c r="N11" s="11">
        <v>13</v>
      </c>
      <c r="O11" s="17">
        <f t="shared" si="1"/>
        <v>179</v>
      </c>
    </row>
    <row r="12" spans="2:15">
      <c r="B12" s="12" t="s">
        <v>25</v>
      </c>
      <c r="C12" s="11">
        <v>22</v>
      </c>
      <c r="D12" s="11">
        <v>19</v>
      </c>
      <c r="E12" s="11">
        <v>22</v>
      </c>
      <c r="F12" s="11">
        <v>20</v>
      </c>
      <c r="G12" s="11">
        <v>19</v>
      </c>
      <c r="H12" s="11">
        <v>12</v>
      </c>
      <c r="I12" s="11">
        <v>15</v>
      </c>
      <c r="J12" s="11">
        <v>6</v>
      </c>
      <c r="K12" s="11">
        <v>25</v>
      </c>
      <c r="L12" s="11">
        <v>28</v>
      </c>
      <c r="M12" s="11">
        <v>8</v>
      </c>
      <c r="N12" s="11">
        <v>7</v>
      </c>
      <c r="O12" s="17">
        <f t="shared" si="1"/>
        <v>203</v>
      </c>
    </row>
    <row r="13" spans="2:15">
      <c r="B13" s="12" t="s">
        <v>26</v>
      </c>
      <c r="C13" s="11">
        <v>14</v>
      </c>
      <c r="D13" s="11">
        <v>27</v>
      </c>
      <c r="E13" s="11">
        <v>24</v>
      </c>
      <c r="F13" s="11">
        <v>21</v>
      </c>
      <c r="G13" s="11">
        <v>8</v>
      </c>
      <c r="H13" s="11">
        <v>13</v>
      </c>
      <c r="I13" s="11">
        <v>14</v>
      </c>
      <c r="J13" s="11">
        <v>6</v>
      </c>
      <c r="K13" s="11">
        <v>11</v>
      </c>
      <c r="L13" s="11">
        <v>9</v>
      </c>
      <c r="M13" s="11">
        <v>12</v>
      </c>
      <c r="N13" s="11">
        <v>27</v>
      </c>
      <c r="O13" s="17">
        <f t="shared" si="1"/>
        <v>186</v>
      </c>
    </row>
    <row r="14" spans="2:15">
      <c r="B14" s="6" t="s">
        <v>27</v>
      </c>
      <c r="C14" s="14">
        <f>C4-C8</f>
        <v>10</v>
      </c>
      <c r="D14" s="14">
        <f t="shared" ref="D14:O14" si="3">D4-D8</f>
        <v>17</v>
      </c>
      <c r="E14" s="14">
        <f t="shared" si="3"/>
        <v>30</v>
      </c>
      <c r="F14" s="14">
        <f t="shared" si="3"/>
        <v>37</v>
      </c>
      <c r="G14" s="14">
        <f t="shared" si="3"/>
        <v>23</v>
      </c>
      <c r="H14" s="14">
        <f t="shared" si="3"/>
        <v>64</v>
      </c>
      <c r="I14" s="14">
        <f t="shared" si="3"/>
        <v>60</v>
      </c>
      <c r="J14" s="14">
        <f t="shared" si="3"/>
        <v>57</v>
      </c>
      <c r="K14" s="14">
        <f t="shared" si="3"/>
        <v>22</v>
      </c>
      <c r="L14" s="14">
        <f t="shared" si="3"/>
        <v>37</v>
      </c>
      <c r="M14" s="14">
        <f t="shared" si="3"/>
        <v>-6</v>
      </c>
      <c r="N14" s="14">
        <f t="shared" si="3"/>
        <v>55</v>
      </c>
      <c r="O14" s="14">
        <f t="shared" si="3"/>
        <v>406</v>
      </c>
    </row>
  </sheetData>
  <mergeCells count="1">
    <mergeCell ref="B1:O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86150</dc:creator>
  <cp:lastModifiedBy>陈东捷</cp:lastModifiedBy>
  <dcterms:created xsi:type="dcterms:W3CDTF">2015-06-05T18:17:00Z</dcterms:created>
  <dcterms:modified xsi:type="dcterms:W3CDTF">2021-05-13T06:15:21Z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CAB6240FAB0A40FC95E91943454BFCF3</vt:lpwstr>
  </property>
</Properties>
</file>