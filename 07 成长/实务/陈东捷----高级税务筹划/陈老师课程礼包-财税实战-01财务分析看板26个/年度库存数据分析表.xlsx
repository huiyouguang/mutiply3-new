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库存分析" sheetId="6" r:id="rId1"/>
  </sheets>
  <definedNames>
    <definedName name="数量" comment="销售分析">OFFSET(#REF!,2*#REF!-1,,)</definedName>
    <definedName name="收入" comment="销售分析">OFFSET(#REF!,2*#REF!,,)</definedName>
    <definedName name="月度" comment="销售分析">OFFSET(#REF!,,#REF!)</definedName>
    <definedName name="月度名称" comment="销售分析">OFFSET(#REF!,,#REF!)</definedName>
    <definedName name="产品名称" comment="销售分析">OFFSET(#REF!,2*#REF!,,)</definedName>
    <definedName name="生产产品数量" comment="生产分析">OFFSET(#REF!,#REF!,,)</definedName>
    <definedName name="生产月度" comment="生产分析">OFFSET(#REF!,,#REF!)</definedName>
  </definedNames>
  <calcPr calcId="144525"/>
</workbook>
</file>

<file path=xl/sharedStrings.xml><?xml version="1.0" encoding="utf-8"?>
<sst xmlns="http://schemas.openxmlformats.org/spreadsheetml/2006/main" count="21" uniqueCount="21">
  <si>
    <t>库存数据分析表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</si>
  <si>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</si>
  <si>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</si>
  <si>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</si>
  <si>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</si>
  <si>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</si>
  <si>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</si>
  <si>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</si>
  <si>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</si>
  <si>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</si>
  <si>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</si>
  <si>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</si>
  <si>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</si>
  <si>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平均值</t>
  </si>
  <si>
    <t>最高库存</t>
  </si>
  <si>
    <t>最低库存</t>
  </si>
  <si>
    <t>期初库存</t>
  </si>
  <si>
    <t>购进</t>
  </si>
  <si>
    <t>发出</t>
  </si>
  <si>
    <t>期末库存</t>
  </si>
  <si>
    <t>库存周转率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</si>
</sst>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6"/>
      <color theme="0"/>
      <name val="微软雅黑"/>
      <charset val="134"/>
    </font>
    <font>
      <b/>
      <sz val="12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A6B9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3" borderId="10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0" borderId="0"/>
    <xf numFmtId="0" fontId="17" fillId="0" borderId="8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3" fillId="0" borderId="0"/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0" fontId="1" fillId="4" borderId="3" xfId="0" applyNumberFormat="1" applyFon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4" borderId="3" xfId="0" applyNumberFormat="1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常规_Sheet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colors>
    <mruColors>
      <color rgb="00B5655E"/>
      <color rgb="0039998D"/>
      <color rgb="00DEA66B"/>
      <color rgb="00308E98"/>
      <color rgb="009D4B51"/>
      <color rgb="004A6B9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altLang="en-US">
                <a:solidFill>
                  <a:sysClr val="windowText" lastClr="000000"/>
                </a:solidFill>
              </a:rPr>
              <a:t>月度库存分析</a:t>
            </a:r>
            <a:endParaRPr alt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库存分析!$B$5</c:f>
              <c:strCache>
                <c:ptCount val="1"/>
                <c:pt idx="0">
                  <c:v>期初库存</c:v>
                </c:pt>
              </c:strCache>
            </c:strRef>
          </c:tx>
          <c:spPr>
            <a:solidFill>
              <a:srgbClr val="4A6B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库存分析!$C$4:$N$4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库存分析!$C$5:$N$5</c:f>
              <c:numCache>
                <c:formatCode>General</c:formatCode>
                <c:ptCount val="12"/>
                <c:pt idx="0">
                  <c:v>196</c:v>
                </c:pt>
                <c:pt idx="1">
                  <c:v>206</c:v>
                </c:pt>
                <c:pt idx="2">
                  <c:v>197</c:v>
                </c:pt>
                <c:pt idx="3">
                  <c:v>235</c:v>
                </c:pt>
                <c:pt idx="4">
                  <c:v>186</c:v>
                </c:pt>
                <c:pt idx="5">
                  <c:v>171</c:v>
                </c:pt>
                <c:pt idx="6">
                  <c:v>168</c:v>
                </c:pt>
                <c:pt idx="7">
                  <c:v>158</c:v>
                </c:pt>
                <c:pt idx="8">
                  <c:v>141</c:v>
                </c:pt>
                <c:pt idx="9">
                  <c:v>156</c:v>
                </c:pt>
                <c:pt idx="10">
                  <c:v>163</c:v>
                </c:pt>
                <c:pt idx="11">
                  <c:v>165</c:v>
                </c:pt>
              </c:numCache>
            </c:numRef>
          </c:val>
        </c:ser>
        <c:ser>
          <c:idx val="1"/>
          <c:order val="1"/>
          <c:tx>
            <c:strRef>
              <c:f>库存分析!$B$6</c:f>
              <c:strCache>
                <c:ptCount val="1"/>
                <c:pt idx="0">
                  <c:v>购进</c:v>
                </c:pt>
              </c:strCache>
            </c:strRef>
          </c:tx>
          <c:spPr>
            <a:solidFill>
              <a:srgbClr val="308E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库存分析!$C$4:$N$4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库存分析!$C$6:$N$6</c:f>
              <c:numCache>
                <c:formatCode>General</c:formatCode>
                <c:ptCount val="12"/>
                <c:pt idx="0">
                  <c:v>28</c:v>
                </c:pt>
                <c:pt idx="1">
                  <c:v>14</c:v>
                </c:pt>
                <c:pt idx="2">
                  <c:v>50</c:v>
                </c:pt>
                <c:pt idx="3">
                  <c:v>21</c:v>
                </c:pt>
                <c:pt idx="4">
                  <c:v>12</c:v>
                </c:pt>
                <c:pt idx="5">
                  <c:v>23</c:v>
                </c:pt>
                <c:pt idx="6">
                  <c:v>50</c:v>
                </c:pt>
                <c:pt idx="7">
                  <c:v>28</c:v>
                </c:pt>
                <c:pt idx="8">
                  <c:v>35</c:v>
                </c:pt>
                <c:pt idx="9">
                  <c:v>35</c:v>
                </c:pt>
                <c:pt idx="10">
                  <c:v>16</c:v>
                </c:pt>
                <c:pt idx="11">
                  <c:v>14</c:v>
                </c:pt>
              </c:numCache>
            </c:numRef>
          </c:val>
        </c:ser>
        <c:ser>
          <c:idx val="2"/>
          <c:order val="2"/>
          <c:tx>
            <c:strRef>
              <c:f>库存分析!$B$7</c:f>
              <c:strCache>
                <c:ptCount val="1"/>
                <c:pt idx="0">
                  <c:v>发出</c:v>
                </c:pt>
              </c:strCache>
            </c:strRef>
          </c:tx>
          <c:spPr>
            <a:solidFill>
              <a:srgbClr val="9D4B5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库存分析!$C$4:$N$4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库存分析!$C$7:$N$7</c:f>
              <c:numCache>
                <c:formatCode>General</c:formatCode>
                <c:ptCount val="12"/>
                <c:pt idx="0">
                  <c:v>18</c:v>
                </c:pt>
                <c:pt idx="1">
                  <c:v>23</c:v>
                </c:pt>
                <c:pt idx="2">
                  <c:v>12</c:v>
                </c:pt>
                <c:pt idx="3">
                  <c:v>70</c:v>
                </c:pt>
                <c:pt idx="4">
                  <c:v>27</c:v>
                </c:pt>
                <c:pt idx="5">
                  <c:v>26</c:v>
                </c:pt>
                <c:pt idx="6">
                  <c:v>60</c:v>
                </c:pt>
                <c:pt idx="7">
                  <c:v>45</c:v>
                </c:pt>
                <c:pt idx="8">
                  <c:v>20</c:v>
                </c:pt>
                <c:pt idx="9">
                  <c:v>28</c:v>
                </c:pt>
                <c:pt idx="10">
                  <c:v>14</c:v>
                </c:pt>
                <c:pt idx="11">
                  <c:v>50</c:v>
                </c:pt>
              </c:numCache>
            </c:numRef>
          </c:val>
        </c:ser>
        <c:ser>
          <c:idx val="3"/>
          <c:order val="3"/>
          <c:tx>
            <c:strRef>
              <c:f>库存分析!$B$8</c:f>
              <c:strCache>
                <c:ptCount val="1"/>
                <c:pt idx="0">
                  <c:v>期末库存</c:v>
                </c:pt>
              </c:strCache>
            </c:strRef>
          </c:tx>
          <c:spPr>
            <a:solidFill>
              <a:srgbClr val="DEA66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库存分析!$C$4:$N$4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库存分析!$C$8:$N$8</c:f>
              <c:numCache>
                <c:formatCode>General</c:formatCode>
                <c:ptCount val="12"/>
                <c:pt idx="0">
                  <c:v>206</c:v>
                </c:pt>
                <c:pt idx="1">
                  <c:v>197</c:v>
                </c:pt>
                <c:pt idx="2">
                  <c:v>235</c:v>
                </c:pt>
                <c:pt idx="3">
                  <c:v>186</c:v>
                </c:pt>
                <c:pt idx="4">
                  <c:v>171</c:v>
                </c:pt>
                <c:pt idx="5">
                  <c:v>168</c:v>
                </c:pt>
                <c:pt idx="6">
                  <c:v>158</c:v>
                </c:pt>
                <c:pt idx="7">
                  <c:v>141</c:v>
                </c:pt>
                <c:pt idx="8">
                  <c:v>156</c:v>
                </c:pt>
                <c:pt idx="9">
                  <c:v>163</c:v>
                </c:pt>
                <c:pt idx="10">
                  <c:v>165</c:v>
                </c:pt>
                <c:pt idx="11">
                  <c:v>129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522472441"/>
        <c:axId val="684412711"/>
      </c:barChart>
      <c:scatterChart>
        <c:scatterStyle val="marker"/>
        <c:varyColors val="0"/>
        <c:ser>
          <c:idx val="4"/>
          <c:order val="4"/>
          <c:tx>
            <c:strRef>
              <c:f>库存分析!$P$4</c:f>
              <c:strCache>
                <c:ptCount val="1"/>
                <c:pt idx="0">
                  <c:v>最高库存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B5655E"/>
              </a:solidFill>
              <a:ln w="9525">
                <a:noFill/>
              </a:ln>
              <a:effectLst/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plus"/>
            <c:errValType val="fixedVal"/>
            <c:noEndCap val="1"/>
            <c:val val="11"/>
            <c:spPr>
              <a:noFill/>
              <a:ln w="19050" cap="flat" cmpd="sng" algn="ctr">
                <a:solidFill>
                  <a:srgbClr val="B5655E"/>
                </a:solidFill>
                <a:round/>
              </a:ln>
              <a:effectLst/>
            </c:spPr>
          </c:errBars>
          <c:xVal>
            <c:strRef>
              <c:f>库存分析!$C$4:$N$4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库存分析!$P$5</c:f>
              <c:numCache>
                <c:formatCode>General</c:formatCode>
                <c:ptCount val="1"/>
                <c:pt idx="0">
                  <c:v>200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库存分析!$Q$4</c:f>
              <c:strCache>
                <c:ptCount val="1"/>
                <c:pt idx="0">
                  <c:v>最低库存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9998D"/>
              </a:solidFill>
              <a:ln w="9525">
                <a:noFill/>
              </a:ln>
              <a:effectLst/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plus"/>
            <c:errValType val="fixedVal"/>
            <c:noEndCap val="1"/>
            <c:val val="11"/>
            <c:spPr>
              <a:noFill/>
              <a:ln w="19050" cap="flat" cmpd="sng" algn="ctr">
                <a:solidFill>
                  <a:srgbClr val="39998D"/>
                </a:solidFill>
                <a:round/>
              </a:ln>
              <a:effectLst/>
            </c:spPr>
          </c:errBars>
          <c:xVal>
            <c:strRef>
              <c:f>库存分析!$C$4:$N$4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库存分析!$Q$5</c:f>
              <c:numCache>
                <c:formatCode>General</c:formatCode>
                <c:ptCount val="1"/>
                <c:pt idx="0">
                  <c:v>150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1"/>
          <c:showPercent val="0"/>
          <c:showBubbleSize val="0"/>
        </c:dLbls>
        <c:axId val="522472441"/>
        <c:axId val="684412711"/>
      </c:scatterChart>
      <c:catAx>
        <c:axId val="52247244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412711"/>
        <c:crosses val="autoZero"/>
        <c:auto val="1"/>
        <c:lblAlgn val="ctr"/>
        <c:lblOffset val="100"/>
        <c:noMultiLvlLbl val="0"/>
      </c:catAx>
      <c:valAx>
        <c:axId val="684412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4724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1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周转率分析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06893010330454"/>
          <c:y val="0.13912037037037"/>
          <c:w val="0.938681809943817"/>
          <c:h val="0.7436111111111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库存分析!$B$9</c:f>
              <c:strCache>
                <c:ptCount val="1"/>
                <c:pt idx="0">
                  <c:v>库存周转率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库存分析!$C$4:$N$4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库存分析!$C$9:$N$9</c:f>
              <c:numCache>
                <c:formatCode>0.00%</c:formatCode>
                <c:ptCount val="12"/>
                <c:pt idx="0">
                  <c:v>0.0895522388059701</c:v>
                </c:pt>
                <c:pt idx="1">
                  <c:v>0.114143920595533</c:v>
                </c:pt>
                <c:pt idx="2">
                  <c:v>0.0555555555555556</c:v>
                </c:pt>
                <c:pt idx="3">
                  <c:v>0.332541567695962</c:v>
                </c:pt>
                <c:pt idx="4">
                  <c:v>0.151260504201681</c:v>
                </c:pt>
                <c:pt idx="5">
                  <c:v>0.153392330383481</c:v>
                </c:pt>
                <c:pt idx="6">
                  <c:v>0.368098159509202</c:v>
                </c:pt>
                <c:pt idx="7">
                  <c:v>0.301003344481605</c:v>
                </c:pt>
                <c:pt idx="8">
                  <c:v>0.134680134680135</c:v>
                </c:pt>
                <c:pt idx="9">
                  <c:v>0.175548589341693</c:v>
                </c:pt>
                <c:pt idx="10">
                  <c:v>0.0853658536585366</c:v>
                </c:pt>
                <c:pt idx="11">
                  <c:v>0.340136054421769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59313710"/>
        <c:axId val="966853684"/>
      </c:barChart>
      <c:scatterChart>
        <c:scatterStyle val="marker"/>
        <c:varyColors val="0"/>
        <c:ser>
          <c:idx val="1"/>
          <c:order val="1"/>
          <c:tx>
            <c:strRef>
              <c:f>库存分析!$O$4</c:f>
              <c:strCache>
                <c:ptCount val="1"/>
                <c:pt idx="0">
                  <c:v>平均值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A6B98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plus"/>
            <c:errValType val="fixedVal"/>
            <c:noEndCap val="1"/>
            <c:val val="11"/>
            <c:spPr>
              <a:noFill/>
              <a:ln w="19050" cap="flat" cmpd="sng" algn="ctr">
                <a:solidFill>
                  <a:srgbClr val="4A6B98"/>
                </a:solidFill>
                <a:round/>
              </a:ln>
              <a:effectLst/>
            </c:spPr>
          </c:errBars>
          <c:xVal>
            <c:strRef>
              <c:f>库存分析!$C$4:$N$4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库存分析!$O$9</c:f>
              <c:numCache>
                <c:formatCode>0.00%</c:formatCode>
                <c:ptCount val="1"/>
                <c:pt idx="0">
                  <c:v>0.191773187777594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9313710"/>
        <c:axId val="966853684"/>
      </c:scatterChart>
      <c:catAx>
        <c:axId val="15931371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6853684"/>
        <c:crosses val="autoZero"/>
        <c:auto val="1"/>
        <c:lblAlgn val="ctr"/>
        <c:lblOffset val="100"/>
        <c:noMultiLvlLbl val="0"/>
      </c:catAx>
      <c:valAx>
        <c:axId val="96685368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3137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2762641213073"/>
          <c:y val="0.0791666666666667"/>
        </c:manualLayout>
      </c:layout>
      <c:overlay val="1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9</xdr:row>
      <xdr:rowOff>23495</xdr:rowOff>
    </xdr:from>
    <xdr:to>
      <xdr:col>17</xdr:col>
      <xdr:colOff>5080</xdr:colOff>
      <xdr:row>25</xdr:row>
      <xdr:rowOff>23495</xdr:rowOff>
    </xdr:to>
    <xdr:graphicFrame>
      <xdr:nvGraphicFramePr>
        <xdr:cNvPr id="7" name="图表 6"/>
        <xdr:cNvGraphicFramePr/>
      </xdr:nvGraphicFramePr>
      <xdr:xfrm>
        <a:off x="133350" y="2249170"/>
        <a:ext cx="129495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25</xdr:row>
      <xdr:rowOff>43815</xdr:rowOff>
    </xdr:from>
    <xdr:to>
      <xdr:col>17</xdr:col>
      <xdr:colOff>5080</xdr:colOff>
      <xdr:row>41</xdr:row>
      <xdr:rowOff>43815</xdr:rowOff>
    </xdr:to>
    <xdr:graphicFrame>
      <xdr:nvGraphicFramePr>
        <xdr:cNvPr id="8" name="图表 7"/>
        <xdr:cNvGraphicFramePr/>
      </xdr:nvGraphicFramePr>
      <xdr:xfrm>
        <a:off x="133350" y="5012690"/>
        <a:ext cx="129495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9"/>
  <sheetViews>
    <sheetView tabSelected="1" zoomScale="85" zoomScaleNormal="85" workbookViewId="0">
      <selection activeCell="U16" sqref="U16"/>
    </sheetView>
  </sheetViews>
  <sheetFormatPr defaultColWidth="9" defaultRowHeight="13.5"/>
  <cols>
    <col min="1" max="1" width="1.625" style="2" customWidth="1"/>
    <col min="2" max="17" width="10.625" style="2" customWidth="1"/>
    <col min="18" max="16384" width="9" style="2"/>
  </cols>
  <sheetData>
    <row r="2" ht="36.75" spans="2:17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5" customHeight="1"/>
    <row r="4" s="1" customFormat="1" ht="20" customHeight="1" spans="2:17">
      <c r="B4" s="4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</row>
    <row r="5" s="1" customFormat="1" ht="20" customHeight="1" spans="2:17">
      <c r="B5" s="5" t="s">
        <v>16</v>
      </c>
      <c r="C5" s="5">
        <v>196</v>
      </c>
      <c r="D5" s="5">
        <f>C8</f>
        <v>206</v>
      </c>
      <c r="E5" s="5">
        <f t="shared" ref="E5:N5" si="0">D8</f>
        <v>197</v>
      </c>
      <c r="F5" s="5">
        <f t="shared" si="0"/>
        <v>235</v>
      </c>
      <c r="G5" s="5">
        <f t="shared" si="0"/>
        <v>186</v>
      </c>
      <c r="H5" s="5">
        <f t="shared" si="0"/>
        <v>171</v>
      </c>
      <c r="I5" s="5">
        <f t="shared" si="0"/>
        <v>168</v>
      </c>
      <c r="J5" s="5">
        <f t="shared" si="0"/>
        <v>158</v>
      </c>
      <c r="K5" s="5">
        <f t="shared" si="0"/>
        <v>141</v>
      </c>
      <c r="L5" s="5">
        <f t="shared" si="0"/>
        <v>156</v>
      </c>
      <c r="M5" s="5">
        <f t="shared" si="0"/>
        <v>163</v>
      </c>
      <c r="N5" s="5">
        <f t="shared" si="0"/>
        <v>165</v>
      </c>
      <c r="O5" s="9">
        <f>AVERAGE(C5:N5)</f>
        <v>178.5</v>
      </c>
      <c r="P5" s="5">
        <v>200</v>
      </c>
      <c r="Q5" s="5">
        <v>150</v>
      </c>
    </row>
    <row r="6" s="1" customFormat="1" ht="20" customHeight="1" spans="2:17">
      <c r="B6" s="6" t="s">
        <v>17</v>
      </c>
      <c r="C6" s="6">
        <v>28</v>
      </c>
      <c r="D6" s="6">
        <v>14</v>
      </c>
      <c r="E6" s="6">
        <v>50</v>
      </c>
      <c r="F6" s="6">
        <v>21</v>
      </c>
      <c r="G6" s="6">
        <v>12</v>
      </c>
      <c r="H6" s="6">
        <v>23</v>
      </c>
      <c r="I6" s="6">
        <v>50</v>
      </c>
      <c r="J6" s="6">
        <v>28</v>
      </c>
      <c r="K6" s="6">
        <v>35</v>
      </c>
      <c r="L6" s="6">
        <v>35</v>
      </c>
      <c r="M6" s="6">
        <v>16</v>
      </c>
      <c r="N6" s="6">
        <v>14</v>
      </c>
      <c r="O6" s="10">
        <f>AVERAGE(C6:N6)</f>
        <v>27.1666666666667</v>
      </c>
      <c r="P6" s="6"/>
      <c r="Q6" s="6"/>
    </row>
    <row r="7" s="1" customFormat="1" ht="20" customHeight="1" spans="2:17">
      <c r="B7" s="7" t="s">
        <v>18</v>
      </c>
      <c r="C7" s="7">
        <v>18</v>
      </c>
      <c r="D7" s="7">
        <v>23</v>
      </c>
      <c r="E7" s="7">
        <v>12</v>
      </c>
      <c r="F7" s="7">
        <v>70</v>
      </c>
      <c r="G7" s="7">
        <v>27</v>
      </c>
      <c r="H7" s="7">
        <v>26</v>
      </c>
      <c r="I7" s="7">
        <v>60</v>
      </c>
      <c r="J7" s="7">
        <v>45</v>
      </c>
      <c r="K7" s="7">
        <v>20</v>
      </c>
      <c r="L7" s="7">
        <v>28</v>
      </c>
      <c r="M7" s="7">
        <v>14</v>
      </c>
      <c r="N7" s="7">
        <v>50</v>
      </c>
      <c r="O7" s="11">
        <f>AVERAGE(C7:N7)</f>
        <v>32.75</v>
      </c>
      <c r="P7" s="7"/>
      <c r="Q7" s="7"/>
    </row>
    <row r="8" s="1" customFormat="1" ht="20" customHeight="1" spans="2:17">
      <c r="B8" s="6" t="s">
        <v>19</v>
      </c>
      <c r="C8" s="6">
        <f>C5+C6-C7</f>
        <v>206</v>
      </c>
      <c r="D8" s="6">
        <f>D5+D6-D7</f>
        <v>197</v>
      </c>
      <c r="E8" s="6">
        <f t="shared" ref="E8:N8" si="1">E5+E6-E7</f>
        <v>235</v>
      </c>
      <c r="F8" s="6">
        <f t="shared" si="1"/>
        <v>186</v>
      </c>
      <c r="G8" s="6">
        <f t="shared" si="1"/>
        <v>171</v>
      </c>
      <c r="H8" s="6">
        <f t="shared" si="1"/>
        <v>168</v>
      </c>
      <c r="I8" s="6">
        <f t="shared" si="1"/>
        <v>158</v>
      </c>
      <c r="J8" s="6">
        <f t="shared" si="1"/>
        <v>141</v>
      </c>
      <c r="K8" s="6">
        <f t="shared" si="1"/>
        <v>156</v>
      </c>
      <c r="L8" s="6">
        <f t="shared" si="1"/>
        <v>163</v>
      </c>
      <c r="M8" s="6">
        <f t="shared" si="1"/>
        <v>165</v>
      </c>
      <c r="N8" s="6">
        <f t="shared" si="1"/>
        <v>129</v>
      </c>
      <c r="O8" s="10">
        <f>AVERAGE(C8:N8)</f>
        <v>172.916666666667</v>
      </c>
      <c r="P8" s="6"/>
      <c r="Q8" s="6"/>
    </row>
    <row r="9" s="1" customFormat="1" ht="20" customHeight="1" spans="2:17">
      <c r="B9" s="7" t="s">
        <v>20</v>
      </c>
      <c r="C9" s="8">
        <f>C7/((C5+C8)/2)</f>
        <v>0.0895522388059701</v>
      </c>
      <c r="D9" s="8">
        <f t="shared" ref="D9:N9" si="2">D7/((D5+D8)/2)</f>
        <v>0.114143920595533</v>
      </c>
      <c r="E9" s="8">
        <f t="shared" si="2"/>
        <v>0.0555555555555556</v>
      </c>
      <c r="F9" s="8">
        <f t="shared" si="2"/>
        <v>0.332541567695962</v>
      </c>
      <c r="G9" s="8">
        <f t="shared" si="2"/>
        <v>0.151260504201681</v>
      </c>
      <c r="H9" s="8">
        <f t="shared" si="2"/>
        <v>0.153392330383481</v>
      </c>
      <c r="I9" s="8">
        <f t="shared" si="2"/>
        <v>0.368098159509202</v>
      </c>
      <c r="J9" s="8">
        <f t="shared" si="2"/>
        <v>0.301003344481605</v>
      </c>
      <c r="K9" s="8">
        <f t="shared" si="2"/>
        <v>0.134680134680135</v>
      </c>
      <c r="L9" s="8">
        <f t="shared" si="2"/>
        <v>0.175548589341693</v>
      </c>
      <c r="M9" s="8">
        <f t="shared" si="2"/>
        <v>0.0853658536585366</v>
      </c>
      <c r="N9" s="8">
        <f t="shared" si="2"/>
        <v>0.340136054421769</v>
      </c>
      <c r="O9" s="8">
        <f>AVERAGE(C9:N9)</f>
        <v>0.191773187777594</v>
      </c>
      <c r="P9" s="7"/>
      <c r="Q9" s="7"/>
    </row>
  </sheetData>
  <mergeCells count="1">
    <mergeCell ref="B2:Q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陈东捷</cp:lastModifiedBy>
  <dcterms:created xsi:type="dcterms:W3CDTF">2019-11-02T02:26:00Z</dcterms:created>
  <dcterms:modified xsi:type="dcterms:W3CDTF">2021-05-13T06:15:47Z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8338B95EB006466E9248E4BFACB17B73</vt:lpwstr>
  </property>
</Properties>
</file>