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<sst xmlns="http://schemas.openxmlformats.org/spreadsheetml/2006/main" count="35" uniqueCount="31">
  <si>
    <t>年度财务数据对比分析表</t>
  </si>
  <si>
    <t>销售额</t>
  </si>
  <si>
    <t>利润值</t>
  </si>
  <si>
    <t>目标销售额</t>
  </si>
  <si>
    <t>完成率</t>
  </si>
  <si>
    <t>增幅</t>
  </si>
  <si>
    <t>Comparative analysis of annual financial data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</si>
  <si>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</si>
  <si>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</si>
  <si>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</si>
  <si>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</si>
  <si>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</si>
  <si>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</si>
  <si>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</si>
  <si>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</si>
  <si>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</si>
  <si>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</si>
  <si>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</si>
  <si>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</si>
  <si>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</si>
  <si>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</si>
  <si>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去年销售额</t>
  </si>
  <si>
    <t>同比增幅</t>
  </si>
  <si>
    <t>时间</t>
  </si>
  <si>
    <t>销量</t>
  </si>
  <si>
    <t>目标值</t>
  </si>
  <si>
    <t>利润</t>
  </si>
  <si>
    <t>一季度</t>
  </si>
  <si>
    <t>二季度</t>
  </si>
  <si>
    <t>三季度</t>
  </si>
  <si>
    <t>四季度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</si>
</sst>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7" formatCode="&quot;￥&quot;#,##0.00;&quot;￥&quot;\-#,##0.00"/>
    <numFmt numFmtId="176" formatCode="0.0%"/>
    <numFmt numFmtId="177" formatCode="0_ "/>
  </numFmts>
  <fonts count="3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22"/>
      <color rgb="FF7BD295"/>
      <name val="微软雅黑"/>
      <charset val="134"/>
    </font>
    <font>
      <sz val="12"/>
      <color theme="0" tint="-0.25"/>
      <name val="微软雅黑"/>
      <charset val="134"/>
    </font>
    <font>
      <sz val="16"/>
      <color rgb="FF7BD295"/>
      <name val="微软雅黑"/>
      <charset val="134"/>
    </font>
    <font>
      <sz val="11"/>
      <color rgb="FF7BD295"/>
      <name val="微软雅黑"/>
      <charset val="134"/>
    </font>
    <font>
      <b/>
      <sz val="11"/>
      <color theme="0"/>
      <name val="等线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6"/>
      <color rgb="FFC00000"/>
      <name val="微软雅黑"/>
      <charset val="134"/>
    </font>
    <font>
      <sz val="16"/>
      <color rgb="FFFEEC47"/>
      <name val="微软雅黑"/>
      <charset val="134"/>
    </font>
    <font>
      <sz val="18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BD295"/>
        <bgColor theme="4"/>
      </patternFill>
    </fill>
    <fill>
      <patternFill patternType="solid">
        <fgColor rgb="FFE1FFEF"/>
        <bgColor indexed="64"/>
      </patternFill>
    </fill>
    <fill>
      <patternFill patternType="solid">
        <fgColor rgb="FFE2F5E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6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27" fillId="21" borderId="4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7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7" fontId="9" fillId="0" borderId="0" xfId="0" applyNumberFormat="1" applyFont="1" applyFill="1" applyAlignment="1">
      <alignment vertical="center"/>
    </xf>
    <xf numFmtId="7" fontId="9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Alignment="1">
      <alignment vertical="center"/>
    </xf>
    <xf numFmtId="176" fontId="10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0"/>
        </patternFill>
      </fill>
    </dxf>
    <dxf>
      <fill>
        <patternFill patternType="solid">
          <bgColor rgb="FFE1FFEF"/>
        </patternFill>
      </fill>
    </dxf>
  </dxfs>
  <tableStyles count="1" defaultTableStyle="TableStyleMedium2" defaultPivotStyle="PivotStyleLight16">
    <tableStyle name="表样式 1" pivot="0" count="2">
      <tableStyleElement type="firstRowStripe" dxfId="1"/>
      <tableStyleElement type="secondRowStripe" dxfId="0"/>
    </tableStyle>
  </tableStyles>
  <colors>
    <mruColors>
      <color rgb="00EAE854"/>
      <color rgb="00FF8E91"/>
      <color rgb="00FF555A"/>
      <color rgb="00AD4F43"/>
      <color rgb="00CDEED6"/>
      <color rgb="00E2F5E7"/>
      <color rgb="007BD295"/>
      <color rgb="00FEEC47"/>
      <color rgb="00B25B50"/>
      <color rgb="00FF78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>
                    <a:lumMod val="85000"/>
                    <a:lumOff val="15000"/>
                  </a:schemeClr>
                </a:solidFill>
              </a:rPr>
              <a:t>销量分析</a:t>
            </a:r>
            <a:endParaRPr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rgbClr val="7BD2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Sheet1!$C$7:$N$7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Sheet1!$C$9:$N$9</c:f>
              <c:numCache>
                <c:formatCode>General</c:formatCode>
                <c:ptCount val="12"/>
                <c:pt idx="0">
                  <c:v>931</c:v>
                </c:pt>
                <c:pt idx="1">
                  <c:v>772</c:v>
                </c:pt>
                <c:pt idx="2">
                  <c:v>506</c:v>
                </c:pt>
                <c:pt idx="3">
                  <c:v>836</c:v>
                </c:pt>
                <c:pt idx="4">
                  <c:v>503</c:v>
                </c:pt>
                <c:pt idx="5">
                  <c:v>645</c:v>
                </c:pt>
                <c:pt idx="6">
                  <c:v>697</c:v>
                </c:pt>
                <c:pt idx="7">
                  <c:v>603</c:v>
                </c:pt>
                <c:pt idx="8">
                  <c:v>860</c:v>
                </c:pt>
                <c:pt idx="9">
                  <c:v>662</c:v>
                </c:pt>
                <c:pt idx="10">
                  <c:v>829</c:v>
                </c:pt>
                <c:pt idx="11">
                  <c:v>870</c:v>
                </c:pt>
              </c:numCache>
            </c:numRef>
          </c:val>
        </c:ser>
        <c:ser>
          <c:idx val="1"/>
          <c:order val="1"/>
          <c:tx>
            <c:strRef>
              <c:f>Sheet1!$B$10</c:f>
              <c:strCache>
                <c:ptCount val="1"/>
                <c:pt idx="0">
                  <c:v>目标销售额</c:v>
                </c:pt>
              </c:strCache>
            </c:strRef>
          </c:tx>
          <c:spPr>
            <a:solidFill>
              <a:srgbClr val="FEEC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Sheet1!$C$7:$N$7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Sheet1!$C$10:$N$10</c:f>
              <c:numCache>
                <c:formatCode>General</c:formatCode>
                <c:ptCount val="12"/>
                <c:pt idx="0">
                  <c:v>800</c:v>
                </c:pt>
                <c:pt idx="1">
                  <c:v>502</c:v>
                </c:pt>
                <c:pt idx="2">
                  <c:v>650</c:v>
                </c:pt>
                <c:pt idx="3">
                  <c:v>553</c:v>
                </c:pt>
                <c:pt idx="4">
                  <c:v>610</c:v>
                </c:pt>
                <c:pt idx="5">
                  <c:v>802</c:v>
                </c:pt>
                <c:pt idx="6">
                  <c:v>859</c:v>
                </c:pt>
                <c:pt idx="7">
                  <c:v>547</c:v>
                </c:pt>
                <c:pt idx="8">
                  <c:v>659</c:v>
                </c:pt>
                <c:pt idx="9">
                  <c:v>702</c:v>
                </c:pt>
                <c:pt idx="10">
                  <c:v>784</c:v>
                </c:pt>
                <c:pt idx="11">
                  <c:v>959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2733791"/>
        <c:axId val="99225802"/>
      </c:barChart>
      <c:scatterChart>
        <c:scatterStyle val="smoothMarker"/>
        <c:varyColors val="0"/>
        <c:ser>
          <c:idx val="2"/>
          <c:order val="2"/>
          <c:tx>
            <c:strRef>
              <c:f>Sheet1!$B$11</c:f>
              <c:strCache>
                <c:ptCount val="1"/>
                <c:pt idx="0">
                  <c:v>完成率</c:v>
                </c:pt>
              </c:strCache>
            </c:strRef>
          </c:tx>
          <c:spPr>
            <a:ln w="9525" cap="rnd">
              <a:solidFill>
                <a:srgbClr val="921505">
                  <a:alpha val="88000"/>
                </a:srgb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5875">
                <a:solidFill>
                  <a:srgbClr val="AB4B3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Sheet1!$C$7:$N$7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Sheet1!$C$11:$N$11</c:f>
              <c:numCache>
                <c:formatCode>0.0%</c:formatCode>
                <c:ptCount val="12"/>
                <c:pt idx="0">
                  <c:v>1.16375</c:v>
                </c:pt>
                <c:pt idx="1">
                  <c:v>1.53784860557769</c:v>
                </c:pt>
                <c:pt idx="2">
                  <c:v>0.778461538461538</c:v>
                </c:pt>
                <c:pt idx="3">
                  <c:v>1.51175406871609</c:v>
                </c:pt>
                <c:pt idx="4">
                  <c:v>0.824590163934426</c:v>
                </c:pt>
                <c:pt idx="5">
                  <c:v>0.804239401496259</c:v>
                </c:pt>
                <c:pt idx="6">
                  <c:v>0.811408614668219</c:v>
                </c:pt>
                <c:pt idx="7">
                  <c:v>1.10237659963437</c:v>
                </c:pt>
                <c:pt idx="8">
                  <c:v>1.30500758725341</c:v>
                </c:pt>
                <c:pt idx="9">
                  <c:v>0.943019943019943</c:v>
                </c:pt>
                <c:pt idx="10">
                  <c:v>1.05739795918367</c:v>
                </c:pt>
                <c:pt idx="11">
                  <c:v>0.907194994786236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0888275"/>
        <c:axId val="999931250"/>
      </c:scatterChart>
      <c:catAx>
        <c:axId val="89273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25802"/>
        <c:crosses val="autoZero"/>
        <c:auto val="1"/>
        <c:lblAlgn val="ctr"/>
        <c:lblOffset val="100"/>
        <c:noMultiLvlLbl val="0"/>
      </c:catAx>
      <c:valAx>
        <c:axId val="992258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733791"/>
        <c:crosses val="autoZero"/>
        <c:crossBetween val="between"/>
      </c:valAx>
      <c:valAx>
        <c:axId val="78088827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931250"/>
        <c:crosses val="autoZero"/>
        <c:crossBetween val="midCat"/>
      </c:valAx>
      <c:valAx>
        <c:axId val="99993125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888275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85000"/>
              <a:lumOff val="15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季度分析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Sheet2!$C$2</c:f>
              <c:strCache>
                <c:ptCount val="1"/>
                <c:pt idx="0">
                  <c:v>销量</c:v>
                </c:pt>
              </c:strCache>
            </c:strRef>
          </c:tx>
          <c:spPr>
            <a:ln w="19050">
              <a:noFill/>
            </a:ln>
            <a:effectLst>
              <a:outerShdw blurRad="50800" dist="101600" dir="8100000" algn="tr" rotWithShape="0">
                <a:prstClr val="black">
                  <a:alpha val="10000"/>
                </a:prstClr>
              </a:outerShdw>
            </a:effectLst>
          </c:spPr>
          <c:explosion val="0"/>
          <c:dPt>
            <c:idx val="0"/>
            <c:bubble3D val="0"/>
            <c:spPr>
              <a:solidFill>
                <a:srgbClr val="FF786A"/>
              </a:solidFill>
              <a:ln w="19050">
                <a:noFill/>
              </a:ln>
              <a:effectLst>
                <a:outerShdw blurRad="50800" dist="101600" dir="8100000" algn="tr" rotWithShape="0">
                  <a:prstClr val="black">
                    <a:alpha val="1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F896A3"/>
              </a:solidFill>
              <a:ln w="19050">
                <a:noFill/>
              </a:ln>
              <a:effectLst>
                <a:outerShdw blurRad="50800" dist="101600" dir="8100000" algn="tr" rotWithShape="0">
                  <a:prstClr val="black">
                    <a:alpha val="1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rgbClr val="FEEC47"/>
              </a:solidFill>
              <a:ln w="19050">
                <a:noFill/>
              </a:ln>
              <a:effectLst>
                <a:outerShdw blurRad="50800" dist="101600" dir="8100000" algn="tr" rotWithShape="0">
                  <a:prstClr val="black">
                    <a:alpha val="1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rgbClr val="7BD295"/>
              </a:solidFill>
              <a:ln w="19050">
                <a:noFill/>
              </a:ln>
              <a:effectLst>
                <a:outerShdw blurRad="50800" dist="101600" dir="8100000" algn="tr" rotWithShape="0">
                  <a:prstClr val="black">
                    <a:alpha val="10000"/>
                  </a:prst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>
                  <c:v>2793</c:v>
                </c:pt>
                <c:pt idx="1">
                  <c:v>2122</c:v>
                </c:pt>
                <c:pt idx="2">
                  <c:v>2693</c:v>
                </c:pt>
                <c:pt idx="3">
                  <c:v>2415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>
          <a:lumMod val="85000"/>
        </a:srgb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季度分析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rgbClr val="7BD2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>
                  <c:v>2793</c:v>
                </c:pt>
                <c:pt idx="1">
                  <c:v>2122</c:v>
                </c:pt>
                <c:pt idx="2">
                  <c:v>2693</c:v>
                </c:pt>
                <c:pt idx="3">
                  <c:v>2415</c:v>
                </c:pt>
              </c:numCache>
            </c:numRef>
          </c:val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目标值</c:v>
                </c:pt>
              </c:strCache>
            </c:strRef>
          </c:tx>
          <c:spPr>
            <a:solidFill>
              <a:srgbClr val="FEEC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Sheet2!$D$3:$D$6</c:f>
              <c:numCache>
                <c:formatCode>General</c:formatCode>
                <c:ptCount val="4"/>
                <c:pt idx="0">
                  <c:v>1952</c:v>
                </c:pt>
                <c:pt idx="1">
                  <c:v>1965</c:v>
                </c:pt>
                <c:pt idx="2">
                  <c:v>2065</c:v>
                </c:pt>
                <c:pt idx="3">
                  <c:v>2445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5345901"/>
        <c:axId val="714566597"/>
      </c:barChart>
      <c:scatterChart>
        <c:scatterStyle val="smoothMarker"/>
        <c:varyColors val="0"/>
        <c:ser>
          <c:idx val="2"/>
          <c:order val="2"/>
          <c:tx>
            <c:strRef>
              <c:f>Sheet2!$E$2</c:f>
              <c:strCache>
                <c:ptCount val="1"/>
                <c:pt idx="0">
                  <c:v>利润</c:v>
                </c:pt>
              </c:strCache>
            </c:strRef>
          </c:tx>
          <c:spPr>
            <a:ln w="12700" cap="rnd">
              <a:solidFill>
                <a:srgbClr val="AD4F43"/>
              </a:solidFill>
              <a:round/>
            </a:ln>
            <a:effectLst/>
          </c:spPr>
          <c:marker>
            <c:symbol val="diamond"/>
            <c:size val="18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xVal>
          <c:yVal>
            <c:numRef>
              <c:f>Sheet2!$E$3:$E$6</c:f>
              <c:numCache>
                <c:formatCode>General</c:formatCode>
                <c:ptCount val="4"/>
                <c:pt idx="0">
                  <c:v>425</c:v>
                </c:pt>
                <c:pt idx="1">
                  <c:v>303</c:v>
                </c:pt>
                <c:pt idx="2">
                  <c:v>518</c:v>
                </c:pt>
                <c:pt idx="3">
                  <c:v>420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340008"/>
        <c:axId val="354205226"/>
      </c:scatterChart>
      <c:catAx>
        <c:axId val="4453459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566597"/>
        <c:crosses val="autoZero"/>
        <c:auto val="1"/>
        <c:lblAlgn val="ctr"/>
        <c:lblOffset val="100"/>
        <c:noMultiLvlLbl val="0"/>
      </c:catAx>
      <c:valAx>
        <c:axId val="7145665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45901"/>
        <c:crosses val="autoZero"/>
        <c:crossBetween val="between"/>
      </c:valAx>
      <c:valAx>
        <c:axId val="192340008"/>
        <c:scaling>
          <c:orientation val="minMax"/>
          <c:min val="0.5"/>
        </c:scaling>
        <c:delete val="1"/>
        <c:axPos val="t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205226"/>
        <c:crosses val="max"/>
        <c:crossBetween val="midCat"/>
      </c:valAx>
      <c:valAx>
        <c:axId val="35420522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34000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月度分析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rgbClr val="7BD2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Sheet1!$C$7:$N$7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Sheet1!$C$9:$N$9</c:f>
              <c:numCache>
                <c:formatCode>General</c:formatCode>
                <c:ptCount val="12"/>
                <c:pt idx="0">
                  <c:v>931</c:v>
                </c:pt>
                <c:pt idx="1">
                  <c:v>772</c:v>
                </c:pt>
                <c:pt idx="2">
                  <c:v>506</c:v>
                </c:pt>
                <c:pt idx="3">
                  <c:v>836</c:v>
                </c:pt>
                <c:pt idx="4">
                  <c:v>503</c:v>
                </c:pt>
                <c:pt idx="5">
                  <c:v>645</c:v>
                </c:pt>
                <c:pt idx="6">
                  <c:v>697</c:v>
                </c:pt>
                <c:pt idx="7">
                  <c:v>603</c:v>
                </c:pt>
                <c:pt idx="8">
                  <c:v>860</c:v>
                </c:pt>
                <c:pt idx="9">
                  <c:v>662</c:v>
                </c:pt>
                <c:pt idx="10">
                  <c:v>829</c:v>
                </c:pt>
                <c:pt idx="11">
                  <c:v>870</c:v>
                </c:pt>
              </c:numCache>
            </c:numRef>
          </c:val>
        </c:ser>
        <c:ser>
          <c:idx val="1"/>
          <c:order val="1"/>
          <c:tx>
            <c:strRef>
              <c:f>Sheet1!$B$10</c:f>
              <c:strCache>
                <c:ptCount val="1"/>
                <c:pt idx="0">
                  <c:v>目标销售额</c:v>
                </c:pt>
              </c:strCache>
            </c:strRef>
          </c:tx>
          <c:spPr>
            <a:solidFill>
              <a:srgbClr val="FEEC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Sheet1!$C$7:$N$7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Sheet1!$C$10:$N$10</c:f>
              <c:numCache>
                <c:formatCode>General</c:formatCode>
                <c:ptCount val="12"/>
                <c:pt idx="0">
                  <c:v>800</c:v>
                </c:pt>
                <c:pt idx="1">
                  <c:v>502</c:v>
                </c:pt>
                <c:pt idx="2">
                  <c:v>650</c:v>
                </c:pt>
                <c:pt idx="3">
                  <c:v>553</c:v>
                </c:pt>
                <c:pt idx="4">
                  <c:v>610</c:v>
                </c:pt>
                <c:pt idx="5">
                  <c:v>802</c:v>
                </c:pt>
                <c:pt idx="6">
                  <c:v>859</c:v>
                </c:pt>
                <c:pt idx="7">
                  <c:v>547</c:v>
                </c:pt>
                <c:pt idx="8">
                  <c:v>659</c:v>
                </c:pt>
                <c:pt idx="9">
                  <c:v>702</c:v>
                </c:pt>
                <c:pt idx="10">
                  <c:v>784</c:v>
                </c:pt>
                <c:pt idx="11">
                  <c:v>959</c:v>
                </c:pt>
              </c:numCache>
            </c:numRef>
          </c:val>
        </c:ser>
        <c:ser>
          <c:idx val="2"/>
          <c:order val="2"/>
          <c:tx>
            <c:strRef>
              <c:f>Sheet1!$B$12</c:f>
              <c:strCache>
                <c:ptCount val="1"/>
                <c:pt idx="0">
                  <c:v>利润值</c:v>
                </c:pt>
              </c:strCache>
            </c:strRef>
          </c:tx>
          <c:spPr>
            <a:solidFill>
              <a:srgbClr val="FF7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Sheet1!$C$7:$N$7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Sheet1!$C$12:$N$12</c:f>
              <c:numCache>
                <c:formatCode>0_ </c:formatCode>
                <c:ptCount val="12"/>
                <c:pt idx="0">
                  <c:v>170</c:v>
                </c:pt>
                <c:pt idx="1">
                  <c:v>117</c:v>
                </c:pt>
                <c:pt idx="2">
                  <c:v>138</c:v>
                </c:pt>
                <c:pt idx="3">
                  <c:v>177</c:v>
                </c:pt>
                <c:pt idx="4">
                  <c:v>126</c:v>
                </c:pt>
                <c:pt idx="5">
                  <c:v>186</c:v>
                </c:pt>
                <c:pt idx="6">
                  <c:v>163</c:v>
                </c:pt>
                <c:pt idx="7">
                  <c:v>169</c:v>
                </c:pt>
                <c:pt idx="8">
                  <c:v>137</c:v>
                </c:pt>
                <c:pt idx="9">
                  <c:v>188</c:v>
                </c:pt>
                <c:pt idx="10">
                  <c:v>113</c:v>
                </c:pt>
                <c:pt idx="11">
                  <c:v>119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966196396"/>
        <c:axId val="281819972"/>
      </c:barChart>
      <c:catAx>
        <c:axId val="9661963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819972"/>
        <c:crosses val="autoZero"/>
        <c:auto val="1"/>
        <c:lblAlgn val="ctr"/>
        <c:lblOffset val="100"/>
        <c:noMultiLvlLbl val="0"/>
      </c:catAx>
      <c:valAx>
        <c:axId val="281819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61963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</xdr:colOff>
      <xdr:row>13</xdr:row>
      <xdr:rowOff>28575</xdr:rowOff>
    </xdr:from>
    <xdr:to>
      <xdr:col>14</xdr:col>
      <xdr:colOff>577850</xdr:colOff>
      <xdr:row>28</xdr:row>
      <xdr:rowOff>28575</xdr:rowOff>
    </xdr:to>
    <xdr:graphicFrame>
      <xdr:nvGraphicFramePr>
        <xdr:cNvPr id="9" name="图表 8"/>
        <xdr:cNvGraphicFramePr/>
      </xdr:nvGraphicFramePr>
      <xdr:xfrm>
        <a:off x="892175" y="3025775"/>
        <a:ext cx="843915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867410</xdr:colOff>
      <xdr:row>28</xdr:row>
      <xdr:rowOff>73025</xdr:rowOff>
    </xdr:from>
    <xdr:to>
      <xdr:col>6</xdr:col>
      <xdr:colOff>37465</xdr:colOff>
      <xdr:row>44</xdr:row>
      <xdr:rowOff>109855</xdr:rowOff>
    </xdr:to>
    <xdr:graphicFrame>
      <xdr:nvGraphicFramePr>
        <xdr:cNvPr id="3" name="图表 2"/>
        <xdr:cNvGraphicFramePr/>
      </xdr:nvGraphicFramePr>
      <xdr:xfrm>
        <a:off x="867410" y="5784850"/>
        <a:ext cx="3275330" cy="2932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114935</xdr:colOff>
      <xdr:row>28</xdr:row>
      <xdr:rowOff>76200</xdr:rowOff>
    </xdr:from>
    <xdr:to>
      <xdr:col>15</xdr:col>
      <xdr:colOff>14605</xdr:colOff>
      <xdr:row>44</xdr:row>
      <xdr:rowOff>102235</xdr:rowOff>
    </xdr:to>
    <xdr:graphicFrame>
      <xdr:nvGraphicFramePr>
        <xdr:cNvPr id="4" name="图表 3"/>
        <xdr:cNvGraphicFramePr/>
      </xdr:nvGraphicFramePr>
      <xdr:xfrm>
        <a:off x="4220210" y="5788025"/>
        <a:ext cx="5128895" cy="292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60960</xdr:colOff>
      <xdr:row>6</xdr:row>
      <xdr:rowOff>11430</xdr:rowOff>
    </xdr:from>
    <xdr:to>
      <xdr:col>20</xdr:col>
      <xdr:colOff>626110</xdr:colOff>
      <xdr:row>44</xdr:row>
      <xdr:rowOff>112395</xdr:rowOff>
    </xdr:to>
    <xdr:graphicFrame>
      <xdr:nvGraphicFramePr>
        <xdr:cNvPr id="6" name="图表 5"/>
        <xdr:cNvGraphicFramePr/>
      </xdr:nvGraphicFramePr>
      <xdr:xfrm>
        <a:off x="9395460" y="786130"/>
        <a:ext cx="3994150" cy="7933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15"/>
  <sheetViews>
    <sheetView showGridLines="0" tabSelected="1" zoomScale="70" zoomScaleNormal="70" topLeftCell="B1" workbookViewId="0">
      <selection activeCell="Z22" sqref="Z22"/>
    </sheetView>
  </sheetViews>
  <sheetFormatPr defaultColWidth="9" defaultRowHeight="14.25"/>
  <cols>
    <col min="1" max="1" width="11.625" style="2" customWidth="1"/>
    <col min="2" max="2" width="11.75" style="2" customWidth="1"/>
    <col min="3" max="15" width="7.625" style="2" customWidth="1"/>
    <col min="16" max="16384" width="9" style="2"/>
  </cols>
  <sheetData>
    <row r="1" ht="10" customHeight="1"/>
    <row r="2" ht="10" customHeight="1"/>
    <row r="3" ht="15" customHeight="1" spans="2:21">
      <c r="B3" s="3" t="s">
        <v>0</v>
      </c>
      <c r="C3" s="3"/>
      <c r="D3" s="3"/>
      <c r="E3" s="3"/>
      <c r="F3" s="3"/>
      <c r="G3" s="3"/>
      <c r="H3" s="4" t="s">
        <v>1</v>
      </c>
      <c r="I3" s="4"/>
      <c r="J3" s="15"/>
      <c r="K3" s="4" t="s">
        <v>2</v>
      </c>
      <c r="L3" s="4"/>
      <c r="M3" s="15"/>
      <c r="N3" s="4" t="s">
        <v>3</v>
      </c>
      <c r="O3" s="4"/>
      <c r="Q3" s="4" t="s">
        <v>4</v>
      </c>
      <c r="R3" s="4"/>
      <c r="T3" s="4" t="s">
        <v>5</v>
      </c>
      <c r="U3" s="4"/>
    </row>
    <row r="4" ht="8" customHeight="1" spans="2:21">
      <c r="B4" s="3"/>
      <c r="C4" s="3"/>
      <c r="D4" s="3"/>
      <c r="E4" s="3"/>
      <c r="F4" s="3"/>
      <c r="G4" s="3"/>
      <c r="H4" s="5">
        <f ca="1">O9</f>
        <v>8712</v>
      </c>
      <c r="I4" s="5"/>
      <c r="J4" s="16"/>
      <c r="K4" s="17">
        <f ca="1">SUM(C12:N12)</f>
        <v>1910</v>
      </c>
      <c r="L4" s="17"/>
      <c r="M4" s="18"/>
      <c r="N4" s="17">
        <f ca="1">SUM(C10:N10)</f>
        <v>8188</v>
      </c>
      <c r="O4" s="17"/>
      <c r="Q4" s="19">
        <f ca="1">O11</f>
        <v>1.06399609184172</v>
      </c>
      <c r="R4" s="19"/>
      <c r="T4" s="20">
        <f ca="1">O13</f>
        <v>-0.0555555555555556</v>
      </c>
      <c r="U4" s="20"/>
    </row>
    <row r="5" ht="15" customHeight="1" spans="2:21">
      <c r="B5" s="6" t="s">
        <v>6</v>
      </c>
      <c r="C5" s="6"/>
      <c r="D5" s="6"/>
      <c r="E5" s="6"/>
      <c r="F5" s="6"/>
      <c r="G5" s="6"/>
      <c r="H5" s="5"/>
      <c r="I5" s="5"/>
      <c r="J5" s="16"/>
      <c r="K5" s="17"/>
      <c r="L5" s="17"/>
      <c r="M5" s="18"/>
      <c r="N5" s="17"/>
      <c r="O5" s="17"/>
      <c r="Q5" s="19"/>
      <c r="R5" s="19"/>
      <c r="S5" s="1"/>
      <c r="T5" s="20"/>
      <c r="U5" s="20"/>
    </row>
    <row r="6" ht="3" customHeight="1" spans="17:21">
      <c r="Q6" s="1"/>
      <c r="R6" s="1"/>
      <c r="S6" s="1"/>
      <c r="T6" s="1"/>
      <c r="U6" s="1"/>
    </row>
    <row r="7" ht="25" customHeight="1" spans="2:21"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Q7" s="1"/>
      <c r="R7" s="1"/>
      <c r="S7" s="1"/>
      <c r="T7" s="1"/>
      <c r="U7" s="1"/>
    </row>
    <row r="8" ht="25" customHeight="1" spans="2:21">
      <c r="B8" s="8" t="s">
        <v>21</v>
      </c>
      <c r="C8" s="8">
        <f ca="1">RANDBETWEEN(500,1000)</f>
        <v>820</v>
      </c>
      <c r="D8" s="8">
        <f ca="1" t="shared" ref="D8:N8" si="0">RANDBETWEEN(500,1000)</f>
        <v>673</v>
      </c>
      <c r="E8" s="8">
        <f ca="1" t="shared" si="0"/>
        <v>773</v>
      </c>
      <c r="F8" s="8">
        <f ca="1" t="shared" si="0"/>
        <v>976</v>
      </c>
      <c r="G8" s="8">
        <f ca="1" t="shared" si="0"/>
        <v>708</v>
      </c>
      <c r="H8" s="8">
        <f ca="1" t="shared" si="0"/>
        <v>553</v>
      </c>
      <c r="I8" s="8">
        <f ca="1" t="shared" si="0"/>
        <v>975</v>
      </c>
      <c r="J8" s="8">
        <f ca="1" t="shared" si="0"/>
        <v>716</v>
      </c>
      <c r="K8" s="8">
        <f ca="1" t="shared" si="0"/>
        <v>506</v>
      </c>
      <c r="L8" s="8">
        <f ca="1" t="shared" si="0"/>
        <v>901</v>
      </c>
      <c r="M8" s="8">
        <f ca="1" t="shared" si="0"/>
        <v>725</v>
      </c>
      <c r="N8" s="8">
        <f ca="1" t="shared" si="0"/>
        <v>870</v>
      </c>
      <c r="O8" s="8">
        <f ca="1">SUM(C8:N8)</f>
        <v>9196</v>
      </c>
      <c r="Q8" s="1"/>
      <c r="R8" s="1"/>
      <c r="S8" s="1"/>
      <c r="T8" s="1"/>
      <c r="U8" s="1"/>
    </row>
    <row r="9" ht="25" customHeight="1" spans="2:21">
      <c r="B9" s="9" t="s">
        <v>1</v>
      </c>
      <c r="C9" s="9">
        <f ca="1" t="shared" ref="C9:N9" si="1">RANDBETWEEN(500,1000)</f>
        <v>815</v>
      </c>
      <c r="D9" s="9">
        <f ca="1" t="shared" si="1"/>
        <v>816</v>
      </c>
      <c r="E9" s="9">
        <f ca="1" t="shared" si="1"/>
        <v>716</v>
      </c>
      <c r="F9" s="9">
        <f ca="1" t="shared" si="1"/>
        <v>589</v>
      </c>
      <c r="G9" s="9">
        <f ca="1" t="shared" si="1"/>
        <v>627</v>
      </c>
      <c r="H9" s="9">
        <f ca="1" t="shared" si="1"/>
        <v>602</v>
      </c>
      <c r="I9" s="9">
        <f ca="1" t="shared" si="1"/>
        <v>753</v>
      </c>
      <c r="J9" s="9">
        <f ca="1" t="shared" si="1"/>
        <v>819</v>
      </c>
      <c r="K9" s="9">
        <f ca="1" t="shared" si="1"/>
        <v>785</v>
      </c>
      <c r="L9" s="9">
        <f ca="1" t="shared" si="1"/>
        <v>823</v>
      </c>
      <c r="M9" s="9">
        <f ca="1" t="shared" si="1"/>
        <v>752</v>
      </c>
      <c r="N9" s="9">
        <f ca="1" t="shared" si="1"/>
        <v>615</v>
      </c>
      <c r="O9" s="9">
        <f ca="1">SUM(C9:N9)</f>
        <v>8712</v>
      </c>
      <c r="Q9" s="1"/>
      <c r="R9" s="1"/>
      <c r="S9" s="1"/>
      <c r="T9" s="1"/>
      <c r="U9" s="1"/>
    </row>
    <row r="10" ht="25" customHeight="1" spans="2:21">
      <c r="B10" s="10" t="s">
        <v>3</v>
      </c>
      <c r="C10" s="10">
        <f ca="1" t="shared" ref="C10:N10" si="2">RANDBETWEEN(500,1000)</f>
        <v>611</v>
      </c>
      <c r="D10" s="10">
        <f ca="1" t="shared" si="2"/>
        <v>988</v>
      </c>
      <c r="E10" s="10">
        <f ca="1" t="shared" si="2"/>
        <v>558</v>
      </c>
      <c r="F10" s="10">
        <f ca="1" t="shared" si="2"/>
        <v>731</v>
      </c>
      <c r="G10" s="10">
        <f ca="1" t="shared" si="2"/>
        <v>641</v>
      </c>
      <c r="H10" s="10">
        <f ca="1" t="shared" si="2"/>
        <v>698</v>
      </c>
      <c r="I10" s="10">
        <f ca="1" t="shared" si="2"/>
        <v>650</v>
      </c>
      <c r="J10" s="10">
        <f ca="1" t="shared" si="2"/>
        <v>515</v>
      </c>
      <c r="K10" s="10">
        <f ca="1" t="shared" si="2"/>
        <v>786</v>
      </c>
      <c r="L10" s="10">
        <f ca="1" t="shared" si="2"/>
        <v>571</v>
      </c>
      <c r="M10" s="10">
        <f ca="1" t="shared" si="2"/>
        <v>707</v>
      </c>
      <c r="N10" s="10">
        <f ca="1" t="shared" si="2"/>
        <v>732</v>
      </c>
      <c r="O10" s="10">
        <f ca="1">SUM(C10:N10)</f>
        <v>8188</v>
      </c>
      <c r="Q10" s="1"/>
      <c r="R10" s="1"/>
      <c r="S10" s="1"/>
      <c r="T10" s="1"/>
      <c r="U10" s="1"/>
    </row>
    <row r="11" ht="25" customHeight="1" spans="2:21">
      <c r="B11" s="9" t="s">
        <v>4</v>
      </c>
      <c r="C11" s="11">
        <f ca="1">C9/C10</f>
        <v>1.33387888707038</v>
      </c>
      <c r="D11" s="11">
        <f ca="1" t="shared" ref="D11:O11" si="3">D9/D10</f>
        <v>0.825910931174089</v>
      </c>
      <c r="E11" s="11">
        <f ca="1" t="shared" si="3"/>
        <v>1.2831541218638</v>
      </c>
      <c r="F11" s="11">
        <f ca="1" t="shared" si="3"/>
        <v>0.805745554035568</v>
      </c>
      <c r="G11" s="11">
        <f ca="1" t="shared" si="3"/>
        <v>0.978159126365055</v>
      </c>
      <c r="H11" s="11">
        <f ca="1" t="shared" si="3"/>
        <v>0.862464183381089</v>
      </c>
      <c r="I11" s="11">
        <f ca="1" t="shared" si="3"/>
        <v>1.15846153846154</v>
      </c>
      <c r="J11" s="11">
        <f ca="1" t="shared" si="3"/>
        <v>1.59029126213592</v>
      </c>
      <c r="K11" s="11">
        <f ca="1" t="shared" si="3"/>
        <v>0.998727735368957</v>
      </c>
      <c r="L11" s="11">
        <f ca="1" t="shared" si="3"/>
        <v>1.44133099824869</v>
      </c>
      <c r="M11" s="11">
        <f ca="1" t="shared" si="3"/>
        <v>1.06364922206506</v>
      </c>
      <c r="N11" s="11">
        <f ca="1" t="shared" si="3"/>
        <v>0.840163934426229</v>
      </c>
      <c r="O11" s="11">
        <f ca="1" t="shared" si="3"/>
        <v>1.06399609184172</v>
      </c>
      <c r="Q11" s="1"/>
      <c r="R11" s="1"/>
      <c r="S11" s="1"/>
      <c r="T11" s="1"/>
      <c r="U11" s="1"/>
    </row>
    <row r="12" ht="25" customHeight="1" spans="2:21">
      <c r="B12" s="8" t="s">
        <v>2</v>
      </c>
      <c r="C12" s="12">
        <f ca="1">RANDBETWEEN(100,200)</f>
        <v>185</v>
      </c>
      <c r="D12" s="12">
        <f ca="1" t="shared" ref="D12:O12" si="4">RANDBETWEEN(100,200)</f>
        <v>116</v>
      </c>
      <c r="E12" s="12">
        <f ca="1" t="shared" si="4"/>
        <v>177</v>
      </c>
      <c r="F12" s="12">
        <f ca="1" t="shared" si="4"/>
        <v>120</v>
      </c>
      <c r="G12" s="12">
        <f ca="1" t="shared" si="4"/>
        <v>138</v>
      </c>
      <c r="H12" s="12">
        <f ca="1" t="shared" si="4"/>
        <v>132</v>
      </c>
      <c r="I12" s="12">
        <f ca="1" t="shared" si="4"/>
        <v>124</v>
      </c>
      <c r="J12" s="12">
        <f ca="1" t="shared" si="4"/>
        <v>181</v>
      </c>
      <c r="K12" s="12">
        <f ca="1" t="shared" si="4"/>
        <v>181</v>
      </c>
      <c r="L12" s="12">
        <f ca="1" t="shared" si="4"/>
        <v>189</v>
      </c>
      <c r="M12" s="12">
        <f ca="1" t="shared" si="4"/>
        <v>174</v>
      </c>
      <c r="N12" s="12">
        <f ca="1" t="shared" si="4"/>
        <v>193</v>
      </c>
      <c r="O12" s="12">
        <f ca="1">SUM(C12:N12)</f>
        <v>1910</v>
      </c>
      <c r="Q12" s="1"/>
      <c r="R12" s="1"/>
      <c r="S12" s="1"/>
      <c r="T12" s="1"/>
      <c r="U12" s="1"/>
    </row>
    <row r="13" ht="25" customHeight="1" spans="2:21">
      <c r="B13" s="13" t="s">
        <v>22</v>
      </c>
      <c r="C13" s="14">
        <f ca="1">(C9-C8)/C9</f>
        <v>-0.00613496932515337</v>
      </c>
      <c r="D13" s="14">
        <f ca="1" t="shared" ref="D13:O13" si="5">(D9-D8)/D9</f>
        <v>0.175245098039216</v>
      </c>
      <c r="E13" s="14">
        <f ca="1" t="shared" si="5"/>
        <v>-0.079608938547486</v>
      </c>
      <c r="F13" s="14">
        <f ca="1" t="shared" si="5"/>
        <v>-0.65704584040747</v>
      </c>
      <c r="G13" s="14">
        <f ca="1" t="shared" si="5"/>
        <v>-0.129186602870813</v>
      </c>
      <c r="H13" s="14">
        <f ca="1" t="shared" si="5"/>
        <v>0.0813953488372093</v>
      </c>
      <c r="I13" s="14">
        <f ca="1" t="shared" si="5"/>
        <v>-0.294820717131474</v>
      </c>
      <c r="J13" s="14">
        <f ca="1" t="shared" si="5"/>
        <v>0.125763125763126</v>
      </c>
      <c r="K13" s="14">
        <f ca="1" t="shared" si="5"/>
        <v>0.355414012738853</v>
      </c>
      <c r="L13" s="14">
        <f ca="1" t="shared" si="5"/>
        <v>-0.094775212636695</v>
      </c>
      <c r="M13" s="14">
        <f ca="1" t="shared" si="5"/>
        <v>0.0359042553191489</v>
      </c>
      <c r="N13" s="14">
        <f ca="1" t="shared" si="5"/>
        <v>-0.414634146341463</v>
      </c>
      <c r="O13" s="14">
        <f ca="1" t="shared" si="5"/>
        <v>-0.0555555555555556</v>
      </c>
      <c r="Q13" s="21"/>
      <c r="R13" s="1"/>
      <c r="S13" s="1"/>
      <c r="T13" s="1"/>
      <c r="U13" s="1"/>
    </row>
    <row r="14" spans="17:21">
      <c r="Q14" s="1"/>
      <c r="R14" s="1"/>
      <c r="S14" s="1"/>
      <c r="T14" s="1"/>
      <c r="U14" s="1"/>
    </row>
    <row r="15" spans="17:21">
      <c r="Q15" s="1"/>
      <c r="R15" s="1"/>
      <c r="S15" s="1"/>
      <c r="T15" s="1"/>
      <c r="U15" s="1"/>
    </row>
  </sheetData>
  <mergeCells count="12">
    <mergeCell ref="H3:I3"/>
    <mergeCell ref="K3:L3"/>
    <mergeCell ref="N3:O3"/>
    <mergeCell ref="Q3:R3"/>
    <mergeCell ref="T3:U3"/>
    <mergeCell ref="B5:G5"/>
    <mergeCell ref="B3:G4"/>
    <mergeCell ref="H4:I5"/>
    <mergeCell ref="N4:O5"/>
    <mergeCell ref="T4:U5"/>
    <mergeCell ref="K4:L5"/>
    <mergeCell ref="Q4:R5"/>
  </mergeCells>
  <pageMargins left="0.7" right="0.7" top="0.75" bottom="0.75" header="0.3" footer="0.3"/>
  <pageSetup paperSize="9" orientation="portrait"/>
  <headerFooter/>
  <ignoredErrors>
    <ignoredError sqref="O1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"/>
  <sheetViews>
    <sheetView showGridLines="0" workbookViewId="0">
      <selection activeCell="I11" sqref="I11"/>
    </sheetView>
  </sheetViews>
  <sheetFormatPr defaultColWidth="9" defaultRowHeight="14.25" outlineLevelRow="5" outlineLevelCol="4"/>
  <cols>
    <col min="5" max="5" width="12.625"/>
  </cols>
  <sheetData>
    <row r="2" spans="2:5">
      <c r="B2" s="1" t="s">
        <v>23</v>
      </c>
      <c r="C2" s="1" t="s">
        <v>24</v>
      </c>
      <c r="D2" s="1" t="s">
        <v>25</v>
      </c>
      <c r="E2" s="1" t="s">
        <v>26</v>
      </c>
    </row>
    <row r="3" spans="2:5">
      <c r="B3" s="1" t="s">
        <v>27</v>
      </c>
      <c r="C3" s="1">
        <f ca="1">SUM(Sheet1!C8:E8)</f>
        <v>2266</v>
      </c>
      <c r="D3" s="1">
        <f ca="1">SUM(Sheet1!C10:E10)</f>
        <v>2157</v>
      </c>
      <c r="E3" s="1">
        <f ca="1">SUM(Sheet1!C12:E12)</f>
        <v>478</v>
      </c>
    </row>
    <row r="4" spans="2:5">
      <c r="B4" s="1" t="s">
        <v>28</v>
      </c>
      <c r="C4" s="1">
        <f ca="1">SUM(Sheet1!F8:H8)</f>
        <v>2237</v>
      </c>
      <c r="D4" s="1">
        <f ca="1">SUM(Sheet1!F10:H10)</f>
        <v>2070</v>
      </c>
      <c r="E4" s="1">
        <f ca="1">SUM(Sheet1!F12:G12)</f>
        <v>258</v>
      </c>
    </row>
    <row r="5" spans="2:5">
      <c r="B5" s="1" t="s">
        <v>29</v>
      </c>
      <c r="C5" s="1">
        <f ca="1">SUM(Sheet1!I8:K8)</f>
        <v>2197</v>
      </c>
      <c r="D5" s="1">
        <f ca="1">SUM(Sheet1!I10:K10)</f>
        <v>1951</v>
      </c>
      <c r="E5" s="1">
        <f ca="1">SUM(Sheet1!H12:J12)</f>
        <v>437</v>
      </c>
    </row>
    <row r="6" spans="2:5">
      <c r="B6" s="1" t="s">
        <v>30</v>
      </c>
      <c r="C6" s="1">
        <f ca="1">SUM(Sheet1!L8:N8)</f>
        <v>2496</v>
      </c>
      <c r="D6" s="1">
        <f ca="1">SUM(Sheet1!L10:N10)</f>
        <v>2010</v>
      </c>
      <c r="E6" s="1">
        <f ca="1">SUM(Sheet1!L12:N12)</f>
        <v>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haoyonghui</dc:creator>
  <cp:lastModifiedBy>陈东捷</cp:lastModifiedBy>
  <dcterms:created xsi:type="dcterms:W3CDTF">2015-06-05T18:17:00Z</dcterms:created>
  <dcterms:modified xsi:type="dcterms:W3CDTF">2021-05-13T06:15:42Z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6640DD9AF89D4102AECA7E75B789FA07</vt:lpwstr>
  </property>
</Properties>
</file>