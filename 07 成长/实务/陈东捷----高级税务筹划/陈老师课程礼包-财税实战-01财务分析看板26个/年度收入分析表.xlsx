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Sheet2 (2)" sheetId="1" r:id="rId1"/>
  </sheets>
  <calcPr calcId="144525"/>
</workbook>
</file>

<file path=xl/sharedStrings.xml><?xml version="1.0" encoding="utf-8"?>
<sst xmlns="http://schemas.openxmlformats.org/spreadsheetml/2006/main" count="18" uniqueCount="18">
  <si>
    <t>年度收入分析表</t>
  </si>
  <si>
    <t>日期</t>
  </si>
  <si>
    <t>2019年</t>
  </si>
  <si>
    <t>2020年</t>
  </si>
  <si>
    <t>同比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</si>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</sst>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6"/>
      <color theme="1"/>
      <name val="黑体"/>
      <charset val="134"/>
    </font>
    <font>
      <b/>
      <sz val="12"/>
      <color theme="1"/>
      <name val="黑体"/>
      <charset val="134"/>
    </font>
    <font>
      <b/>
      <sz val="11"/>
      <color theme="1"/>
      <name val="黑体"/>
      <charset val="134"/>
    </font>
    <font>
      <sz val="26"/>
      <color theme="1"/>
      <name val="黑体"/>
      <charset val="134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AA18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9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 tint="-0.5"/>
      </left>
      <right style="hair">
        <color theme="0" tint="-0.5"/>
      </right>
      <top style="thin">
        <color theme="0" tint="-0.5"/>
      </top>
      <bottom style="hair">
        <color theme="0" tint="-0.5"/>
      </bottom>
      <diagonal/>
    </border>
    <border>
      <left style="hair">
        <color theme="0" tint="-0.5"/>
      </left>
      <right style="hair">
        <color theme="0" tint="-0.5"/>
      </right>
      <top style="thin">
        <color theme="0" tint="-0.5"/>
      </top>
      <bottom style="hair">
        <color theme="0" tint="-0.5"/>
      </bottom>
      <diagonal/>
    </border>
    <border>
      <left style="hair">
        <color theme="0" tint="-0.5"/>
      </left>
      <right style="thin">
        <color theme="0" tint="-0.5"/>
      </right>
      <top style="thin">
        <color theme="0" tint="-0.5"/>
      </top>
      <bottom style="hair">
        <color theme="0" tint="-0.5"/>
      </bottom>
      <diagonal/>
    </border>
    <border>
      <left style="thin">
        <color theme="0" tint="-0.5"/>
      </left>
      <right style="hair">
        <color theme="0" tint="-0.5"/>
      </right>
      <top style="hair">
        <color theme="0" tint="-0.5"/>
      </top>
      <bottom style="hair">
        <color theme="0" tint="-0.5"/>
      </bottom>
      <diagonal/>
    </border>
    <border>
      <left style="hair">
        <color theme="0" tint="-0.5"/>
      </left>
      <right style="hair">
        <color theme="0" tint="-0.5"/>
      </right>
      <top style="hair">
        <color theme="0" tint="-0.5"/>
      </top>
      <bottom style="hair">
        <color theme="0" tint="-0.5"/>
      </bottom>
      <diagonal/>
    </border>
    <border>
      <left style="hair">
        <color theme="0" tint="-0.5"/>
      </left>
      <right style="thin">
        <color theme="0" tint="-0.5"/>
      </right>
      <top style="hair">
        <color theme="0" tint="-0.5"/>
      </top>
      <bottom style="hair">
        <color theme="0" tint="-0.5"/>
      </bottom>
      <diagonal/>
    </border>
    <border>
      <left style="thin">
        <color theme="0" tint="-0.5"/>
      </left>
      <right style="hair">
        <color theme="0" tint="-0.5"/>
      </right>
      <top style="hair">
        <color theme="0" tint="-0.5"/>
      </top>
      <bottom style="thin">
        <color theme="0" tint="-0.5"/>
      </bottom>
      <diagonal/>
    </border>
    <border>
      <left style="hair">
        <color theme="0" tint="-0.5"/>
      </left>
      <right style="hair">
        <color theme="0" tint="-0.5"/>
      </right>
      <top style="hair">
        <color theme="0" tint="-0.5"/>
      </top>
      <bottom style="thin">
        <color theme="0" tint="-0.5"/>
      </bottom>
      <diagonal/>
    </border>
    <border>
      <left style="hair">
        <color theme="0" tint="-0.5"/>
      </left>
      <right style="thin">
        <color theme="0" tint="-0.5"/>
      </right>
      <top style="hair">
        <color theme="0" tint="-0.5"/>
      </top>
      <bottom style="thin">
        <color theme="0" tint="-0.5"/>
      </bottom>
      <diagonal/>
    </border>
    <border>
      <left style="thin">
        <color theme="0" tint="-0.5"/>
      </left>
      <right style="hair">
        <color theme="0" tint="-0.5"/>
      </right>
      <top style="thin">
        <color theme="0" tint="-0.5"/>
      </top>
      <bottom style="thin">
        <color theme="0" tint="-0.5"/>
      </bottom>
      <diagonal/>
    </border>
    <border>
      <left style="hair">
        <color theme="0" tint="-0.5"/>
      </left>
      <right style="hair">
        <color theme="0" tint="-0.5"/>
      </right>
      <top style="thin">
        <color theme="0" tint="-0.5"/>
      </top>
      <bottom style="thin">
        <color theme="0" tint="-0.5"/>
      </bottom>
      <diagonal/>
    </border>
    <border>
      <left style="hair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7" fillId="14" borderId="2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9" borderId="25" applyNumberFormat="0" applyFon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9" fillId="7" borderId="26" applyNumberFormat="0" applyAlignment="0" applyProtection="0">
      <alignment vertical="center"/>
    </xf>
    <xf numFmtId="0" fontId="11" fillId="7" borderId="23" applyNumberFormat="0" applyAlignment="0" applyProtection="0">
      <alignment vertical="center"/>
    </xf>
    <xf numFmtId="0" fontId="6" fillId="4" borderId="21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9" fillId="0" borderId="22" applyNumberFormat="0" applyFill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2" borderId="1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>
      <alignment vertical="center"/>
    </xf>
    <xf numFmtId="0" fontId="3" fillId="2" borderId="4" xfId="0" applyNumberFormat="1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7" xfId="0" applyNumberFormat="1" applyFont="1" applyFill="1" applyBorder="1" applyAlignment="1">
      <alignment horizontal="center" vertical="center"/>
    </xf>
    <xf numFmtId="0" fontId="1" fillId="2" borderId="8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0" fontId="1" fillId="2" borderId="9" xfId="0" applyNumberFormat="1" applyFont="1" applyFill="1" applyBorder="1" applyAlignment="1">
      <alignment horizontal="center" vertical="center"/>
    </xf>
    <xf numFmtId="10" fontId="1" fillId="2" borderId="0" xfId="0" applyNumberFormat="1" applyFont="1" applyFill="1" applyAlignment="1">
      <alignment horizontal="center" vertical="center"/>
    </xf>
    <xf numFmtId="0" fontId="4" fillId="2" borderId="10" xfId="0" applyNumberFormat="1" applyFont="1" applyFill="1" applyBorder="1" applyAlignment="1">
      <alignment horizontal="center" vertical="center"/>
    </xf>
    <xf numFmtId="0" fontId="1" fillId="2" borderId="11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10" fontId="1" fillId="2" borderId="12" xfId="0" applyNumberFormat="1" applyFont="1" applyFill="1" applyBorder="1" applyAlignment="1">
      <alignment horizontal="center" vertical="center"/>
    </xf>
    <xf numFmtId="0" fontId="4" fillId="2" borderId="13" xfId="0" applyNumberFormat="1" applyFont="1" applyFill="1" applyBorder="1" applyAlignment="1">
      <alignment horizontal="center" vertical="center"/>
    </xf>
    <xf numFmtId="0" fontId="4" fillId="2" borderId="14" xfId="0" applyNumberFormat="1" applyFont="1" applyFill="1" applyBorder="1" applyAlignment="1">
      <alignment horizontal="center" vertical="center"/>
    </xf>
    <xf numFmtId="10" fontId="1" fillId="2" borderId="15" xfId="0" applyNumberFormat="1" applyFont="1" applyFill="1" applyBorder="1" applyAlignment="1">
      <alignment horizontal="center" vertical="center"/>
    </xf>
    <xf numFmtId="0" fontId="1" fillId="2" borderId="16" xfId="0" applyFont="1" applyFill="1" applyBorder="1">
      <alignment vertical="center"/>
    </xf>
    <xf numFmtId="0" fontId="1" fillId="2" borderId="17" xfId="0" applyFont="1" applyFill="1" applyBorder="1">
      <alignment vertical="center"/>
    </xf>
    <xf numFmtId="0" fontId="5" fillId="2" borderId="2" xfId="0" applyFont="1" applyFill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4" fillId="2" borderId="0" xfId="0" applyNumberFormat="1" applyFont="1" applyFill="1" applyAlignment="1">
      <alignment horizontal="center" vertical="center"/>
    </xf>
    <xf numFmtId="0" fontId="1" fillId="2" borderId="19" xfId="0" applyFont="1" applyFill="1" applyBorder="1">
      <alignment vertical="center"/>
    </xf>
    <xf numFmtId="10" fontId="4" fillId="2" borderId="0" xfId="0" applyNumberFormat="1" applyFont="1" applyFill="1" applyAlignment="1">
      <alignment horizontal="center" vertical="center"/>
    </xf>
    <xf numFmtId="0" fontId="1" fillId="2" borderId="20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7A7CA"/>
      <color rgb="002CDBA8"/>
      <color rgb="0032E38A"/>
      <color rgb="00DEE6E0"/>
      <color rgb="00F5D4DA"/>
      <color rgb="0031527A"/>
      <color rgb="006EA391"/>
      <color rgb="00D35066"/>
      <color rgb="006AA18E"/>
      <color rgb="007CA89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320" b="0" i="0" u="none" strike="noStrike" kern="1200" spc="0" baseline="0">
                <a:solidFill>
                  <a:schemeClr val="tx1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r>
              <a:rPr altLang="en-US" sz="1400" b="0">
                <a:solidFill>
                  <a:schemeClr val="tx1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rPr>
              <a:t>收入对比分析</a:t>
            </a:r>
            <a:endParaRPr altLang="en-US" sz="1400" b="0">
              <a:solidFill>
                <a:schemeClr val="tx1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黑体" panose="02010609060101010101" charset="-122"/>
            </a:endParaRPr>
          </a:p>
        </c:rich>
      </c:tx>
      <c:layout>
        <c:manualLayout>
          <c:xMode val="edge"/>
          <c:yMode val="edge"/>
          <c:x val="0.015627959840879"/>
          <c:y val="0.00853970964987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85394862036156"/>
          <c:y val="0.213492741246798"/>
          <c:w val="0.860264034253092"/>
          <c:h val="0.6446342157699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'Sheet2 (2)'!$E$4</c:f>
              <c:strCache>
                <c:ptCount val="1"/>
                <c:pt idx="0">
                  <c:v>2019年</c:v>
                </c:pt>
              </c:strCache>
            </c:strRef>
          </c:tx>
          <c:spPr>
            <a:gradFill>
              <a:gsLst>
                <a:gs pos="50000">
                  <a:srgbClr val="DC7183"/>
                </a:gs>
                <a:gs pos="0">
                  <a:srgbClr val="F5D4DA"/>
                </a:gs>
                <a:gs pos="100000">
                  <a:srgbClr val="D04159"/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'Sheet2 (2)'!$D$5:$D$16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'Sheet2 (2)'!$E$5:$E$16</c:f>
              <c:numCache>
                <c:formatCode>General</c:formatCode>
                <c:ptCount val="12"/>
                <c:pt idx="0">
                  <c:v>81331.5</c:v>
                </c:pt>
                <c:pt idx="1">
                  <c:v>81949.7</c:v>
                </c:pt>
                <c:pt idx="2">
                  <c:v>87209.6</c:v>
                </c:pt>
                <c:pt idx="3">
                  <c:v>86333.7</c:v>
                </c:pt>
                <c:pt idx="4">
                  <c:v>79620.8</c:v>
                </c:pt>
                <c:pt idx="5">
                  <c:v>80167.1</c:v>
                </c:pt>
                <c:pt idx="6">
                  <c:v>84727.9</c:v>
                </c:pt>
                <c:pt idx="7">
                  <c:v>82248.8</c:v>
                </c:pt>
                <c:pt idx="8">
                  <c:v>81934.7</c:v>
                </c:pt>
                <c:pt idx="9">
                  <c:v>84265.4</c:v>
                </c:pt>
                <c:pt idx="10">
                  <c:v>86350.8</c:v>
                </c:pt>
                <c:pt idx="11">
                  <c:v>75995.2</c:v>
                </c:pt>
              </c:numCache>
            </c:numRef>
          </c:val>
        </c:ser>
        <c:ser>
          <c:idx val="1"/>
          <c:order val="1"/>
          <c:tx>
            <c:strRef>
              <c:f>'Sheet2 (2)'!$F$4</c:f>
              <c:strCache>
                <c:ptCount val="1"/>
                <c:pt idx="0">
                  <c:v>2020年</c:v>
                </c:pt>
              </c:strCache>
            </c:strRef>
          </c:tx>
          <c:spPr>
            <a:gradFill>
              <a:gsLst>
                <a:gs pos="0">
                  <a:srgbClr val="DEE6E0"/>
                </a:gs>
                <a:gs pos="94000">
                  <a:srgbClr val="6AA18E"/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'Sheet2 (2)'!$D$5:$D$16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'Sheet2 (2)'!$F$5:$F$16</c:f>
              <c:numCache>
                <c:formatCode>General</c:formatCode>
                <c:ptCount val="12"/>
                <c:pt idx="0">
                  <c:v>135606.4</c:v>
                </c:pt>
                <c:pt idx="1">
                  <c:v>63850.7</c:v>
                </c:pt>
                <c:pt idx="2">
                  <c:v>34221.2</c:v>
                </c:pt>
                <c:pt idx="3">
                  <c:v>63841.5</c:v>
                </c:pt>
                <c:pt idx="4">
                  <c:v>94751.8</c:v>
                </c:pt>
                <c:pt idx="5">
                  <c:v>75068.2</c:v>
                </c:pt>
                <c:pt idx="6">
                  <c:v>34386.6</c:v>
                </c:pt>
                <c:pt idx="7">
                  <c:v>95506.9</c:v>
                </c:pt>
                <c:pt idx="8">
                  <c:v>63889.8</c:v>
                </c:pt>
                <c:pt idx="9">
                  <c:v>44249</c:v>
                </c:pt>
                <c:pt idx="10">
                  <c:v>116036.6</c:v>
                </c:pt>
                <c:pt idx="11">
                  <c:v>67277.4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4"/>
        <c:overlap val="-31"/>
        <c:axId val="941930387"/>
        <c:axId val="882505309"/>
      </c:barChart>
      <c:lineChart>
        <c:grouping val="standard"/>
        <c:varyColors val="0"/>
        <c:ser>
          <c:idx val="2"/>
          <c:order val="2"/>
          <c:tx>
            <c:strRef>
              <c:f>'Sheet2 (2)'!$G$4</c:f>
              <c:strCache>
                <c:ptCount val="1"/>
                <c:pt idx="0">
                  <c:v>同比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7"/>
            <c:spPr>
              <a:noFill/>
              <a:ln w="9525">
                <a:noFill/>
              </a:ln>
              <a:effectLst/>
            </c:spPr>
          </c:marker>
          <c:dLbls>
            <c:numFmt formatCode="[Red]\ &quot;▲&quot;0.00%;[Green]&quot;▼&quot;\-0.00%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黑体" panose="02010609060101010101" charset="-122"/>
                    <a:ea typeface="黑体" panose="02010609060101010101" charset="-122"/>
                    <a:cs typeface="黑体" panose="02010609060101010101" charset="-122"/>
                    <a:sym typeface="黑体" panose="0201060906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'Sheet2 (2)'!$D$5:$D$16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'Sheet2 (2)'!$G$5:$G$16</c:f>
              <c:numCache>
                <c:formatCode>0.00%</c:formatCode>
                <c:ptCount val="12"/>
                <c:pt idx="0">
                  <c:v>0.667329386523057</c:v>
                </c:pt>
                <c:pt idx="1">
                  <c:v>-0.22085498787671</c:v>
                </c:pt>
                <c:pt idx="2">
                  <c:v>-0.607598246064654</c:v>
                </c:pt>
                <c:pt idx="3">
                  <c:v>-0.26052630664503</c:v>
                </c:pt>
                <c:pt idx="4">
                  <c:v>0.190038281454092</c:v>
                </c:pt>
                <c:pt idx="5">
                  <c:v>-0.0636033984015888</c:v>
                </c:pt>
                <c:pt idx="6">
                  <c:v>-0.59415257547986</c:v>
                </c:pt>
                <c:pt idx="7">
                  <c:v>0.161195056949159</c:v>
                </c:pt>
                <c:pt idx="8">
                  <c:v>-0.220235138470025</c:v>
                </c:pt>
                <c:pt idx="9">
                  <c:v>-0.474885302864521</c:v>
                </c:pt>
                <c:pt idx="10">
                  <c:v>0.343781412563636</c:v>
                </c:pt>
                <c:pt idx="11">
                  <c:v>-0.114715139903573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1"/>
        <c:axId val="94050618"/>
        <c:axId val="136379897"/>
      </c:lineChart>
      <c:catAx>
        <c:axId val="9419303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</a:p>
        </c:txPr>
        <c:crossAx val="882505309"/>
        <c:crosses val="autoZero"/>
        <c:auto val="1"/>
        <c:lblAlgn val="ctr"/>
        <c:lblOffset val="100"/>
        <c:noMultiLvlLbl val="0"/>
      </c:catAx>
      <c:valAx>
        <c:axId val="88250530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</a:p>
        </c:txPr>
        <c:crossAx val="941930387"/>
        <c:crosses val="autoZero"/>
        <c:crossBetween val="between"/>
      </c:valAx>
      <c:catAx>
        <c:axId val="94050618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</a:p>
        </c:txPr>
        <c:crossAx val="136379897"/>
        <c:crosses val="autoZero"/>
        <c:auto val="1"/>
        <c:lblAlgn val="ctr"/>
        <c:lblOffset val="100"/>
        <c:noMultiLvlLbl val="0"/>
      </c:catAx>
      <c:valAx>
        <c:axId val="136379897"/>
        <c:scaling>
          <c:orientation val="minMax"/>
          <c:max val="10"/>
          <c:min val="-15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</a:p>
        </c:txPr>
        <c:crossAx val="94050618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</a:p>
        </c:txPr>
      </c:legendEntry>
      <c:legendEntry>
        <c:idx val="2"/>
        <c:delete val="1"/>
      </c:legendEntry>
      <c:layout>
        <c:manualLayout>
          <c:xMode val="edge"/>
          <c:yMode val="edge"/>
          <c:x val="0.796454767601165"/>
          <c:y val="0.014689872055001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100" b="0" i="0" u="none" strike="noStrike" kern="1200" baseline="0">
              <a:solidFill>
                <a:schemeClr val="tx1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黑体" panose="02010609060101010101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 lang="zh-CN" sz="1100" b="0">
          <a:solidFill>
            <a:schemeClr val="tx1"/>
          </a:solidFill>
          <a:latin typeface="黑体" panose="02010609060101010101" charset="-122"/>
          <a:ea typeface="黑体" panose="02010609060101010101" charset="-122"/>
          <a:cs typeface="黑体" panose="02010609060101010101" charset="-122"/>
          <a:sym typeface="黑体" panose="0201060906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0842358604091456"/>
          <c:y val="0.011290929619872"/>
          <c:w val="0.985559566787004"/>
          <c:h val="0.80112909296198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'Sheet2 (2)'!$E$4</c:f>
              <c:strCache>
                <c:ptCount val="1"/>
                <c:pt idx="0">
                  <c:v>2019年</c:v>
                </c:pt>
              </c:strCache>
            </c:strRef>
          </c:tx>
          <c:spPr>
            <a:gradFill>
              <a:gsLst>
                <a:gs pos="0">
                  <a:srgbClr val="A0B7A5"/>
                </a:gs>
                <a:gs pos="94000">
                  <a:srgbClr val="6AA18E"/>
                </a:gs>
              </a:gsLst>
              <a:lin ang="81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'Sheet2 (2)'!$D$5:$D$16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'Sheet2 (2)'!$E$5:$E$16</c:f>
              <c:numCache>
                <c:formatCode>General</c:formatCode>
                <c:ptCount val="12"/>
                <c:pt idx="0">
                  <c:v>81331.5</c:v>
                </c:pt>
                <c:pt idx="1">
                  <c:v>81949.7</c:v>
                </c:pt>
                <c:pt idx="2">
                  <c:v>87209.6</c:v>
                </c:pt>
                <c:pt idx="3">
                  <c:v>86333.7</c:v>
                </c:pt>
                <c:pt idx="4">
                  <c:v>79620.8</c:v>
                </c:pt>
                <c:pt idx="5">
                  <c:v>80167.1</c:v>
                </c:pt>
                <c:pt idx="6">
                  <c:v>84727.9</c:v>
                </c:pt>
                <c:pt idx="7">
                  <c:v>82248.8</c:v>
                </c:pt>
                <c:pt idx="8">
                  <c:v>81934.7</c:v>
                </c:pt>
                <c:pt idx="9">
                  <c:v>84265.4</c:v>
                </c:pt>
                <c:pt idx="10">
                  <c:v>86350.8</c:v>
                </c:pt>
                <c:pt idx="11">
                  <c:v>75995.2</c:v>
                </c:pt>
              </c:numCache>
            </c:numRef>
          </c:val>
        </c:ser>
        <c:ser>
          <c:idx val="1"/>
          <c:order val="1"/>
          <c:tx>
            <c:strRef>
              <c:f>'Sheet2 (2)'!$F$4</c:f>
              <c:strCache>
                <c:ptCount val="1"/>
                <c:pt idx="0">
                  <c:v>2020年</c:v>
                </c:pt>
              </c:strCache>
            </c:strRef>
          </c:tx>
          <c:spPr>
            <a:gradFill>
              <a:gsLst>
                <a:gs pos="50000">
                  <a:srgbClr val="DC7183"/>
                </a:gs>
                <a:gs pos="0">
                  <a:srgbClr val="E8A0AC"/>
                </a:gs>
                <a:gs pos="100000">
                  <a:srgbClr val="D04159"/>
                </a:gs>
              </a:gsLst>
              <a:lin ang="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'Sheet2 (2)'!$D$5:$D$16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'Sheet2 (2)'!$F$5:$F$16</c:f>
              <c:numCache>
                <c:formatCode>General</c:formatCode>
                <c:ptCount val="12"/>
                <c:pt idx="0">
                  <c:v>135606.4</c:v>
                </c:pt>
                <c:pt idx="1">
                  <c:v>63850.7</c:v>
                </c:pt>
                <c:pt idx="2">
                  <c:v>34221.2</c:v>
                </c:pt>
                <c:pt idx="3">
                  <c:v>63841.5</c:v>
                </c:pt>
                <c:pt idx="4">
                  <c:v>94751.8</c:v>
                </c:pt>
                <c:pt idx="5">
                  <c:v>75068.2</c:v>
                </c:pt>
                <c:pt idx="6">
                  <c:v>34386.6</c:v>
                </c:pt>
                <c:pt idx="7">
                  <c:v>95506.9</c:v>
                </c:pt>
                <c:pt idx="8">
                  <c:v>63889.8</c:v>
                </c:pt>
                <c:pt idx="9">
                  <c:v>44249</c:v>
                </c:pt>
                <c:pt idx="10">
                  <c:v>116036.6</c:v>
                </c:pt>
                <c:pt idx="11">
                  <c:v>67277.4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0660815"/>
        <c:axId val="535152130"/>
      </c:barChart>
      <c:catAx>
        <c:axId val="420660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</a:p>
        </c:txPr>
        <c:crossAx val="535152130"/>
        <c:crosses val="autoZero"/>
        <c:auto val="1"/>
        <c:lblAlgn val="ctr"/>
        <c:lblOffset val="100"/>
        <c:noMultiLvlLbl val="0"/>
      </c:catAx>
      <c:valAx>
        <c:axId val="53515213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</a:p>
        </c:txPr>
        <c:crossAx val="42066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</a:p>
        </c:txPr>
      </c:legendEntry>
      <c:layout>
        <c:manualLayout>
          <c:xMode val="edge"/>
          <c:yMode val="edge"/>
          <c:x val="0.0310194425368449"/>
          <c:y val="0.01129092961987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黑体" panose="02010609060101010101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 sz="1100">
          <a:latin typeface="黑体" panose="02010609060101010101" charset="-122"/>
          <a:ea typeface="黑体" panose="02010609060101010101" charset="-122"/>
          <a:cs typeface="黑体" panose="02010609060101010101" charset="-122"/>
          <a:sym typeface="黑体" panose="0201060906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r>
              <a:rPr sz="1320" b="1"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rPr>
              <a:t>同比分析表</a:t>
            </a:r>
            <a:endParaRPr sz="1320" b="1"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黑体" panose="02010609060101010101" charset="-122"/>
            </a:endParaRPr>
          </a:p>
        </c:rich>
      </c:tx>
      <c:layout>
        <c:manualLayout>
          <c:xMode val="edge"/>
          <c:yMode val="edge"/>
          <c:x val="0.00355956336022781"/>
          <c:y val="0.010380622837370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0355956336022781"/>
          <c:y val="0.235696416706304"/>
          <c:w val="0.992880873279544"/>
          <c:h val="0.60498269896193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10"/>
            <c:spPr>
              <a:gradFill>
                <a:gsLst>
                  <a:gs pos="0">
                    <a:srgbClr val="FBFB11"/>
                  </a:gs>
                  <a:gs pos="100000">
                    <a:srgbClr val="838309"/>
                  </a:gs>
                </a:gsLst>
                <a:lin ang="0" scaled="0"/>
              </a:gradFill>
              <a:ln w="9525">
                <a:solidFill>
                  <a:srgbClr val="7CA895">
                    <a:alpha val="94000"/>
                  </a:srgbClr>
                </a:solidFill>
              </a:ln>
              <a:effectLst/>
            </c:spPr>
          </c:marker>
          <c:dLbls>
            <c:numFmt formatCode="[Red]\ &quot;▲&quot;0.00%;[Green]&quot;▼&quot;\-0.00%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黑体" panose="02010609060101010101" charset="-122"/>
                    <a:ea typeface="黑体" panose="02010609060101010101" charset="-122"/>
                    <a:cs typeface="黑体" panose="02010609060101010101" charset="-122"/>
                    <a:sym typeface="黑体" panose="0201060906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'Sheet2 (2)'!$D$5:$D$16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'Sheet2 (2)'!$G$5:$G$16</c:f>
              <c:numCache>
                <c:formatCode>0.00%</c:formatCode>
                <c:ptCount val="12"/>
                <c:pt idx="0">
                  <c:v>0.667329386523057</c:v>
                </c:pt>
                <c:pt idx="1">
                  <c:v>-0.22085498787671</c:v>
                </c:pt>
                <c:pt idx="2">
                  <c:v>-0.607598246064654</c:v>
                </c:pt>
                <c:pt idx="3">
                  <c:v>-0.26052630664503</c:v>
                </c:pt>
                <c:pt idx="4">
                  <c:v>0.190038281454092</c:v>
                </c:pt>
                <c:pt idx="5">
                  <c:v>-0.0636033984015888</c:v>
                </c:pt>
                <c:pt idx="6">
                  <c:v>-0.59415257547986</c:v>
                </c:pt>
                <c:pt idx="7">
                  <c:v>0.161195056949159</c:v>
                </c:pt>
                <c:pt idx="8">
                  <c:v>-0.220235138470025</c:v>
                </c:pt>
                <c:pt idx="9">
                  <c:v>-0.474885302864521</c:v>
                </c:pt>
                <c:pt idx="10">
                  <c:v>0.343781412563636</c:v>
                </c:pt>
                <c:pt idx="11">
                  <c:v>-0.114715139903573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35000"/>
                  <a:lumOff val="65000"/>
                </a:schemeClr>
              </a:solidFill>
              <a:prstDash val="sysDash"/>
              <a:round/>
            </a:ln>
            <a:effectLst/>
          </c:spPr>
        </c:dropLines>
        <c:marker val="1"/>
        <c:smooth val="1"/>
        <c:axId val="430259089"/>
        <c:axId val="542408525"/>
      </c:lineChart>
      <c:catAx>
        <c:axId val="43025908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</a:p>
        </c:txPr>
        <c:crossAx val="542408525"/>
        <c:crosses val="autoZero"/>
        <c:auto val="1"/>
        <c:lblAlgn val="ctr"/>
        <c:lblOffset val="100"/>
        <c:noMultiLvlLbl val="0"/>
      </c:catAx>
      <c:valAx>
        <c:axId val="542408525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</a:p>
        </c:txPr>
        <c:crossAx val="43025908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 lang="zh-CN" sz="1100">
          <a:latin typeface="黑体" panose="02010609060101010101" charset="-122"/>
          <a:ea typeface="黑体" panose="02010609060101010101" charset="-122"/>
          <a:cs typeface="黑体" panose="02010609060101010101" charset="-122"/>
          <a:sym typeface="黑体" panose="0201060906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12065</xdr:colOff>
      <xdr:row>19</xdr:row>
      <xdr:rowOff>0</xdr:rowOff>
    </xdr:from>
    <xdr:to>
      <xdr:col>13</xdr:col>
      <xdr:colOff>450850</xdr:colOff>
      <xdr:row>25</xdr:row>
      <xdr:rowOff>1210945</xdr:rowOff>
    </xdr:to>
    <xdr:graphicFrame>
      <xdr:nvGraphicFramePr>
        <xdr:cNvPr id="12" name="图表 11"/>
        <xdr:cNvGraphicFramePr/>
      </xdr:nvGraphicFramePr>
      <xdr:xfrm>
        <a:off x="497840" y="4260850"/>
        <a:ext cx="10215245" cy="22396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123190</xdr:colOff>
      <xdr:row>2</xdr:row>
      <xdr:rowOff>196850</xdr:rowOff>
    </xdr:from>
    <xdr:to>
      <xdr:col>13</xdr:col>
      <xdr:colOff>419735</xdr:colOff>
      <xdr:row>9</xdr:row>
      <xdr:rowOff>178435</xdr:rowOff>
    </xdr:to>
    <xdr:graphicFrame>
      <xdr:nvGraphicFramePr>
        <xdr:cNvPr id="22" name="图表 21"/>
        <xdr:cNvGraphicFramePr/>
      </xdr:nvGraphicFramePr>
      <xdr:xfrm>
        <a:off x="3971290" y="488950"/>
        <a:ext cx="6710680" cy="17722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155575</xdr:colOff>
      <xdr:row>10</xdr:row>
      <xdr:rowOff>15240</xdr:rowOff>
    </xdr:from>
    <xdr:to>
      <xdr:col>13</xdr:col>
      <xdr:colOff>422275</xdr:colOff>
      <xdr:row>18</xdr:row>
      <xdr:rowOff>59690</xdr:rowOff>
    </xdr:to>
    <xdr:graphicFrame>
      <xdr:nvGraphicFramePr>
        <xdr:cNvPr id="28" name="图表 27"/>
        <xdr:cNvGraphicFramePr/>
      </xdr:nvGraphicFramePr>
      <xdr:xfrm>
        <a:off x="4003675" y="2326640"/>
        <a:ext cx="6680835" cy="1822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27"/>
  <sheetViews>
    <sheetView showGridLines="0" tabSelected="1" workbookViewId="0">
      <selection activeCell="S13" sqref="S13"/>
    </sheetView>
  </sheetViews>
  <sheetFormatPr defaultColWidth="9" defaultRowHeight="13.5"/>
  <cols>
    <col min="1" max="1" width="1.75" style="1" customWidth="1"/>
    <col min="2" max="2" width="2.125" style="1" customWidth="1"/>
    <col min="3" max="3" width="2.5" style="1" customWidth="1"/>
    <col min="4" max="4" width="8" style="1" customWidth="1"/>
    <col min="5" max="5" width="11.625" style="1" customWidth="1"/>
    <col min="6" max="6" width="11.875" style="1" customWidth="1"/>
    <col min="7" max="7" width="12.625" style="2" customWidth="1"/>
    <col min="8" max="8" width="17.375" style="2" customWidth="1"/>
    <col min="9" max="9" width="1.3" style="2" customWidth="1"/>
    <col min="10" max="11" width="9" style="1"/>
    <col min="12" max="12" width="32.625" style="1" customWidth="1"/>
    <col min="13" max="13" width="14.875" style="1" customWidth="1"/>
    <col min="14" max="14" width="8.25" style="1" customWidth="1"/>
    <col min="15" max="15" width="2.125" style="1" customWidth="1"/>
    <col min="16" max="16" width="2.25" style="1" customWidth="1"/>
    <col min="17" max="18" width="9" style="1"/>
  </cols>
  <sheetData>
    <row r="1" ht="10" customHeight="1"/>
    <row r="2" ht="13" customHeight="1" spans="2:1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ht="27" customHeight="1" spans="2:15">
      <c r="B3" s="3"/>
      <c r="C3" s="4"/>
      <c r="D3" s="5" t="s">
        <v>0</v>
      </c>
      <c r="E3" s="5"/>
      <c r="F3" s="5"/>
      <c r="G3" s="5"/>
      <c r="H3" s="5"/>
      <c r="I3" s="5"/>
      <c r="J3" s="25"/>
      <c r="K3" s="25"/>
      <c r="L3" s="25"/>
      <c r="M3" s="25"/>
      <c r="N3" s="26"/>
      <c r="O3" s="27"/>
    </row>
    <row r="4" ht="24" customHeight="1" spans="2:15">
      <c r="B4" s="3"/>
      <c r="C4" s="6"/>
      <c r="D4" s="7" t="s">
        <v>1</v>
      </c>
      <c r="E4" s="8" t="s">
        <v>2</v>
      </c>
      <c r="F4" s="8" t="s">
        <v>3</v>
      </c>
      <c r="G4" s="9" t="s">
        <v>4</v>
      </c>
      <c r="H4" s="10"/>
      <c r="I4" s="28"/>
      <c r="J4" s="2"/>
      <c r="K4" s="2"/>
      <c r="L4" s="2"/>
      <c r="M4" s="2"/>
      <c r="N4" s="29"/>
      <c r="O4" s="3"/>
    </row>
    <row r="5" ht="18" customHeight="1" spans="2:15">
      <c r="B5" s="3"/>
      <c r="C5" s="6"/>
      <c r="D5" s="11" t="s">
        <v>5</v>
      </c>
      <c r="E5" s="12">
        <v>81331.5</v>
      </c>
      <c r="F5" s="13">
        <v>135606.4</v>
      </c>
      <c r="G5" s="14">
        <f>F5/E5-1</f>
        <v>0.667329386523057</v>
      </c>
      <c r="H5" s="15"/>
      <c r="I5" s="15"/>
      <c r="J5" s="2"/>
      <c r="K5" s="2"/>
      <c r="L5" s="2"/>
      <c r="M5" s="2"/>
      <c r="N5" s="29"/>
      <c r="O5" s="3"/>
    </row>
    <row r="6" ht="18" customHeight="1" spans="2:15">
      <c r="B6" s="3"/>
      <c r="C6" s="6"/>
      <c r="D6" s="11" t="s">
        <v>6</v>
      </c>
      <c r="E6" s="12">
        <v>81949.7</v>
      </c>
      <c r="F6" s="13">
        <v>63850.7</v>
      </c>
      <c r="G6" s="14">
        <f t="shared" ref="G6:G16" si="0">F6/E6-1</f>
        <v>-0.22085498787671</v>
      </c>
      <c r="H6" s="15"/>
      <c r="I6" s="15"/>
      <c r="J6" s="2"/>
      <c r="K6" s="2"/>
      <c r="L6" s="2"/>
      <c r="M6" s="2"/>
      <c r="N6" s="29"/>
      <c r="O6" s="3"/>
    </row>
    <row r="7" ht="18" customHeight="1" spans="2:15">
      <c r="B7" s="3"/>
      <c r="C7" s="6"/>
      <c r="D7" s="11" t="s">
        <v>7</v>
      </c>
      <c r="E7" s="12">
        <v>87209.6</v>
      </c>
      <c r="F7" s="13">
        <v>34221.2</v>
      </c>
      <c r="G7" s="14">
        <f t="shared" si="0"/>
        <v>-0.607598246064654</v>
      </c>
      <c r="H7" s="15"/>
      <c r="I7" s="15"/>
      <c r="J7" s="2"/>
      <c r="K7" s="2"/>
      <c r="L7" s="2"/>
      <c r="M7" s="2"/>
      <c r="N7" s="29"/>
      <c r="O7" s="3"/>
    </row>
    <row r="8" ht="18" customHeight="1" spans="2:15">
      <c r="B8" s="3"/>
      <c r="C8" s="6"/>
      <c r="D8" s="11" t="s">
        <v>8</v>
      </c>
      <c r="E8" s="12">
        <v>86333.7</v>
      </c>
      <c r="F8" s="13">
        <v>63841.5</v>
      </c>
      <c r="G8" s="14">
        <f t="shared" si="0"/>
        <v>-0.26052630664503</v>
      </c>
      <c r="H8" s="15"/>
      <c r="I8" s="15"/>
      <c r="J8" s="2"/>
      <c r="K8" s="2"/>
      <c r="L8" s="2"/>
      <c r="M8" s="2"/>
      <c r="N8" s="29"/>
      <c r="O8" s="3"/>
    </row>
    <row r="9" ht="18" customHeight="1" spans="2:15">
      <c r="B9" s="3"/>
      <c r="C9" s="6"/>
      <c r="D9" s="11" t="s">
        <v>9</v>
      </c>
      <c r="E9" s="12">
        <v>79620.8</v>
      </c>
      <c r="F9" s="13">
        <v>94751.8</v>
      </c>
      <c r="G9" s="14">
        <f t="shared" si="0"/>
        <v>0.190038281454092</v>
      </c>
      <c r="H9" s="15"/>
      <c r="I9" s="15"/>
      <c r="J9" s="2"/>
      <c r="K9" s="2"/>
      <c r="L9" s="2"/>
      <c r="M9" s="2"/>
      <c r="N9" s="29"/>
      <c r="O9" s="3"/>
    </row>
    <row r="10" ht="18" customHeight="1" spans="2:15">
      <c r="B10" s="3"/>
      <c r="C10" s="6"/>
      <c r="D10" s="11" t="s">
        <v>10</v>
      </c>
      <c r="E10" s="12">
        <v>80167.1</v>
      </c>
      <c r="F10" s="13">
        <v>75068.2</v>
      </c>
      <c r="G10" s="14">
        <f t="shared" si="0"/>
        <v>-0.0636033984015888</v>
      </c>
      <c r="H10" s="15"/>
      <c r="I10" s="15"/>
      <c r="J10" s="2"/>
      <c r="K10" s="2"/>
      <c r="L10" s="2"/>
      <c r="M10" s="2"/>
      <c r="N10" s="29"/>
      <c r="O10" s="3"/>
    </row>
    <row r="11" ht="18" customHeight="1" spans="2:15">
      <c r="B11" s="3"/>
      <c r="C11" s="6"/>
      <c r="D11" s="11" t="s">
        <v>11</v>
      </c>
      <c r="E11" s="12">
        <v>84727.9</v>
      </c>
      <c r="F11" s="13">
        <v>34386.6</v>
      </c>
      <c r="G11" s="14">
        <f t="shared" si="0"/>
        <v>-0.59415257547986</v>
      </c>
      <c r="H11" s="15"/>
      <c r="I11" s="15"/>
      <c r="J11" s="2"/>
      <c r="K11" s="2"/>
      <c r="L11" s="2"/>
      <c r="M11" s="2"/>
      <c r="N11" s="29"/>
      <c r="O11" s="3"/>
    </row>
    <row r="12" ht="18" customHeight="1" spans="2:15">
      <c r="B12" s="3"/>
      <c r="C12" s="6"/>
      <c r="D12" s="11" t="s">
        <v>12</v>
      </c>
      <c r="E12" s="12">
        <v>82248.8</v>
      </c>
      <c r="F12" s="13">
        <v>95506.9</v>
      </c>
      <c r="G12" s="14">
        <f t="shared" si="0"/>
        <v>0.161195056949159</v>
      </c>
      <c r="H12" s="15"/>
      <c r="I12" s="15"/>
      <c r="J12" s="2"/>
      <c r="K12" s="2"/>
      <c r="L12" s="2"/>
      <c r="M12" s="2"/>
      <c r="N12" s="29"/>
      <c r="O12" s="3"/>
    </row>
    <row r="13" ht="18" customHeight="1" spans="2:15">
      <c r="B13" s="3"/>
      <c r="C13" s="6"/>
      <c r="D13" s="11" t="s">
        <v>13</v>
      </c>
      <c r="E13" s="12">
        <v>81934.7</v>
      </c>
      <c r="F13" s="13">
        <v>63889.8</v>
      </c>
      <c r="G13" s="14">
        <f t="shared" si="0"/>
        <v>-0.220235138470025</v>
      </c>
      <c r="H13" s="15"/>
      <c r="I13" s="15"/>
      <c r="J13" s="2"/>
      <c r="K13" s="2"/>
      <c r="L13" s="2"/>
      <c r="M13" s="2"/>
      <c r="N13" s="29"/>
      <c r="O13" s="3"/>
    </row>
    <row r="14" ht="18" customHeight="1" spans="2:15">
      <c r="B14" s="3"/>
      <c r="C14" s="6"/>
      <c r="D14" s="11" t="s">
        <v>14</v>
      </c>
      <c r="E14" s="12">
        <v>84265.4</v>
      </c>
      <c r="F14" s="13">
        <v>44249</v>
      </c>
      <c r="G14" s="14">
        <f t="shared" si="0"/>
        <v>-0.474885302864521</v>
      </c>
      <c r="H14" s="15"/>
      <c r="I14" s="15"/>
      <c r="J14" s="2"/>
      <c r="K14" s="2"/>
      <c r="L14" s="2"/>
      <c r="M14" s="2"/>
      <c r="N14" s="29"/>
      <c r="O14" s="3"/>
    </row>
    <row r="15" ht="18" customHeight="1" spans="2:15">
      <c r="B15" s="3"/>
      <c r="C15" s="6"/>
      <c r="D15" s="11" t="s">
        <v>15</v>
      </c>
      <c r="E15" s="12">
        <v>86350.8</v>
      </c>
      <c r="F15" s="13">
        <v>116036.6</v>
      </c>
      <c r="G15" s="14">
        <f t="shared" si="0"/>
        <v>0.343781412563636</v>
      </c>
      <c r="H15" s="15"/>
      <c r="I15" s="15"/>
      <c r="J15" s="2"/>
      <c r="K15" s="2"/>
      <c r="L15" s="2"/>
      <c r="M15" s="2"/>
      <c r="N15" s="29"/>
      <c r="O15" s="3"/>
    </row>
    <row r="16" ht="18" customHeight="1" spans="2:15">
      <c r="B16" s="3"/>
      <c r="C16" s="6"/>
      <c r="D16" s="16" t="s">
        <v>16</v>
      </c>
      <c r="E16" s="17">
        <v>75995.2</v>
      </c>
      <c r="F16" s="18">
        <v>67277.4</v>
      </c>
      <c r="G16" s="19">
        <f t="shared" si="0"/>
        <v>-0.114715139903573</v>
      </c>
      <c r="H16" s="15"/>
      <c r="I16" s="15"/>
      <c r="J16" s="2"/>
      <c r="K16" s="2"/>
      <c r="L16" s="2"/>
      <c r="M16" s="2"/>
      <c r="N16" s="29"/>
      <c r="O16" s="3"/>
    </row>
    <row r="17" ht="7" customHeight="1" spans="2:15">
      <c r="B17" s="3"/>
      <c r="C17" s="6"/>
      <c r="D17" s="2"/>
      <c r="E17" s="2"/>
      <c r="F17" s="2"/>
      <c r="J17" s="2"/>
      <c r="K17" s="2"/>
      <c r="L17" s="2"/>
      <c r="M17" s="2"/>
      <c r="N17" s="29"/>
      <c r="O17" s="3"/>
    </row>
    <row r="18" ht="25" customHeight="1" spans="2:15">
      <c r="B18" s="3"/>
      <c r="C18" s="6"/>
      <c r="D18" s="20" t="s">
        <v>17</v>
      </c>
      <c r="E18" s="21">
        <f>SUM(E5:E16)</f>
        <v>992135.2</v>
      </c>
      <c r="F18" s="21">
        <f>SUM(F5:F16)</f>
        <v>888686.1</v>
      </c>
      <c r="G18" s="22">
        <f>F18/E18-1</f>
        <v>-0.10426915605857</v>
      </c>
      <c r="H18" s="15"/>
      <c r="I18" s="30"/>
      <c r="J18" s="2"/>
      <c r="K18" s="2"/>
      <c r="L18" s="2"/>
      <c r="M18" s="2"/>
      <c r="N18" s="29"/>
      <c r="O18" s="3"/>
    </row>
    <row r="19" spans="2:15">
      <c r="B19" s="3"/>
      <c r="C19" s="6"/>
      <c r="D19" s="2"/>
      <c r="E19" s="2"/>
      <c r="F19" s="2"/>
      <c r="J19" s="2"/>
      <c r="K19" s="2"/>
      <c r="L19" s="2"/>
      <c r="M19" s="2"/>
      <c r="N19" s="29"/>
      <c r="O19" s="3"/>
    </row>
    <row r="20" spans="2:15">
      <c r="B20" s="3"/>
      <c r="C20" s="6"/>
      <c r="D20" s="2"/>
      <c r="E20" s="2"/>
      <c r="F20" s="2"/>
      <c r="J20" s="2"/>
      <c r="K20" s="2"/>
      <c r="L20" s="2"/>
      <c r="M20" s="2"/>
      <c r="N20" s="29"/>
      <c r="O20" s="3"/>
    </row>
    <row r="21" spans="2:15">
      <c r="B21" s="3"/>
      <c r="C21" s="6"/>
      <c r="D21" s="2"/>
      <c r="E21" s="2"/>
      <c r="F21" s="2"/>
      <c r="J21" s="2"/>
      <c r="K21" s="2"/>
      <c r="L21" s="2"/>
      <c r="M21" s="2"/>
      <c r="N21" s="29"/>
      <c r="O21" s="3"/>
    </row>
    <row r="22" spans="2:15">
      <c r="B22" s="3"/>
      <c r="C22" s="6"/>
      <c r="D22" s="2"/>
      <c r="E22" s="2"/>
      <c r="F22" s="2"/>
      <c r="J22" s="2"/>
      <c r="K22" s="2"/>
      <c r="L22" s="2"/>
      <c r="M22" s="2"/>
      <c r="N22" s="29"/>
      <c r="O22" s="3"/>
    </row>
    <row r="23" spans="2:15">
      <c r="B23" s="3"/>
      <c r="C23" s="6"/>
      <c r="D23" s="2"/>
      <c r="E23" s="2"/>
      <c r="F23" s="2"/>
      <c r="J23" s="2"/>
      <c r="K23" s="2"/>
      <c r="L23" s="2"/>
      <c r="M23" s="2"/>
      <c r="N23" s="29"/>
      <c r="O23" s="3"/>
    </row>
    <row r="24" spans="2:15">
      <c r="B24" s="3"/>
      <c r="C24" s="6"/>
      <c r="D24" s="2"/>
      <c r="E24" s="2"/>
      <c r="F24" s="2"/>
      <c r="J24" s="2"/>
      <c r="K24" s="2"/>
      <c r="L24" s="2"/>
      <c r="M24" s="2"/>
      <c r="N24" s="29"/>
      <c r="O24" s="3"/>
    </row>
    <row r="25" spans="2:15">
      <c r="B25" s="3"/>
      <c r="C25" s="6"/>
      <c r="D25" s="2"/>
      <c r="E25" s="2"/>
      <c r="F25" s="2"/>
      <c r="J25" s="2"/>
      <c r="K25" s="2"/>
      <c r="L25" s="2"/>
      <c r="M25" s="2"/>
      <c r="N25" s="29"/>
      <c r="O25" s="3"/>
    </row>
    <row r="26" ht="107" customHeight="1" spans="2:15">
      <c r="B26" s="3"/>
      <c r="C26" s="23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31"/>
      <c r="O26" s="3"/>
    </row>
    <row r="27" spans="2: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</sheetData>
  <mergeCells count="1">
    <mergeCell ref="D3:G3"/>
  </mergeCells>
  <conditionalFormatting sqref="I5:I16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{7c4acb31-f339-490c-8130-5e1e12eba00b}</x14:id>
        </ext>
      </extLst>
    </cfRule>
  </conditionalFormatting>
  <pageMargins left="0.7" right="0.7" top="0.75" bottom="0.75" header="0.3" footer="0.3"/>
  <pageSetup paperSize="9" orientation="portrait" horizontalDpi="300" verticalDpi="300"/>
  <headerFooter/>
  <ignoredErrors>
    <ignoredError sqref="E18:F18" formulaRange="1"/>
  </ignoredError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b3024501-d77f-4570-83d3-6705a763a747}">
            <x14:iconSet iconSet="3TrafficLights1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NoIcons" iconId="0"/>
              <x14:cfIcon iconSet="3Arrows" iconId="2"/>
            </x14:iconSet>
          </x14:cfRule>
          <xm:sqref>G18:H18</xm:sqref>
        </x14:conditionalFormatting>
        <x14:conditionalFormatting xmlns:xm="http://schemas.microsoft.com/office/excel/2006/main">
          <x14:cfRule type="dataBar" id="{7c4acb31-f339-490c-8130-5e1e12eba0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I5:I16</xm:sqref>
        </x14:conditionalFormatting>
        <x14:conditionalFormatting xmlns:xm="http://schemas.microsoft.com/office/excel/2006/main">
          <x14:cfRule type="iconSet" priority="2" id="{2706c09e-0558-4adb-acf4-bab5b270f6e1}">
            <x14:iconSet iconSet="3TrafficLights1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NoIcons" iconId="0"/>
              <x14:cfIcon iconSet="3Arrows" iconId="2"/>
            </x14:iconSet>
          </x14:cfRule>
          <xm:sqref>G5:H16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陈东捷</cp:lastModifiedBy>
  <dcterms:created xsi:type="dcterms:W3CDTF">2019-08-25T07:11:00Z</dcterms:created>
  <dcterms:modified xsi:type="dcterms:W3CDTF">2021-05-13T06:15:37Z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014FF3E408B943ABADA82016919EA988</vt:lpwstr>
  </property>
</Properties>
</file>