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<sst xmlns="http://schemas.openxmlformats.org/spreadsheetml/2006/main" count="18" uniqueCount="18">
  <si>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年度盈利财务报告图表模板</t>
  </si>
  <si>
    <t>月份</t>
  </si>
  <si>
    <t>销售额</t>
  </si>
  <si>
    <t>成本</t>
  </si>
  <si>
    <t>盈利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</si>
  <si>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</si>
  <si>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</si>
  <si>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</si>
  <si>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</si>
  <si>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</si>
  <si>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</si>
  <si>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</si>
  <si>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</si>
  <si>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</si>
  <si>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</si>
  <si>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</si>
  <si>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</si>
  <si>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总计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</si>
</sst>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1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1" tint="0.15"/>
      <name val="微软雅黑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445F7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21" fillId="30" borderId="9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176" fontId="5" fillId="2" borderId="1" xfId="0" applyNumberFormat="1" applyFont="1" applyFill="1" applyBorder="1">
      <alignment vertical="center"/>
    </xf>
    <xf numFmtId="0" fontId="5" fillId="4" borderId="1" xfId="0" applyFont="1" applyFill="1" applyBorder="1">
      <alignment vertical="center"/>
    </xf>
    <xf numFmtId="176" fontId="5" fillId="4" borderId="1" xfId="0" applyNumberFormat="1" applyFont="1" applyFill="1" applyBorder="1">
      <alignment vertical="center"/>
    </xf>
    <xf numFmtId="0" fontId="3" fillId="3" borderId="1" xfId="0" applyFont="1" applyFill="1" applyBorder="1">
      <alignment vertical="center"/>
    </xf>
    <xf numFmtId="176" fontId="3" fillId="3" borderId="1" xfId="0" applyNumberFormat="1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A828C"/>
      <color rgb="00C9B64B"/>
      <color rgb="003BC4C5"/>
      <color rgb="0085D997"/>
      <color rgb="00FFFF66"/>
      <color rgb="0062B0B3"/>
      <color rgb="00FFFFFF"/>
      <color rgb="00445F7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rgbClr val="445F7A"/>
            </a:solidFill>
            <a:ln w="28575" cap="rnd">
              <a:noFill/>
              <a:round/>
            </a:ln>
            <a:effectLst/>
          </c:spPr>
          <c:dLbls>
            <c:delete val="1"/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88333</c:v>
                </c:pt>
                <c:pt idx="1">
                  <c:v>104651</c:v>
                </c:pt>
                <c:pt idx="2">
                  <c:v>66475</c:v>
                </c:pt>
                <c:pt idx="3">
                  <c:v>83633</c:v>
                </c:pt>
                <c:pt idx="4">
                  <c:v>80340</c:v>
                </c:pt>
                <c:pt idx="5">
                  <c:v>88269</c:v>
                </c:pt>
                <c:pt idx="6">
                  <c:v>79658</c:v>
                </c:pt>
                <c:pt idx="7">
                  <c:v>109049</c:v>
                </c:pt>
                <c:pt idx="8">
                  <c:v>88389</c:v>
                </c:pt>
                <c:pt idx="9">
                  <c:v>92715</c:v>
                </c:pt>
                <c:pt idx="10">
                  <c:v>100973</c:v>
                </c:pt>
                <c:pt idx="11">
                  <c:v>92512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615905"/>
        <c:axId val="746934111"/>
      </c:areaChart>
      <c:catAx>
        <c:axId val="539615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46934111"/>
        <c:crosses val="autoZero"/>
        <c:auto val="1"/>
        <c:lblAlgn val="ctr"/>
        <c:lblOffset val="100"/>
        <c:noMultiLvlLbl val="0"/>
      </c:catAx>
      <c:valAx>
        <c:axId val="74693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961590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>
          <a:solidFill>
            <a:schemeClr val="tx1">
              <a:lumMod val="85000"/>
              <a:lumOff val="1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成本</c:v>
                </c:pt>
              </c:strCache>
            </c:strRef>
          </c:tx>
          <c:spPr>
            <a:solidFill>
              <a:srgbClr val="445F7A"/>
            </a:solidFill>
            <a:ln w="31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explosion val="0"/>
          <c:dPt>
            <c:idx val="0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6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7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8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9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10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Pt>
            <c:idx val="11"/>
            <c:bubble3D val="0"/>
            <c:spPr>
              <a:solidFill>
                <a:srgbClr val="445F7A"/>
              </a:solidFill>
              <a:ln w="3175" cap="rnd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47803</c:v>
                </c:pt>
                <c:pt idx="1">
                  <c:v>69657</c:v>
                </c:pt>
                <c:pt idx="2">
                  <c:v>43205</c:v>
                </c:pt>
                <c:pt idx="3">
                  <c:v>64470</c:v>
                </c:pt>
                <c:pt idx="4">
                  <c:v>57793</c:v>
                </c:pt>
                <c:pt idx="5">
                  <c:v>45848</c:v>
                </c:pt>
                <c:pt idx="6">
                  <c:v>62462</c:v>
                </c:pt>
                <c:pt idx="7">
                  <c:v>66883</c:v>
                </c:pt>
                <c:pt idx="8">
                  <c:v>55325</c:v>
                </c:pt>
                <c:pt idx="9">
                  <c:v>68590</c:v>
                </c:pt>
                <c:pt idx="10">
                  <c:v>62242</c:v>
                </c:pt>
                <c:pt idx="11">
                  <c:v>51729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altLang="en-US">
                <a:solidFill>
                  <a:schemeClr val="tx1">
                    <a:lumMod val="95000"/>
                    <a:lumOff val="5000"/>
                  </a:schemeClr>
                </a:solidFill>
              </a:rPr>
              <a:t>利润情况</a:t>
            </a:r>
            <a:endParaRPr lang="en-US" altLang="zh-CN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盈利</c:v>
                </c:pt>
              </c:strCache>
            </c:strRef>
          </c:tx>
          <c:spPr>
            <a:solidFill>
              <a:srgbClr val="445F7A"/>
            </a:solidFill>
            <a:ln w="28575" cap="rnd">
              <a:noFill/>
              <a:round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Sheet1!$D$3:$D$14</c:f>
              <c:numCache>
                <c:formatCode>0_ </c:formatCode>
                <c:ptCount val="12"/>
                <c:pt idx="0">
                  <c:v>40530</c:v>
                </c:pt>
                <c:pt idx="1">
                  <c:v>34994</c:v>
                </c:pt>
                <c:pt idx="2">
                  <c:v>23270</c:v>
                </c:pt>
                <c:pt idx="3">
                  <c:v>19163</c:v>
                </c:pt>
                <c:pt idx="4">
                  <c:v>22547</c:v>
                </c:pt>
                <c:pt idx="5">
                  <c:v>42421</c:v>
                </c:pt>
                <c:pt idx="6">
                  <c:v>17196</c:v>
                </c:pt>
                <c:pt idx="7">
                  <c:v>42166</c:v>
                </c:pt>
                <c:pt idx="8">
                  <c:v>33064</c:v>
                </c:pt>
                <c:pt idx="9">
                  <c:v>24125</c:v>
                </c:pt>
                <c:pt idx="10">
                  <c:v>38731</c:v>
                </c:pt>
                <c:pt idx="11">
                  <c:v>40783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539615905"/>
        <c:axId val="746934111"/>
      </c:barChart>
      <c:lineChart>
        <c:grouping val="standard"/>
        <c:varyColors val="0"/>
        <c:ser>
          <c:idx val="1"/>
          <c:order val="1"/>
          <c:tx>
            <c:strRef>
              <c:f>Sheet1!$D$2</c:f>
              <c:strCache>
                <c:ptCount val="1"/>
                <c:pt idx="0">
                  <c:v>盈利</c:v>
                </c:pt>
              </c:strCache>
            </c:strRef>
          </c:tx>
          <c:spPr>
            <a:ln w="57150" cap="rnd">
              <a:solidFill>
                <a:srgbClr val="62B0B3"/>
              </a:solidFill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Sheet1!$D$3:$D$14</c:f>
              <c:numCache>
                <c:formatCode>0_ </c:formatCode>
                <c:ptCount val="12"/>
                <c:pt idx="0">
                  <c:v>40530</c:v>
                </c:pt>
                <c:pt idx="1">
                  <c:v>34994</c:v>
                </c:pt>
                <c:pt idx="2">
                  <c:v>23270</c:v>
                </c:pt>
                <c:pt idx="3">
                  <c:v>19163</c:v>
                </c:pt>
                <c:pt idx="4">
                  <c:v>22547</c:v>
                </c:pt>
                <c:pt idx="5">
                  <c:v>42421</c:v>
                </c:pt>
                <c:pt idx="6">
                  <c:v>17196</c:v>
                </c:pt>
                <c:pt idx="7">
                  <c:v>42166</c:v>
                </c:pt>
                <c:pt idx="8">
                  <c:v>33064</c:v>
                </c:pt>
                <c:pt idx="9">
                  <c:v>24125</c:v>
                </c:pt>
                <c:pt idx="10">
                  <c:v>38731</c:v>
                </c:pt>
                <c:pt idx="11">
                  <c:v>40783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39615905"/>
        <c:axId val="746934111"/>
      </c:lineChart>
      <c:catAx>
        <c:axId val="539615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46934111"/>
        <c:crosses val="autoZero"/>
        <c:auto val="1"/>
        <c:lblAlgn val="ctr"/>
        <c:lblOffset val="100"/>
        <c:noMultiLvlLbl val="0"/>
      </c:catAx>
      <c:valAx>
        <c:axId val="74693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9615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95000"/>
              <a:lumOff val="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38100</xdr:colOff>
      <xdr:row>0</xdr:row>
      <xdr:rowOff>13970</xdr:rowOff>
    </xdr:from>
    <xdr:to>
      <xdr:col>10</xdr:col>
      <xdr:colOff>670560</xdr:colOff>
      <xdr:row>14</xdr:row>
      <xdr:rowOff>205105</xdr:rowOff>
    </xdr:to>
    <xdr:graphicFrame>
      <xdr:nvGraphicFramePr>
        <xdr:cNvPr id="2" name="图表 1"/>
        <xdr:cNvGraphicFramePr/>
      </xdr:nvGraphicFramePr>
      <xdr:xfrm>
        <a:off x="4019550" y="13970"/>
        <a:ext cx="4747260" cy="3239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8890</xdr:colOff>
      <xdr:row>0</xdr:row>
      <xdr:rowOff>13970</xdr:rowOff>
    </xdr:from>
    <xdr:to>
      <xdr:col>18</xdr:col>
      <xdr:colOff>8255</xdr:colOff>
      <xdr:row>33</xdr:row>
      <xdr:rowOff>175260</xdr:rowOff>
    </xdr:to>
    <xdr:graphicFrame>
      <xdr:nvGraphicFramePr>
        <xdr:cNvPr id="3" name="图表 2"/>
        <xdr:cNvGraphicFramePr/>
      </xdr:nvGraphicFramePr>
      <xdr:xfrm>
        <a:off x="8790940" y="13970"/>
        <a:ext cx="4799965" cy="7190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15</xdr:row>
      <xdr:rowOff>22860</xdr:rowOff>
    </xdr:from>
    <xdr:to>
      <xdr:col>10</xdr:col>
      <xdr:colOff>668020</xdr:colOff>
      <xdr:row>33</xdr:row>
      <xdr:rowOff>185420</xdr:rowOff>
    </xdr:to>
    <xdr:graphicFrame>
      <xdr:nvGraphicFramePr>
        <xdr:cNvPr id="4" name="图表 3"/>
        <xdr:cNvGraphicFramePr/>
      </xdr:nvGraphicFramePr>
      <xdr:xfrm>
        <a:off x="9525" y="3280410"/>
        <a:ext cx="8754745" cy="3934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workbookViewId="0">
      <selection activeCell="C3" sqref="C3"/>
    </sheetView>
  </sheetViews>
  <sheetFormatPr defaultColWidth="9" defaultRowHeight="16.5" outlineLevelCol="6"/>
  <cols>
    <col min="1" max="1" width="12.625" style="1" customWidth="1"/>
    <col min="2" max="2" width="15.125" style="1" customWidth="1"/>
    <col min="3" max="3" width="11.375" style="1" customWidth="1"/>
    <col min="4" max="4" width="13.125" style="1" customWidth="1"/>
    <col min="5" max="16384" width="9" style="1"/>
  </cols>
  <sheetData>
    <row r="1" ht="27" customHeight="1" spans="1:7">
      <c r="A1" s="2" t="s">
        <v>0</v>
      </c>
      <c r="B1" s="2"/>
      <c r="C1" s="2"/>
      <c r="D1" s="2"/>
      <c r="E1" s="3"/>
      <c r="F1" s="4"/>
      <c r="G1" s="4"/>
    </row>
    <row r="2" ht="15" spans="1:4">
      <c r="A2" s="5" t="s">
        <v>1</v>
      </c>
      <c r="B2" s="5" t="s">
        <v>2</v>
      </c>
      <c r="C2" s="5" t="s">
        <v>3</v>
      </c>
      <c r="D2" s="5" t="s">
        <v>4</v>
      </c>
    </row>
    <row r="3" spans="1:4">
      <c r="A3" s="6" t="s">
        <v>5</v>
      </c>
      <c r="B3" s="6">
        <v>88333</v>
      </c>
      <c r="C3" s="6">
        <v>47803</v>
      </c>
      <c r="D3" s="7">
        <f>B3-C3</f>
        <v>40530</v>
      </c>
    </row>
    <row r="4" spans="1:4">
      <c r="A4" s="8" t="s">
        <v>6</v>
      </c>
      <c r="B4" s="8">
        <v>104651</v>
      </c>
      <c r="C4" s="8">
        <v>69657</v>
      </c>
      <c r="D4" s="9">
        <f t="shared" ref="D4:D14" si="0">B4-C4</f>
        <v>34994</v>
      </c>
    </row>
    <row r="5" spans="1:4">
      <c r="A5" s="6" t="s">
        <v>7</v>
      </c>
      <c r="B5" s="6">
        <v>66475</v>
      </c>
      <c r="C5" s="6">
        <v>43205</v>
      </c>
      <c r="D5" s="7">
        <f t="shared" si="0"/>
        <v>23270</v>
      </c>
    </row>
    <row r="6" spans="1:4">
      <c r="A6" s="8" t="s">
        <v>8</v>
      </c>
      <c r="B6" s="8">
        <v>83633</v>
      </c>
      <c r="C6" s="8">
        <v>64470</v>
      </c>
      <c r="D6" s="9">
        <f t="shared" si="0"/>
        <v>19163</v>
      </c>
    </row>
    <row r="7" spans="1:4">
      <c r="A7" s="6" t="s">
        <v>9</v>
      </c>
      <c r="B7" s="6">
        <v>80340</v>
      </c>
      <c r="C7" s="6">
        <v>57793</v>
      </c>
      <c r="D7" s="7">
        <f t="shared" si="0"/>
        <v>22547</v>
      </c>
    </row>
    <row r="8" spans="1:4">
      <c r="A8" s="8" t="s">
        <v>10</v>
      </c>
      <c r="B8" s="8">
        <v>88269</v>
      </c>
      <c r="C8" s="8">
        <v>45848</v>
      </c>
      <c r="D8" s="9">
        <f t="shared" si="0"/>
        <v>42421</v>
      </c>
    </row>
    <row r="9" spans="1:4">
      <c r="A9" s="6" t="s">
        <v>11</v>
      </c>
      <c r="B9" s="6">
        <v>79658</v>
      </c>
      <c r="C9" s="6">
        <v>62462</v>
      </c>
      <c r="D9" s="7">
        <f t="shared" si="0"/>
        <v>17196</v>
      </c>
    </row>
    <row r="10" spans="1:4">
      <c r="A10" s="8" t="s">
        <v>12</v>
      </c>
      <c r="B10" s="8">
        <v>109049</v>
      </c>
      <c r="C10" s="8">
        <v>66883</v>
      </c>
      <c r="D10" s="9">
        <f t="shared" si="0"/>
        <v>42166</v>
      </c>
    </row>
    <row r="11" spans="1:4">
      <c r="A11" s="6" t="s">
        <v>13</v>
      </c>
      <c r="B11" s="6">
        <v>88389</v>
      </c>
      <c r="C11" s="6">
        <v>55325</v>
      </c>
      <c r="D11" s="7">
        <f t="shared" si="0"/>
        <v>33064</v>
      </c>
    </row>
    <row r="12" spans="1:4">
      <c r="A12" s="8" t="s">
        <v>14</v>
      </c>
      <c r="B12" s="8">
        <v>92715</v>
      </c>
      <c r="C12" s="8">
        <v>68590</v>
      </c>
      <c r="D12" s="9">
        <f t="shared" si="0"/>
        <v>24125</v>
      </c>
    </row>
    <row r="13" spans="1:4">
      <c r="A13" s="6" t="s">
        <v>15</v>
      </c>
      <c r="B13" s="6">
        <v>100973</v>
      </c>
      <c r="C13" s="6">
        <v>62242</v>
      </c>
      <c r="D13" s="7">
        <f t="shared" si="0"/>
        <v>38731</v>
      </c>
    </row>
    <row r="14" spans="1:4">
      <c r="A14" s="8" t="s">
        <v>16</v>
      </c>
      <c r="B14" s="8">
        <v>92512</v>
      </c>
      <c r="C14" s="8">
        <v>51729</v>
      </c>
      <c r="D14" s="9">
        <f t="shared" si="0"/>
        <v>40783</v>
      </c>
    </row>
    <row r="15" spans="1:4">
      <c r="A15" s="10" t="s">
        <v>17</v>
      </c>
      <c r="B15" s="10">
        <f>SUM(B3:B14)</f>
        <v>1074997</v>
      </c>
      <c r="C15" s="10">
        <f>SUM(C3:C14)</f>
        <v>696007</v>
      </c>
      <c r="D15" s="11">
        <f>SUM(D3:D14)</f>
        <v>378990</v>
      </c>
    </row>
  </sheetData>
  <mergeCells count="2">
    <mergeCell ref="A1:D1"/>
    <mergeCell ref="F1:G1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2017-06-29T08:21:00Z</dcterms:created>
  <dcterms:modified xsi:type="dcterms:W3CDTF">2021-05-13T06:18:37Z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A5CD20BCD11A40DFA8BA0C148E664183</vt:lpwstr>
  </property>
</Properties>
</file>