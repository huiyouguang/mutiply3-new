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7"/>
  </bookViews>
  <sheets>
    <sheet name="目录" sheetId="2" r:id="rId1"/>
    <sheet name="1月" sheetId="1" r:id="rId2"/>
    <sheet name="2月" sheetId="5" r:id="rId3"/>
    <sheet name="3月" sheetId="6" r:id="rId4"/>
    <sheet name="4月" sheetId="7" r:id="rId5"/>
    <sheet name="5月" sheetId="8" r:id="rId6"/>
    <sheet name="6月" sheetId="9" r:id="rId7"/>
    <sheet name="7月" sheetId="10" r:id="rId8"/>
    <sheet name="8月" sheetId="11" r:id="rId9"/>
    <sheet name="9月" sheetId="12" r:id="rId10"/>
    <sheet name="10月" sheetId="13" r:id="rId11"/>
    <sheet name="11月" sheetId="14" r:id="rId12"/>
    <sheet name="12月" sheetId="15" r:id="rId13"/>
  </sheets>
  <calcPr calcId="144525"/>
</workbook>
</file>

<file path=xl/sharedStrings.xml><?xml version="1.0" encoding="utf-8"?>
<sst xmlns="http://schemas.openxmlformats.org/spreadsheetml/2006/main" count="321" uniqueCount="39">
  <si>
    <t>年度财务收入支出汇总表（自动汇总）</t>
  </si>
  <si>
    <t>年度</t>
  </si>
  <si>
    <t>第一季度</t>
  </si>
  <si>
    <t>第二季度</t>
  </si>
  <si>
    <t>第三季度</t>
  </si>
  <si>
    <t>第四季度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</si>
  <si>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</si>
  <si>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</si>
  <si>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</si>
  <si>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</si>
  <si>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</si>
  <si>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</si>
  <si>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</si>
  <si>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</si>
  <si>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</si>
  <si>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</si>
  <si>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</si>
  <si>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</si>
  <si>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收入</t>
  </si>
  <si>
    <t>支出</t>
  </si>
  <si>
    <t>结余</t>
  </si>
  <si>
    <t>月度收入支出明细表（自动统计）</t>
  </si>
  <si>
    <t>记账周期</t>
  </si>
  <si>
    <t>年   月   日——   年   月   日</t>
  </si>
  <si>
    <t>记录人：</t>
  </si>
  <si>
    <t>本月收入</t>
  </si>
  <si>
    <t>总计</t>
  </si>
  <si>
    <t>支出明细表</t>
  </si>
  <si>
    <t>收入明细表</t>
  </si>
  <si>
    <t>本月支出</t>
  </si>
  <si>
    <t>编号</t>
  </si>
  <si>
    <t>支出金额</t>
  </si>
  <si>
    <t>支出项目</t>
  </si>
  <si>
    <t>摘要</t>
  </si>
  <si>
    <t>备注</t>
  </si>
  <si>
    <t>收入金额</t>
  </si>
  <si>
    <t>收入项目</t>
  </si>
  <si>
    <t>结余总额</t>
  </si>
  <si>
    <t>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</si>
</sst>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8" tint="-0.499984740745262"/>
      <name val="微软雅黑"/>
      <charset val="134"/>
    </font>
    <font>
      <sz val="16"/>
      <color theme="1"/>
      <name val="隶书"/>
      <charset val="134"/>
    </font>
    <font>
      <sz val="12"/>
      <color theme="7" tint="-0.499984740745262"/>
      <name val="微软雅黑"/>
      <charset val="134"/>
    </font>
    <font>
      <sz val="12"/>
      <color theme="8" tint="-0.499984740745262"/>
      <name val="微软雅黑"/>
      <charset val="134"/>
    </font>
    <font>
      <sz val="14"/>
      <color theme="1" tint="0.0499893185216834"/>
      <name val="隶书"/>
      <charset val="134"/>
    </font>
    <font>
      <b/>
      <sz val="26"/>
      <color theme="0"/>
      <name val="隶书"/>
      <charset val="134"/>
    </font>
    <font>
      <sz val="10"/>
      <color theme="1"/>
      <name val="微软雅黑"/>
      <charset val="134"/>
    </font>
    <font>
      <b/>
      <sz val="20"/>
      <color theme="1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/>
      <right style="thin">
        <color rgb="FF00B0F0"/>
      </right>
      <top/>
      <bottom style="medium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 style="medium">
        <color rgb="FF00B0F0"/>
      </left>
      <right/>
      <top/>
      <bottom/>
      <diagonal/>
    </border>
    <border>
      <left style="medium">
        <color rgb="FF00B050"/>
      </left>
      <right/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/>
      <right/>
      <top style="medium">
        <color rgb="FF00B050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/>
      <bottom/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8" fillId="15" borderId="5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6" borderId="57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3" applyNumberFormat="0" applyFill="0" applyAlignment="0" applyProtection="0">
      <alignment vertical="center"/>
    </xf>
    <xf numFmtId="0" fontId="24" fillId="0" borderId="53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0" borderId="58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9" fillId="17" borderId="55" applyNumberFormat="0" applyAlignment="0" applyProtection="0">
      <alignment vertical="center"/>
    </xf>
    <xf numFmtId="0" fontId="26" fillId="17" borderId="54" applyNumberFormat="0" applyAlignment="0" applyProtection="0">
      <alignment vertical="center"/>
    </xf>
    <xf numFmtId="0" fontId="27" fillId="29" borderId="59" applyNumberForma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2" fillId="0" borderId="56" applyNumberFormat="0" applyFill="0" applyAlignment="0" applyProtection="0">
      <alignment vertical="center"/>
    </xf>
    <xf numFmtId="0" fontId="28" fillId="0" borderId="60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/>
    <xf numFmtId="0" fontId="8" fillId="0" borderId="0" xfId="0" applyFont="1" applyAlignment="1">
      <alignment horizontal="center"/>
    </xf>
    <xf numFmtId="0" fontId="8" fillId="0" borderId="14" xfId="0" applyFont="1" applyBorder="1"/>
    <xf numFmtId="0" fontId="8" fillId="0" borderId="15" xfId="0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2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7" borderId="32" xfId="0" applyFont="1" applyFill="1" applyBorder="1" applyAlignment="1">
      <alignment horizontal="center" vertical="center"/>
    </xf>
    <xf numFmtId="0" fontId="8" fillId="7" borderId="33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8" borderId="40" xfId="0" applyFont="1" applyFill="1" applyBorder="1" applyAlignment="1">
      <alignment horizontal="center" vertical="center"/>
    </xf>
    <xf numFmtId="0" fontId="8" fillId="9" borderId="41" xfId="0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6" borderId="46" xfId="0" applyFont="1" applyFill="1" applyBorder="1" applyAlignment="1">
      <alignment horizontal="center" vertical="center"/>
    </xf>
    <xf numFmtId="0" fontId="8" fillId="8" borderId="47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8" fillId="8" borderId="48" xfId="0" applyFont="1" applyFill="1" applyBorder="1" applyAlignment="1">
      <alignment horizontal="center" vertical="center"/>
    </xf>
    <xf numFmtId="0" fontId="8" fillId="9" borderId="34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20"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33</xdr:row>
      <xdr:rowOff>0</xdr:rowOff>
    </xdr:to>
    <xdr:sp>
      <xdr:nvSpPr>
        <xdr:cNvPr id="2" name="矩形 1"/>
        <xdr:cNvSpPr/>
      </xdr:nvSpPr>
      <xdr:spPr>
        <a:xfrm>
          <a:off x="0" y="0"/>
          <a:ext cx="1495425" cy="5172075"/>
        </a:xfrm>
        <a:prstGeom prst="rect">
          <a:avLst/>
        </a:prstGeom>
        <a:solidFill>
          <a:srgbClr val="E1E5EA"/>
        </a:solidFill>
        <a:ln>
          <a:noFill/>
        </a:ln>
        <a:effectLst>
          <a:innerShdw blurRad="63500" dist="50800">
            <a:prstClr val="black">
              <a:alpha val="25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28575</xdr:colOff>
      <xdr:row>0</xdr:row>
      <xdr:rowOff>38100</xdr:rowOff>
    </xdr:from>
    <xdr:to>
      <xdr:col>3</xdr:col>
      <xdr:colOff>723900</xdr:colOff>
      <xdr:row>0</xdr:row>
      <xdr:rowOff>447676</xdr:rowOff>
    </xdr:to>
    <xdr:grpSp>
      <xdr:nvGrpSpPr>
        <xdr:cNvPr id="3" name="组合 2"/>
        <xdr:cNvGrpSpPr/>
      </xdr:nvGrpSpPr>
      <xdr:grpSpPr>
        <a:xfrm>
          <a:off x="1524000" y="38100"/>
          <a:ext cx="1266825" cy="409575"/>
          <a:chOff x="685800" y="1371600"/>
          <a:chExt cx="6115050" cy="3028950"/>
        </a:xfrm>
      </xdr:grpSpPr>
      <xdr:grpSp>
        <xdr:nvGrpSpPr>
          <xdr:cNvPr id="4" name="组合 3"/>
          <xdr:cNvGrpSpPr/>
        </xdr:nvGrpSpPr>
        <xdr:grpSpPr>
          <a:xfrm>
            <a:off x="685800" y="1371600"/>
            <a:ext cx="6115050" cy="3028950"/>
            <a:chOff x="85725" y="38100"/>
            <a:chExt cx="1400175" cy="428625"/>
          </a:xfrm>
        </xdr:grpSpPr>
        <xdr:sp>
          <xdr:nvSpPr>
            <xdr:cNvPr id="6" name="TextBox 5"/>
            <xdr:cNvSpPr txBox="1"/>
          </xdr:nvSpPr>
          <xdr:spPr>
            <a:xfrm>
              <a:off x="504825" y="38100"/>
              <a:ext cx="981075" cy="4095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zh-CN" sz="1600" b="1">
                  <a:solidFill>
                    <a:schemeClr val="accent4">
                      <a:lumMod val="50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LOGO</a:t>
              </a:r>
              <a:endParaRPr lang="zh-CN" altLang="en-US" sz="1600" b="1">
                <a:solidFill>
                  <a:schemeClr val="accent4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7" name="图片 6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85725" y="38100"/>
              <a:ext cx="433789" cy="428625"/>
            </a:xfrm>
            <a:prstGeom prst="rect">
              <a:avLst/>
            </a:prstGeom>
          </xdr:spPr>
        </xdr:pic>
      </xdr:grpSp>
      <xdr:sp>
        <xdr:nvSpPr>
          <xdr:cNvPr id="5" name="TextBox 4"/>
          <xdr:cNvSpPr txBox="1"/>
        </xdr:nvSpPr>
        <xdr:spPr>
          <a:xfrm flipV="1">
            <a:off x="771525" y="1855469"/>
            <a:ext cx="1657350" cy="97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>
                <a:ln>
                  <a:noFill/>
                </a:ln>
                <a:noFill/>
              </a:rPr>
              <a:t>稻壳儿设计师海量设计</a:t>
            </a:r>
            <a:endParaRPr lang="en-US" altLang="zh-CN" sz="1100">
              <a:ln>
                <a:noFill/>
              </a:ln>
              <a:noFill/>
            </a:endParaRPr>
          </a:p>
          <a:p>
            <a:r>
              <a:rPr lang="zh-CN" altLang="en-US" sz="1100">
                <a:ln>
                  <a:noFill/>
                </a:ln>
                <a:noFill/>
              </a:rPr>
              <a:t>汤基海设计</a:t>
            </a:r>
            <a:endParaRPr lang="zh-CN" altLang="en-US" sz="1100">
              <a:ln>
                <a:noFill/>
              </a:ln>
              <a:noFill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114300</xdr:colOff>
      <xdr:row>0</xdr:row>
      <xdr:rowOff>409576</xdr:rowOff>
    </xdr:to>
    <xdr:grpSp>
      <xdr:nvGrpSpPr>
        <xdr:cNvPr id="2" name="组合 1"/>
        <xdr:cNvGrpSpPr/>
      </xdr:nvGrpSpPr>
      <xdr:grpSpPr>
        <a:xfrm>
          <a:off x="0" y="0"/>
          <a:ext cx="1266825" cy="409575"/>
          <a:chOff x="685800" y="1371600"/>
          <a:chExt cx="6115050" cy="3028950"/>
        </a:xfrm>
      </xdr:grpSpPr>
      <xdr:grpSp>
        <xdr:nvGrpSpPr>
          <xdr:cNvPr id="3" name="组合 2"/>
          <xdr:cNvGrpSpPr/>
        </xdr:nvGrpSpPr>
        <xdr:grpSpPr>
          <a:xfrm>
            <a:off x="685800" y="1371600"/>
            <a:ext cx="6115050" cy="3028950"/>
            <a:chOff x="85725" y="38100"/>
            <a:chExt cx="1400175" cy="428625"/>
          </a:xfrm>
        </xdr:grpSpPr>
        <xdr:sp>
          <xdr:nvSpPr>
            <xdr:cNvPr id="5" name="TextBox 4"/>
            <xdr:cNvSpPr txBox="1"/>
          </xdr:nvSpPr>
          <xdr:spPr>
            <a:xfrm>
              <a:off x="504825" y="38100"/>
              <a:ext cx="981075" cy="4095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zh-CN" sz="1600" b="1">
                  <a:solidFill>
                    <a:schemeClr val="accent4">
                      <a:lumMod val="50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LOGO</a:t>
              </a:r>
              <a:endParaRPr lang="zh-CN" altLang="en-US" sz="1600" b="1">
                <a:solidFill>
                  <a:schemeClr val="accent4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6" name="图片 5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85725" y="38100"/>
              <a:ext cx="433789" cy="428625"/>
            </a:xfrm>
            <a:prstGeom prst="rect">
              <a:avLst/>
            </a:prstGeom>
          </xdr:spPr>
        </xdr:pic>
      </xdr:grpSp>
      <xdr:sp>
        <xdr:nvSpPr>
          <xdr:cNvPr id="4" name="TextBox 3"/>
          <xdr:cNvSpPr txBox="1"/>
        </xdr:nvSpPr>
        <xdr:spPr>
          <a:xfrm flipV="1">
            <a:off x="771525" y="1855469"/>
            <a:ext cx="1657350" cy="97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>
                <a:ln>
                  <a:noFill/>
                </a:ln>
                <a:noFill/>
              </a:rPr>
              <a:t>稻壳儿设计师海量设计</a:t>
            </a:r>
            <a:endParaRPr lang="en-US" altLang="zh-CN" sz="1100">
              <a:ln>
                <a:noFill/>
              </a:ln>
              <a:noFill/>
            </a:endParaRPr>
          </a:p>
          <a:p>
            <a:r>
              <a:rPr lang="zh-CN" altLang="en-US" sz="1100">
                <a:ln>
                  <a:noFill/>
                </a:ln>
                <a:noFill/>
              </a:rPr>
              <a:t>汤基海设计</a:t>
            </a:r>
            <a:endParaRPr lang="zh-CN" altLang="en-US" sz="1100">
              <a:ln>
                <a:noFill/>
              </a:ln>
              <a:noFill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114300</xdr:colOff>
      <xdr:row>0</xdr:row>
      <xdr:rowOff>409576</xdr:rowOff>
    </xdr:to>
    <xdr:grpSp>
      <xdr:nvGrpSpPr>
        <xdr:cNvPr id="2" name="组合 1"/>
        <xdr:cNvGrpSpPr/>
      </xdr:nvGrpSpPr>
      <xdr:grpSpPr>
        <a:xfrm>
          <a:off x="0" y="0"/>
          <a:ext cx="1266825" cy="409575"/>
          <a:chOff x="685800" y="1371600"/>
          <a:chExt cx="6115050" cy="3028950"/>
        </a:xfrm>
      </xdr:grpSpPr>
      <xdr:grpSp>
        <xdr:nvGrpSpPr>
          <xdr:cNvPr id="3" name="组合 2"/>
          <xdr:cNvGrpSpPr/>
        </xdr:nvGrpSpPr>
        <xdr:grpSpPr>
          <a:xfrm>
            <a:off x="685800" y="1371600"/>
            <a:ext cx="6115050" cy="3028950"/>
            <a:chOff x="85725" y="38100"/>
            <a:chExt cx="1400175" cy="428625"/>
          </a:xfrm>
        </xdr:grpSpPr>
        <xdr:sp>
          <xdr:nvSpPr>
            <xdr:cNvPr id="5" name="TextBox 4"/>
            <xdr:cNvSpPr txBox="1"/>
          </xdr:nvSpPr>
          <xdr:spPr>
            <a:xfrm>
              <a:off x="504825" y="38100"/>
              <a:ext cx="981075" cy="4095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zh-CN" sz="1600" b="1">
                  <a:solidFill>
                    <a:schemeClr val="accent4">
                      <a:lumMod val="50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LOGO</a:t>
              </a:r>
              <a:endParaRPr lang="zh-CN" altLang="en-US" sz="1600" b="1">
                <a:solidFill>
                  <a:schemeClr val="accent4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6" name="图片 5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85725" y="38100"/>
              <a:ext cx="433789" cy="428625"/>
            </a:xfrm>
            <a:prstGeom prst="rect">
              <a:avLst/>
            </a:prstGeom>
          </xdr:spPr>
        </xdr:pic>
      </xdr:grpSp>
      <xdr:sp>
        <xdr:nvSpPr>
          <xdr:cNvPr id="4" name="TextBox 3"/>
          <xdr:cNvSpPr txBox="1"/>
        </xdr:nvSpPr>
        <xdr:spPr>
          <a:xfrm flipV="1">
            <a:off x="771525" y="1855469"/>
            <a:ext cx="1657350" cy="97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>
                <a:ln>
                  <a:noFill/>
                </a:ln>
                <a:noFill/>
              </a:rPr>
              <a:t>稻壳儿设计师海量设计</a:t>
            </a:r>
            <a:endParaRPr lang="en-US" altLang="zh-CN" sz="1100">
              <a:ln>
                <a:noFill/>
              </a:ln>
              <a:noFill/>
            </a:endParaRPr>
          </a:p>
          <a:p>
            <a:r>
              <a:rPr lang="zh-CN" altLang="en-US" sz="1100">
                <a:ln>
                  <a:noFill/>
                </a:ln>
                <a:noFill/>
              </a:rPr>
              <a:t>汤基海设计</a:t>
            </a:r>
            <a:endParaRPr lang="zh-CN" altLang="en-US" sz="1100">
              <a:ln>
                <a:noFill/>
              </a:ln>
              <a:noFill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114300</xdr:colOff>
      <xdr:row>0</xdr:row>
      <xdr:rowOff>409576</xdr:rowOff>
    </xdr:to>
    <xdr:grpSp>
      <xdr:nvGrpSpPr>
        <xdr:cNvPr id="2" name="组合 1"/>
        <xdr:cNvGrpSpPr/>
      </xdr:nvGrpSpPr>
      <xdr:grpSpPr>
        <a:xfrm>
          <a:off x="0" y="0"/>
          <a:ext cx="1266825" cy="409575"/>
          <a:chOff x="685800" y="1371600"/>
          <a:chExt cx="6115050" cy="3028950"/>
        </a:xfrm>
      </xdr:grpSpPr>
      <xdr:grpSp>
        <xdr:nvGrpSpPr>
          <xdr:cNvPr id="3" name="组合 2"/>
          <xdr:cNvGrpSpPr/>
        </xdr:nvGrpSpPr>
        <xdr:grpSpPr>
          <a:xfrm>
            <a:off x="685800" y="1371600"/>
            <a:ext cx="6115050" cy="3028950"/>
            <a:chOff x="85725" y="38100"/>
            <a:chExt cx="1400175" cy="428625"/>
          </a:xfrm>
        </xdr:grpSpPr>
        <xdr:sp>
          <xdr:nvSpPr>
            <xdr:cNvPr id="5" name="TextBox 4"/>
            <xdr:cNvSpPr txBox="1"/>
          </xdr:nvSpPr>
          <xdr:spPr>
            <a:xfrm>
              <a:off x="504825" y="38100"/>
              <a:ext cx="981075" cy="4095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zh-CN" sz="1600" b="1">
                  <a:solidFill>
                    <a:schemeClr val="accent4">
                      <a:lumMod val="50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LOGO</a:t>
              </a:r>
              <a:endParaRPr lang="zh-CN" altLang="en-US" sz="1600" b="1">
                <a:solidFill>
                  <a:schemeClr val="accent4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6" name="图片 5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85725" y="38100"/>
              <a:ext cx="433789" cy="428625"/>
            </a:xfrm>
            <a:prstGeom prst="rect">
              <a:avLst/>
            </a:prstGeom>
          </xdr:spPr>
        </xdr:pic>
      </xdr:grpSp>
      <xdr:sp>
        <xdr:nvSpPr>
          <xdr:cNvPr id="4" name="TextBox 3"/>
          <xdr:cNvSpPr txBox="1"/>
        </xdr:nvSpPr>
        <xdr:spPr>
          <a:xfrm flipV="1">
            <a:off x="771525" y="1855469"/>
            <a:ext cx="1657350" cy="97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>
                <a:ln>
                  <a:noFill/>
                </a:ln>
                <a:noFill/>
              </a:rPr>
              <a:t>稻壳儿设计师海量设计</a:t>
            </a:r>
            <a:endParaRPr lang="en-US" altLang="zh-CN" sz="1100">
              <a:ln>
                <a:noFill/>
              </a:ln>
              <a:noFill/>
            </a:endParaRPr>
          </a:p>
          <a:p>
            <a:r>
              <a:rPr lang="zh-CN" altLang="en-US" sz="1100">
                <a:ln>
                  <a:noFill/>
                </a:ln>
                <a:noFill/>
              </a:rPr>
              <a:t>汤基海设计</a:t>
            </a:r>
            <a:endParaRPr lang="zh-CN" altLang="en-US" sz="1100">
              <a:ln>
                <a:noFill/>
              </a:ln>
              <a:noFill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114300</xdr:colOff>
      <xdr:row>0</xdr:row>
      <xdr:rowOff>409576</xdr:rowOff>
    </xdr:to>
    <xdr:grpSp>
      <xdr:nvGrpSpPr>
        <xdr:cNvPr id="2" name="组合 1"/>
        <xdr:cNvGrpSpPr/>
      </xdr:nvGrpSpPr>
      <xdr:grpSpPr>
        <a:xfrm>
          <a:off x="0" y="0"/>
          <a:ext cx="1266825" cy="409575"/>
          <a:chOff x="685800" y="1371600"/>
          <a:chExt cx="6115050" cy="3028950"/>
        </a:xfrm>
      </xdr:grpSpPr>
      <xdr:grpSp>
        <xdr:nvGrpSpPr>
          <xdr:cNvPr id="3" name="组合 2"/>
          <xdr:cNvGrpSpPr/>
        </xdr:nvGrpSpPr>
        <xdr:grpSpPr>
          <a:xfrm>
            <a:off x="685800" y="1371600"/>
            <a:ext cx="6115050" cy="3028950"/>
            <a:chOff x="85725" y="38100"/>
            <a:chExt cx="1400175" cy="428625"/>
          </a:xfrm>
        </xdr:grpSpPr>
        <xdr:sp>
          <xdr:nvSpPr>
            <xdr:cNvPr id="5" name="TextBox 4"/>
            <xdr:cNvSpPr txBox="1"/>
          </xdr:nvSpPr>
          <xdr:spPr>
            <a:xfrm>
              <a:off x="504825" y="38100"/>
              <a:ext cx="981075" cy="4095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zh-CN" sz="1600" b="1">
                  <a:solidFill>
                    <a:schemeClr val="accent4">
                      <a:lumMod val="50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LOGO</a:t>
              </a:r>
              <a:endParaRPr lang="zh-CN" altLang="en-US" sz="1600" b="1">
                <a:solidFill>
                  <a:schemeClr val="accent4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6" name="图片 5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85725" y="38100"/>
              <a:ext cx="433789" cy="428625"/>
            </a:xfrm>
            <a:prstGeom prst="rect">
              <a:avLst/>
            </a:prstGeom>
          </xdr:spPr>
        </xdr:pic>
      </xdr:grpSp>
      <xdr:sp>
        <xdr:nvSpPr>
          <xdr:cNvPr id="4" name="TextBox 3"/>
          <xdr:cNvSpPr txBox="1"/>
        </xdr:nvSpPr>
        <xdr:spPr>
          <a:xfrm flipV="1">
            <a:off x="771525" y="1855469"/>
            <a:ext cx="1657350" cy="97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>
                <a:ln>
                  <a:noFill/>
                </a:ln>
                <a:noFill/>
              </a:rPr>
              <a:t>稻壳儿设计师海量设计</a:t>
            </a:r>
            <a:endParaRPr lang="en-US" altLang="zh-CN" sz="1100">
              <a:ln>
                <a:noFill/>
              </a:ln>
              <a:noFill/>
            </a:endParaRPr>
          </a:p>
          <a:p>
            <a:r>
              <a:rPr lang="zh-CN" altLang="en-US" sz="1100">
                <a:ln>
                  <a:noFill/>
                </a:ln>
                <a:noFill/>
              </a:rPr>
              <a:t>汤基海设计</a:t>
            </a:r>
            <a:endParaRPr lang="zh-CN" altLang="en-US" sz="1100">
              <a:ln>
                <a:noFill/>
              </a:ln>
              <a:noFill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114300</xdr:colOff>
      <xdr:row>0</xdr:row>
      <xdr:rowOff>409576</xdr:rowOff>
    </xdr:to>
    <xdr:grpSp>
      <xdr:nvGrpSpPr>
        <xdr:cNvPr id="2" name="组合 1"/>
        <xdr:cNvGrpSpPr/>
      </xdr:nvGrpSpPr>
      <xdr:grpSpPr>
        <a:xfrm>
          <a:off x="0" y="0"/>
          <a:ext cx="1266825" cy="409575"/>
          <a:chOff x="685800" y="1371600"/>
          <a:chExt cx="6115050" cy="3028950"/>
        </a:xfrm>
      </xdr:grpSpPr>
      <xdr:grpSp>
        <xdr:nvGrpSpPr>
          <xdr:cNvPr id="3" name="组合 2"/>
          <xdr:cNvGrpSpPr/>
        </xdr:nvGrpSpPr>
        <xdr:grpSpPr>
          <a:xfrm>
            <a:off x="685800" y="1371600"/>
            <a:ext cx="6115050" cy="3028950"/>
            <a:chOff x="85725" y="38100"/>
            <a:chExt cx="1400175" cy="428625"/>
          </a:xfrm>
        </xdr:grpSpPr>
        <xdr:sp>
          <xdr:nvSpPr>
            <xdr:cNvPr id="5" name="TextBox 4"/>
            <xdr:cNvSpPr txBox="1"/>
          </xdr:nvSpPr>
          <xdr:spPr>
            <a:xfrm>
              <a:off x="504825" y="38100"/>
              <a:ext cx="981075" cy="4095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zh-CN" sz="1600" b="1">
                  <a:solidFill>
                    <a:schemeClr val="accent4">
                      <a:lumMod val="50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LOGO</a:t>
              </a:r>
              <a:endParaRPr lang="zh-CN" altLang="en-US" sz="1600" b="1">
                <a:solidFill>
                  <a:schemeClr val="accent4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6" name="图片 5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85725" y="38100"/>
              <a:ext cx="433789" cy="428625"/>
            </a:xfrm>
            <a:prstGeom prst="rect">
              <a:avLst/>
            </a:prstGeom>
          </xdr:spPr>
        </xdr:pic>
      </xdr:grpSp>
      <xdr:sp>
        <xdr:nvSpPr>
          <xdr:cNvPr id="4" name="TextBox 3"/>
          <xdr:cNvSpPr txBox="1"/>
        </xdr:nvSpPr>
        <xdr:spPr>
          <a:xfrm flipV="1">
            <a:off x="771525" y="1855469"/>
            <a:ext cx="1657350" cy="97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>
                <a:ln>
                  <a:noFill/>
                </a:ln>
                <a:noFill/>
              </a:rPr>
              <a:t>稻壳儿设计师海量设计</a:t>
            </a:r>
            <a:endParaRPr lang="en-US" altLang="zh-CN" sz="1100">
              <a:ln>
                <a:noFill/>
              </a:ln>
              <a:noFill/>
            </a:endParaRPr>
          </a:p>
          <a:p>
            <a:r>
              <a:rPr lang="zh-CN" altLang="en-US" sz="1100">
                <a:ln>
                  <a:noFill/>
                </a:ln>
                <a:noFill/>
              </a:rPr>
              <a:t>汤基海设计</a:t>
            </a:r>
            <a:endParaRPr lang="zh-CN" altLang="en-US" sz="1100">
              <a:ln>
                <a:noFill/>
              </a:ln>
              <a:noFill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114300</xdr:colOff>
      <xdr:row>0</xdr:row>
      <xdr:rowOff>409576</xdr:rowOff>
    </xdr:to>
    <xdr:grpSp>
      <xdr:nvGrpSpPr>
        <xdr:cNvPr id="2" name="组合 1"/>
        <xdr:cNvGrpSpPr/>
      </xdr:nvGrpSpPr>
      <xdr:grpSpPr>
        <a:xfrm>
          <a:off x="0" y="0"/>
          <a:ext cx="1266825" cy="409575"/>
          <a:chOff x="685800" y="1371600"/>
          <a:chExt cx="6115050" cy="3028950"/>
        </a:xfrm>
      </xdr:grpSpPr>
      <xdr:grpSp>
        <xdr:nvGrpSpPr>
          <xdr:cNvPr id="3" name="组合 2"/>
          <xdr:cNvGrpSpPr/>
        </xdr:nvGrpSpPr>
        <xdr:grpSpPr>
          <a:xfrm>
            <a:off x="685800" y="1371600"/>
            <a:ext cx="6115050" cy="3028950"/>
            <a:chOff x="85725" y="38100"/>
            <a:chExt cx="1400175" cy="428625"/>
          </a:xfrm>
        </xdr:grpSpPr>
        <xdr:sp>
          <xdr:nvSpPr>
            <xdr:cNvPr id="5" name="TextBox 4"/>
            <xdr:cNvSpPr txBox="1"/>
          </xdr:nvSpPr>
          <xdr:spPr>
            <a:xfrm>
              <a:off x="504825" y="38100"/>
              <a:ext cx="981075" cy="4095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zh-CN" sz="1600" b="1">
                  <a:solidFill>
                    <a:schemeClr val="accent4">
                      <a:lumMod val="50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LOGO</a:t>
              </a:r>
              <a:endParaRPr lang="zh-CN" altLang="en-US" sz="1600" b="1">
                <a:solidFill>
                  <a:schemeClr val="accent4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6" name="图片 5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85725" y="38100"/>
              <a:ext cx="433789" cy="428625"/>
            </a:xfrm>
            <a:prstGeom prst="rect">
              <a:avLst/>
            </a:prstGeom>
          </xdr:spPr>
        </xdr:pic>
      </xdr:grpSp>
      <xdr:sp>
        <xdr:nvSpPr>
          <xdr:cNvPr id="4" name="TextBox 3"/>
          <xdr:cNvSpPr txBox="1"/>
        </xdr:nvSpPr>
        <xdr:spPr>
          <a:xfrm flipV="1">
            <a:off x="771525" y="1855469"/>
            <a:ext cx="1657350" cy="97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>
                <a:ln>
                  <a:noFill/>
                </a:ln>
                <a:noFill/>
              </a:rPr>
              <a:t>稻壳儿设计师海量设计</a:t>
            </a:r>
            <a:endParaRPr lang="en-US" altLang="zh-CN" sz="1100">
              <a:ln>
                <a:noFill/>
              </a:ln>
              <a:noFill/>
            </a:endParaRPr>
          </a:p>
          <a:p>
            <a:r>
              <a:rPr lang="zh-CN" altLang="en-US" sz="1100">
                <a:ln>
                  <a:noFill/>
                </a:ln>
                <a:noFill/>
              </a:rPr>
              <a:t>汤基海设计</a:t>
            </a:r>
            <a:endParaRPr lang="zh-CN" altLang="en-US" sz="1100">
              <a:ln>
                <a:noFill/>
              </a:ln>
              <a:noFill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114300</xdr:colOff>
      <xdr:row>0</xdr:row>
      <xdr:rowOff>409576</xdr:rowOff>
    </xdr:to>
    <xdr:grpSp>
      <xdr:nvGrpSpPr>
        <xdr:cNvPr id="2" name="组合 1"/>
        <xdr:cNvGrpSpPr/>
      </xdr:nvGrpSpPr>
      <xdr:grpSpPr>
        <a:xfrm>
          <a:off x="0" y="0"/>
          <a:ext cx="1266825" cy="409575"/>
          <a:chOff x="685800" y="1371600"/>
          <a:chExt cx="6115050" cy="3028950"/>
        </a:xfrm>
      </xdr:grpSpPr>
      <xdr:grpSp>
        <xdr:nvGrpSpPr>
          <xdr:cNvPr id="3" name="组合 2"/>
          <xdr:cNvGrpSpPr/>
        </xdr:nvGrpSpPr>
        <xdr:grpSpPr>
          <a:xfrm>
            <a:off x="685800" y="1371600"/>
            <a:ext cx="6115050" cy="3028950"/>
            <a:chOff x="85725" y="38100"/>
            <a:chExt cx="1400175" cy="428625"/>
          </a:xfrm>
        </xdr:grpSpPr>
        <xdr:sp>
          <xdr:nvSpPr>
            <xdr:cNvPr id="5" name="TextBox 4"/>
            <xdr:cNvSpPr txBox="1"/>
          </xdr:nvSpPr>
          <xdr:spPr>
            <a:xfrm>
              <a:off x="504825" y="38100"/>
              <a:ext cx="981075" cy="4095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zh-CN" sz="1600" b="1">
                  <a:solidFill>
                    <a:schemeClr val="accent4">
                      <a:lumMod val="50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LOGO</a:t>
              </a:r>
              <a:endParaRPr lang="zh-CN" altLang="en-US" sz="1600" b="1">
                <a:solidFill>
                  <a:schemeClr val="accent4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6" name="图片 5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85725" y="38100"/>
              <a:ext cx="433789" cy="428625"/>
            </a:xfrm>
            <a:prstGeom prst="rect">
              <a:avLst/>
            </a:prstGeom>
          </xdr:spPr>
        </xdr:pic>
      </xdr:grpSp>
      <xdr:sp>
        <xdr:nvSpPr>
          <xdr:cNvPr id="4" name="TextBox 3"/>
          <xdr:cNvSpPr txBox="1"/>
        </xdr:nvSpPr>
        <xdr:spPr>
          <a:xfrm flipV="1">
            <a:off x="771525" y="1855469"/>
            <a:ext cx="1657350" cy="97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>
                <a:ln>
                  <a:noFill/>
                </a:ln>
                <a:noFill/>
              </a:rPr>
              <a:t>稻壳儿设计师海量设计</a:t>
            </a:r>
            <a:endParaRPr lang="en-US" altLang="zh-CN" sz="1100">
              <a:ln>
                <a:noFill/>
              </a:ln>
              <a:noFill/>
            </a:endParaRPr>
          </a:p>
          <a:p>
            <a:r>
              <a:rPr lang="zh-CN" altLang="en-US" sz="1100">
                <a:ln>
                  <a:noFill/>
                </a:ln>
                <a:noFill/>
              </a:rPr>
              <a:t>汤基海设计</a:t>
            </a:r>
            <a:endParaRPr lang="zh-CN" altLang="en-US" sz="1100">
              <a:ln>
                <a:noFill/>
              </a:ln>
              <a:noFill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114300</xdr:colOff>
      <xdr:row>0</xdr:row>
      <xdr:rowOff>409576</xdr:rowOff>
    </xdr:to>
    <xdr:grpSp>
      <xdr:nvGrpSpPr>
        <xdr:cNvPr id="2" name="组合 1"/>
        <xdr:cNvGrpSpPr/>
      </xdr:nvGrpSpPr>
      <xdr:grpSpPr>
        <a:xfrm>
          <a:off x="0" y="0"/>
          <a:ext cx="1266825" cy="409575"/>
          <a:chOff x="685800" y="1371600"/>
          <a:chExt cx="6115050" cy="3028950"/>
        </a:xfrm>
      </xdr:grpSpPr>
      <xdr:grpSp>
        <xdr:nvGrpSpPr>
          <xdr:cNvPr id="3" name="组合 2"/>
          <xdr:cNvGrpSpPr/>
        </xdr:nvGrpSpPr>
        <xdr:grpSpPr>
          <a:xfrm>
            <a:off x="685800" y="1371600"/>
            <a:ext cx="6115050" cy="3028950"/>
            <a:chOff x="85725" y="38100"/>
            <a:chExt cx="1400175" cy="428625"/>
          </a:xfrm>
        </xdr:grpSpPr>
        <xdr:sp>
          <xdr:nvSpPr>
            <xdr:cNvPr id="5" name="TextBox 4"/>
            <xdr:cNvSpPr txBox="1"/>
          </xdr:nvSpPr>
          <xdr:spPr>
            <a:xfrm>
              <a:off x="504825" y="38100"/>
              <a:ext cx="981075" cy="4095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zh-CN" sz="1600" b="1">
                  <a:solidFill>
                    <a:schemeClr val="accent4">
                      <a:lumMod val="50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LOGO</a:t>
              </a:r>
              <a:endParaRPr lang="zh-CN" altLang="en-US" sz="1600" b="1">
                <a:solidFill>
                  <a:schemeClr val="accent4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6" name="图片 5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85725" y="38100"/>
              <a:ext cx="433789" cy="428625"/>
            </a:xfrm>
            <a:prstGeom prst="rect">
              <a:avLst/>
            </a:prstGeom>
          </xdr:spPr>
        </xdr:pic>
      </xdr:grpSp>
      <xdr:sp>
        <xdr:nvSpPr>
          <xdr:cNvPr id="4" name="TextBox 3"/>
          <xdr:cNvSpPr txBox="1"/>
        </xdr:nvSpPr>
        <xdr:spPr>
          <a:xfrm flipV="1">
            <a:off x="771525" y="1855469"/>
            <a:ext cx="1657350" cy="97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>
                <a:ln>
                  <a:noFill/>
                </a:ln>
                <a:noFill/>
              </a:rPr>
              <a:t>稻壳儿设计师海量设计</a:t>
            </a:r>
            <a:endParaRPr lang="en-US" altLang="zh-CN" sz="1100">
              <a:ln>
                <a:noFill/>
              </a:ln>
              <a:noFill/>
            </a:endParaRPr>
          </a:p>
          <a:p>
            <a:r>
              <a:rPr lang="zh-CN" altLang="en-US" sz="1100">
                <a:ln>
                  <a:noFill/>
                </a:ln>
                <a:noFill/>
              </a:rPr>
              <a:t>汤基海设计</a:t>
            </a:r>
            <a:endParaRPr lang="zh-CN" altLang="en-US" sz="1100">
              <a:ln>
                <a:noFill/>
              </a:ln>
              <a:noFill/>
            </a:endParaRP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114300</xdr:colOff>
      <xdr:row>0</xdr:row>
      <xdr:rowOff>409576</xdr:rowOff>
    </xdr:to>
    <xdr:grpSp>
      <xdr:nvGrpSpPr>
        <xdr:cNvPr id="2" name="组合 1"/>
        <xdr:cNvGrpSpPr/>
      </xdr:nvGrpSpPr>
      <xdr:grpSpPr>
        <a:xfrm>
          <a:off x="0" y="0"/>
          <a:ext cx="1266825" cy="409575"/>
          <a:chOff x="685800" y="1371600"/>
          <a:chExt cx="6115050" cy="3028950"/>
        </a:xfrm>
      </xdr:grpSpPr>
      <xdr:grpSp>
        <xdr:nvGrpSpPr>
          <xdr:cNvPr id="3" name="组合 2"/>
          <xdr:cNvGrpSpPr/>
        </xdr:nvGrpSpPr>
        <xdr:grpSpPr>
          <a:xfrm>
            <a:off x="685800" y="1371600"/>
            <a:ext cx="6115050" cy="3028950"/>
            <a:chOff x="85725" y="38100"/>
            <a:chExt cx="1400175" cy="428625"/>
          </a:xfrm>
        </xdr:grpSpPr>
        <xdr:sp>
          <xdr:nvSpPr>
            <xdr:cNvPr id="5" name="TextBox 4"/>
            <xdr:cNvSpPr txBox="1"/>
          </xdr:nvSpPr>
          <xdr:spPr>
            <a:xfrm>
              <a:off x="504825" y="38100"/>
              <a:ext cx="981075" cy="4095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zh-CN" sz="1600" b="1">
                  <a:solidFill>
                    <a:schemeClr val="accent4">
                      <a:lumMod val="50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LOGO</a:t>
              </a:r>
              <a:endParaRPr lang="zh-CN" altLang="en-US" sz="1600" b="1">
                <a:solidFill>
                  <a:schemeClr val="accent4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6" name="图片 5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85725" y="38100"/>
              <a:ext cx="433789" cy="428625"/>
            </a:xfrm>
            <a:prstGeom prst="rect">
              <a:avLst/>
            </a:prstGeom>
          </xdr:spPr>
        </xdr:pic>
      </xdr:grpSp>
      <xdr:sp>
        <xdr:nvSpPr>
          <xdr:cNvPr id="4" name="TextBox 3"/>
          <xdr:cNvSpPr txBox="1"/>
        </xdr:nvSpPr>
        <xdr:spPr>
          <a:xfrm flipV="1">
            <a:off x="771525" y="1855469"/>
            <a:ext cx="1657350" cy="97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>
                <a:ln>
                  <a:noFill/>
                </a:ln>
                <a:noFill/>
              </a:rPr>
              <a:t>稻壳儿设计师海量设计</a:t>
            </a:r>
            <a:endParaRPr lang="en-US" altLang="zh-CN" sz="1100">
              <a:ln>
                <a:noFill/>
              </a:ln>
              <a:noFill/>
            </a:endParaRPr>
          </a:p>
          <a:p>
            <a:r>
              <a:rPr lang="zh-CN" altLang="en-US" sz="1100">
                <a:ln>
                  <a:noFill/>
                </a:ln>
                <a:noFill/>
              </a:rPr>
              <a:t>汤基海设计</a:t>
            </a:r>
            <a:endParaRPr lang="zh-CN" altLang="en-US" sz="1100">
              <a:ln>
                <a:noFill/>
              </a:ln>
              <a:noFill/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114300</xdr:colOff>
      <xdr:row>0</xdr:row>
      <xdr:rowOff>409576</xdr:rowOff>
    </xdr:to>
    <xdr:grpSp>
      <xdr:nvGrpSpPr>
        <xdr:cNvPr id="2" name="组合 1"/>
        <xdr:cNvGrpSpPr/>
      </xdr:nvGrpSpPr>
      <xdr:grpSpPr>
        <a:xfrm>
          <a:off x="0" y="0"/>
          <a:ext cx="1266825" cy="409575"/>
          <a:chOff x="685800" y="1371600"/>
          <a:chExt cx="6115050" cy="3028950"/>
        </a:xfrm>
      </xdr:grpSpPr>
      <xdr:grpSp>
        <xdr:nvGrpSpPr>
          <xdr:cNvPr id="3" name="组合 2"/>
          <xdr:cNvGrpSpPr/>
        </xdr:nvGrpSpPr>
        <xdr:grpSpPr>
          <a:xfrm>
            <a:off x="685800" y="1371600"/>
            <a:ext cx="6115050" cy="3028950"/>
            <a:chOff x="85725" y="38100"/>
            <a:chExt cx="1400175" cy="428625"/>
          </a:xfrm>
        </xdr:grpSpPr>
        <xdr:sp>
          <xdr:nvSpPr>
            <xdr:cNvPr id="5" name="TextBox 4"/>
            <xdr:cNvSpPr txBox="1"/>
          </xdr:nvSpPr>
          <xdr:spPr>
            <a:xfrm>
              <a:off x="504825" y="38100"/>
              <a:ext cx="981075" cy="4095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zh-CN" sz="1600" b="1">
                  <a:solidFill>
                    <a:schemeClr val="accent4">
                      <a:lumMod val="50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LOGO</a:t>
              </a:r>
              <a:endParaRPr lang="zh-CN" altLang="en-US" sz="1600" b="1">
                <a:solidFill>
                  <a:schemeClr val="accent4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6" name="图片 5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85725" y="38100"/>
              <a:ext cx="433789" cy="428625"/>
            </a:xfrm>
            <a:prstGeom prst="rect">
              <a:avLst/>
            </a:prstGeom>
          </xdr:spPr>
        </xdr:pic>
      </xdr:grpSp>
      <xdr:sp>
        <xdr:nvSpPr>
          <xdr:cNvPr id="4" name="TextBox 3"/>
          <xdr:cNvSpPr txBox="1"/>
        </xdr:nvSpPr>
        <xdr:spPr>
          <a:xfrm flipV="1">
            <a:off x="771525" y="1855469"/>
            <a:ext cx="1657350" cy="97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>
                <a:ln>
                  <a:noFill/>
                </a:ln>
                <a:noFill/>
              </a:rPr>
              <a:t>稻壳儿设计师海量设计</a:t>
            </a:r>
            <a:endParaRPr lang="en-US" altLang="zh-CN" sz="1100">
              <a:ln>
                <a:noFill/>
              </a:ln>
              <a:noFill/>
            </a:endParaRPr>
          </a:p>
          <a:p>
            <a:r>
              <a:rPr lang="zh-CN" altLang="en-US" sz="1100">
                <a:ln>
                  <a:noFill/>
                </a:ln>
                <a:noFill/>
              </a:rPr>
              <a:t>汤基海设计</a:t>
            </a:r>
            <a:endParaRPr lang="zh-CN" altLang="en-US" sz="1100">
              <a:ln>
                <a:noFill/>
              </a:ln>
              <a:noFill/>
            </a:endParaRP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114300</xdr:colOff>
      <xdr:row>0</xdr:row>
      <xdr:rowOff>409576</xdr:rowOff>
    </xdr:to>
    <xdr:grpSp>
      <xdr:nvGrpSpPr>
        <xdr:cNvPr id="2" name="组合 1"/>
        <xdr:cNvGrpSpPr/>
      </xdr:nvGrpSpPr>
      <xdr:grpSpPr>
        <a:xfrm>
          <a:off x="0" y="0"/>
          <a:ext cx="1266825" cy="409575"/>
          <a:chOff x="685800" y="1371600"/>
          <a:chExt cx="6115050" cy="3028950"/>
        </a:xfrm>
      </xdr:grpSpPr>
      <xdr:grpSp>
        <xdr:nvGrpSpPr>
          <xdr:cNvPr id="3" name="组合 2"/>
          <xdr:cNvGrpSpPr/>
        </xdr:nvGrpSpPr>
        <xdr:grpSpPr>
          <a:xfrm>
            <a:off x="685800" y="1371600"/>
            <a:ext cx="6115050" cy="3028950"/>
            <a:chOff x="85725" y="38100"/>
            <a:chExt cx="1400175" cy="428625"/>
          </a:xfrm>
        </xdr:grpSpPr>
        <xdr:sp>
          <xdr:nvSpPr>
            <xdr:cNvPr id="5" name="TextBox 4"/>
            <xdr:cNvSpPr txBox="1"/>
          </xdr:nvSpPr>
          <xdr:spPr>
            <a:xfrm>
              <a:off x="504825" y="38100"/>
              <a:ext cx="981075" cy="4095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zh-CN" sz="1600" b="1">
                  <a:solidFill>
                    <a:schemeClr val="accent4">
                      <a:lumMod val="50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LOGO</a:t>
              </a:r>
              <a:endParaRPr lang="zh-CN" altLang="en-US" sz="1600" b="1">
                <a:solidFill>
                  <a:schemeClr val="accent4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6" name="图片 5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85725" y="38100"/>
              <a:ext cx="433789" cy="428625"/>
            </a:xfrm>
            <a:prstGeom prst="rect">
              <a:avLst/>
            </a:prstGeom>
          </xdr:spPr>
        </xdr:pic>
      </xdr:grpSp>
      <xdr:sp>
        <xdr:nvSpPr>
          <xdr:cNvPr id="4" name="TextBox 3"/>
          <xdr:cNvSpPr txBox="1"/>
        </xdr:nvSpPr>
        <xdr:spPr>
          <a:xfrm flipV="1">
            <a:off x="771525" y="1855469"/>
            <a:ext cx="1657350" cy="97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>
                <a:ln>
                  <a:noFill/>
                </a:ln>
                <a:noFill/>
              </a:rPr>
              <a:t>稻壳儿设计师海量设计</a:t>
            </a:r>
            <a:endParaRPr lang="en-US" altLang="zh-CN" sz="1100">
              <a:ln>
                <a:noFill/>
              </a:ln>
              <a:noFill/>
            </a:endParaRPr>
          </a:p>
          <a:p>
            <a:r>
              <a:rPr lang="zh-CN" altLang="en-US" sz="1100">
                <a:ln>
                  <a:noFill/>
                </a:ln>
                <a:noFill/>
              </a:rPr>
              <a:t>汤基海设计</a:t>
            </a:r>
            <a:endParaRPr lang="zh-CN" altLang="en-US" sz="1100">
              <a:ln>
                <a:noFill/>
              </a:ln>
              <a:noFill/>
            </a:endParaRP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114300</xdr:colOff>
      <xdr:row>0</xdr:row>
      <xdr:rowOff>409576</xdr:rowOff>
    </xdr:to>
    <xdr:grpSp>
      <xdr:nvGrpSpPr>
        <xdr:cNvPr id="2" name="组合 1"/>
        <xdr:cNvGrpSpPr/>
      </xdr:nvGrpSpPr>
      <xdr:grpSpPr>
        <a:xfrm>
          <a:off x="0" y="0"/>
          <a:ext cx="1266825" cy="409575"/>
          <a:chOff x="685800" y="1371600"/>
          <a:chExt cx="6115050" cy="3028950"/>
        </a:xfrm>
      </xdr:grpSpPr>
      <xdr:grpSp>
        <xdr:nvGrpSpPr>
          <xdr:cNvPr id="3" name="组合 2"/>
          <xdr:cNvGrpSpPr/>
        </xdr:nvGrpSpPr>
        <xdr:grpSpPr>
          <a:xfrm>
            <a:off x="685800" y="1371600"/>
            <a:ext cx="6115050" cy="3028950"/>
            <a:chOff x="85725" y="38100"/>
            <a:chExt cx="1400175" cy="428625"/>
          </a:xfrm>
        </xdr:grpSpPr>
        <xdr:sp>
          <xdr:nvSpPr>
            <xdr:cNvPr id="5" name="TextBox 4"/>
            <xdr:cNvSpPr txBox="1"/>
          </xdr:nvSpPr>
          <xdr:spPr>
            <a:xfrm>
              <a:off x="504825" y="38100"/>
              <a:ext cx="981075" cy="4095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altLang="zh-CN" sz="1600" b="1">
                  <a:solidFill>
                    <a:schemeClr val="accent4">
                      <a:lumMod val="50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LOGO</a:t>
              </a:r>
              <a:endParaRPr lang="zh-CN" altLang="en-US" sz="1600" b="1">
                <a:solidFill>
                  <a:schemeClr val="accent4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6" name="图片 5"/>
            <xdr:cNvPicPr>
              <a:picLocks noChangeAspect="1"/>
            </xdr:cNvPicPr>
          </xdr:nvPicPr>
          <xdr:blipFill>
            <a:blip r:embed="rId1"/>
            <a:stretch>
              <a:fillRect/>
            </a:stretch>
          </xdr:blipFill>
          <xdr:spPr>
            <a:xfrm>
              <a:off x="85725" y="38100"/>
              <a:ext cx="433789" cy="428625"/>
            </a:xfrm>
            <a:prstGeom prst="rect">
              <a:avLst/>
            </a:prstGeom>
          </xdr:spPr>
        </xdr:pic>
      </xdr:grpSp>
      <xdr:sp>
        <xdr:nvSpPr>
          <xdr:cNvPr id="4" name="TextBox 3"/>
          <xdr:cNvSpPr txBox="1"/>
        </xdr:nvSpPr>
        <xdr:spPr>
          <a:xfrm flipV="1">
            <a:off x="771525" y="1855469"/>
            <a:ext cx="1657350" cy="971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>
                <a:ln>
                  <a:noFill/>
                </a:ln>
                <a:noFill/>
              </a:rPr>
              <a:t>稻壳儿设计师海量设计</a:t>
            </a:r>
            <a:endParaRPr lang="en-US" altLang="zh-CN" sz="1100">
              <a:ln>
                <a:noFill/>
              </a:ln>
              <a:noFill/>
            </a:endParaRPr>
          </a:p>
          <a:p>
            <a:r>
              <a:rPr lang="zh-CN" altLang="en-US" sz="1100">
                <a:ln>
                  <a:noFill/>
                </a:ln>
                <a:noFill/>
              </a:rPr>
              <a:t>汤基海设计</a:t>
            </a:r>
            <a:endParaRPr lang="zh-CN" altLang="en-US" sz="1100">
              <a:ln>
                <a:noFill/>
              </a:ln>
              <a:noFill/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id="1" name="表4" displayName="表4" ref="B4:F32" totalsRowShown="0">
  <autoFilter ref="B4:F32"/>
  <tableColumns count="5">
    <tableColumn id="1" name="编号" dataDxfId="0"/>
    <tableColumn id="2" name="支出金额" dataDxfId="1"/>
    <tableColumn id="3" name="支出项目" dataDxfId="2"/>
    <tableColumn id="4" name="摘要" dataDxfId="3"/>
    <tableColumn id="5" name="备注" dataDxfId="4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id="2" name="表5" displayName="表5" ref="H4:L32" totalsRowShown="0">
  <autoFilter ref="H4:L32"/>
  <tableColumns count="5">
    <tableColumn id="1" name="编号" dataDxfId="5"/>
    <tableColumn id="2" name="收入金额" dataDxfId="6"/>
    <tableColumn id="3" name="收入项目" dataDxfId="7"/>
    <tableColumn id="4" name="摘要" dataDxfId="8"/>
    <tableColumn id="5" name="备注" dataDxfId="9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7" name="表4_8" displayName="表4_8" ref="B4:F32" totalsRowShown="0">
  <autoFilter ref="B4:F32"/>
  <tableColumns count="5">
    <tableColumn id="1" name="编号" dataDxfId="10"/>
    <tableColumn id="2" name="支出金额" dataDxfId="11"/>
    <tableColumn id="3" name="支出项目" dataDxfId="12"/>
    <tableColumn id="4" name="摘要" dataDxfId="13"/>
    <tableColumn id="5" name="备注" dataDxfId="14"/>
  </tableColumns>
  <tableStyleInfo name="TableStyleLight5" showFirstColumn="0" showLastColumn="0" showRowStripes="1" showColumnStripes="0"/>
</table>
</file>

<file path=xl/tables/table4.xml><?xml version="1.0" encoding="utf-8"?>
<table xmlns="http://schemas.openxmlformats.org/spreadsheetml/2006/main" id="8" name="表5_9" displayName="表5_9" ref="H4:L32" totalsRowShown="0">
  <autoFilter ref="H4:L32"/>
  <tableColumns count="5">
    <tableColumn id="1" name="编号" dataDxfId="15"/>
    <tableColumn id="2" name="收入金额" dataDxfId="16"/>
    <tableColumn id="3" name="收入项目" dataDxfId="17"/>
    <tableColumn id="4" name="摘要" dataDxfId="18"/>
    <tableColumn id="5" name="备注" dataDxfId="19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9" name="表4_810" displayName="表4_810" ref="B4:F32" totalsRowShown="0">
  <autoFilter ref="B4:F32"/>
  <tableColumns count="5">
    <tableColumn id="1" name="编号" dataDxfId="20"/>
    <tableColumn id="2" name="支出金额" dataDxfId="21"/>
    <tableColumn id="3" name="支出项目" dataDxfId="22"/>
    <tableColumn id="4" name="摘要" dataDxfId="23"/>
    <tableColumn id="5" name="备注" dataDxfId="24"/>
  </tableColumns>
  <tableStyleInfo name="TableStyleLight5" showFirstColumn="0" showLastColumn="0" showRowStripes="1" showColumnStripes="0"/>
</table>
</file>

<file path=xl/tables/table6.xml><?xml version="1.0" encoding="utf-8"?>
<table xmlns="http://schemas.openxmlformats.org/spreadsheetml/2006/main" id="10" name="表5_911" displayName="表5_911" ref="H4:L32" totalsRowShown="0">
  <autoFilter ref="H4:L32"/>
  <tableColumns count="5">
    <tableColumn id="1" name="编号" dataDxfId="25"/>
    <tableColumn id="2" name="收入金额" dataDxfId="26"/>
    <tableColumn id="3" name="收入项目" dataDxfId="27"/>
    <tableColumn id="4" name="摘要" dataDxfId="28"/>
    <tableColumn id="5" name="备注" dataDxfId="29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11" name="表4_81012" displayName="表4_81012" ref="B4:F32" totalsRowShown="0">
  <autoFilter ref="B4:F32"/>
  <tableColumns count="5">
    <tableColumn id="1" name="编号" dataDxfId="30"/>
    <tableColumn id="2" name="支出金额" dataDxfId="31"/>
    <tableColumn id="3" name="支出项目" dataDxfId="32"/>
    <tableColumn id="4" name="摘要" dataDxfId="33"/>
    <tableColumn id="5" name="备注" dataDxfId="34"/>
  </tableColumns>
  <tableStyleInfo name="TableStyleLight5" showFirstColumn="0" showLastColumn="0" showRowStripes="1" showColumnStripes="0"/>
</table>
</file>

<file path=xl/tables/table8.xml><?xml version="1.0" encoding="utf-8"?>
<table xmlns="http://schemas.openxmlformats.org/spreadsheetml/2006/main" id="12" name="表5_91113" displayName="表5_91113" ref="H4:L32" totalsRowShown="0">
  <autoFilter ref="H4:L32"/>
  <tableColumns count="5">
    <tableColumn id="1" name="编号" dataDxfId="35"/>
    <tableColumn id="2" name="收入金额" dataDxfId="36"/>
    <tableColumn id="3" name="收入项目" dataDxfId="37"/>
    <tableColumn id="4" name="摘要" dataDxfId="38"/>
    <tableColumn id="5" name="备注" dataDxfId="39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13" name="表4_8101214" displayName="表4_8101214" ref="B4:F32" totalsRowShown="0">
  <autoFilter ref="B4:F32"/>
  <tableColumns count="5">
    <tableColumn id="1" name="编号" dataDxfId="40"/>
    <tableColumn id="2" name="支出金额" dataDxfId="41"/>
    <tableColumn id="3" name="支出项目" dataDxfId="42"/>
    <tableColumn id="4" name="摘要" dataDxfId="43"/>
    <tableColumn id="5" name="备注" dataDxfId="44"/>
  </tableColumns>
  <tableStyleInfo name="TableStyleLight5" showFirstColumn="0" showLastColumn="0" showRowStripes="1" showColumnStripes="0"/>
</table>
</file>

<file path=xl/tables/table10.xml><?xml version="1.0" encoding="utf-8"?>
<table xmlns="http://schemas.openxmlformats.org/spreadsheetml/2006/main" id="14" name="表5_9111315" displayName="表5_9111315" ref="H4:L32" totalsRowShown="0">
  <autoFilter ref="H4:L32"/>
  <tableColumns count="5">
    <tableColumn id="1" name="编号" dataDxfId="45"/>
    <tableColumn id="2" name="收入金额" dataDxfId="46"/>
    <tableColumn id="3" name="收入项目" dataDxfId="47"/>
    <tableColumn id="4" name="摘要" dataDxfId="48"/>
    <tableColumn id="5" name="备注" dataDxfId="49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id="15" name="表4_810121416" displayName="表4_810121416" ref="B4:F32" totalsRowShown="0">
  <autoFilter ref="B4:F32"/>
  <tableColumns count="5">
    <tableColumn id="1" name="编号" dataDxfId="50"/>
    <tableColumn id="2" name="支出金额" dataDxfId="51"/>
    <tableColumn id="3" name="支出项目" dataDxfId="52"/>
    <tableColumn id="4" name="摘要" dataDxfId="53"/>
    <tableColumn id="5" name="备注" dataDxfId="54"/>
  </tableColumns>
  <tableStyleInfo name="TableStyleLight5" showFirstColumn="0" showLastColumn="0" showRowStripes="1" showColumnStripes="0"/>
</table>
</file>

<file path=xl/tables/table12.xml><?xml version="1.0" encoding="utf-8"?>
<table xmlns="http://schemas.openxmlformats.org/spreadsheetml/2006/main" id="16" name="表5_911131517" displayName="表5_911131517" ref="H4:L32" totalsRowShown="0">
  <autoFilter ref="H4:L32"/>
  <tableColumns count="5">
    <tableColumn id="1" name="编号" dataDxfId="55"/>
    <tableColumn id="2" name="收入金额" dataDxfId="56"/>
    <tableColumn id="3" name="收入项目" dataDxfId="57"/>
    <tableColumn id="4" name="摘要" dataDxfId="58"/>
    <tableColumn id="5" name="备注" dataDxfId="59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id="17" name="表4_81012141618" displayName="表4_81012141618" ref="B4:F32" totalsRowShown="0">
  <autoFilter ref="B4:F32"/>
  <tableColumns count="5">
    <tableColumn id="1" name="编号" dataDxfId="60"/>
    <tableColumn id="2" name="支出金额" dataDxfId="61"/>
    <tableColumn id="3" name="支出项目" dataDxfId="62"/>
    <tableColumn id="4" name="摘要" dataDxfId="63"/>
    <tableColumn id="5" name="备注" dataDxfId="64"/>
  </tableColumns>
  <tableStyleInfo name="TableStyleLight5" showFirstColumn="0" showLastColumn="0" showRowStripes="1" showColumnStripes="0"/>
</table>
</file>

<file path=xl/tables/table14.xml><?xml version="1.0" encoding="utf-8"?>
<table xmlns="http://schemas.openxmlformats.org/spreadsheetml/2006/main" id="18" name="表5_91113151719" displayName="表5_91113151719" ref="H4:L32" totalsRowShown="0">
  <autoFilter ref="H4:L32"/>
  <tableColumns count="5">
    <tableColumn id="1" name="编号" dataDxfId="65"/>
    <tableColumn id="2" name="收入金额" dataDxfId="66"/>
    <tableColumn id="3" name="收入项目" dataDxfId="67"/>
    <tableColumn id="4" name="摘要" dataDxfId="68"/>
    <tableColumn id="5" name="备注" dataDxfId="69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id="19" name="表4_8101214161820" displayName="表4_8101214161820" ref="B4:F32" totalsRowShown="0">
  <autoFilter ref="B4:F32"/>
  <tableColumns count="5">
    <tableColumn id="1" name="编号" dataDxfId="70"/>
    <tableColumn id="2" name="支出金额" dataDxfId="71"/>
    <tableColumn id="3" name="支出项目" dataDxfId="72"/>
    <tableColumn id="4" name="摘要" dataDxfId="73"/>
    <tableColumn id="5" name="备注" dataDxfId="74"/>
  </tableColumns>
  <tableStyleInfo name="TableStyleLight5" showFirstColumn="0" showLastColumn="0" showRowStripes="1" showColumnStripes="0"/>
</table>
</file>

<file path=xl/tables/table16.xml><?xml version="1.0" encoding="utf-8"?>
<table xmlns="http://schemas.openxmlformats.org/spreadsheetml/2006/main" id="20" name="表5_9111315171921" displayName="表5_9111315171921" ref="H4:L32" totalsRowShown="0">
  <autoFilter ref="H4:L32"/>
  <tableColumns count="5">
    <tableColumn id="1" name="编号" dataDxfId="75"/>
    <tableColumn id="2" name="收入金额" dataDxfId="76"/>
    <tableColumn id="3" name="收入项目" dataDxfId="77"/>
    <tableColumn id="4" name="摘要" dataDxfId="78"/>
    <tableColumn id="5" name="备注" dataDxfId="79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id="21" name="表4_810121416182022" displayName="表4_810121416182022" ref="B4:F32" totalsRowShown="0">
  <autoFilter ref="B4:F32"/>
  <tableColumns count="5">
    <tableColumn id="1" name="编号" dataDxfId="80"/>
    <tableColumn id="2" name="支出金额" dataDxfId="81"/>
    <tableColumn id="3" name="支出项目" dataDxfId="82"/>
    <tableColumn id="4" name="摘要" dataDxfId="83"/>
    <tableColumn id="5" name="备注" dataDxfId="84"/>
  </tableColumns>
  <tableStyleInfo name="TableStyleLight5" showFirstColumn="0" showLastColumn="0" showRowStripes="1" showColumnStripes="0"/>
</table>
</file>

<file path=xl/tables/table18.xml><?xml version="1.0" encoding="utf-8"?>
<table xmlns="http://schemas.openxmlformats.org/spreadsheetml/2006/main" id="22" name="表5_911131517192123" displayName="表5_911131517192123" ref="H4:L32" totalsRowShown="0">
  <autoFilter ref="H4:L32"/>
  <tableColumns count="5">
    <tableColumn id="1" name="编号" dataDxfId="85"/>
    <tableColumn id="2" name="收入金额" dataDxfId="86"/>
    <tableColumn id="3" name="收入项目" dataDxfId="87"/>
    <tableColumn id="4" name="摘要" dataDxfId="88"/>
    <tableColumn id="5" name="备注" dataDxfId="89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id="23" name="表4_81012141618202224" displayName="表4_81012141618202224" ref="B4:F32" totalsRowShown="0">
  <autoFilter ref="B4:F32"/>
  <tableColumns count="5">
    <tableColumn id="1" name="编号" dataDxfId="90"/>
    <tableColumn id="2" name="支出金额" dataDxfId="91"/>
    <tableColumn id="3" name="支出项目" dataDxfId="92"/>
    <tableColumn id="4" name="摘要" dataDxfId="93"/>
    <tableColumn id="5" name="备注" dataDxfId="94"/>
  </tableColumns>
  <tableStyleInfo name="TableStyleLight5" showFirstColumn="0" showLastColumn="0" showRowStripes="1" showColumnStripes="0"/>
</table>
</file>

<file path=xl/tables/table20.xml><?xml version="1.0" encoding="utf-8"?>
<table xmlns="http://schemas.openxmlformats.org/spreadsheetml/2006/main" id="24" name="表5_91113151719212325" displayName="表5_91113151719212325" ref="H4:L32" totalsRowShown="0">
  <autoFilter ref="H4:L32"/>
  <tableColumns count="5">
    <tableColumn id="1" name="编号" dataDxfId="95"/>
    <tableColumn id="2" name="收入金额" dataDxfId="96"/>
    <tableColumn id="3" name="收入项目" dataDxfId="97"/>
    <tableColumn id="4" name="摘要" dataDxfId="98"/>
    <tableColumn id="5" name="备注" dataDxfId="99"/>
  </tableColumns>
  <tableStyleInfo name="TableStyleMedium6" showFirstColumn="0" showLastColumn="0" showRowStripes="1" showColumnStripes="0"/>
</table>
</file>

<file path=xl/tables/table21.xml><?xml version="1.0" encoding="utf-8"?>
<table xmlns="http://schemas.openxmlformats.org/spreadsheetml/2006/main" id="25" name="表4_8101214161820222426" displayName="表4_8101214161820222426" ref="B4:F32" totalsRowShown="0">
  <autoFilter ref="B4:F32"/>
  <tableColumns count="5">
    <tableColumn id="1" name="编号" dataDxfId="100"/>
    <tableColumn id="2" name="支出金额" dataDxfId="101"/>
    <tableColumn id="3" name="支出项目" dataDxfId="102"/>
    <tableColumn id="4" name="摘要" dataDxfId="103"/>
    <tableColumn id="5" name="备注" dataDxfId="104"/>
  </tableColumns>
  <tableStyleInfo name="TableStyleLight5" showFirstColumn="0" showLastColumn="0" showRowStripes="1" showColumnStripes="0"/>
</table>
</file>

<file path=xl/tables/table22.xml><?xml version="1.0" encoding="utf-8"?>
<table xmlns="http://schemas.openxmlformats.org/spreadsheetml/2006/main" id="26" name="表5_9111315171921232527" displayName="表5_9111315171921232527" ref="H4:L32" totalsRowShown="0">
  <autoFilter ref="H4:L32"/>
  <tableColumns count="5">
    <tableColumn id="1" name="编号" dataDxfId="105"/>
    <tableColumn id="2" name="收入金额" dataDxfId="106"/>
    <tableColumn id="3" name="收入项目" dataDxfId="107"/>
    <tableColumn id="4" name="摘要" dataDxfId="108"/>
    <tableColumn id="5" name="备注" dataDxfId="109"/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id="27" name="表4_810121416182022242628" displayName="表4_810121416182022242628" ref="B4:F32" totalsRowShown="0">
  <autoFilter ref="B4:F32"/>
  <tableColumns count="5">
    <tableColumn id="1" name="编号" dataDxfId="110"/>
    <tableColumn id="2" name="支出金额" dataDxfId="111"/>
    <tableColumn id="3" name="支出项目" dataDxfId="112"/>
    <tableColumn id="4" name="摘要" dataDxfId="113"/>
    <tableColumn id="5" name="备注" dataDxfId="114"/>
  </tableColumns>
  <tableStyleInfo name="TableStyleLight5" showFirstColumn="0" showLastColumn="0" showRowStripes="1" showColumnStripes="0"/>
</table>
</file>

<file path=xl/tables/table24.xml><?xml version="1.0" encoding="utf-8"?>
<table xmlns="http://schemas.openxmlformats.org/spreadsheetml/2006/main" id="28" name="表5_911131517192123252729" displayName="表5_911131517192123252729" ref="H4:L32" totalsRowShown="0">
  <autoFilter ref="H4:L32"/>
  <tableColumns count="5">
    <tableColumn id="1" name="编号" dataDxfId="115"/>
    <tableColumn id="2" name="收入金额" dataDxfId="116"/>
    <tableColumn id="3" name="收入项目" dataDxfId="117"/>
    <tableColumn id="4" name="摘要" dataDxfId="118"/>
    <tableColumn id="5" name="备注" dataDxfId="11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16"/>
  <sheetViews>
    <sheetView showGridLines="0" workbookViewId="0">
      <selection activeCell="D1" sqref="D1:O1"/>
    </sheetView>
  </sheetViews>
  <sheetFormatPr defaultColWidth="0" defaultRowHeight="16.5" zeroHeight="1"/>
  <cols>
    <col min="1" max="1" width="9" style="27" customWidth="1"/>
    <col min="2" max="2" width="10.625" style="27" customWidth="1"/>
    <col min="3" max="3" width="7.5" style="27" customWidth="1"/>
    <col min="4" max="4" width="9.625" style="27" customWidth="1"/>
    <col min="5" max="15" width="9" style="27" customWidth="1"/>
    <col min="16" max="16" width="4" style="27" customWidth="1"/>
    <col min="17" max="16384" width="9" style="27" hidden="1"/>
  </cols>
  <sheetData>
    <row r="1" ht="52.5" customHeight="1" spans="4:15">
      <c r="D1" s="28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="25" customFormat="1" ht="24.75" customHeight="1" spans="5:15">
      <c r="E2" s="29"/>
      <c r="F2" s="29"/>
      <c r="G2" s="29"/>
      <c r="H2" s="29"/>
      <c r="I2" s="55" t="s">
        <v>1</v>
      </c>
      <c r="J2" s="56"/>
      <c r="K2" s="29"/>
      <c r="L2" s="29"/>
      <c r="M2" s="29"/>
      <c r="N2" s="29"/>
      <c r="O2" s="29"/>
    </row>
    <row r="3" s="25" customFormat="1" ht="24.75" customHeight="1" spans="4:15">
      <c r="D3" s="30"/>
      <c r="E3" s="30"/>
      <c r="F3" s="30"/>
      <c r="G3" s="30"/>
      <c r="H3" s="30"/>
      <c r="I3" s="57">
        <f>E7+H7+K7+N7</f>
        <v>7000</v>
      </c>
      <c r="J3" s="58"/>
      <c r="K3" s="30"/>
      <c r="L3" s="30"/>
      <c r="M3" s="30"/>
      <c r="N3" s="30"/>
      <c r="O3" s="30"/>
    </row>
    <row r="4" s="25" customFormat="1" ht="24.75" customHeight="1" spans="4:15">
      <c r="D4" s="30"/>
      <c r="E4" s="30"/>
      <c r="F4" s="30"/>
      <c r="G4" s="30"/>
      <c r="H4" s="30"/>
      <c r="I4" s="59">
        <f t="shared" ref="I4:I5" si="0">E8+H8+K8+N8</f>
        <v>21200</v>
      </c>
      <c r="J4" s="60"/>
      <c r="K4" s="30"/>
      <c r="L4" s="30"/>
      <c r="M4" s="30"/>
      <c r="N4" s="30"/>
      <c r="O4" s="30"/>
    </row>
    <row r="5" s="25" customFormat="1" ht="24.75" customHeight="1" spans="5:10">
      <c r="E5" s="31"/>
      <c r="I5" s="61">
        <f t="shared" si="0"/>
        <v>-14200</v>
      </c>
      <c r="J5" s="62"/>
    </row>
    <row r="6" s="26" customFormat="1" ht="24.75" customHeight="1" spans="4:14">
      <c r="D6" s="32"/>
      <c r="E6" s="33" t="s">
        <v>2</v>
      </c>
      <c r="F6" s="34"/>
      <c r="H6" s="35" t="s">
        <v>3</v>
      </c>
      <c r="K6" s="63" t="s">
        <v>4</v>
      </c>
      <c r="N6" s="64" t="s">
        <v>5</v>
      </c>
    </row>
    <row r="7" s="26" customFormat="1" ht="24.75" customHeight="1" spans="4:14">
      <c r="D7" s="32"/>
      <c r="E7" s="36">
        <f>D11+E11+F11</f>
        <v>2270</v>
      </c>
      <c r="H7" s="37">
        <f>G11+H11+I11</f>
        <v>1730</v>
      </c>
      <c r="K7" s="65">
        <f>J11+K11+L11</f>
        <v>1500</v>
      </c>
      <c r="N7" s="66">
        <f>M11+N11+O11</f>
        <v>1500</v>
      </c>
    </row>
    <row r="8" s="26" customFormat="1" ht="24.75" customHeight="1" spans="4:14">
      <c r="D8" s="32"/>
      <c r="E8" s="38">
        <f t="shared" ref="E8:E9" si="1">D12+E12+F12</f>
        <v>4300</v>
      </c>
      <c r="H8" s="37">
        <f t="shared" ref="H8:H9" si="2">G12+H12+I12</f>
        <v>5800</v>
      </c>
      <c r="K8" s="65">
        <f t="shared" ref="K8:K9" si="3">J12+K12+L12</f>
        <v>5550</v>
      </c>
      <c r="N8" s="66">
        <f t="shared" ref="N8:N9" si="4">M12+N12+O12</f>
        <v>5550</v>
      </c>
    </row>
    <row r="9" s="26" customFormat="1" ht="24.75" customHeight="1" spans="4:14">
      <c r="D9" s="39"/>
      <c r="E9" s="40">
        <f t="shared" si="1"/>
        <v>-2030</v>
      </c>
      <c r="H9" s="41">
        <f t="shared" si="2"/>
        <v>-4070</v>
      </c>
      <c r="K9" s="67">
        <f t="shared" si="3"/>
        <v>-4050</v>
      </c>
      <c r="N9" s="68">
        <f t="shared" si="4"/>
        <v>-4050</v>
      </c>
    </row>
    <row r="10" s="26" customFormat="1" ht="32.25" customHeight="1" spans="4:15">
      <c r="D10" s="42" t="s">
        <v>6</v>
      </c>
      <c r="E10" s="43" t="s">
        <v>7</v>
      </c>
      <c r="F10" s="44" t="s">
        <v>8</v>
      </c>
      <c r="G10" s="45" t="s">
        <v>9</v>
      </c>
      <c r="H10" s="46" t="s">
        <v>10</v>
      </c>
      <c r="I10" s="69" t="s">
        <v>11</v>
      </c>
      <c r="J10" s="70" t="s">
        <v>12</v>
      </c>
      <c r="K10" s="71" t="s">
        <v>13</v>
      </c>
      <c r="L10" s="72" t="s">
        <v>14</v>
      </c>
      <c r="M10" s="73" t="s">
        <v>15</v>
      </c>
      <c r="N10" s="74" t="s">
        <v>16</v>
      </c>
      <c r="O10" s="75" t="s">
        <v>17</v>
      </c>
    </row>
    <row r="11" s="25" customFormat="1" ht="32.25" customHeight="1" spans="3:15">
      <c r="C11" s="47" t="s">
        <v>18</v>
      </c>
      <c r="D11" s="48">
        <f>'1月'!$S$2</f>
        <v>500</v>
      </c>
      <c r="E11" s="49">
        <f>'2月'!$S$2</f>
        <v>770</v>
      </c>
      <c r="F11" s="49">
        <f>'3月'!$S$2</f>
        <v>1000</v>
      </c>
      <c r="G11" s="50">
        <f>'4月'!$S$2</f>
        <v>710</v>
      </c>
      <c r="H11" s="49">
        <f>'5月'!$S$2</f>
        <v>520</v>
      </c>
      <c r="I11" s="49">
        <f>'6月'!$S$2</f>
        <v>500</v>
      </c>
      <c r="J11" s="76">
        <f>'7月'!$S$2</f>
        <v>500</v>
      </c>
      <c r="K11" s="49">
        <f>'8月'!$S$2</f>
        <v>500</v>
      </c>
      <c r="L11" s="49">
        <f>'9月'!$S$2</f>
        <v>500</v>
      </c>
      <c r="M11" s="77">
        <f>'10月'!$S$2</f>
        <v>500</v>
      </c>
      <c r="N11" s="49">
        <f>'11月'!$S$2</f>
        <v>500</v>
      </c>
      <c r="O11" s="78">
        <f>'12月'!$S$2</f>
        <v>500</v>
      </c>
    </row>
    <row r="12" s="25" customFormat="1" ht="32.25" customHeight="1" spans="3:15">
      <c r="C12" s="47" t="s">
        <v>19</v>
      </c>
      <c r="D12" s="48">
        <f>'1月'!$S$3</f>
        <v>1850</v>
      </c>
      <c r="E12" s="49">
        <f>'2月'!$S$3</f>
        <v>1350</v>
      </c>
      <c r="F12" s="49">
        <f>'3月'!$S$3</f>
        <v>1100</v>
      </c>
      <c r="G12" s="50">
        <f>'4月'!$S$3</f>
        <v>1880</v>
      </c>
      <c r="H12" s="49">
        <f>'5月'!$S$3</f>
        <v>2070</v>
      </c>
      <c r="I12" s="49">
        <f>'6月'!$S$3</f>
        <v>1850</v>
      </c>
      <c r="J12" s="76">
        <f>'7月'!$S$3</f>
        <v>1850</v>
      </c>
      <c r="K12" s="49">
        <f>'8月'!$S$3</f>
        <v>1850</v>
      </c>
      <c r="L12" s="49">
        <f>'9月'!$S$3</f>
        <v>1850</v>
      </c>
      <c r="M12" s="77">
        <f>'10月'!$S$3</f>
        <v>1850</v>
      </c>
      <c r="N12" s="49">
        <f>'11月'!$S$3</f>
        <v>1850</v>
      </c>
      <c r="O12" s="78">
        <f>'12月'!$S$3</f>
        <v>1850</v>
      </c>
    </row>
    <row r="13" s="25" customFormat="1" ht="32.25" customHeight="1" spans="3:15">
      <c r="C13" s="47" t="s">
        <v>20</v>
      </c>
      <c r="D13" s="51">
        <f>'1月'!$S$4</f>
        <v>-1350</v>
      </c>
      <c r="E13" s="52">
        <f>'2月'!$S$4</f>
        <v>-580</v>
      </c>
      <c r="F13" s="52">
        <f>'3月'!$S$4</f>
        <v>-100</v>
      </c>
      <c r="G13" s="53">
        <f>'4月'!$S$4</f>
        <v>-1170</v>
      </c>
      <c r="H13" s="54">
        <f>'5月'!$S$4</f>
        <v>-1550</v>
      </c>
      <c r="I13" s="54">
        <f>'7月'!$S$4</f>
        <v>-1350</v>
      </c>
      <c r="J13" s="79">
        <f>'7月'!$S$4</f>
        <v>-1350</v>
      </c>
      <c r="K13" s="80">
        <f>'8月'!$S$4</f>
        <v>-1350</v>
      </c>
      <c r="L13" s="80">
        <f>'9月'!$S$4</f>
        <v>-1350</v>
      </c>
      <c r="M13" s="81">
        <f>'10月'!$S$4</f>
        <v>-1350</v>
      </c>
      <c r="N13" s="82">
        <f>'11月'!$S$4</f>
        <v>-1350</v>
      </c>
      <c r="O13" s="83">
        <f>'12月'!$S$4</f>
        <v>-1350</v>
      </c>
    </row>
    <row r="14" ht="27.75" customHeight="1"/>
    <row r="15" ht="13.5" hidden="1"/>
    <row r="16" ht="13.5" hidden="1"/>
  </sheetData>
  <mergeCells count="5">
    <mergeCell ref="D1:O1"/>
    <mergeCell ref="I2:J2"/>
    <mergeCell ref="I3:J3"/>
    <mergeCell ref="I4:J4"/>
    <mergeCell ref="I5:J5"/>
  </mergeCells>
  <conditionalFormatting sqref="I3:J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{a0779b0d-b16e-4107-9fae-6904c8f6b14e}</x14:id>
        </ext>
      </extLst>
    </cfRule>
  </conditionalFormatting>
  <conditionalFormatting sqref="D11:O13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{e74f81bf-0c95-47a1-8fff-afc714fe6759}</x14:id>
        </ext>
      </extLst>
    </cfRule>
  </conditionalFormatting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779b0d-b16e-4107-9fae-6904c8f6b1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I3:J5</xm:sqref>
        </x14:conditionalFormatting>
        <x14:conditionalFormatting xmlns:xm="http://schemas.microsoft.com/office/excel/2006/main">
          <x14:cfRule type="dataBar" id="{e74f81bf-0c95-47a1-8fff-afc714fe675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D11:O13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showGridLines="0" workbookViewId="0">
      <selection activeCell="E18" sqref="E18"/>
    </sheetView>
  </sheetViews>
  <sheetFormatPr defaultColWidth="9" defaultRowHeight="16.5"/>
  <cols>
    <col min="1" max="1" width="15.125" style="1" customWidth="1"/>
    <col min="2" max="2" width="6.5" style="1" customWidth="1"/>
    <col min="3" max="4" width="10.25" style="1" customWidth="1"/>
    <col min="5" max="6" width="9" style="1"/>
    <col min="7" max="7" width="2.75" style="2" customWidth="1"/>
    <col min="8" max="8" width="6.5" style="1" customWidth="1"/>
    <col min="9" max="10" width="10.25" style="1" customWidth="1"/>
    <col min="11" max="18" width="9" style="1"/>
    <col min="19" max="19" width="12" style="1" customWidth="1"/>
    <col min="20" max="16384" width="9" style="1"/>
  </cols>
  <sheetData>
    <row r="1" ht="42" customHeight="1" spans="1:1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.75" customHeight="1" spans="1:19">
      <c r="A2" s="4" t="s">
        <v>22</v>
      </c>
      <c r="B2" s="4" t="s">
        <v>23</v>
      </c>
      <c r="C2" s="4"/>
      <c r="D2" s="4"/>
      <c r="E2" s="4"/>
      <c r="F2" s="4"/>
      <c r="G2" s="5"/>
      <c r="H2" s="6" t="s">
        <v>24</v>
      </c>
      <c r="I2" s="6"/>
      <c r="J2" s="6"/>
      <c r="K2" s="6"/>
      <c r="L2" s="6"/>
      <c r="R2" s="18" t="s">
        <v>25</v>
      </c>
      <c r="S2" s="18">
        <f>A5</f>
        <v>500</v>
      </c>
    </row>
    <row r="3" ht="27" customHeight="1" spans="1:19">
      <c r="A3" s="7" t="s">
        <v>26</v>
      </c>
      <c r="B3" s="8" t="s">
        <v>27</v>
      </c>
      <c r="C3" s="9"/>
      <c r="D3" s="9"/>
      <c r="E3" s="9"/>
      <c r="F3" s="10"/>
      <c r="H3" s="11" t="s">
        <v>28</v>
      </c>
      <c r="I3" s="23"/>
      <c r="J3" s="23"/>
      <c r="K3" s="23"/>
      <c r="L3" s="24"/>
      <c r="R3" s="18" t="s">
        <v>29</v>
      </c>
      <c r="S3" s="18">
        <f>A9</f>
        <v>1850</v>
      </c>
    </row>
    <row r="4" ht="18.75" spans="1:19">
      <c r="A4" s="12" t="s">
        <v>25</v>
      </c>
      <c r="B4" s="13" t="s">
        <v>30</v>
      </c>
      <c r="C4" s="14" t="s">
        <v>31</v>
      </c>
      <c r="D4" s="14" t="s">
        <v>32</v>
      </c>
      <c r="E4" s="14" t="s">
        <v>33</v>
      </c>
      <c r="F4" s="15" t="s">
        <v>34</v>
      </c>
      <c r="H4" s="13" t="s">
        <v>30</v>
      </c>
      <c r="I4" s="14" t="s">
        <v>35</v>
      </c>
      <c r="J4" s="14" t="s">
        <v>36</v>
      </c>
      <c r="K4" s="14" t="s">
        <v>33</v>
      </c>
      <c r="L4" s="15" t="s">
        <v>34</v>
      </c>
      <c r="R4" s="18" t="s">
        <v>37</v>
      </c>
      <c r="S4" s="18">
        <f>A13</f>
        <v>-1350</v>
      </c>
    </row>
    <row r="5" spans="1:12">
      <c r="A5" s="16">
        <f>I32</f>
        <v>500</v>
      </c>
      <c r="B5" s="17">
        <v>1</v>
      </c>
      <c r="C5" s="18">
        <v>100</v>
      </c>
      <c r="D5" s="18"/>
      <c r="E5" s="18"/>
      <c r="F5" s="19"/>
      <c r="H5" s="17">
        <v>1</v>
      </c>
      <c r="I5" s="18">
        <v>50</v>
      </c>
      <c r="J5" s="18"/>
      <c r="K5" s="18"/>
      <c r="L5" s="19"/>
    </row>
    <row r="6" spans="1:12">
      <c r="A6" s="16"/>
      <c r="B6" s="17">
        <v>2</v>
      </c>
      <c r="C6" s="18">
        <v>200</v>
      </c>
      <c r="D6" s="18"/>
      <c r="E6" s="18"/>
      <c r="F6" s="19"/>
      <c r="H6" s="17">
        <v>2</v>
      </c>
      <c r="I6" s="18">
        <v>20</v>
      </c>
      <c r="J6" s="18"/>
      <c r="K6" s="18"/>
      <c r="L6" s="19"/>
    </row>
    <row r="7" spans="1:12">
      <c r="A7" s="16"/>
      <c r="B7" s="17">
        <v>3</v>
      </c>
      <c r="C7" s="18">
        <v>300</v>
      </c>
      <c r="D7" s="18"/>
      <c r="E7" s="18"/>
      <c r="F7" s="19"/>
      <c r="H7" s="17">
        <v>3</v>
      </c>
      <c r="I7" s="18">
        <v>30</v>
      </c>
      <c r="J7" s="18"/>
      <c r="K7" s="18"/>
      <c r="L7" s="19"/>
    </row>
    <row r="8" ht="18.75" spans="1:12">
      <c r="A8" s="12" t="s">
        <v>29</v>
      </c>
      <c r="B8" s="17">
        <v>4</v>
      </c>
      <c r="C8" s="18">
        <v>100</v>
      </c>
      <c r="D8" s="18"/>
      <c r="E8" s="18"/>
      <c r="F8" s="19"/>
      <c r="H8" s="17">
        <v>4</v>
      </c>
      <c r="I8" s="18">
        <v>400</v>
      </c>
      <c r="J8" s="18"/>
      <c r="K8" s="18"/>
      <c r="L8" s="19"/>
    </row>
    <row r="9" spans="1:12">
      <c r="A9" s="16">
        <f>C32</f>
        <v>1850</v>
      </c>
      <c r="B9" s="17">
        <v>5</v>
      </c>
      <c r="C9" s="18">
        <v>100</v>
      </c>
      <c r="D9" s="18"/>
      <c r="E9" s="18"/>
      <c r="F9" s="19"/>
      <c r="H9" s="17">
        <v>5</v>
      </c>
      <c r="I9" s="18"/>
      <c r="J9" s="18"/>
      <c r="K9" s="18"/>
      <c r="L9" s="19"/>
    </row>
    <row r="10" spans="1:12">
      <c r="A10" s="16"/>
      <c r="B10" s="17">
        <v>6</v>
      </c>
      <c r="C10" s="18">
        <v>300</v>
      </c>
      <c r="D10" s="18"/>
      <c r="E10" s="18"/>
      <c r="F10" s="19"/>
      <c r="H10" s="17">
        <v>6</v>
      </c>
      <c r="I10" s="18"/>
      <c r="J10" s="18"/>
      <c r="K10" s="18"/>
      <c r="L10" s="19"/>
    </row>
    <row r="11" spans="1:12">
      <c r="A11" s="16"/>
      <c r="B11" s="17">
        <v>7</v>
      </c>
      <c r="C11" s="18">
        <v>250</v>
      </c>
      <c r="D11" s="18"/>
      <c r="E11" s="18"/>
      <c r="F11" s="19"/>
      <c r="H11" s="17">
        <v>7</v>
      </c>
      <c r="I11" s="18"/>
      <c r="J11" s="18"/>
      <c r="K11" s="18"/>
      <c r="L11" s="19"/>
    </row>
    <row r="12" ht="18.75" spans="1:12">
      <c r="A12" s="12" t="s">
        <v>37</v>
      </c>
      <c r="B12" s="17">
        <v>8</v>
      </c>
      <c r="C12" s="18">
        <v>500</v>
      </c>
      <c r="D12" s="18"/>
      <c r="E12" s="18"/>
      <c r="F12" s="19"/>
      <c r="H12" s="17">
        <v>8</v>
      </c>
      <c r="I12" s="18"/>
      <c r="J12" s="18"/>
      <c r="K12" s="18"/>
      <c r="L12" s="19"/>
    </row>
    <row r="13" spans="1:12">
      <c r="A13" s="16">
        <f>A5-A9</f>
        <v>-1350</v>
      </c>
      <c r="B13" s="17">
        <v>9</v>
      </c>
      <c r="C13" s="18"/>
      <c r="D13" s="18"/>
      <c r="E13" s="18"/>
      <c r="F13" s="19"/>
      <c r="H13" s="17">
        <v>9</v>
      </c>
      <c r="I13" s="18"/>
      <c r="J13" s="18"/>
      <c r="K13" s="18"/>
      <c r="L13" s="19"/>
    </row>
    <row r="14" spans="1:12">
      <c r="A14" s="16"/>
      <c r="B14" s="17">
        <v>10</v>
      </c>
      <c r="C14" s="18"/>
      <c r="D14" s="18"/>
      <c r="E14" s="18"/>
      <c r="F14" s="19"/>
      <c r="H14" s="17">
        <v>10</v>
      </c>
      <c r="I14" s="18"/>
      <c r="J14" s="18"/>
      <c r="K14" s="18"/>
      <c r="L14" s="19"/>
    </row>
    <row r="15" spans="1:12">
      <c r="A15" s="16"/>
      <c r="B15" s="17">
        <v>11</v>
      </c>
      <c r="C15" s="18"/>
      <c r="D15" s="18"/>
      <c r="E15" s="18"/>
      <c r="F15" s="19"/>
      <c r="H15" s="17">
        <v>11</v>
      </c>
      <c r="I15" s="18"/>
      <c r="J15" s="18"/>
      <c r="K15" s="18"/>
      <c r="L15" s="19"/>
    </row>
    <row r="16" spans="2:12">
      <c r="B16" s="17">
        <v>12</v>
      </c>
      <c r="C16" s="18"/>
      <c r="D16" s="18"/>
      <c r="E16" s="18"/>
      <c r="F16" s="19"/>
      <c r="H16" s="17">
        <v>12</v>
      </c>
      <c r="I16" s="18"/>
      <c r="J16" s="18"/>
      <c r="K16" s="18"/>
      <c r="L16" s="19"/>
    </row>
    <row r="17" spans="2:12">
      <c r="B17" s="17">
        <v>13</v>
      </c>
      <c r="C17" s="18"/>
      <c r="D17" s="18"/>
      <c r="E17" s="18"/>
      <c r="F17" s="19"/>
      <c r="H17" s="17">
        <v>13</v>
      </c>
      <c r="I17" s="18"/>
      <c r="J17" s="18"/>
      <c r="K17" s="18"/>
      <c r="L17" s="19"/>
    </row>
    <row r="18" spans="2:12">
      <c r="B18" s="17">
        <v>14</v>
      </c>
      <c r="C18" s="18"/>
      <c r="D18" s="18"/>
      <c r="E18" s="18"/>
      <c r="F18" s="19"/>
      <c r="H18" s="17">
        <v>14</v>
      </c>
      <c r="I18" s="18"/>
      <c r="J18" s="18"/>
      <c r="K18" s="18"/>
      <c r="L18" s="19"/>
    </row>
    <row r="19" spans="2:12">
      <c r="B19" s="17">
        <v>15</v>
      </c>
      <c r="C19" s="18"/>
      <c r="D19" s="18"/>
      <c r="E19" s="18"/>
      <c r="F19" s="19"/>
      <c r="H19" s="17">
        <v>15</v>
      </c>
      <c r="I19" s="18"/>
      <c r="J19" s="18"/>
      <c r="K19" s="18"/>
      <c r="L19" s="19"/>
    </row>
    <row r="20" spans="2:12">
      <c r="B20" s="17">
        <v>16</v>
      </c>
      <c r="C20" s="18"/>
      <c r="D20" s="18"/>
      <c r="E20" s="18"/>
      <c r="F20" s="19"/>
      <c r="H20" s="17">
        <v>16</v>
      </c>
      <c r="I20" s="18"/>
      <c r="J20" s="18"/>
      <c r="K20" s="18"/>
      <c r="L20" s="19"/>
    </row>
    <row r="21" spans="2:12">
      <c r="B21" s="17">
        <v>17</v>
      </c>
      <c r="C21" s="18"/>
      <c r="D21" s="18"/>
      <c r="E21" s="18"/>
      <c r="F21" s="19"/>
      <c r="H21" s="17">
        <v>17</v>
      </c>
      <c r="I21" s="18"/>
      <c r="J21" s="18"/>
      <c r="K21" s="18"/>
      <c r="L21" s="19"/>
    </row>
    <row r="22" spans="2:12">
      <c r="B22" s="17">
        <v>18</v>
      </c>
      <c r="C22" s="18"/>
      <c r="D22" s="18"/>
      <c r="E22" s="18"/>
      <c r="F22" s="19"/>
      <c r="H22" s="17">
        <v>18</v>
      </c>
      <c r="I22" s="18"/>
      <c r="J22" s="18"/>
      <c r="K22" s="18"/>
      <c r="L22" s="19"/>
    </row>
    <row r="23" spans="2:12">
      <c r="B23" s="17">
        <v>19</v>
      </c>
      <c r="C23" s="18"/>
      <c r="D23" s="18"/>
      <c r="E23" s="18"/>
      <c r="F23" s="19"/>
      <c r="H23" s="17">
        <v>19</v>
      </c>
      <c r="I23" s="18"/>
      <c r="J23" s="18"/>
      <c r="K23" s="18"/>
      <c r="L23" s="19"/>
    </row>
    <row r="24" spans="2:12">
      <c r="B24" s="17">
        <v>20</v>
      </c>
      <c r="C24" s="18"/>
      <c r="D24" s="18"/>
      <c r="E24" s="18"/>
      <c r="F24" s="19"/>
      <c r="H24" s="17">
        <v>20</v>
      </c>
      <c r="I24" s="18"/>
      <c r="J24" s="18"/>
      <c r="K24" s="18"/>
      <c r="L24" s="19"/>
    </row>
    <row r="25" spans="2:12">
      <c r="B25" s="17">
        <v>21</v>
      </c>
      <c r="C25" s="18"/>
      <c r="D25" s="18"/>
      <c r="E25" s="18"/>
      <c r="F25" s="19"/>
      <c r="H25" s="17">
        <v>21</v>
      </c>
      <c r="I25" s="18"/>
      <c r="J25" s="18"/>
      <c r="K25" s="18"/>
      <c r="L25" s="19"/>
    </row>
    <row r="26" spans="2:12">
      <c r="B26" s="17">
        <v>22</v>
      </c>
      <c r="C26" s="18"/>
      <c r="D26" s="18"/>
      <c r="E26" s="18"/>
      <c r="F26" s="19"/>
      <c r="H26" s="17">
        <v>22</v>
      </c>
      <c r="I26" s="18"/>
      <c r="J26" s="18"/>
      <c r="K26" s="18"/>
      <c r="L26" s="19"/>
    </row>
    <row r="27" spans="2:12">
      <c r="B27" s="17">
        <v>23</v>
      </c>
      <c r="C27" s="18"/>
      <c r="D27" s="18"/>
      <c r="E27" s="18"/>
      <c r="F27" s="19"/>
      <c r="H27" s="17">
        <v>23</v>
      </c>
      <c r="I27" s="18"/>
      <c r="J27" s="18"/>
      <c r="K27" s="18"/>
      <c r="L27" s="19"/>
    </row>
    <row r="28" spans="2:12">
      <c r="B28" s="17">
        <v>24</v>
      </c>
      <c r="C28" s="18"/>
      <c r="D28" s="18"/>
      <c r="E28" s="18"/>
      <c r="F28" s="19"/>
      <c r="H28" s="17">
        <v>24</v>
      </c>
      <c r="I28" s="18"/>
      <c r="J28" s="18"/>
      <c r="K28" s="18"/>
      <c r="L28" s="19"/>
    </row>
    <row r="29" spans="2:12">
      <c r="B29" s="17">
        <v>25</v>
      </c>
      <c r="C29" s="18"/>
      <c r="D29" s="18"/>
      <c r="E29" s="18"/>
      <c r="F29" s="19"/>
      <c r="H29" s="17">
        <v>25</v>
      </c>
      <c r="I29" s="18"/>
      <c r="J29" s="18"/>
      <c r="K29" s="18"/>
      <c r="L29" s="19"/>
    </row>
    <row r="30" spans="2:12">
      <c r="B30" s="17">
        <v>26</v>
      </c>
      <c r="C30" s="18"/>
      <c r="D30" s="18"/>
      <c r="E30" s="18"/>
      <c r="F30" s="19"/>
      <c r="H30" s="17">
        <v>26</v>
      </c>
      <c r="I30" s="18"/>
      <c r="J30" s="18"/>
      <c r="K30" s="18"/>
      <c r="L30" s="19"/>
    </row>
    <row r="31" spans="2:12">
      <c r="B31" s="17">
        <v>27</v>
      </c>
      <c r="C31" s="18"/>
      <c r="D31" s="18"/>
      <c r="E31" s="18"/>
      <c r="F31" s="19"/>
      <c r="H31" s="17">
        <v>27</v>
      </c>
      <c r="I31" s="18"/>
      <c r="J31" s="18"/>
      <c r="K31" s="18"/>
      <c r="L31" s="19"/>
    </row>
    <row r="32" spans="2:12">
      <c r="B32" s="20" t="s">
        <v>38</v>
      </c>
      <c r="C32" s="21">
        <f>SUM(C5:C31)</f>
        <v>1850</v>
      </c>
      <c r="D32" s="21"/>
      <c r="E32" s="21"/>
      <c r="F32" s="22"/>
      <c r="H32" s="20" t="s">
        <v>38</v>
      </c>
      <c r="I32" s="21">
        <f>SUM(I5:I31)</f>
        <v>500</v>
      </c>
      <c r="J32" s="21"/>
      <c r="K32" s="21"/>
      <c r="L32" s="22"/>
    </row>
  </sheetData>
  <mergeCells count="10">
    <mergeCell ref="A1:L1"/>
    <mergeCell ref="B2:F2"/>
    <mergeCell ref="H2:I2"/>
    <mergeCell ref="J2:L2"/>
    <mergeCell ref="B3:F3"/>
    <mergeCell ref="H3:L3"/>
    <mergeCell ref="A5:A7"/>
    <mergeCell ref="A9:A11"/>
    <mergeCell ref="A13:A15"/>
    <mergeCell ref="G2:G32"/>
  </mergeCells>
  <conditionalFormatting sqref="C5:C3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{c5eaf155-fcf8-4776-bbca-60ab45f81d52}</x14:id>
        </ext>
      </extLst>
    </cfRule>
  </conditionalFormatting>
  <conditionalFormatting sqref="I5:I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{3d612394-7a11-4dee-aa4b-3b34e424df79}</x14:id>
        </ext>
      </extLst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eaf155-fcf8-4776-bbca-60ab45f81d5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C5:C31</xm:sqref>
        </x14:conditionalFormatting>
        <x14:conditionalFormatting xmlns:xm="http://schemas.microsoft.com/office/excel/2006/main">
          <x14:cfRule type="dataBar" id="{3d612394-7a11-4dee-aa4b-3b34e424df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showGridLines="0" workbookViewId="0">
      <selection activeCell="I8" sqref="I8"/>
    </sheetView>
  </sheetViews>
  <sheetFormatPr defaultColWidth="9" defaultRowHeight="16.5"/>
  <cols>
    <col min="1" max="1" width="15.125" style="1" customWidth="1"/>
    <col min="2" max="2" width="6.5" style="1" customWidth="1"/>
    <col min="3" max="4" width="10.25" style="1" customWidth="1"/>
    <col min="5" max="6" width="9" style="1"/>
    <col min="7" max="7" width="2.75" style="2" customWidth="1"/>
    <col min="8" max="8" width="6.5" style="1" customWidth="1"/>
    <col min="9" max="10" width="10.25" style="1" customWidth="1"/>
    <col min="11" max="18" width="9" style="1"/>
    <col min="19" max="19" width="12" style="1" customWidth="1"/>
    <col min="20" max="16384" width="9" style="1"/>
  </cols>
  <sheetData>
    <row r="1" ht="42" customHeight="1" spans="1:1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.75" customHeight="1" spans="1:19">
      <c r="A2" s="4" t="s">
        <v>22</v>
      </c>
      <c r="B2" s="4" t="s">
        <v>23</v>
      </c>
      <c r="C2" s="4"/>
      <c r="D2" s="4"/>
      <c r="E2" s="4"/>
      <c r="F2" s="4"/>
      <c r="G2" s="5"/>
      <c r="H2" s="6" t="s">
        <v>24</v>
      </c>
      <c r="I2" s="6"/>
      <c r="J2" s="6"/>
      <c r="K2" s="6"/>
      <c r="L2" s="6"/>
      <c r="R2" s="18" t="s">
        <v>25</v>
      </c>
      <c r="S2" s="18">
        <f>A5</f>
        <v>770</v>
      </c>
    </row>
    <row r="3" ht="27" customHeight="1" spans="1:19">
      <c r="A3" s="7" t="s">
        <v>26</v>
      </c>
      <c r="B3" s="8" t="s">
        <v>27</v>
      </c>
      <c r="C3" s="9"/>
      <c r="D3" s="9"/>
      <c r="E3" s="9"/>
      <c r="F3" s="10"/>
      <c r="H3" s="11" t="s">
        <v>28</v>
      </c>
      <c r="I3" s="23"/>
      <c r="J3" s="23"/>
      <c r="K3" s="23"/>
      <c r="L3" s="24"/>
      <c r="R3" s="18" t="s">
        <v>29</v>
      </c>
      <c r="S3" s="18">
        <f>A9</f>
        <v>1350</v>
      </c>
    </row>
    <row r="4" ht="18.75" spans="1:19">
      <c r="A4" s="12" t="s">
        <v>25</v>
      </c>
      <c r="B4" s="13" t="s">
        <v>30</v>
      </c>
      <c r="C4" s="14" t="s">
        <v>31</v>
      </c>
      <c r="D4" s="14" t="s">
        <v>32</v>
      </c>
      <c r="E4" s="14" t="s">
        <v>33</v>
      </c>
      <c r="F4" s="15" t="s">
        <v>34</v>
      </c>
      <c r="H4" s="13" t="s">
        <v>30</v>
      </c>
      <c r="I4" s="14" t="s">
        <v>35</v>
      </c>
      <c r="J4" s="14" t="s">
        <v>36</v>
      </c>
      <c r="K4" s="14" t="s">
        <v>33</v>
      </c>
      <c r="L4" s="15" t="s">
        <v>34</v>
      </c>
      <c r="R4" s="18" t="s">
        <v>37</v>
      </c>
      <c r="S4" s="18">
        <f>A13</f>
        <v>-580</v>
      </c>
    </row>
    <row r="5" spans="1:12">
      <c r="A5" s="16">
        <f>I32</f>
        <v>770</v>
      </c>
      <c r="B5" s="17">
        <v>1</v>
      </c>
      <c r="C5" s="18">
        <v>100</v>
      </c>
      <c r="D5" s="18"/>
      <c r="E5" s="18"/>
      <c r="F5" s="19"/>
      <c r="H5" s="17">
        <v>1</v>
      </c>
      <c r="I5" s="18">
        <v>50</v>
      </c>
      <c r="J5" s="18"/>
      <c r="K5" s="18"/>
      <c r="L5" s="19"/>
    </row>
    <row r="6" spans="1:12">
      <c r="A6" s="16"/>
      <c r="B6" s="17">
        <v>2</v>
      </c>
      <c r="C6" s="18">
        <v>200</v>
      </c>
      <c r="D6" s="18"/>
      <c r="E6" s="18"/>
      <c r="F6" s="19"/>
      <c r="H6" s="17">
        <v>2</v>
      </c>
      <c r="I6" s="18">
        <v>20</v>
      </c>
      <c r="J6" s="18"/>
      <c r="K6" s="18"/>
      <c r="L6" s="19"/>
    </row>
    <row r="7" spans="1:12">
      <c r="A7" s="16"/>
      <c r="B7" s="17">
        <v>3</v>
      </c>
      <c r="C7" s="18">
        <v>300</v>
      </c>
      <c r="D7" s="18"/>
      <c r="E7" s="18"/>
      <c r="F7" s="19"/>
      <c r="H7" s="17">
        <v>3</v>
      </c>
      <c r="I7" s="18">
        <v>300</v>
      </c>
      <c r="J7" s="18"/>
      <c r="K7" s="18"/>
      <c r="L7" s="19"/>
    </row>
    <row r="8" ht="18.75" spans="1:12">
      <c r="A8" s="12" t="s">
        <v>29</v>
      </c>
      <c r="B8" s="17">
        <v>4</v>
      </c>
      <c r="C8" s="18">
        <v>100</v>
      </c>
      <c r="D8" s="18"/>
      <c r="E8" s="18"/>
      <c r="F8" s="19"/>
      <c r="H8" s="17">
        <v>4</v>
      </c>
      <c r="I8" s="18">
        <v>400</v>
      </c>
      <c r="J8" s="18"/>
      <c r="K8" s="18"/>
      <c r="L8" s="19"/>
    </row>
    <row r="9" spans="1:12">
      <c r="A9" s="16">
        <f>C32</f>
        <v>1350</v>
      </c>
      <c r="B9" s="17">
        <v>5</v>
      </c>
      <c r="C9" s="18">
        <v>100</v>
      </c>
      <c r="D9" s="18"/>
      <c r="E9" s="18"/>
      <c r="F9" s="19"/>
      <c r="H9" s="17">
        <v>5</v>
      </c>
      <c r="I9" s="18"/>
      <c r="J9" s="18"/>
      <c r="K9" s="18"/>
      <c r="L9" s="19"/>
    </row>
    <row r="10" spans="1:12">
      <c r="A10" s="16"/>
      <c r="B10" s="17">
        <v>6</v>
      </c>
      <c r="C10" s="18">
        <v>300</v>
      </c>
      <c r="D10" s="18"/>
      <c r="E10" s="18"/>
      <c r="F10" s="19"/>
      <c r="H10" s="17">
        <v>6</v>
      </c>
      <c r="I10" s="18"/>
      <c r="J10" s="18"/>
      <c r="K10" s="18"/>
      <c r="L10" s="19"/>
    </row>
    <row r="11" spans="1:12">
      <c r="A11" s="16"/>
      <c r="B11" s="17">
        <v>7</v>
      </c>
      <c r="C11" s="18">
        <v>250</v>
      </c>
      <c r="D11" s="18"/>
      <c r="E11" s="18"/>
      <c r="F11" s="19"/>
      <c r="H11" s="17">
        <v>7</v>
      </c>
      <c r="I11" s="18"/>
      <c r="J11" s="18"/>
      <c r="K11" s="18"/>
      <c r="L11" s="19"/>
    </row>
    <row r="12" ht="18.75" spans="1:12">
      <c r="A12" s="12" t="s">
        <v>37</v>
      </c>
      <c r="B12" s="17">
        <v>8</v>
      </c>
      <c r="C12" s="18"/>
      <c r="D12" s="18"/>
      <c r="E12" s="18"/>
      <c r="F12" s="19"/>
      <c r="H12" s="17">
        <v>8</v>
      </c>
      <c r="I12" s="18"/>
      <c r="J12" s="18"/>
      <c r="K12" s="18"/>
      <c r="L12" s="19"/>
    </row>
    <row r="13" spans="1:12">
      <c r="A13" s="16">
        <f>A5-A9</f>
        <v>-580</v>
      </c>
      <c r="B13" s="17">
        <v>9</v>
      </c>
      <c r="C13" s="18"/>
      <c r="D13" s="18"/>
      <c r="E13" s="18"/>
      <c r="F13" s="19"/>
      <c r="H13" s="17">
        <v>9</v>
      </c>
      <c r="I13" s="18"/>
      <c r="J13" s="18"/>
      <c r="K13" s="18"/>
      <c r="L13" s="19"/>
    </row>
    <row r="14" spans="1:12">
      <c r="A14" s="16"/>
      <c r="B14" s="17">
        <v>10</v>
      </c>
      <c r="C14" s="18"/>
      <c r="D14" s="18"/>
      <c r="E14" s="18"/>
      <c r="F14" s="19"/>
      <c r="H14" s="17">
        <v>10</v>
      </c>
      <c r="I14" s="18"/>
      <c r="J14" s="18"/>
      <c r="K14" s="18"/>
      <c r="L14" s="19"/>
    </row>
    <row r="15" spans="1:12">
      <c r="A15" s="16"/>
      <c r="B15" s="17">
        <v>11</v>
      </c>
      <c r="C15" s="18"/>
      <c r="D15" s="18"/>
      <c r="E15" s="18"/>
      <c r="F15" s="19"/>
      <c r="H15" s="17">
        <v>11</v>
      </c>
      <c r="I15" s="18"/>
      <c r="J15" s="18"/>
      <c r="K15" s="18"/>
      <c r="L15" s="19"/>
    </row>
    <row r="16" spans="2:12">
      <c r="B16" s="17">
        <v>12</v>
      </c>
      <c r="C16" s="18"/>
      <c r="D16" s="18"/>
      <c r="E16" s="18"/>
      <c r="F16" s="19"/>
      <c r="H16" s="17">
        <v>12</v>
      </c>
      <c r="I16" s="18"/>
      <c r="J16" s="18"/>
      <c r="K16" s="18"/>
      <c r="L16" s="19"/>
    </row>
    <row r="17" spans="2:12">
      <c r="B17" s="17">
        <v>13</v>
      </c>
      <c r="C17" s="18"/>
      <c r="D17" s="18"/>
      <c r="E17" s="18"/>
      <c r="F17" s="19"/>
      <c r="H17" s="17">
        <v>13</v>
      </c>
      <c r="I17" s="18"/>
      <c r="J17" s="18"/>
      <c r="K17" s="18"/>
      <c r="L17" s="19"/>
    </row>
    <row r="18" spans="2:12">
      <c r="B18" s="17">
        <v>14</v>
      </c>
      <c r="C18" s="18"/>
      <c r="D18" s="18"/>
      <c r="E18" s="18"/>
      <c r="F18" s="19"/>
      <c r="H18" s="17">
        <v>14</v>
      </c>
      <c r="I18" s="18"/>
      <c r="J18" s="18"/>
      <c r="K18" s="18"/>
      <c r="L18" s="19"/>
    </row>
    <row r="19" spans="2:12">
      <c r="B19" s="17">
        <v>15</v>
      </c>
      <c r="C19" s="18"/>
      <c r="D19" s="18"/>
      <c r="E19" s="18"/>
      <c r="F19" s="19"/>
      <c r="H19" s="17">
        <v>15</v>
      </c>
      <c r="I19" s="18"/>
      <c r="J19" s="18"/>
      <c r="K19" s="18"/>
      <c r="L19" s="19"/>
    </row>
    <row r="20" spans="2:12">
      <c r="B20" s="17">
        <v>16</v>
      </c>
      <c r="C20" s="18"/>
      <c r="D20" s="18"/>
      <c r="E20" s="18"/>
      <c r="F20" s="19"/>
      <c r="H20" s="17">
        <v>16</v>
      </c>
      <c r="I20" s="18"/>
      <c r="J20" s="18"/>
      <c r="K20" s="18"/>
      <c r="L20" s="19"/>
    </row>
    <row r="21" spans="2:12">
      <c r="B21" s="17">
        <v>17</v>
      </c>
      <c r="C21" s="18"/>
      <c r="D21" s="18"/>
      <c r="E21" s="18"/>
      <c r="F21" s="19"/>
      <c r="H21" s="17">
        <v>17</v>
      </c>
      <c r="I21" s="18"/>
      <c r="J21" s="18"/>
      <c r="K21" s="18"/>
      <c r="L21" s="19"/>
    </row>
    <row r="22" spans="2:12">
      <c r="B22" s="17">
        <v>18</v>
      </c>
      <c r="C22" s="18"/>
      <c r="D22" s="18"/>
      <c r="E22" s="18"/>
      <c r="F22" s="19"/>
      <c r="H22" s="17">
        <v>18</v>
      </c>
      <c r="I22" s="18"/>
      <c r="J22" s="18"/>
      <c r="K22" s="18"/>
      <c r="L22" s="19"/>
    </row>
    <row r="23" spans="2:12">
      <c r="B23" s="17">
        <v>19</v>
      </c>
      <c r="C23" s="18"/>
      <c r="D23" s="18"/>
      <c r="E23" s="18"/>
      <c r="F23" s="19"/>
      <c r="H23" s="17">
        <v>19</v>
      </c>
      <c r="I23" s="18"/>
      <c r="J23" s="18"/>
      <c r="K23" s="18"/>
      <c r="L23" s="19"/>
    </row>
    <row r="24" spans="2:12">
      <c r="B24" s="17">
        <v>20</v>
      </c>
      <c r="C24" s="18"/>
      <c r="D24" s="18"/>
      <c r="E24" s="18"/>
      <c r="F24" s="19"/>
      <c r="H24" s="17">
        <v>20</v>
      </c>
      <c r="I24" s="18"/>
      <c r="J24" s="18"/>
      <c r="K24" s="18"/>
      <c r="L24" s="19"/>
    </row>
    <row r="25" spans="2:12">
      <c r="B25" s="17">
        <v>21</v>
      </c>
      <c r="C25" s="18"/>
      <c r="D25" s="18"/>
      <c r="E25" s="18"/>
      <c r="F25" s="19"/>
      <c r="H25" s="17">
        <v>21</v>
      </c>
      <c r="I25" s="18"/>
      <c r="J25" s="18"/>
      <c r="K25" s="18"/>
      <c r="L25" s="19"/>
    </row>
    <row r="26" spans="2:12">
      <c r="B26" s="17">
        <v>22</v>
      </c>
      <c r="C26" s="18"/>
      <c r="D26" s="18"/>
      <c r="E26" s="18"/>
      <c r="F26" s="19"/>
      <c r="H26" s="17">
        <v>22</v>
      </c>
      <c r="I26" s="18"/>
      <c r="J26" s="18"/>
      <c r="K26" s="18"/>
      <c r="L26" s="19"/>
    </row>
    <row r="27" spans="2:12">
      <c r="B27" s="17">
        <v>23</v>
      </c>
      <c r="C27" s="18"/>
      <c r="D27" s="18"/>
      <c r="E27" s="18"/>
      <c r="F27" s="19"/>
      <c r="H27" s="17">
        <v>23</v>
      </c>
      <c r="I27" s="18"/>
      <c r="J27" s="18"/>
      <c r="K27" s="18"/>
      <c r="L27" s="19"/>
    </row>
    <row r="28" spans="2:12">
      <c r="B28" s="17">
        <v>24</v>
      </c>
      <c r="C28" s="18"/>
      <c r="D28" s="18"/>
      <c r="E28" s="18"/>
      <c r="F28" s="19"/>
      <c r="H28" s="17">
        <v>24</v>
      </c>
      <c r="I28" s="18"/>
      <c r="J28" s="18"/>
      <c r="K28" s="18"/>
      <c r="L28" s="19"/>
    </row>
    <row r="29" spans="2:12">
      <c r="B29" s="17">
        <v>25</v>
      </c>
      <c r="C29" s="18"/>
      <c r="D29" s="18"/>
      <c r="E29" s="18"/>
      <c r="F29" s="19"/>
      <c r="H29" s="17">
        <v>25</v>
      </c>
      <c r="I29" s="18"/>
      <c r="J29" s="18"/>
      <c r="K29" s="18"/>
      <c r="L29" s="19"/>
    </row>
    <row r="30" spans="2:12">
      <c r="B30" s="17">
        <v>26</v>
      </c>
      <c r="C30" s="18"/>
      <c r="D30" s="18"/>
      <c r="E30" s="18"/>
      <c r="F30" s="19"/>
      <c r="H30" s="17">
        <v>26</v>
      </c>
      <c r="I30" s="18"/>
      <c r="J30" s="18"/>
      <c r="K30" s="18"/>
      <c r="L30" s="19"/>
    </row>
    <row r="31" spans="2:12">
      <c r="B31" s="17">
        <v>27</v>
      </c>
      <c r="C31" s="18"/>
      <c r="D31" s="18"/>
      <c r="E31" s="18"/>
      <c r="F31" s="19"/>
      <c r="H31" s="17">
        <v>27</v>
      </c>
      <c r="I31" s="18"/>
      <c r="J31" s="18"/>
      <c r="K31" s="18"/>
      <c r="L31" s="19"/>
    </row>
    <row r="32" spans="2:12">
      <c r="B32" s="20" t="s">
        <v>38</v>
      </c>
      <c r="C32" s="21">
        <f>SUM(C5:C31)</f>
        <v>1350</v>
      </c>
      <c r="D32" s="21"/>
      <c r="E32" s="21"/>
      <c r="F32" s="22"/>
      <c r="H32" s="20" t="s">
        <v>38</v>
      </c>
      <c r="I32" s="21">
        <f>SUM(I5:I31)</f>
        <v>770</v>
      </c>
      <c r="J32" s="21"/>
      <c r="K32" s="21"/>
      <c r="L32" s="22"/>
    </row>
  </sheetData>
  <mergeCells count="10">
    <mergeCell ref="A1:L1"/>
    <mergeCell ref="B2:F2"/>
    <mergeCell ref="H2:I2"/>
    <mergeCell ref="J2:L2"/>
    <mergeCell ref="B3:F3"/>
    <mergeCell ref="H3:L3"/>
    <mergeCell ref="A5:A7"/>
    <mergeCell ref="A9:A11"/>
    <mergeCell ref="A13:A15"/>
    <mergeCell ref="G2:G32"/>
  </mergeCells>
  <conditionalFormatting sqref="C5:C3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{51232867-7e69-4a55-a56f-f9bd9619e48e}</x14:id>
        </ext>
      </extLst>
    </cfRule>
  </conditionalFormatting>
  <conditionalFormatting sqref="I5:I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{337f0fd6-d6be-4d58-957b-569a98e3f30e}</x14:id>
        </ext>
      </extLst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232867-7e69-4a55-a56f-f9bd9619e48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C5:C31</xm:sqref>
        </x14:conditionalFormatting>
        <x14:conditionalFormatting xmlns:xm="http://schemas.microsoft.com/office/excel/2006/main">
          <x14:cfRule type="dataBar" id="{337f0fd6-d6be-4d58-957b-569a98e3f3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I5:I31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showGridLines="0" workbookViewId="0">
      <selection activeCell="I10" sqref="I10"/>
    </sheetView>
  </sheetViews>
  <sheetFormatPr defaultColWidth="9" defaultRowHeight="16.5"/>
  <cols>
    <col min="1" max="1" width="15.125" style="1" customWidth="1"/>
    <col min="2" max="2" width="6.5" style="1" customWidth="1"/>
    <col min="3" max="4" width="10.25" style="1" customWidth="1"/>
    <col min="5" max="6" width="9" style="1"/>
    <col min="7" max="7" width="2.75" style="2" customWidth="1"/>
    <col min="8" max="8" width="6.5" style="1" customWidth="1"/>
    <col min="9" max="10" width="10.25" style="1" customWidth="1"/>
    <col min="11" max="18" width="9" style="1"/>
    <col min="19" max="19" width="12" style="1" customWidth="1"/>
    <col min="20" max="16384" width="9" style="1"/>
  </cols>
  <sheetData>
    <row r="1" ht="42" customHeight="1" spans="1:1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.75" customHeight="1" spans="1:19">
      <c r="A2" s="4" t="s">
        <v>22</v>
      </c>
      <c r="B2" s="4" t="s">
        <v>23</v>
      </c>
      <c r="C2" s="4"/>
      <c r="D2" s="4"/>
      <c r="E2" s="4"/>
      <c r="F2" s="4"/>
      <c r="G2" s="5"/>
      <c r="H2" s="6" t="s">
        <v>24</v>
      </c>
      <c r="I2" s="6"/>
      <c r="J2" s="6"/>
      <c r="K2" s="6"/>
      <c r="L2" s="6"/>
      <c r="R2" s="18" t="s">
        <v>25</v>
      </c>
      <c r="S2" s="18">
        <f>A5</f>
        <v>1000</v>
      </c>
    </row>
    <row r="3" ht="27" customHeight="1" spans="1:19">
      <c r="A3" s="7" t="s">
        <v>26</v>
      </c>
      <c r="B3" s="8" t="s">
        <v>27</v>
      </c>
      <c r="C3" s="9"/>
      <c r="D3" s="9"/>
      <c r="E3" s="9"/>
      <c r="F3" s="10"/>
      <c r="H3" s="11" t="s">
        <v>28</v>
      </c>
      <c r="I3" s="23"/>
      <c r="J3" s="23"/>
      <c r="K3" s="23"/>
      <c r="L3" s="24"/>
      <c r="R3" s="18" t="s">
        <v>29</v>
      </c>
      <c r="S3" s="18">
        <f>A9</f>
        <v>1100</v>
      </c>
    </row>
    <row r="4" ht="18.75" spans="1:19">
      <c r="A4" s="12" t="s">
        <v>25</v>
      </c>
      <c r="B4" s="13" t="s">
        <v>30</v>
      </c>
      <c r="C4" s="14" t="s">
        <v>31</v>
      </c>
      <c r="D4" s="14" t="s">
        <v>32</v>
      </c>
      <c r="E4" s="14" t="s">
        <v>33</v>
      </c>
      <c r="F4" s="15" t="s">
        <v>34</v>
      </c>
      <c r="H4" s="13" t="s">
        <v>30</v>
      </c>
      <c r="I4" s="14" t="s">
        <v>35</v>
      </c>
      <c r="J4" s="14" t="s">
        <v>36</v>
      </c>
      <c r="K4" s="14" t="s">
        <v>33</v>
      </c>
      <c r="L4" s="15" t="s">
        <v>34</v>
      </c>
      <c r="R4" s="18" t="s">
        <v>37</v>
      </c>
      <c r="S4" s="18">
        <f>A13</f>
        <v>-100</v>
      </c>
    </row>
    <row r="5" spans="1:12">
      <c r="A5" s="16">
        <f>I32</f>
        <v>1000</v>
      </c>
      <c r="B5" s="17">
        <v>1</v>
      </c>
      <c r="C5" s="18">
        <v>100</v>
      </c>
      <c r="D5" s="18"/>
      <c r="E5" s="18"/>
      <c r="F5" s="19"/>
      <c r="H5" s="17">
        <v>1</v>
      </c>
      <c r="I5" s="18">
        <v>50</v>
      </c>
      <c r="J5" s="18"/>
      <c r="K5" s="18"/>
      <c r="L5" s="19"/>
    </row>
    <row r="6" spans="1:12">
      <c r="A6" s="16"/>
      <c r="B6" s="17">
        <v>2</v>
      </c>
      <c r="C6" s="18">
        <v>200</v>
      </c>
      <c r="D6" s="18"/>
      <c r="E6" s="18"/>
      <c r="F6" s="19"/>
      <c r="H6" s="17">
        <v>2</v>
      </c>
      <c r="I6" s="18">
        <v>20</v>
      </c>
      <c r="J6" s="18"/>
      <c r="K6" s="18"/>
      <c r="L6" s="19"/>
    </row>
    <row r="7" spans="1:12">
      <c r="A7" s="16"/>
      <c r="B7" s="17">
        <v>3</v>
      </c>
      <c r="C7" s="18">
        <v>300</v>
      </c>
      <c r="D7" s="18"/>
      <c r="E7" s="18"/>
      <c r="F7" s="19"/>
      <c r="H7" s="17">
        <v>3</v>
      </c>
      <c r="I7" s="18">
        <v>30</v>
      </c>
      <c r="J7" s="18"/>
      <c r="K7" s="18"/>
      <c r="L7" s="19"/>
    </row>
    <row r="8" ht="18.75" spans="1:12">
      <c r="A8" s="12" t="s">
        <v>29</v>
      </c>
      <c r="B8" s="17">
        <v>4</v>
      </c>
      <c r="C8" s="18">
        <v>100</v>
      </c>
      <c r="D8" s="18"/>
      <c r="E8" s="18"/>
      <c r="F8" s="19"/>
      <c r="H8" s="17">
        <v>4</v>
      </c>
      <c r="I8" s="18">
        <v>400</v>
      </c>
      <c r="J8" s="18"/>
      <c r="K8" s="18"/>
      <c r="L8" s="19"/>
    </row>
    <row r="9" spans="1:12">
      <c r="A9" s="16">
        <f>C32</f>
        <v>1100</v>
      </c>
      <c r="B9" s="17">
        <v>5</v>
      </c>
      <c r="C9" s="18">
        <v>100</v>
      </c>
      <c r="D9" s="18"/>
      <c r="E9" s="18"/>
      <c r="F9" s="19"/>
      <c r="H9" s="17">
        <v>5</v>
      </c>
      <c r="I9" s="18">
        <v>500</v>
      </c>
      <c r="J9" s="18"/>
      <c r="K9" s="18"/>
      <c r="L9" s="19"/>
    </row>
    <row r="10" spans="1:12">
      <c r="A10" s="16"/>
      <c r="B10" s="17">
        <v>6</v>
      </c>
      <c r="C10" s="18">
        <v>300</v>
      </c>
      <c r="D10" s="18"/>
      <c r="E10" s="18"/>
      <c r="F10" s="19"/>
      <c r="H10" s="17">
        <v>6</v>
      </c>
      <c r="I10" s="18"/>
      <c r="J10" s="18"/>
      <c r="K10" s="18"/>
      <c r="L10" s="19"/>
    </row>
    <row r="11" spans="1:12">
      <c r="A11" s="16"/>
      <c r="B11" s="17">
        <v>7</v>
      </c>
      <c r="C11" s="18"/>
      <c r="D11" s="18"/>
      <c r="E11" s="18"/>
      <c r="F11" s="19"/>
      <c r="H11" s="17">
        <v>7</v>
      </c>
      <c r="I11" s="18"/>
      <c r="J11" s="18"/>
      <c r="K11" s="18"/>
      <c r="L11" s="19"/>
    </row>
    <row r="12" ht="18.75" spans="1:12">
      <c r="A12" s="12" t="s">
        <v>37</v>
      </c>
      <c r="B12" s="17">
        <v>8</v>
      </c>
      <c r="C12" s="18"/>
      <c r="D12" s="18"/>
      <c r="E12" s="18"/>
      <c r="F12" s="19"/>
      <c r="H12" s="17">
        <v>8</v>
      </c>
      <c r="I12" s="18"/>
      <c r="J12" s="18"/>
      <c r="K12" s="18"/>
      <c r="L12" s="19"/>
    </row>
    <row r="13" spans="1:12">
      <c r="A13" s="16">
        <f>A5-A9</f>
        <v>-100</v>
      </c>
      <c r="B13" s="17">
        <v>9</v>
      </c>
      <c r="C13" s="18"/>
      <c r="D13" s="18"/>
      <c r="E13" s="18"/>
      <c r="F13" s="19"/>
      <c r="H13" s="17">
        <v>9</v>
      </c>
      <c r="I13" s="18"/>
      <c r="J13" s="18"/>
      <c r="K13" s="18"/>
      <c r="L13" s="19"/>
    </row>
    <row r="14" spans="1:12">
      <c r="A14" s="16"/>
      <c r="B14" s="17">
        <v>10</v>
      </c>
      <c r="C14" s="18"/>
      <c r="D14" s="18"/>
      <c r="E14" s="18"/>
      <c r="F14" s="19"/>
      <c r="H14" s="17">
        <v>10</v>
      </c>
      <c r="I14" s="18"/>
      <c r="J14" s="18"/>
      <c r="K14" s="18"/>
      <c r="L14" s="19"/>
    </row>
    <row r="15" spans="1:12">
      <c r="A15" s="16"/>
      <c r="B15" s="17">
        <v>11</v>
      </c>
      <c r="C15" s="18"/>
      <c r="D15" s="18"/>
      <c r="E15" s="18"/>
      <c r="F15" s="19"/>
      <c r="H15" s="17">
        <v>11</v>
      </c>
      <c r="I15" s="18"/>
      <c r="J15" s="18"/>
      <c r="K15" s="18"/>
      <c r="L15" s="19"/>
    </row>
    <row r="16" spans="2:12">
      <c r="B16" s="17">
        <v>12</v>
      </c>
      <c r="C16" s="18"/>
      <c r="D16" s="18"/>
      <c r="E16" s="18"/>
      <c r="F16" s="19"/>
      <c r="H16" s="17">
        <v>12</v>
      </c>
      <c r="I16" s="18"/>
      <c r="J16" s="18"/>
      <c r="K16" s="18"/>
      <c r="L16" s="19"/>
    </row>
    <row r="17" spans="2:12">
      <c r="B17" s="17">
        <v>13</v>
      </c>
      <c r="C17" s="18"/>
      <c r="D17" s="18"/>
      <c r="E17" s="18"/>
      <c r="F17" s="19"/>
      <c r="H17" s="17">
        <v>13</v>
      </c>
      <c r="I17" s="18"/>
      <c r="J17" s="18"/>
      <c r="K17" s="18"/>
      <c r="L17" s="19"/>
    </row>
    <row r="18" spans="2:12">
      <c r="B18" s="17">
        <v>14</v>
      </c>
      <c r="C18" s="18"/>
      <c r="D18" s="18"/>
      <c r="E18" s="18"/>
      <c r="F18" s="19"/>
      <c r="H18" s="17">
        <v>14</v>
      </c>
      <c r="I18" s="18"/>
      <c r="J18" s="18"/>
      <c r="K18" s="18"/>
      <c r="L18" s="19"/>
    </row>
    <row r="19" spans="2:12">
      <c r="B19" s="17">
        <v>15</v>
      </c>
      <c r="C19" s="18"/>
      <c r="D19" s="18"/>
      <c r="E19" s="18"/>
      <c r="F19" s="19"/>
      <c r="H19" s="17">
        <v>15</v>
      </c>
      <c r="I19" s="18"/>
      <c r="J19" s="18"/>
      <c r="K19" s="18"/>
      <c r="L19" s="19"/>
    </row>
    <row r="20" spans="2:12">
      <c r="B20" s="17">
        <v>16</v>
      </c>
      <c r="C20" s="18"/>
      <c r="D20" s="18"/>
      <c r="E20" s="18"/>
      <c r="F20" s="19"/>
      <c r="H20" s="17">
        <v>16</v>
      </c>
      <c r="I20" s="18"/>
      <c r="J20" s="18"/>
      <c r="K20" s="18"/>
      <c r="L20" s="19"/>
    </row>
    <row r="21" spans="2:12">
      <c r="B21" s="17">
        <v>17</v>
      </c>
      <c r="C21" s="18"/>
      <c r="D21" s="18"/>
      <c r="E21" s="18"/>
      <c r="F21" s="19"/>
      <c r="H21" s="17">
        <v>17</v>
      </c>
      <c r="I21" s="18"/>
      <c r="J21" s="18"/>
      <c r="K21" s="18"/>
      <c r="L21" s="19"/>
    </row>
    <row r="22" spans="2:12">
      <c r="B22" s="17">
        <v>18</v>
      </c>
      <c r="C22" s="18"/>
      <c r="D22" s="18"/>
      <c r="E22" s="18"/>
      <c r="F22" s="19"/>
      <c r="H22" s="17">
        <v>18</v>
      </c>
      <c r="I22" s="18"/>
      <c r="J22" s="18"/>
      <c r="K22" s="18"/>
      <c r="L22" s="19"/>
    </row>
    <row r="23" spans="2:12">
      <c r="B23" s="17">
        <v>19</v>
      </c>
      <c r="C23" s="18"/>
      <c r="D23" s="18"/>
      <c r="E23" s="18"/>
      <c r="F23" s="19"/>
      <c r="H23" s="17">
        <v>19</v>
      </c>
      <c r="I23" s="18"/>
      <c r="J23" s="18"/>
      <c r="K23" s="18"/>
      <c r="L23" s="19"/>
    </row>
    <row r="24" spans="2:12">
      <c r="B24" s="17">
        <v>20</v>
      </c>
      <c r="C24" s="18"/>
      <c r="D24" s="18"/>
      <c r="E24" s="18"/>
      <c r="F24" s="19"/>
      <c r="H24" s="17">
        <v>20</v>
      </c>
      <c r="I24" s="18"/>
      <c r="J24" s="18"/>
      <c r="K24" s="18"/>
      <c r="L24" s="19"/>
    </row>
    <row r="25" spans="2:12">
      <c r="B25" s="17">
        <v>21</v>
      </c>
      <c r="C25" s="18"/>
      <c r="D25" s="18"/>
      <c r="E25" s="18"/>
      <c r="F25" s="19"/>
      <c r="H25" s="17">
        <v>21</v>
      </c>
      <c r="I25" s="18"/>
      <c r="J25" s="18"/>
      <c r="K25" s="18"/>
      <c r="L25" s="19"/>
    </row>
    <row r="26" spans="2:12">
      <c r="B26" s="17">
        <v>22</v>
      </c>
      <c r="C26" s="18"/>
      <c r="D26" s="18"/>
      <c r="E26" s="18"/>
      <c r="F26" s="19"/>
      <c r="H26" s="17">
        <v>22</v>
      </c>
      <c r="I26" s="18"/>
      <c r="J26" s="18"/>
      <c r="K26" s="18"/>
      <c r="L26" s="19"/>
    </row>
    <row r="27" spans="2:12">
      <c r="B27" s="17">
        <v>23</v>
      </c>
      <c r="C27" s="18"/>
      <c r="D27" s="18"/>
      <c r="E27" s="18"/>
      <c r="F27" s="19"/>
      <c r="H27" s="17">
        <v>23</v>
      </c>
      <c r="I27" s="18"/>
      <c r="J27" s="18"/>
      <c r="K27" s="18"/>
      <c r="L27" s="19"/>
    </row>
    <row r="28" spans="2:12">
      <c r="B28" s="17">
        <v>24</v>
      </c>
      <c r="C28" s="18"/>
      <c r="D28" s="18"/>
      <c r="E28" s="18"/>
      <c r="F28" s="19"/>
      <c r="H28" s="17">
        <v>24</v>
      </c>
      <c r="I28" s="18"/>
      <c r="J28" s="18"/>
      <c r="K28" s="18"/>
      <c r="L28" s="19"/>
    </row>
    <row r="29" spans="2:12">
      <c r="B29" s="17">
        <v>25</v>
      </c>
      <c r="C29" s="18"/>
      <c r="D29" s="18"/>
      <c r="E29" s="18"/>
      <c r="F29" s="19"/>
      <c r="H29" s="17">
        <v>25</v>
      </c>
      <c r="I29" s="18"/>
      <c r="J29" s="18"/>
      <c r="K29" s="18"/>
      <c r="L29" s="19"/>
    </row>
    <row r="30" spans="2:12">
      <c r="B30" s="17">
        <v>26</v>
      </c>
      <c r="C30" s="18"/>
      <c r="D30" s="18"/>
      <c r="E30" s="18"/>
      <c r="F30" s="19"/>
      <c r="H30" s="17">
        <v>26</v>
      </c>
      <c r="I30" s="18"/>
      <c r="J30" s="18"/>
      <c r="K30" s="18"/>
      <c r="L30" s="19"/>
    </row>
    <row r="31" spans="2:12">
      <c r="B31" s="17">
        <v>27</v>
      </c>
      <c r="C31" s="18"/>
      <c r="D31" s="18"/>
      <c r="E31" s="18"/>
      <c r="F31" s="19"/>
      <c r="H31" s="17">
        <v>27</v>
      </c>
      <c r="I31" s="18"/>
      <c r="J31" s="18"/>
      <c r="K31" s="18"/>
      <c r="L31" s="19"/>
    </row>
    <row r="32" spans="2:12">
      <c r="B32" s="20" t="s">
        <v>38</v>
      </c>
      <c r="C32" s="21">
        <f>SUM(C5:C31)</f>
        <v>1100</v>
      </c>
      <c r="D32" s="21"/>
      <c r="E32" s="21"/>
      <c r="F32" s="22"/>
      <c r="H32" s="20" t="s">
        <v>38</v>
      </c>
      <c r="I32" s="21">
        <f>SUM(I5:I31)</f>
        <v>1000</v>
      </c>
      <c r="J32" s="21"/>
      <c r="K32" s="21"/>
      <c r="L32" s="22"/>
    </row>
  </sheetData>
  <mergeCells count="10">
    <mergeCell ref="A1:L1"/>
    <mergeCell ref="B2:F2"/>
    <mergeCell ref="H2:I2"/>
    <mergeCell ref="J2:L2"/>
    <mergeCell ref="B3:F3"/>
    <mergeCell ref="H3:L3"/>
    <mergeCell ref="A5:A7"/>
    <mergeCell ref="A9:A11"/>
    <mergeCell ref="A13:A15"/>
    <mergeCell ref="G2:G32"/>
  </mergeCells>
  <conditionalFormatting sqref="C5:C3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{42db39eb-2247-4211-bdee-ffafce0b46b2}</x14:id>
        </ext>
      </extLst>
    </cfRule>
  </conditionalFormatting>
  <conditionalFormatting sqref="I5:I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{49ce266a-977f-486b-bff9-2baa51945387}</x14:id>
        </ext>
      </extLst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db39eb-2247-4211-bdee-ffafce0b46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C5:C31</xm:sqref>
        </x14:conditionalFormatting>
        <x14:conditionalFormatting xmlns:xm="http://schemas.microsoft.com/office/excel/2006/main">
          <x14:cfRule type="dataBar" id="{49ce266a-977f-486b-bff9-2baa5194538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showGridLines="0" workbookViewId="0">
      <selection activeCell="C14" sqref="C14"/>
    </sheetView>
  </sheetViews>
  <sheetFormatPr defaultColWidth="9" defaultRowHeight="16.5"/>
  <cols>
    <col min="1" max="1" width="15.125" style="1" customWidth="1"/>
    <col min="2" max="2" width="6.5" style="1" customWidth="1"/>
    <col min="3" max="4" width="10.25" style="1" customWidth="1"/>
    <col min="5" max="6" width="9" style="1"/>
    <col min="7" max="7" width="2.75" style="2" customWidth="1"/>
    <col min="8" max="8" width="6.5" style="1" customWidth="1"/>
    <col min="9" max="10" width="10.25" style="1" customWidth="1"/>
    <col min="11" max="18" width="9" style="1"/>
    <col min="19" max="19" width="12" style="1" customWidth="1"/>
    <col min="20" max="16384" width="9" style="1"/>
  </cols>
  <sheetData>
    <row r="1" ht="42" customHeight="1" spans="1:1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.75" customHeight="1" spans="1:19">
      <c r="A2" s="4" t="s">
        <v>22</v>
      </c>
      <c r="B2" s="4" t="s">
        <v>23</v>
      </c>
      <c r="C2" s="4"/>
      <c r="D2" s="4"/>
      <c r="E2" s="4"/>
      <c r="F2" s="4"/>
      <c r="G2" s="5"/>
      <c r="H2" s="6" t="s">
        <v>24</v>
      </c>
      <c r="I2" s="6"/>
      <c r="J2" s="6"/>
      <c r="K2" s="6"/>
      <c r="L2" s="6"/>
      <c r="R2" s="18" t="s">
        <v>25</v>
      </c>
      <c r="S2" s="18">
        <f>A5</f>
        <v>710</v>
      </c>
    </row>
    <row r="3" ht="27" customHeight="1" spans="1:19">
      <c r="A3" s="7" t="s">
        <v>26</v>
      </c>
      <c r="B3" s="8" t="s">
        <v>27</v>
      </c>
      <c r="C3" s="9"/>
      <c r="D3" s="9"/>
      <c r="E3" s="9"/>
      <c r="F3" s="10"/>
      <c r="H3" s="11" t="s">
        <v>28</v>
      </c>
      <c r="I3" s="23"/>
      <c r="J3" s="23"/>
      <c r="K3" s="23"/>
      <c r="L3" s="24"/>
      <c r="R3" s="18" t="s">
        <v>29</v>
      </c>
      <c r="S3" s="18">
        <f>A9</f>
        <v>1880</v>
      </c>
    </row>
    <row r="4" ht="18.75" spans="1:19">
      <c r="A4" s="12" t="s">
        <v>25</v>
      </c>
      <c r="B4" s="13" t="s">
        <v>30</v>
      </c>
      <c r="C4" s="14" t="s">
        <v>31</v>
      </c>
      <c r="D4" s="14" t="s">
        <v>32</v>
      </c>
      <c r="E4" s="14" t="s">
        <v>33</v>
      </c>
      <c r="F4" s="15" t="s">
        <v>34</v>
      </c>
      <c r="H4" s="13" t="s">
        <v>30</v>
      </c>
      <c r="I4" s="14" t="s">
        <v>35</v>
      </c>
      <c r="J4" s="14" t="s">
        <v>36</v>
      </c>
      <c r="K4" s="14" t="s">
        <v>33</v>
      </c>
      <c r="L4" s="15" t="s">
        <v>34</v>
      </c>
      <c r="R4" s="18" t="s">
        <v>37</v>
      </c>
      <c r="S4" s="18">
        <f>A13</f>
        <v>-1170</v>
      </c>
    </row>
    <row r="5" spans="1:12">
      <c r="A5" s="16">
        <f>I32</f>
        <v>710</v>
      </c>
      <c r="B5" s="17">
        <v>1</v>
      </c>
      <c r="C5" s="18">
        <v>100</v>
      </c>
      <c r="D5" s="18"/>
      <c r="E5" s="18"/>
      <c r="F5" s="19"/>
      <c r="H5" s="17">
        <v>1</v>
      </c>
      <c r="I5" s="18">
        <v>50</v>
      </c>
      <c r="J5" s="18"/>
      <c r="K5" s="18"/>
      <c r="L5" s="19"/>
    </row>
    <row r="6" spans="1:12">
      <c r="A6" s="16"/>
      <c r="B6" s="17">
        <v>2</v>
      </c>
      <c r="C6" s="18">
        <v>200</v>
      </c>
      <c r="D6" s="18"/>
      <c r="E6" s="18"/>
      <c r="F6" s="19"/>
      <c r="H6" s="17">
        <v>2</v>
      </c>
      <c r="I6" s="18">
        <v>20</v>
      </c>
      <c r="J6" s="18"/>
      <c r="K6" s="18"/>
      <c r="L6" s="19"/>
    </row>
    <row r="7" spans="1:12">
      <c r="A7" s="16"/>
      <c r="B7" s="17">
        <v>3</v>
      </c>
      <c r="C7" s="18">
        <v>300</v>
      </c>
      <c r="D7" s="18"/>
      <c r="E7" s="18"/>
      <c r="F7" s="19"/>
      <c r="H7" s="17">
        <v>3</v>
      </c>
      <c r="I7" s="18">
        <v>30</v>
      </c>
      <c r="J7" s="18"/>
      <c r="K7" s="18"/>
      <c r="L7" s="19"/>
    </row>
    <row r="8" ht="18.75" spans="1:12">
      <c r="A8" s="12" t="s">
        <v>29</v>
      </c>
      <c r="B8" s="17">
        <v>4</v>
      </c>
      <c r="C8" s="18">
        <v>100</v>
      </c>
      <c r="D8" s="18"/>
      <c r="E8" s="18"/>
      <c r="F8" s="19"/>
      <c r="H8" s="17">
        <v>4</v>
      </c>
      <c r="I8" s="18">
        <v>400</v>
      </c>
      <c r="J8" s="18"/>
      <c r="K8" s="18"/>
      <c r="L8" s="19"/>
    </row>
    <row r="9" spans="1:12">
      <c r="A9" s="16">
        <f>C32</f>
        <v>1880</v>
      </c>
      <c r="B9" s="17">
        <v>5</v>
      </c>
      <c r="C9" s="18">
        <v>100</v>
      </c>
      <c r="D9" s="18"/>
      <c r="E9" s="18"/>
      <c r="F9" s="19"/>
      <c r="H9" s="17">
        <v>5</v>
      </c>
      <c r="I9" s="18">
        <v>200</v>
      </c>
      <c r="J9" s="18"/>
      <c r="K9" s="18"/>
      <c r="L9" s="19"/>
    </row>
    <row r="10" spans="1:12">
      <c r="A10" s="16"/>
      <c r="B10" s="17">
        <v>6</v>
      </c>
      <c r="C10" s="18">
        <v>300</v>
      </c>
      <c r="D10" s="18"/>
      <c r="E10" s="18"/>
      <c r="F10" s="19"/>
      <c r="H10" s="17">
        <v>6</v>
      </c>
      <c r="I10" s="18">
        <v>10</v>
      </c>
      <c r="J10" s="18"/>
      <c r="K10" s="18"/>
      <c r="L10" s="19"/>
    </row>
    <row r="11" spans="1:12">
      <c r="A11" s="16"/>
      <c r="B11" s="17">
        <v>7</v>
      </c>
      <c r="C11" s="18">
        <v>250</v>
      </c>
      <c r="D11" s="18"/>
      <c r="E11" s="18"/>
      <c r="F11" s="19"/>
      <c r="H11" s="17">
        <v>7</v>
      </c>
      <c r="I11" s="18"/>
      <c r="J11" s="18"/>
      <c r="K11" s="18"/>
      <c r="L11" s="19"/>
    </row>
    <row r="12" ht="18.75" spans="1:12">
      <c r="A12" s="12" t="s">
        <v>37</v>
      </c>
      <c r="B12" s="17">
        <v>8</v>
      </c>
      <c r="C12" s="18">
        <v>500</v>
      </c>
      <c r="D12" s="18"/>
      <c r="E12" s="18"/>
      <c r="F12" s="19"/>
      <c r="H12" s="17">
        <v>8</v>
      </c>
      <c r="I12" s="18"/>
      <c r="J12" s="18"/>
      <c r="K12" s="18"/>
      <c r="L12" s="19"/>
    </row>
    <row r="13" spans="1:12">
      <c r="A13" s="16">
        <f>A5-A9</f>
        <v>-1170</v>
      </c>
      <c r="B13" s="17">
        <v>9</v>
      </c>
      <c r="C13" s="18">
        <v>30</v>
      </c>
      <c r="D13" s="18"/>
      <c r="E13" s="18"/>
      <c r="F13" s="19"/>
      <c r="H13" s="17">
        <v>9</v>
      </c>
      <c r="I13" s="18"/>
      <c r="J13" s="18"/>
      <c r="K13" s="18"/>
      <c r="L13" s="19"/>
    </row>
    <row r="14" spans="1:12">
      <c r="A14" s="16"/>
      <c r="B14" s="17">
        <v>10</v>
      </c>
      <c r="C14" s="18"/>
      <c r="D14" s="18"/>
      <c r="E14" s="18"/>
      <c r="F14" s="19"/>
      <c r="H14" s="17">
        <v>10</v>
      </c>
      <c r="I14" s="18"/>
      <c r="J14" s="18"/>
      <c r="K14" s="18"/>
      <c r="L14" s="19"/>
    </row>
    <row r="15" spans="1:12">
      <c r="A15" s="16"/>
      <c r="B15" s="17">
        <v>11</v>
      </c>
      <c r="C15" s="18"/>
      <c r="D15" s="18"/>
      <c r="E15" s="18"/>
      <c r="F15" s="19"/>
      <c r="H15" s="17">
        <v>11</v>
      </c>
      <c r="I15" s="18"/>
      <c r="J15" s="18"/>
      <c r="K15" s="18"/>
      <c r="L15" s="19"/>
    </row>
    <row r="16" spans="2:12">
      <c r="B16" s="17">
        <v>12</v>
      </c>
      <c r="C16" s="18"/>
      <c r="D16" s="18"/>
      <c r="E16" s="18"/>
      <c r="F16" s="19"/>
      <c r="H16" s="17">
        <v>12</v>
      </c>
      <c r="I16" s="18"/>
      <c r="J16" s="18"/>
      <c r="K16" s="18"/>
      <c r="L16" s="19"/>
    </row>
    <row r="17" spans="2:12">
      <c r="B17" s="17">
        <v>13</v>
      </c>
      <c r="C17" s="18"/>
      <c r="D17" s="18"/>
      <c r="E17" s="18"/>
      <c r="F17" s="19"/>
      <c r="H17" s="17">
        <v>13</v>
      </c>
      <c r="I17" s="18"/>
      <c r="J17" s="18"/>
      <c r="K17" s="18"/>
      <c r="L17" s="19"/>
    </row>
    <row r="18" spans="2:12">
      <c r="B18" s="17">
        <v>14</v>
      </c>
      <c r="C18" s="18"/>
      <c r="D18" s="18"/>
      <c r="E18" s="18"/>
      <c r="F18" s="19"/>
      <c r="H18" s="17">
        <v>14</v>
      </c>
      <c r="I18" s="18"/>
      <c r="J18" s="18"/>
      <c r="K18" s="18"/>
      <c r="L18" s="19"/>
    </row>
    <row r="19" spans="2:12">
      <c r="B19" s="17">
        <v>15</v>
      </c>
      <c r="C19" s="18"/>
      <c r="D19" s="18"/>
      <c r="E19" s="18"/>
      <c r="F19" s="19"/>
      <c r="H19" s="17">
        <v>15</v>
      </c>
      <c r="I19" s="18"/>
      <c r="J19" s="18"/>
      <c r="K19" s="18"/>
      <c r="L19" s="19"/>
    </row>
    <row r="20" spans="2:12">
      <c r="B20" s="17">
        <v>16</v>
      </c>
      <c r="C20" s="18"/>
      <c r="D20" s="18"/>
      <c r="E20" s="18"/>
      <c r="F20" s="19"/>
      <c r="H20" s="17">
        <v>16</v>
      </c>
      <c r="I20" s="18"/>
      <c r="J20" s="18"/>
      <c r="K20" s="18"/>
      <c r="L20" s="19"/>
    </row>
    <row r="21" spans="2:12">
      <c r="B21" s="17">
        <v>17</v>
      </c>
      <c r="C21" s="18"/>
      <c r="D21" s="18"/>
      <c r="E21" s="18"/>
      <c r="F21" s="19"/>
      <c r="H21" s="17">
        <v>17</v>
      </c>
      <c r="I21" s="18"/>
      <c r="J21" s="18"/>
      <c r="K21" s="18"/>
      <c r="L21" s="19"/>
    </row>
    <row r="22" spans="2:12">
      <c r="B22" s="17">
        <v>18</v>
      </c>
      <c r="C22" s="18"/>
      <c r="D22" s="18"/>
      <c r="E22" s="18"/>
      <c r="F22" s="19"/>
      <c r="H22" s="17">
        <v>18</v>
      </c>
      <c r="I22" s="18"/>
      <c r="J22" s="18"/>
      <c r="K22" s="18"/>
      <c r="L22" s="19"/>
    </row>
    <row r="23" spans="2:12">
      <c r="B23" s="17">
        <v>19</v>
      </c>
      <c r="C23" s="18"/>
      <c r="D23" s="18"/>
      <c r="E23" s="18"/>
      <c r="F23" s="19"/>
      <c r="H23" s="17">
        <v>19</v>
      </c>
      <c r="I23" s="18"/>
      <c r="J23" s="18"/>
      <c r="K23" s="18"/>
      <c r="L23" s="19"/>
    </row>
    <row r="24" spans="2:12">
      <c r="B24" s="17">
        <v>20</v>
      </c>
      <c r="C24" s="18"/>
      <c r="D24" s="18"/>
      <c r="E24" s="18"/>
      <c r="F24" s="19"/>
      <c r="H24" s="17">
        <v>20</v>
      </c>
      <c r="I24" s="18"/>
      <c r="J24" s="18"/>
      <c r="K24" s="18"/>
      <c r="L24" s="19"/>
    </row>
    <row r="25" spans="2:12">
      <c r="B25" s="17">
        <v>21</v>
      </c>
      <c r="C25" s="18"/>
      <c r="D25" s="18"/>
      <c r="E25" s="18"/>
      <c r="F25" s="19"/>
      <c r="H25" s="17">
        <v>21</v>
      </c>
      <c r="I25" s="18"/>
      <c r="J25" s="18"/>
      <c r="K25" s="18"/>
      <c r="L25" s="19"/>
    </row>
    <row r="26" spans="2:12">
      <c r="B26" s="17">
        <v>22</v>
      </c>
      <c r="C26" s="18"/>
      <c r="D26" s="18"/>
      <c r="E26" s="18"/>
      <c r="F26" s="19"/>
      <c r="H26" s="17">
        <v>22</v>
      </c>
      <c r="I26" s="18"/>
      <c r="J26" s="18"/>
      <c r="K26" s="18"/>
      <c r="L26" s="19"/>
    </row>
    <row r="27" spans="2:12">
      <c r="B27" s="17">
        <v>23</v>
      </c>
      <c r="C27" s="18"/>
      <c r="D27" s="18"/>
      <c r="E27" s="18"/>
      <c r="F27" s="19"/>
      <c r="H27" s="17">
        <v>23</v>
      </c>
      <c r="I27" s="18"/>
      <c r="J27" s="18"/>
      <c r="K27" s="18"/>
      <c r="L27" s="19"/>
    </row>
    <row r="28" spans="2:12">
      <c r="B28" s="17">
        <v>24</v>
      </c>
      <c r="C28" s="18"/>
      <c r="D28" s="18"/>
      <c r="E28" s="18"/>
      <c r="F28" s="19"/>
      <c r="H28" s="17">
        <v>24</v>
      </c>
      <c r="I28" s="18"/>
      <c r="J28" s="18"/>
      <c r="K28" s="18"/>
      <c r="L28" s="19"/>
    </row>
    <row r="29" spans="2:12">
      <c r="B29" s="17">
        <v>25</v>
      </c>
      <c r="C29" s="18"/>
      <c r="D29" s="18"/>
      <c r="E29" s="18"/>
      <c r="F29" s="19"/>
      <c r="H29" s="17">
        <v>25</v>
      </c>
      <c r="I29" s="18"/>
      <c r="J29" s="18"/>
      <c r="K29" s="18"/>
      <c r="L29" s="19"/>
    </row>
    <row r="30" spans="2:12">
      <c r="B30" s="17">
        <v>26</v>
      </c>
      <c r="C30" s="18"/>
      <c r="D30" s="18"/>
      <c r="E30" s="18"/>
      <c r="F30" s="19"/>
      <c r="H30" s="17">
        <v>26</v>
      </c>
      <c r="I30" s="18"/>
      <c r="J30" s="18"/>
      <c r="K30" s="18"/>
      <c r="L30" s="19"/>
    </row>
    <row r="31" spans="2:12">
      <c r="B31" s="17">
        <v>27</v>
      </c>
      <c r="C31" s="18"/>
      <c r="D31" s="18"/>
      <c r="E31" s="18"/>
      <c r="F31" s="19"/>
      <c r="H31" s="17">
        <v>27</v>
      </c>
      <c r="I31" s="18"/>
      <c r="J31" s="18"/>
      <c r="K31" s="18"/>
      <c r="L31" s="19"/>
    </row>
    <row r="32" spans="2:12">
      <c r="B32" s="20" t="s">
        <v>38</v>
      </c>
      <c r="C32" s="21">
        <f>SUM(C5:C31)</f>
        <v>1880</v>
      </c>
      <c r="D32" s="21"/>
      <c r="E32" s="21"/>
      <c r="F32" s="22"/>
      <c r="H32" s="20" t="s">
        <v>38</v>
      </c>
      <c r="I32" s="21">
        <f>SUM(I5:I31)</f>
        <v>710</v>
      </c>
      <c r="J32" s="21"/>
      <c r="K32" s="21"/>
      <c r="L32" s="22"/>
    </row>
  </sheetData>
  <mergeCells count="10">
    <mergeCell ref="A1:L1"/>
    <mergeCell ref="B2:F2"/>
    <mergeCell ref="H2:I2"/>
    <mergeCell ref="J2:L2"/>
    <mergeCell ref="B3:F3"/>
    <mergeCell ref="H3:L3"/>
    <mergeCell ref="A5:A7"/>
    <mergeCell ref="A9:A11"/>
    <mergeCell ref="A13:A15"/>
    <mergeCell ref="G2:G32"/>
  </mergeCells>
  <conditionalFormatting sqref="C5:C3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{90bac5d5-6c54-44a2-a129-097e6205bc5a}</x14:id>
        </ext>
      </extLst>
    </cfRule>
  </conditionalFormatting>
  <conditionalFormatting sqref="I5:I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{e7f7a8a8-f901-4109-b76a-1f94aaf6f928}</x14:id>
        </ext>
      </extLst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bac5d5-6c54-44a2-a129-097e6205bc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C5:C31</xm:sqref>
        </x14:conditionalFormatting>
        <x14:conditionalFormatting xmlns:xm="http://schemas.microsoft.com/office/excel/2006/main">
          <x14:cfRule type="dataBar" id="{e7f7a8a8-f901-4109-b76a-1f94aaf6f92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showGridLines="0" workbookViewId="0">
      <selection activeCell="C16" sqref="C16"/>
    </sheetView>
  </sheetViews>
  <sheetFormatPr defaultColWidth="9" defaultRowHeight="16.5"/>
  <cols>
    <col min="1" max="1" width="15.125" style="1" customWidth="1"/>
    <col min="2" max="2" width="6.5" style="1" customWidth="1"/>
    <col min="3" max="4" width="10.25" style="1" customWidth="1"/>
    <col min="5" max="6" width="9" style="1"/>
    <col min="7" max="7" width="2.75" style="2" customWidth="1"/>
    <col min="8" max="8" width="6.5" style="1" customWidth="1"/>
    <col min="9" max="10" width="10.25" style="1" customWidth="1"/>
    <col min="11" max="18" width="9" style="1"/>
    <col min="19" max="19" width="12" style="1" customWidth="1"/>
    <col min="20" max="16384" width="9" style="1"/>
  </cols>
  <sheetData>
    <row r="1" ht="42" customHeight="1" spans="1:1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.75" customHeight="1" spans="1:19">
      <c r="A2" s="4" t="s">
        <v>22</v>
      </c>
      <c r="B2" s="4" t="s">
        <v>23</v>
      </c>
      <c r="C2" s="4"/>
      <c r="D2" s="4"/>
      <c r="E2" s="4"/>
      <c r="F2" s="4"/>
      <c r="G2" s="5"/>
      <c r="H2" s="6" t="s">
        <v>24</v>
      </c>
      <c r="I2" s="6"/>
      <c r="J2" s="6"/>
      <c r="K2" s="6"/>
      <c r="L2" s="6"/>
      <c r="R2" s="18" t="s">
        <v>25</v>
      </c>
      <c r="S2" s="18">
        <f>A5</f>
        <v>520</v>
      </c>
    </row>
    <row r="3" ht="27" customHeight="1" spans="1:19">
      <c r="A3" s="7" t="s">
        <v>26</v>
      </c>
      <c r="B3" s="8" t="s">
        <v>27</v>
      </c>
      <c r="C3" s="9"/>
      <c r="D3" s="9"/>
      <c r="E3" s="9"/>
      <c r="F3" s="10"/>
      <c r="H3" s="11" t="s">
        <v>28</v>
      </c>
      <c r="I3" s="23"/>
      <c r="J3" s="23"/>
      <c r="K3" s="23"/>
      <c r="L3" s="24"/>
      <c r="R3" s="18" t="s">
        <v>29</v>
      </c>
      <c r="S3" s="18">
        <f>A9</f>
        <v>2070</v>
      </c>
    </row>
    <row r="4" ht="18.75" spans="1:19">
      <c r="A4" s="12" t="s">
        <v>25</v>
      </c>
      <c r="B4" s="13" t="s">
        <v>30</v>
      </c>
      <c r="C4" s="14" t="s">
        <v>31</v>
      </c>
      <c r="D4" s="14" t="s">
        <v>32</v>
      </c>
      <c r="E4" s="14" t="s">
        <v>33</v>
      </c>
      <c r="F4" s="15" t="s">
        <v>34</v>
      </c>
      <c r="H4" s="13" t="s">
        <v>30</v>
      </c>
      <c r="I4" s="14" t="s">
        <v>35</v>
      </c>
      <c r="J4" s="14" t="s">
        <v>36</v>
      </c>
      <c r="K4" s="14" t="s">
        <v>33</v>
      </c>
      <c r="L4" s="15" t="s">
        <v>34</v>
      </c>
      <c r="R4" s="18" t="s">
        <v>37</v>
      </c>
      <c r="S4" s="18">
        <f>A13</f>
        <v>-1550</v>
      </c>
    </row>
    <row r="5" spans="1:12">
      <c r="A5" s="16">
        <f>I32</f>
        <v>520</v>
      </c>
      <c r="B5" s="17">
        <v>1</v>
      </c>
      <c r="C5" s="18">
        <v>100</v>
      </c>
      <c r="D5" s="18"/>
      <c r="E5" s="18"/>
      <c r="F5" s="19"/>
      <c r="H5" s="17">
        <v>1</v>
      </c>
      <c r="I5" s="18">
        <v>50</v>
      </c>
      <c r="J5" s="18"/>
      <c r="K5" s="18"/>
      <c r="L5" s="19"/>
    </row>
    <row r="6" spans="1:12">
      <c r="A6" s="16"/>
      <c r="B6" s="17">
        <v>2</v>
      </c>
      <c r="C6" s="18">
        <v>200</v>
      </c>
      <c r="D6" s="18"/>
      <c r="E6" s="18"/>
      <c r="F6" s="19"/>
      <c r="H6" s="17">
        <v>2</v>
      </c>
      <c r="I6" s="18">
        <v>20</v>
      </c>
      <c r="J6" s="18"/>
      <c r="K6" s="18"/>
      <c r="L6" s="19"/>
    </row>
    <row r="7" spans="1:12">
      <c r="A7" s="16"/>
      <c r="B7" s="17">
        <v>3</v>
      </c>
      <c r="C7" s="18">
        <v>300</v>
      </c>
      <c r="D7" s="18"/>
      <c r="E7" s="18"/>
      <c r="F7" s="19"/>
      <c r="H7" s="17">
        <v>3</v>
      </c>
      <c r="I7" s="18">
        <v>30</v>
      </c>
      <c r="J7" s="18"/>
      <c r="K7" s="18"/>
      <c r="L7" s="19"/>
    </row>
    <row r="8" ht="18.75" spans="1:12">
      <c r="A8" s="12" t="s">
        <v>29</v>
      </c>
      <c r="B8" s="17">
        <v>4</v>
      </c>
      <c r="C8" s="18">
        <v>100</v>
      </c>
      <c r="D8" s="18"/>
      <c r="E8" s="18"/>
      <c r="F8" s="19"/>
      <c r="H8" s="17">
        <v>4</v>
      </c>
      <c r="I8" s="18">
        <v>400</v>
      </c>
      <c r="J8" s="18"/>
      <c r="K8" s="18"/>
      <c r="L8" s="19"/>
    </row>
    <row r="9" spans="1:12">
      <c r="A9" s="16">
        <f>C32</f>
        <v>2070</v>
      </c>
      <c r="B9" s="17">
        <v>5</v>
      </c>
      <c r="C9" s="18">
        <v>100</v>
      </c>
      <c r="D9" s="18"/>
      <c r="E9" s="18"/>
      <c r="F9" s="19"/>
      <c r="H9" s="17">
        <v>5</v>
      </c>
      <c r="I9" s="18">
        <v>20</v>
      </c>
      <c r="J9" s="18"/>
      <c r="K9" s="18"/>
      <c r="L9" s="19"/>
    </row>
    <row r="10" spans="1:12">
      <c r="A10" s="16"/>
      <c r="B10" s="17">
        <v>6</v>
      </c>
      <c r="C10" s="18">
        <v>300</v>
      </c>
      <c r="D10" s="18"/>
      <c r="E10" s="18"/>
      <c r="F10" s="19"/>
      <c r="H10" s="17">
        <v>6</v>
      </c>
      <c r="I10" s="18"/>
      <c r="J10" s="18"/>
      <c r="K10" s="18"/>
      <c r="L10" s="19"/>
    </row>
    <row r="11" spans="1:12">
      <c r="A11" s="16"/>
      <c r="B11" s="17">
        <v>7</v>
      </c>
      <c r="C11" s="18">
        <v>250</v>
      </c>
      <c r="D11" s="18"/>
      <c r="E11" s="18"/>
      <c r="F11" s="19"/>
      <c r="H11" s="17">
        <v>7</v>
      </c>
      <c r="I11" s="18"/>
      <c r="J11" s="18"/>
      <c r="K11" s="18"/>
      <c r="L11" s="19"/>
    </row>
    <row r="12" ht="18.75" spans="1:12">
      <c r="A12" s="12" t="s">
        <v>37</v>
      </c>
      <c r="B12" s="17">
        <v>8</v>
      </c>
      <c r="C12" s="18">
        <v>500</v>
      </c>
      <c r="D12" s="18"/>
      <c r="E12" s="18"/>
      <c r="F12" s="19"/>
      <c r="H12" s="17">
        <v>8</v>
      </c>
      <c r="I12" s="18"/>
      <c r="J12" s="18"/>
      <c r="K12" s="18"/>
      <c r="L12" s="19"/>
    </row>
    <row r="13" spans="1:12">
      <c r="A13" s="16">
        <f>A5-A9</f>
        <v>-1550</v>
      </c>
      <c r="B13" s="17">
        <v>9</v>
      </c>
      <c r="C13" s="18">
        <v>220</v>
      </c>
      <c r="D13" s="18"/>
      <c r="E13" s="18"/>
      <c r="F13" s="19"/>
      <c r="H13" s="17">
        <v>9</v>
      </c>
      <c r="I13" s="18"/>
      <c r="J13" s="18"/>
      <c r="K13" s="18"/>
      <c r="L13" s="19"/>
    </row>
    <row r="14" spans="1:12">
      <c r="A14" s="16"/>
      <c r="B14" s="17">
        <v>10</v>
      </c>
      <c r="C14" s="18"/>
      <c r="D14" s="18"/>
      <c r="E14" s="18"/>
      <c r="F14" s="19"/>
      <c r="H14" s="17">
        <v>10</v>
      </c>
      <c r="I14" s="18"/>
      <c r="J14" s="18"/>
      <c r="K14" s="18"/>
      <c r="L14" s="19"/>
    </row>
    <row r="15" spans="1:12">
      <c r="A15" s="16"/>
      <c r="B15" s="17">
        <v>11</v>
      </c>
      <c r="C15" s="18"/>
      <c r="D15" s="18"/>
      <c r="E15" s="18"/>
      <c r="F15" s="19"/>
      <c r="H15" s="17">
        <v>11</v>
      </c>
      <c r="I15" s="18"/>
      <c r="J15" s="18"/>
      <c r="K15" s="18"/>
      <c r="L15" s="19"/>
    </row>
    <row r="16" spans="2:12">
      <c r="B16" s="17">
        <v>12</v>
      </c>
      <c r="C16" s="18"/>
      <c r="D16" s="18"/>
      <c r="E16" s="18"/>
      <c r="F16" s="19"/>
      <c r="H16" s="17">
        <v>12</v>
      </c>
      <c r="I16" s="18"/>
      <c r="J16" s="18"/>
      <c r="K16" s="18"/>
      <c r="L16" s="19"/>
    </row>
    <row r="17" spans="2:12">
      <c r="B17" s="17">
        <v>13</v>
      </c>
      <c r="C17" s="18"/>
      <c r="D17" s="18"/>
      <c r="E17" s="18"/>
      <c r="F17" s="19"/>
      <c r="H17" s="17">
        <v>13</v>
      </c>
      <c r="I17" s="18"/>
      <c r="J17" s="18"/>
      <c r="K17" s="18"/>
      <c r="L17" s="19"/>
    </row>
    <row r="18" spans="2:12">
      <c r="B18" s="17">
        <v>14</v>
      </c>
      <c r="C18" s="18"/>
      <c r="D18" s="18"/>
      <c r="E18" s="18"/>
      <c r="F18" s="19"/>
      <c r="H18" s="17">
        <v>14</v>
      </c>
      <c r="I18" s="18"/>
      <c r="J18" s="18"/>
      <c r="K18" s="18"/>
      <c r="L18" s="19"/>
    </row>
    <row r="19" spans="2:12">
      <c r="B19" s="17">
        <v>15</v>
      </c>
      <c r="C19" s="18"/>
      <c r="D19" s="18"/>
      <c r="E19" s="18"/>
      <c r="F19" s="19"/>
      <c r="H19" s="17">
        <v>15</v>
      </c>
      <c r="I19" s="18"/>
      <c r="J19" s="18"/>
      <c r="K19" s="18"/>
      <c r="L19" s="19"/>
    </row>
    <row r="20" spans="2:12">
      <c r="B20" s="17">
        <v>16</v>
      </c>
      <c r="C20" s="18"/>
      <c r="D20" s="18"/>
      <c r="E20" s="18"/>
      <c r="F20" s="19"/>
      <c r="H20" s="17">
        <v>16</v>
      </c>
      <c r="I20" s="18"/>
      <c r="J20" s="18"/>
      <c r="K20" s="18"/>
      <c r="L20" s="19"/>
    </row>
    <row r="21" spans="2:12">
      <c r="B21" s="17">
        <v>17</v>
      </c>
      <c r="C21" s="18"/>
      <c r="D21" s="18"/>
      <c r="E21" s="18"/>
      <c r="F21" s="19"/>
      <c r="H21" s="17">
        <v>17</v>
      </c>
      <c r="I21" s="18"/>
      <c r="J21" s="18"/>
      <c r="K21" s="18"/>
      <c r="L21" s="19"/>
    </row>
    <row r="22" spans="2:12">
      <c r="B22" s="17">
        <v>18</v>
      </c>
      <c r="C22" s="18"/>
      <c r="D22" s="18"/>
      <c r="E22" s="18"/>
      <c r="F22" s="19"/>
      <c r="H22" s="17">
        <v>18</v>
      </c>
      <c r="I22" s="18"/>
      <c r="J22" s="18"/>
      <c r="K22" s="18"/>
      <c r="L22" s="19"/>
    </row>
    <row r="23" spans="2:12">
      <c r="B23" s="17">
        <v>19</v>
      </c>
      <c r="C23" s="18"/>
      <c r="D23" s="18"/>
      <c r="E23" s="18"/>
      <c r="F23" s="19"/>
      <c r="H23" s="17">
        <v>19</v>
      </c>
      <c r="I23" s="18"/>
      <c r="J23" s="18"/>
      <c r="K23" s="18"/>
      <c r="L23" s="19"/>
    </row>
    <row r="24" spans="2:12">
      <c r="B24" s="17">
        <v>20</v>
      </c>
      <c r="C24" s="18"/>
      <c r="D24" s="18"/>
      <c r="E24" s="18"/>
      <c r="F24" s="19"/>
      <c r="H24" s="17">
        <v>20</v>
      </c>
      <c r="I24" s="18"/>
      <c r="J24" s="18"/>
      <c r="K24" s="18"/>
      <c r="L24" s="19"/>
    </row>
    <row r="25" spans="2:12">
      <c r="B25" s="17">
        <v>21</v>
      </c>
      <c r="C25" s="18"/>
      <c r="D25" s="18"/>
      <c r="E25" s="18"/>
      <c r="F25" s="19"/>
      <c r="H25" s="17">
        <v>21</v>
      </c>
      <c r="I25" s="18"/>
      <c r="J25" s="18"/>
      <c r="K25" s="18"/>
      <c r="L25" s="19"/>
    </row>
    <row r="26" spans="2:12">
      <c r="B26" s="17">
        <v>22</v>
      </c>
      <c r="C26" s="18"/>
      <c r="D26" s="18"/>
      <c r="E26" s="18"/>
      <c r="F26" s="19"/>
      <c r="H26" s="17">
        <v>22</v>
      </c>
      <c r="I26" s="18"/>
      <c r="J26" s="18"/>
      <c r="K26" s="18"/>
      <c r="L26" s="19"/>
    </row>
    <row r="27" spans="2:12">
      <c r="B27" s="17">
        <v>23</v>
      </c>
      <c r="C27" s="18"/>
      <c r="D27" s="18"/>
      <c r="E27" s="18"/>
      <c r="F27" s="19"/>
      <c r="H27" s="17">
        <v>23</v>
      </c>
      <c r="I27" s="18"/>
      <c r="J27" s="18"/>
      <c r="K27" s="18"/>
      <c r="L27" s="19"/>
    </row>
    <row r="28" spans="2:12">
      <c r="B28" s="17">
        <v>24</v>
      </c>
      <c r="C28" s="18"/>
      <c r="D28" s="18"/>
      <c r="E28" s="18"/>
      <c r="F28" s="19"/>
      <c r="H28" s="17">
        <v>24</v>
      </c>
      <c r="I28" s="18"/>
      <c r="J28" s="18"/>
      <c r="K28" s="18"/>
      <c r="L28" s="19"/>
    </row>
    <row r="29" spans="2:12">
      <c r="B29" s="17">
        <v>25</v>
      </c>
      <c r="C29" s="18"/>
      <c r="D29" s="18"/>
      <c r="E29" s="18"/>
      <c r="F29" s="19"/>
      <c r="H29" s="17">
        <v>25</v>
      </c>
      <c r="I29" s="18"/>
      <c r="J29" s="18"/>
      <c r="K29" s="18"/>
      <c r="L29" s="19"/>
    </row>
    <row r="30" spans="2:12">
      <c r="B30" s="17">
        <v>26</v>
      </c>
      <c r="C30" s="18"/>
      <c r="D30" s="18"/>
      <c r="E30" s="18"/>
      <c r="F30" s="19"/>
      <c r="H30" s="17">
        <v>26</v>
      </c>
      <c r="I30" s="18"/>
      <c r="J30" s="18"/>
      <c r="K30" s="18"/>
      <c r="L30" s="19"/>
    </row>
    <row r="31" spans="2:12">
      <c r="B31" s="17">
        <v>27</v>
      </c>
      <c r="C31" s="18"/>
      <c r="D31" s="18"/>
      <c r="E31" s="18"/>
      <c r="F31" s="19"/>
      <c r="H31" s="17">
        <v>27</v>
      </c>
      <c r="I31" s="18"/>
      <c r="J31" s="18"/>
      <c r="K31" s="18"/>
      <c r="L31" s="19"/>
    </row>
    <row r="32" spans="2:12">
      <c r="B32" s="20" t="s">
        <v>38</v>
      </c>
      <c r="C32" s="21">
        <f>SUM(C5:C31)</f>
        <v>2070</v>
      </c>
      <c r="D32" s="21"/>
      <c r="E32" s="21"/>
      <c r="F32" s="22"/>
      <c r="H32" s="20" t="s">
        <v>38</v>
      </c>
      <c r="I32" s="21">
        <f>SUM(I5:I31)</f>
        <v>520</v>
      </c>
      <c r="J32" s="21"/>
      <c r="K32" s="21"/>
      <c r="L32" s="22"/>
    </row>
  </sheetData>
  <mergeCells count="10">
    <mergeCell ref="A1:L1"/>
    <mergeCell ref="B2:F2"/>
    <mergeCell ref="H2:I2"/>
    <mergeCell ref="J2:L2"/>
    <mergeCell ref="B3:F3"/>
    <mergeCell ref="H3:L3"/>
    <mergeCell ref="A5:A7"/>
    <mergeCell ref="A9:A11"/>
    <mergeCell ref="A13:A15"/>
    <mergeCell ref="G2:G32"/>
  </mergeCells>
  <conditionalFormatting sqref="C5:C3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{6a0d0515-f57e-4045-a446-245672fc0c64}</x14:id>
        </ext>
      </extLst>
    </cfRule>
  </conditionalFormatting>
  <conditionalFormatting sqref="I5:I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{66b80bab-6dcf-41c0-868d-4956d5589ddb}</x14:id>
        </ext>
      </extLst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0d0515-f57e-4045-a446-245672fc0c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C5:C31</xm:sqref>
        </x14:conditionalFormatting>
        <x14:conditionalFormatting xmlns:xm="http://schemas.microsoft.com/office/excel/2006/main">
          <x14:cfRule type="dataBar" id="{66b80bab-6dcf-41c0-868d-4956d5589dd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I5:I31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showGridLines="0" workbookViewId="0">
      <selection activeCell="E18" sqref="E18"/>
    </sheetView>
  </sheetViews>
  <sheetFormatPr defaultColWidth="9" defaultRowHeight="16.5"/>
  <cols>
    <col min="1" max="1" width="15.125" style="1" customWidth="1"/>
    <col min="2" max="2" width="6.5" style="1" customWidth="1"/>
    <col min="3" max="4" width="10.25" style="1" customWidth="1"/>
    <col min="5" max="6" width="9" style="1"/>
    <col min="7" max="7" width="2.75" style="2" customWidth="1"/>
    <col min="8" max="8" width="6.5" style="1" customWidth="1"/>
    <col min="9" max="10" width="10.25" style="1" customWidth="1"/>
    <col min="11" max="18" width="9" style="1"/>
    <col min="19" max="19" width="12" style="1" customWidth="1"/>
    <col min="20" max="16384" width="9" style="1"/>
  </cols>
  <sheetData>
    <row r="1" ht="42" customHeight="1" spans="1:1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.75" customHeight="1" spans="1:19">
      <c r="A2" s="4" t="s">
        <v>22</v>
      </c>
      <c r="B2" s="4" t="s">
        <v>23</v>
      </c>
      <c r="C2" s="4"/>
      <c r="D2" s="4"/>
      <c r="E2" s="4"/>
      <c r="F2" s="4"/>
      <c r="G2" s="5"/>
      <c r="H2" s="6" t="s">
        <v>24</v>
      </c>
      <c r="I2" s="6"/>
      <c r="J2" s="6"/>
      <c r="K2" s="6"/>
      <c r="L2" s="6"/>
      <c r="R2" s="18" t="s">
        <v>25</v>
      </c>
      <c r="S2" s="18">
        <f>A5</f>
        <v>500</v>
      </c>
    </row>
    <row r="3" ht="27" customHeight="1" spans="1:19">
      <c r="A3" s="7" t="s">
        <v>26</v>
      </c>
      <c r="B3" s="8" t="s">
        <v>27</v>
      </c>
      <c r="C3" s="9"/>
      <c r="D3" s="9"/>
      <c r="E3" s="9"/>
      <c r="F3" s="10"/>
      <c r="H3" s="11" t="s">
        <v>28</v>
      </c>
      <c r="I3" s="23"/>
      <c r="J3" s="23"/>
      <c r="K3" s="23"/>
      <c r="L3" s="24"/>
      <c r="R3" s="18" t="s">
        <v>29</v>
      </c>
      <c r="S3" s="18">
        <f>A9</f>
        <v>1850</v>
      </c>
    </row>
    <row r="4" ht="18.75" spans="1:19">
      <c r="A4" s="12" t="s">
        <v>25</v>
      </c>
      <c r="B4" s="13" t="s">
        <v>30</v>
      </c>
      <c r="C4" s="14" t="s">
        <v>31</v>
      </c>
      <c r="D4" s="14" t="s">
        <v>32</v>
      </c>
      <c r="E4" s="14" t="s">
        <v>33</v>
      </c>
      <c r="F4" s="15" t="s">
        <v>34</v>
      </c>
      <c r="H4" s="13" t="s">
        <v>30</v>
      </c>
      <c r="I4" s="14" t="s">
        <v>35</v>
      </c>
      <c r="J4" s="14" t="s">
        <v>36</v>
      </c>
      <c r="K4" s="14" t="s">
        <v>33</v>
      </c>
      <c r="L4" s="15" t="s">
        <v>34</v>
      </c>
      <c r="R4" s="18" t="s">
        <v>37</v>
      </c>
      <c r="S4" s="18">
        <f>A13</f>
        <v>-1350</v>
      </c>
    </row>
    <row r="5" spans="1:12">
      <c r="A5" s="16">
        <f>I32</f>
        <v>500</v>
      </c>
      <c r="B5" s="17">
        <v>1</v>
      </c>
      <c r="C5" s="18">
        <v>100</v>
      </c>
      <c r="D5" s="18"/>
      <c r="E5" s="18"/>
      <c r="F5" s="19"/>
      <c r="H5" s="17">
        <v>1</v>
      </c>
      <c r="I5" s="18">
        <v>50</v>
      </c>
      <c r="J5" s="18"/>
      <c r="K5" s="18"/>
      <c r="L5" s="19"/>
    </row>
    <row r="6" spans="1:12">
      <c r="A6" s="16"/>
      <c r="B6" s="17">
        <v>2</v>
      </c>
      <c r="C6" s="18">
        <v>200</v>
      </c>
      <c r="D6" s="18"/>
      <c r="E6" s="18"/>
      <c r="F6" s="19"/>
      <c r="H6" s="17">
        <v>2</v>
      </c>
      <c r="I6" s="18">
        <v>20</v>
      </c>
      <c r="J6" s="18"/>
      <c r="K6" s="18"/>
      <c r="L6" s="19"/>
    </row>
    <row r="7" spans="1:12">
      <c r="A7" s="16"/>
      <c r="B7" s="17">
        <v>3</v>
      </c>
      <c r="C7" s="18">
        <v>300</v>
      </c>
      <c r="D7" s="18"/>
      <c r="E7" s="18"/>
      <c r="F7" s="19"/>
      <c r="H7" s="17">
        <v>3</v>
      </c>
      <c r="I7" s="18">
        <v>30</v>
      </c>
      <c r="J7" s="18"/>
      <c r="K7" s="18"/>
      <c r="L7" s="19"/>
    </row>
    <row r="8" ht="18.75" spans="1:12">
      <c r="A8" s="12" t="s">
        <v>29</v>
      </c>
      <c r="B8" s="17">
        <v>4</v>
      </c>
      <c r="C8" s="18">
        <v>100</v>
      </c>
      <c r="D8" s="18"/>
      <c r="E8" s="18"/>
      <c r="F8" s="19"/>
      <c r="H8" s="17">
        <v>4</v>
      </c>
      <c r="I8" s="18">
        <v>400</v>
      </c>
      <c r="J8" s="18"/>
      <c r="K8" s="18"/>
      <c r="L8" s="19"/>
    </row>
    <row r="9" spans="1:12">
      <c r="A9" s="16">
        <f>C32</f>
        <v>1850</v>
      </c>
      <c r="B9" s="17">
        <v>5</v>
      </c>
      <c r="C9" s="18">
        <v>100</v>
      </c>
      <c r="D9" s="18"/>
      <c r="E9" s="18"/>
      <c r="F9" s="19"/>
      <c r="H9" s="17">
        <v>5</v>
      </c>
      <c r="I9" s="18"/>
      <c r="J9" s="18"/>
      <c r="K9" s="18"/>
      <c r="L9" s="19"/>
    </row>
    <row r="10" spans="1:12">
      <c r="A10" s="16"/>
      <c r="B10" s="17">
        <v>6</v>
      </c>
      <c r="C10" s="18">
        <v>300</v>
      </c>
      <c r="D10" s="18"/>
      <c r="E10" s="18"/>
      <c r="F10" s="19"/>
      <c r="H10" s="17">
        <v>6</v>
      </c>
      <c r="I10" s="18"/>
      <c r="J10" s="18"/>
      <c r="K10" s="18"/>
      <c r="L10" s="19"/>
    </row>
    <row r="11" spans="1:12">
      <c r="A11" s="16"/>
      <c r="B11" s="17">
        <v>7</v>
      </c>
      <c r="C11" s="18">
        <v>250</v>
      </c>
      <c r="D11" s="18"/>
      <c r="E11" s="18"/>
      <c r="F11" s="19"/>
      <c r="H11" s="17">
        <v>7</v>
      </c>
      <c r="I11" s="18"/>
      <c r="J11" s="18"/>
      <c r="K11" s="18"/>
      <c r="L11" s="19"/>
    </row>
    <row r="12" ht="18.75" spans="1:12">
      <c r="A12" s="12" t="s">
        <v>37</v>
      </c>
      <c r="B12" s="17">
        <v>8</v>
      </c>
      <c r="C12" s="18">
        <v>500</v>
      </c>
      <c r="D12" s="18"/>
      <c r="E12" s="18"/>
      <c r="F12" s="19"/>
      <c r="H12" s="17">
        <v>8</v>
      </c>
      <c r="I12" s="18"/>
      <c r="J12" s="18"/>
      <c r="K12" s="18"/>
      <c r="L12" s="19"/>
    </row>
    <row r="13" spans="1:12">
      <c r="A13" s="16">
        <f>A5-A9</f>
        <v>-1350</v>
      </c>
      <c r="B13" s="17">
        <v>9</v>
      </c>
      <c r="C13" s="18"/>
      <c r="D13" s="18"/>
      <c r="E13" s="18"/>
      <c r="F13" s="19"/>
      <c r="H13" s="17">
        <v>9</v>
      </c>
      <c r="I13" s="18"/>
      <c r="J13" s="18"/>
      <c r="K13" s="18"/>
      <c r="L13" s="19"/>
    </row>
    <row r="14" spans="1:12">
      <c r="A14" s="16"/>
      <c r="B14" s="17">
        <v>10</v>
      </c>
      <c r="C14" s="18"/>
      <c r="D14" s="18"/>
      <c r="E14" s="18"/>
      <c r="F14" s="19"/>
      <c r="H14" s="17">
        <v>10</v>
      </c>
      <c r="I14" s="18"/>
      <c r="J14" s="18"/>
      <c r="K14" s="18"/>
      <c r="L14" s="19"/>
    </row>
    <row r="15" spans="1:12">
      <c r="A15" s="16"/>
      <c r="B15" s="17">
        <v>11</v>
      </c>
      <c r="C15" s="18"/>
      <c r="D15" s="18"/>
      <c r="E15" s="18"/>
      <c r="F15" s="19"/>
      <c r="H15" s="17">
        <v>11</v>
      </c>
      <c r="I15" s="18"/>
      <c r="J15" s="18"/>
      <c r="K15" s="18"/>
      <c r="L15" s="19"/>
    </row>
    <row r="16" spans="2:12">
      <c r="B16" s="17">
        <v>12</v>
      </c>
      <c r="C16" s="18"/>
      <c r="D16" s="18"/>
      <c r="E16" s="18"/>
      <c r="F16" s="19"/>
      <c r="H16" s="17">
        <v>12</v>
      </c>
      <c r="I16" s="18"/>
      <c r="J16" s="18"/>
      <c r="K16" s="18"/>
      <c r="L16" s="19"/>
    </row>
    <row r="17" spans="2:12">
      <c r="B17" s="17">
        <v>13</v>
      </c>
      <c r="C17" s="18"/>
      <c r="D17" s="18"/>
      <c r="E17" s="18"/>
      <c r="F17" s="19"/>
      <c r="H17" s="17">
        <v>13</v>
      </c>
      <c r="I17" s="18"/>
      <c r="J17" s="18"/>
      <c r="K17" s="18"/>
      <c r="L17" s="19"/>
    </row>
    <row r="18" spans="2:12">
      <c r="B18" s="17">
        <v>14</v>
      </c>
      <c r="C18" s="18"/>
      <c r="D18" s="18"/>
      <c r="E18" s="18"/>
      <c r="F18" s="19"/>
      <c r="H18" s="17">
        <v>14</v>
      </c>
      <c r="I18" s="18"/>
      <c r="J18" s="18"/>
      <c r="K18" s="18"/>
      <c r="L18" s="19"/>
    </row>
    <row r="19" spans="2:12">
      <c r="B19" s="17">
        <v>15</v>
      </c>
      <c r="C19" s="18"/>
      <c r="D19" s="18"/>
      <c r="E19" s="18"/>
      <c r="F19" s="19"/>
      <c r="H19" s="17">
        <v>15</v>
      </c>
      <c r="I19" s="18"/>
      <c r="J19" s="18"/>
      <c r="K19" s="18"/>
      <c r="L19" s="19"/>
    </row>
    <row r="20" spans="2:12">
      <c r="B20" s="17">
        <v>16</v>
      </c>
      <c r="C20" s="18"/>
      <c r="D20" s="18"/>
      <c r="E20" s="18"/>
      <c r="F20" s="19"/>
      <c r="H20" s="17">
        <v>16</v>
      </c>
      <c r="I20" s="18"/>
      <c r="J20" s="18"/>
      <c r="K20" s="18"/>
      <c r="L20" s="19"/>
    </row>
    <row r="21" spans="2:12">
      <c r="B21" s="17">
        <v>17</v>
      </c>
      <c r="C21" s="18"/>
      <c r="D21" s="18"/>
      <c r="E21" s="18"/>
      <c r="F21" s="19"/>
      <c r="H21" s="17">
        <v>17</v>
      </c>
      <c r="I21" s="18"/>
      <c r="J21" s="18"/>
      <c r="K21" s="18"/>
      <c r="L21" s="19"/>
    </row>
    <row r="22" spans="2:12">
      <c r="B22" s="17">
        <v>18</v>
      </c>
      <c r="C22" s="18"/>
      <c r="D22" s="18"/>
      <c r="E22" s="18"/>
      <c r="F22" s="19"/>
      <c r="H22" s="17">
        <v>18</v>
      </c>
      <c r="I22" s="18"/>
      <c r="J22" s="18"/>
      <c r="K22" s="18"/>
      <c r="L22" s="19"/>
    </row>
    <row r="23" spans="2:12">
      <c r="B23" s="17">
        <v>19</v>
      </c>
      <c r="C23" s="18"/>
      <c r="D23" s="18"/>
      <c r="E23" s="18"/>
      <c r="F23" s="19"/>
      <c r="H23" s="17">
        <v>19</v>
      </c>
      <c r="I23" s="18"/>
      <c r="J23" s="18"/>
      <c r="K23" s="18"/>
      <c r="L23" s="19"/>
    </row>
    <row r="24" spans="2:12">
      <c r="B24" s="17">
        <v>20</v>
      </c>
      <c r="C24" s="18"/>
      <c r="D24" s="18"/>
      <c r="E24" s="18"/>
      <c r="F24" s="19"/>
      <c r="H24" s="17">
        <v>20</v>
      </c>
      <c r="I24" s="18"/>
      <c r="J24" s="18"/>
      <c r="K24" s="18"/>
      <c r="L24" s="19"/>
    </row>
    <row r="25" spans="2:12">
      <c r="B25" s="17">
        <v>21</v>
      </c>
      <c r="C25" s="18"/>
      <c r="D25" s="18"/>
      <c r="E25" s="18"/>
      <c r="F25" s="19"/>
      <c r="H25" s="17">
        <v>21</v>
      </c>
      <c r="I25" s="18"/>
      <c r="J25" s="18"/>
      <c r="K25" s="18"/>
      <c r="L25" s="19"/>
    </row>
    <row r="26" spans="2:12">
      <c r="B26" s="17">
        <v>22</v>
      </c>
      <c r="C26" s="18"/>
      <c r="D26" s="18"/>
      <c r="E26" s="18"/>
      <c r="F26" s="19"/>
      <c r="H26" s="17">
        <v>22</v>
      </c>
      <c r="I26" s="18"/>
      <c r="J26" s="18"/>
      <c r="K26" s="18"/>
      <c r="L26" s="19"/>
    </row>
    <row r="27" spans="2:12">
      <c r="B27" s="17">
        <v>23</v>
      </c>
      <c r="C27" s="18"/>
      <c r="D27" s="18"/>
      <c r="E27" s="18"/>
      <c r="F27" s="19"/>
      <c r="H27" s="17">
        <v>23</v>
      </c>
      <c r="I27" s="18"/>
      <c r="J27" s="18"/>
      <c r="K27" s="18"/>
      <c r="L27" s="19"/>
    </row>
    <row r="28" spans="2:12">
      <c r="B28" s="17">
        <v>24</v>
      </c>
      <c r="C28" s="18"/>
      <c r="D28" s="18"/>
      <c r="E28" s="18"/>
      <c r="F28" s="19"/>
      <c r="H28" s="17">
        <v>24</v>
      </c>
      <c r="I28" s="18"/>
      <c r="J28" s="18"/>
      <c r="K28" s="18"/>
      <c r="L28" s="19"/>
    </row>
    <row r="29" spans="2:12">
      <c r="B29" s="17">
        <v>25</v>
      </c>
      <c r="C29" s="18"/>
      <c r="D29" s="18"/>
      <c r="E29" s="18"/>
      <c r="F29" s="19"/>
      <c r="H29" s="17">
        <v>25</v>
      </c>
      <c r="I29" s="18"/>
      <c r="J29" s="18"/>
      <c r="K29" s="18"/>
      <c r="L29" s="19"/>
    </row>
    <row r="30" spans="2:12">
      <c r="B30" s="17">
        <v>26</v>
      </c>
      <c r="C30" s="18"/>
      <c r="D30" s="18"/>
      <c r="E30" s="18"/>
      <c r="F30" s="19"/>
      <c r="H30" s="17">
        <v>26</v>
      </c>
      <c r="I30" s="18"/>
      <c r="J30" s="18"/>
      <c r="K30" s="18"/>
      <c r="L30" s="19"/>
    </row>
    <row r="31" spans="2:12">
      <c r="B31" s="17">
        <v>27</v>
      </c>
      <c r="C31" s="18"/>
      <c r="D31" s="18"/>
      <c r="E31" s="18"/>
      <c r="F31" s="19"/>
      <c r="H31" s="17">
        <v>27</v>
      </c>
      <c r="I31" s="18"/>
      <c r="J31" s="18"/>
      <c r="K31" s="18"/>
      <c r="L31" s="19"/>
    </row>
    <row r="32" spans="2:12">
      <c r="B32" s="20" t="s">
        <v>38</v>
      </c>
      <c r="C32" s="21">
        <f>SUM(C5:C31)</f>
        <v>1850</v>
      </c>
      <c r="D32" s="21"/>
      <c r="E32" s="21"/>
      <c r="F32" s="22"/>
      <c r="H32" s="20" t="s">
        <v>38</v>
      </c>
      <c r="I32" s="21">
        <f>SUM(I5:I31)</f>
        <v>500</v>
      </c>
      <c r="J32" s="21"/>
      <c r="K32" s="21"/>
      <c r="L32" s="22"/>
    </row>
  </sheetData>
  <mergeCells count="10">
    <mergeCell ref="A1:L1"/>
    <mergeCell ref="B2:F2"/>
    <mergeCell ref="H2:I2"/>
    <mergeCell ref="J2:L2"/>
    <mergeCell ref="B3:F3"/>
    <mergeCell ref="H3:L3"/>
    <mergeCell ref="A5:A7"/>
    <mergeCell ref="A9:A11"/>
    <mergeCell ref="A13:A15"/>
    <mergeCell ref="G2:G32"/>
  </mergeCells>
  <conditionalFormatting sqref="C5:C3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{344144bc-5151-47f3-a5fa-98ece3925237}</x14:id>
        </ext>
      </extLst>
    </cfRule>
  </conditionalFormatting>
  <conditionalFormatting sqref="I5:I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{1b75c3a9-d3ab-4570-8c96-3a5449125cd3}</x14:id>
        </ext>
      </extLst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4144bc-5151-47f3-a5fa-98ece392523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C5:C31</xm:sqref>
        </x14:conditionalFormatting>
        <x14:conditionalFormatting xmlns:xm="http://schemas.microsoft.com/office/excel/2006/main">
          <x14:cfRule type="dataBar" id="{1b75c3a9-d3ab-4570-8c96-3a5449125cd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I5:I31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showGridLines="0" tabSelected="1" workbookViewId="0">
      <selection activeCell="E18" sqref="E18"/>
    </sheetView>
  </sheetViews>
  <sheetFormatPr defaultColWidth="9" defaultRowHeight="16.5"/>
  <cols>
    <col min="1" max="1" width="15.125" style="1" customWidth="1"/>
    <col min="2" max="2" width="6.5" style="1" customWidth="1"/>
    <col min="3" max="4" width="10.25" style="1" customWidth="1"/>
    <col min="5" max="6" width="9" style="1"/>
    <col min="7" max="7" width="2.75" style="2" customWidth="1"/>
    <col min="8" max="8" width="6.5" style="1" customWidth="1"/>
    <col min="9" max="10" width="10.25" style="1" customWidth="1"/>
    <col min="11" max="18" width="9" style="1"/>
    <col min="19" max="19" width="12" style="1" customWidth="1"/>
    <col min="20" max="16384" width="9" style="1"/>
  </cols>
  <sheetData>
    <row r="1" ht="42" customHeight="1" spans="1:1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.75" customHeight="1" spans="1:19">
      <c r="A2" s="4" t="s">
        <v>22</v>
      </c>
      <c r="B2" s="4" t="s">
        <v>23</v>
      </c>
      <c r="C2" s="4"/>
      <c r="D2" s="4"/>
      <c r="E2" s="4"/>
      <c r="F2" s="4"/>
      <c r="G2" s="5"/>
      <c r="H2" s="6" t="s">
        <v>24</v>
      </c>
      <c r="I2" s="6"/>
      <c r="J2" s="6"/>
      <c r="K2" s="6"/>
      <c r="L2" s="6"/>
      <c r="R2" s="18" t="s">
        <v>25</v>
      </c>
      <c r="S2" s="18">
        <f>A5</f>
        <v>500</v>
      </c>
    </row>
    <row r="3" ht="27" customHeight="1" spans="1:19">
      <c r="A3" s="7" t="s">
        <v>26</v>
      </c>
      <c r="B3" s="8" t="s">
        <v>27</v>
      </c>
      <c r="C3" s="9"/>
      <c r="D3" s="9"/>
      <c r="E3" s="9"/>
      <c r="F3" s="10"/>
      <c r="H3" s="11" t="s">
        <v>28</v>
      </c>
      <c r="I3" s="23"/>
      <c r="J3" s="23"/>
      <c r="K3" s="23"/>
      <c r="L3" s="24"/>
      <c r="R3" s="18" t="s">
        <v>29</v>
      </c>
      <c r="S3" s="18">
        <f>A9</f>
        <v>1850</v>
      </c>
    </row>
    <row r="4" ht="18.75" spans="1:19">
      <c r="A4" s="12" t="s">
        <v>25</v>
      </c>
      <c r="B4" s="13" t="s">
        <v>30</v>
      </c>
      <c r="C4" s="14" t="s">
        <v>31</v>
      </c>
      <c r="D4" s="14" t="s">
        <v>32</v>
      </c>
      <c r="E4" s="14" t="s">
        <v>33</v>
      </c>
      <c r="F4" s="15" t="s">
        <v>34</v>
      </c>
      <c r="H4" s="13" t="s">
        <v>30</v>
      </c>
      <c r="I4" s="14" t="s">
        <v>35</v>
      </c>
      <c r="J4" s="14" t="s">
        <v>36</v>
      </c>
      <c r="K4" s="14" t="s">
        <v>33</v>
      </c>
      <c r="L4" s="15" t="s">
        <v>34</v>
      </c>
      <c r="R4" s="18" t="s">
        <v>37</v>
      </c>
      <c r="S4" s="18">
        <f>A13</f>
        <v>-1350</v>
      </c>
    </row>
    <row r="5" spans="1:12">
      <c r="A5" s="16">
        <f>I32</f>
        <v>500</v>
      </c>
      <c r="B5" s="17">
        <v>1</v>
      </c>
      <c r="C5" s="18">
        <v>100</v>
      </c>
      <c r="D5" s="18"/>
      <c r="E5" s="18"/>
      <c r="F5" s="19"/>
      <c r="H5" s="17">
        <v>1</v>
      </c>
      <c r="I5" s="18">
        <v>50</v>
      </c>
      <c r="J5" s="18"/>
      <c r="K5" s="18"/>
      <c r="L5" s="19"/>
    </row>
    <row r="6" spans="1:12">
      <c r="A6" s="16"/>
      <c r="B6" s="17">
        <v>2</v>
      </c>
      <c r="C6" s="18">
        <v>200</v>
      </c>
      <c r="D6" s="18"/>
      <c r="E6" s="18"/>
      <c r="F6" s="19"/>
      <c r="H6" s="17">
        <v>2</v>
      </c>
      <c r="I6" s="18">
        <v>20</v>
      </c>
      <c r="J6" s="18"/>
      <c r="K6" s="18"/>
      <c r="L6" s="19"/>
    </row>
    <row r="7" spans="1:12">
      <c r="A7" s="16"/>
      <c r="B7" s="17">
        <v>3</v>
      </c>
      <c r="C7" s="18">
        <v>300</v>
      </c>
      <c r="D7" s="18"/>
      <c r="E7" s="18"/>
      <c r="F7" s="19"/>
      <c r="H7" s="17">
        <v>3</v>
      </c>
      <c r="I7" s="18">
        <v>30</v>
      </c>
      <c r="J7" s="18"/>
      <c r="K7" s="18"/>
      <c r="L7" s="19"/>
    </row>
    <row r="8" ht="18.75" spans="1:12">
      <c r="A8" s="12" t="s">
        <v>29</v>
      </c>
      <c r="B8" s="17">
        <v>4</v>
      </c>
      <c r="C8" s="18">
        <v>100</v>
      </c>
      <c r="D8" s="18"/>
      <c r="E8" s="18"/>
      <c r="F8" s="19"/>
      <c r="H8" s="17">
        <v>4</v>
      </c>
      <c r="I8" s="18">
        <v>400</v>
      </c>
      <c r="J8" s="18"/>
      <c r="K8" s="18"/>
      <c r="L8" s="19"/>
    </row>
    <row r="9" spans="1:12">
      <c r="A9" s="16">
        <f>C32</f>
        <v>1850</v>
      </c>
      <c r="B9" s="17">
        <v>5</v>
      </c>
      <c r="C9" s="18">
        <v>100</v>
      </c>
      <c r="D9" s="18"/>
      <c r="E9" s="18"/>
      <c r="F9" s="19"/>
      <c r="H9" s="17">
        <v>5</v>
      </c>
      <c r="I9" s="18"/>
      <c r="J9" s="18"/>
      <c r="K9" s="18"/>
      <c r="L9" s="19"/>
    </row>
    <row r="10" spans="1:12">
      <c r="A10" s="16"/>
      <c r="B10" s="17">
        <v>6</v>
      </c>
      <c r="C10" s="18">
        <v>300</v>
      </c>
      <c r="D10" s="18"/>
      <c r="E10" s="18"/>
      <c r="F10" s="19"/>
      <c r="H10" s="17">
        <v>6</v>
      </c>
      <c r="I10" s="18"/>
      <c r="J10" s="18"/>
      <c r="K10" s="18"/>
      <c r="L10" s="19"/>
    </row>
    <row r="11" spans="1:12">
      <c r="A11" s="16"/>
      <c r="B11" s="17">
        <v>7</v>
      </c>
      <c r="C11" s="18">
        <v>250</v>
      </c>
      <c r="D11" s="18"/>
      <c r="E11" s="18"/>
      <c r="F11" s="19"/>
      <c r="H11" s="17">
        <v>7</v>
      </c>
      <c r="I11" s="18"/>
      <c r="J11" s="18"/>
      <c r="K11" s="18"/>
      <c r="L11" s="19"/>
    </row>
    <row r="12" ht="18.75" spans="1:12">
      <c r="A12" s="12" t="s">
        <v>37</v>
      </c>
      <c r="B12" s="17">
        <v>8</v>
      </c>
      <c r="C12" s="18">
        <v>500</v>
      </c>
      <c r="D12" s="18"/>
      <c r="E12" s="18"/>
      <c r="F12" s="19"/>
      <c r="H12" s="17">
        <v>8</v>
      </c>
      <c r="I12" s="18"/>
      <c r="J12" s="18"/>
      <c r="K12" s="18"/>
      <c r="L12" s="19"/>
    </row>
    <row r="13" spans="1:12">
      <c r="A13" s="16">
        <f>A5-A9</f>
        <v>-1350</v>
      </c>
      <c r="B13" s="17">
        <v>9</v>
      </c>
      <c r="C13" s="18"/>
      <c r="D13" s="18"/>
      <c r="E13" s="18"/>
      <c r="F13" s="19"/>
      <c r="H13" s="17">
        <v>9</v>
      </c>
      <c r="I13" s="18"/>
      <c r="J13" s="18"/>
      <c r="K13" s="18"/>
      <c r="L13" s="19"/>
    </row>
    <row r="14" spans="1:12">
      <c r="A14" s="16"/>
      <c r="B14" s="17">
        <v>10</v>
      </c>
      <c r="C14" s="18"/>
      <c r="D14" s="18"/>
      <c r="E14" s="18"/>
      <c r="F14" s="19"/>
      <c r="H14" s="17">
        <v>10</v>
      </c>
      <c r="I14" s="18"/>
      <c r="J14" s="18"/>
      <c r="K14" s="18"/>
      <c r="L14" s="19"/>
    </row>
    <row r="15" spans="1:12">
      <c r="A15" s="16"/>
      <c r="B15" s="17">
        <v>11</v>
      </c>
      <c r="C15" s="18"/>
      <c r="D15" s="18"/>
      <c r="E15" s="18"/>
      <c r="F15" s="19"/>
      <c r="H15" s="17">
        <v>11</v>
      </c>
      <c r="I15" s="18"/>
      <c r="J15" s="18"/>
      <c r="K15" s="18"/>
      <c r="L15" s="19"/>
    </row>
    <row r="16" spans="2:12">
      <c r="B16" s="17">
        <v>12</v>
      </c>
      <c r="C16" s="18"/>
      <c r="D16" s="18"/>
      <c r="E16" s="18"/>
      <c r="F16" s="19"/>
      <c r="H16" s="17">
        <v>12</v>
      </c>
      <c r="I16" s="18"/>
      <c r="J16" s="18"/>
      <c r="K16" s="18"/>
      <c r="L16" s="19"/>
    </row>
    <row r="17" spans="2:12">
      <c r="B17" s="17">
        <v>13</v>
      </c>
      <c r="C17" s="18"/>
      <c r="D17" s="18"/>
      <c r="E17" s="18"/>
      <c r="F17" s="19"/>
      <c r="H17" s="17">
        <v>13</v>
      </c>
      <c r="I17" s="18"/>
      <c r="J17" s="18"/>
      <c r="K17" s="18"/>
      <c r="L17" s="19"/>
    </row>
    <row r="18" spans="2:12">
      <c r="B18" s="17">
        <v>14</v>
      </c>
      <c r="C18" s="18"/>
      <c r="D18" s="18"/>
      <c r="E18" s="18"/>
      <c r="F18" s="19"/>
      <c r="H18" s="17">
        <v>14</v>
      </c>
      <c r="I18" s="18"/>
      <c r="J18" s="18"/>
      <c r="K18" s="18"/>
      <c r="L18" s="19"/>
    </row>
    <row r="19" spans="2:12">
      <c r="B19" s="17">
        <v>15</v>
      </c>
      <c r="C19" s="18"/>
      <c r="D19" s="18"/>
      <c r="E19" s="18"/>
      <c r="F19" s="19"/>
      <c r="H19" s="17">
        <v>15</v>
      </c>
      <c r="I19" s="18"/>
      <c r="J19" s="18"/>
      <c r="K19" s="18"/>
      <c r="L19" s="19"/>
    </row>
    <row r="20" spans="2:12">
      <c r="B20" s="17">
        <v>16</v>
      </c>
      <c r="C20" s="18"/>
      <c r="D20" s="18"/>
      <c r="E20" s="18"/>
      <c r="F20" s="19"/>
      <c r="H20" s="17">
        <v>16</v>
      </c>
      <c r="I20" s="18"/>
      <c r="J20" s="18"/>
      <c r="K20" s="18"/>
      <c r="L20" s="19"/>
    </row>
    <row r="21" spans="2:12">
      <c r="B21" s="17">
        <v>17</v>
      </c>
      <c r="C21" s="18"/>
      <c r="D21" s="18"/>
      <c r="E21" s="18"/>
      <c r="F21" s="19"/>
      <c r="H21" s="17">
        <v>17</v>
      </c>
      <c r="I21" s="18"/>
      <c r="J21" s="18"/>
      <c r="K21" s="18"/>
      <c r="L21" s="19"/>
    </row>
    <row r="22" spans="2:12">
      <c r="B22" s="17">
        <v>18</v>
      </c>
      <c r="C22" s="18"/>
      <c r="D22" s="18"/>
      <c r="E22" s="18"/>
      <c r="F22" s="19"/>
      <c r="H22" s="17">
        <v>18</v>
      </c>
      <c r="I22" s="18"/>
      <c r="J22" s="18"/>
      <c r="K22" s="18"/>
      <c r="L22" s="19"/>
    </row>
    <row r="23" spans="2:12">
      <c r="B23" s="17">
        <v>19</v>
      </c>
      <c r="C23" s="18"/>
      <c r="D23" s="18"/>
      <c r="E23" s="18"/>
      <c r="F23" s="19"/>
      <c r="H23" s="17">
        <v>19</v>
      </c>
      <c r="I23" s="18"/>
      <c r="J23" s="18"/>
      <c r="K23" s="18"/>
      <c r="L23" s="19"/>
    </row>
    <row r="24" spans="2:12">
      <c r="B24" s="17">
        <v>20</v>
      </c>
      <c r="C24" s="18"/>
      <c r="D24" s="18"/>
      <c r="E24" s="18"/>
      <c r="F24" s="19"/>
      <c r="H24" s="17">
        <v>20</v>
      </c>
      <c r="I24" s="18"/>
      <c r="J24" s="18"/>
      <c r="K24" s="18"/>
      <c r="L24" s="19"/>
    </row>
    <row r="25" spans="2:12">
      <c r="B25" s="17">
        <v>21</v>
      </c>
      <c r="C25" s="18"/>
      <c r="D25" s="18"/>
      <c r="E25" s="18"/>
      <c r="F25" s="19"/>
      <c r="H25" s="17">
        <v>21</v>
      </c>
      <c r="I25" s="18"/>
      <c r="J25" s="18"/>
      <c r="K25" s="18"/>
      <c r="L25" s="19"/>
    </row>
    <row r="26" spans="2:12">
      <c r="B26" s="17">
        <v>22</v>
      </c>
      <c r="C26" s="18"/>
      <c r="D26" s="18"/>
      <c r="E26" s="18"/>
      <c r="F26" s="19"/>
      <c r="H26" s="17">
        <v>22</v>
      </c>
      <c r="I26" s="18"/>
      <c r="J26" s="18"/>
      <c r="K26" s="18"/>
      <c r="L26" s="19"/>
    </row>
    <row r="27" spans="2:12">
      <c r="B27" s="17">
        <v>23</v>
      </c>
      <c r="C27" s="18"/>
      <c r="D27" s="18"/>
      <c r="E27" s="18"/>
      <c r="F27" s="19"/>
      <c r="H27" s="17">
        <v>23</v>
      </c>
      <c r="I27" s="18"/>
      <c r="J27" s="18"/>
      <c r="K27" s="18"/>
      <c r="L27" s="19"/>
    </row>
    <row r="28" spans="2:12">
      <c r="B28" s="17">
        <v>24</v>
      </c>
      <c r="C28" s="18"/>
      <c r="D28" s="18"/>
      <c r="E28" s="18"/>
      <c r="F28" s="19"/>
      <c r="H28" s="17">
        <v>24</v>
      </c>
      <c r="I28" s="18"/>
      <c r="J28" s="18"/>
      <c r="K28" s="18"/>
      <c r="L28" s="19"/>
    </row>
    <row r="29" spans="2:12">
      <c r="B29" s="17">
        <v>25</v>
      </c>
      <c r="C29" s="18"/>
      <c r="D29" s="18"/>
      <c r="E29" s="18"/>
      <c r="F29" s="19"/>
      <c r="H29" s="17">
        <v>25</v>
      </c>
      <c r="I29" s="18"/>
      <c r="J29" s="18"/>
      <c r="K29" s="18"/>
      <c r="L29" s="19"/>
    </row>
    <row r="30" spans="2:12">
      <c r="B30" s="17">
        <v>26</v>
      </c>
      <c r="C30" s="18"/>
      <c r="D30" s="18"/>
      <c r="E30" s="18"/>
      <c r="F30" s="19"/>
      <c r="H30" s="17">
        <v>26</v>
      </c>
      <c r="I30" s="18"/>
      <c r="J30" s="18"/>
      <c r="K30" s="18"/>
      <c r="L30" s="19"/>
    </row>
    <row r="31" spans="2:12">
      <c r="B31" s="17">
        <v>27</v>
      </c>
      <c r="C31" s="18"/>
      <c r="D31" s="18"/>
      <c r="E31" s="18"/>
      <c r="F31" s="19"/>
      <c r="H31" s="17">
        <v>27</v>
      </c>
      <c r="I31" s="18"/>
      <c r="J31" s="18"/>
      <c r="K31" s="18"/>
      <c r="L31" s="19"/>
    </row>
    <row r="32" spans="2:12">
      <c r="B32" s="20" t="s">
        <v>38</v>
      </c>
      <c r="C32" s="21">
        <f>SUM(C5:C31)</f>
        <v>1850</v>
      </c>
      <c r="D32" s="21"/>
      <c r="E32" s="21"/>
      <c r="F32" s="22"/>
      <c r="H32" s="20" t="s">
        <v>38</v>
      </c>
      <c r="I32" s="21">
        <f>SUM(I5:I31)</f>
        <v>500</v>
      </c>
      <c r="J32" s="21"/>
      <c r="K32" s="21"/>
      <c r="L32" s="22"/>
    </row>
  </sheetData>
  <mergeCells count="10">
    <mergeCell ref="A1:L1"/>
    <mergeCell ref="B2:F2"/>
    <mergeCell ref="H2:I2"/>
    <mergeCell ref="J2:L2"/>
    <mergeCell ref="B3:F3"/>
    <mergeCell ref="H3:L3"/>
    <mergeCell ref="A5:A7"/>
    <mergeCell ref="A9:A11"/>
    <mergeCell ref="A13:A15"/>
    <mergeCell ref="G2:G32"/>
  </mergeCells>
  <conditionalFormatting sqref="C5:C3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{28a97096-2146-4e03-925c-5c759276409e}</x14:id>
        </ext>
      </extLst>
    </cfRule>
  </conditionalFormatting>
  <conditionalFormatting sqref="I5:I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{5f00014e-2e9f-4f7c-8b6b-c03ebd2b7e33}</x14:id>
        </ext>
      </extLst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a97096-2146-4e03-925c-5c759276409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C5:C31</xm:sqref>
        </x14:conditionalFormatting>
        <x14:conditionalFormatting xmlns:xm="http://schemas.microsoft.com/office/excel/2006/main">
          <x14:cfRule type="dataBar" id="{5f00014e-2e9f-4f7c-8b6b-c03ebd2b7e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I5:I31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showGridLines="0" workbookViewId="0">
      <selection activeCell="E18" sqref="E18"/>
    </sheetView>
  </sheetViews>
  <sheetFormatPr defaultColWidth="9" defaultRowHeight="16.5"/>
  <cols>
    <col min="1" max="1" width="15.125" style="1" customWidth="1"/>
    <col min="2" max="2" width="6.5" style="1" customWidth="1"/>
    <col min="3" max="4" width="10.25" style="1" customWidth="1"/>
    <col min="5" max="6" width="9" style="1"/>
    <col min="7" max="7" width="2.75" style="2" customWidth="1"/>
    <col min="8" max="8" width="6.5" style="1" customWidth="1"/>
    <col min="9" max="10" width="10.25" style="1" customWidth="1"/>
    <col min="11" max="18" width="9" style="1"/>
    <col min="19" max="19" width="12" style="1" customWidth="1"/>
    <col min="20" max="16384" width="9" style="1"/>
  </cols>
  <sheetData>
    <row r="1" ht="42" customHeight="1" spans="1:1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.75" customHeight="1" spans="1:19">
      <c r="A2" s="4" t="s">
        <v>22</v>
      </c>
      <c r="B2" s="4" t="s">
        <v>23</v>
      </c>
      <c r="C2" s="4"/>
      <c r="D2" s="4"/>
      <c r="E2" s="4"/>
      <c r="F2" s="4"/>
      <c r="G2" s="5"/>
      <c r="H2" s="6" t="s">
        <v>24</v>
      </c>
      <c r="I2" s="6"/>
      <c r="J2" s="6"/>
      <c r="K2" s="6"/>
      <c r="L2" s="6"/>
      <c r="R2" s="18" t="s">
        <v>25</v>
      </c>
      <c r="S2" s="18">
        <f>A5</f>
        <v>500</v>
      </c>
    </row>
    <row r="3" ht="27" customHeight="1" spans="1:19">
      <c r="A3" s="7" t="s">
        <v>26</v>
      </c>
      <c r="B3" s="8" t="s">
        <v>27</v>
      </c>
      <c r="C3" s="9"/>
      <c r="D3" s="9"/>
      <c r="E3" s="9"/>
      <c r="F3" s="10"/>
      <c r="H3" s="11" t="s">
        <v>28</v>
      </c>
      <c r="I3" s="23"/>
      <c r="J3" s="23"/>
      <c r="K3" s="23"/>
      <c r="L3" s="24"/>
      <c r="R3" s="18" t="s">
        <v>29</v>
      </c>
      <c r="S3" s="18">
        <f>A9</f>
        <v>1850</v>
      </c>
    </row>
    <row r="4" ht="18.75" spans="1:19">
      <c r="A4" s="12" t="s">
        <v>25</v>
      </c>
      <c r="B4" s="13" t="s">
        <v>30</v>
      </c>
      <c r="C4" s="14" t="s">
        <v>31</v>
      </c>
      <c r="D4" s="14" t="s">
        <v>32</v>
      </c>
      <c r="E4" s="14" t="s">
        <v>33</v>
      </c>
      <c r="F4" s="15" t="s">
        <v>34</v>
      </c>
      <c r="H4" s="13" t="s">
        <v>30</v>
      </c>
      <c r="I4" s="14" t="s">
        <v>35</v>
      </c>
      <c r="J4" s="14" t="s">
        <v>36</v>
      </c>
      <c r="K4" s="14" t="s">
        <v>33</v>
      </c>
      <c r="L4" s="15" t="s">
        <v>34</v>
      </c>
      <c r="R4" s="18" t="s">
        <v>37</v>
      </c>
      <c r="S4" s="18">
        <f>A13</f>
        <v>-1350</v>
      </c>
    </row>
    <row r="5" spans="1:12">
      <c r="A5" s="16">
        <f>I32</f>
        <v>500</v>
      </c>
      <c r="B5" s="17">
        <v>1</v>
      </c>
      <c r="C5" s="18">
        <v>100</v>
      </c>
      <c r="D5" s="18"/>
      <c r="E5" s="18"/>
      <c r="F5" s="19"/>
      <c r="H5" s="17">
        <v>1</v>
      </c>
      <c r="I5" s="18">
        <v>50</v>
      </c>
      <c r="J5" s="18"/>
      <c r="K5" s="18"/>
      <c r="L5" s="19"/>
    </row>
    <row r="6" spans="1:12">
      <c r="A6" s="16"/>
      <c r="B6" s="17">
        <v>2</v>
      </c>
      <c r="C6" s="18">
        <v>200</v>
      </c>
      <c r="D6" s="18"/>
      <c r="E6" s="18"/>
      <c r="F6" s="19"/>
      <c r="H6" s="17">
        <v>2</v>
      </c>
      <c r="I6" s="18">
        <v>20</v>
      </c>
      <c r="J6" s="18"/>
      <c r="K6" s="18"/>
      <c r="L6" s="19"/>
    </row>
    <row r="7" spans="1:12">
      <c r="A7" s="16"/>
      <c r="B7" s="17">
        <v>3</v>
      </c>
      <c r="C7" s="18">
        <v>300</v>
      </c>
      <c r="D7" s="18"/>
      <c r="E7" s="18"/>
      <c r="F7" s="19"/>
      <c r="H7" s="17">
        <v>3</v>
      </c>
      <c r="I7" s="18">
        <v>30</v>
      </c>
      <c r="J7" s="18"/>
      <c r="K7" s="18"/>
      <c r="L7" s="19"/>
    </row>
    <row r="8" ht="18.75" spans="1:12">
      <c r="A8" s="12" t="s">
        <v>29</v>
      </c>
      <c r="B8" s="17">
        <v>4</v>
      </c>
      <c r="C8" s="18">
        <v>100</v>
      </c>
      <c r="D8" s="18"/>
      <c r="E8" s="18"/>
      <c r="F8" s="19"/>
      <c r="H8" s="17">
        <v>4</v>
      </c>
      <c r="I8" s="18">
        <v>400</v>
      </c>
      <c r="J8" s="18"/>
      <c r="K8" s="18"/>
      <c r="L8" s="19"/>
    </row>
    <row r="9" spans="1:12">
      <c r="A9" s="16">
        <f>C32</f>
        <v>1850</v>
      </c>
      <c r="B9" s="17">
        <v>5</v>
      </c>
      <c r="C9" s="18">
        <v>100</v>
      </c>
      <c r="D9" s="18"/>
      <c r="E9" s="18"/>
      <c r="F9" s="19"/>
      <c r="H9" s="17">
        <v>5</v>
      </c>
      <c r="I9" s="18"/>
      <c r="J9" s="18"/>
      <c r="K9" s="18"/>
      <c r="L9" s="19"/>
    </row>
    <row r="10" spans="1:12">
      <c r="A10" s="16"/>
      <c r="B10" s="17">
        <v>6</v>
      </c>
      <c r="C10" s="18">
        <v>300</v>
      </c>
      <c r="D10" s="18"/>
      <c r="E10" s="18"/>
      <c r="F10" s="19"/>
      <c r="H10" s="17">
        <v>6</v>
      </c>
      <c r="I10" s="18"/>
      <c r="J10" s="18"/>
      <c r="K10" s="18"/>
      <c r="L10" s="19"/>
    </row>
    <row r="11" spans="1:12">
      <c r="A11" s="16"/>
      <c r="B11" s="17">
        <v>7</v>
      </c>
      <c r="C11" s="18">
        <v>250</v>
      </c>
      <c r="D11" s="18"/>
      <c r="E11" s="18"/>
      <c r="F11" s="19"/>
      <c r="H11" s="17">
        <v>7</v>
      </c>
      <c r="I11" s="18"/>
      <c r="J11" s="18"/>
      <c r="K11" s="18"/>
      <c r="L11" s="19"/>
    </row>
    <row r="12" ht="18.75" spans="1:12">
      <c r="A12" s="12" t="s">
        <v>37</v>
      </c>
      <c r="B12" s="17">
        <v>8</v>
      </c>
      <c r="C12" s="18">
        <v>500</v>
      </c>
      <c r="D12" s="18"/>
      <c r="E12" s="18"/>
      <c r="F12" s="19"/>
      <c r="H12" s="17">
        <v>8</v>
      </c>
      <c r="I12" s="18"/>
      <c r="J12" s="18"/>
      <c r="K12" s="18"/>
      <c r="L12" s="19"/>
    </row>
    <row r="13" spans="1:12">
      <c r="A13" s="16">
        <f>A5-A9</f>
        <v>-1350</v>
      </c>
      <c r="B13" s="17">
        <v>9</v>
      </c>
      <c r="C13" s="18"/>
      <c r="D13" s="18"/>
      <c r="E13" s="18"/>
      <c r="F13" s="19"/>
      <c r="H13" s="17">
        <v>9</v>
      </c>
      <c r="I13" s="18"/>
      <c r="J13" s="18"/>
      <c r="K13" s="18"/>
      <c r="L13" s="19"/>
    </row>
    <row r="14" spans="1:12">
      <c r="A14" s="16"/>
      <c r="B14" s="17">
        <v>10</v>
      </c>
      <c r="C14" s="18"/>
      <c r="D14" s="18"/>
      <c r="E14" s="18"/>
      <c r="F14" s="19"/>
      <c r="H14" s="17">
        <v>10</v>
      </c>
      <c r="I14" s="18"/>
      <c r="J14" s="18"/>
      <c r="K14" s="18"/>
      <c r="L14" s="19"/>
    </row>
    <row r="15" spans="1:12">
      <c r="A15" s="16"/>
      <c r="B15" s="17">
        <v>11</v>
      </c>
      <c r="C15" s="18"/>
      <c r="D15" s="18"/>
      <c r="E15" s="18"/>
      <c r="F15" s="19"/>
      <c r="H15" s="17">
        <v>11</v>
      </c>
      <c r="I15" s="18"/>
      <c r="J15" s="18"/>
      <c r="K15" s="18"/>
      <c r="L15" s="19"/>
    </row>
    <row r="16" spans="2:12">
      <c r="B16" s="17">
        <v>12</v>
      </c>
      <c r="C16" s="18"/>
      <c r="D16" s="18"/>
      <c r="E16" s="18"/>
      <c r="F16" s="19"/>
      <c r="H16" s="17">
        <v>12</v>
      </c>
      <c r="I16" s="18"/>
      <c r="J16" s="18"/>
      <c r="K16" s="18"/>
      <c r="L16" s="19"/>
    </row>
    <row r="17" spans="2:12">
      <c r="B17" s="17">
        <v>13</v>
      </c>
      <c r="C17" s="18"/>
      <c r="D17" s="18"/>
      <c r="E17" s="18"/>
      <c r="F17" s="19"/>
      <c r="H17" s="17">
        <v>13</v>
      </c>
      <c r="I17" s="18"/>
      <c r="J17" s="18"/>
      <c r="K17" s="18"/>
      <c r="L17" s="19"/>
    </row>
    <row r="18" spans="2:12">
      <c r="B18" s="17">
        <v>14</v>
      </c>
      <c r="C18" s="18"/>
      <c r="D18" s="18"/>
      <c r="E18" s="18"/>
      <c r="F18" s="19"/>
      <c r="H18" s="17">
        <v>14</v>
      </c>
      <c r="I18" s="18"/>
      <c r="J18" s="18"/>
      <c r="K18" s="18"/>
      <c r="L18" s="19"/>
    </row>
    <row r="19" spans="2:12">
      <c r="B19" s="17">
        <v>15</v>
      </c>
      <c r="C19" s="18"/>
      <c r="D19" s="18"/>
      <c r="E19" s="18"/>
      <c r="F19" s="19"/>
      <c r="H19" s="17">
        <v>15</v>
      </c>
      <c r="I19" s="18"/>
      <c r="J19" s="18"/>
      <c r="K19" s="18"/>
      <c r="L19" s="19"/>
    </row>
    <row r="20" spans="2:12">
      <c r="B20" s="17">
        <v>16</v>
      </c>
      <c r="C20" s="18"/>
      <c r="D20" s="18"/>
      <c r="E20" s="18"/>
      <c r="F20" s="19"/>
      <c r="H20" s="17">
        <v>16</v>
      </c>
      <c r="I20" s="18"/>
      <c r="J20" s="18"/>
      <c r="K20" s="18"/>
      <c r="L20" s="19"/>
    </row>
    <row r="21" spans="2:12">
      <c r="B21" s="17">
        <v>17</v>
      </c>
      <c r="C21" s="18"/>
      <c r="D21" s="18"/>
      <c r="E21" s="18"/>
      <c r="F21" s="19"/>
      <c r="H21" s="17">
        <v>17</v>
      </c>
      <c r="I21" s="18"/>
      <c r="J21" s="18"/>
      <c r="K21" s="18"/>
      <c r="L21" s="19"/>
    </row>
    <row r="22" spans="2:12">
      <c r="B22" s="17">
        <v>18</v>
      </c>
      <c r="C22" s="18"/>
      <c r="D22" s="18"/>
      <c r="E22" s="18"/>
      <c r="F22" s="19"/>
      <c r="H22" s="17">
        <v>18</v>
      </c>
      <c r="I22" s="18"/>
      <c r="J22" s="18"/>
      <c r="K22" s="18"/>
      <c r="L22" s="19"/>
    </row>
    <row r="23" spans="2:12">
      <c r="B23" s="17">
        <v>19</v>
      </c>
      <c r="C23" s="18"/>
      <c r="D23" s="18"/>
      <c r="E23" s="18"/>
      <c r="F23" s="19"/>
      <c r="H23" s="17">
        <v>19</v>
      </c>
      <c r="I23" s="18"/>
      <c r="J23" s="18"/>
      <c r="K23" s="18"/>
      <c r="L23" s="19"/>
    </row>
    <row r="24" spans="2:12">
      <c r="B24" s="17">
        <v>20</v>
      </c>
      <c r="C24" s="18"/>
      <c r="D24" s="18"/>
      <c r="E24" s="18"/>
      <c r="F24" s="19"/>
      <c r="H24" s="17">
        <v>20</v>
      </c>
      <c r="I24" s="18"/>
      <c r="J24" s="18"/>
      <c r="K24" s="18"/>
      <c r="L24" s="19"/>
    </row>
    <row r="25" spans="2:12">
      <c r="B25" s="17">
        <v>21</v>
      </c>
      <c r="C25" s="18"/>
      <c r="D25" s="18"/>
      <c r="E25" s="18"/>
      <c r="F25" s="19"/>
      <c r="H25" s="17">
        <v>21</v>
      </c>
      <c r="I25" s="18"/>
      <c r="J25" s="18"/>
      <c r="K25" s="18"/>
      <c r="L25" s="19"/>
    </row>
    <row r="26" spans="2:12">
      <c r="B26" s="17">
        <v>22</v>
      </c>
      <c r="C26" s="18"/>
      <c r="D26" s="18"/>
      <c r="E26" s="18"/>
      <c r="F26" s="19"/>
      <c r="H26" s="17">
        <v>22</v>
      </c>
      <c r="I26" s="18"/>
      <c r="J26" s="18"/>
      <c r="K26" s="18"/>
      <c r="L26" s="19"/>
    </row>
    <row r="27" spans="2:12">
      <c r="B27" s="17">
        <v>23</v>
      </c>
      <c r="C27" s="18"/>
      <c r="D27" s="18"/>
      <c r="E27" s="18"/>
      <c r="F27" s="19"/>
      <c r="H27" s="17">
        <v>23</v>
      </c>
      <c r="I27" s="18"/>
      <c r="J27" s="18"/>
      <c r="K27" s="18"/>
      <c r="L27" s="19"/>
    </row>
    <row r="28" spans="2:12">
      <c r="B28" s="17">
        <v>24</v>
      </c>
      <c r="C28" s="18"/>
      <c r="D28" s="18"/>
      <c r="E28" s="18"/>
      <c r="F28" s="19"/>
      <c r="H28" s="17">
        <v>24</v>
      </c>
      <c r="I28" s="18"/>
      <c r="J28" s="18"/>
      <c r="K28" s="18"/>
      <c r="L28" s="19"/>
    </row>
    <row r="29" spans="2:12">
      <c r="B29" s="17">
        <v>25</v>
      </c>
      <c r="C29" s="18"/>
      <c r="D29" s="18"/>
      <c r="E29" s="18"/>
      <c r="F29" s="19"/>
      <c r="H29" s="17">
        <v>25</v>
      </c>
      <c r="I29" s="18"/>
      <c r="J29" s="18"/>
      <c r="K29" s="18"/>
      <c r="L29" s="19"/>
    </row>
    <row r="30" spans="2:12">
      <c r="B30" s="17">
        <v>26</v>
      </c>
      <c r="C30" s="18"/>
      <c r="D30" s="18"/>
      <c r="E30" s="18"/>
      <c r="F30" s="19"/>
      <c r="H30" s="17">
        <v>26</v>
      </c>
      <c r="I30" s="18"/>
      <c r="J30" s="18"/>
      <c r="K30" s="18"/>
      <c r="L30" s="19"/>
    </row>
    <row r="31" spans="2:12">
      <c r="B31" s="17">
        <v>27</v>
      </c>
      <c r="C31" s="18"/>
      <c r="D31" s="18"/>
      <c r="E31" s="18"/>
      <c r="F31" s="19"/>
      <c r="H31" s="17">
        <v>27</v>
      </c>
      <c r="I31" s="18"/>
      <c r="J31" s="18"/>
      <c r="K31" s="18"/>
      <c r="L31" s="19"/>
    </row>
    <row r="32" spans="2:12">
      <c r="B32" s="20" t="s">
        <v>38</v>
      </c>
      <c r="C32" s="21">
        <f>SUM(C5:C31)</f>
        <v>1850</v>
      </c>
      <c r="D32" s="21"/>
      <c r="E32" s="21"/>
      <c r="F32" s="22"/>
      <c r="H32" s="20" t="s">
        <v>38</v>
      </c>
      <c r="I32" s="21">
        <f>SUM(I5:I31)</f>
        <v>500</v>
      </c>
      <c r="J32" s="21"/>
      <c r="K32" s="21"/>
      <c r="L32" s="22"/>
    </row>
  </sheetData>
  <mergeCells count="10">
    <mergeCell ref="A1:L1"/>
    <mergeCell ref="B2:F2"/>
    <mergeCell ref="H2:I2"/>
    <mergeCell ref="J2:L2"/>
    <mergeCell ref="B3:F3"/>
    <mergeCell ref="H3:L3"/>
    <mergeCell ref="A5:A7"/>
    <mergeCell ref="A9:A11"/>
    <mergeCell ref="A13:A15"/>
    <mergeCell ref="G2:G32"/>
  </mergeCells>
  <conditionalFormatting sqref="C5:C3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{b1f2b5f2-38d4-41ef-8379-cb29cd0ab935}</x14:id>
        </ext>
      </extLst>
    </cfRule>
  </conditionalFormatting>
  <conditionalFormatting sqref="I5:I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{93efdb28-d920-460c-8ff9-f45def51954b}</x14:id>
        </ext>
      </extLst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f2b5f2-38d4-41ef-8379-cb29cd0ab9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C5:C31</xm:sqref>
        </x14:conditionalFormatting>
        <x14:conditionalFormatting xmlns:xm="http://schemas.microsoft.com/office/excel/2006/main">
          <x14:cfRule type="dataBar" id="{93efdb28-d920-460c-8ff9-f45def51954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I5:I31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showGridLines="0" workbookViewId="0">
      <selection activeCell="E18" sqref="E18"/>
    </sheetView>
  </sheetViews>
  <sheetFormatPr defaultColWidth="9" defaultRowHeight="16.5"/>
  <cols>
    <col min="1" max="1" width="15.125" style="1" customWidth="1"/>
    <col min="2" max="2" width="6.5" style="1" customWidth="1"/>
    <col min="3" max="4" width="10.25" style="1" customWidth="1"/>
    <col min="5" max="6" width="9" style="1"/>
    <col min="7" max="7" width="2.75" style="2" customWidth="1"/>
    <col min="8" max="8" width="6.5" style="1" customWidth="1"/>
    <col min="9" max="10" width="10.25" style="1" customWidth="1"/>
    <col min="11" max="18" width="9" style="1"/>
    <col min="19" max="19" width="12" style="1" customWidth="1"/>
    <col min="20" max="16384" width="9" style="1"/>
  </cols>
  <sheetData>
    <row r="1" ht="42" customHeight="1" spans="1:1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.75" customHeight="1" spans="1:19">
      <c r="A2" s="4" t="s">
        <v>22</v>
      </c>
      <c r="B2" s="4" t="s">
        <v>23</v>
      </c>
      <c r="C2" s="4"/>
      <c r="D2" s="4"/>
      <c r="E2" s="4"/>
      <c r="F2" s="4"/>
      <c r="G2" s="5"/>
      <c r="H2" s="6" t="s">
        <v>24</v>
      </c>
      <c r="I2" s="6"/>
      <c r="J2" s="6"/>
      <c r="K2" s="6"/>
      <c r="L2" s="6"/>
      <c r="R2" s="18" t="s">
        <v>25</v>
      </c>
      <c r="S2" s="18">
        <f>A5</f>
        <v>500</v>
      </c>
    </row>
    <row r="3" ht="27" customHeight="1" spans="1:19">
      <c r="A3" s="7" t="s">
        <v>26</v>
      </c>
      <c r="B3" s="8" t="s">
        <v>27</v>
      </c>
      <c r="C3" s="9"/>
      <c r="D3" s="9"/>
      <c r="E3" s="9"/>
      <c r="F3" s="10"/>
      <c r="H3" s="11" t="s">
        <v>28</v>
      </c>
      <c r="I3" s="23"/>
      <c r="J3" s="23"/>
      <c r="K3" s="23"/>
      <c r="L3" s="24"/>
      <c r="R3" s="18" t="s">
        <v>29</v>
      </c>
      <c r="S3" s="18">
        <f>A9</f>
        <v>1850</v>
      </c>
    </row>
    <row r="4" ht="18.75" spans="1:19">
      <c r="A4" s="12" t="s">
        <v>25</v>
      </c>
      <c r="B4" s="13" t="s">
        <v>30</v>
      </c>
      <c r="C4" s="14" t="s">
        <v>31</v>
      </c>
      <c r="D4" s="14" t="s">
        <v>32</v>
      </c>
      <c r="E4" s="14" t="s">
        <v>33</v>
      </c>
      <c r="F4" s="15" t="s">
        <v>34</v>
      </c>
      <c r="H4" s="13" t="s">
        <v>30</v>
      </c>
      <c r="I4" s="14" t="s">
        <v>35</v>
      </c>
      <c r="J4" s="14" t="s">
        <v>36</v>
      </c>
      <c r="K4" s="14" t="s">
        <v>33</v>
      </c>
      <c r="L4" s="15" t="s">
        <v>34</v>
      </c>
      <c r="R4" s="18" t="s">
        <v>37</v>
      </c>
      <c r="S4" s="18">
        <f>A13</f>
        <v>-1350</v>
      </c>
    </row>
    <row r="5" spans="1:12">
      <c r="A5" s="16">
        <f>I32</f>
        <v>500</v>
      </c>
      <c r="B5" s="17">
        <v>1</v>
      </c>
      <c r="C5" s="18">
        <v>100</v>
      </c>
      <c r="D5" s="18"/>
      <c r="E5" s="18"/>
      <c r="F5" s="19"/>
      <c r="H5" s="17">
        <v>1</v>
      </c>
      <c r="I5" s="18">
        <v>50</v>
      </c>
      <c r="J5" s="18"/>
      <c r="K5" s="18"/>
      <c r="L5" s="19"/>
    </row>
    <row r="6" spans="1:12">
      <c r="A6" s="16"/>
      <c r="B6" s="17">
        <v>2</v>
      </c>
      <c r="C6" s="18">
        <v>200</v>
      </c>
      <c r="D6" s="18"/>
      <c r="E6" s="18"/>
      <c r="F6" s="19"/>
      <c r="H6" s="17">
        <v>2</v>
      </c>
      <c r="I6" s="18">
        <v>20</v>
      </c>
      <c r="J6" s="18"/>
      <c r="K6" s="18"/>
      <c r="L6" s="19"/>
    </row>
    <row r="7" spans="1:12">
      <c r="A7" s="16"/>
      <c r="B7" s="17">
        <v>3</v>
      </c>
      <c r="C7" s="18">
        <v>300</v>
      </c>
      <c r="D7" s="18"/>
      <c r="E7" s="18"/>
      <c r="F7" s="19"/>
      <c r="H7" s="17">
        <v>3</v>
      </c>
      <c r="I7" s="18">
        <v>30</v>
      </c>
      <c r="J7" s="18"/>
      <c r="K7" s="18"/>
      <c r="L7" s="19"/>
    </row>
    <row r="8" ht="18.75" spans="1:12">
      <c r="A8" s="12" t="s">
        <v>29</v>
      </c>
      <c r="B8" s="17">
        <v>4</v>
      </c>
      <c r="C8" s="18">
        <v>100</v>
      </c>
      <c r="D8" s="18"/>
      <c r="E8" s="18"/>
      <c r="F8" s="19"/>
      <c r="H8" s="17">
        <v>4</v>
      </c>
      <c r="I8" s="18">
        <v>400</v>
      </c>
      <c r="J8" s="18"/>
      <c r="K8" s="18"/>
      <c r="L8" s="19"/>
    </row>
    <row r="9" spans="1:12">
      <c r="A9" s="16">
        <f>C32</f>
        <v>1850</v>
      </c>
      <c r="B9" s="17">
        <v>5</v>
      </c>
      <c r="C9" s="18">
        <v>100</v>
      </c>
      <c r="D9" s="18"/>
      <c r="E9" s="18"/>
      <c r="F9" s="19"/>
      <c r="H9" s="17">
        <v>5</v>
      </c>
      <c r="I9" s="18"/>
      <c r="J9" s="18"/>
      <c r="K9" s="18"/>
      <c r="L9" s="19"/>
    </row>
    <row r="10" spans="1:12">
      <c r="A10" s="16"/>
      <c r="B10" s="17">
        <v>6</v>
      </c>
      <c r="C10" s="18">
        <v>300</v>
      </c>
      <c r="D10" s="18"/>
      <c r="E10" s="18"/>
      <c r="F10" s="19"/>
      <c r="H10" s="17">
        <v>6</v>
      </c>
      <c r="I10" s="18"/>
      <c r="J10" s="18"/>
      <c r="K10" s="18"/>
      <c r="L10" s="19"/>
    </row>
    <row r="11" spans="1:12">
      <c r="A11" s="16"/>
      <c r="B11" s="17">
        <v>7</v>
      </c>
      <c r="C11" s="18">
        <v>250</v>
      </c>
      <c r="D11" s="18"/>
      <c r="E11" s="18"/>
      <c r="F11" s="19"/>
      <c r="H11" s="17">
        <v>7</v>
      </c>
      <c r="I11" s="18"/>
      <c r="J11" s="18"/>
      <c r="K11" s="18"/>
      <c r="L11" s="19"/>
    </row>
    <row r="12" ht="18.75" spans="1:12">
      <c r="A12" s="12" t="s">
        <v>37</v>
      </c>
      <c r="B12" s="17">
        <v>8</v>
      </c>
      <c r="C12" s="18">
        <v>500</v>
      </c>
      <c r="D12" s="18"/>
      <c r="E12" s="18"/>
      <c r="F12" s="19"/>
      <c r="H12" s="17">
        <v>8</v>
      </c>
      <c r="I12" s="18"/>
      <c r="J12" s="18"/>
      <c r="K12" s="18"/>
      <c r="L12" s="19"/>
    </row>
    <row r="13" spans="1:12">
      <c r="A13" s="16">
        <f>A5-A9</f>
        <v>-1350</v>
      </c>
      <c r="B13" s="17">
        <v>9</v>
      </c>
      <c r="C13" s="18"/>
      <c r="D13" s="18"/>
      <c r="E13" s="18"/>
      <c r="F13" s="19"/>
      <c r="H13" s="17">
        <v>9</v>
      </c>
      <c r="I13" s="18"/>
      <c r="J13" s="18"/>
      <c r="K13" s="18"/>
      <c r="L13" s="19"/>
    </row>
    <row r="14" spans="1:12">
      <c r="A14" s="16"/>
      <c r="B14" s="17">
        <v>10</v>
      </c>
      <c r="C14" s="18"/>
      <c r="D14" s="18"/>
      <c r="E14" s="18"/>
      <c r="F14" s="19"/>
      <c r="H14" s="17">
        <v>10</v>
      </c>
      <c r="I14" s="18"/>
      <c r="J14" s="18"/>
      <c r="K14" s="18"/>
      <c r="L14" s="19"/>
    </row>
    <row r="15" spans="1:12">
      <c r="A15" s="16"/>
      <c r="B15" s="17">
        <v>11</v>
      </c>
      <c r="C15" s="18"/>
      <c r="D15" s="18"/>
      <c r="E15" s="18"/>
      <c r="F15" s="19"/>
      <c r="H15" s="17">
        <v>11</v>
      </c>
      <c r="I15" s="18"/>
      <c r="J15" s="18"/>
      <c r="K15" s="18"/>
      <c r="L15" s="19"/>
    </row>
    <row r="16" spans="2:12">
      <c r="B16" s="17">
        <v>12</v>
      </c>
      <c r="C16" s="18"/>
      <c r="D16" s="18"/>
      <c r="E16" s="18"/>
      <c r="F16" s="19"/>
      <c r="H16" s="17">
        <v>12</v>
      </c>
      <c r="I16" s="18"/>
      <c r="J16" s="18"/>
      <c r="K16" s="18"/>
      <c r="L16" s="19"/>
    </row>
    <row r="17" spans="2:12">
      <c r="B17" s="17">
        <v>13</v>
      </c>
      <c r="C17" s="18"/>
      <c r="D17" s="18"/>
      <c r="E17" s="18"/>
      <c r="F17" s="19"/>
      <c r="H17" s="17">
        <v>13</v>
      </c>
      <c r="I17" s="18"/>
      <c r="J17" s="18"/>
      <c r="K17" s="18"/>
      <c r="L17" s="19"/>
    </row>
    <row r="18" spans="2:12">
      <c r="B18" s="17">
        <v>14</v>
      </c>
      <c r="C18" s="18"/>
      <c r="D18" s="18"/>
      <c r="E18" s="18"/>
      <c r="F18" s="19"/>
      <c r="H18" s="17">
        <v>14</v>
      </c>
      <c r="I18" s="18"/>
      <c r="J18" s="18"/>
      <c r="K18" s="18"/>
      <c r="L18" s="19"/>
    </row>
    <row r="19" spans="2:12">
      <c r="B19" s="17">
        <v>15</v>
      </c>
      <c r="C19" s="18"/>
      <c r="D19" s="18"/>
      <c r="E19" s="18"/>
      <c r="F19" s="19"/>
      <c r="H19" s="17">
        <v>15</v>
      </c>
      <c r="I19" s="18"/>
      <c r="J19" s="18"/>
      <c r="K19" s="18"/>
      <c r="L19" s="19"/>
    </row>
    <row r="20" spans="2:12">
      <c r="B20" s="17">
        <v>16</v>
      </c>
      <c r="C20" s="18"/>
      <c r="D20" s="18"/>
      <c r="E20" s="18"/>
      <c r="F20" s="19"/>
      <c r="H20" s="17">
        <v>16</v>
      </c>
      <c r="I20" s="18"/>
      <c r="J20" s="18"/>
      <c r="K20" s="18"/>
      <c r="L20" s="19"/>
    </row>
    <row r="21" spans="2:12">
      <c r="B21" s="17">
        <v>17</v>
      </c>
      <c r="C21" s="18"/>
      <c r="D21" s="18"/>
      <c r="E21" s="18"/>
      <c r="F21" s="19"/>
      <c r="H21" s="17">
        <v>17</v>
      </c>
      <c r="I21" s="18"/>
      <c r="J21" s="18"/>
      <c r="K21" s="18"/>
      <c r="L21" s="19"/>
    </row>
    <row r="22" spans="2:12">
      <c r="B22" s="17">
        <v>18</v>
      </c>
      <c r="C22" s="18"/>
      <c r="D22" s="18"/>
      <c r="E22" s="18"/>
      <c r="F22" s="19"/>
      <c r="H22" s="17">
        <v>18</v>
      </c>
      <c r="I22" s="18"/>
      <c r="J22" s="18"/>
      <c r="K22" s="18"/>
      <c r="L22" s="19"/>
    </row>
    <row r="23" spans="2:12">
      <c r="B23" s="17">
        <v>19</v>
      </c>
      <c r="C23" s="18"/>
      <c r="D23" s="18"/>
      <c r="E23" s="18"/>
      <c r="F23" s="19"/>
      <c r="H23" s="17">
        <v>19</v>
      </c>
      <c r="I23" s="18"/>
      <c r="J23" s="18"/>
      <c r="K23" s="18"/>
      <c r="L23" s="19"/>
    </row>
    <row r="24" spans="2:12">
      <c r="B24" s="17">
        <v>20</v>
      </c>
      <c r="C24" s="18"/>
      <c r="D24" s="18"/>
      <c r="E24" s="18"/>
      <c r="F24" s="19"/>
      <c r="H24" s="17">
        <v>20</v>
      </c>
      <c r="I24" s="18"/>
      <c r="J24" s="18"/>
      <c r="K24" s="18"/>
      <c r="L24" s="19"/>
    </row>
    <row r="25" spans="2:12">
      <c r="B25" s="17">
        <v>21</v>
      </c>
      <c r="C25" s="18"/>
      <c r="D25" s="18"/>
      <c r="E25" s="18"/>
      <c r="F25" s="19"/>
      <c r="H25" s="17">
        <v>21</v>
      </c>
      <c r="I25" s="18"/>
      <c r="J25" s="18"/>
      <c r="K25" s="18"/>
      <c r="L25" s="19"/>
    </row>
    <row r="26" spans="2:12">
      <c r="B26" s="17">
        <v>22</v>
      </c>
      <c r="C26" s="18"/>
      <c r="D26" s="18"/>
      <c r="E26" s="18"/>
      <c r="F26" s="19"/>
      <c r="H26" s="17">
        <v>22</v>
      </c>
      <c r="I26" s="18"/>
      <c r="J26" s="18"/>
      <c r="K26" s="18"/>
      <c r="L26" s="19"/>
    </row>
    <row r="27" spans="2:12">
      <c r="B27" s="17">
        <v>23</v>
      </c>
      <c r="C27" s="18"/>
      <c r="D27" s="18"/>
      <c r="E27" s="18"/>
      <c r="F27" s="19"/>
      <c r="H27" s="17">
        <v>23</v>
      </c>
      <c r="I27" s="18"/>
      <c r="J27" s="18"/>
      <c r="K27" s="18"/>
      <c r="L27" s="19"/>
    </row>
    <row r="28" spans="2:12">
      <c r="B28" s="17">
        <v>24</v>
      </c>
      <c r="C28" s="18"/>
      <c r="D28" s="18"/>
      <c r="E28" s="18"/>
      <c r="F28" s="19"/>
      <c r="H28" s="17">
        <v>24</v>
      </c>
      <c r="I28" s="18"/>
      <c r="J28" s="18"/>
      <c r="K28" s="18"/>
      <c r="L28" s="19"/>
    </row>
    <row r="29" spans="2:12">
      <c r="B29" s="17">
        <v>25</v>
      </c>
      <c r="C29" s="18"/>
      <c r="D29" s="18"/>
      <c r="E29" s="18"/>
      <c r="F29" s="19"/>
      <c r="H29" s="17">
        <v>25</v>
      </c>
      <c r="I29" s="18"/>
      <c r="J29" s="18"/>
      <c r="K29" s="18"/>
      <c r="L29" s="19"/>
    </row>
    <row r="30" spans="2:12">
      <c r="B30" s="17">
        <v>26</v>
      </c>
      <c r="C30" s="18"/>
      <c r="D30" s="18"/>
      <c r="E30" s="18"/>
      <c r="F30" s="19"/>
      <c r="H30" s="17">
        <v>26</v>
      </c>
      <c r="I30" s="18"/>
      <c r="J30" s="18"/>
      <c r="K30" s="18"/>
      <c r="L30" s="19"/>
    </row>
    <row r="31" spans="2:12">
      <c r="B31" s="17">
        <v>27</v>
      </c>
      <c r="C31" s="18"/>
      <c r="D31" s="18"/>
      <c r="E31" s="18"/>
      <c r="F31" s="19"/>
      <c r="H31" s="17">
        <v>27</v>
      </c>
      <c r="I31" s="18"/>
      <c r="J31" s="18"/>
      <c r="K31" s="18"/>
      <c r="L31" s="19"/>
    </row>
    <row r="32" spans="2:12">
      <c r="B32" s="20" t="s">
        <v>38</v>
      </c>
      <c r="C32" s="21">
        <f>SUM(C5:C31)</f>
        <v>1850</v>
      </c>
      <c r="D32" s="21"/>
      <c r="E32" s="21"/>
      <c r="F32" s="22"/>
      <c r="H32" s="20" t="s">
        <v>38</v>
      </c>
      <c r="I32" s="21">
        <f>SUM(I5:I31)</f>
        <v>500</v>
      </c>
      <c r="J32" s="21"/>
      <c r="K32" s="21"/>
      <c r="L32" s="22"/>
    </row>
  </sheetData>
  <mergeCells count="10">
    <mergeCell ref="A1:L1"/>
    <mergeCell ref="B2:F2"/>
    <mergeCell ref="H2:I2"/>
    <mergeCell ref="J2:L2"/>
    <mergeCell ref="B3:F3"/>
    <mergeCell ref="H3:L3"/>
    <mergeCell ref="A5:A7"/>
    <mergeCell ref="A9:A11"/>
    <mergeCell ref="A13:A15"/>
    <mergeCell ref="G2:G32"/>
  </mergeCells>
  <conditionalFormatting sqref="C5:C3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{ef3bb285-eb82-4277-a283-fc36cdebfc91}</x14:id>
        </ext>
      </extLst>
    </cfRule>
  </conditionalFormatting>
  <conditionalFormatting sqref="I5:I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{e6dd333a-d4d4-4376-b0ac-6253fe5240b6}</x14:id>
        </ext>
      </extLst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3bb285-eb82-4277-a283-fc36cdebfc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C5:C31</xm:sqref>
        </x14:conditionalFormatting>
        <x14:conditionalFormatting xmlns:xm="http://schemas.microsoft.com/office/excel/2006/main">
          <x14:cfRule type="dataBar" id="{e6dd333a-d4d4-4376-b0ac-6253fe5240b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I5:I31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showGridLines="0" workbookViewId="0">
      <selection activeCell="E18" sqref="E18"/>
    </sheetView>
  </sheetViews>
  <sheetFormatPr defaultColWidth="9" defaultRowHeight="16.5"/>
  <cols>
    <col min="1" max="1" width="15.125" style="1" customWidth="1"/>
    <col min="2" max="2" width="6.5" style="1" customWidth="1"/>
    <col min="3" max="4" width="10.25" style="1" customWidth="1"/>
    <col min="5" max="6" width="9" style="1"/>
    <col min="7" max="7" width="2.75" style="2" customWidth="1"/>
    <col min="8" max="8" width="6.5" style="1" customWidth="1"/>
    <col min="9" max="10" width="10.25" style="1" customWidth="1"/>
    <col min="11" max="18" width="9" style="1"/>
    <col min="19" max="19" width="12" style="1" customWidth="1"/>
    <col min="20" max="16384" width="9" style="1"/>
  </cols>
  <sheetData>
    <row r="1" ht="42" customHeight="1" spans="1:1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.75" customHeight="1" spans="1:19">
      <c r="A2" s="4" t="s">
        <v>22</v>
      </c>
      <c r="B2" s="4" t="s">
        <v>23</v>
      </c>
      <c r="C2" s="4"/>
      <c r="D2" s="4"/>
      <c r="E2" s="4"/>
      <c r="F2" s="4"/>
      <c r="G2" s="5"/>
      <c r="H2" s="6" t="s">
        <v>24</v>
      </c>
      <c r="I2" s="6"/>
      <c r="J2" s="6"/>
      <c r="K2" s="6"/>
      <c r="L2" s="6"/>
      <c r="R2" s="18" t="s">
        <v>25</v>
      </c>
      <c r="S2" s="18">
        <f>A5</f>
        <v>500</v>
      </c>
    </row>
    <row r="3" ht="27" customHeight="1" spans="1:19">
      <c r="A3" s="7" t="s">
        <v>26</v>
      </c>
      <c r="B3" s="8" t="s">
        <v>27</v>
      </c>
      <c r="C3" s="9"/>
      <c r="D3" s="9"/>
      <c r="E3" s="9"/>
      <c r="F3" s="10"/>
      <c r="H3" s="11" t="s">
        <v>28</v>
      </c>
      <c r="I3" s="23"/>
      <c r="J3" s="23"/>
      <c r="K3" s="23"/>
      <c r="L3" s="24"/>
      <c r="R3" s="18" t="s">
        <v>29</v>
      </c>
      <c r="S3" s="18">
        <f>A9</f>
        <v>1850</v>
      </c>
    </row>
    <row r="4" ht="18.75" spans="1:19">
      <c r="A4" s="12" t="s">
        <v>25</v>
      </c>
      <c r="B4" s="13" t="s">
        <v>30</v>
      </c>
      <c r="C4" s="14" t="s">
        <v>31</v>
      </c>
      <c r="D4" s="14" t="s">
        <v>32</v>
      </c>
      <c r="E4" s="14" t="s">
        <v>33</v>
      </c>
      <c r="F4" s="15" t="s">
        <v>34</v>
      </c>
      <c r="H4" s="13" t="s">
        <v>30</v>
      </c>
      <c r="I4" s="14" t="s">
        <v>35</v>
      </c>
      <c r="J4" s="14" t="s">
        <v>36</v>
      </c>
      <c r="K4" s="14" t="s">
        <v>33</v>
      </c>
      <c r="L4" s="15" t="s">
        <v>34</v>
      </c>
      <c r="R4" s="18" t="s">
        <v>37</v>
      </c>
      <c r="S4" s="18">
        <f>A13</f>
        <v>-1350</v>
      </c>
    </row>
    <row r="5" spans="1:12">
      <c r="A5" s="16">
        <f>I32</f>
        <v>500</v>
      </c>
      <c r="B5" s="17">
        <v>1</v>
      </c>
      <c r="C5" s="18">
        <v>100</v>
      </c>
      <c r="D5" s="18"/>
      <c r="E5" s="18"/>
      <c r="F5" s="19"/>
      <c r="H5" s="17">
        <v>1</v>
      </c>
      <c r="I5" s="18">
        <v>50</v>
      </c>
      <c r="J5" s="18"/>
      <c r="K5" s="18"/>
      <c r="L5" s="19"/>
    </row>
    <row r="6" spans="1:12">
      <c r="A6" s="16"/>
      <c r="B6" s="17">
        <v>2</v>
      </c>
      <c r="C6" s="18">
        <v>200</v>
      </c>
      <c r="D6" s="18"/>
      <c r="E6" s="18"/>
      <c r="F6" s="19"/>
      <c r="H6" s="17">
        <v>2</v>
      </c>
      <c r="I6" s="18">
        <v>20</v>
      </c>
      <c r="J6" s="18"/>
      <c r="K6" s="18"/>
      <c r="L6" s="19"/>
    </row>
    <row r="7" spans="1:12">
      <c r="A7" s="16"/>
      <c r="B7" s="17">
        <v>3</v>
      </c>
      <c r="C7" s="18">
        <v>300</v>
      </c>
      <c r="D7" s="18"/>
      <c r="E7" s="18"/>
      <c r="F7" s="19"/>
      <c r="H7" s="17">
        <v>3</v>
      </c>
      <c r="I7" s="18">
        <v>30</v>
      </c>
      <c r="J7" s="18"/>
      <c r="K7" s="18"/>
      <c r="L7" s="19"/>
    </row>
    <row r="8" ht="18.75" spans="1:12">
      <c r="A8" s="12" t="s">
        <v>29</v>
      </c>
      <c r="B8" s="17">
        <v>4</v>
      </c>
      <c r="C8" s="18">
        <v>100</v>
      </c>
      <c r="D8" s="18"/>
      <c r="E8" s="18"/>
      <c r="F8" s="19"/>
      <c r="H8" s="17">
        <v>4</v>
      </c>
      <c r="I8" s="18">
        <v>400</v>
      </c>
      <c r="J8" s="18"/>
      <c r="K8" s="18"/>
      <c r="L8" s="19"/>
    </row>
    <row r="9" spans="1:12">
      <c r="A9" s="16">
        <f>C32</f>
        <v>1850</v>
      </c>
      <c r="B9" s="17">
        <v>5</v>
      </c>
      <c r="C9" s="18">
        <v>100</v>
      </c>
      <c r="D9" s="18"/>
      <c r="E9" s="18"/>
      <c r="F9" s="19"/>
      <c r="H9" s="17">
        <v>5</v>
      </c>
      <c r="I9" s="18"/>
      <c r="J9" s="18"/>
      <c r="K9" s="18"/>
      <c r="L9" s="19"/>
    </row>
    <row r="10" spans="1:12">
      <c r="A10" s="16"/>
      <c r="B10" s="17">
        <v>6</v>
      </c>
      <c r="C10" s="18">
        <v>300</v>
      </c>
      <c r="D10" s="18"/>
      <c r="E10" s="18"/>
      <c r="F10" s="19"/>
      <c r="H10" s="17">
        <v>6</v>
      </c>
      <c r="I10" s="18"/>
      <c r="J10" s="18"/>
      <c r="K10" s="18"/>
      <c r="L10" s="19"/>
    </row>
    <row r="11" spans="1:12">
      <c r="A11" s="16"/>
      <c r="B11" s="17">
        <v>7</v>
      </c>
      <c r="C11" s="18">
        <v>250</v>
      </c>
      <c r="D11" s="18"/>
      <c r="E11" s="18"/>
      <c r="F11" s="19"/>
      <c r="H11" s="17">
        <v>7</v>
      </c>
      <c r="I11" s="18"/>
      <c r="J11" s="18"/>
      <c r="K11" s="18"/>
      <c r="L11" s="19"/>
    </row>
    <row r="12" ht="18.75" spans="1:12">
      <c r="A12" s="12" t="s">
        <v>37</v>
      </c>
      <c r="B12" s="17">
        <v>8</v>
      </c>
      <c r="C12" s="18">
        <v>500</v>
      </c>
      <c r="D12" s="18"/>
      <c r="E12" s="18"/>
      <c r="F12" s="19"/>
      <c r="H12" s="17">
        <v>8</v>
      </c>
      <c r="I12" s="18"/>
      <c r="J12" s="18"/>
      <c r="K12" s="18"/>
      <c r="L12" s="19"/>
    </row>
    <row r="13" spans="1:12">
      <c r="A13" s="16">
        <f>A5-A9</f>
        <v>-1350</v>
      </c>
      <c r="B13" s="17">
        <v>9</v>
      </c>
      <c r="C13" s="18"/>
      <c r="D13" s="18"/>
      <c r="E13" s="18"/>
      <c r="F13" s="19"/>
      <c r="H13" s="17">
        <v>9</v>
      </c>
      <c r="I13" s="18"/>
      <c r="J13" s="18"/>
      <c r="K13" s="18"/>
      <c r="L13" s="19"/>
    </row>
    <row r="14" spans="1:12">
      <c r="A14" s="16"/>
      <c r="B14" s="17">
        <v>10</v>
      </c>
      <c r="C14" s="18"/>
      <c r="D14" s="18"/>
      <c r="E14" s="18"/>
      <c r="F14" s="19"/>
      <c r="H14" s="17">
        <v>10</v>
      </c>
      <c r="I14" s="18"/>
      <c r="J14" s="18"/>
      <c r="K14" s="18"/>
      <c r="L14" s="19"/>
    </row>
    <row r="15" spans="1:12">
      <c r="A15" s="16"/>
      <c r="B15" s="17">
        <v>11</v>
      </c>
      <c r="C15" s="18"/>
      <c r="D15" s="18"/>
      <c r="E15" s="18"/>
      <c r="F15" s="19"/>
      <c r="H15" s="17">
        <v>11</v>
      </c>
      <c r="I15" s="18"/>
      <c r="J15" s="18"/>
      <c r="K15" s="18"/>
      <c r="L15" s="19"/>
    </row>
    <row r="16" spans="2:12">
      <c r="B16" s="17">
        <v>12</v>
      </c>
      <c r="C16" s="18"/>
      <c r="D16" s="18"/>
      <c r="E16" s="18"/>
      <c r="F16" s="19"/>
      <c r="H16" s="17">
        <v>12</v>
      </c>
      <c r="I16" s="18"/>
      <c r="J16" s="18"/>
      <c r="K16" s="18"/>
      <c r="L16" s="19"/>
    </row>
    <row r="17" spans="2:12">
      <c r="B17" s="17">
        <v>13</v>
      </c>
      <c r="C17" s="18"/>
      <c r="D17" s="18"/>
      <c r="E17" s="18"/>
      <c r="F17" s="19"/>
      <c r="H17" s="17">
        <v>13</v>
      </c>
      <c r="I17" s="18"/>
      <c r="J17" s="18"/>
      <c r="K17" s="18"/>
      <c r="L17" s="19"/>
    </row>
    <row r="18" spans="2:12">
      <c r="B18" s="17">
        <v>14</v>
      </c>
      <c r="C18" s="18"/>
      <c r="D18" s="18"/>
      <c r="E18" s="18"/>
      <c r="F18" s="19"/>
      <c r="H18" s="17">
        <v>14</v>
      </c>
      <c r="I18" s="18"/>
      <c r="J18" s="18"/>
      <c r="K18" s="18"/>
      <c r="L18" s="19"/>
    </row>
    <row r="19" spans="2:12">
      <c r="B19" s="17">
        <v>15</v>
      </c>
      <c r="C19" s="18"/>
      <c r="D19" s="18"/>
      <c r="E19" s="18"/>
      <c r="F19" s="19"/>
      <c r="H19" s="17">
        <v>15</v>
      </c>
      <c r="I19" s="18"/>
      <c r="J19" s="18"/>
      <c r="K19" s="18"/>
      <c r="L19" s="19"/>
    </row>
    <row r="20" spans="2:12">
      <c r="B20" s="17">
        <v>16</v>
      </c>
      <c r="C20" s="18"/>
      <c r="D20" s="18"/>
      <c r="E20" s="18"/>
      <c r="F20" s="19"/>
      <c r="H20" s="17">
        <v>16</v>
      </c>
      <c r="I20" s="18"/>
      <c r="J20" s="18"/>
      <c r="K20" s="18"/>
      <c r="L20" s="19"/>
    </row>
    <row r="21" spans="2:12">
      <c r="B21" s="17">
        <v>17</v>
      </c>
      <c r="C21" s="18"/>
      <c r="D21" s="18"/>
      <c r="E21" s="18"/>
      <c r="F21" s="19"/>
      <c r="H21" s="17">
        <v>17</v>
      </c>
      <c r="I21" s="18"/>
      <c r="J21" s="18"/>
      <c r="K21" s="18"/>
      <c r="L21" s="19"/>
    </row>
    <row r="22" spans="2:12">
      <c r="B22" s="17">
        <v>18</v>
      </c>
      <c r="C22" s="18"/>
      <c r="D22" s="18"/>
      <c r="E22" s="18"/>
      <c r="F22" s="19"/>
      <c r="H22" s="17">
        <v>18</v>
      </c>
      <c r="I22" s="18"/>
      <c r="J22" s="18"/>
      <c r="K22" s="18"/>
      <c r="L22" s="19"/>
    </row>
    <row r="23" spans="2:12">
      <c r="B23" s="17">
        <v>19</v>
      </c>
      <c r="C23" s="18"/>
      <c r="D23" s="18"/>
      <c r="E23" s="18"/>
      <c r="F23" s="19"/>
      <c r="H23" s="17">
        <v>19</v>
      </c>
      <c r="I23" s="18"/>
      <c r="J23" s="18"/>
      <c r="K23" s="18"/>
      <c r="L23" s="19"/>
    </row>
    <row r="24" spans="2:12">
      <c r="B24" s="17">
        <v>20</v>
      </c>
      <c r="C24" s="18"/>
      <c r="D24" s="18"/>
      <c r="E24" s="18"/>
      <c r="F24" s="19"/>
      <c r="H24" s="17">
        <v>20</v>
      </c>
      <c r="I24" s="18"/>
      <c r="J24" s="18"/>
      <c r="K24" s="18"/>
      <c r="L24" s="19"/>
    </row>
    <row r="25" spans="2:12">
      <c r="B25" s="17">
        <v>21</v>
      </c>
      <c r="C25" s="18"/>
      <c r="D25" s="18"/>
      <c r="E25" s="18"/>
      <c r="F25" s="19"/>
      <c r="H25" s="17">
        <v>21</v>
      </c>
      <c r="I25" s="18"/>
      <c r="J25" s="18"/>
      <c r="K25" s="18"/>
      <c r="L25" s="19"/>
    </row>
    <row r="26" spans="2:12">
      <c r="B26" s="17">
        <v>22</v>
      </c>
      <c r="C26" s="18"/>
      <c r="D26" s="18"/>
      <c r="E26" s="18"/>
      <c r="F26" s="19"/>
      <c r="H26" s="17">
        <v>22</v>
      </c>
      <c r="I26" s="18"/>
      <c r="J26" s="18"/>
      <c r="K26" s="18"/>
      <c r="L26" s="19"/>
    </row>
    <row r="27" spans="2:12">
      <c r="B27" s="17">
        <v>23</v>
      </c>
      <c r="C27" s="18"/>
      <c r="D27" s="18"/>
      <c r="E27" s="18"/>
      <c r="F27" s="19"/>
      <c r="H27" s="17">
        <v>23</v>
      </c>
      <c r="I27" s="18"/>
      <c r="J27" s="18"/>
      <c r="K27" s="18"/>
      <c r="L27" s="19"/>
    </row>
    <row r="28" spans="2:12">
      <c r="B28" s="17">
        <v>24</v>
      </c>
      <c r="C28" s="18"/>
      <c r="D28" s="18"/>
      <c r="E28" s="18"/>
      <c r="F28" s="19"/>
      <c r="H28" s="17">
        <v>24</v>
      </c>
      <c r="I28" s="18"/>
      <c r="J28" s="18"/>
      <c r="K28" s="18"/>
      <c r="L28" s="19"/>
    </row>
    <row r="29" spans="2:12">
      <c r="B29" s="17">
        <v>25</v>
      </c>
      <c r="C29" s="18"/>
      <c r="D29" s="18"/>
      <c r="E29" s="18"/>
      <c r="F29" s="19"/>
      <c r="H29" s="17">
        <v>25</v>
      </c>
      <c r="I29" s="18"/>
      <c r="J29" s="18"/>
      <c r="K29" s="18"/>
      <c r="L29" s="19"/>
    </row>
    <row r="30" spans="2:12">
      <c r="B30" s="17">
        <v>26</v>
      </c>
      <c r="C30" s="18"/>
      <c r="D30" s="18"/>
      <c r="E30" s="18"/>
      <c r="F30" s="19"/>
      <c r="H30" s="17">
        <v>26</v>
      </c>
      <c r="I30" s="18"/>
      <c r="J30" s="18"/>
      <c r="K30" s="18"/>
      <c r="L30" s="19"/>
    </row>
    <row r="31" spans="2:12">
      <c r="B31" s="17">
        <v>27</v>
      </c>
      <c r="C31" s="18"/>
      <c r="D31" s="18"/>
      <c r="E31" s="18"/>
      <c r="F31" s="19"/>
      <c r="H31" s="17">
        <v>27</v>
      </c>
      <c r="I31" s="18"/>
      <c r="J31" s="18"/>
      <c r="K31" s="18"/>
      <c r="L31" s="19"/>
    </row>
    <row r="32" spans="2:12">
      <c r="B32" s="20" t="s">
        <v>38</v>
      </c>
      <c r="C32" s="21">
        <f>SUM(C5:C31)</f>
        <v>1850</v>
      </c>
      <c r="D32" s="21"/>
      <c r="E32" s="21"/>
      <c r="F32" s="22"/>
      <c r="H32" s="20" t="s">
        <v>38</v>
      </c>
      <c r="I32" s="21">
        <f>SUM(I5:I31)</f>
        <v>500</v>
      </c>
      <c r="J32" s="21"/>
      <c r="K32" s="21"/>
      <c r="L32" s="22"/>
    </row>
  </sheetData>
  <mergeCells count="10">
    <mergeCell ref="A1:L1"/>
    <mergeCell ref="B2:F2"/>
    <mergeCell ref="H2:I2"/>
    <mergeCell ref="J2:L2"/>
    <mergeCell ref="B3:F3"/>
    <mergeCell ref="H3:L3"/>
    <mergeCell ref="A5:A7"/>
    <mergeCell ref="A9:A11"/>
    <mergeCell ref="A13:A15"/>
    <mergeCell ref="G2:G32"/>
  </mergeCells>
  <conditionalFormatting sqref="C5:C3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{898512e2-a5e3-46a5-9d4e-14435cd65948}</x14:id>
        </ext>
      </extLst>
    </cfRule>
  </conditionalFormatting>
  <conditionalFormatting sqref="I5:I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{f4f5002f-1836-4154-9a8e-dc9bcbf15790}</x14:id>
        </ext>
      </extLst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8512e2-a5e3-46a5-9d4e-14435cd6594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C5:C31</xm:sqref>
        </x14:conditionalFormatting>
        <x14:conditionalFormatting xmlns:xm="http://schemas.microsoft.com/office/excel/2006/main">
          <x14:cfRule type="dataBar" id="{f4f5002f-1836-4154-9a8e-dc9bcbf1579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I5:I31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showGridLines="0" workbookViewId="0">
      <selection activeCell="P16" sqref="P16"/>
    </sheetView>
  </sheetViews>
  <sheetFormatPr defaultColWidth="9" defaultRowHeight="16.5"/>
  <cols>
    <col min="1" max="1" width="15.125" style="1" customWidth="1"/>
    <col min="2" max="2" width="6.5" style="1" customWidth="1"/>
    <col min="3" max="4" width="10.25" style="1" customWidth="1"/>
    <col min="5" max="6" width="9" style="1"/>
    <col min="7" max="7" width="2.75" style="2" customWidth="1"/>
    <col min="8" max="8" width="6.5" style="1" customWidth="1"/>
    <col min="9" max="10" width="10.25" style="1" customWidth="1"/>
    <col min="11" max="18" width="9" style="1"/>
    <col min="19" max="19" width="12" style="1" customWidth="1"/>
    <col min="20" max="16384" width="9" style="1"/>
  </cols>
  <sheetData>
    <row r="1" ht="42" customHeight="1" spans="1:1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.75" customHeight="1" spans="1:19">
      <c r="A2" s="4" t="s">
        <v>22</v>
      </c>
      <c r="B2" s="4" t="s">
        <v>23</v>
      </c>
      <c r="C2" s="4"/>
      <c r="D2" s="4"/>
      <c r="E2" s="4"/>
      <c r="F2" s="4"/>
      <c r="G2" s="5"/>
      <c r="H2" s="6" t="s">
        <v>24</v>
      </c>
      <c r="I2" s="6"/>
      <c r="J2" s="6"/>
      <c r="K2" s="6"/>
      <c r="L2" s="6"/>
      <c r="R2" s="18" t="s">
        <v>25</v>
      </c>
      <c r="S2" s="18">
        <f>A5</f>
        <v>500</v>
      </c>
    </row>
    <row r="3" ht="27" customHeight="1" spans="1:19">
      <c r="A3" s="7" t="s">
        <v>26</v>
      </c>
      <c r="B3" s="8" t="s">
        <v>27</v>
      </c>
      <c r="C3" s="9"/>
      <c r="D3" s="9"/>
      <c r="E3" s="9"/>
      <c r="F3" s="10"/>
      <c r="H3" s="11" t="s">
        <v>28</v>
      </c>
      <c r="I3" s="23"/>
      <c r="J3" s="23"/>
      <c r="K3" s="23"/>
      <c r="L3" s="24"/>
      <c r="R3" s="18" t="s">
        <v>29</v>
      </c>
      <c r="S3" s="18">
        <f>A9</f>
        <v>1850</v>
      </c>
    </row>
    <row r="4" ht="18.75" spans="1:19">
      <c r="A4" s="12" t="s">
        <v>25</v>
      </c>
      <c r="B4" s="13" t="s">
        <v>30</v>
      </c>
      <c r="C4" s="14" t="s">
        <v>31</v>
      </c>
      <c r="D4" s="14" t="s">
        <v>32</v>
      </c>
      <c r="E4" s="14" t="s">
        <v>33</v>
      </c>
      <c r="F4" s="15" t="s">
        <v>34</v>
      </c>
      <c r="H4" s="13" t="s">
        <v>30</v>
      </c>
      <c r="I4" s="14" t="s">
        <v>35</v>
      </c>
      <c r="J4" s="14" t="s">
        <v>36</v>
      </c>
      <c r="K4" s="14" t="s">
        <v>33</v>
      </c>
      <c r="L4" s="15" t="s">
        <v>34</v>
      </c>
      <c r="R4" s="18" t="s">
        <v>37</v>
      </c>
      <c r="S4" s="18">
        <f>A13</f>
        <v>-1350</v>
      </c>
    </row>
    <row r="5" spans="1:12">
      <c r="A5" s="16">
        <f>I32</f>
        <v>500</v>
      </c>
      <c r="B5" s="17">
        <v>1</v>
      </c>
      <c r="C5" s="18">
        <v>100</v>
      </c>
      <c r="D5" s="18"/>
      <c r="E5" s="18"/>
      <c r="F5" s="19"/>
      <c r="H5" s="17">
        <v>1</v>
      </c>
      <c r="I5" s="18">
        <v>50</v>
      </c>
      <c r="J5" s="18"/>
      <c r="K5" s="18"/>
      <c r="L5" s="19"/>
    </row>
    <row r="6" spans="1:12">
      <c r="A6" s="16"/>
      <c r="B6" s="17">
        <v>2</v>
      </c>
      <c r="C6" s="18">
        <v>200</v>
      </c>
      <c r="D6" s="18"/>
      <c r="E6" s="18"/>
      <c r="F6" s="19"/>
      <c r="H6" s="17">
        <v>2</v>
      </c>
      <c r="I6" s="18">
        <v>20</v>
      </c>
      <c r="J6" s="18"/>
      <c r="K6" s="18"/>
      <c r="L6" s="19"/>
    </row>
    <row r="7" spans="1:12">
      <c r="A7" s="16"/>
      <c r="B7" s="17">
        <v>3</v>
      </c>
      <c r="C7" s="18">
        <v>300</v>
      </c>
      <c r="D7" s="18"/>
      <c r="E7" s="18"/>
      <c r="F7" s="19"/>
      <c r="H7" s="17">
        <v>3</v>
      </c>
      <c r="I7" s="18">
        <v>30</v>
      </c>
      <c r="J7" s="18"/>
      <c r="K7" s="18"/>
      <c r="L7" s="19"/>
    </row>
    <row r="8" ht="18.75" spans="1:12">
      <c r="A8" s="12" t="s">
        <v>29</v>
      </c>
      <c r="B8" s="17">
        <v>4</v>
      </c>
      <c r="C8" s="18">
        <v>100</v>
      </c>
      <c r="D8" s="18"/>
      <c r="E8" s="18"/>
      <c r="F8" s="19"/>
      <c r="H8" s="17">
        <v>4</v>
      </c>
      <c r="I8" s="18">
        <v>400</v>
      </c>
      <c r="J8" s="18"/>
      <c r="K8" s="18"/>
      <c r="L8" s="19"/>
    </row>
    <row r="9" spans="1:12">
      <c r="A9" s="16">
        <f>C32</f>
        <v>1850</v>
      </c>
      <c r="B9" s="17">
        <v>5</v>
      </c>
      <c r="C9" s="18">
        <v>100</v>
      </c>
      <c r="D9" s="18"/>
      <c r="E9" s="18"/>
      <c r="F9" s="19"/>
      <c r="H9" s="17">
        <v>5</v>
      </c>
      <c r="I9" s="18"/>
      <c r="J9" s="18"/>
      <c r="K9" s="18"/>
      <c r="L9" s="19"/>
    </row>
    <row r="10" spans="1:12">
      <c r="A10" s="16"/>
      <c r="B10" s="17">
        <v>6</v>
      </c>
      <c r="C10" s="18">
        <v>300</v>
      </c>
      <c r="D10" s="18"/>
      <c r="E10" s="18"/>
      <c r="F10" s="19"/>
      <c r="H10" s="17">
        <v>6</v>
      </c>
      <c r="I10" s="18"/>
      <c r="J10" s="18"/>
      <c r="K10" s="18"/>
      <c r="L10" s="19"/>
    </row>
    <row r="11" spans="1:12">
      <c r="A11" s="16"/>
      <c r="B11" s="17">
        <v>7</v>
      </c>
      <c r="C11" s="18">
        <v>250</v>
      </c>
      <c r="D11" s="18"/>
      <c r="E11" s="18"/>
      <c r="F11" s="19"/>
      <c r="H11" s="17">
        <v>7</v>
      </c>
      <c r="I11" s="18"/>
      <c r="J11" s="18"/>
      <c r="K11" s="18"/>
      <c r="L11" s="19"/>
    </row>
    <row r="12" ht="18.75" spans="1:12">
      <c r="A12" s="12" t="s">
        <v>37</v>
      </c>
      <c r="B12" s="17">
        <v>8</v>
      </c>
      <c r="C12" s="18">
        <v>500</v>
      </c>
      <c r="D12" s="18"/>
      <c r="E12" s="18"/>
      <c r="F12" s="19"/>
      <c r="H12" s="17">
        <v>8</v>
      </c>
      <c r="I12" s="18"/>
      <c r="J12" s="18"/>
      <c r="K12" s="18"/>
      <c r="L12" s="19"/>
    </row>
    <row r="13" spans="1:12">
      <c r="A13" s="16">
        <f>A5-A9</f>
        <v>-1350</v>
      </c>
      <c r="B13" s="17">
        <v>9</v>
      </c>
      <c r="C13" s="18"/>
      <c r="D13" s="18"/>
      <c r="E13" s="18"/>
      <c r="F13" s="19"/>
      <c r="H13" s="17">
        <v>9</v>
      </c>
      <c r="I13" s="18"/>
      <c r="J13" s="18"/>
      <c r="K13" s="18"/>
      <c r="L13" s="19"/>
    </row>
    <row r="14" spans="1:12">
      <c r="A14" s="16"/>
      <c r="B14" s="17">
        <v>10</v>
      </c>
      <c r="C14" s="18"/>
      <c r="D14" s="18"/>
      <c r="E14" s="18"/>
      <c r="F14" s="19"/>
      <c r="H14" s="17">
        <v>10</v>
      </c>
      <c r="I14" s="18"/>
      <c r="J14" s="18"/>
      <c r="K14" s="18"/>
      <c r="L14" s="19"/>
    </row>
    <row r="15" spans="1:12">
      <c r="A15" s="16"/>
      <c r="B15" s="17">
        <v>11</v>
      </c>
      <c r="C15" s="18"/>
      <c r="D15" s="18"/>
      <c r="E15" s="18"/>
      <c r="F15" s="19"/>
      <c r="H15" s="17">
        <v>11</v>
      </c>
      <c r="I15" s="18"/>
      <c r="J15" s="18"/>
      <c r="K15" s="18"/>
      <c r="L15" s="19"/>
    </row>
    <row r="16" spans="2:12">
      <c r="B16" s="17">
        <v>12</v>
      </c>
      <c r="C16" s="18"/>
      <c r="D16" s="18"/>
      <c r="E16" s="18"/>
      <c r="F16" s="19"/>
      <c r="H16" s="17">
        <v>12</v>
      </c>
      <c r="I16" s="18"/>
      <c r="J16" s="18"/>
      <c r="K16" s="18"/>
      <c r="L16" s="19"/>
    </row>
    <row r="17" spans="2:12">
      <c r="B17" s="17">
        <v>13</v>
      </c>
      <c r="C17" s="18"/>
      <c r="D17" s="18"/>
      <c r="E17" s="18"/>
      <c r="F17" s="19"/>
      <c r="H17" s="17">
        <v>13</v>
      </c>
      <c r="I17" s="18"/>
      <c r="J17" s="18"/>
      <c r="K17" s="18"/>
      <c r="L17" s="19"/>
    </row>
    <row r="18" spans="2:12">
      <c r="B18" s="17">
        <v>14</v>
      </c>
      <c r="C18" s="18"/>
      <c r="D18" s="18"/>
      <c r="E18" s="18"/>
      <c r="F18" s="19"/>
      <c r="H18" s="17">
        <v>14</v>
      </c>
      <c r="I18" s="18"/>
      <c r="J18" s="18"/>
      <c r="K18" s="18"/>
      <c r="L18" s="19"/>
    </row>
    <row r="19" spans="2:12">
      <c r="B19" s="17">
        <v>15</v>
      </c>
      <c r="C19" s="18"/>
      <c r="D19" s="18"/>
      <c r="E19" s="18"/>
      <c r="F19" s="19"/>
      <c r="H19" s="17">
        <v>15</v>
      </c>
      <c r="I19" s="18"/>
      <c r="J19" s="18"/>
      <c r="K19" s="18"/>
      <c r="L19" s="19"/>
    </row>
    <row r="20" spans="2:12">
      <c r="B20" s="17">
        <v>16</v>
      </c>
      <c r="C20" s="18"/>
      <c r="D20" s="18"/>
      <c r="E20" s="18"/>
      <c r="F20" s="19"/>
      <c r="H20" s="17">
        <v>16</v>
      </c>
      <c r="I20" s="18"/>
      <c r="J20" s="18"/>
      <c r="K20" s="18"/>
      <c r="L20" s="19"/>
    </row>
    <row r="21" spans="2:12">
      <c r="B21" s="17">
        <v>17</v>
      </c>
      <c r="C21" s="18"/>
      <c r="D21" s="18"/>
      <c r="E21" s="18"/>
      <c r="F21" s="19"/>
      <c r="H21" s="17">
        <v>17</v>
      </c>
      <c r="I21" s="18"/>
      <c r="J21" s="18"/>
      <c r="K21" s="18"/>
      <c r="L21" s="19"/>
    </row>
    <row r="22" spans="2:12">
      <c r="B22" s="17">
        <v>18</v>
      </c>
      <c r="C22" s="18"/>
      <c r="D22" s="18"/>
      <c r="E22" s="18"/>
      <c r="F22" s="19"/>
      <c r="H22" s="17">
        <v>18</v>
      </c>
      <c r="I22" s="18"/>
      <c r="J22" s="18"/>
      <c r="K22" s="18"/>
      <c r="L22" s="19"/>
    </row>
    <row r="23" spans="2:12">
      <c r="B23" s="17">
        <v>19</v>
      </c>
      <c r="C23" s="18"/>
      <c r="D23" s="18"/>
      <c r="E23" s="18"/>
      <c r="F23" s="19"/>
      <c r="H23" s="17">
        <v>19</v>
      </c>
      <c r="I23" s="18"/>
      <c r="J23" s="18"/>
      <c r="K23" s="18"/>
      <c r="L23" s="19"/>
    </row>
    <row r="24" spans="2:12">
      <c r="B24" s="17">
        <v>20</v>
      </c>
      <c r="C24" s="18"/>
      <c r="D24" s="18"/>
      <c r="E24" s="18"/>
      <c r="F24" s="19"/>
      <c r="H24" s="17">
        <v>20</v>
      </c>
      <c r="I24" s="18"/>
      <c r="J24" s="18"/>
      <c r="K24" s="18"/>
      <c r="L24" s="19"/>
    </row>
    <row r="25" spans="2:12">
      <c r="B25" s="17">
        <v>21</v>
      </c>
      <c r="C25" s="18"/>
      <c r="D25" s="18"/>
      <c r="E25" s="18"/>
      <c r="F25" s="19"/>
      <c r="H25" s="17">
        <v>21</v>
      </c>
      <c r="I25" s="18"/>
      <c r="J25" s="18"/>
      <c r="K25" s="18"/>
      <c r="L25" s="19"/>
    </row>
    <row r="26" spans="2:12">
      <c r="B26" s="17">
        <v>22</v>
      </c>
      <c r="C26" s="18"/>
      <c r="D26" s="18"/>
      <c r="E26" s="18"/>
      <c r="F26" s="19"/>
      <c r="H26" s="17">
        <v>22</v>
      </c>
      <c r="I26" s="18"/>
      <c r="J26" s="18"/>
      <c r="K26" s="18"/>
      <c r="L26" s="19"/>
    </row>
    <row r="27" spans="2:12">
      <c r="B27" s="17">
        <v>23</v>
      </c>
      <c r="C27" s="18"/>
      <c r="D27" s="18"/>
      <c r="E27" s="18"/>
      <c r="F27" s="19"/>
      <c r="H27" s="17">
        <v>23</v>
      </c>
      <c r="I27" s="18"/>
      <c r="J27" s="18"/>
      <c r="K27" s="18"/>
      <c r="L27" s="19"/>
    </row>
    <row r="28" spans="2:12">
      <c r="B28" s="17">
        <v>24</v>
      </c>
      <c r="C28" s="18"/>
      <c r="D28" s="18"/>
      <c r="E28" s="18"/>
      <c r="F28" s="19"/>
      <c r="H28" s="17">
        <v>24</v>
      </c>
      <c r="I28" s="18"/>
      <c r="J28" s="18"/>
      <c r="K28" s="18"/>
      <c r="L28" s="19"/>
    </row>
    <row r="29" spans="2:12">
      <c r="B29" s="17">
        <v>25</v>
      </c>
      <c r="C29" s="18"/>
      <c r="D29" s="18"/>
      <c r="E29" s="18"/>
      <c r="F29" s="19"/>
      <c r="H29" s="17">
        <v>25</v>
      </c>
      <c r="I29" s="18"/>
      <c r="J29" s="18"/>
      <c r="K29" s="18"/>
      <c r="L29" s="19"/>
    </row>
    <row r="30" spans="2:12">
      <c r="B30" s="17">
        <v>26</v>
      </c>
      <c r="C30" s="18"/>
      <c r="D30" s="18"/>
      <c r="E30" s="18"/>
      <c r="F30" s="19"/>
      <c r="H30" s="17">
        <v>26</v>
      </c>
      <c r="I30" s="18"/>
      <c r="J30" s="18"/>
      <c r="K30" s="18"/>
      <c r="L30" s="19"/>
    </row>
    <row r="31" spans="2:12">
      <c r="B31" s="17">
        <v>27</v>
      </c>
      <c r="C31" s="18"/>
      <c r="D31" s="18"/>
      <c r="E31" s="18"/>
      <c r="F31" s="19"/>
      <c r="H31" s="17">
        <v>27</v>
      </c>
      <c r="I31" s="18"/>
      <c r="J31" s="18"/>
      <c r="K31" s="18"/>
      <c r="L31" s="19"/>
    </row>
    <row r="32" spans="2:12">
      <c r="B32" s="20" t="s">
        <v>38</v>
      </c>
      <c r="C32" s="21">
        <f>SUM(C5:C31)</f>
        <v>1850</v>
      </c>
      <c r="D32" s="21"/>
      <c r="E32" s="21"/>
      <c r="F32" s="22"/>
      <c r="H32" s="20" t="s">
        <v>38</v>
      </c>
      <c r="I32" s="21">
        <f>SUM(I5:I31)</f>
        <v>500</v>
      </c>
      <c r="J32" s="21"/>
      <c r="K32" s="21"/>
      <c r="L32" s="22"/>
    </row>
  </sheetData>
  <mergeCells count="10">
    <mergeCell ref="A1:L1"/>
    <mergeCell ref="B2:F2"/>
    <mergeCell ref="H2:I2"/>
    <mergeCell ref="J2:L2"/>
    <mergeCell ref="B3:F3"/>
    <mergeCell ref="H3:L3"/>
    <mergeCell ref="A5:A7"/>
    <mergeCell ref="A9:A11"/>
    <mergeCell ref="A13:A15"/>
    <mergeCell ref="G2:G32"/>
  </mergeCells>
  <conditionalFormatting sqref="C5:C3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{cfa517a5-53be-42cb-9ac1-e7d81e3353c1}</x14:id>
        </ext>
      </extLst>
    </cfRule>
  </conditionalFormatting>
  <conditionalFormatting sqref="I5:I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{3bf1e595-668c-4b6b-a365-eef7fb29cb18}</x14:id>
        </ext>
      </extLst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a517a5-53be-42cb-9ac1-e7d81e3353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C5:C31</xm:sqref>
        </x14:conditionalFormatting>
        <x14:conditionalFormatting xmlns:xm="http://schemas.microsoft.com/office/excel/2006/main">
          <x14:cfRule type="dataBar" id="{3bf1e595-668c-4b6b-a365-eef7fb29cb1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I5:I31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showGridLines="0" workbookViewId="0">
      <selection activeCell="D19" sqref="D19"/>
    </sheetView>
  </sheetViews>
  <sheetFormatPr defaultColWidth="9" defaultRowHeight="16.5"/>
  <cols>
    <col min="1" max="1" width="15.125" style="1" customWidth="1"/>
    <col min="2" max="2" width="6.5" style="1" customWidth="1"/>
    <col min="3" max="4" width="10.25" style="1" customWidth="1"/>
    <col min="5" max="6" width="9" style="1"/>
    <col min="7" max="7" width="2.75" style="2" customWidth="1"/>
    <col min="8" max="8" width="6.5" style="1" customWidth="1"/>
    <col min="9" max="10" width="10.25" style="1" customWidth="1"/>
    <col min="11" max="18" width="9" style="1"/>
    <col min="19" max="19" width="12" style="1" customWidth="1"/>
    <col min="20" max="16384" width="9" style="1"/>
  </cols>
  <sheetData>
    <row r="1" ht="42" customHeight="1" spans="1:1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8.75" customHeight="1" spans="1:19">
      <c r="A2" s="4" t="s">
        <v>22</v>
      </c>
      <c r="B2" s="4" t="s">
        <v>23</v>
      </c>
      <c r="C2" s="4"/>
      <c r="D2" s="4"/>
      <c r="E2" s="4"/>
      <c r="F2" s="4"/>
      <c r="G2" s="5"/>
      <c r="H2" s="6" t="s">
        <v>24</v>
      </c>
      <c r="I2" s="6"/>
      <c r="J2" s="6"/>
      <c r="K2" s="6"/>
      <c r="L2" s="6"/>
      <c r="R2" s="18" t="s">
        <v>25</v>
      </c>
      <c r="S2" s="18">
        <f>A5</f>
        <v>500</v>
      </c>
    </row>
    <row r="3" ht="27" customHeight="1" spans="1:19">
      <c r="A3" s="7" t="s">
        <v>26</v>
      </c>
      <c r="B3" s="8" t="s">
        <v>27</v>
      </c>
      <c r="C3" s="9"/>
      <c r="D3" s="9"/>
      <c r="E3" s="9"/>
      <c r="F3" s="10"/>
      <c r="H3" s="11" t="s">
        <v>28</v>
      </c>
      <c r="I3" s="23"/>
      <c r="J3" s="23"/>
      <c r="K3" s="23"/>
      <c r="L3" s="24"/>
      <c r="R3" s="18" t="s">
        <v>29</v>
      </c>
      <c r="S3" s="18">
        <f>A9</f>
        <v>1850</v>
      </c>
    </row>
    <row r="4" ht="18.75" spans="1:19">
      <c r="A4" s="12" t="s">
        <v>25</v>
      </c>
      <c r="B4" s="13" t="s">
        <v>30</v>
      </c>
      <c r="C4" s="14" t="s">
        <v>31</v>
      </c>
      <c r="D4" s="14" t="s">
        <v>32</v>
      </c>
      <c r="E4" s="14" t="s">
        <v>33</v>
      </c>
      <c r="F4" s="15" t="s">
        <v>34</v>
      </c>
      <c r="H4" s="13" t="s">
        <v>30</v>
      </c>
      <c r="I4" s="14" t="s">
        <v>35</v>
      </c>
      <c r="J4" s="14" t="s">
        <v>36</v>
      </c>
      <c r="K4" s="14" t="s">
        <v>33</v>
      </c>
      <c r="L4" s="15" t="s">
        <v>34</v>
      </c>
      <c r="R4" s="18" t="s">
        <v>37</v>
      </c>
      <c r="S4" s="18">
        <f>A13</f>
        <v>-1350</v>
      </c>
    </row>
    <row r="5" spans="1:12">
      <c r="A5" s="16">
        <f>I32</f>
        <v>500</v>
      </c>
      <c r="B5" s="17">
        <v>1</v>
      </c>
      <c r="C5" s="18">
        <v>100</v>
      </c>
      <c r="D5" s="18"/>
      <c r="E5" s="18"/>
      <c r="F5" s="19"/>
      <c r="H5" s="17">
        <v>1</v>
      </c>
      <c r="I5" s="18">
        <v>50</v>
      </c>
      <c r="J5" s="18"/>
      <c r="K5" s="18"/>
      <c r="L5" s="19"/>
    </row>
    <row r="6" spans="1:12">
      <c r="A6" s="16"/>
      <c r="B6" s="17">
        <v>2</v>
      </c>
      <c r="C6" s="18">
        <v>200</v>
      </c>
      <c r="D6" s="18"/>
      <c r="E6" s="18"/>
      <c r="F6" s="19"/>
      <c r="H6" s="17">
        <v>2</v>
      </c>
      <c r="I6" s="18">
        <v>20</v>
      </c>
      <c r="J6" s="18"/>
      <c r="K6" s="18"/>
      <c r="L6" s="19"/>
    </row>
    <row r="7" spans="1:12">
      <c r="A7" s="16"/>
      <c r="B7" s="17">
        <v>3</v>
      </c>
      <c r="C7" s="18">
        <v>300</v>
      </c>
      <c r="D7" s="18"/>
      <c r="E7" s="18"/>
      <c r="F7" s="19"/>
      <c r="H7" s="17">
        <v>3</v>
      </c>
      <c r="I7" s="18">
        <v>30</v>
      </c>
      <c r="J7" s="18"/>
      <c r="K7" s="18"/>
      <c r="L7" s="19"/>
    </row>
    <row r="8" ht="18.75" spans="1:12">
      <c r="A8" s="12" t="s">
        <v>29</v>
      </c>
      <c r="B8" s="17">
        <v>4</v>
      </c>
      <c r="C8" s="18">
        <v>100</v>
      </c>
      <c r="D8" s="18"/>
      <c r="E8" s="18"/>
      <c r="F8" s="19"/>
      <c r="H8" s="17">
        <v>4</v>
      </c>
      <c r="I8" s="18">
        <v>400</v>
      </c>
      <c r="J8" s="18"/>
      <c r="K8" s="18"/>
      <c r="L8" s="19"/>
    </row>
    <row r="9" spans="1:12">
      <c r="A9" s="16">
        <f>C32</f>
        <v>1850</v>
      </c>
      <c r="B9" s="17">
        <v>5</v>
      </c>
      <c r="C9" s="18">
        <v>100</v>
      </c>
      <c r="D9" s="18"/>
      <c r="E9" s="18"/>
      <c r="F9" s="19"/>
      <c r="H9" s="17">
        <v>5</v>
      </c>
      <c r="I9" s="18"/>
      <c r="J9" s="18"/>
      <c r="K9" s="18"/>
      <c r="L9" s="19"/>
    </row>
    <row r="10" spans="1:12">
      <c r="A10" s="16"/>
      <c r="B10" s="17">
        <v>6</v>
      </c>
      <c r="C10" s="18">
        <v>300</v>
      </c>
      <c r="D10" s="18"/>
      <c r="E10" s="18"/>
      <c r="F10" s="19"/>
      <c r="H10" s="17">
        <v>6</v>
      </c>
      <c r="I10" s="18"/>
      <c r="J10" s="18"/>
      <c r="K10" s="18"/>
      <c r="L10" s="19"/>
    </row>
    <row r="11" spans="1:12">
      <c r="A11" s="16"/>
      <c r="B11" s="17">
        <v>7</v>
      </c>
      <c r="C11" s="18">
        <v>250</v>
      </c>
      <c r="D11" s="18"/>
      <c r="E11" s="18"/>
      <c r="F11" s="19"/>
      <c r="H11" s="17">
        <v>7</v>
      </c>
      <c r="I11" s="18"/>
      <c r="J11" s="18"/>
      <c r="K11" s="18"/>
      <c r="L11" s="19"/>
    </row>
    <row r="12" ht="18.75" spans="1:12">
      <c r="A12" s="12" t="s">
        <v>37</v>
      </c>
      <c r="B12" s="17">
        <v>8</v>
      </c>
      <c r="C12" s="18">
        <v>500</v>
      </c>
      <c r="D12" s="18"/>
      <c r="E12" s="18"/>
      <c r="F12" s="19"/>
      <c r="H12" s="17">
        <v>8</v>
      </c>
      <c r="I12" s="18"/>
      <c r="J12" s="18"/>
      <c r="K12" s="18"/>
      <c r="L12" s="19"/>
    </row>
    <row r="13" spans="1:12">
      <c r="A13" s="16">
        <f>A5-A9</f>
        <v>-1350</v>
      </c>
      <c r="B13" s="17">
        <v>9</v>
      </c>
      <c r="C13" s="18"/>
      <c r="D13" s="18"/>
      <c r="E13" s="18"/>
      <c r="F13" s="19"/>
      <c r="H13" s="17">
        <v>9</v>
      </c>
      <c r="I13" s="18"/>
      <c r="J13" s="18"/>
      <c r="K13" s="18"/>
      <c r="L13" s="19"/>
    </row>
    <row r="14" spans="1:12">
      <c r="A14" s="16"/>
      <c r="B14" s="17">
        <v>10</v>
      </c>
      <c r="C14" s="18"/>
      <c r="D14" s="18"/>
      <c r="E14" s="18"/>
      <c r="F14" s="19"/>
      <c r="H14" s="17">
        <v>10</v>
      </c>
      <c r="I14" s="18"/>
      <c r="J14" s="18"/>
      <c r="K14" s="18"/>
      <c r="L14" s="19"/>
    </row>
    <row r="15" spans="1:12">
      <c r="A15" s="16"/>
      <c r="B15" s="17">
        <v>11</v>
      </c>
      <c r="C15" s="18"/>
      <c r="D15" s="18"/>
      <c r="E15" s="18"/>
      <c r="F15" s="19"/>
      <c r="H15" s="17">
        <v>11</v>
      </c>
      <c r="I15" s="18"/>
      <c r="J15" s="18"/>
      <c r="K15" s="18"/>
      <c r="L15" s="19"/>
    </row>
    <row r="16" spans="2:12">
      <c r="B16" s="17">
        <v>12</v>
      </c>
      <c r="C16" s="18"/>
      <c r="D16" s="18"/>
      <c r="E16" s="18"/>
      <c r="F16" s="19"/>
      <c r="H16" s="17">
        <v>12</v>
      </c>
      <c r="I16" s="18"/>
      <c r="J16" s="18"/>
      <c r="K16" s="18"/>
      <c r="L16" s="19"/>
    </row>
    <row r="17" spans="2:12">
      <c r="B17" s="17">
        <v>13</v>
      </c>
      <c r="C17" s="18"/>
      <c r="D17" s="18"/>
      <c r="E17" s="18"/>
      <c r="F17" s="19"/>
      <c r="H17" s="17">
        <v>13</v>
      </c>
      <c r="I17" s="18"/>
      <c r="J17" s="18"/>
      <c r="K17" s="18"/>
      <c r="L17" s="19"/>
    </row>
    <row r="18" spans="2:12">
      <c r="B18" s="17">
        <v>14</v>
      </c>
      <c r="C18" s="18"/>
      <c r="D18" s="18"/>
      <c r="E18" s="18"/>
      <c r="F18" s="19"/>
      <c r="H18" s="17">
        <v>14</v>
      </c>
      <c r="I18" s="18"/>
      <c r="J18" s="18"/>
      <c r="K18" s="18"/>
      <c r="L18" s="19"/>
    </row>
    <row r="19" spans="2:12">
      <c r="B19" s="17">
        <v>15</v>
      </c>
      <c r="C19" s="18"/>
      <c r="D19" s="18"/>
      <c r="E19" s="18"/>
      <c r="F19" s="19"/>
      <c r="H19" s="17">
        <v>15</v>
      </c>
      <c r="I19" s="18"/>
      <c r="J19" s="18"/>
      <c r="K19" s="18"/>
      <c r="L19" s="19"/>
    </row>
    <row r="20" spans="2:12">
      <c r="B20" s="17">
        <v>16</v>
      </c>
      <c r="C20" s="18"/>
      <c r="D20" s="18"/>
      <c r="E20" s="18"/>
      <c r="F20" s="19"/>
      <c r="H20" s="17">
        <v>16</v>
      </c>
      <c r="I20" s="18"/>
      <c r="J20" s="18"/>
      <c r="K20" s="18"/>
      <c r="L20" s="19"/>
    </row>
    <row r="21" spans="2:12">
      <c r="B21" s="17">
        <v>17</v>
      </c>
      <c r="C21" s="18"/>
      <c r="D21" s="18"/>
      <c r="E21" s="18"/>
      <c r="F21" s="19"/>
      <c r="H21" s="17">
        <v>17</v>
      </c>
      <c r="I21" s="18"/>
      <c r="J21" s="18"/>
      <c r="K21" s="18"/>
      <c r="L21" s="19"/>
    </row>
    <row r="22" spans="2:12">
      <c r="B22" s="17">
        <v>18</v>
      </c>
      <c r="C22" s="18"/>
      <c r="D22" s="18"/>
      <c r="E22" s="18"/>
      <c r="F22" s="19"/>
      <c r="H22" s="17">
        <v>18</v>
      </c>
      <c r="I22" s="18"/>
      <c r="J22" s="18"/>
      <c r="K22" s="18"/>
      <c r="L22" s="19"/>
    </row>
    <row r="23" spans="2:12">
      <c r="B23" s="17">
        <v>19</v>
      </c>
      <c r="C23" s="18"/>
      <c r="D23" s="18"/>
      <c r="E23" s="18"/>
      <c r="F23" s="19"/>
      <c r="H23" s="17">
        <v>19</v>
      </c>
      <c r="I23" s="18"/>
      <c r="J23" s="18"/>
      <c r="K23" s="18"/>
      <c r="L23" s="19"/>
    </row>
    <row r="24" spans="2:12">
      <c r="B24" s="17">
        <v>20</v>
      </c>
      <c r="C24" s="18"/>
      <c r="D24" s="18"/>
      <c r="E24" s="18"/>
      <c r="F24" s="19"/>
      <c r="H24" s="17">
        <v>20</v>
      </c>
      <c r="I24" s="18"/>
      <c r="J24" s="18"/>
      <c r="K24" s="18"/>
      <c r="L24" s="19"/>
    </row>
    <row r="25" spans="2:12">
      <c r="B25" s="17">
        <v>21</v>
      </c>
      <c r="C25" s="18"/>
      <c r="D25" s="18"/>
      <c r="E25" s="18"/>
      <c r="F25" s="19"/>
      <c r="H25" s="17">
        <v>21</v>
      </c>
      <c r="I25" s="18"/>
      <c r="J25" s="18"/>
      <c r="K25" s="18"/>
      <c r="L25" s="19"/>
    </row>
    <row r="26" spans="2:12">
      <c r="B26" s="17">
        <v>22</v>
      </c>
      <c r="C26" s="18"/>
      <c r="D26" s="18"/>
      <c r="E26" s="18"/>
      <c r="F26" s="19"/>
      <c r="H26" s="17">
        <v>22</v>
      </c>
      <c r="I26" s="18"/>
      <c r="J26" s="18"/>
      <c r="K26" s="18"/>
      <c r="L26" s="19"/>
    </row>
    <row r="27" spans="2:12">
      <c r="B27" s="17">
        <v>23</v>
      </c>
      <c r="C27" s="18"/>
      <c r="D27" s="18"/>
      <c r="E27" s="18"/>
      <c r="F27" s="19"/>
      <c r="H27" s="17">
        <v>23</v>
      </c>
      <c r="I27" s="18"/>
      <c r="J27" s="18"/>
      <c r="K27" s="18"/>
      <c r="L27" s="19"/>
    </row>
    <row r="28" spans="2:12">
      <c r="B28" s="17">
        <v>24</v>
      </c>
      <c r="C28" s="18"/>
      <c r="D28" s="18"/>
      <c r="E28" s="18"/>
      <c r="F28" s="19"/>
      <c r="H28" s="17">
        <v>24</v>
      </c>
      <c r="I28" s="18"/>
      <c r="J28" s="18"/>
      <c r="K28" s="18"/>
      <c r="L28" s="19"/>
    </row>
    <row r="29" spans="2:12">
      <c r="B29" s="17">
        <v>25</v>
      </c>
      <c r="C29" s="18"/>
      <c r="D29" s="18"/>
      <c r="E29" s="18"/>
      <c r="F29" s="19"/>
      <c r="H29" s="17">
        <v>25</v>
      </c>
      <c r="I29" s="18"/>
      <c r="J29" s="18"/>
      <c r="K29" s="18"/>
      <c r="L29" s="19"/>
    </row>
    <row r="30" spans="2:12">
      <c r="B30" s="17">
        <v>26</v>
      </c>
      <c r="C30" s="18"/>
      <c r="D30" s="18"/>
      <c r="E30" s="18"/>
      <c r="F30" s="19"/>
      <c r="H30" s="17">
        <v>26</v>
      </c>
      <c r="I30" s="18"/>
      <c r="J30" s="18"/>
      <c r="K30" s="18"/>
      <c r="L30" s="19"/>
    </row>
    <row r="31" spans="2:12">
      <c r="B31" s="17">
        <v>27</v>
      </c>
      <c r="C31" s="18"/>
      <c r="D31" s="18"/>
      <c r="E31" s="18"/>
      <c r="F31" s="19"/>
      <c r="H31" s="17">
        <v>27</v>
      </c>
      <c r="I31" s="18"/>
      <c r="J31" s="18"/>
      <c r="K31" s="18"/>
      <c r="L31" s="19"/>
    </row>
    <row r="32" spans="2:12">
      <c r="B32" s="20" t="s">
        <v>38</v>
      </c>
      <c r="C32" s="21">
        <f>SUM(C5:C31)</f>
        <v>1850</v>
      </c>
      <c r="D32" s="21"/>
      <c r="E32" s="21"/>
      <c r="F32" s="22"/>
      <c r="H32" s="20" t="s">
        <v>38</v>
      </c>
      <c r="I32" s="21">
        <f>SUM(I5:I31)</f>
        <v>500</v>
      </c>
      <c r="J32" s="21"/>
      <c r="K32" s="21"/>
      <c r="L32" s="22"/>
    </row>
  </sheetData>
  <mergeCells count="10">
    <mergeCell ref="A1:L1"/>
    <mergeCell ref="B2:F2"/>
    <mergeCell ref="H2:I2"/>
    <mergeCell ref="J2:L2"/>
    <mergeCell ref="B3:F3"/>
    <mergeCell ref="H3:L3"/>
    <mergeCell ref="A5:A7"/>
    <mergeCell ref="A9:A11"/>
    <mergeCell ref="A13:A15"/>
    <mergeCell ref="G2:G32"/>
  </mergeCells>
  <conditionalFormatting sqref="C5:C3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{311890cb-4944-430d-bf5c-dbd73cfa139d}</x14:id>
        </ext>
      </extLst>
    </cfRule>
  </conditionalFormatting>
  <conditionalFormatting sqref="I5:I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{f2f04370-2f3a-480d-b4e3-e41c21ee50a9}</x14:id>
        </ext>
      </extLst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1890cb-4944-430d-bf5c-dbd73cfa13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C5:C31</xm:sqref>
        </x14:conditionalFormatting>
        <x14:conditionalFormatting xmlns:xm="http://schemas.microsoft.com/office/excel/2006/main">
          <x14:cfRule type="dataBar" id="{f2f04370-2f3a-480d-b4e3-e41c21ee50a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目录</vt:lpstr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benu1986</dc:creator>
  <cp:lastModifiedBy>陈东捷</cp:lastModifiedBy>
  <dcterms:created xsi:type="dcterms:W3CDTF">2019-05-24T06:19:00Z</dcterms:created>
  <dcterms:modified xsi:type="dcterms:W3CDTF">2021-05-13T06:14:36Z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504085B2804544C6B43498160C36AF38</vt:lpwstr>
  </property>
</Properties>
</file>