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dia/image1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<sst xmlns="http://schemas.openxmlformats.org/spreadsheetml/2006/main" count="22" uniqueCount="14">
  <si>
    <t>应收应付账款年度分析报表</t>
  </si>
  <si>
    <t>输入客户名称</t>
  </si>
  <si>
    <t>客户名称</t>
  </si>
  <si>
    <t>应收/付金额</t>
  </si>
  <si>
    <t>已收/付金额</t>
  </si>
  <si>
    <t>待收/付金额</t>
  </si>
  <si>
    <t>已收/付占比</t>
  </si>
  <si>
    <t>C客户</t>
  </si>
  <si>
    <t>A客户</t>
  </si>
  <si>
    <t>B客户</t>
  </si>
  <si>
    <t>未收/付占比</t>
  </si>
  <si>
    <t>D客户</t>
  </si>
  <si>
    <t>F客户</t>
  </si>
  <si>
    <t>R客户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</si>
</sst>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176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Microsoft JhengHei UI"/>
      <charset val="134"/>
    </font>
    <font>
      <sz val="26"/>
      <color theme="0"/>
      <name val="微软雅黑"/>
      <charset val="134"/>
    </font>
    <font>
      <sz val="12"/>
      <color theme="0"/>
      <name val="Microsoft JhengHei UI"/>
      <charset val="134"/>
    </font>
    <font>
      <sz val="18"/>
      <color theme="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2D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5" borderId="8" applyNumberFormat="0" applyAlignment="0" applyProtection="0">
      <alignment vertical="center"/>
    </xf>
    <xf numFmtId="0" fontId="10" fillId="15" borderId="6" applyNumberFormat="0" applyAlignment="0" applyProtection="0">
      <alignment vertical="center"/>
    </xf>
    <xf numFmtId="0" fontId="23" fillId="27" borderId="12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9" fontId="1" fillId="2" borderId="0" xfId="1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9" fontId="3" fillId="3" borderId="3" xfId="1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9" fontId="1" fillId="2" borderId="4" xfId="1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12D7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964985628429579"/>
          <c:y val="0.220617420066152"/>
          <c:w val="0.869009668147374"/>
          <c:h val="0.668555678059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应收/付金额</c:v>
                </c:pt>
              </c:strCache>
            </c:strRef>
          </c:tx>
          <c:spPr>
            <a:solidFill>
              <a:srgbClr val="01B7F3"/>
            </a:solidFill>
            <a:ln>
              <a:noFill/>
            </a:ln>
            <a:effectLst>
              <a:innerShdw blurRad="63500" dist="50800" dir="16200000">
                <a:schemeClr val="bg1">
                  <a:lumMod val="95000"/>
                  <a:alpha val="50000"/>
                </a:schemeClr>
              </a:innerShdw>
            </a:effectLst>
          </c:spPr>
          <c:invertIfNegative val="0"/>
          <c:dLbls>
            <c:delete val="1"/>
          </c:dLbls>
          <c:cat>
            <c:strRef>
              <c:f>Sheet1!$B$7:$B$13</c:f>
              <c:strCache>
                <c:ptCount val="7"/>
                <c:pt idx="0">
                  <c:v>A客户</c:v>
                </c:pt>
                <c:pt idx="1">
                  <c:v>B客户</c:v>
                </c:pt>
                <c:pt idx="2">
                  <c:v>C客户</c:v>
                </c:pt>
                <c:pt idx="3">
                  <c:v>D客户</c:v>
                </c:pt>
                <c:pt idx="4">
                  <c:v>C客户</c:v>
                </c:pt>
                <c:pt idx="5">
                  <c:v>F客户</c:v>
                </c:pt>
                <c:pt idx="6">
                  <c:v>R客户</c:v>
                </c:pt>
              </c:strCache>
            </c:strRef>
          </c:cat>
          <c:val>
            <c:numRef>
              <c:f>Sheet1!$C$7:$C$13</c:f>
              <c:numCache>
                <c:formatCode>0.00_);[Red]\(0.00\)</c:formatCode>
                <c:ptCount val="7"/>
                <c:pt idx="0">
                  <c:v>25000</c:v>
                </c:pt>
                <c:pt idx="1">
                  <c:v>36000</c:v>
                </c:pt>
                <c:pt idx="2">
                  <c:v>45000</c:v>
                </c:pt>
                <c:pt idx="3">
                  <c:v>23000</c:v>
                </c:pt>
                <c:pt idx="4">
                  <c:v>15000</c:v>
                </c:pt>
                <c:pt idx="5">
                  <c:v>18000</c:v>
                </c:pt>
                <c:pt idx="6">
                  <c:v>23000</c:v>
                </c:pt>
              </c:numCache>
            </c:numRef>
          </c:val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已收/付金额</c:v>
                </c:pt>
              </c:strCache>
            </c:strRef>
          </c:tx>
          <c:spPr>
            <a:solidFill>
              <a:srgbClr val="FA7DBA"/>
            </a:solidFill>
            <a:ln>
              <a:noFill/>
            </a:ln>
            <a:effectLst>
              <a:innerShdw blurRad="63500" dist="50800" dir="16200000">
                <a:schemeClr val="bg1">
                  <a:lumMod val="95000"/>
                  <a:alpha val="50000"/>
                </a:schemeClr>
              </a:innerShdw>
            </a:effectLst>
          </c:spPr>
          <c:invertIfNegative val="0"/>
          <c:dLbls>
            <c:delete val="1"/>
          </c:dLbls>
          <c:cat>
            <c:strRef>
              <c:f>Sheet1!$B$7:$B$13</c:f>
              <c:strCache>
                <c:ptCount val="7"/>
                <c:pt idx="0">
                  <c:v>A客户</c:v>
                </c:pt>
                <c:pt idx="1">
                  <c:v>B客户</c:v>
                </c:pt>
                <c:pt idx="2">
                  <c:v>C客户</c:v>
                </c:pt>
                <c:pt idx="3">
                  <c:v>D客户</c:v>
                </c:pt>
                <c:pt idx="4">
                  <c:v>C客户</c:v>
                </c:pt>
                <c:pt idx="5">
                  <c:v>F客户</c:v>
                </c:pt>
                <c:pt idx="6">
                  <c:v>R客户</c:v>
                </c:pt>
              </c:strCache>
            </c:strRef>
          </c:cat>
          <c:val>
            <c:numRef>
              <c:f>Sheet1!$D$7:$D$13</c:f>
              <c:numCache>
                <c:formatCode>0.00_);[Red]\(0.00\)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20000</c:v>
                </c:pt>
                <c:pt idx="3">
                  <c:v>10000</c:v>
                </c:pt>
                <c:pt idx="4">
                  <c:v>5000</c:v>
                </c:pt>
                <c:pt idx="5">
                  <c:v>5000</c:v>
                </c:pt>
                <c:pt idx="6">
                  <c:v>7000</c:v>
                </c:pt>
              </c:numCache>
            </c:numRef>
          </c:val>
        </c:ser>
        <c:ser>
          <c:idx val="2"/>
          <c:order val="2"/>
          <c:tx>
            <c:strRef>
              <c:f>Sheet1!$E$6</c:f>
              <c:strCache>
                <c:ptCount val="1"/>
                <c:pt idx="0">
                  <c:v>待收/付金额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Sheet1!$B$7:$B$13</c:f>
              <c:strCache>
                <c:ptCount val="7"/>
                <c:pt idx="0">
                  <c:v>A客户</c:v>
                </c:pt>
                <c:pt idx="1">
                  <c:v>B客户</c:v>
                </c:pt>
                <c:pt idx="2">
                  <c:v>C客户</c:v>
                </c:pt>
                <c:pt idx="3">
                  <c:v>D客户</c:v>
                </c:pt>
                <c:pt idx="4">
                  <c:v>C客户</c:v>
                </c:pt>
                <c:pt idx="5">
                  <c:v>F客户</c:v>
                </c:pt>
                <c:pt idx="6">
                  <c:v>R客户</c:v>
                </c:pt>
              </c:strCache>
            </c:strRef>
          </c:cat>
          <c:val>
            <c:numRef>
              <c:f>Sheet1!$E$7:$E$13</c:f>
              <c:numCache>
                <c:formatCode>0.00_);[Red]\(0.00\)</c:formatCode>
                <c:ptCount val="7"/>
                <c:pt idx="0">
                  <c:v>15000</c:v>
                </c:pt>
                <c:pt idx="1">
                  <c:v>16000</c:v>
                </c:pt>
                <c:pt idx="2">
                  <c:v>25000</c:v>
                </c:pt>
                <c:pt idx="3">
                  <c:v>13000</c:v>
                </c:pt>
                <c:pt idx="4">
                  <c:v>10000</c:v>
                </c:pt>
                <c:pt idx="5">
                  <c:v>13000</c:v>
                </c:pt>
                <c:pt idx="6">
                  <c:v>16000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10"/>
        <c:axId val="311766606"/>
        <c:axId val="883309383"/>
      </c:barChart>
      <c:catAx>
        <c:axId val="3117666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83309383"/>
        <c:crosses val="autoZero"/>
        <c:auto val="1"/>
        <c:lblAlgn val="ctr"/>
        <c:lblOffset val="100"/>
        <c:noMultiLvlLbl val="0"/>
      </c:catAx>
      <c:valAx>
        <c:axId val="883309383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11766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00B0F0"/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352785145889"/>
          <c:y val="0.199486492520652"/>
          <c:w val="0.85946949602122"/>
          <c:h val="0.585376200044653"/>
        </c:manualLayout>
      </c:layout>
      <c:lineChart>
        <c:grouping val="standard"/>
        <c:varyColors val="0"/>
        <c:ser>
          <c:idx val="0"/>
          <c:order val="0"/>
          <c:tx>
            <c:strRef>
              <c:f>Sheet1!$I$6</c:f>
              <c:strCache>
                <c:ptCount val="1"/>
                <c:pt idx="0">
                  <c:v>C客户</c:v>
                </c:pt>
              </c:strCache>
            </c:strRef>
          </c:tx>
          <c:spPr>
            <a:ln w="31750" cap="rnd" cmpd="sng" algn="ctr">
              <a:solidFill>
                <a:srgbClr val="9DC02E"/>
              </a:solidFill>
              <a:prstDash val="solid"/>
              <a:round/>
            </a:ln>
            <a:effectLst>
              <a:outerShdw blurRad="50800" dist="12700" dir="5400000" algn="t" rotWithShape="0">
                <a:prstClr val="black">
                  <a:alpha val="40000"/>
                </a:prstClr>
              </a:outerShdw>
            </a:effectLst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>
                <a:outerShdw blurRad="50800" dist="127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Sheet1!$H$7:$H$10</c:f>
              <c:strCache>
                <c:ptCount val="4"/>
                <c:pt idx="0" c:formatCode="0.00_);[Red]\(0.00\)">
                  <c:v>应收/付金额</c:v>
                </c:pt>
                <c:pt idx="1" c:formatCode="0.00_);[Red]\(0.00\)">
                  <c:v>已收/付金额</c:v>
                </c:pt>
                <c:pt idx="2" c:formatCode="0.00_);[Red]\(0.00\)">
                  <c:v>待收/付金额</c:v>
                </c:pt>
                <c:pt idx="3" c:formatCode="0%">
                  <c:v>已收/付占比</c:v>
                </c:pt>
              </c:strCache>
            </c:strRef>
          </c:cat>
          <c:val>
            <c:numRef>
              <c:f>Sheet1!$I$7:$I$10</c:f>
              <c:numCache>
                <c:formatCode>0.00_);[Red]\(0.00\)</c:formatCode>
                <c:ptCount val="4"/>
                <c:pt idx="0">
                  <c:v>60000</c:v>
                </c:pt>
                <c:pt idx="1">
                  <c:v>25000</c:v>
                </c:pt>
                <c:pt idx="2">
                  <c:v>35000</c:v>
                </c:pt>
                <c:pt idx="3" c:formatCode="0%">
                  <c:v>0.777777777777778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136843"/>
        <c:axId val="78422659"/>
      </c:lineChart>
      <c:catAx>
        <c:axId val="171136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78422659"/>
        <c:crosses val="autoZero"/>
        <c:auto val="1"/>
        <c:lblAlgn val="ctr"/>
        <c:lblOffset val="100"/>
        <c:noMultiLvlLbl val="0"/>
      </c:catAx>
      <c:valAx>
        <c:axId val="784226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711368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</c:chart>
  <c:spPr>
    <a:pattFill prst="wdUpDiag">
      <a:fgClr>
        <a:srgbClr val="F7FAEC"/>
      </a:fgClr>
      <a:bgClr>
        <a:schemeClr val="bg1"/>
      </a:bgClr>
    </a:pattFill>
    <a:ln w="38100" cap="flat" cmpd="sng" algn="ctr">
      <a:solidFill>
        <a:srgbClr val="00B0F0"/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27676065749031"/>
          <c:y val="0.24085637823372"/>
          <c:w val="0.350661499398637"/>
          <c:h val="0.585191793041927"/>
        </c:manualLayout>
      </c:layout>
      <c:doughnutChart>
        <c:varyColors val="1"/>
        <c:ser>
          <c:idx val="0"/>
          <c:order val="0"/>
          <c:spPr>
            <a:solidFill>
              <a:srgbClr val="ABAAD4"/>
            </a:solidFill>
            <a:ln w="47625" cmpd="dbl">
              <a:solidFill>
                <a:schemeClr val="bg1"/>
              </a:solidFill>
              <a:prstDash val="solid"/>
            </a:ln>
            <a:effectLst/>
          </c:spPr>
          <c:explosion val="3"/>
          <c:dPt>
            <c:idx val="0"/>
            <c:bubble3D val="0"/>
            <c:spPr>
              <a:solidFill>
                <a:srgbClr val="FFBB48"/>
              </a:solidFill>
              <a:ln w="47625" cap="rnd" cmpd="dbl">
                <a:solidFill>
                  <a:schemeClr val="bg1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rgbClr val="A6D059"/>
              </a:solidFill>
              <a:ln w="47625" cap="rnd" cmpd="dbl">
                <a:solidFill>
                  <a:schemeClr val="bg1"/>
                </a:solidFill>
                <a:prstDash val="solid"/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Sheet1!$J$7:$J$8</c:f>
              <c:strCache>
                <c:ptCount val="2"/>
                <c:pt idx="0" c:formatCode="0%">
                  <c:v>已收/付占比</c:v>
                </c:pt>
                <c:pt idx="1" c:formatCode="0%">
                  <c:v>未收/付占比</c:v>
                </c:pt>
              </c:strCache>
            </c:strRef>
          </c:cat>
          <c:val>
            <c:numRef>
              <c:f>Sheet1!$K$7:$K$8</c:f>
              <c:numCache>
                <c:formatCode>0%</c:formatCode>
                <c:ptCount val="2"/>
                <c:pt idx="0">
                  <c:v>0.777777777777778</c:v>
                </c:pt>
                <c:pt idx="1">
                  <c:v>0.222222222222222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00B0F0"/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825253063399"/>
          <c:y val="0.171622212505466"/>
          <c:w val="0.846750133191263"/>
          <c:h val="0.617490161783997"/>
        </c:manualLayout>
      </c:layout>
      <c:areaChart>
        <c:grouping val="stacke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已收/付占比</c:v>
                </c:pt>
              </c:strCache>
            </c:strRef>
          </c:tx>
          <c:spPr>
            <a:gradFill>
              <a:gsLst>
                <a:gs pos="0">
                  <a:srgbClr val="A8DADC"/>
                </a:gs>
                <a:gs pos="100000">
                  <a:srgbClr val="33B1E8"/>
                </a:gs>
              </a:gsLst>
              <a:lin ang="5400000" scaled="1"/>
            </a:gradFill>
            <a:ln w="28575" cap="rnd">
              <a:solidFill>
                <a:srgbClr val="0070C0"/>
              </a:solidFill>
              <a:round/>
            </a:ln>
            <a:effectLst/>
          </c:spPr>
          <c:dLbls>
            <c:delete val="1"/>
          </c:dLbls>
          <c:cat>
            <c:strRef>
              <c:f>Sheet1!$B$7:$B$13</c:f>
              <c:strCache>
                <c:ptCount val="7"/>
                <c:pt idx="0">
                  <c:v>A客户</c:v>
                </c:pt>
                <c:pt idx="1">
                  <c:v>B客户</c:v>
                </c:pt>
                <c:pt idx="2">
                  <c:v>C客户</c:v>
                </c:pt>
                <c:pt idx="3">
                  <c:v>D客户</c:v>
                </c:pt>
                <c:pt idx="4">
                  <c:v>C客户</c:v>
                </c:pt>
                <c:pt idx="5">
                  <c:v>F客户</c:v>
                </c:pt>
                <c:pt idx="6">
                  <c:v>R客户</c:v>
                </c:pt>
              </c:strCache>
            </c:strRef>
          </c:cat>
          <c:val>
            <c:numRef>
              <c:f>Sheet1!$F$7:$F$13</c:f>
              <c:numCache>
                <c:formatCode>0%</c:formatCode>
                <c:ptCount val="7"/>
                <c:pt idx="0">
                  <c:v>0.4</c:v>
                </c:pt>
                <c:pt idx="1">
                  <c:v>0.555555555555556</c:v>
                </c:pt>
                <c:pt idx="2">
                  <c:v>0.444444444444444</c:v>
                </c:pt>
                <c:pt idx="3">
                  <c:v>0.434782608695652</c:v>
                </c:pt>
                <c:pt idx="4">
                  <c:v>0.333333333333333</c:v>
                </c:pt>
                <c:pt idx="5">
                  <c:v>0.277777777777778</c:v>
                </c:pt>
                <c:pt idx="6">
                  <c:v>0.304347826086957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66001"/>
        <c:axId val="420171230"/>
      </c:areaChart>
      <c:catAx>
        <c:axId val="75366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20171230"/>
        <c:crosses val="autoZero"/>
        <c:auto val="1"/>
        <c:lblAlgn val="ctr"/>
        <c:lblOffset val="100"/>
        <c:noMultiLvlLbl val="0"/>
      </c:catAx>
      <c:valAx>
        <c:axId val="42017123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5366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00B0F0"/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svg"/><Relationship Id="rId5" Type="http://schemas.openxmlformats.org/officeDocument/2006/relationships/image" Target="../media/image2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1217295</xdr:colOff>
      <xdr:row>13</xdr:row>
      <xdr:rowOff>22860</xdr:rowOff>
    </xdr:from>
    <xdr:to>
      <xdr:col>6</xdr:col>
      <xdr:colOff>5080</xdr:colOff>
      <xdr:row>23</xdr:row>
      <xdr:rowOff>0</xdr:rowOff>
    </xdr:to>
    <xdr:graphicFrame>
      <xdr:nvGraphicFramePr>
        <xdr:cNvPr id="3" name="图表 2"/>
        <xdr:cNvGraphicFramePr/>
      </xdr:nvGraphicFramePr>
      <xdr:xfrm>
        <a:off x="490855" y="4150360"/>
        <a:ext cx="6777355" cy="3152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13970</xdr:colOff>
      <xdr:row>10</xdr:row>
      <xdr:rowOff>27940</xdr:rowOff>
    </xdr:from>
    <xdr:to>
      <xdr:col>11</xdr:col>
      <xdr:colOff>629285</xdr:colOff>
      <xdr:row>16</xdr:row>
      <xdr:rowOff>278765</xdr:rowOff>
    </xdr:to>
    <xdr:graphicFrame>
      <xdr:nvGraphicFramePr>
        <xdr:cNvPr id="5" name="图表 4"/>
        <xdr:cNvGraphicFramePr/>
      </xdr:nvGraphicFramePr>
      <xdr:xfrm>
        <a:off x="7370445" y="3202940"/>
        <a:ext cx="6033135" cy="2155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35560</xdr:colOff>
      <xdr:row>1</xdr:row>
      <xdr:rowOff>7620</xdr:rowOff>
    </xdr:from>
    <xdr:to>
      <xdr:col>11</xdr:col>
      <xdr:colOff>622300</xdr:colOff>
      <xdr:row>9</xdr:row>
      <xdr:rowOff>304800</xdr:rowOff>
    </xdr:to>
    <xdr:graphicFrame>
      <xdr:nvGraphicFramePr>
        <xdr:cNvPr id="7" name="图表 6"/>
        <xdr:cNvGraphicFramePr/>
      </xdr:nvGraphicFramePr>
      <xdr:xfrm>
        <a:off x="10100945" y="350520"/>
        <a:ext cx="3295650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12700</xdr:colOff>
      <xdr:row>16</xdr:row>
      <xdr:rowOff>304800</xdr:rowOff>
    </xdr:from>
    <xdr:to>
      <xdr:col>11</xdr:col>
      <xdr:colOff>644525</xdr:colOff>
      <xdr:row>22</xdr:row>
      <xdr:rowOff>308610</xdr:rowOff>
    </xdr:to>
    <xdr:graphicFrame>
      <xdr:nvGraphicFramePr>
        <xdr:cNvPr id="8" name="图表 7"/>
        <xdr:cNvGraphicFramePr/>
      </xdr:nvGraphicFramePr>
      <xdr:xfrm>
        <a:off x="7369175" y="5384800"/>
        <a:ext cx="6049645" cy="1908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129540</xdr:colOff>
      <xdr:row>0</xdr:row>
      <xdr:rowOff>335280</xdr:rowOff>
    </xdr:from>
    <xdr:to>
      <xdr:col>1</xdr:col>
      <xdr:colOff>1073150</xdr:colOff>
      <xdr:row>4</xdr:row>
      <xdr:rowOff>20320</xdr:rowOff>
    </xdr:to>
    <xdr:pic>
      <xdr:nvPicPr>
        <xdr:cNvPr id="9" name="图片 8" descr="4685809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20395" y="335280"/>
          <a:ext cx="943610" cy="955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tabSelected="1" workbookViewId="0">
      <selection activeCell="M10" sqref="M10"/>
    </sheetView>
  </sheetViews>
  <sheetFormatPr defaultColWidth="17.775" defaultRowHeight="25" customHeight="1"/>
  <cols>
    <col min="1" max="1" width="6.44166666666667" style="1" customWidth="1"/>
    <col min="2" max="2" width="17.775" style="1" customWidth="1"/>
    <col min="3" max="5" width="17.775" style="2" customWidth="1"/>
    <col min="6" max="6" width="17.775" style="3" customWidth="1"/>
    <col min="7" max="7" width="1.225" style="1" customWidth="1"/>
    <col min="8" max="8" width="17.775" style="1" customWidth="1"/>
    <col min="9" max="9" width="17.775" style="2" customWidth="1"/>
    <col min="10" max="16382" width="17.775" style="1" customWidth="1"/>
    <col min="16383" max="16384" width="17.775" style="1"/>
  </cols>
  <sheetData>
    <row r="1" ht="27" customHeight="1"/>
    <row r="2" ht="30" customHeight="1" spans="2:11">
      <c r="B2" s="4" t="s">
        <v>0</v>
      </c>
      <c r="C2" s="4"/>
      <c r="D2" s="4"/>
      <c r="E2" s="4"/>
      <c r="F2" s="4"/>
      <c r="G2" s="5"/>
      <c r="H2" s="6"/>
      <c r="I2" s="16"/>
      <c r="J2" s="5"/>
      <c r="K2" s="17"/>
    </row>
    <row r="3" ht="30" customHeight="1" spans="2:11">
      <c r="B3" s="4"/>
      <c r="C3" s="4"/>
      <c r="D3" s="4"/>
      <c r="E3" s="4"/>
      <c r="F3" s="4"/>
      <c r="G3" s="5"/>
      <c r="H3" s="7" t="s">
        <v>1</v>
      </c>
      <c r="I3" s="7"/>
      <c r="J3" s="5"/>
      <c r="K3" s="17"/>
    </row>
    <row r="4" ht="13" customHeight="1" spans="2:11">
      <c r="B4" s="8"/>
      <c r="C4" s="8"/>
      <c r="D4" s="8"/>
      <c r="E4" s="8"/>
      <c r="F4" s="8"/>
      <c r="G4" s="5"/>
      <c r="H4" s="6"/>
      <c r="I4" s="6"/>
      <c r="J4" s="5"/>
      <c r="K4" s="17"/>
    </row>
    <row r="6" customHeight="1" spans="2:9">
      <c r="B6" s="9" t="s">
        <v>2</v>
      </c>
      <c r="C6" s="10" t="s">
        <v>3</v>
      </c>
      <c r="D6" s="10" t="s">
        <v>4</v>
      </c>
      <c r="E6" s="10" t="s">
        <v>5</v>
      </c>
      <c r="F6" s="11" t="s">
        <v>6</v>
      </c>
      <c r="G6" s="12"/>
      <c r="H6" s="9" t="s">
        <v>2</v>
      </c>
      <c r="I6" s="18" t="s">
        <v>7</v>
      </c>
    </row>
    <row r="7" customHeight="1" spans="2:11">
      <c r="B7" s="13" t="s">
        <v>8</v>
      </c>
      <c r="C7" s="14">
        <v>25000</v>
      </c>
      <c r="D7" s="14">
        <v>10000</v>
      </c>
      <c r="E7" s="14">
        <f>C7-D7</f>
        <v>15000</v>
      </c>
      <c r="F7" s="15">
        <f>D7/C7</f>
        <v>0.4</v>
      </c>
      <c r="H7" s="14" t="s">
        <v>3</v>
      </c>
      <c r="I7" s="14">
        <f>SUMIFS(C$7:C$1048576,B$7:B$1048576,$I$6)</f>
        <v>60000</v>
      </c>
      <c r="J7" s="3" t="s">
        <v>6</v>
      </c>
      <c r="K7" s="3">
        <f>SUMIFS(F$7:F$1048576,B$7:B$1048576,$I$6)</f>
        <v>0.777777777777778</v>
      </c>
    </row>
    <row r="8" customHeight="1" spans="2:11">
      <c r="B8" s="13" t="s">
        <v>9</v>
      </c>
      <c r="C8" s="14">
        <v>36000</v>
      </c>
      <c r="D8" s="14">
        <v>20000</v>
      </c>
      <c r="E8" s="14">
        <f t="shared" ref="E8:E13" si="0">C8-D8</f>
        <v>16000</v>
      </c>
      <c r="F8" s="15">
        <f t="shared" ref="F8:F13" si="1">D8/C8</f>
        <v>0.555555555555556</v>
      </c>
      <c r="H8" s="14" t="s">
        <v>4</v>
      </c>
      <c r="I8" s="14">
        <f>SUMIFS(D$7:D$1048576,B$7:B$1048576,$I$6)</f>
        <v>25000</v>
      </c>
      <c r="J8" s="3" t="s">
        <v>10</v>
      </c>
      <c r="K8" s="3">
        <f>1-K7</f>
        <v>0.222222222222222</v>
      </c>
    </row>
    <row r="9" customHeight="1" spans="2:9">
      <c r="B9" s="13" t="s">
        <v>7</v>
      </c>
      <c r="C9" s="14">
        <v>45000</v>
      </c>
      <c r="D9" s="14">
        <v>20000</v>
      </c>
      <c r="E9" s="14">
        <f t="shared" si="0"/>
        <v>25000</v>
      </c>
      <c r="F9" s="15">
        <f t="shared" si="1"/>
        <v>0.444444444444444</v>
      </c>
      <c r="H9" s="14" t="s">
        <v>5</v>
      </c>
      <c r="I9" s="14">
        <f>SUMIFS(E$7:E$1048576,B$7:B$1048576,$I$6)</f>
        <v>35000</v>
      </c>
    </row>
    <row r="10" customHeight="1" spans="2:9">
      <c r="B10" s="13" t="s">
        <v>11</v>
      </c>
      <c r="C10" s="14">
        <v>23000</v>
      </c>
      <c r="D10" s="14">
        <v>10000</v>
      </c>
      <c r="E10" s="14">
        <f t="shared" si="0"/>
        <v>13000</v>
      </c>
      <c r="F10" s="15">
        <f t="shared" si="1"/>
        <v>0.434782608695652</v>
      </c>
      <c r="H10" s="15" t="s">
        <v>6</v>
      </c>
      <c r="I10" s="15">
        <f>SUMIFS(F$7:F$1048576,B$7:B$1048576,$I$6)</f>
        <v>0.777777777777778</v>
      </c>
    </row>
    <row r="11" customHeight="1" spans="2:6">
      <c r="B11" s="13" t="s">
        <v>7</v>
      </c>
      <c r="C11" s="14">
        <v>15000</v>
      </c>
      <c r="D11" s="14">
        <v>5000</v>
      </c>
      <c r="E11" s="14">
        <f t="shared" si="0"/>
        <v>10000</v>
      </c>
      <c r="F11" s="15">
        <f t="shared" si="1"/>
        <v>0.333333333333333</v>
      </c>
    </row>
    <row r="12" customHeight="1" spans="2:6">
      <c r="B12" s="13" t="s">
        <v>12</v>
      </c>
      <c r="C12" s="14">
        <v>18000</v>
      </c>
      <c r="D12" s="14">
        <v>5000</v>
      </c>
      <c r="E12" s="14">
        <f t="shared" si="0"/>
        <v>13000</v>
      </c>
      <c r="F12" s="15">
        <f t="shared" si="1"/>
        <v>0.277777777777778</v>
      </c>
    </row>
    <row r="13" customHeight="1" spans="2:6">
      <c r="B13" s="13" t="s">
        <v>13</v>
      </c>
      <c r="C13" s="14">
        <v>23000</v>
      </c>
      <c r="D13" s="14">
        <v>7000</v>
      </c>
      <c r="E13" s="14">
        <f t="shared" si="0"/>
        <v>16000</v>
      </c>
      <c r="F13" s="15">
        <f t="shared" si="1"/>
        <v>0.304347826086957</v>
      </c>
    </row>
  </sheetData>
  <mergeCells count="2">
    <mergeCell ref="H3:I3"/>
    <mergeCell ref="B2:F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陈东捷</cp:lastModifiedBy>
  <dcterms:created xsi:type="dcterms:W3CDTF">2020-01-14T09:29:00Z</dcterms:created>
  <dcterms:modified xsi:type="dcterms:W3CDTF">2021-05-13T06:18:08Z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1D1DBC40158A4C09A44E9A8936E11ACD</vt:lpwstr>
  </property>
</Properties>
</file>