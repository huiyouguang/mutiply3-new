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<sst xmlns="http://schemas.openxmlformats.org/spreadsheetml/2006/main" count="38" uniqueCount="28">
  <si>
    <t>销售分析报表</t>
  </si>
  <si>
    <t>月份</t>
  </si>
  <si>
    <t>组别</t>
  </si>
  <si>
    <t>目标</t>
  </si>
  <si>
    <t>完成</t>
  </si>
  <si>
    <t>完成率</t>
  </si>
  <si>
    <t>单组排名</t>
  </si>
  <si>
    <t>月度销量</t>
  </si>
  <si>
    <t>月排名</t>
  </si>
  <si>
    <t>四季度</t>
  </si>
  <si>
    <t>A组</t>
  </si>
  <si>
    <t>B组</t>
  </si>
  <si>
    <t>C组</t>
  </si>
  <si>
    <t>小计</t>
  </si>
  <si>
    <t>平均值</t>
  </si>
  <si>
    <t>10月</t>
  </si>
  <si>
    <t>业务员1</t>
  </si>
  <si>
    <t>业务员2</t>
  </si>
  <si>
    <t>业务员3</t>
  </si>
  <si>
    <t>11月</t>
  </si>
  <si>
    <t>业务员4</t>
  </si>
  <si>
    <t>业务员5</t>
  </si>
  <si>
    <t>业务员6</t>
  </si>
  <si>
    <t>12月</t>
  </si>
  <si>
    <t>业务员7</t>
  </si>
  <si>
    <t>业务员8</t>
  </si>
  <si>
    <t>业务员9</t>
  </si>
  <si>
    <t>最高值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</si>
</sst>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43" formatCode="_ * #,##0.00_ ;_ * \-#,##0.00_ ;_ 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b/>
      <sz val="14"/>
      <color theme="0"/>
      <name val="米开软笔行楷"/>
      <charset val="134"/>
    </font>
    <font>
      <b/>
      <sz val="16"/>
      <color theme="0"/>
      <name val="米开软笔行楷"/>
      <charset val="134"/>
    </font>
    <font>
      <sz val="11"/>
      <color theme="1"/>
      <name val="米开软笔行楷"/>
      <charset val="134"/>
    </font>
    <font>
      <sz val="16"/>
      <color theme="1"/>
      <name val="米开软笔行楷"/>
      <charset val="134"/>
    </font>
    <font>
      <b/>
      <sz val="16"/>
      <color theme="0"/>
      <name val="宋体"/>
      <charset val="134"/>
      <scheme val="minor"/>
    </font>
    <font>
      <sz val="10"/>
      <color theme="0"/>
      <name val="字魂59号-创粗黑"/>
      <charset val="134"/>
    </font>
    <font>
      <b/>
      <sz val="26"/>
      <color theme="0"/>
      <name val="米开软笔行楷"/>
      <charset val="134"/>
    </font>
    <font>
      <b/>
      <sz val="24"/>
      <color theme="0"/>
      <name val="字魂59号-创粗黑"/>
      <charset val="134"/>
    </font>
    <font>
      <b/>
      <sz val="11"/>
      <color theme="0"/>
      <name val="宋体"/>
      <charset val="134"/>
      <scheme val="minor"/>
    </font>
    <font>
      <sz val="10"/>
      <name val="字魂59号-创粗黑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78B81"/>
        <bgColor indexed="64"/>
      </patternFill>
    </fill>
    <fill>
      <patternFill patternType="solid">
        <fgColor rgb="FF4F80BD"/>
        <bgColor indexed="64"/>
      </patternFill>
    </fill>
    <fill>
      <patternFill patternType="solid">
        <fgColor rgb="FF9FBE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78B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12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5" fillId="31" borderId="18" applyNumberFormat="0" applyAlignment="0" applyProtection="0">
      <alignment vertical="center"/>
    </xf>
    <xf numFmtId="0" fontId="27" fillId="31" borderId="13" applyNumberFormat="0" applyAlignment="0" applyProtection="0">
      <alignment vertical="center"/>
    </xf>
    <xf numFmtId="0" fontId="15" fillId="17" borderId="14" applyNumberFormat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6" fillId="2" borderId="0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10" fontId="0" fillId="8" borderId="4" xfId="0" applyNumberFormat="1" applyFont="1" applyFill="1" applyBorder="1" applyAlignment="1">
      <alignment horizontal="center" vertical="center"/>
    </xf>
    <xf numFmtId="0" fontId="0" fillId="9" borderId="5" xfId="0" applyFont="1" applyFill="1" applyBorder="1" applyAlignment="1">
      <alignment horizontal="center" vertical="center"/>
    </xf>
    <xf numFmtId="10" fontId="0" fillId="9" borderId="5" xfId="0" applyNumberFormat="1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10" fontId="0" fillId="8" borderId="5" xfId="0" applyNumberFormat="1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0" fillId="9" borderId="7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/>
    </xf>
    <xf numFmtId="10" fontId="0" fillId="9" borderId="8" xfId="0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9" borderId="11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176" fontId="0" fillId="8" borderId="10" xfId="0" applyNumberFormat="1" applyFont="1" applyFill="1" applyBorder="1" applyAlignment="1">
      <alignment horizontal="center" vertical="center"/>
    </xf>
    <xf numFmtId="176" fontId="0" fillId="9" borderId="11" xfId="0" applyNumberFormat="1" applyFont="1" applyFill="1" applyBorder="1" applyAlignment="1">
      <alignment horizontal="center" vertical="center"/>
    </xf>
    <xf numFmtId="176" fontId="0" fillId="8" borderId="11" xfId="0" applyNumberFormat="1" applyFont="1" applyFill="1" applyBorder="1" applyAlignment="1">
      <alignment horizontal="center" vertical="center"/>
    </xf>
    <xf numFmtId="176" fontId="0" fillId="9" borderId="12" xfId="0" applyNumberFormat="1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32523"/>
      <color rgb="001F497D"/>
      <color rgb="00CD7E57"/>
      <color rgb="000FB746"/>
      <color rgb="00CDDFD1"/>
      <color rgb="00C78B81"/>
      <color rgb="00C78B80"/>
      <color rgb="004F80BD"/>
      <color rgb="009FBE60"/>
      <color rgb="00E4CD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楷体" panose="02010609060101010101" charset="-122"/>
            </a:defRPr>
          </a:pPr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Sheet1!$H$4</c:f>
              <c:strCache>
                <c:ptCount val="1"/>
                <c:pt idx="0">
                  <c:v>月度销量</c:v>
                </c:pt>
              </c:strCache>
            </c:strRef>
          </c:tx>
          <c:spPr>
            <a:noFill/>
            <a:ln w="19050">
              <a:solidFill>
                <a:srgbClr val="1F497D"/>
              </a:solidFill>
            </a:ln>
            <a:effectLst/>
          </c:spPr>
          <c:explosion val="0"/>
          <c:dPt>
            <c:idx val="0"/>
            <c:bubble3D val="0"/>
            <c:spPr>
              <a:noFill/>
              <a:ln w="19050">
                <a:solidFill>
                  <a:srgbClr val="CD7E57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rgbClr val="4F80BD"/>
                </a:solidFill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rgbClr val="9FBE60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(Sheet1!$B$5,Sheet1!$B$8,Sheet1!$B$11)</c:f>
              <c:strCache>
                <c:ptCount val="3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</c:strCache>
            </c:strRef>
          </c:cat>
          <c:val>
            <c:numRef>
              <c:f>(Sheet1!$H$5,Sheet1!$H$8,Sheet1!$H$11)</c:f>
              <c:numCache>
                <c:formatCode>General</c:formatCode>
                <c:ptCount val="3"/>
                <c:pt idx="0">
                  <c:v>19336</c:v>
                </c:pt>
                <c:pt idx="1">
                  <c:v>18094</c:v>
                </c:pt>
                <c:pt idx="2">
                  <c:v>14939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C78B8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月度完成情况分析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Sheet1!$E$4</c:f>
              <c:strCache>
                <c:ptCount val="1"/>
                <c:pt idx="0">
                  <c:v>完成</c:v>
                </c:pt>
              </c:strCache>
            </c:strRef>
          </c:tx>
          <c:spPr>
            <a:solidFill>
              <a:schemeClr val="accent2"/>
            </a:solidFill>
            <a:ln w="63500" cmpd="sng">
              <a:solidFill>
                <a:schemeClr val="bg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Sheet1!$B$5:$C$13</c:f>
              <c:multiLvlStrCache>
                <c:ptCount val="9"/>
                <c:lvl>
                  <c:pt idx="0">
                    <c:v>A组</c:v>
                  </c:pt>
                  <c:pt idx="1">
                    <c:v>B组</c:v>
                  </c:pt>
                  <c:pt idx="2">
                    <c:v>C组</c:v>
                  </c:pt>
                  <c:pt idx="3">
                    <c:v>A组</c:v>
                  </c:pt>
                  <c:pt idx="4">
                    <c:v>B组</c:v>
                  </c:pt>
                  <c:pt idx="5">
                    <c:v>C组</c:v>
                  </c:pt>
                  <c:pt idx="6">
                    <c:v>A组</c:v>
                  </c:pt>
                  <c:pt idx="7">
                    <c:v>B组</c:v>
                  </c:pt>
                  <c:pt idx="8">
                    <c:v>C组</c:v>
                  </c:pt>
                </c:lvl>
                <c:lvl>
                  <c:pt idx="0">
                    <c:v>10月</c:v>
                  </c:pt>
                  <c:pt idx="3">
                    <c:v>11月</c:v>
                  </c:pt>
                  <c:pt idx="6">
                    <c:v>12月</c:v>
                  </c:pt>
                </c:lvl>
              </c:multiLvlStrCache>
            </c:multiLvlStrRef>
          </c:cat>
          <c:val>
            <c:numRef>
              <c:f>Sheet1!$E$5:$E$13</c:f>
              <c:numCache>
                <c:formatCode>General</c:formatCode>
                <c:ptCount val="9"/>
                <c:pt idx="0">
                  <c:v>7540</c:v>
                </c:pt>
                <c:pt idx="1">
                  <c:v>7234</c:v>
                </c:pt>
                <c:pt idx="2">
                  <c:v>4562</c:v>
                </c:pt>
                <c:pt idx="3">
                  <c:v>7233</c:v>
                </c:pt>
                <c:pt idx="4">
                  <c:v>3684</c:v>
                </c:pt>
                <c:pt idx="5">
                  <c:v>7177</c:v>
                </c:pt>
                <c:pt idx="6">
                  <c:v>7078</c:v>
                </c:pt>
                <c:pt idx="7">
                  <c:v>3263</c:v>
                </c:pt>
                <c:pt idx="8">
                  <c:v>4598</c:v>
                </c:pt>
              </c:numCache>
            </c:numRef>
          </c:val>
        </c:ser>
        <c:ser>
          <c:idx val="0"/>
          <c:order val="1"/>
          <c:tx>
            <c:strRef>
              <c:f>Sheet1!$D$4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1270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Sheet1!$B$5:$C$13</c:f>
              <c:multiLvlStrCache>
                <c:ptCount val="9"/>
                <c:lvl>
                  <c:pt idx="0">
                    <c:v>A组</c:v>
                  </c:pt>
                  <c:pt idx="1">
                    <c:v>B组</c:v>
                  </c:pt>
                  <c:pt idx="2">
                    <c:v>C组</c:v>
                  </c:pt>
                  <c:pt idx="3">
                    <c:v>A组</c:v>
                  </c:pt>
                  <c:pt idx="4">
                    <c:v>B组</c:v>
                  </c:pt>
                  <c:pt idx="5">
                    <c:v>C组</c:v>
                  </c:pt>
                  <c:pt idx="6">
                    <c:v>A组</c:v>
                  </c:pt>
                  <c:pt idx="7">
                    <c:v>B组</c:v>
                  </c:pt>
                  <c:pt idx="8">
                    <c:v>C组</c:v>
                  </c:pt>
                </c:lvl>
                <c:lvl>
                  <c:pt idx="0">
                    <c:v>10月</c:v>
                  </c:pt>
                  <c:pt idx="3">
                    <c:v>11月</c:v>
                  </c:pt>
                  <c:pt idx="6">
                    <c:v>12月</c:v>
                  </c:pt>
                </c:lvl>
              </c:multiLvlStrCache>
            </c:multiLvlStrRef>
          </c:cat>
          <c:val>
            <c:numRef>
              <c:f>Sheet1!$D$5:$D$13</c:f>
              <c:numCache>
                <c:formatCode>General</c:formatCode>
                <c:ptCount val="9"/>
                <c:pt idx="0">
                  <c:v>5000</c:v>
                </c:pt>
                <c:pt idx="1">
                  <c:v>8000</c:v>
                </c:pt>
                <c:pt idx="2">
                  <c:v>6000</c:v>
                </c:pt>
                <c:pt idx="3">
                  <c:v>4200</c:v>
                </c:pt>
                <c:pt idx="4">
                  <c:v>3600</c:v>
                </c:pt>
                <c:pt idx="5">
                  <c:v>5500</c:v>
                </c:pt>
                <c:pt idx="6">
                  <c:v>5400</c:v>
                </c:pt>
                <c:pt idx="7">
                  <c:v>7600</c:v>
                </c:pt>
                <c:pt idx="8">
                  <c:v>4600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219144254"/>
        <c:axId val="380266069"/>
      </c:barChart>
      <c:lineChart>
        <c:grouping val="standard"/>
        <c:varyColors val="0"/>
        <c:ser>
          <c:idx val="2"/>
          <c:order val="2"/>
          <c:tx>
            <c:strRef>
              <c:f>Sheet1!$F$4</c:f>
              <c:strCache>
                <c:ptCount val="1"/>
                <c:pt idx="0">
                  <c:v>完成率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Sheet1!$B$5:$C$13</c:f>
              <c:multiLvlStrCache>
                <c:ptCount val="9"/>
                <c:lvl>
                  <c:pt idx="0">
                    <c:v>A组</c:v>
                  </c:pt>
                  <c:pt idx="1">
                    <c:v>B组</c:v>
                  </c:pt>
                  <c:pt idx="2">
                    <c:v>C组</c:v>
                  </c:pt>
                  <c:pt idx="3">
                    <c:v>A组</c:v>
                  </c:pt>
                  <c:pt idx="4">
                    <c:v>B组</c:v>
                  </c:pt>
                  <c:pt idx="5">
                    <c:v>C组</c:v>
                  </c:pt>
                  <c:pt idx="6">
                    <c:v>A组</c:v>
                  </c:pt>
                  <c:pt idx="7">
                    <c:v>B组</c:v>
                  </c:pt>
                  <c:pt idx="8">
                    <c:v>C组</c:v>
                  </c:pt>
                </c:lvl>
                <c:lvl>
                  <c:pt idx="0">
                    <c:v>10月</c:v>
                  </c:pt>
                  <c:pt idx="3">
                    <c:v>11月</c:v>
                  </c:pt>
                  <c:pt idx="6">
                    <c:v>12月</c:v>
                  </c:pt>
                </c:lvl>
              </c:multiLvlStrCache>
            </c:multiLvlStrRef>
          </c:cat>
          <c:val>
            <c:numRef>
              <c:f>Sheet1!$F$5:$F$13</c:f>
              <c:numCache>
                <c:formatCode>0.00%</c:formatCode>
                <c:ptCount val="9"/>
                <c:pt idx="0">
                  <c:v>1.508</c:v>
                </c:pt>
                <c:pt idx="1">
                  <c:v>0.90425</c:v>
                </c:pt>
                <c:pt idx="2">
                  <c:v>0.760333333333333</c:v>
                </c:pt>
                <c:pt idx="3">
                  <c:v>1.72214285714286</c:v>
                </c:pt>
                <c:pt idx="4">
                  <c:v>1.02333333333333</c:v>
                </c:pt>
                <c:pt idx="5">
                  <c:v>1.30490909090909</c:v>
                </c:pt>
                <c:pt idx="6">
                  <c:v>1.31074074074074</c:v>
                </c:pt>
                <c:pt idx="7">
                  <c:v>0.429342105263158</c:v>
                </c:pt>
                <c:pt idx="8">
                  <c:v>0.999565217391304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54569"/>
        <c:axId val="478297839"/>
      </c:lineChart>
      <c:catAx>
        <c:axId val="2191442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266069"/>
        <c:crosses val="autoZero"/>
        <c:auto val="1"/>
        <c:lblAlgn val="ctr"/>
        <c:lblOffset val="100"/>
        <c:noMultiLvlLbl val="0"/>
      </c:catAx>
      <c:valAx>
        <c:axId val="3802660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144254"/>
        <c:crosses val="autoZero"/>
        <c:crossBetween val="between"/>
      </c:valAx>
      <c:catAx>
        <c:axId val="3615456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297839"/>
        <c:crosses val="autoZero"/>
        <c:auto val="1"/>
        <c:lblAlgn val="ctr"/>
        <c:lblOffset val="100"/>
        <c:noMultiLvlLbl val="0"/>
      </c:catAx>
      <c:valAx>
        <c:axId val="4782978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5456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CD7E5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季度完成情况分析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Sheet1!$R$4</c:f>
              <c:strCache>
                <c:ptCount val="1"/>
                <c:pt idx="0">
                  <c:v>A组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Sheet1!$Q$5:$Q$13</c:f>
              <c:strCache>
                <c:ptCount val="9"/>
                <c:pt idx="0">
                  <c:v>业务员1</c:v>
                </c:pt>
                <c:pt idx="1">
                  <c:v>业务员2</c:v>
                </c:pt>
                <c:pt idx="2">
                  <c:v>业务员3</c:v>
                </c:pt>
                <c:pt idx="3">
                  <c:v>业务员4</c:v>
                </c:pt>
                <c:pt idx="4">
                  <c:v>业务员5</c:v>
                </c:pt>
                <c:pt idx="5">
                  <c:v>业务员6</c:v>
                </c:pt>
                <c:pt idx="6">
                  <c:v>业务员7</c:v>
                </c:pt>
                <c:pt idx="7">
                  <c:v>业务员8</c:v>
                </c:pt>
                <c:pt idx="8">
                  <c:v>业务员9</c:v>
                </c:pt>
              </c:strCache>
            </c:strRef>
          </c:cat>
          <c:val>
            <c:numRef>
              <c:f>Sheet1!$R$5:$R$13</c:f>
              <c:numCache>
                <c:formatCode>General</c:formatCode>
                <c:ptCount val="9"/>
                <c:pt idx="0">
                  <c:v>728</c:v>
                </c:pt>
                <c:pt idx="1">
                  <c:v>352</c:v>
                </c:pt>
                <c:pt idx="2">
                  <c:v>364</c:v>
                </c:pt>
                <c:pt idx="3">
                  <c:v>233</c:v>
                </c:pt>
                <c:pt idx="4">
                  <c:v>630</c:v>
                </c:pt>
                <c:pt idx="5">
                  <c:v>654</c:v>
                </c:pt>
                <c:pt idx="6">
                  <c:v>626</c:v>
                </c:pt>
                <c:pt idx="7">
                  <c:v>278</c:v>
                </c:pt>
                <c:pt idx="8">
                  <c:v>647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Sheet1!$S$4</c:f>
              <c:strCache>
                <c:ptCount val="1"/>
                <c:pt idx="0">
                  <c:v>B组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Sheet1!$Q$5:$Q$13</c:f>
              <c:strCache>
                <c:ptCount val="9"/>
                <c:pt idx="0">
                  <c:v>业务员1</c:v>
                </c:pt>
                <c:pt idx="1">
                  <c:v>业务员2</c:v>
                </c:pt>
                <c:pt idx="2">
                  <c:v>业务员3</c:v>
                </c:pt>
                <c:pt idx="3">
                  <c:v>业务员4</c:v>
                </c:pt>
                <c:pt idx="4">
                  <c:v>业务员5</c:v>
                </c:pt>
                <c:pt idx="5">
                  <c:v>业务员6</c:v>
                </c:pt>
                <c:pt idx="6">
                  <c:v>业务员7</c:v>
                </c:pt>
                <c:pt idx="7">
                  <c:v>业务员8</c:v>
                </c:pt>
                <c:pt idx="8">
                  <c:v>业务员9</c:v>
                </c:pt>
              </c:strCache>
            </c:strRef>
          </c:cat>
          <c:val>
            <c:numRef>
              <c:f>Sheet1!$S$5:$S$13</c:f>
              <c:numCache>
                <c:formatCode>General</c:formatCode>
                <c:ptCount val="9"/>
                <c:pt idx="0">
                  <c:v>405</c:v>
                </c:pt>
                <c:pt idx="1">
                  <c:v>482</c:v>
                </c:pt>
                <c:pt idx="2">
                  <c:v>413</c:v>
                </c:pt>
                <c:pt idx="3">
                  <c:v>740</c:v>
                </c:pt>
                <c:pt idx="4">
                  <c:v>311</c:v>
                </c:pt>
                <c:pt idx="5">
                  <c:v>515</c:v>
                </c:pt>
                <c:pt idx="6">
                  <c:v>706</c:v>
                </c:pt>
                <c:pt idx="7">
                  <c:v>684</c:v>
                </c:pt>
                <c:pt idx="8">
                  <c:v>271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Sheet1!$T$4</c:f>
              <c:strCache>
                <c:ptCount val="1"/>
                <c:pt idx="0">
                  <c:v>C组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Sheet1!$Q$5:$Q$13</c:f>
              <c:strCache>
                <c:ptCount val="9"/>
                <c:pt idx="0">
                  <c:v>业务员1</c:v>
                </c:pt>
                <c:pt idx="1">
                  <c:v>业务员2</c:v>
                </c:pt>
                <c:pt idx="2">
                  <c:v>业务员3</c:v>
                </c:pt>
                <c:pt idx="3">
                  <c:v>业务员4</c:v>
                </c:pt>
                <c:pt idx="4">
                  <c:v>业务员5</c:v>
                </c:pt>
                <c:pt idx="5">
                  <c:v>业务员6</c:v>
                </c:pt>
                <c:pt idx="6">
                  <c:v>业务员7</c:v>
                </c:pt>
                <c:pt idx="7">
                  <c:v>业务员8</c:v>
                </c:pt>
                <c:pt idx="8">
                  <c:v>业务员9</c:v>
                </c:pt>
              </c:strCache>
            </c:strRef>
          </c:cat>
          <c:val>
            <c:numRef>
              <c:f>Sheet1!$T$5:$T$13</c:f>
              <c:numCache>
                <c:formatCode>General</c:formatCode>
                <c:ptCount val="9"/>
                <c:pt idx="0">
                  <c:v>762</c:v>
                </c:pt>
                <c:pt idx="1">
                  <c:v>179</c:v>
                </c:pt>
                <c:pt idx="2">
                  <c:v>685</c:v>
                </c:pt>
                <c:pt idx="3">
                  <c:v>507</c:v>
                </c:pt>
                <c:pt idx="4">
                  <c:v>186</c:v>
                </c:pt>
                <c:pt idx="5">
                  <c:v>480</c:v>
                </c:pt>
                <c:pt idx="6">
                  <c:v>210</c:v>
                </c:pt>
                <c:pt idx="7">
                  <c:v>384</c:v>
                </c:pt>
                <c:pt idx="8">
                  <c:v>221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55953705"/>
        <c:axId val="768690661"/>
      </c:lineChart>
      <c:catAx>
        <c:axId val="655953705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690661"/>
        <c:crosses val="autoZero"/>
        <c:auto val="1"/>
        <c:lblAlgn val="ctr"/>
        <c:lblOffset val="100"/>
        <c:noMultiLvlLbl val="0"/>
      </c:catAx>
      <c:valAx>
        <c:axId val="7686906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9537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CD7E5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rgbClr val="5D5D5E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业务员销售合计分析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gradFill>
              <a:gsLst>
                <a:gs pos="0">
                  <a:srgbClr val="C78B81"/>
                </a:gs>
                <a:gs pos="100000">
                  <a:srgbClr val="4BACC6">
                    <a:lumMod val="60000"/>
                    <a:lumOff val="40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 w="12700" cap="rnd">
              <a:noFill/>
              <a:prstDash val="solid"/>
              <a:round/>
            </a:ln>
            <a:effectLst>
              <a:innerShdw blurRad="63500" dist="25400">
                <a:srgbClr val="47B4E9"/>
              </a:inn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5D5D5E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Sheet1!$Q$5:$Q$13</c:f>
              <c:strCache>
                <c:ptCount val="9"/>
                <c:pt idx="0">
                  <c:v>业务员1</c:v>
                </c:pt>
                <c:pt idx="1">
                  <c:v>业务员2</c:v>
                </c:pt>
                <c:pt idx="2">
                  <c:v>业务员3</c:v>
                </c:pt>
                <c:pt idx="3">
                  <c:v>业务员4</c:v>
                </c:pt>
                <c:pt idx="4">
                  <c:v>业务员5</c:v>
                </c:pt>
                <c:pt idx="5">
                  <c:v>业务员6</c:v>
                </c:pt>
                <c:pt idx="6">
                  <c:v>业务员7</c:v>
                </c:pt>
                <c:pt idx="7">
                  <c:v>业务员8</c:v>
                </c:pt>
                <c:pt idx="8">
                  <c:v>业务员9</c:v>
                </c:pt>
              </c:strCache>
            </c:strRef>
          </c:cat>
          <c:val>
            <c:numRef>
              <c:f>Sheet1!$U$5:$U$13</c:f>
              <c:numCache>
                <c:formatCode>General</c:formatCode>
                <c:ptCount val="9"/>
                <c:pt idx="0">
                  <c:v>1895</c:v>
                </c:pt>
                <c:pt idx="1">
                  <c:v>1013</c:v>
                </c:pt>
                <c:pt idx="2">
                  <c:v>1462</c:v>
                </c:pt>
                <c:pt idx="3">
                  <c:v>1480</c:v>
                </c:pt>
                <c:pt idx="4">
                  <c:v>1127</c:v>
                </c:pt>
                <c:pt idx="5">
                  <c:v>1649</c:v>
                </c:pt>
                <c:pt idx="6">
                  <c:v>1542</c:v>
                </c:pt>
                <c:pt idx="7">
                  <c:v>1346</c:v>
                </c:pt>
                <c:pt idx="8">
                  <c:v>1139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0827653"/>
        <c:axId val="26740051"/>
      </c:radarChart>
      <c:catAx>
        <c:axId val="9508276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rgbClr val="5D5D5E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6740051"/>
        <c:crosses val="autoZero"/>
        <c:auto val="1"/>
        <c:lblAlgn val="ctr"/>
        <c:lblOffset val="100"/>
        <c:noMultiLvlLbl val="0"/>
      </c:catAx>
      <c:valAx>
        <c:axId val="267400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CD7E57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5D5D5E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508276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rgbClr val="CD7E57"/>
      </a:solidFill>
      <a:round/>
    </a:ln>
    <a:effectLst/>
  </c:spPr>
  <c:txPr>
    <a:bodyPr/>
    <a:lstStyle/>
    <a:p>
      <a:pPr>
        <a:defRPr lang="zh-CN">
          <a:solidFill>
            <a:srgbClr val="5D5D5E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业务员平均销售分析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2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2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Sheet1!$Q$5:$Q$13</c:f>
              <c:strCache>
                <c:ptCount val="9"/>
                <c:pt idx="0">
                  <c:v>业务员1</c:v>
                </c:pt>
                <c:pt idx="1">
                  <c:v>业务员2</c:v>
                </c:pt>
                <c:pt idx="2">
                  <c:v>业务员3</c:v>
                </c:pt>
                <c:pt idx="3">
                  <c:v>业务员4</c:v>
                </c:pt>
                <c:pt idx="4">
                  <c:v>业务员5</c:v>
                </c:pt>
                <c:pt idx="5">
                  <c:v>业务员6</c:v>
                </c:pt>
                <c:pt idx="6">
                  <c:v>业务员7</c:v>
                </c:pt>
                <c:pt idx="7">
                  <c:v>业务员8</c:v>
                </c:pt>
                <c:pt idx="8">
                  <c:v>业务员9</c:v>
                </c:pt>
              </c:strCache>
            </c:strRef>
          </c:cat>
          <c:val>
            <c:numRef>
              <c:f>Sheet1!$V$5:$V$13</c:f>
              <c:numCache>
                <c:formatCode>0_ </c:formatCode>
                <c:ptCount val="9"/>
                <c:pt idx="0">
                  <c:v>631.666666666667</c:v>
                </c:pt>
                <c:pt idx="1">
                  <c:v>337.666666666667</c:v>
                </c:pt>
                <c:pt idx="2">
                  <c:v>487.333333333333</c:v>
                </c:pt>
                <c:pt idx="3">
                  <c:v>493.333333333333</c:v>
                </c:pt>
                <c:pt idx="4">
                  <c:v>375.666666666667</c:v>
                </c:pt>
                <c:pt idx="5">
                  <c:v>549.666666666667</c:v>
                </c:pt>
                <c:pt idx="6">
                  <c:v>514</c:v>
                </c:pt>
                <c:pt idx="7">
                  <c:v>448.666666666667</c:v>
                </c:pt>
                <c:pt idx="8">
                  <c:v>379.666666666667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CD7E5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emf"/><Relationship Id="rId8" Type="http://schemas.openxmlformats.org/officeDocument/2006/relationships/image" Target="../media/image3.emf"/><Relationship Id="rId7" Type="http://schemas.openxmlformats.org/officeDocument/2006/relationships/image" Target="../media/image2.emf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image" Target="../media/image7.emf"/><Relationship Id="rId11" Type="http://schemas.openxmlformats.org/officeDocument/2006/relationships/image" Target="../media/image6.emf"/><Relationship Id="rId10" Type="http://schemas.openxmlformats.org/officeDocument/2006/relationships/image" Target="../media/image5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266700</xdr:colOff>
      <xdr:row>27</xdr:row>
      <xdr:rowOff>152400</xdr:rowOff>
    </xdr:from>
    <xdr:to>
      <xdr:col>14</xdr:col>
      <xdr:colOff>132080</xdr:colOff>
      <xdr:row>41</xdr:row>
      <xdr:rowOff>26670</xdr:rowOff>
    </xdr:to>
    <xdr:pic>
      <xdr:nvPicPr>
        <xdr:cNvPr id="40" name="图片 39" descr="&amp;pky733276177&amp;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52800" y="5416550"/>
          <a:ext cx="4056380" cy="2541270"/>
        </a:xfrm>
        <a:prstGeom prst="rect">
          <a:avLst/>
        </a:prstGeom>
      </xdr:spPr>
    </xdr:pic>
    <xdr:clientData/>
  </xdr:twoCellAnchor>
  <xdr:twoCellAnchor editAs="oneCell">
    <xdr:from>
      <xdr:col>8</xdr:col>
      <xdr:colOff>324485</xdr:colOff>
      <xdr:row>14</xdr:row>
      <xdr:rowOff>48260</xdr:rowOff>
    </xdr:from>
    <xdr:to>
      <xdr:col>17</xdr:col>
      <xdr:colOff>37465</xdr:colOff>
      <xdr:row>27</xdr:row>
      <xdr:rowOff>113030</xdr:rowOff>
    </xdr:to>
    <xdr:pic>
      <xdr:nvPicPr>
        <xdr:cNvPr id="39" name="图片 38" descr="&amp;pky733276177&amp;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72635" y="2835910"/>
          <a:ext cx="4056380" cy="2541270"/>
        </a:xfrm>
        <a:prstGeom prst="rect">
          <a:avLst/>
        </a:prstGeom>
      </xdr:spPr>
    </xdr:pic>
    <xdr:clientData/>
  </xdr:twoCellAnchor>
  <xdr:twoCellAnchor>
    <xdr:from>
      <xdr:col>21</xdr:col>
      <xdr:colOff>381000</xdr:colOff>
      <xdr:row>26</xdr:row>
      <xdr:rowOff>104775</xdr:rowOff>
    </xdr:from>
    <xdr:to>
      <xdr:col>21</xdr:col>
      <xdr:colOff>485775</xdr:colOff>
      <xdr:row>27</xdr:row>
      <xdr:rowOff>19049</xdr:rowOff>
    </xdr:to>
    <xdr:sp>
      <xdr:nvSpPr>
        <xdr:cNvPr id="3" name="椭圆 2"/>
        <xdr:cNvSpPr/>
      </xdr:nvSpPr>
      <xdr:spPr>
        <a:xfrm>
          <a:off x="11296650" y="5178425"/>
          <a:ext cx="104775" cy="104140"/>
        </a:xfrm>
        <a:prstGeom prst="ellipse">
          <a:avLst/>
        </a:prstGeom>
        <a:solidFill>
          <a:schemeClr val="accent5"/>
        </a:solidFill>
        <a:ln>
          <a:noFill/>
        </a:ln>
        <a:effectLst>
          <a:glow rad="127000">
            <a:schemeClr val="accent5">
              <a:alpha val="40000"/>
            </a:schemeClr>
          </a:glow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104775</xdr:colOff>
      <xdr:row>27</xdr:row>
      <xdr:rowOff>104774</xdr:rowOff>
    </xdr:to>
    <xdr:sp>
      <xdr:nvSpPr>
        <xdr:cNvPr id="19" name="椭圆 18"/>
        <xdr:cNvSpPr/>
      </xdr:nvSpPr>
      <xdr:spPr>
        <a:xfrm>
          <a:off x="1866900" y="5264150"/>
          <a:ext cx="104775" cy="10414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127000">
            <a:schemeClr val="accent3">
              <a:alpha val="40000"/>
            </a:schemeClr>
          </a:glow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25400</xdr:colOff>
      <xdr:row>2</xdr:row>
      <xdr:rowOff>647065</xdr:rowOff>
    </xdr:from>
    <xdr:to>
      <xdr:col>15</xdr:col>
      <xdr:colOff>128270</xdr:colOff>
      <xdr:row>14</xdr:row>
      <xdr:rowOff>10160</xdr:rowOff>
    </xdr:to>
    <xdr:graphicFrame>
      <xdr:nvGraphicFramePr>
        <xdr:cNvPr id="22" name="图表 21"/>
        <xdr:cNvGraphicFramePr/>
      </xdr:nvGraphicFramePr>
      <xdr:xfrm>
        <a:off x="4854575" y="692150"/>
        <a:ext cx="3131820" cy="2105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13970</xdr:colOff>
      <xdr:row>14</xdr:row>
      <xdr:rowOff>28575</xdr:rowOff>
    </xdr:from>
    <xdr:to>
      <xdr:col>8</xdr:col>
      <xdr:colOff>328295</xdr:colOff>
      <xdr:row>27</xdr:row>
      <xdr:rowOff>104775</xdr:rowOff>
    </xdr:to>
    <xdr:graphicFrame>
      <xdr:nvGraphicFramePr>
        <xdr:cNvPr id="23" name="图表 22"/>
        <xdr:cNvGraphicFramePr/>
      </xdr:nvGraphicFramePr>
      <xdr:xfrm>
        <a:off x="137795" y="2816225"/>
        <a:ext cx="443865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45085</xdr:colOff>
      <xdr:row>27</xdr:row>
      <xdr:rowOff>127000</xdr:rowOff>
    </xdr:from>
    <xdr:to>
      <xdr:col>21</xdr:col>
      <xdr:colOff>845185</xdr:colOff>
      <xdr:row>41</xdr:row>
      <xdr:rowOff>12700</xdr:rowOff>
    </xdr:to>
    <xdr:graphicFrame>
      <xdr:nvGraphicFramePr>
        <xdr:cNvPr id="24" name="图表 23"/>
        <xdr:cNvGraphicFramePr/>
      </xdr:nvGraphicFramePr>
      <xdr:xfrm>
        <a:off x="7322185" y="5391150"/>
        <a:ext cx="443865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44450</xdr:colOff>
      <xdr:row>14</xdr:row>
      <xdr:rowOff>28575</xdr:rowOff>
    </xdr:from>
    <xdr:to>
      <xdr:col>21</xdr:col>
      <xdr:colOff>845185</xdr:colOff>
      <xdr:row>27</xdr:row>
      <xdr:rowOff>104775</xdr:rowOff>
    </xdr:to>
    <xdr:graphicFrame>
      <xdr:nvGraphicFramePr>
        <xdr:cNvPr id="25" name="图表 24"/>
        <xdr:cNvGraphicFramePr/>
      </xdr:nvGraphicFramePr>
      <xdr:xfrm>
        <a:off x="8636000" y="2816225"/>
        <a:ext cx="312483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13970</xdr:colOff>
      <xdr:row>27</xdr:row>
      <xdr:rowOff>127000</xdr:rowOff>
    </xdr:from>
    <xdr:to>
      <xdr:col>6</xdr:col>
      <xdr:colOff>290195</xdr:colOff>
      <xdr:row>41</xdr:row>
      <xdr:rowOff>12700</xdr:rowOff>
    </xdr:to>
    <xdr:graphicFrame>
      <xdr:nvGraphicFramePr>
        <xdr:cNvPr id="26" name="图表 25"/>
        <xdr:cNvGraphicFramePr/>
      </xdr:nvGraphicFramePr>
      <xdr:xfrm>
        <a:off x="137795" y="5391150"/>
        <a:ext cx="32385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15</xdr:row>
          <xdr:rowOff>146050</xdr:rowOff>
        </xdr:from>
        <xdr:to>
          <xdr:col>12</xdr:col>
          <xdr:colOff>219075</xdr:colOff>
          <xdr:row>18</xdr:row>
          <xdr:rowOff>184150</xdr:rowOff>
        </xdr:to>
        <xdr:pic>
          <xdr:nvPicPr>
            <xdr:cNvPr id="33" name="图片 32"/>
            <xdr:cNvPicPr>
              <a:extLst>
                <a:ext uri="{84589F7E-364E-4C9E-8A38-B11213B215E9}">
                  <a14:cameraTool cellRange="$AM$6:$AN$8" spid="_x0000_s1025"/>
                </a:ext>
              </a:extLst>
            </xdr:cNvPicPr>
          </xdr:nvPicPr>
          <xdr:blipFill>
            <a:blip r:embed="rId7"/>
          </xdr:blipFill>
          <xdr:spPr>
            <a:xfrm>
              <a:off x="5067300" y="3124200"/>
              <a:ext cx="1266825" cy="609600"/>
            </a:xfrm>
            <a:prstGeom prst="flowChartMagneticTape">
              <a:avLst/>
            </a:prstGeom>
            <a:solidFill>
              <a:srgbClr val="FFFFFF"/>
            </a:solidFill>
            <a:ln w="9525">
              <a:noFill/>
            </a:ln>
            <a:effectLst>
              <a:glow rad="127000">
                <a:srgbClr val="4F80BD"/>
              </a:glow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18</xdr:row>
          <xdr:rowOff>60325</xdr:rowOff>
        </xdr:from>
        <xdr:to>
          <xdr:col>16</xdr:col>
          <xdr:colOff>219075</xdr:colOff>
          <xdr:row>21</xdr:row>
          <xdr:rowOff>98425</xdr:rowOff>
        </xdr:to>
        <xdr:pic>
          <xdr:nvPicPr>
            <xdr:cNvPr id="34" name="图片 33"/>
            <xdr:cNvPicPr>
              <a:extLst>
                <a:ext uri="{84589F7E-364E-4C9E-8A38-B11213B215E9}">
                  <a14:cameraTool cellRange="$AM$10:$AN$12" spid="_x0000_s1026"/>
                </a:ext>
              </a:extLst>
            </xdr:cNvPicPr>
          </xdr:nvPicPr>
          <xdr:blipFill>
            <a:blip r:embed="rId8"/>
          </xdr:blipFill>
          <xdr:spPr>
            <a:xfrm>
              <a:off x="6962775" y="3609975"/>
              <a:ext cx="1266825" cy="609600"/>
            </a:xfrm>
            <a:prstGeom prst="teardrop">
              <a:avLst/>
            </a:prstGeom>
            <a:solidFill>
              <a:srgbClr val="FFFFFF"/>
            </a:solidFill>
            <a:ln w="9525">
              <a:noFill/>
            </a:ln>
            <a:effectLst>
              <a:glow rad="127000">
                <a:srgbClr val="0FB746"/>
              </a:glow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533400</xdr:colOff>
          <xdr:row>22</xdr:row>
          <xdr:rowOff>174625</xdr:rowOff>
        </xdr:from>
        <xdr:to>
          <xdr:col>13</xdr:col>
          <xdr:colOff>57150</xdr:colOff>
          <xdr:row>26</xdr:row>
          <xdr:rowOff>22225</xdr:rowOff>
        </xdr:to>
        <xdr:pic>
          <xdr:nvPicPr>
            <xdr:cNvPr id="35" name="图片 34"/>
            <xdr:cNvPicPr>
              <a:extLst>
                <a:ext uri="{84589F7E-364E-4C9E-8A38-B11213B215E9}">
                  <a14:cameraTool cellRange="$AM$14:$AN$16" spid="_x0000_s1027"/>
                </a:ext>
              </a:extLst>
            </xdr:cNvPicPr>
          </xdr:nvPicPr>
          <xdr:blipFill>
            <a:blip r:embed="rId9"/>
          </xdr:blipFill>
          <xdr:spPr>
            <a:xfrm>
              <a:off x="5486400" y="4486275"/>
              <a:ext cx="1266825" cy="609600"/>
            </a:xfrm>
            <a:prstGeom prst="decagon">
              <a:avLst/>
            </a:prstGeom>
            <a:solidFill>
              <a:srgbClr val="FFFFFF"/>
            </a:solidFill>
            <a:ln w="9525">
              <a:noFill/>
            </a:ln>
            <a:effectLst>
              <a:glow rad="127000">
                <a:srgbClr val="C78B81"/>
              </a:glow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165100</xdr:rowOff>
        </xdr:from>
        <xdr:to>
          <xdr:col>12</xdr:col>
          <xdr:colOff>47625</xdr:colOff>
          <xdr:row>32</xdr:row>
          <xdr:rowOff>12700</xdr:rowOff>
        </xdr:to>
        <xdr:pic>
          <xdr:nvPicPr>
            <xdr:cNvPr id="36" name="图片 35"/>
            <xdr:cNvPicPr>
              <a:extLst>
                <a:ext uri="{84589F7E-364E-4C9E-8A38-B11213B215E9}">
                  <a14:cameraTool cellRange="$AM$18:$AN$20" spid="_x0000_s1028"/>
                </a:ext>
              </a:extLst>
            </xdr:cNvPicPr>
          </xdr:nvPicPr>
          <xdr:blipFill>
            <a:blip r:embed="rId10"/>
          </xdr:blipFill>
          <xdr:spPr>
            <a:xfrm>
              <a:off x="4895850" y="5619750"/>
              <a:ext cx="1266825" cy="609600"/>
            </a:xfrm>
            <a:prstGeom prst="wedgeEllipseCallout">
              <a:avLst/>
            </a:prstGeom>
            <a:solidFill>
              <a:srgbClr val="FFFFFF"/>
            </a:solidFill>
            <a:ln w="9525">
              <a:noFill/>
            </a:ln>
            <a:effectLst>
              <a:glow rad="127000">
                <a:srgbClr val="4F80BD"/>
              </a:glow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33</xdr:row>
          <xdr:rowOff>184150</xdr:rowOff>
        </xdr:from>
        <xdr:to>
          <xdr:col>10</xdr:col>
          <xdr:colOff>19050</xdr:colOff>
          <xdr:row>37</xdr:row>
          <xdr:rowOff>31750</xdr:rowOff>
        </xdr:to>
        <xdr:pic>
          <xdr:nvPicPr>
            <xdr:cNvPr id="37" name="图片 36"/>
            <xdr:cNvPicPr>
              <a:extLst>
                <a:ext uri="{84589F7E-364E-4C9E-8A38-B11213B215E9}">
                  <a14:cameraTool cellRange="$AM$22:$AN$24" spid="_x0000_s1029"/>
                </a:ext>
              </a:extLst>
            </xdr:cNvPicPr>
          </xdr:nvPicPr>
          <xdr:blipFill>
            <a:blip r:embed="rId11"/>
          </xdr:blipFill>
          <xdr:spPr>
            <a:xfrm>
              <a:off x="3705225" y="6591300"/>
              <a:ext cx="1266825" cy="609600"/>
            </a:xfrm>
            <a:prstGeom prst="cloud">
              <a:avLst/>
            </a:prstGeom>
            <a:solidFill>
              <a:srgbClr val="FFFFFF"/>
            </a:solidFill>
            <a:ln w="9525">
              <a:noFill/>
            </a:ln>
            <a:effectLst>
              <a:glow rad="127000">
                <a:srgbClr val="0FB746"/>
              </a:glow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495300</xdr:colOff>
          <xdr:row>36</xdr:row>
          <xdr:rowOff>60325</xdr:rowOff>
        </xdr:from>
        <xdr:to>
          <xdr:col>12</xdr:col>
          <xdr:colOff>570865</xdr:colOff>
          <xdr:row>39</xdr:row>
          <xdr:rowOff>41275</xdr:rowOff>
        </xdr:to>
        <xdr:pic>
          <xdr:nvPicPr>
            <xdr:cNvPr id="38" name="图片 37"/>
            <xdr:cNvPicPr>
              <a:extLst>
                <a:ext uri="{84589F7E-364E-4C9E-8A38-B11213B215E9}">
                  <a14:cameraTool cellRange="$AM$26:$AN$28" spid="_x0000_s1030"/>
                </a:ext>
              </a:extLst>
            </xdr:cNvPicPr>
          </xdr:nvPicPr>
          <xdr:blipFill>
            <a:blip r:embed="rId12"/>
          </xdr:blipFill>
          <xdr:spPr>
            <a:xfrm>
              <a:off x="5448300" y="7038975"/>
              <a:ext cx="1237615" cy="552450"/>
            </a:xfrm>
            <a:prstGeom prst="cloudCallout">
              <a:avLst/>
            </a:prstGeom>
            <a:solidFill>
              <a:srgbClr val="FFFFFF"/>
            </a:solidFill>
            <a:ln w="9525">
              <a:noFill/>
            </a:ln>
            <a:effectLst>
              <a:glow rad="127000">
                <a:srgbClr val="C78B81"/>
              </a:glow>
            </a:effec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161925</xdr:colOff>
      <xdr:row>22</xdr:row>
      <xdr:rowOff>19050</xdr:rowOff>
    </xdr:from>
    <xdr:to>
      <xdr:col>8</xdr:col>
      <xdr:colOff>477520</xdr:colOff>
      <xdr:row>28</xdr:row>
      <xdr:rowOff>95250</xdr:rowOff>
    </xdr:to>
    <xdr:grpSp>
      <xdr:nvGrpSpPr>
        <xdr:cNvPr id="6" name="组合 5"/>
        <xdr:cNvGrpSpPr/>
      </xdr:nvGrpSpPr>
      <xdr:grpSpPr>
        <a:xfrm>
          <a:off x="3600450" y="3781425"/>
          <a:ext cx="2372995" cy="1104900"/>
          <a:chOff x="5670" y="6165"/>
          <a:chExt cx="5460" cy="1740"/>
        </a:xfrm>
      </xdr:grpSpPr>
      <xdr:sp>
        <xdr:nvSpPr>
          <xdr:cNvPr id="5" name="上凸带形 4"/>
          <xdr:cNvSpPr/>
        </xdr:nvSpPr>
        <xdr:spPr>
          <a:xfrm>
            <a:off x="5670" y="6165"/>
            <a:ext cx="5460" cy="1740"/>
          </a:xfrm>
          <a:prstGeom prst="ribbon2">
            <a:avLst/>
          </a:prstGeom>
          <a:solidFill>
            <a:srgbClr val="C78B8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pic>
            <xdr:nvPicPr>
              <xdr:cNvPr id="2" name="图片 1"/>
              <xdr:cNvPicPr>
                <a:extLst>
                  <a:ext uri="{84589F7E-364E-4C9E-8A38-B11213B215E9}">
                    <a14:cameraTool cellRange="$D$6:$E$8" spid="_x0000_s2049"/>
                  </a:ext>
                </a:extLst>
              </xdr:cNvPicPr>
            </xdr:nvPicPr>
            <xdr:blipFill>
              <a:blip r:embed="rId1"/>
            </xdr:blipFill>
            <xdr:spPr>
              <a:xfrm>
                <a:off x="7260" y="6390"/>
                <a:ext cx="2235" cy="900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</a:ln>
            </xdr:spPr>
          </xdr:pic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561975</xdr:colOff>
          <xdr:row>10</xdr:row>
          <xdr:rowOff>9525</xdr:rowOff>
        </xdr:from>
        <xdr:to>
          <xdr:col>10</xdr:col>
          <xdr:colOff>609600</xdr:colOff>
          <xdr:row>13</xdr:row>
          <xdr:rowOff>0</xdr:rowOff>
        </xdr:to>
        <xdr:pic>
          <xdr:nvPicPr>
            <xdr:cNvPr id="3" name="图片 2"/>
            <xdr:cNvPicPr>
              <a:extLst>
                <a:ext uri="{84589F7E-364E-4C9E-8A38-B11213B215E9}">
                  <a14:cameraTool cellRange="$D$10:$E$12" spid="_x0000_s2050"/>
                </a:ext>
              </a:extLst>
            </xdr:cNvPicPr>
          </xdr:nvPicPr>
          <xdr:blipFill>
            <a:blip r:embed="rId2"/>
          </xdr:blipFill>
          <xdr:spPr>
            <a:xfrm>
              <a:off x="6057900" y="1676400"/>
              <a:ext cx="1419225" cy="546100"/>
            </a:xfrm>
            <a:prstGeom prst="rect">
              <a:avLst/>
            </a:prstGeom>
            <a:solidFill>
              <a:srgbClr val="FFFFFF"/>
            </a:solidFill>
            <a:ln w="9525"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590550</xdr:colOff>
          <xdr:row>14</xdr:row>
          <xdr:rowOff>104775</xdr:rowOff>
        </xdr:from>
        <xdr:to>
          <xdr:col>10</xdr:col>
          <xdr:colOff>638175</xdr:colOff>
          <xdr:row>17</xdr:row>
          <xdr:rowOff>95250</xdr:rowOff>
        </xdr:to>
        <xdr:pic>
          <xdr:nvPicPr>
            <xdr:cNvPr id="4" name="图片 3"/>
            <xdr:cNvPicPr>
              <a:extLst>
                <a:ext uri="{84589F7E-364E-4C9E-8A38-B11213B215E9}">
                  <a14:cameraTool cellRange="$D$14:$E$16" spid="_x0000_s2051"/>
                </a:ext>
              </a:extLst>
            </xdr:cNvPicPr>
          </xdr:nvPicPr>
          <xdr:blipFill>
            <a:blip r:embed="rId3"/>
          </xdr:blipFill>
          <xdr:spPr>
            <a:xfrm>
              <a:off x="6086475" y="2454275"/>
              <a:ext cx="1419225" cy="546100"/>
            </a:xfrm>
            <a:prstGeom prst="rect">
              <a:avLst/>
            </a:prstGeom>
            <a:solidFill>
              <a:srgbClr val="FFFFFF"/>
            </a:solidFill>
            <a:ln w="9525">
              <a:noFill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O31"/>
  <sheetViews>
    <sheetView tabSelected="1" topLeftCell="A6" workbookViewId="0">
      <selection activeCell="Z21" sqref="Z21"/>
    </sheetView>
  </sheetViews>
  <sheetFormatPr defaultColWidth="7.625" defaultRowHeight="15" customHeight="1"/>
  <cols>
    <col min="1" max="1" width="1.625" style="11" customWidth="1"/>
    <col min="2" max="5" width="7.625" style="11"/>
    <col min="6" max="6" width="8.375" style="11"/>
    <col min="7" max="9" width="7.625" style="11"/>
    <col min="10" max="10" width="1.625" style="11" customWidth="1"/>
    <col min="11" max="15" width="7.625" style="11"/>
    <col min="16" max="16" width="2" style="11" customWidth="1"/>
    <col min="17" max="21" width="7.625" style="11"/>
    <col min="22" max="22" width="11.125" style="11"/>
    <col min="23" max="23" width="7" style="11" customWidth="1"/>
    <col min="24" max="39" width="7.625" style="11"/>
    <col min="40" max="40" width="8.5" style="11"/>
    <col min="41" max="16384" width="7.625" style="11"/>
  </cols>
  <sheetData>
    <row r="1" s="11" customFormat="1" ht="10" customHeight="1"/>
    <row r="2" s="11" customFormat="1" ht="34.5" customHeight="1" spans="2:2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="11" customFormat="1" ht="10" customHeight="1" spans="2:2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="11" customFormat="1" customHeight="1" spans="2:22">
      <c r="B4" s="14" t="s">
        <v>1</v>
      </c>
      <c r="C4" s="14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28" t="s">
        <v>8</v>
      </c>
      <c r="Q4" s="14" t="s">
        <v>9</v>
      </c>
      <c r="R4" s="15" t="s">
        <v>10</v>
      </c>
      <c r="S4" s="15" t="s">
        <v>11</v>
      </c>
      <c r="T4" s="15" t="s">
        <v>12</v>
      </c>
      <c r="U4" s="15" t="s">
        <v>13</v>
      </c>
      <c r="V4" s="28" t="s">
        <v>14</v>
      </c>
    </row>
    <row r="5" s="11" customFormat="1" customHeight="1" spans="2:22">
      <c r="B5" s="16" t="s">
        <v>15</v>
      </c>
      <c r="C5" s="17" t="s">
        <v>10</v>
      </c>
      <c r="D5" s="17">
        <v>5000</v>
      </c>
      <c r="E5" s="17">
        <f ca="1" t="shared" ref="E5:E13" si="0">RANDBETWEEN(3000,8000)</f>
        <v>6075</v>
      </c>
      <c r="F5" s="18">
        <f ca="1" t="shared" ref="F5:F13" si="1">E5/D5</f>
        <v>1.215</v>
      </c>
      <c r="G5" s="17">
        <f ca="1">RANK(F5,F5:F7)</f>
        <v>1</v>
      </c>
      <c r="H5" s="17">
        <f ca="1">SUM(E5:E7)</f>
        <v>18479</v>
      </c>
      <c r="I5" s="29">
        <f ca="1">RANK(H5,H5:H13)</f>
        <v>1</v>
      </c>
      <c r="Q5" s="16" t="s">
        <v>16</v>
      </c>
      <c r="R5" s="17">
        <f ca="1">RANDBETWEEN(150,800)</f>
        <v>203</v>
      </c>
      <c r="S5" s="17">
        <f ca="1">RANDBETWEEN(150,800)</f>
        <v>434</v>
      </c>
      <c r="T5" s="17">
        <f ca="1">RANDBETWEEN(150,800)</f>
        <v>739</v>
      </c>
      <c r="U5" s="17">
        <f ca="1">SUM(R5:T5)</f>
        <v>1376</v>
      </c>
      <c r="V5" s="32">
        <f ca="1" t="shared" ref="V5:V13" si="2">AVERAGE(R5:T5)</f>
        <v>458.666666666667</v>
      </c>
    </row>
    <row r="6" s="11" customFormat="1" customHeight="1" spans="2:40">
      <c r="B6" s="16"/>
      <c r="C6" s="19" t="s">
        <v>11</v>
      </c>
      <c r="D6" s="19">
        <v>8000</v>
      </c>
      <c r="E6" s="19">
        <f ca="1" t="shared" si="0"/>
        <v>7167</v>
      </c>
      <c r="F6" s="20">
        <f ca="1" t="shared" si="1"/>
        <v>0.895875</v>
      </c>
      <c r="G6" s="19">
        <f ca="1">RANK(F6,F5:F7)</f>
        <v>2</v>
      </c>
      <c r="H6" s="17"/>
      <c r="I6" s="29"/>
      <c r="Q6" s="23" t="s">
        <v>17</v>
      </c>
      <c r="R6" s="19">
        <f ca="1" t="shared" ref="R6:R13" si="3">RANDBETWEEN(150,800)</f>
        <v>244</v>
      </c>
      <c r="S6" s="19">
        <f ca="1" t="shared" ref="S6:S13" si="4">RANDBETWEEN(150,800)</f>
        <v>343</v>
      </c>
      <c r="T6" s="19">
        <f ca="1" t="shared" ref="T6:T13" si="5">RANDBETWEEN(150,800)</f>
        <v>679</v>
      </c>
      <c r="U6" s="19">
        <f ca="1" t="shared" ref="U6:U13" si="6">SUM(R6:T6)</f>
        <v>1266</v>
      </c>
      <c r="V6" s="33">
        <f ca="1" t="shared" si="2"/>
        <v>422</v>
      </c>
      <c r="AM6" s="2"/>
      <c r="AN6" s="2"/>
    </row>
    <row r="7" s="11" customFormat="1" customHeight="1" spans="2:40">
      <c r="B7" s="16"/>
      <c r="C7" s="21" t="s">
        <v>12</v>
      </c>
      <c r="D7" s="21">
        <v>6000</v>
      </c>
      <c r="E7" s="21">
        <f ca="1" t="shared" si="0"/>
        <v>5237</v>
      </c>
      <c r="F7" s="22">
        <f ca="1" t="shared" si="1"/>
        <v>0.872833333333333</v>
      </c>
      <c r="G7" s="21">
        <f ca="1">RANK(F7,F5:F7)</f>
        <v>3</v>
      </c>
      <c r="H7" s="17"/>
      <c r="I7" s="29"/>
      <c r="Q7" s="24" t="s">
        <v>18</v>
      </c>
      <c r="R7" s="21">
        <f ca="1" t="shared" si="3"/>
        <v>338</v>
      </c>
      <c r="S7" s="21">
        <f ca="1" t="shared" si="4"/>
        <v>407</v>
      </c>
      <c r="T7" s="21">
        <f ca="1" t="shared" si="5"/>
        <v>693</v>
      </c>
      <c r="U7" s="21">
        <f ca="1" t="shared" si="6"/>
        <v>1438</v>
      </c>
      <c r="V7" s="34">
        <f ca="1" t="shared" si="2"/>
        <v>479.333333333333</v>
      </c>
      <c r="AM7" s="3" t="str">
        <f>B5</f>
        <v>10月</v>
      </c>
      <c r="AN7" s="3">
        <f ca="1">H5</f>
        <v>18479</v>
      </c>
    </row>
    <row r="8" s="11" customFormat="1" customHeight="1" spans="2:40">
      <c r="B8" s="23" t="s">
        <v>19</v>
      </c>
      <c r="C8" s="19" t="s">
        <v>10</v>
      </c>
      <c r="D8" s="19">
        <v>4200</v>
      </c>
      <c r="E8" s="19">
        <f ca="1" t="shared" si="0"/>
        <v>4336</v>
      </c>
      <c r="F8" s="20">
        <f ca="1" t="shared" si="1"/>
        <v>1.03238095238095</v>
      </c>
      <c r="G8" s="19">
        <f ca="1">RANK(F8,F8:F10)</f>
        <v>3</v>
      </c>
      <c r="H8" s="19">
        <f ca="1">SUM(E8:E10)</f>
        <v>15783</v>
      </c>
      <c r="I8" s="30">
        <f ca="1">RANK(H8,H5:H13)</f>
        <v>3</v>
      </c>
      <c r="Q8" s="23" t="s">
        <v>20</v>
      </c>
      <c r="R8" s="19">
        <f ca="1" t="shared" si="3"/>
        <v>302</v>
      </c>
      <c r="S8" s="19">
        <f ca="1" t="shared" si="4"/>
        <v>560</v>
      </c>
      <c r="T8" s="19">
        <f ca="1" t="shared" si="5"/>
        <v>513</v>
      </c>
      <c r="U8" s="19">
        <f ca="1" t="shared" si="6"/>
        <v>1375</v>
      </c>
      <c r="V8" s="33">
        <f ca="1" t="shared" si="2"/>
        <v>458.333333333333</v>
      </c>
      <c r="AM8" s="4"/>
      <c r="AN8" s="4"/>
    </row>
    <row r="9" s="11" customFormat="1" customHeight="1" spans="2:40">
      <c r="B9" s="23"/>
      <c r="C9" s="21" t="s">
        <v>11</v>
      </c>
      <c r="D9" s="21">
        <v>3600</v>
      </c>
      <c r="E9" s="21">
        <f ca="1" t="shared" si="0"/>
        <v>3788</v>
      </c>
      <c r="F9" s="22">
        <f ca="1" t="shared" si="1"/>
        <v>1.05222222222222</v>
      </c>
      <c r="G9" s="21">
        <f ca="1">RANK(F9,F8:F10)</f>
        <v>2</v>
      </c>
      <c r="H9" s="19"/>
      <c r="I9" s="30"/>
      <c r="Q9" s="24" t="s">
        <v>21</v>
      </c>
      <c r="R9" s="21">
        <f ca="1" t="shared" si="3"/>
        <v>573</v>
      </c>
      <c r="S9" s="21">
        <f ca="1" t="shared" si="4"/>
        <v>769</v>
      </c>
      <c r="T9" s="21">
        <f ca="1" t="shared" si="5"/>
        <v>306</v>
      </c>
      <c r="U9" s="21">
        <f ca="1" t="shared" si="6"/>
        <v>1648</v>
      </c>
      <c r="V9" s="34">
        <f ca="1" t="shared" si="2"/>
        <v>549.333333333333</v>
      </c>
      <c r="AM9" s="5"/>
      <c r="AN9" s="5"/>
    </row>
    <row r="10" s="11" customFormat="1" customHeight="1" spans="2:40">
      <c r="B10" s="23"/>
      <c r="C10" s="19" t="s">
        <v>12</v>
      </c>
      <c r="D10" s="19">
        <v>5500</v>
      </c>
      <c r="E10" s="19">
        <f ca="1" t="shared" si="0"/>
        <v>7659</v>
      </c>
      <c r="F10" s="20">
        <f ca="1" t="shared" si="1"/>
        <v>1.39254545454545</v>
      </c>
      <c r="G10" s="19">
        <f ca="1">RANK(F10,F8:F10)</f>
        <v>1</v>
      </c>
      <c r="H10" s="19"/>
      <c r="I10" s="30"/>
      <c r="Q10" s="23" t="s">
        <v>22</v>
      </c>
      <c r="R10" s="19">
        <f ca="1" t="shared" si="3"/>
        <v>263</v>
      </c>
      <c r="S10" s="19">
        <f ca="1" t="shared" si="4"/>
        <v>551</v>
      </c>
      <c r="T10" s="19">
        <f ca="1" t="shared" si="5"/>
        <v>491</v>
      </c>
      <c r="U10" s="19">
        <f ca="1" t="shared" si="6"/>
        <v>1305</v>
      </c>
      <c r="V10" s="33">
        <f ca="1" t="shared" si="2"/>
        <v>435</v>
      </c>
      <c r="AM10" s="6"/>
      <c r="AN10" s="6"/>
    </row>
    <row r="11" s="11" customFormat="1" customHeight="1" spans="2:40">
      <c r="B11" s="24" t="s">
        <v>23</v>
      </c>
      <c r="C11" s="21" t="s">
        <v>10</v>
      </c>
      <c r="D11" s="21">
        <v>5400</v>
      </c>
      <c r="E11" s="21">
        <f ca="1" t="shared" si="0"/>
        <v>3696</v>
      </c>
      <c r="F11" s="22">
        <f ca="1" t="shared" si="1"/>
        <v>0.684444444444444</v>
      </c>
      <c r="G11" s="21">
        <f ca="1">RANK(F11,F11:F13)</f>
        <v>3</v>
      </c>
      <c r="H11" s="21">
        <f ca="1">SUM(E11:E13)</f>
        <v>17969</v>
      </c>
      <c r="I11" s="31">
        <f ca="1">RANK(H11,H5:H13)</f>
        <v>2</v>
      </c>
      <c r="Q11" s="24" t="s">
        <v>24</v>
      </c>
      <c r="R11" s="21">
        <f ca="1" t="shared" si="3"/>
        <v>197</v>
      </c>
      <c r="S11" s="21">
        <f ca="1" t="shared" si="4"/>
        <v>620</v>
      </c>
      <c r="T11" s="21">
        <f ca="1" t="shared" si="5"/>
        <v>281</v>
      </c>
      <c r="U11" s="21">
        <f ca="1" t="shared" si="6"/>
        <v>1098</v>
      </c>
      <c r="V11" s="34">
        <f ca="1" t="shared" si="2"/>
        <v>366</v>
      </c>
      <c r="AM11" s="7" t="str">
        <f>B8</f>
        <v>11月</v>
      </c>
      <c r="AN11" s="7">
        <f ca="1">H8</f>
        <v>15783</v>
      </c>
    </row>
    <row r="12" s="11" customFormat="1" customHeight="1" spans="2:40">
      <c r="B12" s="24"/>
      <c r="C12" s="19" t="s">
        <v>11</v>
      </c>
      <c r="D12" s="19">
        <v>7600</v>
      </c>
      <c r="E12" s="19">
        <f ca="1" t="shared" si="0"/>
        <v>6509</v>
      </c>
      <c r="F12" s="20">
        <f ca="1" t="shared" si="1"/>
        <v>0.856447368421053</v>
      </c>
      <c r="G12" s="19">
        <f ca="1">RANK(F12,F11:F13)</f>
        <v>2</v>
      </c>
      <c r="H12" s="21"/>
      <c r="I12" s="31"/>
      <c r="Q12" s="23" t="s">
        <v>25</v>
      </c>
      <c r="R12" s="19">
        <f ca="1" t="shared" si="3"/>
        <v>388</v>
      </c>
      <c r="S12" s="19">
        <f ca="1" t="shared" si="4"/>
        <v>599</v>
      </c>
      <c r="T12" s="19">
        <f ca="1" t="shared" si="5"/>
        <v>654</v>
      </c>
      <c r="U12" s="19">
        <f ca="1" t="shared" si="6"/>
        <v>1641</v>
      </c>
      <c r="V12" s="33">
        <f ca="1" t="shared" si="2"/>
        <v>547</v>
      </c>
      <c r="AM12" s="7"/>
      <c r="AN12" s="7"/>
    </row>
    <row r="13" s="11" customFormat="1" customHeight="1" spans="2:40">
      <c r="B13" s="24"/>
      <c r="C13" s="21" t="s">
        <v>12</v>
      </c>
      <c r="D13" s="21">
        <v>4600</v>
      </c>
      <c r="E13" s="21">
        <f ca="1" t="shared" si="0"/>
        <v>7764</v>
      </c>
      <c r="F13" s="22">
        <f ca="1" t="shared" si="1"/>
        <v>1.68782608695652</v>
      </c>
      <c r="G13" s="21">
        <f ca="1">RANK(F13,F11:F13)</f>
        <v>1</v>
      </c>
      <c r="H13" s="21"/>
      <c r="I13" s="31"/>
      <c r="Q13" s="24" t="s">
        <v>26</v>
      </c>
      <c r="R13" s="21">
        <f ca="1" t="shared" si="3"/>
        <v>182</v>
      </c>
      <c r="S13" s="21">
        <f ca="1" t="shared" si="4"/>
        <v>484</v>
      </c>
      <c r="T13" s="21">
        <f ca="1" t="shared" si="5"/>
        <v>611</v>
      </c>
      <c r="U13" s="21">
        <f ca="1" t="shared" si="6"/>
        <v>1277</v>
      </c>
      <c r="V13" s="34">
        <f ca="1" t="shared" si="2"/>
        <v>425.666666666667</v>
      </c>
      <c r="AM13" s="5"/>
      <c r="AN13" s="5"/>
    </row>
    <row r="14" s="11" customFormat="1" customHeight="1" spans="2:40">
      <c r="B14" s="25" t="s">
        <v>13</v>
      </c>
      <c r="C14" s="25"/>
      <c r="D14" s="26">
        <f>SUM(D5:D13)</f>
        <v>49900</v>
      </c>
      <c r="E14" s="26">
        <f ca="1">SUM(E5:E13)</f>
        <v>52231</v>
      </c>
      <c r="F14" s="27">
        <f ca="1">AVERAGE(F5:F13)</f>
        <v>1.07661942914489</v>
      </c>
      <c r="G14" s="26">
        <f ca="1">SUM(H5:H13)</f>
        <v>52231</v>
      </c>
      <c r="H14" s="26"/>
      <c r="I14" s="26"/>
      <c r="Q14" s="25" t="s">
        <v>27</v>
      </c>
      <c r="R14" s="26">
        <f ca="1" t="shared" ref="R14:V14" si="7">MAX(R5:R13)</f>
        <v>573</v>
      </c>
      <c r="S14" s="26">
        <f ca="1" t="shared" si="7"/>
        <v>769</v>
      </c>
      <c r="T14" s="26">
        <f ca="1" t="shared" si="7"/>
        <v>739</v>
      </c>
      <c r="U14" s="26">
        <f ca="1" t="shared" si="7"/>
        <v>1648</v>
      </c>
      <c r="V14" s="35">
        <f ca="1" t="shared" si="7"/>
        <v>549.333333333333</v>
      </c>
      <c r="AM14" s="8"/>
      <c r="AN14" s="8"/>
    </row>
    <row r="15" customHeight="1" spans="39:40">
      <c r="AM15" s="9" t="str">
        <f>B11</f>
        <v>12月</v>
      </c>
      <c r="AN15" s="9">
        <f ca="1">H11</f>
        <v>17969</v>
      </c>
    </row>
    <row r="16" customHeight="1" spans="39:40">
      <c r="AM16" s="10"/>
      <c r="AN16" s="10"/>
    </row>
    <row r="18" customHeight="1" spans="39:41">
      <c r="AM18" s="36"/>
      <c r="AN18" s="36"/>
      <c r="AO18" s="41"/>
    </row>
    <row r="19" customHeight="1" spans="39:40">
      <c r="AM19" s="37" t="str">
        <f>R4</f>
        <v>A组</v>
      </c>
      <c r="AN19" s="37">
        <f ca="1">R14</f>
        <v>573</v>
      </c>
    </row>
    <row r="20" customHeight="1" spans="39:40">
      <c r="AM20" s="37"/>
      <c r="AN20" s="37"/>
    </row>
    <row r="21" customHeight="1" spans="39:40">
      <c r="AM21" s="38"/>
      <c r="AN21" s="38"/>
    </row>
    <row r="22" customHeight="1" spans="39:40">
      <c r="AM22" s="39"/>
      <c r="AN22" s="39"/>
    </row>
    <row r="23" customHeight="1" spans="39:40">
      <c r="AM23" s="39" t="str">
        <f>S4</f>
        <v>B组</v>
      </c>
      <c r="AN23" s="39">
        <f ca="1">S14</f>
        <v>769</v>
      </c>
    </row>
    <row r="24" customHeight="1" spans="39:40">
      <c r="AM24" s="39"/>
      <c r="AN24" s="39"/>
    </row>
    <row r="25" customHeight="1" spans="39:40">
      <c r="AM25" s="38"/>
      <c r="AN25" s="38"/>
    </row>
    <row r="26" customHeight="1" spans="39:40">
      <c r="AM26" s="40"/>
      <c r="AN26" s="40"/>
    </row>
    <row r="27" customHeight="1" spans="39:40">
      <c r="AM27" s="40" t="str">
        <f>T4</f>
        <v>C组</v>
      </c>
      <c r="AN27" s="40">
        <f ca="1">T14</f>
        <v>739</v>
      </c>
    </row>
    <row r="28" customHeight="1" spans="39:40">
      <c r="AM28" s="40"/>
      <c r="AN28" s="40"/>
    </row>
    <row r="29" customHeight="1" spans="39:40">
      <c r="AM29" s="41"/>
      <c r="AN29" s="41"/>
    </row>
    <row r="30" customHeight="1" spans="39:40">
      <c r="AM30" s="41"/>
      <c r="AN30" s="41"/>
    </row>
    <row r="31" customHeight="1" spans="39:40">
      <c r="AM31" s="41"/>
      <c r="AN31" s="41"/>
    </row>
  </sheetData>
  <mergeCells count="12">
    <mergeCell ref="B2:V2"/>
    <mergeCell ref="B14:C14"/>
    <mergeCell ref="G14:I14"/>
    <mergeCell ref="B5:B7"/>
    <mergeCell ref="B8:B10"/>
    <mergeCell ref="B11:B13"/>
    <mergeCell ref="H5:H7"/>
    <mergeCell ref="H8:H10"/>
    <mergeCell ref="H11:H13"/>
    <mergeCell ref="I5:I7"/>
    <mergeCell ref="I8:I10"/>
    <mergeCell ref="I11:I13"/>
  </mergeCells>
  <pageMargins left="0.7" right="0.7" top="0.75" bottom="0.75" header="0.3" footer="0.3"/>
  <pageSetup paperSize="9" orientation="portrait"/>
  <headerFooter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E16"/>
  <sheetViews>
    <sheetView workbookViewId="0">
      <selection activeCell="D6" sqref="D6:E16"/>
    </sheetView>
  </sheetViews>
  <sheetFormatPr defaultColWidth="9" defaultRowHeight="13.5" outlineLevelCol="4"/>
  <cols>
    <col min="1" max="4" width="9" style="1"/>
    <col min="5" max="5" width="9.125" style="1"/>
    <col min="6" max="16384" width="9" style="1"/>
  </cols>
  <sheetData>
    <row r="6" ht="10" customHeight="1" spans="4:5">
      <c r="D6" s="2"/>
      <c r="E6" s="2"/>
    </row>
    <row r="7" ht="20.25" spans="4:5">
      <c r="D7" s="3" t="str">
        <f>Sheet1!B5</f>
        <v>10月</v>
      </c>
      <c r="E7" s="3">
        <f ca="1">Sheet1!H5</f>
        <v>18479</v>
      </c>
    </row>
    <row r="8" ht="10" customHeight="1" spans="4:5">
      <c r="D8" s="4"/>
      <c r="E8" s="4"/>
    </row>
    <row r="9" spans="4:5">
      <c r="D9" s="5"/>
      <c r="E9" s="5"/>
    </row>
    <row r="10" ht="10" customHeight="1" spans="4:5">
      <c r="D10" s="6"/>
      <c r="E10" s="6"/>
    </row>
    <row r="11" ht="20.25" spans="4:5">
      <c r="D11" s="7" t="str">
        <f>Sheet1!B8</f>
        <v>11月</v>
      </c>
      <c r="E11" s="7">
        <f ca="1">Sheet1!H8</f>
        <v>15783</v>
      </c>
    </row>
    <row r="12" ht="10" customHeight="1" spans="4:5">
      <c r="D12" s="7"/>
      <c r="E12" s="7"/>
    </row>
    <row r="13" spans="4:5">
      <c r="D13" s="5"/>
      <c r="E13" s="5"/>
    </row>
    <row r="14" ht="10" customHeight="1" spans="4:5">
      <c r="D14" s="8"/>
      <c r="E14" s="8"/>
    </row>
    <row r="15" ht="20.25" spans="4:5">
      <c r="D15" s="9" t="str">
        <f>Sheet1!B11</f>
        <v>12月</v>
      </c>
      <c r="E15" s="9">
        <f ca="1">Sheet1!H11</f>
        <v>17969</v>
      </c>
    </row>
    <row r="16" ht="10" customHeight="1" spans="4:5">
      <c r="D16" s="10"/>
      <c r="E16" s="10"/>
    </row>
  </sheetData>
  <pageMargins left="0.7" right="0.7" top="0.75" bottom="0.75" header="0.3" footer="0.3"/>
  <pageSetup paperSize="9" orientation="portrait"/>
  <headerFooter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2019-09-03T14:21:00Z</dcterms:created>
  <dcterms:modified xsi:type="dcterms:W3CDTF">2021-05-13T06:18:47Z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547661BE7A6741F0941C23FBA9DC057B</vt:lpwstr>
  </property>
</Properties>
</file>